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ilberto\Documents\Gilberto\Curso - Giba a distância\Planilhas enviadas para o Grupo ou outras pessoas\"/>
    </mc:Choice>
  </mc:AlternateContent>
  <workbookProtection workbookPassword="CFCD" lockStructure="1"/>
  <bookViews>
    <workbookView xWindow="0" yWindow="0" windowWidth="19200" windowHeight="7935" activeTab="1"/>
  </bookViews>
  <sheets>
    <sheet name="Orientações" sheetId="4" r:id="rId1"/>
    <sheet name="Controle Vencimento Periódico" sheetId="1" r:id="rId2"/>
    <sheet name="Parâmetros" sheetId="3" state="hidden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1" l="1"/>
  <c r="K17" i="1"/>
  <c r="I17" i="1" s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K8" i="1" l="1"/>
  <c r="I8" i="1" s="1"/>
  <c r="K12" i="1"/>
  <c r="K16" i="1"/>
  <c r="K20" i="1"/>
  <c r="K24" i="1"/>
  <c r="K28" i="1"/>
  <c r="K32" i="1"/>
  <c r="K36" i="1"/>
  <c r="K40" i="1"/>
  <c r="K44" i="1"/>
  <c r="K48" i="1"/>
  <c r="K52" i="1"/>
  <c r="K56" i="1"/>
  <c r="K60" i="1"/>
  <c r="K64" i="1"/>
  <c r="K68" i="1"/>
  <c r="K72" i="1"/>
  <c r="K76" i="1"/>
  <c r="K80" i="1"/>
  <c r="K84" i="1"/>
  <c r="K88" i="1"/>
  <c r="K92" i="1"/>
  <c r="K96" i="1"/>
  <c r="K100" i="1"/>
  <c r="K104" i="1"/>
  <c r="K108" i="1"/>
  <c r="K112" i="1"/>
  <c r="K116" i="1"/>
  <c r="K120" i="1"/>
  <c r="K124" i="1"/>
  <c r="K128" i="1"/>
  <c r="K132" i="1"/>
  <c r="K136" i="1"/>
  <c r="K140" i="1"/>
  <c r="K144" i="1"/>
  <c r="K148" i="1"/>
  <c r="K152" i="1"/>
  <c r="K156" i="1"/>
  <c r="K160" i="1"/>
  <c r="K164" i="1"/>
  <c r="K168" i="1"/>
  <c r="K172" i="1"/>
  <c r="K176" i="1"/>
  <c r="K10" i="1"/>
  <c r="K14" i="1"/>
  <c r="K18" i="1"/>
  <c r="K22" i="1"/>
  <c r="K26" i="1"/>
  <c r="K30" i="1"/>
  <c r="K34" i="1"/>
  <c r="K38" i="1"/>
  <c r="K42" i="1"/>
  <c r="K46" i="1"/>
  <c r="K50" i="1"/>
  <c r="K54" i="1"/>
  <c r="K58" i="1"/>
  <c r="K62" i="1"/>
  <c r="K66" i="1"/>
  <c r="K70" i="1"/>
  <c r="K74" i="1"/>
  <c r="K78" i="1"/>
  <c r="K82" i="1"/>
  <c r="K86" i="1"/>
  <c r="K90" i="1"/>
  <c r="K94" i="1"/>
  <c r="K98" i="1"/>
  <c r="K102" i="1"/>
  <c r="K106" i="1"/>
  <c r="K110" i="1"/>
  <c r="K114" i="1"/>
  <c r="K118" i="1"/>
  <c r="K122" i="1"/>
  <c r="K126" i="1"/>
  <c r="K130" i="1"/>
  <c r="K134" i="1"/>
  <c r="K138" i="1"/>
  <c r="K142" i="1"/>
  <c r="K146" i="1"/>
  <c r="K150" i="1"/>
  <c r="K154" i="1"/>
  <c r="K158" i="1"/>
  <c r="K162" i="1"/>
  <c r="K166" i="1"/>
  <c r="K170" i="1"/>
  <c r="K174" i="1"/>
  <c r="K6" i="1"/>
  <c r="I6" i="1" s="1"/>
  <c r="I10" i="1"/>
  <c r="I11" i="1"/>
  <c r="I12" i="1"/>
  <c r="I13" i="1"/>
  <c r="I14" i="1"/>
  <c r="I15" i="1"/>
  <c r="I16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K9" i="1"/>
  <c r="I9" i="1" s="1"/>
  <c r="K11" i="1"/>
  <c r="K13" i="1"/>
  <c r="K15" i="1"/>
  <c r="K19" i="1"/>
  <c r="K21" i="1"/>
  <c r="K23" i="1"/>
  <c r="K25" i="1"/>
  <c r="K27" i="1"/>
  <c r="K29" i="1"/>
  <c r="K31" i="1"/>
  <c r="K33" i="1"/>
  <c r="K35" i="1"/>
  <c r="K37" i="1"/>
  <c r="K39" i="1"/>
  <c r="K41" i="1"/>
  <c r="K43" i="1"/>
  <c r="K45" i="1"/>
  <c r="K47" i="1"/>
  <c r="K49" i="1"/>
  <c r="K51" i="1"/>
  <c r="K53" i="1"/>
  <c r="K55" i="1"/>
  <c r="K57" i="1"/>
  <c r="K59" i="1"/>
  <c r="K61" i="1"/>
  <c r="K63" i="1"/>
  <c r="K65" i="1"/>
  <c r="K67" i="1"/>
  <c r="K69" i="1"/>
  <c r="K71" i="1"/>
  <c r="K73" i="1"/>
  <c r="K75" i="1"/>
  <c r="K77" i="1"/>
  <c r="K79" i="1"/>
  <c r="K81" i="1"/>
  <c r="K83" i="1"/>
  <c r="K85" i="1"/>
  <c r="K87" i="1"/>
  <c r="K89" i="1"/>
  <c r="K91" i="1"/>
  <c r="K93" i="1"/>
  <c r="K95" i="1"/>
  <c r="K97" i="1"/>
  <c r="K99" i="1"/>
  <c r="K101" i="1"/>
  <c r="K103" i="1"/>
  <c r="K105" i="1"/>
  <c r="K107" i="1"/>
  <c r="K109" i="1"/>
  <c r="K111" i="1"/>
  <c r="K113" i="1"/>
  <c r="K115" i="1"/>
  <c r="K117" i="1"/>
  <c r="K119" i="1"/>
  <c r="K121" i="1"/>
  <c r="K123" i="1"/>
  <c r="K125" i="1"/>
  <c r="K127" i="1"/>
  <c r="K129" i="1"/>
  <c r="K131" i="1"/>
  <c r="K133" i="1"/>
  <c r="K135" i="1"/>
  <c r="K137" i="1"/>
  <c r="K139" i="1"/>
  <c r="K141" i="1"/>
  <c r="K143" i="1"/>
  <c r="K145" i="1"/>
  <c r="K147" i="1"/>
  <c r="K149" i="1"/>
  <c r="K151" i="1"/>
  <c r="K153" i="1"/>
  <c r="K155" i="1"/>
  <c r="K157" i="1"/>
  <c r="K159" i="1"/>
  <c r="K161" i="1"/>
  <c r="K163" i="1"/>
  <c r="K165" i="1"/>
  <c r="K167" i="1"/>
  <c r="K169" i="1"/>
  <c r="K171" i="1"/>
  <c r="K173" i="1"/>
  <c r="K175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7" i="1"/>
  <c r="I7" i="1" s="1"/>
  <c r="L10" i="1" l="1"/>
  <c r="L11" i="1"/>
  <c r="L12" i="1"/>
  <c r="L13" i="1"/>
  <c r="L14" i="1"/>
  <c r="L15" i="1"/>
  <c r="L16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" i="1"/>
  <c r="G11" i="1"/>
  <c r="G12" i="1"/>
  <c r="G13" i="1"/>
  <c r="G14" i="1"/>
  <c r="G15" i="1"/>
  <c r="G16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B3" i="3" l="1"/>
  <c r="M17" i="1" s="1"/>
  <c r="L17" i="1" s="1"/>
  <c r="M7" i="1" l="1"/>
  <c r="M9" i="1"/>
  <c r="M8" i="1"/>
  <c r="L9" i="1"/>
  <c r="G9" i="1"/>
  <c r="G8" i="1"/>
  <c r="G7" i="1"/>
  <c r="G6" i="1"/>
  <c r="L8" i="1" l="1"/>
  <c r="L7" i="1"/>
  <c r="M6" i="1" l="1"/>
  <c r="L6" i="1" s="1"/>
</calcChain>
</file>

<file path=xl/sharedStrings.xml><?xml version="1.0" encoding="utf-8"?>
<sst xmlns="http://schemas.openxmlformats.org/spreadsheetml/2006/main" count="51" uniqueCount="47">
  <si>
    <t>data atual</t>
  </si>
  <si>
    <t>Nome</t>
  </si>
  <si>
    <t>Chapa</t>
  </si>
  <si>
    <t>Beltrano de Tal Jr</t>
  </si>
  <si>
    <t>Fulano de Tal</t>
  </si>
  <si>
    <t>Sicrano de Tal e Tal</t>
  </si>
  <si>
    <t>* ORIENTAÇÕES *</t>
  </si>
  <si>
    <t>Qtde dias para</t>
  </si>
  <si>
    <r>
      <t>Nome :</t>
    </r>
    <r>
      <rPr>
        <sz val="11"/>
        <color theme="1"/>
        <rFont val="Calibri"/>
        <family val="2"/>
        <scheme val="minor"/>
      </rPr>
      <t xml:space="preserve"> Informar o nome do funcionário. Obs: Deixei a coluna pequena para poder visualisar toda a planilha, mas procure abreviar</t>
    </r>
  </si>
  <si>
    <r>
      <t xml:space="preserve">Chapa: </t>
    </r>
    <r>
      <rPr>
        <sz val="11"/>
        <color theme="1"/>
        <rFont val="Calibri"/>
        <family val="2"/>
        <scheme val="minor"/>
      </rPr>
      <t>Digitar o número da chapa ou registro do funcionário.</t>
    </r>
  </si>
  <si>
    <t>Data</t>
  </si>
  <si>
    <t>admissão</t>
  </si>
  <si>
    <t>Função</t>
  </si>
  <si>
    <t>Motorista</t>
  </si>
  <si>
    <t>exame</t>
  </si>
  <si>
    <t>Data proximo</t>
  </si>
  <si>
    <t xml:space="preserve">Data de </t>
  </si>
  <si>
    <t>Nascimento</t>
  </si>
  <si>
    <t>Idade</t>
  </si>
  <si>
    <t>próximo exame</t>
  </si>
  <si>
    <r>
      <rPr>
        <b/>
        <sz val="11"/>
        <color theme="1"/>
        <rFont val="Calibri"/>
        <family val="2"/>
        <scheme val="minor"/>
      </rPr>
      <t>Data de Admissão</t>
    </r>
    <r>
      <rPr>
        <sz val="11"/>
        <color theme="1"/>
        <rFont val="Calibri"/>
        <family val="2"/>
        <scheme val="minor"/>
      </rPr>
      <t xml:space="preserve"> - Digitar a data de admissão do funcionário</t>
    </r>
  </si>
  <si>
    <r>
      <rPr>
        <b/>
        <sz val="11"/>
        <color theme="1"/>
        <rFont val="Calibri"/>
        <family val="2"/>
        <scheme val="minor"/>
      </rPr>
      <t>Função</t>
    </r>
    <r>
      <rPr>
        <sz val="11"/>
        <color theme="1"/>
        <rFont val="Calibri"/>
        <family val="2"/>
        <scheme val="minor"/>
      </rPr>
      <t xml:space="preserve"> : Digitar a função do funcionário</t>
    </r>
  </si>
  <si>
    <r>
      <rPr>
        <b/>
        <sz val="11"/>
        <color theme="1"/>
        <rFont val="Calibri"/>
        <family val="2"/>
        <scheme val="minor"/>
      </rPr>
      <t>Data de nascimento:</t>
    </r>
    <r>
      <rPr>
        <sz val="11"/>
        <color theme="1"/>
        <rFont val="Calibri"/>
        <family val="2"/>
        <scheme val="minor"/>
      </rPr>
      <t xml:space="preserve"> Digitar a data de nascimento do funcionário - </t>
    </r>
    <r>
      <rPr>
        <b/>
        <u/>
        <sz val="11"/>
        <color theme="1"/>
        <rFont val="Calibri"/>
        <family val="2"/>
        <scheme val="minor"/>
      </rPr>
      <t>Campo importante</t>
    </r>
    <r>
      <rPr>
        <sz val="11"/>
        <color theme="1"/>
        <rFont val="Calibri"/>
        <family val="2"/>
        <scheme val="minor"/>
      </rPr>
      <t>, pois vai defiinir a periodicidade do exame periódico</t>
    </r>
  </si>
  <si>
    <t>Data último</t>
  </si>
  <si>
    <t>* ATENÇÃO * -  OS CAMPOS ABAIXO SÃO MUITO IMPORTANTES - * RECOMENDO ANALISAR SEMPRE *</t>
  </si>
  <si>
    <t>Auxiliar Escritório</t>
  </si>
  <si>
    <r>
      <rPr>
        <b/>
        <sz val="11"/>
        <color theme="8" tint="-0.499984740745262"/>
        <rFont val="Calibri"/>
        <family val="2"/>
        <scheme val="minor"/>
      </rPr>
      <t>30 dias ou mai</t>
    </r>
    <r>
      <rPr>
        <sz val="11"/>
        <color theme="8" tint="-0.499984740745262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:          Vai aparecer a mensagem "No prazo" , mas sem destaque</t>
    </r>
  </si>
  <si>
    <r>
      <rPr>
        <b/>
        <sz val="11"/>
        <color theme="8" tint="-0.499984740745262"/>
        <rFont val="Calibri"/>
        <family val="2"/>
        <scheme val="minor"/>
      </rPr>
      <t>Menos que 1 dia, ou seja, venceu o prazo</t>
    </r>
    <r>
      <rPr>
        <b/>
        <sz val="11"/>
        <color theme="1"/>
        <rFont val="Calibri"/>
        <family val="2"/>
        <scheme val="minor"/>
      </rPr>
      <t xml:space="preserve"> :           A  cor de preenchimento da célula ficará azul e a cor da fonte amarela, aparecerá a seguinte mensagem: "Exame vencido"</t>
    </r>
  </si>
  <si>
    <t>Analista RH</t>
  </si>
  <si>
    <t>Mensagem sobre</t>
  </si>
  <si>
    <t>a situação do exame</t>
  </si>
  <si>
    <r>
      <rPr>
        <b/>
        <sz val="11"/>
        <color rgb="FFFF0000"/>
        <rFont val="Calibri"/>
        <family val="2"/>
        <scheme val="minor"/>
      </rPr>
      <t>Obs</t>
    </r>
    <r>
      <rPr>
        <b/>
        <sz val="11"/>
        <color theme="1"/>
        <rFont val="Calibri"/>
        <family val="2"/>
        <scheme val="minor"/>
      </rPr>
      <t>: Resolvi deixar como parâmetro menos de 30 dias, assim dará tempo de começar a agendar o exame periódico.</t>
    </r>
  </si>
  <si>
    <r>
      <t xml:space="preserve">Mensagem sobre a situação do exame: </t>
    </r>
    <r>
      <rPr>
        <sz val="11"/>
        <color theme="1"/>
        <rFont val="Calibri"/>
        <family val="2"/>
        <scheme val="minor"/>
      </rPr>
      <t xml:space="preserve">Quando faltar </t>
    </r>
    <r>
      <rPr>
        <b/>
        <u/>
        <sz val="11"/>
        <color theme="1"/>
        <rFont val="Calibri"/>
        <family val="2"/>
        <scheme val="minor"/>
      </rPr>
      <t>menos de 30 dias para fazer o exame</t>
    </r>
    <r>
      <rPr>
        <sz val="11"/>
        <color theme="1"/>
        <rFont val="Calibri"/>
        <family val="2"/>
        <scheme val="minor"/>
      </rPr>
      <t>, ou já tenha passado do prazo, o sistema dará "ALERTA" confome abaixo:</t>
    </r>
  </si>
  <si>
    <r>
      <rPr>
        <b/>
        <sz val="11"/>
        <color theme="8" tint="-0.499984740745262"/>
        <rFont val="Calibri"/>
        <family val="2"/>
        <scheme val="minor"/>
      </rPr>
      <t>Menos que 30</t>
    </r>
    <r>
      <rPr>
        <sz val="11"/>
        <color theme="1"/>
        <rFont val="Calibri"/>
        <family val="2"/>
        <scheme val="minor"/>
      </rPr>
      <t xml:space="preserve">  :           A  cor de preenchimento da célula ficará </t>
    </r>
    <r>
      <rPr>
        <b/>
        <sz val="11"/>
        <rFont val="Calibri"/>
        <family val="2"/>
        <scheme val="minor"/>
      </rPr>
      <t>amarela e</t>
    </r>
    <r>
      <rPr>
        <sz val="11"/>
        <color theme="1"/>
        <rFont val="Calibri"/>
        <family val="2"/>
        <scheme val="minor"/>
      </rPr>
      <t xml:space="preserve"> a cor da fonte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vermelha, </t>
    </r>
    <r>
      <rPr>
        <sz val="11"/>
        <rFont val="Calibri"/>
        <family val="2"/>
        <scheme val="minor"/>
      </rPr>
      <t>e aparecerá a mensagem</t>
    </r>
    <r>
      <rPr>
        <b/>
        <sz val="11"/>
        <rFont val="Calibri"/>
        <family val="2"/>
        <scheme val="minor"/>
      </rPr>
      <t xml:space="preserve"> "Atenção, menos de 30 dias"</t>
    </r>
  </si>
  <si>
    <r>
      <rPr>
        <b/>
        <sz val="11"/>
        <color theme="1"/>
        <rFont val="Calibri"/>
        <family val="2"/>
        <scheme val="minor"/>
      </rPr>
      <t>Qtde dias para próximo exame:</t>
    </r>
    <r>
      <rPr>
        <sz val="11"/>
        <color theme="1"/>
        <rFont val="Calibri"/>
        <family val="2"/>
        <scheme val="minor"/>
      </rPr>
      <t xml:space="preserve">  Aqui vai mostrar a quantidade de dias para o próximo exame, caso for menor que 30 o sistema irá "ALERTAR", a cor do preenchimento</t>
    </r>
  </si>
  <si>
    <r>
      <t xml:space="preserve">da célula ficará na cor </t>
    </r>
    <r>
      <rPr>
        <b/>
        <sz val="11"/>
        <color theme="1"/>
        <rFont val="Calibri"/>
        <family val="2"/>
        <scheme val="minor"/>
      </rPr>
      <t>vermelha</t>
    </r>
    <r>
      <rPr>
        <sz val="11"/>
        <color theme="1"/>
        <rFont val="Calibri"/>
        <family val="2"/>
        <scheme val="minor"/>
      </rPr>
      <t xml:space="preserve"> e a cor da fonte </t>
    </r>
    <r>
      <rPr>
        <b/>
        <sz val="11"/>
        <color theme="1"/>
        <rFont val="Calibri"/>
        <family val="2"/>
        <scheme val="minor"/>
      </rPr>
      <t>amarela</t>
    </r>
  </si>
  <si>
    <t>* Digitar somente nos 7 campos abaixo *</t>
  </si>
  <si>
    <r>
      <rPr>
        <b/>
        <sz val="11"/>
        <color theme="1"/>
        <rFont val="Calibri"/>
        <family val="2"/>
        <scheme val="minor"/>
      </rPr>
      <t>Data do último exame</t>
    </r>
    <r>
      <rPr>
        <sz val="11"/>
        <color theme="1"/>
        <rFont val="Calibri"/>
        <family val="2"/>
        <scheme val="minor"/>
      </rPr>
      <t xml:space="preserve">:  Informar a data do último exame médico, </t>
    </r>
    <r>
      <rPr>
        <b/>
        <u/>
        <sz val="11"/>
        <color theme="1"/>
        <rFont val="Calibri"/>
        <family val="2"/>
        <scheme val="minor"/>
      </rPr>
      <t>caso ainda não tenha feito nenhum períódico, informar a data de admissão neste campo</t>
    </r>
  </si>
  <si>
    <r>
      <rPr>
        <b/>
        <sz val="12"/>
        <color theme="0"/>
        <rFont val="Calibri"/>
        <family val="2"/>
        <scheme val="minor"/>
      </rPr>
      <t>*</t>
    </r>
    <r>
      <rPr>
        <b/>
        <sz val="11"/>
        <color theme="0"/>
        <rFont val="Calibri"/>
        <family val="2"/>
        <scheme val="minor"/>
      </rPr>
      <t xml:space="preserve"> PLANILHA PARA CONTROLE EXAMES MÉDICOS PERIÓDICOS </t>
    </r>
    <r>
      <rPr>
        <b/>
        <sz val="12"/>
        <color theme="0"/>
        <rFont val="Calibri"/>
        <family val="2"/>
        <scheme val="minor"/>
      </rPr>
      <t>*</t>
    </r>
    <r>
      <rPr>
        <b/>
        <sz val="11"/>
        <color theme="0"/>
        <rFont val="Calibri"/>
        <family val="2"/>
        <scheme val="minor"/>
      </rPr>
      <t xml:space="preserve">  </t>
    </r>
  </si>
  <si>
    <t>1 ano</t>
  </si>
  <si>
    <t>2 anos</t>
  </si>
  <si>
    <t>6 meses</t>
  </si>
  <si>
    <t>Selecionar a</t>
  </si>
  <si>
    <t xml:space="preserve"> periodicidade</t>
  </si>
  <si>
    <r>
      <rPr>
        <b/>
        <sz val="11"/>
        <color theme="1"/>
        <rFont val="Calibri"/>
        <family val="2"/>
        <scheme val="minor"/>
      </rPr>
      <t xml:space="preserve">Selecionar a periodicidade </t>
    </r>
    <r>
      <rPr>
        <sz val="11"/>
        <color theme="1"/>
        <rFont val="Calibri"/>
        <family val="2"/>
        <scheme val="minor"/>
      </rPr>
      <t>: Neste campo selecionar o prazo para realização do exame periódico de cada funcionário, 06 meses, 1 ano ou 2 anos.</t>
    </r>
  </si>
  <si>
    <r>
      <t xml:space="preserve">Data do próximo exame:  </t>
    </r>
    <r>
      <rPr>
        <sz val="11"/>
        <color theme="1"/>
        <rFont val="Calibri"/>
        <family val="2"/>
        <scheme val="minor"/>
      </rPr>
      <t>Este campo será preenchido automaticamente, após informar a "Data do último exame" e "Selecionar a periodicidade"</t>
    </r>
  </si>
  <si>
    <r>
      <rPr>
        <b/>
        <sz val="11"/>
        <color rgb="FFFF0000"/>
        <rFont val="Calibri"/>
        <family val="2"/>
        <scheme val="minor"/>
      </rPr>
      <t>Obs</t>
    </r>
    <r>
      <rPr>
        <sz val="11"/>
        <color theme="1"/>
        <rFont val="Calibri"/>
        <family val="2"/>
        <scheme val="minor"/>
      </rPr>
      <t>: Este campo esta diretamente ligado ao anterior "</t>
    </r>
    <r>
      <rPr>
        <b/>
        <u/>
        <sz val="11"/>
        <color theme="1"/>
        <rFont val="Calibri"/>
        <family val="2"/>
        <scheme val="minor"/>
      </rPr>
      <t>Mensagem sobre a situação do exame</t>
    </r>
    <r>
      <rPr>
        <sz val="11"/>
        <color theme="1"/>
        <rFont val="Calibri"/>
        <family val="2"/>
        <scheme val="minor"/>
      </rPr>
      <t>".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</si>
</sst>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rgb="FFFFFF00"/>
      <name val="Verdana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rgb="FF2F2F2F"/>
      <name val="Calibri"/>
      <family val="2"/>
    </font>
    <font>
      <b/>
      <sz val="7.5"/>
      <color rgb="FFFFFF00"/>
      <name val="Arial"/>
      <family val="2"/>
    </font>
    <font>
      <sz val="11"/>
      <color rgb="FFFFFF00"/>
      <name val="Calibri"/>
      <family val="2"/>
      <scheme val="minor"/>
    </font>
    <font>
      <b/>
      <sz val="8"/>
      <color rgb="FFFFFF00"/>
      <name val="Verdana"/>
      <family val="2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3.5"/>
      <color rgb="FFFFFF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59999389629810485"/>
        <bgColor auto="1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7" borderId="0" xfId="0" applyFill="1" applyProtection="1">
      <protection hidden="1"/>
    </xf>
    <xf numFmtId="0" fontId="0" fillId="7" borderId="0" xfId="0" applyFill="1" applyAlignment="1" applyProtection="1">
      <alignment vertical="center"/>
      <protection hidden="1"/>
    </xf>
    <xf numFmtId="0" fontId="0" fillId="2" borderId="0" xfId="0" applyFill="1" applyProtection="1">
      <protection hidden="1"/>
    </xf>
    <xf numFmtId="0" fontId="0" fillId="0" borderId="0" xfId="0" applyProtection="1">
      <protection hidden="1"/>
    </xf>
    <xf numFmtId="0" fontId="12" fillId="5" borderId="10" xfId="0" applyFont="1" applyFill="1" applyBorder="1" applyAlignment="1" applyProtection="1">
      <alignment horizontal="center" vertical="center"/>
      <protection hidden="1"/>
    </xf>
    <xf numFmtId="14" fontId="1" fillId="2" borderId="11" xfId="0" applyNumberFormat="1" applyFont="1" applyFill="1" applyBorder="1" applyAlignment="1" applyProtection="1">
      <alignment horizontal="center" vertical="center"/>
      <protection hidden="1"/>
    </xf>
    <xf numFmtId="14" fontId="0" fillId="2" borderId="0" xfId="0" applyNumberFormat="1" applyFill="1" applyProtection="1"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2" fontId="0" fillId="2" borderId="0" xfId="0" applyNumberFormat="1" applyFill="1" applyProtection="1">
      <protection hidden="1"/>
    </xf>
    <xf numFmtId="0" fontId="0" fillId="10" borderId="2" xfId="0" applyFill="1" applyBorder="1" applyAlignment="1" applyProtection="1">
      <alignment vertical="center"/>
      <protection locked="0"/>
    </xf>
    <xf numFmtId="14" fontId="0" fillId="10" borderId="2" xfId="0" applyNumberFormat="1" applyFont="1" applyFill="1" applyBorder="1" applyAlignment="1" applyProtection="1">
      <alignment horizontal="center" vertical="center"/>
      <protection locked="0"/>
    </xf>
    <xf numFmtId="14" fontId="0" fillId="10" borderId="2" xfId="0" applyNumberFormat="1" applyFill="1" applyBorder="1" applyAlignment="1" applyProtection="1">
      <alignment horizontal="center" vertical="center"/>
      <protection locked="0"/>
    </xf>
    <xf numFmtId="1" fontId="1" fillId="10" borderId="2" xfId="0" applyNumberFormat="1" applyFont="1" applyFill="1" applyBorder="1" applyAlignment="1" applyProtection="1">
      <alignment horizontal="center" vertical="center"/>
      <protection hidden="1"/>
    </xf>
    <xf numFmtId="0" fontId="0" fillId="10" borderId="2" xfId="0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 applyProtection="1">
      <alignment vertical="center"/>
      <protection locked="0"/>
    </xf>
    <xf numFmtId="14" fontId="9" fillId="10" borderId="1" xfId="0" applyNumberFormat="1" applyFont="1" applyFill="1" applyBorder="1" applyAlignment="1" applyProtection="1">
      <alignment horizontal="center"/>
      <protection locked="0"/>
    </xf>
    <xf numFmtId="14" fontId="0" fillId="10" borderId="1" xfId="0" applyNumberFormat="1" applyFill="1" applyBorder="1" applyAlignment="1" applyProtection="1">
      <alignment horizontal="center" vertical="center"/>
      <protection locked="0"/>
    </xf>
    <xf numFmtId="0" fontId="0" fillId="10" borderId="1" xfId="0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vertical="center"/>
      <protection locked="0"/>
    </xf>
    <xf numFmtId="14" fontId="0" fillId="4" borderId="1" xfId="0" applyNumberFormat="1" applyFont="1" applyFill="1" applyBorder="1" applyAlignment="1" applyProtection="1">
      <alignment horizontal="center"/>
      <protection locked="0"/>
    </xf>
    <xf numFmtId="14" fontId="0" fillId="4" borderId="1" xfId="0" applyNumberFormat="1" applyFill="1" applyBorder="1" applyAlignment="1" applyProtection="1">
      <alignment horizontal="center" vertical="center"/>
      <protection locked="0"/>
    </xf>
    <xf numFmtId="1" fontId="1" fillId="4" borderId="2" xfId="0" applyNumberFormat="1" applyFont="1" applyFill="1" applyBorder="1" applyAlignment="1" applyProtection="1">
      <alignment horizontal="center" vertical="center"/>
      <protection hidden="1"/>
    </xf>
    <xf numFmtId="0" fontId="6" fillId="9" borderId="7" xfId="0" applyFont="1" applyFill="1" applyBorder="1" applyAlignment="1" applyProtection="1">
      <alignment horizontal="center" vertical="center"/>
      <protection hidden="1"/>
    </xf>
    <xf numFmtId="0" fontId="6" fillId="9" borderId="23" xfId="0" applyFont="1" applyFill="1" applyBorder="1" applyAlignment="1" applyProtection="1">
      <alignment horizontal="center" vertical="center"/>
      <protection hidden="1"/>
    </xf>
    <xf numFmtId="0" fontId="13" fillId="9" borderId="23" xfId="0" applyFont="1" applyFill="1" applyBorder="1" applyAlignment="1" applyProtection="1">
      <alignment horizontal="center" vertical="center"/>
      <protection hidden="1"/>
    </xf>
    <xf numFmtId="0" fontId="11" fillId="9" borderId="8" xfId="0" applyFont="1" applyFill="1" applyBorder="1" applyAlignment="1" applyProtection="1">
      <alignment horizontal="center" vertical="center"/>
      <protection hidden="1"/>
    </xf>
    <xf numFmtId="0" fontId="3" fillId="9" borderId="8" xfId="0" applyFont="1" applyFill="1" applyBorder="1" applyAlignment="1" applyProtection="1">
      <alignment horizontal="center" vertical="center"/>
      <protection hidden="1"/>
    </xf>
    <xf numFmtId="0" fontId="6" fillId="9" borderId="9" xfId="0" applyFont="1" applyFill="1" applyBorder="1" applyAlignment="1" applyProtection="1">
      <alignment horizontal="center" vertical="center"/>
      <protection hidden="1"/>
    </xf>
    <xf numFmtId="0" fontId="6" fillId="9" borderId="24" xfId="0" applyFont="1" applyFill="1" applyBorder="1" applyAlignment="1" applyProtection="1">
      <alignment horizontal="center" vertical="center"/>
      <protection hidden="1"/>
    </xf>
    <xf numFmtId="0" fontId="13" fillId="9" borderId="24" xfId="0" applyFont="1" applyFill="1" applyBorder="1" applyAlignment="1" applyProtection="1">
      <alignment horizontal="center" vertical="center"/>
      <protection hidden="1"/>
    </xf>
    <xf numFmtId="0" fontId="11" fillId="9" borderId="6" xfId="0" applyFont="1" applyFill="1" applyBorder="1" applyAlignment="1" applyProtection="1">
      <alignment horizontal="center" vertical="center"/>
      <protection hidden="1"/>
    </xf>
    <xf numFmtId="0" fontId="3" fillId="9" borderId="6" xfId="0" applyFont="1" applyFill="1" applyBorder="1" applyAlignment="1" applyProtection="1">
      <alignment horizontal="center" vertical="center"/>
      <protection hidden="1"/>
    </xf>
    <xf numFmtId="14" fontId="9" fillId="4" borderId="1" xfId="0" applyNumberFormat="1" applyFont="1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14" fontId="7" fillId="4" borderId="1" xfId="0" applyNumberFormat="1" applyFont="1" applyFill="1" applyBorder="1" applyAlignment="1" applyProtection="1">
      <alignment horizontal="center"/>
      <protection locked="0"/>
    </xf>
    <xf numFmtId="14" fontId="1" fillId="10" borderId="2" xfId="0" applyNumberFormat="1" applyFont="1" applyFill="1" applyBorder="1" applyAlignment="1" applyProtection="1">
      <alignment horizontal="center" vertical="center"/>
      <protection hidden="1"/>
    </xf>
    <xf numFmtId="14" fontId="1" fillId="4" borderId="2" xfId="0" applyNumberFormat="1" applyFont="1" applyFill="1" applyBorder="1" applyAlignment="1" applyProtection="1">
      <alignment horizontal="center" vertical="center"/>
      <protection hidden="1"/>
    </xf>
    <xf numFmtId="0" fontId="1" fillId="10" borderId="2" xfId="0" applyFont="1" applyFill="1" applyBorder="1" applyAlignment="1" applyProtection="1">
      <alignment horizontal="center" vertical="center"/>
      <protection hidden="1"/>
    </xf>
    <xf numFmtId="0" fontId="1" fillId="4" borderId="2" xfId="0" applyFont="1" applyFill="1" applyBorder="1" applyAlignment="1" applyProtection="1">
      <alignment horizontal="center" vertical="center"/>
      <protection hidden="1"/>
    </xf>
    <xf numFmtId="1" fontId="0" fillId="2" borderId="0" xfId="0" applyNumberFormat="1" applyFill="1" applyProtection="1">
      <protection hidden="1"/>
    </xf>
    <xf numFmtId="1" fontId="1" fillId="2" borderId="0" xfId="0" applyNumberFormat="1" applyFont="1" applyFill="1" applyProtection="1">
      <protection hidden="1"/>
    </xf>
    <xf numFmtId="0" fontId="0" fillId="11" borderId="1" xfId="0" applyFill="1" applyBorder="1" applyAlignment="1" applyProtection="1">
      <alignment vertical="center"/>
      <protection locked="0"/>
    </xf>
    <xf numFmtId="14" fontId="7" fillId="11" borderId="1" xfId="0" applyNumberFormat="1" applyFont="1" applyFill="1" applyBorder="1" applyAlignment="1" applyProtection="1">
      <alignment horizontal="center"/>
      <protection locked="0"/>
    </xf>
    <xf numFmtId="0" fontId="0" fillId="11" borderId="1" xfId="0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hidden="1"/>
    </xf>
    <xf numFmtId="0" fontId="1" fillId="2" borderId="11" xfId="0" applyFont="1" applyFill="1" applyBorder="1" applyAlignment="1" applyProtection="1">
      <alignment horizontal="center" vertical="center"/>
      <protection hidden="1"/>
    </xf>
    <xf numFmtId="0" fontId="0" fillId="3" borderId="18" xfId="0" applyFill="1" applyBorder="1" applyAlignment="1" applyProtection="1">
      <alignment horizontal="left" vertical="center"/>
      <protection hidden="1"/>
    </xf>
    <xf numFmtId="0" fontId="0" fillId="3" borderId="19" xfId="0" applyFill="1" applyBorder="1" applyAlignment="1" applyProtection="1">
      <alignment horizontal="left" vertical="center"/>
      <protection hidden="1"/>
    </xf>
    <xf numFmtId="0" fontId="0" fillId="3" borderId="20" xfId="0" applyFill="1" applyBorder="1" applyAlignment="1" applyProtection="1">
      <alignment horizontal="left" vertical="center"/>
      <protection hidden="1"/>
    </xf>
    <xf numFmtId="0" fontId="0" fillId="3" borderId="21" xfId="0" applyFill="1" applyBorder="1" applyAlignment="1" applyProtection="1">
      <alignment horizontal="left" vertical="center"/>
      <protection hidden="1"/>
    </xf>
    <xf numFmtId="0" fontId="0" fillId="3" borderId="0" xfId="0" applyFill="1" applyBorder="1" applyAlignment="1" applyProtection="1">
      <alignment horizontal="left" vertical="center"/>
      <protection hidden="1"/>
    </xf>
    <xf numFmtId="0" fontId="0" fillId="3" borderId="22" xfId="0" applyFill="1" applyBorder="1" applyAlignment="1" applyProtection="1">
      <alignment horizontal="left" vertical="center"/>
      <protection hidden="1"/>
    </xf>
    <xf numFmtId="0" fontId="1" fillId="3" borderId="21" xfId="0" applyFont="1" applyFill="1" applyBorder="1" applyAlignment="1" applyProtection="1">
      <alignment horizontal="left" vertical="center"/>
      <protection hidden="1"/>
    </xf>
    <xf numFmtId="0" fontId="1" fillId="3" borderId="0" xfId="0" applyFont="1" applyFill="1" applyBorder="1" applyAlignment="1" applyProtection="1">
      <alignment horizontal="left" vertical="center"/>
      <protection hidden="1"/>
    </xf>
    <xf numFmtId="0" fontId="1" fillId="3" borderId="22" xfId="0" applyFont="1" applyFill="1" applyBorder="1" applyAlignment="1" applyProtection="1">
      <alignment horizontal="left" vertical="center"/>
      <protection hidden="1"/>
    </xf>
    <xf numFmtId="0" fontId="0" fillId="3" borderId="15" xfId="0" applyFill="1" applyBorder="1" applyAlignment="1" applyProtection="1">
      <alignment horizontal="left" vertical="center"/>
      <protection hidden="1"/>
    </xf>
    <xf numFmtId="0" fontId="0" fillId="3" borderId="16" xfId="0" applyFill="1" applyBorder="1" applyAlignment="1" applyProtection="1">
      <alignment horizontal="left" vertical="center"/>
      <protection hidden="1"/>
    </xf>
    <xf numFmtId="0" fontId="0" fillId="3" borderId="17" xfId="0" applyFill="1" applyBorder="1" applyAlignment="1" applyProtection="1">
      <alignment horizontal="left" vertical="center"/>
      <protection hidden="1"/>
    </xf>
    <xf numFmtId="0" fontId="6" fillId="9" borderId="8" xfId="0" applyFont="1" applyFill="1" applyBorder="1" applyAlignment="1" applyProtection="1">
      <alignment horizontal="center" vertical="center"/>
      <protection hidden="1"/>
    </xf>
    <xf numFmtId="0" fontId="6" fillId="9" borderId="6" xfId="0" applyFont="1" applyFill="1" applyBorder="1" applyAlignment="1" applyProtection="1">
      <alignment horizontal="center" vertical="center"/>
      <protection hidden="1"/>
    </xf>
    <xf numFmtId="14" fontId="10" fillId="4" borderId="2" xfId="0" applyNumberFormat="1" applyFont="1" applyFill="1" applyBorder="1" applyAlignment="1" applyProtection="1">
      <alignment horizontal="center" vertical="center"/>
      <protection locked="0"/>
    </xf>
    <xf numFmtId="14" fontId="10" fillId="10" borderId="2" xfId="0" applyNumberFormat="1" applyFont="1" applyFill="1" applyBorder="1" applyAlignment="1" applyProtection="1">
      <alignment horizontal="center" vertical="center"/>
      <protection locked="0"/>
    </xf>
    <xf numFmtId="14" fontId="10" fillId="11" borderId="2" xfId="0" applyNumberFormat="1" applyFont="1" applyFill="1" applyBorder="1" applyAlignment="1" applyProtection="1">
      <alignment horizontal="center" vertical="center"/>
      <protection locked="0"/>
    </xf>
    <xf numFmtId="14" fontId="0" fillId="4" borderId="2" xfId="0" applyNumberFormat="1" applyFont="1" applyFill="1" applyBorder="1" applyAlignment="1" applyProtection="1">
      <alignment horizontal="center" vertical="center"/>
      <protection locked="0"/>
    </xf>
    <xf numFmtId="14" fontId="0" fillId="11" borderId="2" xfId="0" applyNumberFormat="1" applyFont="1" applyFill="1" applyBorder="1" applyAlignment="1" applyProtection="1">
      <alignment horizontal="center" vertical="center"/>
      <protection locked="0"/>
    </xf>
    <xf numFmtId="164" fontId="8" fillId="10" borderId="2" xfId="0" applyNumberFormat="1" applyFont="1" applyFill="1" applyBorder="1" applyAlignment="1" applyProtection="1">
      <alignment horizontal="center" vertical="center"/>
      <protection locked="0"/>
    </xf>
    <xf numFmtId="164" fontId="8" fillId="4" borderId="1" xfId="0" applyNumberFormat="1" applyFont="1" applyFill="1" applyBorder="1" applyAlignment="1" applyProtection="1">
      <alignment horizontal="center" vertical="center"/>
      <protection locked="0"/>
    </xf>
    <xf numFmtId="164" fontId="8" fillId="11" borderId="1" xfId="0" applyNumberFormat="1" applyFont="1" applyFill="1" applyBorder="1" applyAlignment="1" applyProtection="1">
      <alignment horizontal="center" vertical="center"/>
      <protection locked="0"/>
    </xf>
    <xf numFmtId="0" fontId="1" fillId="3" borderId="12" xfId="0" applyFont="1" applyFill="1" applyBorder="1" applyAlignment="1" applyProtection="1">
      <alignment horizontal="left" vertical="center"/>
      <protection hidden="1"/>
    </xf>
    <xf numFmtId="0" fontId="1" fillId="3" borderId="13" xfId="0" applyFont="1" applyFill="1" applyBorder="1" applyAlignment="1" applyProtection="1">
      <alignment horizontal="left" vertical="center"/>
      <protection hidden="1"/>
    </xf>
    <xf numFmtId="0" fontId="1" fillId="3" borderId="14" xfId="0" applyFont="1" applyFill="1" applyBorder="1" applyAlignment="1" applyProtection="1">
      <alignment horizontal="left" vertical="center"/>
      <protection hidden="1"/>
    </xf>
    <xf numFmtId="0" fontId="1" fillId="3" borderId="15" xfId="0" applyFont="1" applyFill="1" applyBorder="1" applyAlignment="1" applyProtection="1">
      <alignment horizontal="left" vertical="center"/>
      <protection hidden="1"/>
    </xf>
    <xf numFmtId="0" fontId="1" fillId="3" borderId="16" xfId="0" applyFont="1" applyFill="1" applyBorder="1" applyAlignment="1" applyProtection="1">
      <alignment horizontal="left" vertical="center"/>
      <protection hidden="1"/>
    </xf>
    <xf numFmtId="0" fontId="1" fillId="3" borderId="17" xfId="0" applyFont="1" applyFill="1" applyBorder="1" applyAlignment="1" applyProtection="1">
      <alignment horizontal="left" vertical="center"/>
      <protection hidden="1"/>
    </xf>
    <xf numFmtId="0" fontId="1" fillId="2" borderId="28" xfId="0" applyFont="1" applyFill="1" applyBorder="1" applyAlignment="1" applyProtection="1">
      <alignment horizontal="center" vertical="center"/>
      <protection hidden="1"/>
    </xf>
    <xf numFmtId="0" fontId="0" fillId="2" borderId="28" xfId="0" applyFill="1" applyBorder="1" applyProtection="1">
      <protection hidden="1"/>
    </xf>
    <xf numFmtId="1" fontId="1" fillId="11" borderId="2" xfId="0" applyNumberFormat="1" applyFont="1" applyFill="1" applyBorder="1" applyAlignment="1" applyProtection="1">
      <alignment horizontal="center" vertical="center"/>
      <protection locked="0"/>
    </xf>
    <xf numFmtId="1" fontId="1" fillId="4" borderId="2" xfId="0" applyNumberFormat="1" applyFont="1" applyFill="1" applyBorder="1" applyAlignment="1" applyProtection="1">
      <alignment horizontal="center" vertical="center"/>
      <protection locked="0"/>
    </xf>
    <xf numFmtId="0" fontId="0" fillId="4" borderId="0" xfId="0" applyFill="1" applyProtection="1">
      <protection hidden="1"/>
    </xf>
    <xf numFmtId="0" fontId="1" fillId="13" borderId="12" xfId="0" applyFont="1" applyFill="1" applyBorder="1" applyAlignment="1" applyProtection="1">
      <alignment horizontal="left" vertical="center"/>
      <protection hidden="1"/>
    </xf>
    <xf numFmtId="0" fontId="1" fillId="13" borderId="13" xfId="0" applyFont="1" applyFill="1" applyBorder="1" applyAlignment="1" applyProtection="1">
      <alignment horizontal="left" vertical="center"/>
      <protection hidden="1"/>
    </xf>
    <xf numFmtId="0" fontId="1" fillId="13" borderId="14" xfId="0" applyFont="1" applyFill="1" applyBorder="1" applyAlignment="1" applyProtection="1">
      <alignment horizontal="left" vertical="center"/>
      <protection hidden="1"/>
    </xf>
    <xf numFmtId="0" fontId="20" fillId="12" borderId="3" xfId="0" applyFont="1" applyFill="1" applyBorder="1" applyAlignment="1" applyProtection="1">
      <alignment horizontal="center" vertical="center"/>
      <protection hidden="1"/>
    </xf>
    <xf numFmtId="0" fontId="20" fillId="12" borderId="4" xfId="0" applyFont="1" applyFill="1" applyBorder="1" applyAlignment="1" applyProtection="1">
      <alignment horizontal="center" vertical="center"/>
      <protection hidden="1"/>
    </xf>
    <xf numFmtId="0" fontId="20" fillId="12" borderId="5" xfId="0" applyFont="1" applyFill="1" applyBorder="1" applyAlignment="1" applyProtection="1">
      <alignment horizontal="center" vertical="center"/>
      <protection hidden="1"/>
    </xf>
    <xf numFmtId="0" fontId="0" fillId="11" borderId="30" xfId="0" applyFill="1" applyBorder="1" applyAlignment="1" applyProtection="1">
      <alignment horizontal="left" vertical="center"/>
      <protection hidden="1"/>
    </xf>
    <xf numFmtId="0" fontId="0" fillId="11" borderId="13" xfId="0" applyFill="1" applyBorder="1" applyAlignment="1" applyProtection="1">
      <alignment horizontal="left" vertical="center"/>
      <protection hidden="1"/>
    </xf>
    <xf numFmtId="0" fontId="0" fillId="11" borderId="31" xfId="0" applyFill="1" applyBorder="1" applyAlignment="1" applyProtection="1">
      <alignment horizontal="left" vertical="center"/>
      <protection hidden="1"/>
    </xf>
    <xf numFmtId="0" fontId="0" fillId="11" borderId="26" xfId="0" applyFill="1" applyBorder="1" applyAlignment="1" applyProtection="1">
      <alignment horizontal="left" vertical="center"/>
      <protection hidden="1"/>
    </xf>
    <xf numFmtId="0" fontId="0" fillId="11" borderId="32" xfId="0" applyFill="1" applyBorder="1" applyAlignment="1" applyProtection="1">
      <alignment horizontal="left" vertical="center"/>
      <protection hidden="1"/>
    </xf>
    <xf numFmtId="0" fontId="0" fillId="11" borderId="33" xfId="0" applyFill="1" applyBorder="1" applyAlignment="1" applyProtection="1">
      <alignment horizontal="left" vertical="center"/>
      <protection hidden="1"/>
    </xf>
    <xf numFmtId="0" fontId="3" fillId="8" borderId="25" xfId="0" applyFont="1" applyFill="1" applyBorder="1" applyAlignment="1" applyProtection="1">
      <alignment horizontal="center" vertical="center"/>
      <protection hidden="1"/>
    </xf>
    <xf numFmtId="0" fontId="3" fillId="8" borderId="27" xfId="0" applyFont="1" applyFill="1" applyBorder="1" applyAlignment="1" applyProtection="1">
      <alignment horizontal="center" vertical="center"/>
      <protection hidden="1"/>
    </xf>
    <xf numFmtId="0" fontId="3" fillId="8" borderId="29" xfId="0" applyFont="1" applyFill="1" applyBorder="1" applyAlignment="1" applyProtection="1">
      <alignment horizontal="center" vertical="center"/>
      <protection hidden="1"/>
    </xf>
    <xf numFmtId="0" fontId="19" fillId="6" borderId="3" xfId="0" applyFont="1" applyFill="1" applyBorder="1" applyAlignment="1" applyProtection="1">
      <alignment horizontal="center" vertical="center"/>
      <protection hidden="1"/>
    </xf>
    <xf numFmtId="0" fontId="19" fillId="6" borderId="4" xfId="0" applyFont="1" applyFill="1" applyBorder="1" applyAlignment="1" applyProtection="1">
      <alignment horizontal="center" vertical="center"/>
      <protection hidden="1"/>
    </xf>
    <xf numFmtId="0" fontId="19" fillId="6" borderId="5" xfId="0" applyFont="1" applyFill="1" applyBorder="1" applyAlignment="1" applyProtection="1">
      <alignment horizontal="center" vertical="center"/>
      <protection hidden="1"/>
    </xf>
    <xf numFmtId="0" fontId="1" fillId="11" borderId="25" xfId="0" applyFont="1" applyFill="1" applyBorder="1" applyAlignment="1" applyProtection="1">
      <alignment horizontal="left" vertical="center"/>
      <protection hidden="1"/>
    </xf>
    <xf numFmtId="0" fontId="1" fillId="11" borderId="27" xfId="0" applyFont="1" applyFill="1" applyBorder="1" applyAlignment="1" applyProtection="1">
      <alignment horizontal="left" vertical="center"/>
      <protection hidden="1"/>
    </xf>
    <xf numFmtId="0" fontId="1" fillId="11" borderId="29" xfId="0" applyFont="1" applyFill="1" applyBorder="1" applyAlignment="1" applyProtection="1">
      <alignment horizontal="left" vertical="center"/>
      <protection hidden="1"/>
    </xf>
    <xf numFmtId="0" fontId="1" fillId="11" borderId="30" xfId="0" applyFont="1" applyFill="1" applyBorder="1" applyAlignment="1" applyProtection="1">
      <alignment horizontal="left" vertical="center"/>
      <protection hidden="1"/>
    </xf>
    <xf numFmtId="0" fontId="1" fillId="11" borderId="13" xfId="0" applyFont="1" applyFill="1" applyBorder="1" applyAlignment="1" applyProtection="1">
      <alignment horizontal="left" vertical="center"/>
      <protection hidden="1"/>
    </xf>
    <xf numFmtId="0" fontId="1" fillId="11" borderId="31" xfId="0" applyFont="1" applyFill="1" applyBorder="1" applyAlignment="1" applyProtection="1">
      <alignment horizontal="left" vertical="center"/>
      <protection hidden="1"/>
    </xf>
    <xf numFmtId="0" fontId="2" fillId="12" borderId="3" xfId="0" applyFont="1" applyFill="1" applyBorder="1" applyAlignment="1" applyProtection="1">
      <alignment horizontal="center" vertical="center"/>
      <protection hidden="1"/>
    </xf>
    <xf numFmtId="0" fontId="2" fillId="12" borderId="4" xfId="0" applyFont="1" applyFill="1" applyBorder="1" applyAlignment="1" applyProtection="1">
      <alignment horizontal="center" vertical="center"/>
      <protection hidden="1"/>
    </xf>
    <xf numFmtId="0" fontId="2" fillId="12" borderId="5" xfId="0" applyFont="1" applyFill="1" applyBorder="1" applyAlignment="1" applyProtection="1">
      <alignment horizontal="center" vertical="center"/>
      <protection hidden="1"/>
    </xf>
    <xf numFmtId="0" fontId="6" fillId="9" borderId="10" xfId="0" applyFont="1" applyFill="1" applyBorder="1" applyAlignment="1" applyProtection="1">
      <alignment horizontal="center" vertical="center"/>
      <protection hidden="1"/>
    </xf>
    <xf numFmtId="0" fontId="6" fillId="9" borderId="11" xfId="0" applyFont="1" applyFill="1" applyBorder="1" applyAlignment="1" applyProtection="1">
      <alignment horizontal="center" vertical="center"/>
      <protection hidden="1"/>
    </xf>
    <xf numFmtId="0" fontId="6" fillId="9" borderId="25" xfId="0" applyFont="1" applyFill="1" applyBorder="1" applyAlignment="1" applyProtection="1">
      <alignment horizontal="left" vertical="center"/>
      <protection hidden="1"/>
    </xf>
    <xf numFmtId="0" fontId="6" fillId="9" borderId="26" xfId="0" applyFont="1" applyFill="1" applyBorder="1" applyAlignment="1" applyProtection="1">
      <alignment horizontal="left" vertical="center"/>
      <protection hidden="1"/>
    </xf>
    <xf numFmtId="0" fontId="6" fillId="9" borderId="8" xfId="0" applyFont="1" applyFill="1" applyBorder="1" applyAlignment="1" applyProtection="1">
      <alignment horizontal="center" vertical="center"/>
      <protection hidden="1"/>
    </xf>
    <xf numFmtId="0" fontId="6" fillId="9" borderId="6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14"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/>
        <color rgb="FFFFFF00"/>
      </font>
      <fill>
        <patternFill>
          <bgColor theme="8" tint="-0.499984740745262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 val="0"/>
        <color theme="8" tint="-0.499984740745262"/>
      </font>
    </dxf>
    <dxf>
      <font>
        <b/>
        <i val="0"/>
        <color rgb="FFFF0000"/>
      </font>
    </dxf>
    <dxf>
      <font>
        <b/>
        <i/>
        <color rgb="FFFFFF00"/>
      </font>
      <fill>
        <patternFill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  <vertical/>
        <horizontal/>
      </border>
    </dxf>
    <dxf>
      <font>
        <b/>
        <i/>
        <color theme="8" tint="-0.499984740745262"/>
      </font>
    </dxf>
    <dxf>
      <font>
        <b/>
        <i/>
        <color rgb="FFEBE600"/>
      </font>
    </dxf>
    <dxf>
      <font>
        <b/>
        <i/>
      </font>
      <fill>
        <gradientFill degree="90">
          <stop position="0">
            <color rgb="FFFF0000"/>
          </stop>
          <stop position="1">
            <color rgb="FFFFFF00"/>
          </stop>
        </gradient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fill>
        <gradientFill degree="90">
          <stop position="0">
            <color rgb="FFFF0000"/>
          </stop>
          <stop position="1">
            <color rgb="FFFF0000"/>
          </stop>
        </gradientFill>
      </fill>
    </dxf>
    <dxf>
      <font>
        <color theme="3" tint="-0.499984740745262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/>
        <color theme="8" tint="-0.499984740745262"/>
      </font>
    </dxf>
  </dxfs>
  <tableStyles count="0" defaultTableStyle="TableStyleMedium2" defaultPivotStyle="PivotStyleLight16"/>
  <colors>
    <mruColors>
      <color rgb="FFEBE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Controle Vencimento Peri&#243;dico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Orienta&#231;&#245;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76199</xdr:colOff>
      <xdr:row>0</xdr:row>
      <xdr:rowOff>47623</xdr:rowOff>
    </xdr:from>
    <xdr:to>
      <xdr:col>18</xdr:col>
      <xdr:colOff>200025</xdr:colOff>
      <xdr:row>6</xdr:row>
      <xdr:rowOff>19050</xdr:rowOff>
    </xdr:to>
    <xdr:sp macro="" textlink="">
      <xdr:nvSpPr>
        <xdr:cNvPr id="5" name="Bisel 4">
          <a:hlinkClick xmlns:r="http://schemas.openxmlformats.org/officeDocument/2006/relationships" r:id="rId1"/>
        </xdr:cNvPr>
        <xdr:cNvSpPr/>
      </xdr:nvSpPr>
      <xdr:spPr>
        <a:xfrm>
          <a:off x="10229849" y="47623"/>
          <a:ext cx="1343026" cy="914402"/>
        </a:xfrm>
        <a:prstGeom prst="bevel">
          <a:avLst/>
        </a:prstGeom>
        <a:solidFill>
          <a:schemeClr val="accent5">
            <a:lumMod val="50000"/>
          </a:schemeClr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FFFF00"/>
              </a:solidFill>
            </a:rPr>
            <a:t>Ir para Controle</a:t>
          </a:r>
          <a:r>
            <a:rPr lang="pt-BR" sz="1100" b="1" baseline="0">
              <a:solidFill>
                <a:srgbClr val="FFFF00"/>
              </a:solidFill>
            </a:rPr>
            <a:t> Vencimento Períódico</a:t>
          </a:r>
          <a:endParaRPr lang="pt-BR" sz="1100" b="1">
            <a:solidFill>
              <a:srgbClr val="FFFF00"/>
            </a:solidFill>
          </a:endParaRPr>
        </a:p>
      </xdr:txBody>
    </xdr:sp>
    <xdr:clientData/>
  </xdr:twoCellAnchor>
  <xdr:twoCellAnchor>
    <xdr:from>
      <xdr:col>5</xdr:col>
      <xdr:colOff>161925</xdr:colOff>
      <xdr:row>16</xdr:row>
      <xdr:rowOff>59236</xdr:rowOff>
    </xdr:from>
    <xdr:to>
      <xdr:col>5</xdr:col>
      <xdr:colOff>298725</xdr:colOff>
      <xdr:row>16</xdr:row>
      <xdr:rowOff>150315</xdr:rowOff>
    </xdr:to>
    <xdr:sp macro="" textlink="">
      <xdr:nvSpPr>
        <xdr:cNvPr id="6" name="Seta para a direita 5"/>
        <xdr:cNvSpPr/>
      </xdr:nvSpPr>
      <xdr:spPr>
        <a:xfrm>
          <a:off x="3228975" y="3154861"/>
          <a:ext cx="136800" cy="91079"/>
        </a:xfrm>
        <a:prstGeom prst="rightArrow">
          <a:avLst/>
        </a:prstGeom>
        <a:solidFill>
          <a:schemeClr val="accent5">
            <a:lumMod val="5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476250</xdr:colOff>
      <xdr:row>15</xdr:row>
      <xdr:rowOff>59236</xdr:rowOff>
    </xdr:from>
    <xdr:to>
      <xdr:col>3</xdr:col>
      <xdr:colOff>2592</xdr:colOff>
      <xdr:row>15</xdr:row>
      <xdr:rowOff>150315</xdr:rowOff>
    </xdr:to>
    <xdr:sp macro="" textlink="">
      <xdr:nvSpPr>
        <xdr:cNvPr id="7" name="Seta para a direita 6"/>
        <xdr:cNvSpPr/>
      </xdr:nvSpPr>
      <xdr:spPr>
        <a:xfrm>
          <a:off x="1714500" y="2964361"/>
          <a:ext cx="135942" cy="91079"/>
        </a:xfrm>
        <a:prstGeom prst="rightArrow">
          <a:avLst/>
        </a:prstGeom>
        <a:solidFill>
          <a:schemeClr val="accent5">
            <a:lumMod val="5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476250</xdr:colOff>
      <xdr:row>17</xdr:row>
      <xdr:rowOff>49711</xdr:rowOff>
    </xdr:from>
    <xdr:to>
      <xdr:col>3</xdr:col>
      <xdr:colOff>3450</xdr:colOff>
      <xdr:row>17</xdr:row>
      <xdr:rowOff>140790</xdr:rowOff>
    </xdr:to>
    <xdr:sp macro="" textlink="">
      <xdr:nvSpPr>
        <xdr:cNvPr id="8" name="Seta para a direita 7"/>
        <xdr:cNvSpPr/>
      </xdr:nvSpPr>
      <xdr:spPr>
        <a:xfrm>
          <a:off x="1714500" y="3526336"/>
          <a:ext cx="136800" cy="91079"/>
        </a:xfrm>
        <a:prstGeom prst="rightArrow">
          <a:avLst/>
        </a:prstGeom>
        <a:solidFill>
          <a:schemeClr val="accent5">
            <a:lumMod val="5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619125</xdr:colOff>
      <xdr:row>0</xdr:row>
      <xdr:rowOff>66675</xdr:rowOff>
    </xdr:from>
    <xdr:to>
      <xdr:col>13</xdr:col>
      <xdr:colOff>0</xdr:colOff>
      <xdr:row>2</xdr:row>
      <xdr:rowOff>19050</xdr:rowOff>
    </xdr:to>
    <xdr:sp macro="" textlink="">
      <xdr:nvSpPr>
        <xdr:cNvPr id="2" name="Bisel 1">
          <a:hlinkClick xmlns:r="http://schemas.openxmlformats.org/officeDocument/2006/relationships" r:id="rId1"/>
        </xdr:cNvPr>
        <xdr:cNvSpPr/>
      </xdr:nvSpPr>
      <xdr:spPr>
        <a:xfrm>
          <a:off x="9953625" y="66675"/>
          <a:ext cx="1638300" cy="257175"/>
        </a:xfrm>
        <a:prstGeom prst="bevel">
          <a:avLst/>
        </a:prstGeom>
        <a:solidFill>
          <a:schemeClr val="accent5">
            <a:lumMod val="50000"/>
          </a:schemeClr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Voltar</a:t>
          </a:r>
          <a:r>
            <a:rPr lang="pt-BR" sz="1100" b="1" baseline="0">
              <a:solidFill>
                <a:schemeClr val="bg1"/>
              </a:solidFill>
            </a:rPr>
            <a:t> para Orientações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3"/>
  <sheetViews>
    <sheetView workbookViewId="0"/>
  </sheetViews>
  <sheetFormatPr defaultRowHeight="15" x14ac:dyDescent="0.25"/>
  <cols>
    <col min="1" max="1" width="2.7109375" style="1" customWidth="1"/>
    <col min="2" max="15" width="9.140625" style="1"/>
    <col min="16" max="16" width="21.5703125" style="1" customWidth="1"/>
    <col min="17" max="16384" width="9.140625" style="1"/>
  </cols>
  <sheetData>
    <row r="1" spans="2:16" ht="8.1" customHeight="1" thickBot="1" x14ac:dyDescent="0.3"/>
    <row r="2" spans="2:16" ht="16.5" thickBot="1" x14ac:dyDescent="0.3">
      <c r="B2" s="95" t="s">
        <v>6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7"/>
    </row>
    <row r="3" spans="2:16" ht="5.0999999999999996" customHeight="1" thickBo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2:16" ht="15.95" customHeight="1" thickBot="1" x14ac:dyDescent="0.3">
      <c r="B4" s="83" t="s">
        <v>36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5"/>
    </row>
    <row r="5" spans="2:16" x14ac:dyDescent="0.25">
      <c r="B5" s="98" t="s">
        <v>9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100"/>
    </row>
    <row r="6" spans="2:16" x14ac:dyDescent="0.25">
      <c r="B6" s="101" t="s">
        <v>8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3"/>
    </row>
    <row r="7" spans="2:16" x14ac:dyDescent="0.25">
      <c r="B7" s="86" t="s">
        <v>20</v>
      </c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8"/>
    </row>
    <row r="8" spans="2:16" x14ac:dyDescent="0.25">
      <c r="B8" s="86" t="s">
        <v>21</v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8"/>
    </row>
    <row r="9" spans="2:16" x14ac:dyDescent="0.25">
      <c r="B9" s="86" t="s">
        <v>22</v>
      </c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8"/>
    </row>
    <row r="10" spans="2:16" ht="15" customHeight="1" x14ac:dyDescent="0.25">
      <c r="B10" s="86" t="s">
        <v>37</v>
      </c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8"/>
    </row>
    <row r="11" spans="2:16" ht="15" customHeight="1" thickBot="1" x14ac:dyDescent="0.3">
      <c r="B11" s="89" t="s">
        <v>44</v>
      </c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1"/>
    </row>
    <row r="12" spans="2:16" ht="15.75" thickBot="1" x14ac:dyDescent="0.3"/>
    <row r="13" spans="2:16" ht="15" customHeight="1" x14ac:dyDescent="0.25">
      <c r="B13" s="92" t="s">
        <v>24</v>
      </c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4"/>
    </row>
    <row r="14" spans="2:16" x14ac:dyDescent="0.25">
      <c r="B14" s="69" t="s">
        <v>45</v>
      </c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1"/>
    </row>
    <row r="15" spans="2:16" x14ac:dyDescent="0.25">
      <c r="B15" s="72" t="s">
        <v>32</v>
      </c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4"/>
    </row>
    <row r="16" spans="2:16" x14ac:dyDescent="0.25">
      <c r="B16" s="50" t="s">
        <v>33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2"/>
    </row>
    <row r="17" spans="2:16" x14ac:dyDescent="0.25">
      <c r="B17" s="53" t="s">
        <v>27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5"/>
    </row>
    <row r="18" spans="2:16" x14ac:dyDescent="0.25">
      <c r="B18" s="47" t="s">
        <v>26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9"/>
    </row>
    <row r="19" spans="2:16" x14ac:dyDescent="0.25">
      <c r="B19" s="56" t="s">
        <v>34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8"/>
    </row>
    <row r="20" spans="2:16" x14ac:dyDescent="0.25">
      <c r="B20" s="50" t="s">
        <v>35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2"/>
    </row>
    <row r="21" spans="2:16" x14ac:dyDescent="0.25">
      <c r="B21" s="47" t="s">
        <v>46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9"/>
    </row>
    <row r="22" spans="2:16" ht="9.9499999999999993" customHeight="1" x14ac:dyDescent="0.25"/>
    <row r="23" spans="2:16" ht="15" customHeight="1" x14ac:dyDescent="0.25">
      <c r="B23" s="80" t="s">
        <v>31</v>
      </c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2"/>
    </row>
  </sheetData>
  <sheetProtection password="CFCD" sheet="1" objects="1" scenarios="1"/>
  <mergeCells count="11">
    <mergeCell ref="B2:P2"/>
    <mergeCell ref="B5:P5"/>
    <mergeCell ref="B6:P6"/>
    <mergeCell ref="B7:P7"/>
    <mergeCell ref="B8:P8"/>
    <mergeCell ref="B23:P23"/>
    <mergeCell ref="B4:P4"/>
    <mergeCell ref="B9:P9"/>
    <mergeCell ref="B10:P10"/>
    <mergeCell ref="B11:P11"/>
    <mergeCell ref="B13:P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05"/>
  <sheetViews>
    <sheetView tabSelected="1" topLeftCell="B1" workbookViewId="0">
      <selection activeCell="B1" sqref="B1"/>
    </sheetView>
  </sheetViews>
  <sheetFormatPr defaultRowHeight="15" x14ac:dyDescent="0.25"/>
  <cols>
    <col min="1" max="1" width="2.7109375" style="3" customWidth="1"/>
    <col min="2" max="2" width="7.140625" style="3" bestFit="1" customWidth="1"/>
    <col min="3" max="3" width="32.28515625" style="3" customWidth="1"/>
    <col min="4" max="4" width="10.85546875" style="3" customWidth="1"/>
    <col min="5" max="5" width="17.7109375" style="3" customWidth="1"/>
    <col min="6" max="6" width="12.42578125" style="3" bestFit="1" customWidth="1"/>
    <col min="7" max="7" width="6.7109375" style="3" bestFit="1" customWidth="1"/>
    <col min="8" max="8" width="12.140625" style="3" bestFit="1" customWidth="1"/>
    <col min="9" max="9" width="14.140625" style="3" bestFit="1" customWidth="1"/>
    <col min="10" max="10" width="14.28515625" style="3" customWidth="1"/>
    <col min="11" max="11" width="6.5703125" style="3" hidden="1" customWidth="1"/>
    <col min="12" max="12" width="29" style="3" customWidth="1"/>
    <col min="13" max="13" width="14.85546875" style="3" bestFit="1" customWidth="1"/>
    <col min="14" max="14" width="2.7109375" style="3" customWidth="1"/>
    <col min="15" max="15" width="4.7109375" style="3" customWidth="1"/>
    <col min="16" max="16" width="10.7109375" style="3" bestFit="1" customWidth="1"/>
    <col min="17" max="16384" width="9.140625" style="3"/>
  </cols>
  <sheetData>
    <row r="1" spans="2:16" ht="8.1" customHeight="1" thickBot="1" x14ac:dyDescent="0.3"/>
    <row r="2" spans="2:16" ht="16.5" thickBot="1" x14ac:dyDescent="0.3">
      <c r="B2" s="104" t="s">
        <v>38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6" ht="8.1" customHeight="1" thickBot="1" x14ac:dyDescent="0.3"/>
    <row r="4" spans="2:16" x14ac:dyDescent="0.25">
      <c r="B4" s="107" t="s">
        <v>2</v>
      </c>
      <c r="C4" s="109" t="s">
        <v>1</v>
      </c>
      <c r="D4" s="23" t="s">
        <v>10</v>
      </c>
      <c r="E4" s="111" t="s">
        <v>12</v>
      </c>
      <c r="F4" s="24" t="s">
        <v>16</v>
      </c>
      <c r="G4" s="111" t="s">
        <v>18</v>
      </c>
      <c r="H4" s="59" t="s">
        <v>23</v>
      </c>
      <c r="I4" s="59" t="s">
        <v>15</v>
      </c>
      <c r="J4" s="25" t="s">
        <v>42</v>
      </c>
      <c r="K4" s="26"/>
      <c r="L4" s="59" t="s">
        <v>29</v>
      </c>
      <c r="M4" s="27" t="s">
        <v>7</v>
      </c>
      <c r="P4" s="7"/>
    </row>
    <row r="5" spans="2:16" ht="15.75" thickBot="1" x14ac:dyDescent="0.3">
      <c r="B5" s="108"/>
      <c r="C5" s="110"/>
      <c r="D5" s="28" t="s">
        <v>11</v>
      </c>
      <c r="E5" s="112"/>
      <c r="F5" s="29" t="s">
        <v>17</v>
      </c>
      <c r="G5" s="112"/>
      <c r="H5" s="60" t="s">
        <v>14</v>
      </c>
      <c r="I5" s="60" t="s">
        <v>14</v>
      </c>
      <c r="J5" s="30" t="s">
        <v>43</v>
      </c>
      <c r="K5" s="31"/>
      <c r="L5" s="60" t="s">
        <v>30</v>
      </c>
      <c r="M5" s="32" t="s">
        <v>19</v>
      </c>
      <c r="O5" s="7"/>
    </row>
    <row r="6" spans="2:16" x14ac:dyDescent="0.25">
      <c r="B6" s="66">
        <v>1</v>
      </c>
      <c r="C6" s="10" t="s">
        <v>3</v>
      </c>
      <c r="D6" s="11">
        <v>42522</v>
      </c>
      <c r="E6" s="62" t="s">
        <v>13</v>
      </c>
      <c r="F6" s="12">
        <v>23776</v>
      </c>
      <c r="G6" s="13">
        <f ca="1">IF(ISBLANK(F6),"",INT((Parâmetros!$B$3-F6)/365.25))</f>
        <v>53</v>
      </c>
      <c r="H6" s="12">
        <v>42892</v>
      </c>
      <c r="I6" s="36">
        <f t="shared" ref="I6:I69" si="0">IF(ISBLANK(H6),"",IF(K6=1,H6+365,IF(K6=2,H6+730,IF(K6=3,H6+182))))</f>
        <v>43257</v>
      </c>
      <c r="J6" s="77" t="s">
        <v>39</v>
      </c>
      <c r="K6" s="14">
        <f>IF(J6="1 ANO",1,IF(J6="2 ANOS",2,IF(J6="6 MESES",3)))</f>
        <v>1</v>
      </c>
      <c r="L6" s="38" t="str">
        <f t="shared" ref="L6:L69" ca="1" si="1">IF(ISBLANK(C6),"",IF(ISBLANK(H6),"Informar Data último exame",IF(AND(M6&gt;0,M6&lt;=30),"Atenção, menos de 30 dias",IF(M6&gt;30,"No prazo",IF(M6&lt;0,"Exame vencido")))))</f>
        <v>No prazo</v>
      </c>
      <c r="M6" s="13">
        <f ca="1">IF(ISBLANK(H6),"",IF(I6-Parâmetros!$B$3+1&lt;=30,I6-Parâmetros!$B$3+1,IF(I6-Parâmetros!$B$3+1&gt;30,I6-Parâmetros!$B$3+1)))</f>
        <v>40.279672800927074</v>
      </c>
      <c r="N6" s="7"/>
      <c r="O6" s="40"/>
      <c r="P6" s="7"/>
    </row>
    <row r="7" spans="2:16" x14ac:dyDescent="0.25">
      <c r="B7" s="67">
        <v>2</v>
      </c>
      <c r="C7" s="19" t="s">
        <v>4</v>
      </c>
      <c r="D7" s="20">
        <v>42797</v>
      </c>
      <c r="E7" s="61" t="s">
        <v>25</v>
      </c>
      <c r="F7" s="21">
        <v>35527</v>
      </c>
      <c r="G7" s="22">
        <f ca="1">IF(ISBLANK(F7),"",INT((Parâmetros!$B$3-F7)/365.25))</f>
        <v>21</v>
      </c>
      <c r="H7" s="64">
        <v>42858</v>
      </c>
      <c r="I7" s="37">
        <f t="shared" si="0"/>
        <v>43223</v>
      </c>
      <c r="J7" s="78" t="s">
        <v>39</v>
      </c>
      <c r="K7" s="14">
        <f>IF(J7="1 ANO",1,IF(J7="2 ANOS",2,IF(J7="6 MESES",3)))</f>
        <v>1</v>
      </c>
      <c r="L7" s="39" t="str">
        <f t="shared" ca="1" si="1"/>
        <v>Atenção, menos de 30 dias</v>
      </c>
      <c r="M7" s="13">
        <f ca="1">IF(ISBLANK(H7),"",IF(I7-Parâmetros!$B$3+1&lt;=30,I7-Parâmetros!$B$3+1,IF(I7-Parâmetros!$B$3+1&gt;30,I7-Parâmetros!$B$3+1)))</f>
        <v>6.2796728009270737</v>
      </c>
      <c r="N7" s="7"/>
      <c r="O7" s="40"/>
      <c r="P7" s="7"/>
    </row>
    <row r="8" spans="2:16" x14ac:dyDescent="0.25">
      <c r="B8" s="66">
        <v>3</v>
      </c>
      <c r="C8" s="15" t="s">
        <v>5</v>
      </c>
      <c r="D8" s="16">
        <v>43102</v>
      </c>
      <c r="E8" s="62" t="s">
        <v>28</v>
      </c>
      <c r="F8" s="17">
        <v>26292</v>
      </c>
      <c r="G8" s="13">
        <f ca="1">IF(ISBLANK(F8),"",INT((Parâmetros!$B$3-F8)/365.25))</f>
        <v>46</v>
      </c>
      <c r="H8" s="11">
        <v>43102</v>
      </c>
      <c r="I8" s="36">
        <f t="shared" si="0"/>
        <v>43467</v>
      </c>
      <c r="J8" s="77" t="s">
        <v>39</v>
      </c>
      <c r="K8" s="14">
        <f t="shared" ref="K8:K71" si="2">IF(J8="1 ANO",1,IF(J8="2 ANOS",2,IF(J8="6 MESES",3)))</f>
        <v>1</v>
      </c>
      <c r="L8" s="38" t="str">
        <f t="shared" ca="1" si="1"/>
        <v>No prazo</v>
      </c>
      <c r="M8" s="13">
        <f ca="1">IF(ISBLANK(H8),"",IF(I8-Parâmetros!$B$3+1&lt;=30,I8-Parâmetros!$B$3+1,IF(I8-Parâmetros!$B$3+1&gt;30,I8-Parâmetros!$B$3+1)))</f>
        <v>250.27967280092707</v>
      </c>
      <c r="N8" s="9"/>
      <c r="O8" s="40"/>
      <c r="P8" s="7"/>
    </row>
    <row r="9" spans="2:16" x14ac:dyDescent="0.25">
      <c r="B9" s="67">
        <v>4</v>
      </c>
      <c r="C9" s="19"/>
      <c r="D9" s="33"/>
      <c r="E9" s="61"/>
      <c r="F9" s="21"/>
      <c r="G9" s="22" t="str">
        <f>IF(ISBLANK(F9),"",INT((Parâmetros!$B$3-F9)/365.25))</f>
        <v/>
      </c>
      <c r="H9" s="64"/>
      <c r="I9" s="37" t="str">
        <f t="shared" si="0"/>
        <v/>
      </c>
      <c r="J9" s="78"/>
      <c r="K9" s="14" t="b">
        <f t="shared" si="2"/>
        <v>0</v>
      </c>
      <c r="L9" s="39" t="str">
        <f t="shared" si="1"/>
        <v/>
      </c>
      <c r="M9" s="22" t="str">
        <f>IF(ISBLANK(H9),"",IF(I9-Parâmetros!$B$3+1&lt;=30,I9-Parâmetros!$B$3+1,IF(I9-Parâmetros!$B$3+1&gt;30,I9-Parâmetros!$B$3+1)))</f>
        <v/>
      </c>
      <c r="O9" s="41"/>
      <c r="P9" s="7"/>
    </row>
    <row r="10" spans="2:16" x14ac:dyDescent="0.25">
      <c r="B10" s="66">
        <v>5</v>
      </c>
      <c r="C10" s="15"/>
      <c r="D10" s="16"/>
      <c r="E10" s="62"/>
      <c r="F10" s="18"/>
      <c r="G10" s="13" t="str">
        <f>IF(ISBLANK(F10),"",INT((Parâmetros!$B$3-F10)/365.25))</f>
        <v/>
      </c>
      <c r="H10" s="11"/>
      <c r="I10" s="36" t="str">
        <f t="shared" si="0"/>
        <v/>
      </c>
      <c r="J10" s="77"/>
      <c r="K10" s="14" t="b">
        <f t="shared" si="2"/>
        <v>0</v>
      </c>
      <c r="L10" s="38" t="str">
        <f t="shared" si="1"/>
        <v/>
      </c>
      <c r="M10" s="13" t="str">
        <f>IF(ISBLANK(H10),"",IF(I10-Parâmetros!$B$3+1&lt;=30,I10-Parâmetros!$B$3+1,IF(I10-Parâmetros!$B$3+1&gt;30,I10-Parâmetros!$B$3+1)))</f>
        <v/>
      </c>
      <c r="O10" s="7"/>
    </row>
    <row r="11" spans="2:16" x14ac:dyDescent="0.25">
      <c r="B11" s="67">
        <v>6</v>
      </c>
      <c r="C11" s="19"/>
      <c r="D11" s="33"/>
      <c r="E11" s="61"/>
      <c r="F11" s="34"/>
      <c r="G11" s="22" t="str">
        <f>IF(ISBLANK(F11),"",INT((Parâmetros!$B$3-F11)/365.25))</f>
        <v/>
      </c>
      <c r="H11" s="64"/>
      <c r="I11" s="37" t="str">
        <f t="shared" si="0"/>
        <v/>
      </c>
      <c r="J11" s="78"/>
      <c r="K11" s="14" t="b">
        <f t="shared" si="2"/>
        <v>0</v>
      </c>
      <c r="L11" s="39" t="str">
        <f t="shared" si="1"/>
        <v/>
      </c>
      <c r="M11" s="22" t="str">
        <f>IF(ISBLANK(H11),"",IF(I11-Parâmetros!$B$3+1&lt;=30,I11-Parâmetros!$B$3+1,IF(I11-Parâmetros!$B$3+1&gt;30,I11-Parâmetros!$B$3+1)))</f>
        <v/>
      </c>
      <c r="O11" s="8"/>
    </row>
    <row r="12" spans="2:16" x14ac:dyDescent="0.25">
      <c r="B12" s="66">
        <v>7</v>
      </c>
      <c r="C12" s="15"/>
      <c r="D12" s="16"/>
      <c r="E12" s="62"/>
      <c r="F12" s="18"/>
      <c r="G12" s="13" t="str">
        <f>IF(ISBLANK(F12),"",INT((Parâmetros!$B$3-F12)/365.25))</f>
        <v/>
      </c>
      <c r="H12" s="11"/>
      <c r="I12" s="36" t="str">
        <f t="shared" si="0"/>
        <v/>
      </c>
      <c r="J12" s="77"/>
      <c r="K12" s="14" t="b">
        <f t="shared" si="2"/>
        <v>0</v>
      </c>
      <c r="L12" s="38" t="str">
        <f t="shared" si="1"/>
        <v/>
      </c>
      <c r="M12" s="13" t="str">
        <f>IF(ISBLANK(H12),"",IF(I12-Parâmetros!$B$3+1&lt;=30,I12-Parâmetros!$B$3+1,IF(I12-Parâmetros!$B$3+1&gt;30,I12-Parâmetros!$B$3+1)))</f>
        <v/>
      </c>
    </row>
    <row r="13" spans="2:16" x14ac:dyDescent="0.25">
      <c r="B13" s="67">
        <v>8</v>
      </c>
      <c r="C13" s="19"/>
      <c r="D13" s="33"/>
      <c r="E13" s="61"/>
      <c r="F13" s="34"/>
      <c r="G13" s="22" t="str">
        <f>IF(ISBLANK(F13),"",INT((Parâmetros!$B$3-F13)/365.25))</f>
        <v/>
      </c>
      <c r="H13" s="64"/>
      <c r="I13" s="37" t="str">
        <f t="shared" si="0"/>
        <v/>
      </c>
      <c r="J13" s="78"/>
      <c r="K13" s="14" t="b">
        <f t="shared" si="2"/>
        <v>0</v>
      </c>
      <c r="L13" s="39" t="str">
        <f t="shared" si="1"/>
        <v/>
      </c>
      <c r="M13" s="22" t="str">
        <f>IF(ISBLANK(H13),"",IF(I13-Parâmetros!$B$3+1&lt;=30,I13-Parâmetros!$B$3+1,IF(I13-Parâmetros!$B$3+1&gt;30,I13-Parâmetros!$B$3+1)))</f>
        <v/>
      </c>
      <c r="O13" s="7"/>
    </row>
    <row r="14" spans="2:16" x14ac:dyDescent="0.25">
      <c r="B14" s="66">
        <v>9</v>
      </c>
      <c r="C14" s="15"/>
      <c r="D14" s="16"/>
      <c r="E14" s="62"/>
      <c r="F14" s="18"/>
      <c r="G14" s="13" t="str">
        <f>IF(ISBLANK(F14),"",INT((Parâmetros!$B$3-F14)/365.25))</f>
        <v/>
      </c>
      <c r="H14" s="11"/>
      <c r="I14" s="36" t="str">
        <f t="shared" si="0"/>
        <v/>
      </c>
      <c r="J14" s="77"/>
      <c r="K14" s="14" t="b">
        <f t="shared" si="2"/>
        <v>0</v>
      </c>
      <c r="L14" s="38" t="str">
        <f t="shared" si="1"/>
        <v/>
      </c>
      <c r="M14" s="13" t="str">
        <f>IF(ISBLANK(H14),"",IF(I14-Parâmetros!$B$3+1&lt;=30,I14-Parâmetros!$B$3+1,IF(I14-Parâmetros!$B$3+1&gt;30,I14-Parâmetros!$B$3+1)))</f>
        <v/>
      </c>
      <c r="O14" s="7"/>
    </row>
    <row r="15" spans="2:16" x14ac:dyDescent="0.25">
      <c r="B15" s="67">
        <v>10</v>
      </c>
      <c r="C15" s="19"/>
      <c r="D15" s="33"/>
      <c r="E15" s="61"/>
      <c r="F15" s="34"/>
      <c r="G15" s="22" t="str">
        <f>IF(ISBLANK(F15),"",INT((Parâmetros!$B$3-F15)/365.25))</f>
        <v/>
      </c>
      <c r="H15" s="64"/>
      <c r="I15" s="37" t="str">
        <f t="shared" si="0"/>
        <v/>
      </c>
      <c r="J15" s="78"/>
      <c r="K15" s="14" t="b">
        <f t="shared" si="2"/>
        <v>0</v>
      </c>
      <c r="L15" s="39" t="str">
        <f t="shared" si="1"/>
        <v/>
      </c>
      <c r="M15" s="22" t="str">
        <f>IF(ISBLANK(H15),"",IF(I15-Parâmetros!$B$3+1&lt;=30,I15-Parâmetros!$B$3+1,IF(I15-Parâmetros!$B$3+1&gt;30,I15-Parâmetros!$B$3+1)))</f>
        <v/>
      </c>
    </row>
    <row r="16" spans="2:16" x14ac:dyDescent="0.25">
      <c r="B16" s="66">
        <v>11</v>
      </c>
      <c r="C16" s="15"/>
      <c r="D16" s="16"/>
      <c r="E16" s="62"/>
      <c r="F16" s="18"/>
      <c r="G16" s="13" t="str">
        <f>IF(ISBLANK(F16),"",INT((Parâmetros!$B$3-F16)/365.25))</f>
        <v/>
      </c>
      <c r="H16" s="11"/>
      <c r="I16" s="36" t="str">
        <f t="shared" si="0"/>
        <v/>
      </c>
      <c r="J16" s="77"/>
      <c r="K16" s="14" t="b">
        <f t="shared" si="2"/>
        <v>0</v>
      </c>
      <c r="L16" s="38" t="str">
        <f t="shared" si="1"/>
        <v/>
      </c>
      <c r="M16" s="13" t="str">
        <f>IF(ISBLANK(H16),"",IF(I16-Parâmetros!$B$3+1&lt;=30,I16-Parâmetros!$B$3+1,IF(I16-Parâmetros!$B$3+1&gt;30,I16-Parâmetros!$B$3+1)))</f>
        <v/>
      </c>
    </row>
    <row r="17" spans="2:13" x14ac:dyDescent="0.25">
      <c r="B17" s="67">
        <v>12</v>
      </c>
      <c r="C17" s="19"/>
      <c r="D17" s="33"/>
      <c r="E17" s="61"/>
      <c r="F17" s="34"/>
      <c r="G17" s="22" t="str">
        <f>IF(ISBLANK(F17),"",INT((Parâmetros!$B$3-F17)/365.25))</f>
        <v/>
      </c>
      <c r="H17" s="64"/>
      <c r="I17" s="37" t="str">
        <f t="shared" si="0"/>
        <v/>
      </c>
      <c r="J17" s="78"/>
      <c r="K17" s="14" t="b">
        <f t="shared" si="2"/>
        <v>0</v>
      </c>
      <c r="L17" s="39" t="str">
        <f t="shared" si="1"/>
        <v/>
      </c>
      <c r="M17" s="22" t="str">
        <f>IF(ISBLANK(H17),"",IF(I17-Parâmetros!$B$3+1&lt;=30,I17-Parâmetros!$B$3+1,IF(I17-Parâmetros!$B$3+1&gt;30,I17-Parâmetros!$B$3+1)))</f>
        <v/>
      </c>
    </row>
    <row r="18" spans="2:13" x14ac:dyDescent="0.25">
      <c r="B18" s="66">
        <v>13</v>
      </c>
      <c r="C18" s="15"/>
      <c r="D18" s="16"/>
      <c r="E18" s="62"/>
      <c r="F18" s="18"/>
      <c r="G18" s="13" t="str">
        <f>IF(ISBLANK(F18),"",INT((Parâmetros!$B$3-F18)/365.25))</f>
        <v/>
      </c>
      <c r="H18" s="11"/>
      <c r="I18" s="36" t="str">
        <f t="shared" si="0"/>
        <v/>
      </c>
      <c r="J18" s="77"/>
      <c r="K18" s="14" t="b">
        <f t="shared" si="2"/>
        <v>0</v>
      </c>
      <c r="L18" s="38" t="str">
        <f t="shared" si="1"/>
        <v/>
      </c>
      <c r="M18" s="13" t="str">
        <f>IF(ISBLANK(H18),"",IF(I18-Parâmetros!$B$3+1&lt;=30,I18-Parâmetros!$B$3+1,IF(I18-Parâmetros!$B$3+1&gt;30,I18-Parâmetros!$B$3+1)))</f>
        <v/>
      </c>
    </row>
    <row r="19" spans="2:13" x14ac:dyDescent="0.25">
      <c r="B19" s="67">
        <v>14</v>
      </c>
      <c r="C19" s="19"/>
      <c r="D19" s="33"/>
      <c r="E19" s="61"/>
      <c r="F19" s="34"/>
      <c r="G19" s="22" t="str">
        <f>IF(ISBLANK(F19),"",INT((Parâmetros!$B$3-F19)/365.25))</f>
        <v/>
      </c>
      <c r="H19" s="64"/>
      <c r="I19" s="37" t="str">
        <f t="shared" si="0"/>
        <v/>
      </c>
      <c r="J19" s="78"/>
      <c r="K19" s="14" t="b">
        <f t="shared" si="2"/>
        <v>0</v>
      </c>
      <c r="L19" s="39" t="str">
        <f t="shared" si="1"/>
        <v/>
      </c>
      <c r="M19" s="22" t="str">
        <f>IF(ISBLANK(H19),"",IF(I19-Parâmetros!$B$3+1&lt;=30,I19-Parâmetros!$B$3+1,IF(I19-Parâmetros!$B$3+1&gt;30,I19-Parâmetros!$B$3+1)))</f>
        <v/>
      </c>
    </row>
    <row r="20" spans="2:13" x14ac:dyDescent="0.25">
      <c r="B20" s="66">
        <v>15</v>
      </c>
      <c r="C20" s="15"/>
      <c r="D20" s="16"/>
      <c r="E20" s="62"/>
      <c r="F20" s="18"/>
      <c r="G20" s="13" t="str">
        <f>IF(ISBLANK(F20),"",INT((Parâmetros!$B$3-F20)/365.25))</f>
        <v/>
      </c>
      <c r="H20" s="11"/>
      <c r="I20" s="36" t="str">
        <f t="shared" si="0"/>
        <v/>
      </c>
      <c r="J20" s="77"/>
      <c r="K20" s="14" t="b">
        <f t="shared" si="2"/>
        <v>0</v>
      </c>
      <c r="L20" s="38" t="str">
        <f t="shared" si="1"/>
        <v/>
      </c>
      <c r="M20" s="13" t="str">
        <f>IF(ISBLANK(H20),"",IF(I20-Parâmetros!$B$3+1&lt;=30,I20-Parâmetros!$B$3+1,IF(I20-Parâmetros!$B$3+1&gt;30,I20-Parâmetros!$B$3+1)))</f>
        <v/>
      </c>
    </row>
    <row r="21" spans="2:13" x14ac:dyDescent="0.25">
      <c r="B21" s="67">
        <v>16</v>
      </c>
      <c r="C21" s="19"/>
      <c r="D21" s="33"/>
      <c r="E21" s="61"/>
      <c r="F21" s="34"/>
      <c r="G21" s="22" t="str">
        <f>IF(ISBLANK(F21),"",INT((Parâmetros!$B$3-F21)/365.25))</f>
        <v/>
      </c>
      <c r="H21" s="64"/>
      <c r="I21" s="37" t="str">
        <f t="shared" si="0"/>
        <v/>
      </c>
      <c r="J21" s="78"/>
      <c r="K21" s="14" t="b">
        <f t="shared" si="2"/>
        <v>0</v>
      </c>
      <c r="L21" s="39" t="str">
        <f t="shared" si="1"/>
        <v/>
      </c>
      <c r="M21" s="22" t="str">
        <f>IF(ISBLANK(H21),"",IF(I21-Parâmetros!$B$3+1&lt;=30,I21-Parâmetros!$B$3+1,IF(I21-Parâmetros!$B$3+1&gt;30,I21-Parâmetros!$B$3+1)))</f>
        <v/>
      </c>
    </row>
    <row r="22" spans="2:13" x14ac:dyDescent="0.25">
      <c r="B22" s="66">
        <v>17</v>
      </c>
      <c r="C22" s="15"/>
      <c r="D22" s="16"/>
      <c r="E22" s="62"/>
      <c r="F22" s="18"/>
      <c r="G22" s="13" t="str">
        <f>IF(ISBLANK(F22),"",INT((Parâmetros!$B$3-F22)/365.25))</f>
        <v/>
      </c>
      <c r="H22" s="11"/>
      <c r="I22" s="36" t="str">
        <f t="shared" si="0"/>
        <v/>
      </c>
      <c r="J22" s="77"/>
      <c r="K22" s="14" t="b">
        <f t="shared" si="2"/>
        <v>0</v>
      </c>
      <c r="L22" s="38" t="str">
        <f t="shared" si="1"/>
        <v/>
      </c>
      <c r="M22" s="13" t="str">
        <f>IF(ISBLANK(H22),"",IF(I22-Parâmetros!$B$3+1&lt;=30,I22-Parâmetros!$B$3+1,IF(I22-Parâmetros!$B$3+1&gt;30,I22-Parâmetros!$B$3+1)))</f>
        <v/>
      </c>
    </row>
    <row r="23" spans="2:13" x14ac:dyDescent="0.25">
      <c r="B23" s="67">
        <v>18</v>
      </c>
      <c r="C23" s="19"/>
      <c r="D23" s="33"/>
      <c r="E23" s="61"/>
      <c r="F23" s="34"/>
      <c r="G23" s="22" t="str">
        <f>IF(ISBLANK(F23),"",INT((Parâmetros!$B$3-F23)/365.25))</f>
        <v/>
      </c>
      <c r="H23" s="64"/>
      <c r="I23" s="37" t="str">
        <f t="shared" si="0"/>
        <v/>
      </c>
      <c r="J23" s="78"/>
      <c r="K23" s="14" t="b">
        <f t="shared" si="2"/>
        <v>0</v>
      </c>
      <c r="L23" s="39" t="str">
        <f t="shared" si="1"/>
        <v/>
      </c>
      <c r="M23" s="22" t="str">
        <f>IF(ISBLANK(H23),"",IF(I23-Parâmetros!$B$3+1&lt;=30,I23-Parâmetros!$B$3+1,IF(I23-Parâmetros!$B$3+1&gt;30,I23-Parâmetros!$B$3+1)))</f>
        <v/>
      </c>
    </row>
    <row r="24" spans="2:13" x14ac:dyDescent="0.25">
      <c r="B24" s="66">
        <v>19</v>
      </c>
      <c r="C24" s="15"/>
      <c r="D24" s="16"/>
      <c r="E24" s="62"/>
      <c r="F24" s="18"/>
      <c r="G24" s="13" t="str">
        <f>IF(ISBLANK(F24),"",INT((Parâmetros!$B$3-F24)/365.25))</f>
        <v/>
      </c>
      <c r="H24" s="11"/>
      <c r="I24" s="36" t="str">
        <f t="shared" si="0"/>
        <v/>
      </c>
      <c r="J24" s="77"/>
      <c r="K24" s="14" t="b">
        <f t="shared" si="2"/>
        <v>0</v>
      </c>
      <c r="L24" s="38" t="str">
        <f t="shared" si="1"/>
        <v/>
      </c>
      <c r="M24" s="13" t="str">
        <f>IF(ISBLANK(H24),"",IF(I24-Parâmetros!$B$3+1&lt;=30,I24-Parâmetros!$B$3+1,IF(I24-Parâmetros!$B$3+1&gt;30,I24-Parâmetros!$B$3+1)))</f>
        <v/>
      </c>
    </row>
    <row r="25" spans="2:13" x14ac:dyDescent="0.25">
      <c r="B25" s="67">
        <v>20</v>
      </c>
      <c r="C25" s="19"/>
      <c r="D25" s="33"/>
      <c r="E25" s="61"/>
      <c r="F25" s="34"/>
      <c r="G25" s="22" t="str">
        <f>IF(ISBLANK(F25),"",INT((Parâmetros!$B$3-F25)/365.25))</f>
        <v/>
      </c>
      <c r="H25" s="64"/>
      <c r="I25" s="37" t="str">
        <f t="shared" si="0"/>
        <v/>
      </c>
      <c r="J25" s="78"/>
      <c r="K25" s="14" t="b">
        <f t="shared" si="2"/>
        <v>0</v>
      </c>
      <c r="L25" s="39" t="str">
        <f t="shared" si="1"/>
        <v/>
      </c>
      <c r="M25" s="22" t="str">
        <f>IF(ISBLANK(H25),"",IF(I25-Parâmetros!$B$3+1&lt;=30,I25-Parâmetros!$B$3+1,IF(I25-Parâmetros!$B$3+1&gt;30,I25-Parâmetros!$B$3+1)))</f>
        <v/>
      </c>
    </row>
    <row r="26" spans="2:13" x14ac:dyDescent="0.25">
      <c r="B26" s="66">
        <v>21</v>
      </c>
      <c r="C26" s="15"/>
      <c r="D26" s="16"/>
      <c r="E26" s="62"/>
      <c r="F26" s="18"/>
      <c r="G26" s="13" t="str">
        <f>IF(ISBLANK(F26),"",INT((Parâmetros!$B$3-F26)/365.25))</f>
        <v/>
      </c>
      <c r="H26" s="11"/>
      <c r="I26" s="36" t="str">
        <f t="shared" si="0"/>
        <v/>
      </c>
      <c r="J26" s="77"/>
      <c r="K26" s="14" t="b">
        <f t="shared" si="2"/>
        <v>0</v>
      </c>
      <c r="L26" s="38" t="str">
        <f t="shared" si="1"/>
        <v/>
      </c>
      <c r="M26" s="13" t="str">
        <f>IF(ISBLANK(H26),"",IF(I26-Parâmetros!$B$3+1&lt;=30,I26-Parâmetros!$B$3+1,IF(I26-Parâmetros!$B$3+1&gt;30,I26-Parâmetros!$B$3+1)))</f>
        <v/>
      </c>
    </row>
    <row r="27" spans="2:13" x14ac:dyDescent="0.25">
      <c r="B27" s="67">
        <v>22</v>
      </c>
      <c r="C27" s="19"/>
      <c r="D27" s="33"/>
      <c r="E27" s="61"/>
      <c r="F27" s="34"/>
      <c r="G27" s="22" t="str">
        <f>IF(ISBLANK(F27),"",INT((Parâmetros!$B$3-F27)/365.25))</f>
        <v/>
      </c>
      <c r="H27" s="64"/>
      <c r="I27" s="37" t="str">
        <f t="shared" si="0"/>
        <v/>
      </c>
      <c r="J27" s="78"/>
      <c r="K27" s="14" t="b">
        <f t="shared" si="2"/>
        <v>0</v>
      </c>
      <c r="L27" s="39" t="str">
        <f t="shared" si="1"/>
        <v/>
      </c>
      <c r="M27" s="22" t="str">
        <f>IF(ISBLANK(H27),"",IF(I27-Parâmetros!$B$3+1&lt;=30,I27-Parâmetros!$B$3+1,IF(I27-Parâmetros!$B$3+1&gt;30,I27-Parâmetros!$B$3+1)))</f>
        <v/>
      </c>
    </row>
    <row r="28" spans="2:13" x14ac:dyDescent="0.25">
      <c r="B28" s="66">
        <v>23</v>
      </c>
      <c r="C28" s="15"/>
      <c r="D28" s="16"/>
      <c r="E28" s="62"/>
      <c r="F28" s="18"/>
      <c r="G28" s="13" t="str">
        <f>IF(ISBLANK(F28),"",INT((Parâmetros!$B$3-F28)/365.25))</f>
        <v/>
      </c>
      <c r="H28" s="11"/>
      <c r="I28" s="36" t="str">
        <f t="shared" si="0"/>
        <v/>
      </c>
      <c r="J28" s="77"/>
      <c r="K28" s="14" t="b">
        <f t="shared" si="2"/>
        <v>0</v>
      </c>
      <c r="L28" s="38" t="str">
        <f t="shared" si="1"/>
        <v/>
      </c>
      <c r="M28" s="13" t="str">
        <f>IF(ISBLANK(H28),"",IF(I28-Parâmetros!$B$3+1&lt;=30,I28-Parâmetros!$B$3+1,IF(I28-Parâmetros!$B$3+1&gt;30,I28-Parâmetros!$B$3+1)))</f>
        <v/>
      </c>
    </row>
    <row r="29" spans="2:13" x14ac:dyDescent="0.25">
      <c r="B29" s="67">
        <v>24</v>
      </c>
      <c r="C29" s="19"/>
      <c r="D29" s="33"/>
      <c r="E29" s="61"/>
      <c r="F29" s="34"/>
      <c r="G29" s="22" t="str">
        <f>IF(ISBLANK(F29),"",INT((Parâmetros!$B$3-F29)/365.25))</f>
        <v/>
      </c>
      <c r="H29" s="64"/>
      <c r="I29" s="37" t="str">
        <f t="shared" si="0"/>
        <v/>
      </c>
      <c r="J29" s="78"/>
      <c r="K29" s="14" t="b">
        <f t="shared" si="2"/>
        <v>0</v>
      </c>
      <c r="L29" s="39" t="str">
        <f t="shared" si="1"/>
        <v/>
      </c>
      <c r="M29" s="22" t="str">
        <f>IF(ISBLANK(H29),"",IF(I29-Parâmetros!$B$3+1&lt;=30,I29-Parâmetros!$B$3+1,IF(I29-Parâmetros!$B$3+1&gt;30,I29-Parâmetros!$B$3+1)))</f>
        <v/>
      </c>
    </row>
    <row r="30" spans="2:13" x14ac:dyDescent="0.25">
      <c r="B30" s="66">
        <v>25</v>
      </c>
      <c r="C30" s="15"/>
      <c r="D30" s="16"/>
      <c r="E30" s="62"/>
      <c r="F30" s="18"/>
      <c r="G30" s="13" t="str">
        <f>IF(ISBLANK(F30),"",INT((Parâmetros!$B$3-F30)/365.25))</f>
        <v/>
      </c>
      <c r="H30" s="11"/>
      <c r="I30" s="36" t="str">
        <f t="shared" si="0"/>
        <v/>
      </c>
      <c r="J30" s="77"/>
      <c r="K30" s="14" t="b">
        <f t="shared" si="2"/>
        <v>0</v>
      </c>
      <c r="L30" s="38" t="str">
        <f t="shared" si="1"/>
        <v/>
      </c>
      <c r="M30" s="13" t="str">
        <f>IF(ISBLANK(H30),"",IF(I30-Parâmetros!$B$3+1&lt;=30,I30-Parâmetros!$B$3+1,IF(I30-Parâmetros!$B$3+1&gt;30,I30-Parâmetros!$B$3+1)))</f>
        <v/>
      </c>
    </row>
    <row r="31" spans="2:13" x14ac:dyDescent="0.25">
      <c r="B31" s="67">
        <v>26</v>
      </c>
      <c r="C31" s="19"/>
      <c r="D31" s="33"/>
      <c r="E31" s="61"/>
      <c r="F31" s="34"/>
      <c r="G31" s="22" t="str">
        <f>IF(ISBLANK(F31),"",INT((Parâmetros!$B$3-F31)/365.25))</f>
        <v/>
      </c>
      <c r="H31" s="64"/>
      <c r="I31" s="37" t="str">
        <f t="shared" si="0"/>
        <v/>
      </c>
      <c r="J31" s="78"/>
      <c r="K31" s="14" t="b">
        <f t="shared" si="2"/>
        <v>0</v>
      </c>
      <c r="L31" s="39" t="str">
        <f t="shared" si="1"/>
        <v/>
      </c>
      <c r="M31" s="22" t="str">
        <f>IF(ISBLANK(H31),"",IF(I31-Parâmetros!$B$3+1&lt;=30,I31-Parâmetros!$B$3+1,IF(I31-Parâmetros!$B$3+1&gt;30,I31-Parâmetros!$B$3+1)))</f>
        <v/>
      </c>
    </row>
    <row r="32" spans="2:13" x14ac:dyDescent="0.25">
      <c r="B32" s="66">
        <v>27</v>
      </c>
      <c r="C32" s="15"/>
      <c r="D32" s="16"/>
      <c r="E32" s="62"/>
      <c r="F32" s="18"/>
      <c r="G32" s="13" t="str">
        <f>IF(ISBLANK(F32),"",INT((Parâmetros!$B$3-F32)/365.25))</f>
        <v/>
      </c>
      <c r="H32" s="11"/>
      <c r="I32" s="36" t="str">
        <f t="shared" si="0"/>
        <v/>
      </c>
      <c r="J32" s="77"/>
      <c r="K32" s="14" t="b">
        <f t="shared" si="2"/>
        <v>0</v>
      </c>
      <c r="L32" s="38" t="str">
        <f t="shared" si="1"/>
        <v/>
      </c>
      <c r="M32" s="13" t="str">
        <f>IF(ISBLANK(H32),"",IF(I32-Parâmetros!$B$3+1&lt;=30,I32-Parâmetros!$B$3+1,IF(I32-Parâmetros!$B$3+1&gt;30,I32-Parâmetros!$B$3+1)))</f>
        <v/>
      </c>
    </row>
    <row r="33" spans="2:13" x14ac:dyDescent="0.25">
      <c r="B33" s="67">
        <v>28</v>
      </c>
      <c r="C33" s="19"/>
      <c r="D33" s="33"/>
      <c r="E33" s="61"/>
      <c r="F33" s="34"/>
      <c r="G33" s="22" t="str">
        <f>IF(ISBLANK(F33),"",INT((Parâmetros!$B$3-F33)/365.25))</f>
        <v/>
      </c>
      <c r="H33" s="64"/>
      <c r="I33" s="37" t="str">
        <f t="shared" si="0"/>
        <v/>
      </c>
      <c r="J33" s="78"/>
      <c r="K33" s="14" t="b">
        <f t="shared" si="2"/>
        <v>0</v>
      </c>
      <c r="L33" s="39" t="str">
        <f t="shared" si="1"/>
        <v/>
      </c>
      <c r="M33" s="22" t="str">
        <f>IF(ISBLANK(H33),"",IF(I33-Parâmetros!$B$3+1&lt;=30,I33-Parâmetros!$B$3+1,IF(I33-Parâmetros!$B$3+1&gt;30,I33-Parâmetros!$B$3+1)))</f>
        <v/>
      </c>
    </row>
    <row r="34" spans="2:13" x14ac:dyDescent="0.25">
      <c r="B34" s="66">
        <v>29</v>
      </c>
      <c r="C34" s="15"/>
      <c r="D34" s="16"/>
      <c r="E34" s="62"/>
      <c r="F34" s="18"/>
      <c r="G34" s="13" t="str">
        <f>IF(ISBLANK(F34),"",INT((Parâmetros!$B$3-F34)/365.25))</f>
        <v/>
      </c>
      <c r="H34" s="11"/>
      <c r="I34" s="36" t="str">
        <f t="shared" si="0"/>
        <v/>
      </c>
      <c r="J34" s="77"/>
      <c r="K34" s="14" t="b">
        <f t="shared" si="2"/>
        <v>0</v>
      </c>
      <c r="L34" s="38" t="str">
        <f t="shared" si="1"/>
        <v/>
      </c>
      <c r="M34" s="13" t="str">
        <f>IF(ISBLANK(H34),"",IF(I34-Parâmetros!$B$3+1&lt;=30,I34-Parâmetros!$B$3+1,IF(I34-Parâmetros!$B$3+1&gt;30,I34-Parâmetros!$B$3+1)))</f>
        <v/>
      </c>
    </row>
    <row r="35" spans="2:13" x14ac:dyDescent="0.25">
      <c r="B35" s="67">
        <v>30</v>
      </c>
      <c r="C35" s="19"/>
      <c r="D35" s="33"/>
      <c r="E35" s="61"/>
      <c r="F35" s="34"/>
      <c r="G35" s="22" t="str">
        <f>IF(ISBLANK(F35),"",INT((Parâmetros!$B$3-F35)/365.25))</f>
        <v/>
      </c>
      <c r="H35" s="64"/>
      <c r="I35" s="37" t="str">
        <f t="shared" si="0"/>
        <v/>
      </c>
      <c r="J35" s="78"/>
      <c r="K35" s="14" t="b">
        <f t="shared" si="2"/>
        <v>0</v>
      </c>
      <c r="L35" s="39" t="str">
        <f t="shared" si="1"/>
        <v/>
      </c>
      <c r="M35" s="22" t="str">
        <f>IF(ISBLANK(H35),"",IF(I35-Parâmetros!$B$3+1&lt;=30,I35-Parâmetros!$B$3+1,IF(I35-Parâmetros!$B$3+1&gt;30,I35-Parâmetros!$B$3+1)))</f>
        <v/>
      </c>
    </row>
    <row r="36" spans="2:13" x14ac:dyDescent="0.25">
      <c r="B36" s="66">
        <v>31</v>
      </c>
      <c r="C36" s="15"/>
      <c r="D36" s="16"/>
      <c r="E36" s="62"/>
      <c r="F36" s="18"/>
      <c r="G36" s="13" t="str">
        <f>IF(ISBLANK(F36),"",INT((Parâmetros!$B$3-F36)/365.25))</f>
        <v/>
      </c>
      <c r="H36" s="11"/>
      <c r="I36" s="36" t="str">
        <f t="shared" si="0"/>
        <v/>
      </c>
      <c r="J36" s="77"/>
      <c r="K36" s="14" t="b">
        <f t="shared" si="2"/>
        <v>0</v>
      </c>
      <c r="L36" s="38" t="str">
        <f t="shared" si="1"/>
        <v/>
      </c>
      <c r="M36" s="13" t="str">
        <f>IF(ISBLANK(H36),"",IF(I36-Parâmetros!$B$3+1&lt;=30,I36-Parâmetros!$B$3+1,IF(I36-Parâmetros!$B$3+1&gt;30,I36-Parâmetros!$B$3+1)))</f>
        <v/>
      </c>
    </row>
    <row r="37" spans="2:13" x14ac:dyDescent="0.25">
      <c r="B37" s="67">
        <v>32</v>
      </c>
      <c r="C37" s="19"/>
      <c r="D37" s="33"/>
      <c r="E37" s="61"/>
      <c r="F37" s="34"/>
      <c r="G37" s="22" t="str">
        <f>IF(ISBLANK(F37),"",INT((Parâmetros!$B$3-F37)/365.25))</f>
        <v/>
      </c>
      <c r="H37" s="64"/>
      <c r="I37" s="37" t="str">
        <f t="shared" si="0"/>
        <v/>
      </c>
      <c r="J37" s="78"/>
      <c r="K37" s="14" t="b">
        <f t="shared" si="2"/>
        <v>0</v>
      </c>
      <c r="L37" s="39" t="str">
        <f t="shared" si="1"/>
        <v/>
      </c>
      <c r="M37" s="22" t="str">
        <f>IF(ISBLANK(H37),"",IF(I37-Parâmetros!$B$3+1&lt;=30,I37-Parâmetros!$B$3+1,IF(I37-Parâmetros!$B$3+1&gt;30,I37-Parâmetros!$B$3+1)))</f>
        <v/>
      </c>
    </row>
    <row r="38" spans="2:13" x14ac:dyDescent="0.25">
      <c r="B38" s="66">
        <v>33</v>
      </c>
      <c r="C38" s="15"/>
      <c r="D38" s="16"/>
      <c r="E38" s="62"/>
      <c r="F38" s="18"/>
      <c r="G38" s="13" t="str">
        <f>IF(ISBLANK(F38),"",INT((Parâmetros!$B$3-F38)/365.25))</f>
        <v/>
      </c>
      <c r="H38" s="11"/>
      <c r="I38" s="36" t="str">
        <f t="shared" si="0"/>
        <v/>
      </c>
      <c r="J38" s="77"/>
      <c r="K38" s="14" t="b">
        <f t="shared" si="2"/>
        <v>0</v>
      </c>
      <c r="L38" s="38" t="str">
        <f t="shared" si="1"/>
        <v/>
      </c>
      <c r="M38" s="13" t="str">
        <f>IF(ISBLANK(H38),"",IF(I38-Parâmetros!$B$3+1&lt;=30,I38-Parâmetros!$B$3+1,IF(I38-Parâmetros!$B$3+1&gt;30,I38-Parâmetros!$B$3+1)))</f>
        <v/>
      </c>
    </row>
    <row r="39" spans="2:13" x14ac:dyDescent="0.25">
      <c r="B39" s="67">
        <v>34</v>
      </c>
      <c r="C39" s="19"/>
      <c r="D39" s="33"/>
      <c r="E39" s="61"/>
      <c r="F39" s="34"/>
      <c r="G39" s="22" t="str">
        <f>IF(ISBLANK(F39),"",INT((Parâmetros!$B$3-F39)/365.25))</f>
        <v/>
      </c>
      <c r="H39" s="64"/>
      <c r="I39" s="37" t="str">
        <f t="shared" si="0"/>
        <v/>
      </c>
      <c r="J39" s="78"/>
      <c r="K39" s="14" t="b">
        <f t="shared" si="2"/>
        <v>0</v>
      </c>
      <c r="L39" s="39" t="str">
        <f t="shared" si="1"/>
        <v/>
      </c>
      <c r="M39" s="22" t="str">
        <f>IF(ISBLANK(H39),"",IF(I39-Parâmetros!$B$3+1&lt;=30,I39-Parâmetros!$B$3+1,IF(I39-Parâmetros!$B$3+1&gt;30,I39-Parâmetros!$B$3+1)))</f>
        <v/>
      </c>
    </row>
    <row r="40" spans="2:13" x14ac:dyDescent="0.25">
      <c r="B40" s="66">
        <v>35</v>
      </c>
      <c r="C40" s="15"/>
      <c r="D40" s="16"/>
      <c r="E40" s="62"/>
      <c r="F40" s="18"/>
      <c r="G40" s="13" t="str">
        <f>IF(ISBLANK(F40),"",INT((Parâmetros!$B$3-F40)/365.25))</f>
        <v/>
      </c>
      <c r="H40" s="11"/>
      <c r="I40" s="36" t="str">
        <f t="shared" si="0"/>
        <v/>
      </c>
      <c r="J40" s="77"/>
      <c r="K40" s="14" t="b">
        <f t="shared" si="2"/>
        <v>0</v>
      </c>
      <c r="L40" s="38" t="str">
        <f t="shared" si="1"/>
        <v/>
      </c>
      <c r="M40" s="13" t="str">
        <f>IF(ISBLANK(H40),"",IF(I40-Parâmetros!$B$3+1&lt;=30,I40-Parâmetros!$B$3+1,IF(I40-Parâmetros!$B$3+1&gt;30,I40-Parâmetros!$B$3+1)))</f>
        <v/>
      </c>
    </row>
    <row r="41" spans="2:13" x14ac:dyDescent="0.25">
      <c r="B41" s="67">
        <v>36</v>
      </c>
      <c r="C41" s="19"/>
      <c r="D41" s="33"/>
      <c r="E41" s="61"/>
      <c r="F41" s="34"/>
      <c r="G41" s="22" t="str">
        <f>IF(ISBLANK(F41),"",INT((Parâmetros!$B$3-F41)/365.25))</f>
        <v/>
      </c>
      <c r="H41" s="64"/>
      <c r="I41" s="37" t="str">
        <f t="shared" si="0"/>
        <v/>
      </c>
      <c r="J41" s="78"/>
      <c r="K41" s="14" t="b">
        <f t="shared" si="2"/>
        <v>0</v>
      </c>
      <c r="L41" s="39" t="str">
        <f t="shared" si="1"/>
        <v/>
      </c>
      <c r="M41" s="22" t="str">
        <f>IF(ISBLANK(H41),"",IF(I41-Parâmetros!$B$3+1&lt;=30,I41-Parâmetros!$B$3+1,IF(I41-Parâmetros!$B$3+1&gt;30,I41-Parâmetros!$B$3+1)))</f>
        <v/>
      </c>
    </row>
    <row r="42" spans="2:13" x14ac:dyDescent="0.25">
      <c r="B42" s="66">
        <v>37</v>
      </c>
      <c r="C42" s="15"/>
      <c r="D42" s="16"/>
      <c r="E42" s="62"/>
      <c r="F42" s="18"/>
      <c r="G42" s="13" t="str">
        <f>IF(ISBLANK(F42),"",INT((Parâmetros!$B$3-F42)/365.25))</f>
        <v/>
      </c>
      <c r="H42" s="11"/>
      <c r="I42" s="36" t="str">
        <f t="shared" si="0"/>
        <v/>
      </c>
      <c r="J42" s="77"/>
      <c r="K42" s="14" t="b">
        <f t="shared" si="2"/>
        <v>0</v>
      </c>
      <c r="L42" s="38" t="str">
        <f t="shared" si="1"/>
        <v/>
      </c>
      <c r="M42" s="13" t="str">
        <f>IF(ISBLANK(H42),"",IF(I42-Parâmetros!$B$3+1&lt;=30,I42-Parâmetros!$B$3+1,IF(I42-Parâmetros!$B$3+1&gt;30,I42-Parâmetros!$B$3+1)))</f>
        <v/>
      </c>
    </row>
    <row r="43" spans="2:13" x14ac:dyDescent="0.25">
      <c r="B43" s="67">
        <v>38</v>
      </c>
      <c r="C43" s="19"/>
      <c r="D43" s="33"/>
      <c r="E43" s="61"/>
      <c r="F43" s="34"/>
      <c r="G43" s="22" t="str">
        <f>IF(ISBLANK(F43),"",INT((Parâmetros!$B$3-F43)/365.25))</f>
        <v/>
      </c>
      <c r="H43" s="64"/>
      <c r="I43" s="37" t="str">
        <f t="shared" si="0"/>
        <v/>
      </c>
      <c r="J43" s="78"/>
      <c r="K43" s="14" t="b">
        <f t="shared" si="2"/>
        <v>0</v>
      </c>
      <c r="L43" s="39" t="str">
        <f t="shared" si="1"/>
        <v/>
      </c>
      <c r="M43" s="22" t="str">
        <f>IF(ISBLANK(H43),"",IF(I43-Parâmetros!$B$3+1&lt;=30,I43-Parâmetros!$B$3+1,IF(I43-Parâmetros!$B$3+1&gt;30,I43-Parâmetros!$B$3+1)))</f>
        <v/>
      </c>
    </row>
    <row r="44" spans="2:13" x14ac:dyDescent="0.25">
      <c r="B44" s="66">
        <v>39</v>
      </c>
      <c r="C44" s="15"/>
      <c r="D44" s="16"/>
      <c r="E44" s="62"/>
      <c r="F44" s="18"/>
      <c r="G44" s="13" t="str">
        <f>IF(ISBLANK(F44),"",INT((Parâmetros!$B$3-F44)/365.25))</f>
        <v/>
      </c>
      <c r="H44" s="11"/>
      <c r="I44" s="36" t="str">
        <f t="shared" si="0"/>
        <v/>
      </c>
      <c r="J44" s="77"/>
      <c r="K44" s="14" t="b">
        <f t="shared" si="2"/>
        <v>0</v>
      </c>
      <c r="L44" s="38" t="str">
        <f t="shared" si="1"/>
        <v/>
      </c>
      <c r="M44" s="13" t="str">
        <f>IF(ISBLANK(H44),"",IF(I44-Parâmetros!$B$3+1&lt;=30,I44-Parâmetros!$B$3+1,IF(I44-Parâmetros!$B$3+1&gt;30,I44-Parâmetros!$B$3+1)))</f>
        <v/>
      </c>
    </row>
    <row r="45" spans="2:13" x14ac:dyDescent="0.25">
      <c r="B45" s="67">
        <v>40</v>
      </c>
      <c r="C45" s="19"/>
      <c r="D45" s="33"/>
      <c r="E45" s="61"/>
      <c r="F45" s="34"/>
      <c r="G45" s="22" t="str">
        <f>IF(ISBLANK(F45),"",INT((Parâmetros!$B$3-F45)/365.25))</f>
        <v/>
      </c>
      <c r="H45" s="64"/>
      <c r="I45" s="37" t="str">
        <f t="shared" si="0"/>
        <v/>
      </c>
      <c r="J45" s="78"/>
      <c r="K45" s="14" t="b">
        <f t="shared" si="2"/>
        <v>0</v>
      </c>
      <c r="L45" s="39" t="str">
        <f t="shared" si="1"/>
        <v/>
      </c>
      <c r="M45" s="22" t="str">
        <f>IF(ISBLANK(H45),"",IF(I45-Parâmetros!$B$3+1&lt;=30,I45-Parâmetros!$B$3+1,IF(I45-Parâmetros!$B$3+1&gt;30,I45-Parâmetros!$B$3+1)))</f>
        <v/>
      </c>
    </row>
    <row r="46" spans="2:13" x14ac:dyDescent="0.25">
      <c r="B46" s="66">
        <v>41</v>
      </c>
      <c r="C46" s="15"/>
      <c r="D46" s="16"/>
      <c r="E46" s="62"/>
      <c r="F46" s="18"/>
      <c r="G46" s="13" t="str">
        <f>IF(ISBLANK(F46),"",INT((Parâmetros!$B$3-F46)/365.25))</f>
        <v/>
      </c>
      <c r="H46" s="11"/>
      <c r="I46" s="36" t="str">
        <f t="shared" si="0"/>
        <v/>
      </c>
      <c r="J46" s="77"/>
      <c r="K46" s="14" t="b">
        <f t="shared" si="2"/>
        <v>0</v>
      </c>
      <c r="L46" s="38" t="str">
        <f t="shared" si="1"/>
        <v/>
      </c>
      <c r="M46" s="13" t="str">
        <f>IF(ISBLANK(H46),"",IF(I46-Parâmetros!$B$3+1&lt;=30,I46-Parâmetros!$B$3+1,IF(I46-Parâmetros!$B$3+1&gt;30,I46-Parâmetros!$B$3+1)))</f>
        <v/>
      </c>
    </row>
    <row r="47" spans="2:13" x14ac:dyDescent="0.25">
      <c r="B47" s="67">
        <v>42</v>
      </c>
      <c r="C47" s="19"/>
      <c r="D47" s="33"/>
      <c r="E47" s="61"/>
      <c r="F47" s="34"/>
      <c r="G47" s="22" t="str">
        <f>IF(ISBLANK(F47),"",INT((Parâmetros!$B$3-F47)/365.25))</f>
        <v/>
      </c>
      <c r="H47" s="64"/>
      <c r="I47" s="37" t="str">
        <f t="shared" si="0"/>
        <v/>
      </c>
      <c r="J47" s="78"/>
      <c r="K47" s="14" t="b">
        <f t="shared" si="2"/>
        <v>0</v>
      </c>
      <c r="L47" s="39" t="str">
        <f t="shared" si="1"/>
        <v/>
      </c>
      <c r="M47" s="22" t="str">
        <f>IF(ISBLANK(H47),"",IF(I47-Parâmetros!$B$3+1&lt;=30,I47-Parâmetros!$B$3+1,IF(I47-Parâmetros!$B$3+1&gt;30,I47-Parâmetros!$B$3+1)))</f>
        <v/>
      </c>
    </row>
    <row r="48" spans="2:13" x14ac:dyDescent="0.25">
      <c r="B48" s="66">
        <v>43</v>
      </c>
      <c r="C48" s="15"/>
      <c r="D48" s="16"/>
      <c r="E48" s="62"/>
      <c r="F48" s="18"/>
      <c r="G48" s="13" t="str">
        <f>IF(ISBLANK(F48),"",INT((Parâmetros!$B$3-F48)/365.25))</f>
        <v/>
      </c>
      <c r="H48" s="11"/>
      <c r="I48" s="36" t="str">
        <f t="shared" si="0"/>
        <v/>
      </c>
      <c r="J48" s="77"/>
      <c r="K48" s="14" t="b">
        <f t="shared" si="2"/>
        <v>0</v>
      </c>
      <c r="L48" s="38" t="str">
        <f t="shared" si="1"/>
        <v/>
      </c>
      <c r="M48" s="13" t="str">
        <f>IF(ISBLANK(H48),"",IF(I48-Parâmetros!$B$3+1&lt;=30,I48-Parâmetros!$B$3+1,IF(I48-Parâmetros!$B$3+1&gt;30,I48-Parâmetros!$B$3+1)))</f>
        <v/>
      </c>
    </row>
    <row r="49" spans="2:13" x14ac:dyDescent="0.25">
      <c r="B49" s="67">
        <v>44</v>
      </c>
      <c r="C49" s="19"/>
      <c r="D49" s="33"/>
      <c r="E49" s="61"/>
      <c r="F49" s="34"/>
      <c r="G49" s="22" t="str">
        <f>IF(ISBLANK(F49),"",INT((Parâmetros!$B$3-F49)/365.25))</f>
        <v/>
      </c>
      <c r="H49" s="64"/>
      <c r="I49" s="37" t="str">
        <f t="shared" si="0"/>
        <v/>
      </c>
      <c r="J49" s="78"/>
      <c r="K49" s="14" t="b">
        <f t="shared" si="2"/>
        <v>0</v>
      </c>
      <c r="L49" s="39" t="str">
        <f t="shared" si="1"/>
        <v/>
      </c>
      <c r="M49" s="22" t="str">
        <f>IF(ISBLANK(H49),"",IF(I49-Parâmetros!$B$3+1&lt;=30,I49-Parâmetros!$B$3+1,IF(I49-Parâmetros!$B$3+1&gt;30,I49-Parâmetros!$B$3+1)))</f>
        <v/>
      </c>
    </row>
    <row r="50" spans="2:13" x14ac:dyDescent="0.25">
      <c r="B50" s="66">
        <v>45</v>
      </c>
      <c r="C50" s="15"/>
      <c r="D50" s="16"/>
      <c r="E50" s="62"/>
      <c r="F50" s="18"/>
      <c r="G50" s="13" t="str">
        <f>IF(ISBLANK(F50),"",INT((Parâmetros!$B$3-F50)/365.25))</f>
        <v/>
      </c>
      <c r="H50" s="11"/>
      <c r="I50" s="36" t="str">
        <f t="shared" si="0"/>
        <v/>
      </c>
      <c r="J50" s="77"/>
      <c r="K50" s="14" t="b">
        <f t="shared" si="2"/>
        <v>0</v>
      </c>
      <c r="L50" s="38" t="str">
        <f t="shared" si="1"/>
        <v/>
      </c>
      <c r="M50" s="13" t="str">
        <f>IF(ISBLANK(H50),"",IF(I50-Parâmetros!$B$3+1&lt;=30,I50-Parâmetros!$B$3+1,IF(I50-Parâmetros!$B$3+1&gt;30,I50-Parâmetros!$B$3+1)))</f>
        <v/>
      </c>
    </row>
    <row r="51" spans="2:13" x14ac:dyDescent="0.25">
      <c r="B51" s="67">
        <v>46</v>
      </c>
      <c r="C51" s="19"/>
      <c r="D51" s="33"/>
      <c r="E51" s="61"/>
      <c r="F51" s="34"/>
      <c r="G51" s="22" t="str">
        <f>IF(ISBLANK(F51),"",INT((Parâmetros!$B$3-F51)/365.25))</f>
        <v/>
      </c>
      <c r="H51" s="64"/>
      <c r="I51" s="37" t="str">
        <f t="shared" si="0"/>
        <v/>
      </c>
      <c r="J51" s="78"/>
      <c r="K51" s="14" t="b">
        <f t="shared" si="2"/>
        <v>0</v>
      </c>
      <c r="L51" s="39" t="str">
        <f t="shared" si="1"/>
        <v/>
      </c>
      <c r="M51" s="22" t="str">
        <f>IF(ISBLANK(H51),"",IF(I51-Parâmetros!$B$3+1&lt;=30,I51-Parâmetros!$B$3+1,IF(I51-Parâmetros!$B$3+1&gt;30,I51-Parâmetros!$B$3+1)))</f>
        <v/>
      </c>
    </row>
    <row r="52" spans="2:13" x14ac:dyDescent="0.25">
      <c r="B52" s="66">
        <v>47</v>
      </c>
      <c r="C52" s="15"/>
      <c r="D52" s="16"/>
      <c r="E52" s="62"/>
      <c r="F52" s="18"/>
      <c r="G52" s="13" t="str">
        <f>IF(ISBLANK(F52),"",INT((Parâmetros!$B$3-F52)/365.25))</f>
        <v/>
      </c>
      <c r="H52" s="11"/>
      <c r="I52" s="36" t="str">
        <f t="shared" si="0"/>
        <v/>
      </c>
      <c r="J52" s="77"/>
      <c r="K52" s="14" t="b">
        <f t="shared" si="2"/>
        <v>0</v>
      </c>
      <c r="L52" s="38" t="str">
        <f t="shared" si="1"/>
        <v/>
      </c>
      <c r="M52" s="13" t="str">
        <f>IF(ISBLANK(H52),"",IF(I52-Parâmetros!$B$3+1&lt;=30,I52-Parâmetros!$B$3+1,IF(I52-Parâmetros!$B$3+1&gt;30,I52-Parâmetros!$B$3+1)))</f>
        <v/>
      </c>
    </row>
    <row r="53" spans="2:13" x14ac:dyDescent="0.25">
      <c r="B53" s="67">
        <v>48</v>
      </c>
      <c r="C53" s="19"/>
      <c r="D53" s="33"/>
      <c r="E53" s="61"/>
      <c r="F53" s="34"/>
      <c r="G53" s="22" t="str">
        <f>IF(ISBLANK(F53),"",INT((Parâmetros!$B$3-F53)/365.25))</f>
        <v/>
      </c>
      <c r="H53" s="64"/>
      <c r="I53" s="37" t="str">
        <f t="shared" si="0"/>
        <v/>
      </c>
      <c r="J53" s="78"/>
      <c r="K53" s="14" t="b">
        <f t="shared" si="2"/>
        <v>0</v>
      </c>
      <c r="L53" s="39" t="str">
        <f t="shared" si="1"/>
        <v/>
      </c>
      <c r="M53" s="22" t="str">
        <f>IF(ISBLANK(H53),"",IF(I53-Parâmetros!$B$3+1&lt;=30,I53-Parâmetros!$B$3+1,IF(I53-Parâmetros!$B$3+1&gt;30,I53-Parâmetros!$B$3+1)))</f>
        <v/>
      </c>
    </row>
    <row r="54" spans="2:13" x14ac:dyDescent="0.25">
      <c r="B54" s="66">
        <v>49</v>
      </c>
      <c r="C54" s="15"/>
      <c r="D54" s="16"/>
      <c r="E54" s="62"/>
      <c r="F54" s="18"/>
      <c r="G54" s="13" t="str">
        <f>IF(ISBLANK(F54),"",INT((Parâmetros!$B$3-F54)/365.25))</f>
        <v/>
      </c>
      <c r="H54" s="11"/>
      <c r="I54" s="36" t="str">
        <f t="shared" si="0"/>
        <v/>
      </c>
      <c r="J54" s="77"/>
      <c r="K54" s="14" t="b">
        <f t="shared" si="2"/>
        <v>0</v>
      </c>
      <c r="L54" s="38" t="str">
        <f t="shared" si="1"/>
        <v/>
      </c>
      <c r="M54" s="13" t="str">
        <f>IF(ISBLANK(H54),"",IF(I54-Parâmetros!$B$3+1&lt;=30,I54-Parâmetros!$B$3+1,IF(I54-Parâmetros!$B$3+1&gt;30,I54-Parâmetros!$B$3+1)))</f>
        <v/>
      </c>
    </row>
    <row r="55" spans="2:13" x14ac:dyDescent="0.25">
      <c r="B55" s="67">
        <v>50</v>
      </c>
      <c r="C55" s="19"/>
      <c r="D55" s="35"/>
      <c r="E55" s="61"/>
      <c r="F55" s="34"/>
      <c r="G55" s="22" t="str">
        <f>IF(ISBLANK(F55),"",INT((Parâmetros!$B$3-F55)/365.25))</f>
        <v/>
      </c>
      <c r="H55" s="64"/>
      <c r="I55" s="37" t="str">
        <f t="shared" si="0"/>
        <v/>
      </c>
      <c r="J55" s="78"/>
      <c r="K55" s="14" t="b">
        <f t="shared" si="2"/>
        <v>0</v>
      </c>
      <c r="L55" s="39" t="str">
        <f t="shared" si="1"/>
        <v/>
      </c>
      <c r="M55" s="22" t="str">
        <f>IF(ISBLANK(H55),"",IF(I55-Parâmetros!$B$3+1&lt;=30,I55-Parâmetros!$B$3+1,IF(I55-Parâmetros!$B$3+1&gt;30,I55-Parâmetros!$B$3+1)))</f>
        <v/>
      </c>
    </row>
    <row r="56" spans="2:13" x14ac:dyDescent="0.25">
      <c r="B56" s="68">
        <v>51</v>
      </c>
      <c r="C56" s="42"/>
      <c r="D56" s="43"/>
      <c r="E56" s="63"/>
      <c r="F56" s="44"/>
      <c r="G56" s="13" t="str">
        <f>IF(ISBLANK(F56),"",INT((Parâmetros!$B$3-F56)/365.25))</f>
        <v/>
      </c>
      <c r="H56" s="65"/>
      <c r="I56" s="36" t="str">
        <f t="shared" si="0"/>
        <v/>
      </c>
      <c r="J56" s="77"/>
      <c r="K56" s="14" t="b">
        <f t="shared" si="2"/>
        <v>0</v>
      </c>
      <c r="L56" s="38" t="str">
        <f t="shared" si="1"/>
        <v/>
      </c>
      <c r="M56" s="13" t="str">
        <f>IF(ISBLANK(H56),"",IF(I56-Parâmetros!$B$3+1&lt;=30,I56-Parâmetros!$B$3+1,IF(I56-Parâmetros!$B$3+1&gt;30,I56-Parâmetros!$B$3+1)))</f>
        <v/>
      </c>
    </row>
    <row r="57" spans="2:13" x14ac:dyDescent="0.25">
      <c r="B57" s="67">
        <v>52</v>
      </c>
      <c r="C57" s="19"/>
      <c r="D57" s="35"/>
      <c r="E57" s="61"/>
      <c r="F57" s="34"/>
      <c r="G57" s="22" t="str">
        <f>IF(ISBLANK(F57),"",INT((Parâmetros!$B$3-F57)/365.25))</f>
        <v/>
      </c>
      <c r="H57" s="64"/>
      <c r="I57" s="37" t="str">
        <f t="shared" si="0"/>
        <v/>
      </c>
      <c r="J57" s="78"/>
      <c r="K57" s="14" t="b">
        <f t="shared" si="2"/>
        <v>0</v>
      </c>
      <c r="L57" s="39" t="str">
        <f t="shared" si="1"/>
        <v/>
      </c>
      <c r="M57" s="22" t="str">
        <f>IF(ISBLANK(H57),"",IF(I57-Parâmetros!$B$3+1&lt;=30,I57-Parâmetros!$B$3+1,IF(I57-Parâmetros!$B$3+1&gt;30,I57-Parâmetros!$B$3+1)))</f>
        <v/>
      </c>
    </row>
    <row r="58" spans="2:13" x14ac:dyDescent="0.25">
      <c r="B58" s="68">
        <v>53</v>
      </c>
      <c r="C58" s="42"/>
      <c r="D58" s="43"/>
      <c r="E58" s="63"/>
      <c r="F58" s="44"/>
      <c r="G58" s="13" t="str">
        <f>IF(ISBLANK(F58),"",INT((Parâmetros!$B$3-F58)/365.25))</f>
        <v/>
      </c>
      <c r="H58" s="65"/>
      <c r="I58" s="36" t="str">
        <f t="shared" si="0"/>
        <v/>
      </c>
      <c r="J58" s="77"/>
      <c r="K58" s="14" t="b">
        <f t="shared" si="2"/>
        <v>0</v>
      </c>
      <c r="L58" s="38" t="str">
        <f t="shared" si="1"/>
        <v/>
      </c>
      <c r="M58" s="13" t="str">
        <f>IF(ISBLANK(H58),"",IF(I58-Parâmetros!$B$3+1&lt;=30,I58-Parâmetros!$B$3+1,IF(I58-Parâmetros!$B$3+1&gt;30,I58-Parâmetros!$B$3+1)))</f>
        <v/>
      </c>
    </row>
    <row r="59" spans="2:13" x14ac:dyDescent="0.25">
      <c r="B59" s="67">
        <v>54</v>
      </c>
      <c r="C59" s="19"/>
      <c r="D59" s="35"/>
      <c r="E59" s="61"/>
      <c r="F59" s="34"/>
      <c r="G59" s="22" t="str">
        <f>IF(ISBLANK(F59),"",INT((Parâmetros!$B$3-F59)/365.25))</f>
        <v/>
      </c>
      <c r="H59" s="64"/>
      <c r="I59" s="37" t="str">
        <f t="shared" si="0"/>
        <v/>
      </c>
      <c r="J59" s="78"/>
      <c r="K59" s="14" t="b">
        <f t="shared" si="2"/>
        <v>0</v>
      </c>
      <c r="L59" s="39" t="str">
        <f t="shared" si="1"/>
        <v/>
      </c>
      <c r="M59" s="22" t="str">
        <f>IF(ISBLANK(H59),"",IF(I59-Parâmetros!$B$3+1&lt;=30,I59-Parâmetros!$B$3+1,IF(I59-Parâmetros!$B$3+1&gt;30,I59-Parâmetros!$B$3+1)))</f>
        <v/>
      </c>
    </row>
    <row r="60" spans="2:13" x14ac:dyDescent="0.25">
      <c r="B60" s="68">
        <v>55</v>
      </c>
      <c r="C60" s="42"/>
      <c r="D60" s="43"/>
      <c r="E60" s="63"/>
      <c r="F60" s="44"/>
      <c r="G60" s="13" t="str">
        <f>IF(ISBLANK(F60),"",INT((Parâmetros!$B$3-F60)/365.25))</f>
        <v/>
      </c>
      <c r="H60" s="65"/>
      <c r="I60" s="36" t="str">
        <f t="shared" si="0"/>
        <v/>
      </c>
      <c r="J60" s="77"/>
      <c r="K60" s="14" t="b">
        <f t="shared" si="2"/>
        <v>0</v>
      </c>
      <c r="L60" s="38" t="str">
        <f t="shared" si="1"/>
        <v/>
      </c>
      <c r="M60" s="13" t="str">
        <f>IF(ISBLANK(H60),"",IF(I60-Parâmetros!$B$3+1&lt;=30,I60-Parâmetros!$B$3+1,IF(I60-Parâmetros!$B$3+1&gt;30,I60-Parâmetros!$B$3+1)))</f>
        <v/>
      </c>
    </row>
    <row r="61" spans="2:13" x14ac:dyDescent="0.25">
      <c r="B61" s="67">
        <v>56</v>
      </c>
      <c r="C61" s="19"/>
      <c r="D61" s="35"/>
      <c r="E61" s="61"/>
      <c r="F61" s="34"/>
      <c r="G61" s="22" t="str">
        <f>IF(ISBLANK(F61),"",INT((Parâmetros!$B$3-F61)/365.25))</f>
        <v/>
      </c>
      <c r="H61" s="64"/>
      <c r="I61" s="37" t="str">
        <f t="shared" si="0"/>
        <v/>
      </c>
      <c r="J61" s="78"/>
      <c r="K61" s="14" t="b">
        <f t="shared" si="2"/>
        <v>0</v>
      </c>
      <c r="L61" s="39" t="str">
        <f t="shared" si="1"/>
        <v/>
      </c>
      <c r="M61" s="22" t="str">
        <f>IF(ISBLANK(H61),"",IF(I61-Parâmetros!$B$3+1&lt;=30,I61-Parâmetros!$B$3+1,IF(I61-Parâmetros!$B$3+1&gt;30,I61-Parâmetros!$B$3+1)))</f>
        <v/>
      </c>
    </row>
    <row r="62" spans="2:13" x14ac:dyDescent="0.25">
      <c r="B62" s="68">
        <v>57</v>
      </c>
      <c r="C62" s="42"/>
      <c r="D62" s="43"/>
      <c r="E62" s="63"/>
      <c r="F62" s="44"/>
      <c r="G62" s="13" t="str">
        <f>IF(ISBLANK(F62),"",INT((Parâmetros!$B$3-F62)/365.25))</f>
        <v/>
      </c>
      <c r="H62" s="65"/>
      <c r="I62" s="36" t="str">
        <f t="shared" si="0"/>
        <v/>
      </c>
      <c r="J62" s="77"/>
      <c r="K62" s="14" t="b">
        <f t="shared" si="2"/>
        <v>0</v>
      </c>
      <c r="L62" s="38" t="str">
        <f t="shared" si="1"/>
        <v/>
      </c>
      <c r="M62" s="13" t="str">
        <f>IF(ISBLANK(H62),"",IF(I62-Parâmetros!$B$3+1&lt;=30,I62-Parâmetros!$B$3+1,IF(I62-Parâmetros!$B$3+1&gt;30,I62-Parâmetros!$B$3+1)))</f>
        <v/>
      </c>
    </row>
    <row r="63" spans="2:13" x14ac:dyDescent="0.25">
      <c r="B63" s="67">
        <v>58</v>
      </c>
      <c r="C63" s="19"/>
      <c r="D63" s="35"/>
      <c r="E63" s="61"/>
      <c r="F63" s="34"/>
      <c r="G63" s="22" t="str">
        <f>IF(ISBLANK(F63),"",INT((Parâmetros!$B$3-F63)/365.25))</f>
        <v/>
      </c>
      <c r="H63" s="64"/>
      <c r="I63" s="37" t="str">
        <f t="shared" si="0"/>
        <v/>
      </c>
      <c r="J63" s="78"/>
      <c r="K63" s="14" t="b">
        <f t="shared" si="2"/>
        <v>0</v>
      </c>
      <c r="L63" s="39" t="str">
        <f t="shared" si="1"/>
        <v/>
      </c>
      <c r="M63" s="22" t="str">
        <f>IF(ISBLANK(H63),"",IF(I63-Parâmetros!$B$3+1&lt;=30,I63-Parâmetros!$B$3+1,IF(I63-Parâmetros!$B$3+1&gt;30,I63-Parâmetros!$B$3+1)))</f>
        <v/>
      </c>
    </row>
    <row r="64" spans="2:13" x14ac:dyDescent="0.25">
      <c r="B64" s="68">
        <v>59</v>
      </c>
      <c r="C64" s="42"/>
      <c r="D64" s="43"/>
      <c r="E64" s="63"/>
      <c r="F64" s="44"/>
      <c r="G64" s="13" t="str">
        <f>IF(ISBLANK(F64),"",INT((Parâmetros!$B$3-F64)/365.25))</f>
        <v/>
      </c>
      <c r="H64" s="65"/>
      <c r="I64" s="36" t="str">
        <f t="shared" si="0"/>
        <v/>
      </c>
      <c r="J64" s="77"/>
      <c r="K64" s="14" t="b">
        <f t="shared" si="2"/>
        <v>0</v>
      </c>
      <c r="L64" s="38" t="str">
        <f t="shared" si="1"/>
        <v/>
      </c>
      <c r="M64" s="13" t="str">
        <f>IF(ISBLANK(H64),"",IF(I64-Parâmetros!$B$3+1&lt;=30,I64-Parâmetros!$B$3+1,IF(I64-Parâmetros!$B$3+1&gt;30,I64-Parâmetros!$B$3+1)))</f>
        <v/>
      </c>
    </row>
    <row r="65" spans="2:13" x14ac:dyDescent="0.25">
      <c r="B65" s="67">
        <v>60</v>
      </c>
      <c r="C65" s="19"/>
      <c r="D65" s="35"/>
      <c r="E65" s="61"/>
      <c r="F65" s="34"/>
      <c r="G65" s="22" t="str">
        <f>IF(ISBLANK(F65),"",INT((Parâmetros!$B$3-F65)/365.25))</f>
        <v/>
      </c>
      <c r="H65" s="64"/>
      <c r="I65" s="37" t="str">
        <f t="shared" si="0"/>
        <v/>
      </c>
      <c r="J65" s="78"/>
      <c r="K65" s="14" t="b">
        <f t="shared" si="2"/>
        <v>0</v>
      </c>
      <c r="L65" s="39" t="str">
        <f t="shared" si="1"/>
        <v/>
      </c>
      <c r="M65" s="22" t="str">
        <f>IF(ISBLANK(H65),"",IF(I65-Parâmetros!$B$3+1&lt;=30,I65-Parâmetros!$B$3+1,IF(I65-Parâmetros!$B$3+1&gt;30,I65-Parâmetros!$B$3+1)))</f>
        <v/>
      </c>
    </row>
    <row r="66" spans="2:13" x14ac:dyDescent="0.25">
      <c r="B66" s="68">
        <v>61</v>
      </c>
      <c r="C66" s="42"/>
      <c r="D66" s="43"/>
      <c r="E66" s="63"/>
      <c r="F66" s="44"/>
      <c r="G66" s="13" t="str">
        <f>IF(ISBLANK(F66),"",INT((Parâmetros!$B$3-F66)/365.25))</f>
        <v/>
      </c>
      <c r="H66" s="65"/>
      <c r="I66" s="36" t="str">
        <f t="shared" si="0"/>
        <v/>
      </c>
      <c r="J66" s="77"/>
      <c r="K66" s="14" t="b">
        <f t="shared" si="2"/>
        <v>0</v>
      </c>
      <c r="L66" s="38" t="str">
        <f t="shared" si="1"/>
        <v/>
      </c>
      <c r="M66" s="13" t="str">
        <f>IF(ISBLANK(H66),"",IF(I66-Parâmetros!$B$3+1&lt;=30,I66-Parâmetros!$B$3+1,IF(I66-Parâmetros!$B$3+1&gt;30,I66-Parâmetros!$B$3+1)))</f>
        <v/>
      </c>
    </row>
    <row r="67" spans="2:13" x14ac:dyDescent="0.25">
      <c r="B67" s="67">
        <v>62</v>
      </c>
      <c r="C67" s="19"/>
      <c r="D67" s="35"/>
      <c r="E67" s="61"/>
      <c r="F67" s="34"/>
      <c r="G67" s="22" t="str">
        <f>IF(ISBLANK(F67),"",INT((Parâmetros!$B$3-F67)/365.25))</f>
        <v/>
      </c>
      <c r="H67" s="64"/>
      <c r="I67" s="37" t="str">
        <f t="shared" si="0"/>
        <v/>
      </c>
      <c r="J67" s="78"/>
      <c r="K67" s="14" t="b">
        <f t="shared" si="2"/>
        <v>0</v>
      </c>
      <c r="L67" s="39" t="str">
        <f t="shared" si="1"/>
        <v/>
      </c>
      <c r="M67" s="22" t="str">
        <f>IF(ISBLANK(H67),"",IF(I67-Parâmetros!$B$3+1&lt;=30,I67-Parâmetros!$B$3+1,IF(I67-Parâmetros!$B$3+1&gt;30,I67-Parâmetros!$B$3+1)))</f>
        <v/>
      </c>
    </row>
    <row r="68" spans="2:13" x14ac:dyDescent="0.25">
      <c r="B68" s="68">
        <v>63</v>
      </c>
      <c r="C68" s="42"/>
      <c r="D68" s="43"/>
      <c r="E68" s="63"/>
      <c r="F68" s="44"/>
      <c r="G68" s="13" t="str">
        <f>IF(ISBLANK(F68),"",INT((Parâmetros!$B$3-F68)/365.25))</f>
        <v/>
      </c>
      <c r="H68" s="65"/>
      <c r="I68" s="36" t="str">
        <f t="shared" si="0"/>
        <v/>
      </c>
      <c r="J68" s="77"/>
      <c r="K68" s="14" t="b">
        <f t="shared" si="2"/>
        <v>0</v>
      </c>
      <c r="L68" s="38" t="str">
        <f t="shared" si="1"/>
        <v/>
      </c>
      <c r="M68" s="13" t="str">
        <f>IF(ISBLANK(H68),"",IF(I68-Parâmetros!$B$3+1&lt;=30,I68-Parâmetros!$B$3+1,IF(I68-Parâmetros!$B$3+1&gt;30,I68-Parâmetros!$B$3+1)))</f>
        <v/>
      </c>
    </row>
    <row r="69" spans="2:13" x14ac:dyDescent="0.25">
      <c r="B69" s="67">
        <v>64</v>
      </c>
      <c r="C69" s="19"/>
      <c r="D69" s="35"/>
      <c r="E69" s="61"/>
      <c r="F69" s="34"/>
      <c r="G69" s="22" t="str">
        <f>IF(ISBLANK(F69),"",INT((Parâmetros!$B$3-F69)/365.25))</f>
        <v/>
      </c>
      <c r="H69" s="64"/>
      <c r="I69" s="37" t="str">
        <f t="shared" si="0"/>
        <v/>
      </c>
      <c r="J69" s="78"/>
      <c r="K69" s="14" t="b">
        <f t="shared" si="2"/>
        <v>0</v>
      </c>
      <c r="L69" s="39" t="str">
        <f t="shared" si="1"/>
        <v/>
      </c>
      <c r="M69" s="22" t="str">
        <f>IF(ISBLANK(H69),"",IF(I69-Parâmetros!$B$3+1&lt;=30,I69-Parâmetros!$B$3+1,IF(I69-Parâmetros!$B$3+1&gt;30,I69-Parâmetros!$B$3+1)))</f>
        <v/>
      </c>
    </row>
    <row r="70" spans="2:13" x14ac:dyDescent="0.25">
      <c r="B70" s="68">
        <v>65</v>
      </c>
      <c r="C70" s="42"/>
      <c r="D70" s="43"/>
      <c r="E70" s="63"/>
      <c r="F70" s="44"/>
      <c r="G70" s="13" t="str">
        <f>IF(ISBLANK(F70),"",INT((Parâmetros!$B$3-F70)/365.25))</f>
        <v/>
      </c>
      <c r="H70" s="65"/>
      <c r="I70" s="36" t="str">
        <f t="shared" ref="I70:I133" si="3">IF(ISBLANK(H70),"",IF(K70=1,H70+365,IF(K70=2,H70+730,IF(K70=3,H70+182))))</f>
        <v/>
      </c>
      <c r="J70" s="77"/>
      <c r="K70" s="14" t="b">
        <f t="shared" si="2"/>
        <v>0</v>
      </c>
      <c r="L70" s="38" t="str">
        <f t="shared" ref="L70:L133" si="4">IF(ISBLANK(C70),"",IF(ISBLANK(H70),"Informar Data último exame",IF(AND(M70&gt;0,M70&lt;=30),"Atenção, menos de 30 dias",IF(M70&gt;30,"No prazo",IF(M70&lt;0,"Exame vencido")))))</f>
        <v/>
      </c>
      <c r="M70" s="13" t="str">
        <f>IF(ISBLANK(H70),"",IF(I70-Parâmetros!$B$3+1&lt;=30,I70-Parâmetros!$B$3+1,IF(I70-Parâmetros!$B$3+1&gt;30,I70-Parâmetros!$B$3+1)))</f>
        <v/>
      </c>
    </row>
    <row r="71" spans="2:13" x14ac:dyDescent="0.25">
      <c r="B71" s="67">
        <v>66</v>
      </c>
      <c r="C71" s="19"/>
      <c r="D71" s="35"/>
      <c r="E71" s="61"/>
      <c r="F71" s="34"/>
      <c r="G71" s="22" t="str">
        <f>IF(ISBLANK(F71),"",INT((Parâmetros!$B$3-F71)/365.25))</f>
        <v/>
      </c>
      <c r="H71" s="64"/>
      <c r="I71" s="37" t="str">
        <f t="shared" si="3"/>
        <v/>
      </c>
      <c r="J71" s="78"/>
      <c r="K71" s="14" t="b">
        <f t="shared" si="2"/>
        <v>0</v>
      </c>
      <c r="L71" s="39" t="str">
        <f t="shared" si="4"/>
        <v/>
      </c>
      <c r="M71" s="22" t="str">
        <f>IF(ISBLANK(H71),"",IF(I71-Parâmetros!$B$3+1&lt;=30,I71-Parâmetros!$B$3+1,IF(I71-Parâmetros!$B$3+1&gt;30,I71-Parâmetros!$B$3+1)))</f>
        <v/>
      </c>
    </row>
    <row r="72" spans="2:13" x14ac:dyDescent="0.25">
      <c r="B72" s="68">
        <v>67</v>
      </c>
      <c r="C72" s="42"/>
      <c r="D72" s="43"/>
      <c r="E72" s="63"/>
      <c r="F72" s="44"/>
      <c r="G72" s="13" t="str">
        <f>IF(ISBLANK(F72),"",INT((Parâmetros!$B$3-F72)/365.25))</f>
        <v/>
      </c>
      <c r="H72" s="65"/>
      <c r="I72" s="36" t="str">
        <f t="shared" si="3"/>
        <v/>
      </c>
      <c r="J72" s="77"/>
      <c r="K72" s="14" t="b">
        <f t="shared" ref="K72:K135" si="5">IF(J72="1 ANO",1,IF(J72="2 ANOS",2,IF(J72="6 MESES",3)))</f>
        <v>0</v>
      </c>
      <c r="L72" s="38" t="str">
        <f t="shared" si="4"/>
        <v/>
      </c>
      <c r="M72" s="13" t="str">
        <f>IF(ISBLANK(H72),"",IF(I72-Parâmetros!$B$3+1&lt;=30,I72-Parâmetros!$B$3+1,IF(I72-Parâmetros!$B$3+1&gt;30,I72-Parâmetros!$B$3+1)))</f>
        <v/>
      </c>
    </row>
    <row r="73" spans="2:13" x14ac:dyDescent="0.25">
      <c r="B73" s="67">
        <v>68</v>
      </c>
      <c r="C73" s="19"/>
      <c r="D73" s="35"/>
      <c r="E73" s="61"/>
      <c r="F73" s="34"/>
      <c r="G73" s="22" t="str">
        <f>IF(ISBLANK(F73),"",INT((Parâmetros!$B$3-F73)/365.25))</f>
        <v/>
      </c>
      <c r="H73" s="64"/>
      <c r="I73" s="37" t="str">
        <f t="shared" si="3"/>
        <v/>
      </c>
      <c r="J73" s="78"/>
      <c r="K73" s="14" t="b">
        <f t="shared" si="5"/>
        <v>0</v>
      </c>
      <c r="L73" s="39" t="str">
        <f t="shared" si="4"/>
        <v/>
      </c>
      <c r="M73" s="22" t="str">
        <f>IF(ISBLANK(H73),"",IF(I73-Parâmetros!$B$3+1&lt;=30,I73-Parâmetros!$B$3+1,IF(I73-Parâmetros!$B$3+1&gt;30,I73-Parâmetros!$B$3+1)))</f>
        <v/>
      </c>
    </row>
    <row r="74" spans="2:13" x14ac:dyDescent="0.25">
      <c r="B74" s="68">
        <v>69</v>
      </c>
      <c r="C74" s="42"/>
      <c r="D74" s="43"/>
      <c r="E74" s="63"/>
      <c r="F74" s="44"/>
      <c r="G74" s="13" t="str">
        <f>IF(ISBLANK(F74),"",INT((Parâmetros!$B$3-F74)/365.25))</f>
        <v/>
      </c>
      <c r="H74" s="65"/>
      <c r="I74" s="36" t="str">
        <f t="shared" si="3"/>
        <v/>
      </c>
      <c r="J74" s="77"/>
      <c r="K74" s="14" t="b">
        <f t="shared" si="5"/>
        <v>0</v>
      </c>
      <c r="L74" s="38" t="str">
        <f t="shared" si="4"/>
        <v/>
      </c>
      <c r="M74" s="13" t="str">
        <f>IF(ISBLANK(H74),"",IF(I74-Parâmetros!$B$3+1&lt;=30,I74-Parâmetros!$B$3+1,IF(I74-Parâmetros!$B$3+1&gt;30,I74-Parâmetros!$B$3+1)))</f>
        <v/>
      </c>
    </row>
    <row r="75" spans="2:13" x14ac:dyDescent="0.25">
      <c r="B75" s="67">
        <v>70</v>
      </c>
      <c r="C75" s="19"/>
      <c r="D75" s="35"/>
      <c r="E75" s="61"/>
      <c r="F75" s="34"/>
      <c r="G75" s="22" t="str">
        <f>IF(ISBLANK(F75),"",INT((Parâmetros!$B$3-F75)/365.25))</f>
        <v/>
      </c>
      <c r="H75" s="64"/>
      <c r="I75" s="37" t="str">
        <f t="shared" si="3"/>
        <v/>
      </c>
      <c r="J75" s="78"/>
      <c r="K75" s="14" t="b">
        <f t="shared" si="5"/>
        <v>0</v>
      </c>
      <c r="L75" s="39" t="str">
        <f t="shared" si="4"/>
        <v/>
      </c>
      <c r="M75" s="22" t="str">
        <f>IF(ISBLANK(H75),"",IF(I75-Parâmetros!$B$3+1&lt;=30,I75-Parâmetros!$B$3+1,IF(I75-Parâmetros!$B$3+1&gt;30,I75-Parâmetros!$B$3+1)))</f>
        <v/>
      </c>
    </row>
    <row r="76" spans="2:13" x14ac:dyDescent="0.25">
      <c r="B76" s="68">
        <v>71</v>
      </c>
      <c r="C76" s="42"/>
      <c r="D76" s="43"/>
      <c r="E76" s="63"/>
      <c r="F76" s="44"/>
      <c r="G76" s="13" t="str">
        <f>IF(ISBLANK(F76),"",INT((Parâmetros!$B$3-F76)/365.25))</f>
        <v/>
      </c>
      <c r="H76" s="65"/>
      <c r="I76" s="36" t="str">
        <f t="shared" si="3"/>
        <v/>
      </c>
      <c r="J76" s="77"/>
      <c r="K76" s="14" t="b">
        <f t="shared" si="5"/>
        <v>0</v>
      </c>
      <c r="L76" s="38" t="str">
        <f t="shared" si="4"/>
        <v/>
      </c>
      <c r="M76" s="13" t="str">
        <f>IF(ISBLANK(H76),"",IF(I76-Parâmetros!$B$3+1&lt;=30,I76-Parâmetros!$B$3+1,IF(I76-Parâmetros!$B$3+1&gt;30,I76-Parâmetros!$B$3+1)))</f>
        <v/>
      </c>
    </row>
    <row r="77" spans="2:13" x14ac:dyDescent="0.25">
      <c r="B77" s="67">
        <v>72</v>
      </c>
      <c r="C77" s="19"/>
      <c r="D77" s="35"/>
      <c r="E77" s="61"/>
      <c r="F77" s="34"/>
      <c r="G77" s="22" t="str">
        <f>IF(ISBLANK(F77),"",INT((Parâmetros!$B$3-F77)/365.25))</f>
        <v/>
      </c>
      <c r="H77" s="64"/>
      <c r="I77" s="37" t="str">
        <f t="shared" si="3"/>
        <v/>
      </c>
      <c r="J77" s="78"/>
      <c r="K77" s="14" t="b">
        <f t="shared" si="5"/>
        <v>0</v>
      </c>
      <c r="L77" s="39" t="str">
        <f t="shared" si="4"/>
        <v/>
      </c>
      <c r="M77" s="22" t="str">
        <f>IF(ISBLANK(H77),"",IF(I77-Parâmetros!$B$3+1&lt;=30,I77-Parâmetros!$B$3+1,IF(I77-Parâmetros!$B$3+1&gt;30,I77-Parâmetros!$B$3+1)))</f>
        <v/>
      </c>
    </row>
    <row r="78" spans="2:13" x14ac:dyDescent="0.25">
      <c r="B78" s="68">
        <v>73</v>
      </c>
      <c r="C78" s="42"/>
      <c r="D78" s="43"/>
      <c r="E78" s="63"/>
      <c r="F78" s="44"/>
      <c r="G78" s="13" t="str">
        <f>IF(ISBLANK(F78),"",INT((Parâmetros!$B$3-F78)/365.25))</f>
        <v/>
      </c>
      <c r="H78" s="65"/>
      <c r="I78" s="36" t="str">
        <f t="shared" si="3"/>
        <v/>
      </c>
      <c r="J78" s="77"/>
      <c r="K78" s="14" t="b">
        <f t="shared" si="5"/>
        <v>0</v>
      </c>
      <c r="L78" s="38" t="str">
        <f t="shared" si="4"/>
        <v/>
      </c>
      <c r="M78" s="13" t="str">
        <f>IF(ISBLANK(H78),"",IF(I78-Parâmetros!$B$3+1&lt;=30,I78-Parâmetros!$B$3+1,IF(I78-Parâmetros!$B$3+1&gt;30,I78-Parâmetros!$B$3+1)))</f>
        <v/>
      </c>
    </row>
    <row r="79" spans="2:13" x14ac:dyDescent="0.25">
      <c r="B79" s="67">
        <v>74</v>
      </c>
      <c r="C79" s="19"/>
      <c r="D79" s="35"/>
      <c r="E79" s="61"/>
      <c r="F79" s="34"/>
      <c r="G79" s="22" t="str">
        <f>IF(ISBLANK(F79),"",INT((Parâmetros!$B$3-F79)/365.25))</f>
        <v/>
      </c>
      <c r="H79" s="64"/>
      <c r="I79" s="37" t="str">
        <f t="shared" si="3"/>
        <v/>
      </c>
      <c r="J79" s="78"/>
      <c r="K79" s="14" t="b">
        <f t="shared" si="5"/>
        <v>0</v>
      </c>
      <c r="L79" s="39" t="str">
        <f t="shared" si="4"/>
        <v/>
      </c>
      <c r="M79" s="22" t="str">
        <f>IF(ISBLANK(H79),"",IF(I79-Parâmetros!$B$3+1&lt;=30,I79-Parâmetros!$B$3+1,IF(I79-Parâmetros!$B$3+1&gt;30,I79-Parâmetros!$B$3+1)))</f>
        <v/>
      </c>
    </row>
    <row r="80" spans="2:13" x14ac:dyDescent="0.25">
      <c r="B80" s="68">
        <v>75</v>
      </c>
      <c r="C80" s="42"/>
      <c r="D80" s="43"/>
      <c r="E80" s="63"/>
      <c r="F80" s="44"/>
      <c r="G80" s="13" t="str">
        <f>IF(ISBLANK(F80),"",INT((Parâmetros!$B$3-F80)/365.25))</f>
        <v/>
      </c>
      <c r="H80" s="65"/>
      <c r="I80" s="36" t="str">
        <f t="shared" si="3"/>
        <v/>
      </c>
      <c r="J80" s="77"/>
      <c r="K80" s="14" t="b">
        <f t="shared" si="5"/>
        <v>0</v>
      </c>
      <c r="L80" s="38" t="str">
        <f t="shared" si="4"/>
        <v/>
      </c>
      <c r="M80" s="13" t="str">
        <f>IF(ISBLANK(H80),"",IF(I80-Parâmetros!$B$3+1&lt;=30,I80-Parâmetros!$B$3+1,IF(I80-Parâmetros!$B$3+1&gt;30,I80-Parâmetros!$B$3+1)))</f>
        <v/>
      </c>
    </row>
    <row r="81" spans="2:13" x14ac:dyDescent="0.25">
      <c r="B81" s="67">
        <v>76</v>
      </c>
      <c r="C81" s="19"/>
      <c r="D81" s="35"/>
      <c r="E81" s="61"/>
      <c r="F81" s="34"/>
      <c r="G81" s="22" t="str">
        <f>IF(ISBLANK(F81),"",INT((Parâmetros!$B$3-F81)/365.25))</f>
        <v/>
      </c>
      <c r="H81" s="64"/>
      <c r="I81" s="37" t="str">
        <f t="shared" si="3"/>
        <v/>
      </c>
      <c r="J81" s="78"/>
      <c r="K81" s="14" t="b">
        <f t="shared" si="5"/>
        <v>0</v>
      </c>
      <c r="L81" s="39" t="str">
        <f t="shared" si="4"/>
        <v/>
      </c>
      <c r="M81" s="22" t="str">
        <f>IF(ISBLANK(H81),"",IF(I81-Parâmetros!$B$3+1&lt;=30,I81-Parâmetros!$B$3+1,IF(I81-Parâmetros!$B$3+1&gt;30,I81-Parâmetros!$B$3+1)))</f>
        <v/>
      </c>
    </row>
    <row r="82" spans="2:13" x14ac:dyDescent="0.25">
      <c r="B82" s="68">
        <v>77</v>
      </c>
      <c r="C82" s="42"/>
      <c r="D82" s="43"/>
      <c r="E82" s="63"/>
      <c r="F82" s="44"/>
      <c r="G82" s="13" t="str">
        <f>IF(ISBLANK(F82),"",INT((Parâmetros!$B$3-F82)/365.25))</f>
        <v/>
      </c>
      <c r="H82" s="65"/>
      <c r="I82" s="36" t="str">
        <f t="shared" si="3"/>
        <v/>
      </c>
      <c r="J82" s="77"/>
      <c r="K82" s="14" t="b">
        <f t="shared" si="5"/>
        <v>0</v>
      </c>
      <c r="L82" s="38" t="str">
        <f t="shared" si="4"/>
        <v/>
      </c>
      <c r="M82" s="13" t="str">
        <f>IF(ISBLANK(H82),"",IF(I82-Parâmetros!$B$3+1&lt;=30,I82-Parâmetros!$B$3+1,IF(I82-Parâmetros!$B$3+1&gt;30,I82-Parâmetros!$B$3+1)))</f>
        <v/>
      </c>
    </row>
    <row r="83" spans="2:13" x14ac:dyDescent="0.25">
      <c r="B83" s="67">
        <v>78</v>
      </c>
      <c r="C83" s="19"/>
      <c r="D83" s="35"/>
      <c r="E83" s="61"/>
      <c r="F83" s="34"/>
      <c r="G83" s="22" t="str">
        <f>IF(ISBLANK(F83),"",INT((Parâmetros!$B$3-F83)/365.25))</f>
        <v/>
      </c>
      <c r="H83" s="64"/>
      <c r="I83" s="37" t="str">
        <f t="shared" si="3"/>
        <v/>
      </c>
      <c r="J83" s="78"/>
      <c r="K83" s="14" t="b">
        <f t="shared" si="5"/>
        <v>0</v>
      </c>
      <c r="L83" s="39" t="str">
        <f t="shared" si="4"/>
        <v/>
      </c>
      <c r="M83" s="22" t="str">
        <f>IF(ISBLANK(H83),"",IF(I83-Parâmetros!$B$3+1&lt;=30,I83-Parâmetros!$B$3+1,IF(I83-Parâmetros!$B$3+1&gt;30,I83-Parâmetros!$B$3+1)))</f>
        <v/>
      </c>
    </row>
    <row r="84" spans="2:13" x14ac:dyDescent="0.25">
      <c r="B84" s="68">
        <v>79</v>
      </c>
      <c r="C84" s="42"/>
      <c r="D84" s="43"/>
      <c r="E84" s="63"/>
      <c r="F84" s="44"/>
      <c r="G84" s="13" t="str">
        <f>IF(ISBLANK(F84),"",INT((Parâmetros!$B$3-F84)/365.25))</f>
        <v/>
      </c>
      <c r="H84" s="65"/>
      <c r="I84" s="36" t="str">
        <f t="shared" si="3"/>
        <v/>
      </c>
      <c r="J84" s="77"/>
      <c r="K84" s="14" t="b">
        <f t="shared" si="5"/>
        <v>0</v>
      </c>
      <c r="L84" s="38" t="str">
        <f t="shared" si="4"/>
        <v/>
      </c>
      <c r="M84" s="13" t="str">
        <f>IF(ISBLANK(H84),"",IF(I84-Parâmetros!$B$3+1&lt;=30,I84-Parâmetros!$B$3+1,IF(I84-Parâmetros!$B$3+1&gt;30,I84-Parâmetros!$B$3+1)))</f>
        <v/>
      </c>
    </row>
    <row r="85" spans="2:13" x14ac:dyDescent="0.25">
      <c r="B85" s="67">
        <v>80</v>
      </c>
      <c r="C85" s="19"/>
      <c r="D85" s="35"/>
      <c r="E85" s="61"/>
      <c r="F85" s="34"/>
      <c r="G85" s="22" t="str">
        <f>IF(ISBLANK(F85),"",INT((Parâmetros!$B$3-F85)/365.25))</f>
        <v/>
      </c>
      <c r="H85" s="64"/>
      <c r="I85" s="37" t="str">
        <f t="shared" si="3"/>
        <v/>
      </c>
      <c r="J85" s="78"/>
      <c r="K85" s="14" t="b">
        <f t="shared" si="5"/>
        <v>0</v>
      </c>
      <c r="L85" s="39" t="str">
        <f t="shared" si="4"/>
        <v/>
      </c>
      <c r="M85" s="22" t="str">
        <f>IF(ISBLANK(H85),"",IF(I85-Parâmetros!$B$3+1&lt;=30,I85-Parâmetros!$B$3+1,IF(I85-Parâmetros!$B$3+1&gt;30,I85-Parâmetros!$B$3+1)))</f>
        <v/>
      </c>
    </row>
    <row r="86" spans="2:13" x14ac:dyDescent="0.25">
      <c r="B86" s="68">
        <v>81</v>
      </c>
      <c r="C86" s="42"/>
      <c r="D86" s="43"/>
      <c r="E86" s="63"/>
      <c r="F86" s="44"/>
      <c r="G86" s="13" t="str">
        <f>IF(ISBLANK(F86),"",INT((Parâmetros!$B$3-F86)/365.25))</f>
        <v/>
      </c>
      <c r="H86" s="65"/>
      <c r="I86" s="36" t="str">
        <f t="shared" si="3"/>
        <v/>
      </c>
      <c r="J86" s="77"/>
      <c r="K86" s="14" t="b">
        <f t="shared" si="5"/>
        <v>0</v>
      </c>
      <c r="L86" s="38" t="str">
        <f t="shared" si="4"/>
        <v/>
      </c>
      <c r="M86" s="13" t="str">
        <f>IF(ISBLANK(H86),"",IF(I86-Parâmetros!$B$3+1&lt;=30,I86-Parâmetros!$B$3+1,IF(I86-Parâmetros!$B$3+1&gt;30,I86-Parâmetros!$B$3+1)))</f>
        <v/>
      </c>
    </row>
    <row r="87" spans="2:13" x14ac:dyDescent="0.25">
      <c r="B87" s="67">
        <v>82</v>
      </c>
      <c r="C87" s="19"/>
      <c r="D87" s="35"/>
      <c r="E87" s="61"/>
      <c r="F87" s="34"/>
      <c r="G87" s="22" t="str">
        <f>IF(ISBLANK(F87),"",INT((Parâmetros!$B$3-F87)/365.25))</f>
        <v/>
      </c>
      <c r="H87" s="64"/>
      <c r="I87" s="37" t="str">
        <f t="shared" si="3"/>
        <v/>
      </c>
      <c r="J87" s="78"/>
      <c r="K87" s="14" t="b">
        <f t="shared" si="5"/>
        <v>0</v>
      </c>
      <c r="L87" s="39" t="str">
        <f t="shared" si="4"/>
        <v/>
      </c>
      <c r="M87" s="22" t="str">
        <f>IF(ISBLANK(H87),"",IF(I87-Parâmetros!$B$3+1&lt;=30,I87-Parâmetros!$B$3+1,IF(I87-Parâmetros!$B$3+1&gt;30,I87-Parâmetros!$B$3+1)))</f>
        <v/>
      </c>
    </row>
    <row r="88" spans="2:13" x14ac:dyDescent="0.25">
      <c r="B88" s="68">
        <v>83</v>
      </c>
      <c r="C88" s="42"/>
      <c r="D88" s="43"/>
      <c r="E88" s="63"/>
      <c r="F88" s="44"/>
      <c r="G88" s="13" t="str">
        <f>IF(ISBLANK(F88),"",INT((Parâmetros!$B$3-F88)/365.25))</f>
        <v/>
      </c>
      <c r="H88" s="65"/>
      <c r="I88" s="36" t="str">
        <f t="shared" si="3"/>
        <v/>
      </c>
      <c r="J88" s="77"/>
      <c r="K88" s="14" t="b">
        <f t="shared" si="5"/>
        <v>0</v>
      </c>
      <c r="L88" s="38" t="str">
        <f t="shared" si="4"/>
        <v/>
      </c>
      <c r="M88" s="13" t="str">
        <f>IF(ISBLANK(H88),"",IF(I88-Parâmetros!$B$3+1&lt;=30,I88-Parâmetros!$B$3+1,IF(I88-Parâmetros!$B$3+1&gt;30,I88-Parâmetros!$B$3+1)))</f>
        <v/>
      </c>
    </row>
    <row r="89" spans="2:13" x14ac:dyDescent="0.25">
      <c r="B89" s="67">
        <v>84</v>
      </c>
      <c r="C89" s="19"/>
      <c r="D89" s="35"/>
      <c r="E89" s="61"/>
      <c r="F89" s="34"/>
      <c r="G89" s="22" t="str">
        <f>IF(ISBLANK(F89),"",INT((Parâmetros!$B$3-F89)/365.25))</f>
        <v/>
      </c>
      <c r="H89" s="64"/>
      <c r="I89" s="37" t="str">
        <f t="shared" si="3"/>
        <v/>
      </c>
      <c r="J89" s="78"/>
      <c r="K89" s="14" t="b">
        <f t="shared" si="5"/>
        <v>0</v>
      </c>
      <c r="L89" s="39" t="str">
        <f t="shared" si="4"/>
        <v/>
      </c>
      <c r="M89" s="22" t="str">
        <f>IF(ISBLANK(H89),"",IF(I89-Parâmetros!$B$3+1&lt;=30,I89-Parâmetros!$B$3+1,IF(I89-Parâmetros!$B$3+1&gt;30,I89-Parâmetros!$B$3+1)))</f>
        <v/>
      </c>
    </row>
    <row r="90" spans="2:13" x14ac:dyDescent="0.25">
      <c r="B90" s="68">
        <v>85</v>
      </c>
      <c r="C90" s="42"/>
      <c r="D90" s="43"/>
      <c r="E90" s="63"/>
      <c r="F90" s="44"/>
      <c r="G90" s="13" t="str">
        <f>IF(ISBLANK(F90),"",INT((Parâmetros!$B$3-F90)/365.25))</f>
        <v/>
      </c>
      <c r="H90" s="65"/>
      <c r="I90" s="36" t="str">
        <f t="shared" si="3"/>
        <v/>
      </c>
      <c r="J90" s="77"/>
      <c r="K90" s="14" t="b">
        <f t="shared" si="5"/>
        <v>0</v>
      </c>
      <c r="L90" s="38" t="str">
        <f t="shared" si="4"/>
        <v/>
      </c>
      <c r="M90" s="13" t="str">
        <f>IF(ISBLANK(H90),"",IF(I90-Parâmetros!$B$3+1&lt;=30,I90-Parâmetros!$B$3+1,IF(I90-Parâmetros!$B$3+1&gt;30,I90-Parâmetros!$B$3+1)))</f>
        <v/>
      </c>
    </row>
    <row r="91" spans="2:13" x14ac:dyDescent="0.25">
      <c r="B91" s="67">
        <v>86</v>
      </c>
      <c r="C91" s="19"/>
      <c r="D91" s="35"/>
      <c r="E91" s="61"/>
      <c r="F91" s="34"/>
      <c r="G91" s="22" t="str">
        <f>IF(ISBLANK(F91),"",INT((Parâmetros!$B$3-F91)/365.25))</f>
        <v/>
      </c>
      <c r="H91" s="64"/>
      <c r="I91" s="37" t="str">
        <f t="shared" si="3"/>
        <v/>
      </c>
      <c r="J91" s="78"/>
      <c r="K91" s="14" t="b">
        <f t="shared" si="5"/>
        <v>0</v>
      </c>
      <c r="L91" s="39" t="str">
        <f t="shared" si="4"/>
        <v/>
      </c>
      <c r="M91" s="22" t="str">
        <f>IF(ISBLANK(H91),"",IF(I91-Parâmetros!$B$3+1&lt;=30,I91-Parâmetros!$B$3+1,IF(I91-Parâmetros!$B$3+1&gt;30,I91-Parâmetros!$B$3+1)))</f>
        <v/>
      </c>
    </row>
    <row r="92" spans="2:13" x14ac:dyDescent="0.25">
      <c r="B92" s="68">
        <v>87</v>
      </c>
      <c r="C92" s="42"/>
      <c r="D92" s="43"/>
      <c r="E92" s="63"/>
      <c r="F92" s="44"/>
      <c r="G92" s="13" t="str">
        <f>IF(ISBLANK(F92),"",INT((Parâmetros!$B$3-F92)/365.25))</f>
        <v/>
      </c>
      <c r="H92" s="65"/>
      <c r="I92" s="36" t="str">
        <f t="shared" si="3"/>
        <v/>
      </c>
      <c r="J92" s="77"/>
      <c r="K92" s="14" t="b">
        <f t="shared" si="5"/>
        <v>0</v>
      </c>
      <c r="L92" s="38" t="str">
        <f t="shared" si="4"/>
        <v/>
      </c>
      <c r="M92" s="13" t="str">
        <f>IF(ISBLANK(H92),"",IF(I92-Parâmetros!$B$3+1&lt;=30,I92-Parâmetros!$B$3+1,IF(I92-Parâmetros!$B$3+1&gt;30,I92-Parâmetros!$B$3+1)))</f>
        <v/>
      </c>
    </row>
    <row r="93" spans="2:13" x14ac:dyDescent="0.25">
      <c r="B93" s="67">
        <v>88</v>
      </c>
      <c r="C93" s="19"/>
      <c r="D93" s="35"/>
      <c r="E93" s="61"/>
      <c r="F93" s="34"/>
      <c r="G93" s="22" t="str">
        <f>IF(ISBLANK(F93),"",INT((Parâmetros!$B$3-F93)/365.25))</f>
        <v/>
      </c>
      <c r="H93" s="64"/>
      <c r="I93" s="37" t="str">
        <f t="shared" si="3"/>
        <v/>
      </c>
      <c r="J93" s="78"/>
      <c r="K93" s="14" t="b">
        <f t="shared" si="5"/>
        <v>0</v>
      </c>
      <c r="L93" s="39" t="str">
        <f t="shared" si="4"/>
        <v/>
      </c>
      <c r="M93" s="22" t="str">
        <f>IF(ISBLANK(H93),"",IF(I93-Parâmetros!$B$3+1&lt;=30,I93-Parâmetros!$B$3+1,IF(I93-Parâmetros!$B$3+1&gt;30,I93-Parâmetros!$B$3+1)))</f>
        <v/>
      </c>
    </row>
    <row r="94" spans="2:13" x14ac:dyDescent="0.25">
      <c r="B94" s="68">
        <v>89</v>
      </c>
      <c r="C94" s="42"/>
      <c r="D94" s="43"/>
      <c r="E94" s="63"/>
      <c r="F94" s="44"/>
      <c r="G94" s="13" t="str">
        <f>IF(ISBLANK(F94),"",INT((Parâmetros!$B$3-F94)/365.25))</f>
        <v/>
      </c>
      <c r="H94" s="65"/>
      <c r="I94" s="36" t="str">
        <f t="shared" si="3"/>
        <v/>
      </c>
      <c r="J94" s="77"/>
      <c r="K94" s="14" t="b">
        <f t="shared" si="5"/>
        <v>0</v>
      </c>
      <c r="L94" s="38" t="str">
        <f t="shared" si="4"/>
        <v/>
      </c>
      <c r="M94" s="13" t="str">
        <f>IF(ISBLANK(H94),"",IF(I94-Parâmetros!$B$3+1&lt;=30,I94-Parâmetros!$B$3+1,IF(I94-Parâmetros!$B$3+1&gt;30,I94-Parâmetros!$B$3+1)))</f>
        <v/>
      </c>
    </row>
    <row r="95" spans="2:13" x14ac:dyDescent="0.25">
      <c r="B95" s="67">
        <v>90</v>
      </c>
      <c r="C95" s="19"/>
      <c r="D95" s="35"/>
      <c r="E95" s="61"/>
      <c r="F95" s="34"/>
      <c r="G95" s="22" t="str">
        <f>IF(ISBLANK(F95),"",INT((Parâmetros!$B$3-F95)/365.25))</f>
        <v/>
      </c>
      <c r="H95" s="64"/>
      <c r="I95" s="37" t="str">
        <f t="shared" si="3"/>
        <v/>
      </c>
      <c r="J95" s="78"/>
      <c r="K95" s="14" t="b">
        <f t="shared" si="5"/>
        <v>0</v>
      </c>
      <c r="L95" s="39" t="str">
        <f t="shared" si="4"/>
        <v/>
      </c>
      <c r="M95" s="22" t="str">
        <f>IF(ISBLANK(H95),"",IF(I95-Parâmetros!$B$3+1&lt;=30,I95-Parâmetros!$B$3+1,IF(I95-Parâmetros!$B$3+1&gt;30,I95-Parâmetros!$B$3+1)))</f>
        <v/>
      </c>
    </row>
    <row r="96" spans="2:13" x14ac:dyDescent="0.25">
      <c r="B96" s="68">
        <v>91</v>
      </c>
      <c r="C96" s="42"/>
      <c r="D96" s="43"/>
      <c r="E96" s="63"/>
      <c r="F96" s="44"/>
      <c r="G96" s="13" t="str">
        <f>IF(ISBLANK(F96),"",INT((Parâmetros!$B$3-F96)/365.25))</f>
        <v/>
      </c>
      <c r="H96" s="65"/>
      <c r="I96" s="36" t="str">
        <f t="shared" si="3"/>
        <v/>
      </c>
      <c r="J96" s="77"/>
      <c r="K96" s="14" t="b">
        <f t="shared" si="5"/>
        <v>0</v>
      </c>
      <c r="L96" s="38" t="str">
        <f t="shared" si="4"/>
        <v/>
      </c>
      <c r="M96" s="13" t="str">
        <f>IF(ISBLANK(H96),"",IF(I96-Parâmetros!$B$3+1&lt;=30,I96-Parâmetros!$B$3+1,IF(I96-Parâmetros!$B$3+1&gt;30,I96-Parâmetros!$B$3+1)))</f>
        <v/>
      </c>
    </row>
    <row r="97" spans="2:16" x14ac:dyDescent="0.25">
      <c r="B97" s="67">
        <v>92</v>
      </c>
      <c r="C97" s="19"/>
      <c r="D97" s="35"/>
      <c r="E97" s="61"/>
      <c r="F97" s="34"/>
      <c r="G97" s="22" t="str">
        <f>IF(ISBLANK(F97),"",INT((Parâmetros!$B$3-F97)/365.25))</f>
        <v/>
      </c>
      <c r="H97" s="64"/>
      <c r="I97" s="37" t="str">
        <f t="shared" si="3"/>
        <v/>
      </c>
      <c r="J97" s="78"/>
      <c r="K97" s="14" t="b">
        <f t="shared" si="5"/>
        <v>0</v>
      </c>
      <c r="L97" s="39" t="str">
        <f t="shared" si="4"/>
        <v/>
      </c>
      <c r="M97" s="22" t="str">
        <f>IF(ISBLANK(H97),"",IF(I97-Parâmetros!$B$3+1&lt;=30,I97-Parâmetros!$B$3+1,IF(I97-Parâmetros!$B$3+1&gt;30,I97-Parâmetros!$B$3+1)))</f>
        <v/>
      </c>
    </row>
    <row r="98" spans="2:16" x14ac:dyDescent="0.25">
      <c r="B98" s="68">
        <v>93</v>
      </c>
      <c r="C98" s="42"/>
      <c r="D98" s="43"/>
      <c r="E98" s="63"/>
      <c r="F98" s="44"/>
      <c r="G98" s="13" t="str">
        <f>IF(ISBLANK(F98),"",INT((Parâmetros!$B$3-F98)/365.25))</f>
        <v/>
      </c>
      <c r="H98" s="65"/>
      <c r="I98" s="36" t="str">
        <f t="shared" si="3"/>
        <v/>
      </c>
      <c r="J98" s="77"/>
      <c r="K98" s="14" t="b">
        <f t="shared" si="5"/>
        <v>0</v>
      </c>
      <c r="L98" s="38" t="str">
        <f t="shared" si="4"/>
        <v/>
      </c>
      <c r="M98" s="13" t="str">
        <f>IF(ISBLANK(H98),"",IF(I98-Parâmetros!$B$3+1&lt;=30,I98-Parâmetros!$B$3+1,IF(I98-Parâmetros!$B$3+1&gt;30,I98-Parâmetros!$B$3+1)))</f>
        <v/>
      </c>
    </row>
    <row r="99" spans="2:16" x14ac:dyDescent="0.25">
      <c r="B99" s="67">
        <v>94</v>
      </c>
      <c r="C99" s="19"/>
      <c r="D99" s="35"/>
      <c r="E99" s="61"/>
      <c r="F99" s="34"/>
      <c r="G99" s="22" t="str">
        <f>IF(ISBLANK(F99),"",INT((Parâmetros!$B$3-F99)/365.25))</f>
        <v/>
      </c>
      <c r="H99" s="64"/>
      <c r="I99" s="37" t="str">
        <f t="shared" si="3"/>
        <v/>
      </c>
      <c r="J99" s="78"/>
      <c r="K99" s="14" t="b">
        <f t="shared" si="5"/>
        <v>0</v>
      </c>
      <c r="L99" s="39" t="str">
        <f t="shared" si="4"/>
        <v/>
      </c>
      <c r="M99" s="22" t="str">
        <f>IF(ISBLANK(H99),"",IF(I99-Parâmetros!$B$3+1&lt;=30,I99-Parâmetros!$B$3+1,IF(I99-Parâmetros!$B$3+1&gt;30,I99-Parâmetros!$B$3+1)))</f>
        <v/>
      </c>
    </row>
    <row r="100" spans="2:16" x14ac:dyDescent="0.25">
      <c r="B100" s="68">
        <v>95</v>
      </c>
      <c r="C100" s="42"/>
      <c r="D100" s="43"/>
      <c r="E100" s="63"/>
      <c r="F100" s="44"/>
      <c r="G100" s="13" t="str">
        <f>IF(ISBLANK(F100),"",INT((Parâmetros!$B$3-F100)/365.25))</f>
        <v/>
      </c>
      <c r="H100" s="65"/>
      <c r="I100" s="36" t="str">
        <f t="shared" si="3"/>
        <v/>
      </c>
      <c r="J100" s="77"/>
      <c r="K100" s="14" t="b">
        <f t="shared" si="5"/>
        <v>0</v>
      </c>
      <c r="L100" s="38" t="str">
        <f t="shared" si="4"/>
        <v/>
      </c>
      <c r="M100" s="13" t="str">
        <f>IF(ISBLANK(H100),"",IF(I100-Parâmetros!$B$3+1&lt;=30,I100-Parâmetros!$B$3+1,IF(I100-Parâmetros!$B$3+1&gt;30,I100-Parâmetros!$B$3+1)))</f>
        <v/>
      </c>
    </row>
    <row r="101" spans="2:16" x14ac:dyDescent="0.25">
      <c r="B101" s="67">
        <v>96</v>
      </c>
      <c r="C101" s="19"/>
      <c r="D101" s="35"/>
      <c r="E101" s="61"/>
      <c r="F101" s="34"/>
      <c r="G101" s="22" t="str">
        <f>IF(ISBLANK(F101),"",INT((Parâmetros!$B$3-F101)/365.25))</f>
        <v/>
      </c>
      <c r="H101" s="64"/>
      <c r="I101" s="37" t="str">
        <f t="shared" si="3"/>
        <v/>
      </c>
      <c r="J101" s="78"/>
      <c r="K101" s="14" t="b">
        <f t="shared" si="5"/>
        <v>0</v>
      </c>
      <c r="L101" s="39" t="str">
        <f t="shared" si="4"/>
        <v/>
      </c>
      <c r="M101" s="22" t="str">
        <f>IF(ISBLANK(H101),"",IF(I101-Parâmetros!$B$3+1&lt;=30,I101-Parâmetros!$B$3+1,IF(I101-Parâmetros!$B$3+1&gt;30,I101-Parâmetros!$B$3+1)))</f>
        <v/>
      </c>
    </row>
    <row r="102" spans="2:16" x14ac:dyDescent="0.25">
      <c r="B102" s="68">
        <v>97</v>
      </c>
      <c r="C102" s="42"/>
      <c r="D102" s="43"/>
      <c r="E102" s="63"/>
      <c r="F102" s="44"/>
      <c r="G102" s="13" t="str">
        <f>IF(ISBLANK(F102),"",INT((Parâmetros!$B$3-F102)/365.25))</f>
        <v/>
      </c>
      <c r="H102" s="65"/>
      <c r="I102" s="36" t="str">
        <f t="shared" si="3"/>
        <v/>
      </c>
      <c r="J102" s="77"/>
      <c r="K102" s="14" t="b">
        <f t="shared" si="5"/>
        <v>0</v>
      </c>
      <c r="L102" s="38" t="str">
        <f t="shared" si="4"/>
        <v/>
      </c>
      <c r="M102" s="13" t="str">
        <f>IF(ISBLANK(H102),"",IF(I102-Parâmetros!$B$3+1&lt;=30,I102-Parâmetros!$B$3+1,IF(I102-Parâmetros!$B$3+1&gt;30,I102-Parâmetros!$B$3+1)))</f>
        <v/>
      </c>
    </row>
    <row r="103" spans="2:16" x14ac:dyDescent="0.25">
      <c r="B103" s="67">
        <v>98</v>
      </c>
      <c r="C103" s="19"/>
      <c r="D103" s="35"/>
      <c r="E103" s="61"/>
      <c r="F103" s="34"/>
      <c r="G103" s="22" t="str">
        <f>IF(ISBLANK(F103),"",INT((Parâmetros!$B$3-F103)/365.25))</f>
        <v/>
      </c>
      <c r="H103" s="64"/>
      <c r="I103" s="37" t="str">
        <f t="shared" si="3"/>
        <v/>
      </c>
      <c r="J103" s="78"/>
      <c r="K103" s="14" t="b">
        <f t="shared" si="5"/>
        <v>0</v>
      </c>
      <c r="L103" s="39" t="str">
        <f t="shared" si="4"/>
        <v/>
      </c>
      <c r="M103" s="22" t="str">
        <f>IF(ISBLANK(H103),"",IF(I103-Parâmetros!$B$3+1&lt;=30,I103-Parâmetros!$B$3+1,IF(I103-Parâmetros!$B$3+1&gt;30,I103-Parâmetros!$B$3+1)))</f>
        <v/>
      </c>
    </row>
    <row r="104" spans="2:16" x14ac:dyDescent="0.25">
      <c r="B104" s="68">
        <v>99</v>
      </c>
      <c r="C104" s="42"/>
      <c r="D104" s="43"/>
      <c r="E104" s="63"/>
      <c r="F104" s="44"/>
      <c r="G104" s="13" t="str">
        <f>IF(ISBLANK(F104),"",INT((Parâmetros!$B$3-F104)/365.25))</f>
        <v/>
      </c>
      <c r="H104" s="65"/>
      <c r="I104" s="36" t="str">
        <f t="shared" si="3"/>
        <v/>
      </c>
      <c r="J104" s="77"/>
      <c r="K104" s="14" t="b">
        <f t="shared" si="5"/>
        <v>0</v>
      </c>
      <c r="L104" s="38" t="str">
        <f t="shared" si="4"/>
        <v/>
      </c>
      <c r="M104" s="13" t="str">
        <f>IF(ISBLANK(H104),"",IF(I104-Parâmetros!$B$3+1&lt;=30,I104-Parâmetros!$B$3+1,IF(I104-Parâmetros!$B$3+1&gt;30,I104-Parâmetros!$B$3+1)))</f>
        <v/>
      </c>
    </row>
    <row r="105" spans="2:16" x14ac:dyDescent="0.25">
      <c r="B105" s="67">
        <v>100</v>
      </c>
      <c r="C105" s="19"/>
      <c r="D105" s="35"/>
      <c r="E105" s="61"/>
      <c r="F105" s="34"/>
      <c r="G105" s="22" t="str">
        <f>IF(ISBLANK(F105),"",INT((Parâmetros!$B$3-F105)/365.25))</f>
        <v/>
      </c>
      <c r="H105" s="64"/>
      <c r="I105" s="37" t="str">
        <f t="shared" si="3"/>
        <v/>
      </c>
      <c r="J105" s="78"/>
      <c r="K105" s="14" t="b">
        <f t="shared" si="5"/>
        <v>0</v>
      </c>
      <c r="L105" s="39" t="str">
        <f t="shared" si="4"/>
        <v/>
      </c>
      <c r="M105" s="22" t="str">
        <f>IF(ISBLANK(H105),"",IF(I105-Parâmetros!$B$3+1&lt;=30,I105-Parâmetros!$B$3+1,IF(I105-Parâmetros!$B$3+1&gt;30,I105-Parâmetros!$B$3+1)))</f>
        <v/>
      </c>
    </row>
    <row r="106" spans="2:16" x14ac:dyDescent="0.25">
      <c r="B106" s="68">
        <v>101</v>
      </c>
      <c r="C106" s="10"/>
      <c r="D106" s="11"/>
      <c r="E106" s="62"/>
      <c r="F106" s="12"/>
      <c r="G106" s="13" t="str">
        <f>IF(ISBLANK(F106),"",INT((Parâmetros!$B$3-F106)/365.25))</f>
        <v/>
      </c>
      <c r="H106" s="12"/>
      <c r="I106" s="36" t="str">
        <f t="shared" si="3"/>
        <v/>
      </c>
      <c r="J106" s="77"/>
      <c r="K106" s="14" t="b">
        <f t="shared" si="5"/>
        <v>0</v>
      </c>
      <c r="L106" s="38" t="str">
        <f t="shared" si="4"/>
        <v/>
      </c>
      <c r="M106" s="13" t="str">
        <f>IF(ISBLANK(H106),"",IF(I106-Parâmetros!$B$3+1&lt;=30,I106-Parâmetros!$B$3+1,IF(I106-Parâmetros!$B$3+1&gt;30,I106-Parâmetros!$B$3+1)))</f>
        <v/>
      </c>
    </row>
    <row r="107" spans="2:16" x14ac:dyDescent="0.25">
      <c r="B107" s="67">
        <v>102</v>
      </c>
      <c r="C107" s="19"/>
      <c r="D107" s="20"/>
      <c r="E107" s="61"/>
      <c r="F107" s="21"/>
      <c r="G107" s="22" t="str">
        <f>IF(ISBLANK(F107),"",INT((Parâmetros!$B$3-F107)/365.25))</f>
        <v/>
      </c>
      <c r="H107" s="64"/>
      <c r="I107" s="37" t="str">
        <f t="shared" si="3"/>
        <v/>
      </c>
      <c r="J107" s="78"/>
      <c r="K107" s="14" t="b">
        <f t="shared" si="5"/>
        <v>0</v>
      </c>
      <c r="L107" s="39" t="str">
        <f t="shared" si="4"/>
        <v/>
      </c>
      <c r="M107" s="22" t="str">
        <f>IF(ISBLANK(H107),"",IF(I107-Parâmetros!$B$3+1&lt;=30,I107-Parâmetros!$B$3+1,IF(I107-Parâmetros!$B$3+1&gt;30,I107-Parâmetros!$B$3+1)))</f>
        <v/>
      </c>
    </row>
    <row r="108" spans="2:16" x14ac:dyDescent="0.25">
      <c r="B108" s="68">
        <v>103</v>
      </c>
      <c r="C108" s="15"/>
      <c r="D108" s="16"/>
      <c r="E108" s="62"/>
      <c r="F108" s="17"/>
      <c r="G108" s="13" t="str">
        <f>IF(ISBLANK(F108),"",INT((Parâmetros!$B$3-F108)/365.25))</f>
        <v/>
      </c>
      <c r="H108" s="11"/>
      <c r="I108" s="36" t="str">
        <f t="shared" si="3"/>
        <v/>
      </c>
      <c r="J108" s="77"/>
      <c r="K108" s="14" t="b">
        <f t="shared" si="5"/>
        <v>0</v>
      </c>
      <c r="L108" s="38" t="str">
        <f t="shared" si="4"/>
        <v/>
      </c>
      <c r="M108" s="13" t="str">
        <f>IF(ISBLANK(H108),"",IF(I108-Parâmetros!$B$3+1&lt;=30,I108-Parâmetros!$B$3+1,IF(I108-Parâmetros!$B$3+1&gt;30,I108-Parâmetros!$B$3+1)))</f>
        <v/>
      </c>
      <c r="P108" s="79"/>
    </row>
    <row r="109" spans="2:16" x14ac:dyDescent="0.25">
      <c r="B109" s="67">
        <v>104</v>
      </c>
      <c r="C109" s="19"/>
      <c r="D109" s="33"/>
      <c r="E109" s="61"/>
      <c r="F109" s="34"/>
      <c r="G109" s="22" t="str">
        <f>IF(ISBLANK(F109),"",INT((Parâmetros!$B$3-F109)/365.25))</f>
        <v/>
      </c>
      <c r="H109" s="64"/>
      <c r="I109" s="37" t="str">
        <f t="shared" si="3"/>
        <v/>
      </c>
      <c r="J109" s="78"/>
      <c r="K109" s="14" t="b">
        <f t="shared" si="5"/>
        <v>0</v>
      </c>
      <c r="L109" s="39" t="str">
        <f t="shared" si="4"/>
        <v/>
      </c>
      <c r="M109" s="22" t="str">
        <f>IF(ISBLANK(H109),"",IF(I109-Parâmetros!$B$3+1&lt;=30,I109-Parâmetros!$B$3+1,IF(I109-Parâmetros!$B$3+1&gt;30,I109-Parâmetros!$B$3+1)))</f>
        <v/>
      </c>
    </row>
    <row r="110" spans="2:16" x14ac:dyDescent="0.25">
      <c r="B110" s="68">
        <v>105</v>
      </c>
      <c r="C110" s="15"/>
      <c r="D110" s="16"/>
      <c r="E110" s="62"/>
      <c r="F110" s="18"/>
      <c r="G110" s="13" t="str">
        <f>IF(ISBLANK(F110),"",INT((Parâmetros!$B$3-F110)/365.25))</f>
        <v/>
      </c>
      <c r="H110" s="11"/>
      <c r="I110" s="36" t="str">
        <f t="shared" si="3"/>
        <v/>
      </c>
      <c r="J110" s="77"/>
      <c r="K110" s="14" t="b">
        <f t="shared" si="5"/>
        <v>0</v>
      </c>
      <c r="L110" s="38" t="str">
        <f t="shared" si="4"/>
        <v/>
      </c>
      <c r="M110" s="13" t="str">
        <f>IF(ISBLANK(H110),"",IF(I110-Parâmetros!$B$3+1&lt;=30,I110-Parâmetros!$B$3+1,IF(I110-Parâmetros!$B$3+1&gt;30,I110-Parâmetros!$B$3+1)))</f>
        <v/>
      </c>
    </row>
    <row r="111" spans="2:16" x14ac:dyDescent="0.25">
      <c r="B111" s="67">
        <v>106</v>
      </c>
      <c r="C111" s="19"/>
      <c r="D111" s="33"/>
      <c r="E111" s="61"/>
      <c r="F111" s="34"/>
      <c r="G111" s="22" t="str">
        <f>IF(ISBLANK(F111),"",INT((Parâmetros!$B$3-F111)/365.25))</f>
        <v/>
      </c>
      <c r="H111" s="64"/>
      <c r="I111" s="37" t="str">
        <f t="shared" si="3"/>
        <v/>
      </c>
      <c r="J111" s="78"/>
      <c r="K111" s="14" t="b">
        <f t="shared" si="5"/>
        <v>0</v>
      </c>
      <c r="L111" s="39" t="str">
        <f t="shared" si="4"/>
        <v/>
      </c>
      <c r="M111" s="22" t="str">
        <f>IF(ISBLANK(H111),"",IF(I111-Parâmetros!$B$3+1&lt;=30,I111-Parâmetros!$B$3+1,IF(I111-Parâmetros!$B$3+1&gt;30,I111-Parâmetros!$B$3+1)))</f>
        <v/>
      </c>
    </row>
    <row r="112" spans="2:16" x14ac:dyDescent="0.25">
      <c r="B112" s="68">
        <v>107</v>
      </c>
      <c r="C112" s="15"/>
      <c r="D112" s="16"/>
      <c r="E112" s="62"/>
      <c r="F112" s="18"/>
      <c r="G112" s="13" t="str">
        <f>IF(ISBLANK(F112),"",INT((Parâmetros!$B$3-F112)/365.25))</f>
        <v/>
      </c>
      <c r="H112" s="11"/>
      <c r="I112" s="36" t="str">
        <f t="shared" si="3"/>
        <v/>
      </c>
      <c r="J112" s="77"/>
      <c r="K112" s="14" t="b">
        <f t="shared" si="5"/>
        <v>0</v>
      </c>
      <c r="L112" s="38" t="str">
        <f t="shared" si="4"/>
        <v/>
      </c>
      <c r="M112" s="13" t="str">
        <f>IF(ISBLANK(H112),"",IF(I112-Parâmetros!$B$3+1&lt;=30,I112-Parâmetros!$B$3+1,IF(I112-Parâmetros!$B$3+1&gt;30,I112-Parâmetros!$B$3+1)))</f>
        <v/>
      </c>
    </row>
    <row r="113" spans="2:13" x14ac:dyDescent="0.25">
      <c r="B113" s="67">
        <v>108</v>
      </c>
      <c r="C113" s="19"/>
      <c r="D113" s="33"/>
      <c r="E113" s="61"/>
      <c r="F113" s="34"/>
      <c r="G113" s="22" t="str">
        <f>IF(ISBLANK(F113),"",INT((Parâmetros!$B$3-F113)/365.25))</f>
        <v/>
      </c>
      <c r="H113" s="64"/>
      <c r="I113" s="37" t="str">
        <f t="shared" si="3"/>
        <v/>
      </c>
      <c r="J113" s="78"/>
      <c r="K113" s="14" t="b">
        <f t="shared" si="5"/>
        <v>0</v>
      </c>
      <c r="L113" s="39" t="str">
        <f t="shared" si="4"/>
        <v/>
      </c>
      <c r="M113" s="22" t="str">
        <f>IF(ISBLANK(H113),"",IF(I113-Parâmetros!$B$3+1&lt;=30,I113-Parâmetros!$B$3+1,IF(I113-Parâmetros!$B$3+1&gt;30,I113-Parâmetros!$B$3+1)))</f>
        <v/>
      </c>
    </row>
    <row r="114" spans="2:13" x14ac:dyDescent="0.25">
      <c r="B114" s="68">
        <v>109</v>
      </c>
      <c r="C114" s="15"/>
      <c r="D114" s="16"/>
      <c r="E114" s="62"/>
      <c r="F114" s="18"/>
      <c r="G114" s="13" t="str">
        <f>IF(ISBLANK(F114),"",INT((Parâmetros!$B$3-F114)/365.25))</f>
        <v/>
      </c>
      <c r="H114" s="11"/>
      <c r="I114" s="36" t="str">
        <f t="shared" si="3"/>
        <v/>
      </c>
      <c r="J114" s="77"/>
      <c r="K114" s="14" t="b">
        <f t="shared" si="5"/>
        <v>0</v>
      </c>
      <c r="L114" s="38" t="str">
        <f t="shared" si="4"/>
        <v/>
      </c>
      <c r="M114" s="13" t="str">
        <f>IF(ISBLANK(H114),"",IF(I114-Parâmetros!$B$3+1&lt;=30,I114-Parâmetros!$B$3+1,IF(I114-Parâmetros!$B$3+1&gt;30,I114-Parâmetros!$B$3+1)))</f>
        <v/>
      </c>
    </row>
    <row r="115" spans="2:13" x14ac:dyDescent="0.25">
      <c r="B115" s="67">
        <v>110</v>
      </c>
      <c r="C115" s="19"/>
      <c r="D115" s="33"/>
      <c r="E115" s="61"/>
      <c r="F115" s="34"/>
      <c r="G115" s="22" t="str">
        <f>IF(ISBLANK(F115),"",INT((Parâmetros!$B$3-F115)/365.25))</f>
        <v/>
      </c>
      <c r="H115" s="64"/>
      <c r="I115" s="37" t="str">
        <f t="shared" si="3"/>
        <v/>
      </c>
      <c r="J115" s="78"/>
      <c r="K115" s="14" t="b">
        <f t="shared" si="5"/>
        <v>0</v>
      </c>
      <c r="L115" s="39" t="str">
        <f t="shared" si="4"/>
        <v/>
      </c>
      <c r="M115" s="22" t="str">
        <f>IF(ISBLANK(H115),"",IF(I115-Parâmetros!$B$3+1&lt;=30,I115-Parâmetros!$B$3+1,IF(I115-Parâmetros!$B$3+1&gt;30,I115-Parâmetros!$B$3+1)))</f>
        <v/>
      </c>
    </row>
    <row r="116" spans="2:13" x14ac:dyDescent="0.25">
      <c r="B116" s="68">
        <v>111</v>
      </c>
      <c r="C116" s="15"/>
      <c r="D116" s="16"/>
      <c r="E116" s="62"/>
      <c r="F116" s="18"/>
      <c r="G116" s="13" t="str">
        <f>IF(ISBLANK(F116),"",INT((Parâmetros!$B$3-F116)/365.25))</f>
        <v/>
      </c>
      <c r="H116" s="11"/>
      <c r="I116" s="36" t="str">
        <f t="shared" si="3"/>
        <v/>
      </c>
      <c r="J116" s="77"/>
      <c r="K116" s="14" t="b">
        <f t="shared" si="5"/>
        <v>0</v>
      </c>
      <c r="L116" s="38" t="str">
        <f t="shared" si="4"/>
        <v/>
      </c>
      <c r="M116" s="13" t="str">
        <f>IF(ISBLANK(H116),"",IF(I116-Parâmetros!$B$3+1&lt;=30,I116-Parâmetros!$B$3+1,IF(I116-Parâmetros!$B$3+1&gt;30,I116-Parâmetros!$B$3+1)))</f>
        <v/>
      </c>
    </row>
    <row r="117" spans="2:13" x14ac:dyDescent="0.25">
      <c r="B117" s="67">
        <v>112</v>
      </c>
      <c r="C117" s="19"/>
      <c r="D117" s="33"/>
      <c r="E117" s="61"/>
      <c r="F117" s="34"/>
      <c r="G117" s="22" t="str">
        <f>IF(ISBLANK(F117),"",INT((Parâmetros!$B$3-F117)/365.25))</f>
        <v/>
      </c>
      <c r="H117" s="64"/>
      <c r="I117" s="37" t="str">
        <f t="shared" si="3"/>
        <v/>
      </c>
      <c r="J117" s="78"/>
      <c r="K117" s="14" t="b">
        <f t="shared" si="5"/>
        <v>0</v>
      </c>
      <c r="L117" s="39" t="str">
        <f t="shared" si="4"/>
        <v/>
      </c>
      <c r="M117" s="22" t="str">
        <f>IF(ISBLANK(H117),"",IF(I117-Parâmetros!$B$3+1&lt;=30,I117-Parâmetros!$B$3+1,IF(I117-Parâmetros!$B$3+1&gt;30,I117-Parâmetros!$B$3+1)))</f>
        <v/>
      </c>
    </row>
    <row r="118" spans="2:13" x14ac:dyDescent="0.25">
      <c r="B118" s="68">
        <v>113</v>
      </c>
      <c r="C118" s="15"/>
      <c r="D118" s="16"/>
      <c r="E118" s="62"/>
      <c r="F118" s="18"/>
      <c r="G118" s="13" t="str">
        <f>IF(ISBLANK(F118),"",INT((Parâmetros!$B$3-F118)/365.25))</f>
        <v/>
      </c>
      <c r="H118" s="11"/>
      <c r="I118" s="36" t="str">
        <f t="shared" si="3"/>
        <v/>
      </c>
      <c r="J118" s="77"/>
      <c r="K118" s="14" t="b">
        <f t="shared" si="5"/>
        <v>0</v>
      </c>
      <c r="L118" s="38" t="str">
        <f t="shared" si="4"/>
        <v/>
      </c>
      <c r="M118" s="13" t="str">
        <f>IF(ISBLANK(H118),"",IF(I118-Parâmetros!$B$3+1&lt;=30,I118-Parâmetros!$B$3+1,IF(I118-Parâmetros!$B$3+1&gt;30,I118-Parâmetros!$B$3+1)))</f>
        <v/>
      </c>
    </row>
    <row r="119" spans="2:13" x14ac:dyDescent="0.25">
      <c r="B119" s="67">
        <v>114</v>
      </c>
      <c r="C119" s="19"/>
      <c r="D119" s="33"/>
      <c r="E119" s="61"/>
      <c r="F119" s="34"/>
      <c r="G119" s="22" t="str">
        <f>IF(ISBLANK(F119),"",INT((Parâmetros!$B$3-F119)/365.25))</f>
        <v/>
      </c>
      <c r="H119" s="64"/>
      <c r="I119" s="37" t="str">
        <f t="shared" si="3"/>
        <v/>
      </c>
      <c r="J119" s="78"/>
      <c r="K119" s="14" t="b">
        <f t="shared" si="5"/>
        <v>0</v>
      </c>
      <c r="L119" s="39" t="str">
        <f t="shared" si="4"/>
        <v/>
      </c>
      <c r="M119" s="22" t="str">
        <f>IF(ISBLANK(H119),"",IF(I119-Parâmetros!$B$3+1&lt;=30,I119-Parâmetros!$B$3+1,IF(I119-Parâmetros!$B$3+1&gt;30,I119-Parâmetros!$B$3+1)))</f>
        <v/>
      </c>
    </row>
    <row r="120" spans="2:13" x14ac:dyDescent="0.25">
      <c r="B120" s="68">
        <v>115</v>
      </c>
      <c r="C120" s="15"/>
      <c r="D120" s="16"/>
      <c r="E120" s="62"/>
      <c r="F120" s="18"/>
      <c r="G120" s="13" t="str">
        <f>IF(ISBLANK(F120),"",INT((Parâmetros!$B$3-F120)/365.25))</f>
        <v/>
      </c>
      <c r="H120" s="11"/>
      <c r="I120" s="36" t="str">
        <f t="shared" si="3"/>
        <v/>
      </c>
      <c r="J120" s="77"/>
      <c r="K120" s="14" t="b">
        <f t="shared" si="5"/>
        <v>0</v>
      </c>
      <c r="L120" s="38" t="str">
        <f t="shared" si="4"/>
        <v/>
      </c>
      <c r="M120" s="13" t="str">
        <f>IF(ISBLANK(H120),"",IF(I120-Parâmetros!$B$3+1&lt;=30,I120-Parâmetros!$B$3+1,IF(I120-Parâmetros!$B$3+1&gt;30,I120-Parâmetros!$B$3+1)))</f>
        <v/>
      </c>
    </row>
    <row r="121" spans="2:13" x14ac:dyDescent="0.25">
      <c r="B121" s="67">
        <v>116</v>
      </c>
      <c r="C121" s="19"/>
      <c r="D121" s="33"/>
      <c r="E121" s="61"/>
      <c r="F121" s="34"/>
      <c r="G121" s="22" t="str">
        <f>IF(ISBLANK(F121),"",INT((Parâmetros!$B$3-F121)/365.25))</f>
        <v/>
      </c>
      <c r="H121" s="64"/>
      <c r="I121" s="37" t="str">
        <f t="shared" si="3"/>
        <v/>
      </c>
      <c r="J121" s="78"/>
      <c r="K121" s="14" t="b">
        <f t="shared" si="5"/>
        <v>0</v>
      </c>
      <c r="L121" s="39" t="str">
        <f t="shared" si="4"/>
        <v/>
      </c>
      <c r="M121" s="22" t="str">
        <f>IF(ISBLANK(H121),"",IF(I121-Parâmetros!$B$3+1&lt;=30,I121-Parâmetros!$B$3+1,IF(I121-Parâmetros!$B$3+1&gt;30,I121-Parâmetros!$B$3+1)))</f>
        <v/>
      </c>
    </row>
    <row r="122" spans="2:13" x14ac:dyDescent="0.25">
      <c r="B122" s="68">
        <v>117</v>
      </c>
      <c r="C122" s="15"/>
      <c r="D122" s="16"/>
      <c r="E122" s="62"/>
      <c r="F122" s="18"/>
      <c r="G122" s="13" t="str">
        <f>IF(ISBLANK(F122),"",INT((Parâmetros!$B$3-F122)/365.25))</f>
        <v/>
      </c>
      <c r="H122" s="11"/>
      <c r="I122" s="36" t="str">
        <f t="shared" si="3"/>
        <v/>
      </c>
      <c r="J122" s="77"/>
      <c r="K122" s="14" t="b">
        <f t="shared" si="5"/>
        <v>0</v>
      </c>
      <c r="L122" s="38" t="str">
        <f t="shared" si="4"/>
        <v/>
      </c>
      <c r="M122" s="13" t="str">
        <f>IF(ISBLANK(H122),"",IF(I122-Parâmetros!$B$3+1&lt;=30,I122-Parâmetros!$B$3+1,IF(I122-Parâmetros!$B$3+1&gt;30,I122-Parâmetros!$B$3+1)))</f>
        <v/>
      </c>
    </row>
    <row r="123" spans="2:13" x14ac:dyDescent="0.25">
      <c r="B123" s="67">
        <v>118</v>
      </c>
      <c r="C123" s="19"/>
      <c r="D123" s="33"/>
      <c r="E123" s="61"/>
      <c r="F123" s="34"/>
      <c r="G123" s="22" t="str">
        <f>IF(ISBLANK(F123),"",INT((Parâmetros!$B$3-F123)/365.25))</f>
        <v/>
      </c>
      <c r="H123" s="64"/>
      <c r="I123" s="37" t="str">
        <f t="shared" si="3"/>
        <v/>
      </c>
      <c r="J123" s="78"/>
      <c r="K123" s="14" t="b">
        <f t="shared" si="5"/>
        <v>0</v>
      </c>
      <c r="L123" s="39" t="str">
        <f t="shared" si="4"/>
        <v/>
      </c>
      <c r="M123" s="22" t="str">
        <f>IF(ISBLANK(H123),"",IF(I123-Parâmetros!$B$3+1&lt;=30,I123-Parâmetros!$B$3+1,IF(I123-Parâmetros!$B$3+1&gt;30,I123-Parâmetros!$B$3+1)))</f>
        <v/>
      </c>
    </row>
    <row r="124" spans="2:13" x14ac:dyDescent="0.25">
      <c r="B124" s="68">
        <v>119</v>
      </c>
      <c r="C124" s="15"/>
      <c r="D124" s="16"/>
      <c r="E124" s="62"/>
      <c r="F124" s="18"/>
      <c r="G124" s="13" t="str">
        <f>IF(ISBLANK(F124),"",INT((Parâmetros!$B$3-F124)/365.25))</f>
        <v/>
      </c>
      <c r="H124" s="11"/>
      <c r="I124" s="36" t="str">
        <f t="shared" si="3"/>
        <v/>
      </c>
      <c r="J124" s="77"/>
      <c r="K124" s="14" t="b">
        <f t="shared" si="5"/>
        <v>0</v>
      </c>
      <c r="L124" s="38" t="str">
        <f t="shared" si="4"/>
        <v/>
      </c>
      <c r="M124" s="13" t="str">
        <f>IF(ISBLANK(H124),"",IF(I124-Parâmetros!$B$3+1&lt;=30,I124-Parâmetros!$B$3+1,IF(I124-Parâmetros!$B$3+1&gt;30,I124-Parâmetros!$B$3+1)))</f>
        <v/>
      </c>
    </row>
    <row r="125" spans="2:13" x14ac:dyDescent="0.25">
      <c r="B125" s="67">
        <v>120</v>
      </c>
      <c r="C125" s="19"/>
      <c r="D125" s="33"/>
      <c r="E125" s="61"/>
      <c r="F125" s="34"/>
      <c r="G125" s="22" t="str">
        <f>IF(ISBLANK(F125),"",INT((Parâmetros!$B$3-F125)/365.25))</f>
        <v/>
      </c>
      <c r="H125" s="64"/>
      <c r="I125" s="37" t="str">
        <f t="shared" si="3"/>
        <v/>
      </c>
      <c r="J125" s="78"/>
      <c r="K125" s="14" t="b">
        <f t="shared" si="5"/>
        <v>0</v>
      </c>
      <c r="L125" s="39" t="str">
        <f t="shared" si="4"/>
        <v/>
      </c>
      <c r="M125" s="22" t="str">
        <f>IF(ISBLANK(H125),"",IF(I125-Parâmetros!$B$3+1&lt;=30,I125-Parâmetros!$B$3+1,IF(I125-Parâmetros!$B$3+1&gt;30,I125-Parâmetros!$B$3+1)))</f>
        <v/>
      </c>
    </row>
    <row r="126" spans="2:13" x14ac:dyDescent="0.25">
      <c r="B126" s="68">
        <v>121</v>
      </c>
      <c r="C126" s="15"/>
      <c r="D126" s="16"/>
      <c r="E126" s="62"/>
      <c r="F126" s="18"/>
      <c r="G126" s="13" t="str">
        <f>IF(ISBLANK(F126),"",INT((Parâmetros!$B$3-F126)/365.25))</f>
        <v/>
      </c>
      <c r="H126" s="11"/>
      <c r="I126" s="36" t="str">
        <f t="shared" si="3"/>
        <v/>
      </c>
      <c r="J126" s="77"/>
      <c r="K126" s="14" t="b">
        <f t="shared" si="5"/>
        <v>0</v>
      </c>
      <c r="L126" s="38" t="str">
        <f t="shared" si="4"/>
        <v/>
      </c>
      <c r="M126" s="13" t="str">
        <f>IF(ISBLANK(H126),"",IF(I126-Parâmetros!$B$3+1&lt;=30,I126-Parâmetros!$B$3+1,IF(I126-Parâmetros!$B$3+1&gt;30,I126-Parâmetros!$B$3+1)))</f>
        <v/>
      </c>
    </row>
    <row r="127" spans="2:13" x14ac:dyDescent="0.25">
      <c r="B127" s="67">
        <v>122</v>
      </c>
      <c r="C127" s="19"/>
      <c r="D127" s="33"/>
      <c r="E127" s="61"/>
      <c r="F127" s="34"/>
      <c r="G127" s="22" t="str">
        <f>IF(ISBLANK(F127),"",INT((Parâmetros!$B$3-F127)/365.25))</f>
        <v/>
      </c>
      <c r="H127" s="64"/>
      <c r="I127" s="37" t="str">
        <f t="shared" si="3"/>
        <v/>
      </c>
      <c r="J127" s="78"/>
      <c r="K127" s="14" t="b">
        <f t="shared" si="5"/>
        <v>0</v>
      </c>
      <c r="L127" s="39" t="str">
        <f t="shared" si="4"/>
        <v/>
      </c>
      <c r="M127" s="22" t="str">
        <f>IF(ISBLANK(H127),"",IF(I127-Parâmetros!$B$3+1&lt;=30,I127-Parâmetros!$B$3+1,IF(I127-Parâmetros!$B$3+1&gt;30,I127-Parâmetros!$B$3+1)))</f>
        <v/>
      </c>
    </row>
    <row r="128" spans="2:13" x14ac:dyDescent="0.25">
      <c r="B128" s="68">
        <v>123</v>
      </c>
      <c r="C128" s="15"/>
      <c r="D128" s="16"/>
      <c r="E128" s="62"/>
      <c r="F128" s="18"/>
      <c r="G128" s="13" t="str">
        <f>IF(ISBLANK(F128),"",INT((Parâmetros!$B$3-F128)/365.25))</f>
        <v/>
      </c>
      <c r="H128" s="11"/>
      <c r="I128" s="36" t="str">
        <f t="shared" si="3"/>
        <v/>
      </c>
      <c r="J128" s="77"/>
      <c r="K128" s="14" t="b">
        <f t="shared" si="5"/>
        <v>0</v>
      </c>
      <c r="L128" s="38" t="str">
        <f t="shared" si="4"/>
        <v/>
      </c>
      <c r="M128" s="13" t="str">
        <f>IF(ISBLANK(H128),"",IF(I128-Parâmetros!$B$3+1&lt;=30,I128-Parâmetros!$B$3+1,IF(I128-Parâmetros!$B$3+1&gt;30,I128-Parâmetros!$B$3+1)))</f>
        <v/>
      </c>
    </row>
    <row r="129" spans="2:13" x14ac:dyDescent="0.25">
      <c r="B129" s="67">
        <v>124</v>
      </c>
      <c r="C129" s="19"/>
      <c r="D129" s="33"/>
      <c r="E129" s="61"/>
      <c r="F129" s="34"/>
      <c r="G129" s="22" t="str">
        <f>IF(ISBLANK(F129),"",INT((Parâmetros!$B$3-F129)/365.25))</f>
        <v/>
      </c>
      <c r="H129" s="64"/>
      <c r="I129" s="37" t="str">
        <f t="shared" si="3"/>
        <v/>
      </c>
      <c r="J129" s="78"/>
      <c r="K129" s="14" t="b">
        <f t="shared" si="5"/>
        <v>0</v>
      </c>
      <c r="L129" s="39" t="str">
        <f t="shared" si="4"/>
        <v/>
      </c>
      <c r="M129" s="22" t="str">
        <f>IF(ISBLANK(H129),"",IF(I129-Parâmetros!$B$3+1&lt;=30,I129-Parâmetros!$B$3+1,IF(I129-Parâmetros!$B$3+1&gt;30,I129-Parâmetros!$B$3+1)))</f>
        <v/>
      </c>
    </row>
    <row r="130" spans="2:13" x14ac:dyDescent="0.25">
      <c r="B130" s="68">
        <v>125</v>
      </c>
      <c r="C130" s="15"/>
      <c r="D130" s="16"/>
      <c r="E130" s="62"/>
      <c r="F130" s="18"/>
      <c r="G130" s="13" t="str">
        <f>IF(ISBLANK(F130),"",INT((Parâmetros!$B$3-F130)/365.25))</f>
        <v/>
      </c>
      <c r="H130" s="11"/>
      <c r="I130" s="36" t="str">
        <f t="shared" si="3"/>
        <v/>
      </c>
      <c r="J130" s="77"/>
      <c r="K130" s="14" t="b">
        <f t="shared" si="5"/>
        <v>0</v>
      </c>
      <c r="L130" s="38" t="str">
        <f t="shared" si="4"/>
        <v/>
      </c>
      <c r="M130" s="13" t="str">
        <f>IF(ISBLANK(H130),"",IF(I130-Parâmetros!$B$3+1&lt;=30,I130-Parâmetros!$B$3+1,IF(I130-Parâmetros!$B$3+1&gt;30,I130-Parâmetros!$B$3+1)))</f>
        <v/>
      </c>
    </row>
    <row r="131" spans="2:13" x14ac:dyDescent="0.25">
      <c r="B131" s="67">
        <v>126</v>
      </c>
      <c r="C131" s="19"/>
      <c r="D131" s="33"/>
      <c r="E131" s="61"/>
      <c r="F131" s="34"/>
      <c r="G131" s="22" t="str">
        <f>IF(ISBLANK(F131),"",INT((Parâmetros!$B$3-F131)/365.25))</f>
        <v/>
      </c>
      <c r="H131" s="64"/>
      <c r="I131" s="37" t="str">
        <f t="shared" si="3"/>
        <v/>
      </c>
      <c r="J131" s="78"/>
      <c r="K131" s="14" t="b">
        <f t="shared" si="5"/>
        <v>0</v>
      </c>
      <c r="L131" s="39" t="str">
        <f t="shared" si="4"/>
        <v/>
      </c>
      <c r="M131" s="22" t="str">
        <f>IF(ISBLANK(H131),"",IF(I131-Parâmetros!$B$3+1&lt;=30,I131-Parâmetros!$B$3+1,IF(I131-Parâmetros!$B$3+1&gt;30,I131-Parâmetros!$B$3+1)))</f>
        <v/>
      </c>
    </row>
    <row r="132" spans="2:13" x14ac:dyDescent="0.25">
      <c r="B132" s="68">
        <v>127</v>
      </c>
      <c r="C132" s="15"/>
      <c r="D132" s="16"/>
      <c r="E132" s="62"/>
      <c r="F132" s="18"/>
      <c r="G132" s="13" t="str">
        <f>IF(ISBLANK(F132),"",INT((Parâmetros!$B$3-F132)/365.25))</f>
        <v/>
      </c>
      <c r="H132" s="11"/>
      <c r="I132" s="36" t="str">
        <f t="shared" si="3"/>
        <v/>
      </c>
      <c r="J132" s="77"/>
      <c r="K132" s="14" t="b">
        <f t="shared" si="5"/>
        <v>0</v>
      </c>
      <c r="L132" s="38" t="str">
        <f t="shared" si="4"/>
        <v/>
      </c>
      <c r="M132" s="13" t="str">
        <f>IF(ISBLANK(H132),"",IF(I132-Parâmetros!$B$3+1&lt;=30,I132-Parâmetros!$B$3+1,IF(I132-Parâmetros!$B$3+1&gt;30,I132-Parâmetros!$B$3+1)))</f>
        <v/>
      </c>
    </row>
    <row r="133" spans="2:13" x14ac:dyDescent="0.25">
      <c r="B133" s="67">
        <v>128</v>
      </c>
      <c r="C133" s="19"/>
      <c r="D133" s="33"/>
      <c r="E133" s="61"/>
      <c r="F133" s="34"/>
      <c r="G133" s="22" t="str">
        <f>IF(ISBLANK(F133),"",INT((Parâmetros!$B$3-F133)/365.25))</f>
        <v/>
      </c>
      <c r="H133" s="64"/>
      <c r="I133" s="37" t="str">
        <f t="shared" si="3"/>
        <v/>
      </c>
      <c r="J133" s="78"/>
      <c r="K133" s="14" t="b">
        <f t="shared" si="5"/>
        <v>0</v>
      </c>
      <c r="L133" s="39" t="str">
        <f t="shared" si="4"/>
        <v/>
      </c>
      <c r="M133" s="22" t="str">
        <f>IF(ISBLANK(H133),"",IF(I133-Parâmetros!$B$3+1&lt;=30,I133-Parâmetros!$B$3+1,IF(I133-Parâmetros!$B$3+1&gt;30,I133-Parâmetros!$B$3+1)))</f>
        <v/>
      </c>
    </row>
    <row r="134" spans="2:13" x14ac:dyDescent="0.25">
      <c r="B134" s="68">
        <v>129</v>
      </c>
      <c r="C134" s="15"/>
      <c r="D134" s="16"/>
      <c r="E134" s="62"/>
      <c r="F134" s="18"/>
      <c r="G134" s="13" t="str">
        <f>IF(ISBLANK(F134),"",INT((Parâmetros!$B$3-F134)/365.25))</f>
        <v/>
      </c>
      <c r="H134" s="11"/>
      <c r="I134" s="36" t="str">
        <f t="shared" ref="I134:I197" si="6">IF(ISBLANK(H134),"",IF(K134=1,H134+365,IF(K134=2,H134+730,IF(K134=3,H134+182))))</f>
        <v/>
      </c>
      <c r="J134" s="77"/>
      <c r="K134" s="14" t="b">
        <f t="shared" si="5"/>
        <v>0</v>
      </c>
      <c r="L134" s="38" t="str">
        <f t="shared" ref="L134:L197" si="7">IF(ISBLANK(C134),"",IF(ISBLANK(H134),"Informar Data último exame",IF(AND(M134&gt;0,M134&lt;=30),"Atenção, menos de 30 dias",IF(M134&gt;30,"No prazo",IF(M134&lt;0,"Exame vencido")))))</f>
        <v/>
      </c>
      <c r="M134" s="13" t="str">
        <f>IF(ISBLANK(H134),"",IF(I134-Parâmetros!$B$3+1&lt;=30,I134-Parâmetros!$B$3+1,IF(I134-Parâmetros!$B$3+1&gt;30,I134-Parâmetros!$B$3+1)))</f>
        <v/>
      </c>
    </row>
    <row r="135" spans="2:13" x14ac:dyDescent="0.25">
      <c r="B135" s="67">
        <v>130</v>
      </c>
      <c r="C135" s="19"/>
      <c r="D135" s="33"/>
      <c r="E135" s="61"/>
      <c r="F135" s="34"/>
      <c r="G135" s="22" t="str">
        <f>IF(ISBLANK(F135),"",INT((Parâmetros!$B$3-F135)/365.25))</f>
        <v/>
      </c>
      <c r="H135" s="64"/>
      <c r="I135" s="37" t="str">
        <f t="shared" si="6"/>
        <v/>
      </c>
      <c r="J135" s="78"/>
      <c r="K135" s="14" t="b">
        <f t="shared" si="5"/>
        <v>0</v>
      </c>
      <c r="L135" s="39" t="str">
        <f t="shared" si="7"/>
        <v/>
      </c>
      <c r="M135" s="22" t="str">
        <f>IF(ISBLANK(H135),"",IF(I135-Parâmetros!$B$3+1&lt;=30,I135-Parâmetros!$B$3+1,IF(I135-Parâmetros!$B$3+1&gt;30,I135-Parâmetros!$B$3+1)))</f>
        <v/>
      </c>
    </row>
    <row r="136" spans="2:13" x14ac:dyDescent="0.25">
      <c r="B136" s="68">
        <v>131</v>
      </c>
      <c r="C136" s="15"/>
      <c r="D136" s="16"/>
      <c r="E136" s="62"/>
      <c r="F136" s="18"/>
      <c r="G136" s="13" t="str">
        <f>IF(ISBLANK(F136),"",INT((Parâmetros!$B$3-F136)/365.25))</f>
        <v/>
      </c>
      <c r="H136" s="11"/>
      <c r="I136" s="36" t="str">
        <f t="shared" si="6"/>
        <v/>
      </c>
      <c r="J136" s="77"/>
      <c r="K136" s="14" t="b">
        <f t="shared" ref="K136:K199" si="8">IF(J136="1 ANO",1,IF(J136="2 ANOS",2,IF(J136="6 MESES",3)))</f>
        <v>0</v>
      </c>
      <c r="L136" s="38" t="str">
        <f t="shared" si="7"/>
        <v/>
      </c>
      <c r="M136" s="13" t="str">
        <f>IF(ISBLANK(H136),"",IF(I136-Parâmetros!$B$3+1&lt;=30,I136-Parâmetros!$B$3+1,IF(I136-Parâmetros!$B$3+1&gt;30,I136-Parâmetros!$B$3+1)))</f>
        <v/>
      </c>
    </row>
    <row r="137" spans="2:13" x14ac:dyDescent="0.25">
      <c r="B137" s="67">
        <v>132</v>
      </c>
      <c r="C137" s="19"/>
      <c r="D137" s="33"/>
      <c r="E137" s="61"/>
      <c r="F137" s="34"/>
      <c r="G137" s="22" t="str">
        <f>IF(ISBLANK(F137),"",INT((Parâmetros!$B$3-F137)/365.25))</f>
        <v/>
      </c>
      <c r="H137" s="64"/>
      <c r="I137" s="37" t="str">
        <f t="shared" si="6"/>
        <v/>
      </c>
      <c r="J137" s="78"/>
      <c r="K137" s="14" t="b">
        <f t="shared" si="8"/>
        <v>0</v>
      </c>
      <c r="L137" s="39" t="str">
        <f t="shared" si="7"/>
        <v/>
      </c>
      <c r="M137" s="22" t="str">
        <f>IF(ISBLANK(H137),"",IF(I137-Parâmetros!$B$3+1&lt;=30,I137-Parâmetros!$B$3+1,IF(I137-Parâmetros!$B$3+1&gt;30,I137-Parâmetros!$B$3+1)))</f>
        <v/>
      </c>
    </row>
    <row r="138" spans="2:13" x14ac:dyDescent="0.25">
      <c r="B138" s="68">
        <v>133</v>
      </c>
      <c r="C138" s="15"/>
      <c r="D138" s="16"/>
      <c r="E138" s="62"/>
      <c r="F138" s="18"/>
      <c r="G138" s="13" t="str">
        <f>IF(ISBLANK(F138),"",INT((Parâmetros!$B$3-F138)/365.25))</f>
        <v/>
      </c>
      <c r="H138" s="11"/>
      <c r="I138" s="36" t="str">
        <f t="shared" si="6"/>
        <v/>
      </c>
      <c r="J138" s="77"/>
      <c r="K138" s="14" t="b">
        <f t="shared" si="8"/>
        <v>0</v>
      </c>
      <c r="L138" s="38" t="str">
        <f t="shared" si="7"/>
        <v/>
      </c>
      <c r="M138" s="13" t="str">
        <f>IF(ISBLANK(H138),"",IF(I138-Parâmetros!$B$3+1&lt;=30,I138-Parâmetros!$B$3+1,IF(I138-Parâmetros!$B$3+1&gt;30,I138-Parâmetros!$B$3+1)))</f>
        <v/>
      </c>
    </row>
    <row r="139" spans="2:13" x14ac:dyDescent="0.25">
      <c r="B139" s="67">
        <v>134</v>
      </c>
      <c r="C139" s="19"/>
      <c r="D139" s="33"/>
      <c r="E139" s="61"/>
      <c r="F139" s="34"/>
      <c r="G139" s="22" t="str">
        <f>IF(ISBLANK(F139),"",INT((Parâmetros!$B$3-F139)/365.25))</f>
        <v/>
      </c>
      <c r="H139" s="64"/>
      <c r="I139" s="37" t="str">
        <f t="shared" si="6"/>
        <v/>
      </c>
      <c r="J139" s="78"/>
      <c r="K139" s="14" t="b">
        <f t="shared" si="8"/>
        <v>0</v>
      </c>
      <c r="L139" s="39" t="str">
        <f t="shared" si="7"/>
        <v/>
      </c>
      <c r="M139" s="22" t="str">
        <f>IF(ISBLANK(H139),"",IF(I139-Parâmetros!$B$3+1&lt;=30,I139-Parâmetros!$B$3+1,IF(I139-Parâmetros!$B$3+1&gt;30,I139-Parâmetros!$B$3+1)))</f>
        <v/>
      </c>
    </row>
    <row r="140" spans="2:13" x14ac:dyDescent="0.25">
      <c r="B140" s="68">
        <v>135</v>
      </c>
      <c r="C140" s="15"/>
      <c r="D140" s="16"/>
      <c r="E140" s="62"/>
      <c r="F140" s="18"/>
      <c r="G140" s="13" t="str">
        <f>IF(ISBLANK(F140),"",INT((Parâmetros!$B$3-F140)/365.25))</f>
        <v/>
      </c>
      <c r="H140" s="11"/>
      <c r="I140" s="36" t="str">
        <f t="shared" si="6"/>
        <v/>
      </c>
      <c r="J140" s="77"/>
      <c r="K140" s="14" t="b">
        <f t="shared" si="8"/>
        <v>0</v>
      </c>
      <c r="L140" s="38" t="str">
        <f t="shared" si="7"/>
        <v/>
      </c>
      <c r="M140" s="13" t="str">
        <f>IF(ISBLANK(H140),"",IF(I140-Parâmetros!$B$3+1&lt;=30,I140-Parâmetros!$B$3+1,IF(I140-Parâmetros!$B$3+1&gt;30,I140-Parâmetros!$B$3+1)))</f>
        <v/>
      </c>
    </row>
    <row r="141" spans="2:13" x14ac:dyDescent="0.25">
      <c r="B141" s="67">
        <v>136</v>
      </c>
      <c r="C141" s="19"/>
      <c r="D141" s="33"/>
      <c r="E141" s="61"/>
      <c r="F141" s="34"/>
      <c r="G141" s="22" t="str">
        <f>IF(ISBLANK(F141),"",INT((Parâmetros!$B$3-F141)/365.25))</f>
        <v/>
      </c>
      <c r="H141" s="64"/>
      <c r="I141" s="37" t="str">
        <f t="shared" si="6"/>
        <v/>
      </c>
      <c r="J141" s="78"/>
      <c r="K141" s="14" t="b">
        <f t="shared" si="8"/>
        <v>0</v>
      </c>
      <c r="L141" s="39" t="str">
        <f t="shared" si="7"/>
        <v/>
      </c>
      <c r="M141" s="22" t="str">
        <f>IF(ISBLANK(H141),"",IF(I141-Parâmetros!$B$3+1&lt;=30,I141-Parâmetros!$B$3+1,IF(I141-Parâmetros!$B$3+1&gt;30,I141-Parâmetros!$B$3+1)))</f>
        <v/>
      </c>
    </row>
    <row r="142" spans="2:13" x14ac:dyDescent="0.25">
      <c r="B142" s="68">
        <v>137</v>
      </c>
      <c r="C142" s="15"/>
      <c r="D142" s="16"/>
      <c r="E142" s="62"/>
      <c r="F142" s="18"/>
      <c r="G142" s="13" t="str">
        <f>IF(ISBLANK(F142),"",INT((Parâmetros!$B$3-F142)/365.25))</f>
        <v/>
      </c>
      <c r="H142" s="11"/>
      <c r="I142" s="36" t="str">
        <f t="shared" si="6"/>
        <v/>
      </c>
      <c r="J142" s="77"/>
      <c r="K142" s="14" t="b">
        <f t="shared" si="8"/>
        <v>0</v>
      </c>
      <c r="L142" s="38" t="str">
        <f t="shared" si="7"/>
        <v/>
      </c>
      <c r="M142" s="13" t="str">
        <f>IF(ISBLANK(H142),"",IF(I142-Parâmetros!$B$3+1&lt;=30,I142-Parâmetros!$B$3+1,IF(I142-Parâmetros!$B$3+1&gt;30,I142-Parâmetros!$B$3+1)))</f>
        <v/>
      </c>
    </row>
    <row r="143" spans="2:13" x14ac:dyDescent="0.25">
      <c r="B143" s="67">
        <v>138</v>
      </c>
      <c r="C143" s="19"/>
      <c r="D143" s="33"/>
      <c r="E143" s="61"/>
      <c r="F143" s="34"/>
      <c r="G143" s="22" t="str">
        <f>IF(ISBLANK(F143),"",INT((Parâmetros!$B$3-F143)/365.25))</f>
        <v/>
      </c>
      <c r="H143" s="64"/>
      <c r="I143" s="37" t="str">
        <f t="shared" si="6"/>
        <v/>
      </c>
      <c r="J143" s="78"/>
      <c r="K143" s="14" t="b">
        <f t="shared" si="8"/>
        <v>0</v>
      </c>
      <c r="L143" s="39" t="str">
        <f t="shared" si="7"/>
        <v/>
      </c>
      <c r="M143" s="22" t="str">
        <f>IF(ISBLANK(H143),"",IF(I143-Parâmetros!$B$3+1&lt;=30,I143-Parâmetros!$B$3+1,IF(I143-Parâmetros!$B$3+1&gt;30,I143-Parâmetros!$B$3+1)))</f>
        <v/>
      </c>
    </row>
    <row r="144" spans="2:13" x14ac:dyDescent="0.25">
      <c r="B144" s="68">
        <v>139</v>
      </c>
      <c r="C144" s="15"/>
      <c r="D144" s="16"/>
      <c r="E144" s="62"/>
      <c r="F144" s="18"/>
      <c r="G144" s="13" t="str">
        <f>IF(ISBLANK(F144),"",INT((Parâmetros!$B$3-F144)/365.25))</f>
        <v/>
      </c>
      <c r="H144" s="11"/>
      <c r="I144" s="36" t="str">
        <f t="shared" si="6"/>
        <v/>
      </c>
      <c r="J144" s="77"/>
      <c r="K144" s="14" t="b">
        <f t="shared" si="8"/>
        <v>0</v>
      </c>
      <c r="L144" s="38" t="str">
        <f t="shared" si="7"/>
        <v/>
      </c>
      <c r="M144" s="13" t="str">
        <f>IF(ISBLANK(H144),"",IF(I144-Parâmetros!$B$3+1&lt;=30,I144-Parâmetros!$B$3+1,IF(I144-Parâmetros!$B$3+1&gt;30,I144-Parâmetros!$B$3+1)))</f>
        <v/>
      </c>
    </row>
    <row r="145" spans="2:13" x14ac:dyDescent="0.25">
      <c r="B145" s="67">
        <v>140</v>
      </c>
      <c r="C145" s="19"/>
      <c r="D145" s="33"/>
      <c r="E145" s="61"/>
      <c r="F145" s="34"/>
      <c r="G145" s="22" t="str">
        <f>IF(ISBLANK(F145),"",INT((Parâmetros!$B$3-F145)/365.25))</f>
        <v/>
      </c>
      <c r="H145" s="64"/>
      <c r="I145" s="37" t="str">
        <f t="shared" si="6"/>
        <v/>
      </c>
      <c r="J145" s="78"/>
      <c r="K145" s="14" t="b">
        <f t="shared" si="8"/>
        <v>0</v>
      </c>
      <c r="L145" s="39" t="str">
        <f t="shared" si="7"/>
        <v/>
      </c>
      <c r="M145" s="22" t="str">
        <f>IF(ISBLANK(H145),"",IF(I145-Parâmetros!$B$3+1&lt;=30,I145-Parâmetros!$B$3+1,IF(I145-Parâmetros!$B$3+1&gt;30,I145-Parâmetros!$B$3+1)))</f>
        <v/>
      </c>
    </row>
    <row r="146" spans="2:13" x14ac:dyDescent="0.25">
      <c r="B146" s="68">
        <v>141</v>
      </c>
      <c r="C146" s="15"/>
      <c r="D146" s="16"/>
      <c r="E146" s="62"/>
      <c r="F146" s="18"/>
      <c r="G146" s="13" t="str">
        <f>IF(ISBLANK(F146),"",INT((Parâmetros!$B$3-F146)/365.25))</f>
        <v/>
      </c>
      <c r="H146" s="11"/>
      <c r="I146" s="36" t="str">
        <f t="shared" si="6"/>
        <v/>
      </c>
      <c r="J146" s="77"/>
      <c r="K146" s="14" t="b">
        <f t="shared" si="8"/>
        <v>0</v>
      </c>
      <c r="L146" s="38" t="str">
        <f t="shared" si="7"/>
        <v/>
      </c>
      <c r="M146" s="13" t="str">
        <f>IF(ISBLANK(H146),"",IF(I146-Parâmetros!$B$3+1&lt;=30,I146-Parâmetros!$B$3+1,IF(I146-Parâmetros!$B$3+1&gt;30,I146-Parâmetros!$B$3+1)))</f>
        <v/>
      </c>
    </row>
    <row r="147" spans="2:13" x14ac:dyDescent="0.25">
      <c r="B147" s="67">
        <v>142</v>
      </c>
      <c r="C147" s="19"/>
      <c r="D147" s="33"/>
      <c r="E147" s="61"/>
      <c r="F147" s="34"/>
      <c r="G147" s="22" t="str">
        <f>IF(ISBLANK(F147),"",INT((Parâmetros!$B$3-F147)/365.25))</f>
        <v/>
      </c>
      <c r="H147" s="64"/>
      <c r="I147" s="37" t="str">
        <f t="shared" si="6"/>
        <v/>
      </c>
      <c r="J147" s="78"/>
      <c r="K147" s="14" t="b">
        <f t="shared" si="8"/>
        <v>0</v>
      </c>
      <c r="L147" s="39" t="str">
        <f t="shared" si="7"/>
        <v/>
      </c>
      <c r="M147" s="22" t="str">
        <f>IF(ISBLANK(H147),"",IF(I147-Parâmetros!$B$3+1&lt;=30,I147-Parâmetros!$B$3+1,IF(I147-Parâmetros!$B$3+1&gt;30,I147-Parâmetros!$B$3+1)))</f>
        <v/>
      </c>
    </row>
    <row r="148" spans="2:13" x14ac:dyDescent="0.25">
      <c r="B148" s="68">
        <v>143</v>
      </c>
      <c r="C148" s="15"/>
      <c r="D148" s="16"/>
      <c r="E148" s="62"/>
      <c r="F148" s="18"/>
      <c r="G148" s="13" t="str">
        <f>IF(ISBLANK(F148),"",INT((Parâmetros!$B$3-F148)/365.25))</f>
        <v/>
      </c>
      <c r="H148" s="11"/>
      <c r="I148" s="36" t="str">
        <f t="shared" si="6"/>
        <v/>
      </c>
      <c r="J148" s="77"/>
      <c r="K148" s="14" t="b">
        <f t="shared" si="8"/>
        <v>0</v>
      </c>
      <c r="L148" s="38" t="str">
        <f t="shared" si="7"/>
        <v/>
      </c>
      <c r="M148" s="13" t="str">
        <f>IF(ISBLANK(H148),"",IF(I148-Parâmetros!$B$3+1&lt;=30,I148-Parâmetros!$B$3+1,IF(I148-Parâmetros!$B$3+1&gt;30,I148-Parâmetros!$B$3+1)))</f>
        <v/>
      </c>
    </row>
    <row r="149" spans="2:13" x14ac:dyDescent="0.25">
      <c r="B149" s="67">
        <v>144</v>
      </c>
      <c r="C149" s="19"/>
      <c r="D149" s="33"/>
      <c r="E149" s="61"/>
      <c r="F149" s="34"/>
      <c r="G149" s="22" t="str">
        <f>IF(ISBLANK(F149),"",INT((Parâmetros!$B$3-F149)/365.25))</f>
        <v/>
      </c>
      <c r="H149" s="64"/>
      <c r="I149" s="37" t="str">
        <f t="shared" si="6"/>
        <v/>
      </c>
      <c r="J149" s="78"/>
      <c r="K149" s="14" t="b">
        <f t="shared" si="8"/>
        <v>0</v>
      </c>
      <c r="L149" s="39" t="str">
        <f t="shared" si="7"/>
        <v/>
      </c>
      <c r="M149" s="22" t="str">
        <f>IF(ISBLANK(H149),"",IF(I149-Parâmetros!$B$3+1&lt;=30,I149-Parâmetros!$B$3+1,IF(I149-Parâmetros!$B$3+1&gt;30,I149-Parâmetros!$B$3+1)))</f>
        <v/>
      </c>
    </row>
    <row r="150" spans="2:13" x14ac:dyDescent="0.25">
      <c r="B150" s="68">
        <v>145</v>
      </c>
      <c r="C150" s="15"/>
      <c r="D150" s="16"/>
      <c r="E150" s="62"/>
      <c r="F150" s="18"/>
      <c r="G150" s="13" t="str">
        <f>IF(ISBLANK(F150),"",INT((Parâmetros!$B$3-F150)/365.25))</f>
        <v/>
      </c>
      <c r="H150" s="11"/>
      <c r="I150" s="36" t="str">
        <f t="shared" si="6"/>
        <v/>
      </c>
      <c r="J150" s="77"/>
      <c r="K150" s="14" t="b">
        <f t="shared" si="8"/>
        <v>0</v>
      </c>
      <c r="L150" s="38" t="str">
        <f t="shared" si="7"/>
        <v/>
      </c>
      <c r="M150" s="13" t="str">
        <f>IF(ISBLANK(H150),"",IF(I150-Parâmetros!$B$3+1&lt;=30,I150-Parâmetros!$B$3+1,IF(I150-Parâmetros!$B$3+1&gt;30,I150-Parâmetros!$B$3+1)))</f>
        <v/>
      </c>
    </row>
    <row r="151" spans="2:13" x14ac:dyDescent="0.25">
      <c r="B151" s="67">
        <v>146</v>
      </c>
      <c r="C151" s="19"/>
      <c r="D151" s="33"/>
      <c r="E151" s="61"/>
      <c r="F151" s="34"/>
      <c r="G151" s="22" t="str">
        <f>IF(ISBLANK(F151),"",INT((Parâmetros!$B$3-F151)/365.25))</f>
        <v/>
      </c>
      <c r="H151" s="64"/>
      <c r="I151" s="37" t="str">
        <f t="shared" si="6"/>
        <v/>
      </c>
      <c r="J151" s="78"/>
      <c r="K151" s="14" t="b">
        <f t="shared" si="8"/>
        <v>0</v>
      </c>
      <c r="L151" s="39" t="str">
        <f t="shared" si="7"/>
        <v/>
      </c>
      <c r="M151" s="22" t="str">
        <f>IF(ISBLANK(H151),"",IF(I151-Parâmetros!$B$3+1&lt;=30,I151-Parâmetros!$B$3+1,IF(I151-Parâmetros!$B$3+1&gt;30,I151-Parâmetros!$B$3+1)))</f>
        <v/>
      </c>
    </row>
    <row r="152" spans="2:13" x14ac:dyDescent="0.25">
      <c r="B152" s="68">
        <v>147</v>
      </c>
      <c r="C152" s="15"/>
      <c r="D152" s="16"/>
      <c r="E152" s="62"/>
      <c r="F152" s="18"/>
      <c r="G152" s="13" t="str">
        <f>IF(ISBLANK(F152),"",INT((Parâmetros!$B$3-F152)/365.25))</f>
        <v/>
      </c>
      <c r="H152" s="11"/>
      <c r="I152" s="36" t="str">
        <f t="shared" si="6"/>
        <v/>
      </c>
      <c r="J152" s="77"/>
      <c r="K152" s="14" t="b">
        <f t="shared" si="8"/>
        <v>0</v>
      </c>
      <c r="L152" s="38" t="str">
        <f t="shared" si="7"/>
        <v/>
      </c>
      <c r="M152" s="13" t="str">
        <f>IF(ISBLANK(H152),"",IF(I152-Parâmetros!$B$3+1&lt;=30,I152-Parâmetros!$B$3+1,IF(I152-Parâmetros!$B$3+1&gt;30,I152-Parâmetros!$B$3+1)))</f>
        <v/>
      </c>
    </row>
    <row r="153" spans="2:13" x14ac:dyDescent="0.25">
      <c r="B153" s="67">
        <v>148</v>
      </c>
      <c r="C153" s="19"/>
      <c r="D153" s="33"/>
      <c r="E153" s="61"/>
      <c r="F153" s="34"/>
      <c r="G153" s="22" t="str">
        <f>IF(ISBLANK(F153),"",INT((Parâmetros!$B$3-F153)/365.25))</f>
        <v/>
      </c>
      <c r="H153" s="64"/>
      <c r="I153" s="37" t="str">
        <f t="shared" si="6"/>
        <v/>
      </c>
      <c r="J153" s="78"/>
      <c r="K153" s="14" t="b">
        <f t="shared" si="8"/>
        <v>0</v>
      </c>
      <c r="L153" s="39" t="str">
        <f t="shared" si="7"/>
        <v/>
      </c>
      <c r="M153" s="22" t="str">
        <f>IF(ISBLANK(H153),"",IF(I153-Parâmetros!$B$3+1&lt;=30,I153-Parâmetros!$B$3+1,IF(I153-Parâmetros!$B$3+1&gt;30,I153-Parâmetros!$B$3+1)))</f>
        <v/>
      </c>
    </row>
    <row r="154" spans="2:13" x14ac:dyDescent="0.25">
      <c r="B154" s="68">
        <v>149</v>
      </c>
      <c r="C154" s="15"/>
      <c r="D154" s="16"/>
      <c r="E154" s="62"/>
      <c r="F154" s="18"/>
      <c r="G154" s="13" t="str">
        <f>IF(ISBLANK(F154),"",INT((Parâmetros!$B$3-F154)/365.25))</f>
        <v/>
      </c>
      <c r="H154" s="11"/>
      <c r="I154" s="36" t="str">
        <f t="shared" si="6"/>
        <v/>
      </c>
      <c r="J154" s="77"/>
      <c r="K154" s="14" t="b">
        <f t="shared" si="8"/>
        <v>0</v>
      </c>
      <c r="L154" s="38" t="str">
        <f t="shared" si="7"/>
        <v/>
      </c>
      <c r="M154" s="13" t="str">
        <f>IF(ISBLANK(H154),"",IF(I154-Parâmetros!$B$3+1&lt;=30,I154-Parâmetros!$B$3+1,IF(I154-Parâmetros!$B$3+1&gt;30,I154-Parâmetros!$B$3+1)))</f>
        <v/>
      </c>
    </row>
    <row r="155" spans="2:13" x14ac:dyDescent="0.25">
      <c r="B155" s="67">
        <v>150</v>
      </c>
      <c r="C155" s="19"/>
      <c r="D155" s="35"/>
      <c r="E155" s="61"/>
      <c r="F155" s="34"/>
      <c r="G155" s="22" t="str">
        <f>IF(ISBLANK(F155),"",INT((Parâmetros!$B$3-F155)/365.25))</f>
        <v/>
      </c>
      <c r="H155" s="64"/>
      <c r="I155" s="37" t="str">
        <f t="shared" si="6"/>
        <v/>
      </c>
      <c r="J155" s="78"/>
      <c r="K155" s="14" t="b">
        <f t="shared" si="8"/>
        <v>0</v>
      </c>
      <c r="L155" s="39" t="str">
        <f t="shared" si="7"/>
        <v/>
      </c>
      <c r="M155" s="22" t="str">
        <f>IF(ISBLANK(H155),"",IF(I155-Parâmetros!$B$3+1&lt;=30,I155-Parâmetros!$B$3+1,IF(I155-Parâmetros!$B$3+1&gt;30,I155-Parâmetros!$B$3+1)))</f>
        <v/>
      </c>
    </row>
    <row r="156" spans="2:13" x14ac:dyDescent="0.25">
      <c r="B156" s="68">
        <v>151</v>
      </c>
      <c r="C156" s="42"/>
      <c r="D156" s="43"/>
      <c r="E156" s="63"/>
      <c r="F156" s="44"/>
      <c r="G156" s="13" t="str">
        <f>IF(ISBLANK(F156),"",INT((Parâmetros!$B$3-F156)/365.25))</f>
        <v/>
      </c>
      <c r="H156" s="65"/>
      <c r="I156" s="36" t="str">
        <f t="shared" si="6"/>
        <v/>
      </c>
      <c r="J156" s="77"/>
      <c r="K156" s="14" t="b">
        <f t="shared" si="8"/>
        <v>0</v>
      </c>
      <c r="L156" s="38" t="str">
        <f t="shared" si="7"/>
        <v/>
      </c>
      <c r="M156" s="13" t="str">
        <f>IF(ISBLANK(H156),"",IF(I156-Parâmetros!$B$3+1&lt;=30,I156-Parâmetros!$B$3+1,IF(I156-Parâmetros!$B$3+1&gt;30,I156-Parâmetros!$B$3+1)))</f>
        <v/>
      </c>
    </row>
    <row r="157" spans="2:13" x14ac:dyDescent="0.25">
      <c r="B157" s="67">
        <v>152</v>
      </c>
      <c r="C157" s="19"/>
      <c r="D157" s="35"/>
      <c r="E157" s="61"/>
      <c r="F157" s="34"/>
      <c r="G157" s="22" t="str">
        <f>IF(ISBLANK(F157),"",INT((Parâmetros!$B$3-F157)/365.25))</f>
        <v/>
      </c>
      <c r="H157" s="64"/>
      <c r="I157" s="37" t="str">
        <f t="shared" si="6"/>
        <v/>
      </c>
      <c r="J157" s="78"/>
      <c r="K157" s="14" t="b">
        <f t="shared" si="8"/>
        <v>0</v>
      </c>
      <c r="L157" s="39" t="str">
        <f t="shared" si="7"/>
        <v/>
      </c>
      <c r="M157" s="22" t="str">
        <f>IF(ISBLANK(H157),"",IF(I157-Parâmetros!$B$3+1&lt;=30,I157-Parâmetros!$B$3+1,IF(I157-Parâmetros!$B$3+1&gt;30,I157-Parâmetros!$B$3+1)))</f>
        <v/>
      </c>
    </row>
    <row r="158" spans="2:13" x14ac:dyDescent="0.25">
      <c r="B158" s="68">
        <v>153</v>
      </c>
      <c r="C158" s="42"/>
      <c r="D158" s="43"/>
      <c r="E158" s="63"/>
      <c r="F158" s="44"/>
      <c r="G158" s="13" t="str">
        <f>IF(ISBLANK(F158),"",INT((Parâmetros!$B$3-F158)/365.25))</f>
        <v/>
      </c>
      <c r="H158" s="65"/>
      <c r="I158" s="36" t="str">
        <f t="shared" si="6"/>
        <v/>
      </c>
      <c r="J158" s="77"/>
      <c r="K158" s="14" t="b">
        <f t="shared" si="8"/>
        <v>0</v>
      </c>
      <c r="L158" s="38" t="str">
        <f t="shared" si="7"/>
        <v/>
      </c>
      <c r="M158" s="13" t="str">
        <f>IF(ISBLANK(H158),"",IF(I158-Parâmetros!$B$3+1&lt;=30,I158-Parâmetros!$B$3+1,IF(I158-Parâmetros!$B$3+1&gt;30,I158-Parâmetros!$B$3+1)))</f>
        <v/>
      </c>
    </row>
    <row r="159" spans="2:13" x14ac:dyDescent="0.25">
      <c r="B159" s="67">
        <v>154</v>
      </c>
      <c r="C159" s="19"/>
      <c r="D159" s="35"/>
      <c r="E159" s="61"/>
      <c r="F159" s="34"/>
      <c r="G159" s="22" t="str">
        <f>IF(ISBLANK(F159),"",INT((Parâmetros!$B$3-F159)/365.25))</f>
        <v/>
      </c>
      <c r="H159" s="64"/>
      <c r="I159" s="37" t="str">
        <f t="shared" si="6"/>
        <v/>
      </c>
      <c r="J159" s="78"/>
      <c r="K159" s="14" t="b">
        <f t="shared" si="8"/>
        <v>0</v>
      </c>
      <c r="L159" s="39" t="str">
        <f t="shared" si="7"/>
        <v/>
      </c>
      <c r="M159" s="22" t="str">
        <f>IF(ISBLANK(H159),"",IF(I159-Parâmetros!$B$3+1&lt;=30,I159-Parâmetros!$B$3+1,IF(I159-Parâmetros!$B$3+1&gt;30,I159-Parâmetros!$B$3+1)))</f>
        <v/>
      </c>
    </row>
    <row r="160" spans="2:13" x14ac:dyDescent="0.25">
      <c r="B160" s="68">
        <v>155</v>
      </c>
      <c r="C160" s="42"/>
      <c r="D160" s="43"/>
      <c r="E160" s="63"/>
      <c r="F160" s="44"/>
      <c r="G160" s="13" t="str">
        <f>IF(ISBLANK(F160),"",INT((Parâmetros!$B$3-F160)/365.25))</f>
        <v/>
      </c>
      <c r="H160" s="65"/>
      <c r="I160" s="36" t="str">
        <f t="shared" si="6"/>
        <v/>
      </c>
      <c r="J160" s="77"/>
      <c r="K160" s="14" t="b">
        <f t="shared" si="8"/>
        <v>0</v>
      </c>
      <c r="L160" s="38" t="str">
        <f t="shared" si="7"/>
        <v/>
      </c>
      <c r="M160" s="13" t="str">
        <f>IF(ISBLANK(H160),"",IF(I160-Parâmetros!$B$3+1&lt;=30,I160-Parâmetros!$B$3+1,IF(I160-Parâmetros!$B$3+1&gt;30,I160-Parâmetros!$B$3+1)))</f>
        <v/>
      </c>
    </row>
    <row r="161" spans="2:13" x14ac:dyDescent="0.25">
      <c r="B161" s="67">
        <v>156</v>
      </c>
      <c r="C161" s="19"/>
      <c r="D161" s="35"/>
      <c r="E161" s="61"/>
      <c r="F161" s="34"/>
      <c r="G161" s="22" t="str">
        <f>IF(ISBLANK(F161),"",INT((Parâmetros!$B$3-F161)/365.25))</f>
        <v/>
      </c>
      <c r="H161" s="64"/>
      <c r="I161" s="37" t="str">
        <f t="shared" si="6"/>
        <v/>
      </c>
      <c r="J161" s="78"/>
      <c r="K161" s="14" t="b">
        <f t="shared" si="8"/>
        <v>0</v>
      </c>
      <c r="L161" s="39" t="str">
        <f t="shared" si="7"/>
        <v/>
      </c>
      <c r="M161" s="22" t="str">
        <f>IF(ISBLANK(H161),"",IF(I161-Parâmetros!$B$3+1&lt;=30,I161-Parâmetros!$B$3+1,IF(I161-Parâmetros!$B$3+1&gt;30,I161-Parâmetros!$B$3+1)))</f>
        <v/>
      </c>
    </row>
    <row r="162" spans="2:13" x14ac:dyDescent="0.25">
      <c r="B162" s="68">
        <v>157</v>
      </c>
      <c r="C162" s="42"/>
      <c r="D162" s="43"/>
      <c r="E162" s="63"/>
      <c r="F162" s="44"/>
      <c r="G162" s="13" t="str">
        <f>IF(ISBLANK(F162),"",INT((Parâmetros!$B$3-F162)/365.25))</f>
        <v/>
      </c>
      <c r="H162" s="65"/>
      <c r="I162" s="36" t="str">
        <f t="shared" si="6"/>
        <v/>
      </c>
      <c r="J162" s="77"/>
      <c r="K162" s="14" t="b">
        <f t="shared" si="8"/>
        <v>0</v>
      </c>
      <c r="L162" s="38" t="str">
        <f t="shared" si="7"/>
        <v/>
      </c>
      <c r="M162" s="13" t="str">
        <f>IF(ISBLANK(H162),"",IF(I162-Parâmetros!$B$3+1&lt;=30,I162-Parâmetros!$B$3+1,IF(I162-Parâmetros!$B$3+1&gt;30,I162-Parâmetros!$B$3+1)))</f>
        <v/>
      </c>
    </row>
    <row r="163" spans="2:13" x14ac:dyDescent="0.25">
      <c r="B163" s="67">
        <v>158</v>
      </c>
      <c r="C163" s="19"/>
      <c r="D163" s="35"/>
      <c r="E163" s="61"/>
      <c r="F163" s="34"/>
      <c r="G163" s="22" t="str">
        <f>IF(ISBLANK(F163),"",INT((Parâmetros!$B$3-F163)/365.25))</f>
        <v/>
      </c>
      <c r="H163" s="64"/>
      <c r="I163" s="37" t="str">
        <f t="shared" si="6"/>
        <v/>
      </c>
      <c r="J163" s="78"/>
      <c r="K163" s="14" t="b">
        <f t="shared" si="8"/>
        <v>0</v>
      </c>
      <c r="L163" s="39" t="str">
        <f t="shared" si="7"/>
        <v/>
      </c>
      <c r="M163" s="22" t="str">
        <f>IF(ISBLANK(H163),"",IF(I163-Parâmetros!$B$3+1&lt;=30,I163-Parâmetros!$B$3+1,IF(I163-Parâmetros!$B$3+1&gt;30,I163-Parâmetros!$B$3+1)))</f>
        <v/>
      </c>
    </row>
    <row r="164" spans="2:13" x14ac:dyDescent="0.25">
      <c r="B164" s="68">
        <v>159</v>
      </c>
      <c r="C164" s="42"/>
      <c r="D164" s="43"/>
      <c r="E164" s="63"/>
      <c r="F164" s="44"/>
      <c r="G164" s="13" t="str">
        <f>IF(ISBLANK(F164),"",INT((Parâmetros!$B$3-F164)/365.25))</f>
        <v/>
      </c>
      <c r="H164" s="65"/>
      <c r="I164" s="36" t="str">
        <f t="shared" si="6"/>
        <v/>
      </c>
      <c r="J164" s="77"/>
      <c r="K164" s="14" t="b">
        <f t="shared" si="8"/>
        <v>0</v>
      </c>
      <c r="L164" s="38" t="str">
        <f t="shared" si="7"/>
        <v/>
      </c>
      <c r="M164" s="13" t="str">
        <f>IF(ISBLANK(H164),"",IF(I164-Parâmetros!$B$3+1&lt;=30,I164-Parâmetros!$B$3+1,IF(I164-Parâmetros!$B$3+1&gt;30,I164-Parâmetros!$B$3+1)))</f>
        <v/>
      </c>
    </row>
    <row r="165" spans="2:13" x14ac:dyDescent="0.25">
      <c r="B165" s="67">
        <v>160</v>
      </c>
      <c r="C165" s="19"/>
      <c r="D165" s="35"/>
      <c r="E165" s="61"/>
      <c r="F165" s="34"/>
      <c r="G165" s="22" t="str">
        <f>IF(ISBLANK(F165),"",INT((Parâmetros!$B$3-F165)/365.25))</f>
        <v/>
      </c>
      <c r="H165" s="64"/>
      <c r="I165" s="37" t="str">
        <f t="shared" si="6"/>
        <v/>
      </c>
      <c r="J165" s="78"/>
      <c r="K165" s="14" t="b">
        <f t="shared" si="8"/>
        <v>0</v>
      </c>
      <c r="L165" s="39" t="str">
        <f t="shared" si="7"/>
        <v/>
      </c>
      <c r="M165" s="22" t="str">
        <f>IF(ISBLANK(H165),"",IF(I165-Parâmetros!$B$3+1&lt;=30,I165-Parâmetros!$B$3+1,IF(I165-Parâmetros!$B$3+1&gt;30,I165-Parâmetros!$B$3+1)))</f>
        <v/>
      </c>
    </row>
    <row r="166" spans="2:13" x14ac:dyDescent="0.25">
      <c r="B166" s="68">
        <v>161</v>
      </c>
      <c r="C166" s="42"/>
      <c r="D166" s="43"/>
      <c r="E166" s="63"/>
      <c r="F166" s="44"/>
      <c r="G166" s="13" t="str">
        <f>IF(ISBLANK(F166),"",INT((Parâmetros!$B$3-F166)/365.25))</f>
        <v/>
      </c>
      <c r="H166" s="65"/>
      <c r="I166" s="36" t="str">
        <f t="shared" si="6"/>
        <v/>
      </c>
      <c r="J166" s="77"/>
      <c r="K166" s="14" t="b">
        <f t="shared" si="8"/>
        <v>0</v>
      </c>
      <c r="L166" s="38" t="str">
        <f t="shared" si="7"/>
        <v/>
      </c>
      <c r="M166" s="13" t="str">
        <f>IF(ISBLANK(H166),"",IF(I166-Parâmetros!$B$3+1&lt;=30,I166-Parâmetros!$B$3+1,IF(I166-Parâmetros!$B$3+1&gt;30,I166-Parâmetros!$B$3+1)))</f>
        <v/>
      </c>
    </row>
    <row r="167" spans="2:13" x14ac:dyDescent="0.25">
      <c r="B167" s="67">
        <v>162</v>
      </c>
      <c r="C167" s="19"/>
      <c r="D167" s="35"/>
      <c r="E167" s="61"/>
      <c r="F167" s="34"/>
      <c r="G167" s="22" t="str">
        <f>IF(ISBLANK(F167),"",INT((Parâmetros!$B$3-F167)/365.25))</f>
        <v/>
      </c>
      <c r="H167" s="64"/>
      <c r="I167" s="37" t="str">
        <f t="shared" si="6"/>
        <v/>
      </c>
      <c r="J167" s="78"/>
      <c r="K167" s="14" t="b">
        <f t="shared" si="8"/>
        <v>0</v>
      </c>
      <c r="L167" s="39" t="str">
        <f t="shared" si="7"/>
        <v/>
      </c>
      <c r="M167" s="22" t="str">
        <f>IF(ISBLANK(H167),"",IF(I167-Parâmetros!$B$3+1&lt;=30,I167-Parâmetros!$B$3+1,IF(I167-Parâmetros!$B$3+1&gt;30,I167-Parâmetros!$B$3+1)))</f>
        <v/>
      </c>
    </row>
    <row r="168" spans="2:13" x14ac:dyDescent="0.25">
      <c r="B168" s="68">
        <v>163</v>
      </c>
      <c r="C168" s="42"/>
      <c r="D168" s="43"/>
      <c r="E168" s="63"/>
      <c r="F168" s="44"/>
      <c r="G168" s="13" t="str">
        <f>IF(ISBLANK(F168),"",INT((Parâmetros!$B$3-F168)/365.25))</f>
        <v/>
      </c>
      <c r="H168" s="65"/>
      <c r="I168" s="36" t="str">
        <f t="shared" si="6"/>
        <v/>
      </c>
      <c r="J168" s="77"/>
      <c r="K168" s="14" t="b">
        <f t="shared" si="8"/>
        <v>0</v>
      </c>
      <c r="L168" s="38" t="str">
        <f t="shared" si="7"/>
        <v/>
      </c>
      <c r="M168" s="13" t="str">
        <f>IF(ISBLANK(H168),"",IF(I168-Parâmetros!$B$3+1&lt;=30,I168-Parâmetros!$B$3+1,IF(I168-Parâmetros!$B$3+1&gt;30,I168-Parâmetros!$B$3+1)))</f>
        <v/>
      </c>
    </row>
    <row r="169" spans="2:13" x14ac:dyDescent="0.25">
      <c r="B169" s="67">
        <v>164</v>
      </c>
      <c r="C169" s="19"/>
      <c r="D169" s="35"/>
      <c r="E169" s="61"/>
      <c r="F169" s="34"/>
      <c r="G169" s="22" t="str">
        <f>IF(ISBLANK(F169),"",INT((Parâmetros!$B$3-F169)/365.25))</f>
        <v/>
      </c>
      <c r="H169" s="64"/>
      <c r="I169" s="37" t="str">
        <f t="shared" si="6"/>
        <v/>
      </c>
      <c r="J169" s="78"/>
      <c r="K169" s="14" t="b">
        <f t="shared" si="8"/>
        <v>0</v>
      </c>
      <c r="L169" s="39" t="str">
        <f t="shared" si="7"/>
        <v/>
      </c>
      <c r="M169" s="22" t="str">
        <f>IF(ISBLANK(H169),"",IF(I169-Parâmetros!$B$3+1&lt;=30,I169-Parâmetros!$B$3+1,IF(I169-Parâmetros!$B$3+1&gt;30,I169-Parâmetros!$B$3+1)))</f>
        <v/>
      </c>
    </row>
    <row r="170" spans="2:13" x14ac:dyDescent="0.25">
      <c r="B170" s="68">
        <v>165</v>
      </c>
      <c r="C170" s="42"/>
      <c r="D170" s="43"/>
      <c r="E170" s="63"/>
      <c r="F170" s="44"/>
      <c r="G170" s="13" t="str">
        <f>IF(ISBLANK(F170),"",INT((Parâmetros!$B$3-F170)/365.25))</f>
        <v/>
      </c>
      <c r="H170" s="65"/>
      <c r="I170" s="36" t="str">
        <f t="shared" si="6"/>
        <v/>
      </c>
      <c r="J170" s="77"/>
      <c r="K170" s="14" t="b">
        <f t="shared" si="8"/>
        <v>0</v>
      </c>
      <c r="L170" s="38" t="str">
        <f t="shared" si="7"/>
        <v/>
      </c>
      <c r="M170" s="13" t="str">
        <f>IF(ISBLANK(H170),"",IF(I170-Parâmetros!$B$3+1&lt;=30,I170-Parâmetros!$B$3+1,IF(I170-Parâmetros!$B$3+1&gt;30,I170-Parâmetros!$B$3+1)))</f>
        <v/>
      </c>
    </row>
    <row r="171" spans="2:13" x14ac:dyDescent="0.25">
      <c r="B171" s="67">
        <v>166</v>
      </c>
      <c r="C171" s="19"/>
      <c r="D171" s="35"/>
      <c r="E171" s="61"/>
      <c r="F171" s="34"/>
      <c r="G171" s="22" t="str">
        <f>IF(ISBLANK(F171),"",INT((Parâmetros!$B$3-F171)/365.25))</f>
        <v/>
      </c>
      <c r="H171" s="64"/>
      <c r="I171" s="37" t="str">
        <f t="shared" si="6"/>
        <v/>
      </c>
      <c r="J171" s="78"/>
      <c r="K171" s="14" t="b">
        <f t="shared" si="8"/>
        <v>0</v>
      </c>
      <c r="L171" s="39" t="str">
        <f t="shared" si="7"/>
        <v/>
      </c>
      <c r="M171" s="22" t="str">
        <f>IF(ISBLANK(H171),"",IF(I171-Parâmetros!$B$3+1&lt;=30,I171-Parâmetros!$B$3+1,IF(I171-Parâmetros!$B$3+1&gt;30,I171-Parâmetros!$B$3+1)))</f>
        <v/>
      </c>
    </row>
    <row r="172" spans="2:13" x14ac:dyDescent="0.25">
      <c r="B172" s="68">
        <v>167</v>
      </c>
      <c r="C172" s="42"/>
      <c r="D172" s="43"/>
      <c r="E172" s="63"/>
      <c r="F172" s="44"/>
      <c r="G172" s="13" t="str">
        <f>IF(ISBLANK(F172),"",INT((Parâmetros!$B$3-F172)/365.25))</f>
        <v/>
      </c>
      <c r="H172" s="65"/>
      <c r="I172" s="36" t="str">
        <f t="shared" si="6"/>
        <v/>
      </c>
      <c r="J172" s="77"/>
      <c r="K172" s="14" t="b">
        <f t="shared" si="8"/>
        <v>0</v>
      </c>
      <c r="L172" s="38" t="str">
        <f t="shared" si="7"/>
        <v/>
      </c>
      <c r="M172" s="13" t="str">
        <f>IF(ISBLANK(H172),"",IF(I172-Parâmetros!$B$3+1&lt;=30,I172-Parâmetros!$B$3+1,IF(I172-Parâmetros!$B$3+1&gt;30,I172-Parâmetros!$B$3+1)))</f>
        <v/>
      </c>
    </row>
    <row r="173" spans="2:13" x14ac:dyDescent="0.25">
      <c r="B173" s="67">
        <v>168</v>
      </c>
      <c r="C173" s="19"/>
      <c r="D173" s="35"/>
      <c r="E173" s="61"/>
      <c r="F173" s="34"/>
      <c r="G173" s="22" t="str">
        <f>IF(ISBLANK(F173),"",INT((Parâmetros!$B$3-F173)/365.25))</f>
        <v/>
      </c>
      <c r="H173" s="64"/>
      <c r="I173" s="37" t="str">
        <f t="shared" si="6"/>
        <v/>
      </c>
      <c r="J173" s="78"/>
      <c r="K173" s="14" t="b">
        <f t="shared" si="8"/>
        <v>0</v>
      </c>
      <c r="L173" s="39" t="str">
        <f t="shared" si="7"/>
        <v/>
      </c>
      <c r="M173" s="22" t="str">
        <f>IF(ISBLANK(H173),"",IF(I173-Parâmetros!$B$3+1&lt;=30,I173-Parâmetros!$B$3+1,IF(I173-Parâmetros!$B$3+1&gt;30,I173-Parâmetros!$B$3+1)))</f>
        <v/>
      </c>
    </row>
    <row r="174" spans="2:13" x14ac:dyDescent="0.25">
      <c r="B174" s="68">
        <v>169</v>
      </c>
      <c r="C174" s="42"/>
      <c r="D174" s="43"/>
      <c r="E174" s="63"/>
      <c r="F174" s="44"/>
      <c r="G174" s="13" t="str">
        <f>IF(ISBLANK(F174),"",INT((Parâmetros!$B$3-F174)/365.25))</f>
        <v/>
      </c>
      <c r="H174" s="65"/>
      <c r="I174" s="36" t="str">
        <f t="shared" si="6"/>
        <v/>
      </c>
      <c r="J174" s="77"/>
      <c r="K174" s="14" t="b">
        <f t="shared" si="8"/>
        <v>0</v>
      </c>
      <c r="L174" s="38" t="str">
        <f t="shared" si="7"/>
        <v/>
      </c>
      <c r="M174" s="13" t="str">
        <f>IF(ISBLANK(H174),"",IF(I174-Parâmetros!$B$3+1&lt;=30,I174-Parâmetros!$B$3+1,IF(I174-Parâmetros!$B$3+1&gt;30,I174-Parâmetros!$B$3+1)))</f>
        <v/>
      </c>
    </row>
    <row r="175" spans="2:13" x14ac:dyDescent="0.25">
      <c r="B175" s="67">
        <v>170</v>
      </c>
      <c r="C175" s="19"/>
      <c r="D175" s="35"/>
      <c r="E175" s="61"/>
      <c r="F175" s="34"/>
      <c r="G175" s="22" t="str">
        <f>IF(ISBLANK(F175),"",INT((Parâmetros!$B$3-F175)/365.25))</f>
        <v/>
      </c>
      <c r="H175" s="64"/>
      <c r="I175" s="37" t="str">
        <f t="shared" si="6"/>
        <v/>
      </c>
      <c r="J175" s="78"/>
      <c r="K175" s="14" t="b">
        <f t="shared" si="8"/>
        <v>0</v>
      </c>
      <c r="L175" s="39" t="str">
        <f t="shared" si="7"/>
        <v/>
      </c>
      <c r="M175" s="22" t="str">
        <f>IF(ISBLANK(H175),"",IF(I175-Parâmetros!$B$3+1&lt;=30,I175-Parâmetros!$B$3+1,IF(I175-Parâmetros!$B$3+1&gt;30,I175-Parâmetros!$B$3+1)))</f>
        <v/>
      </c>
    </row>
    <row r="176" spans="2:13" x14ac:dyDescent="0.25">
      <c r="B176" s="68">
        <v>171</v>
      </c>
      <c r="C176" s="42"/>
      <c r="D176" s="43"/>
      <c r="E176" s="63"/>
      <c r="F176" s="44"/>
      <c r="G176" s="13" t="str">
        <f>IF(ISBLANK(F176),"",INT((Parâmetros!$B$3-F176)/365.25))</f>
        <v/>
      </c>
      <c r="H176" s="65"/>
      <c r="I176" s="36" t="str">
        <f t="shared" si="6"/>
        <v/>
      </c>
      <c r="J176" s="77"/>
      <c r="K176" s="14" t="b">
        <f t="shared" si="8"/>
        <v>0</v>
      </c>
      <c r="L176" s="38" t="str">
        <f t="shared" si="7"/>
        <v/>
      </c>
      <c r="M176" s="13" t="str">
        <f>IF(ISBLANK(H176),"",IF(I176-Parâmetros!$B$3+1&lt;=30,I176-Parâmetros!$B$3+1,IF(I176-Parâmetros!$B$3+1&gt;30,I176-Parâmetros!$B$3+1)))</f>
        <v/>
      </c>
    </row>
    <row r="177" spans="2:13" x14ac:dyDescent="0.25">
      <c r="B177" s="67">
        <v>172</v>
      </c>
      <c r="C177" s="19"/>
      <c r="D177" s="35"/>
      <c r="E177" s="61"/>
      <c r="F177" s="34"/>
      <c r="G177" s="22" t="str">
        <f>IF(ISBLANK(F177),"",INT((Parâmetros!$B$3-F177)/365.25))</f>
        <v/>
      </c>
      <c r="H177" s="64"/>
      <c r="I177" s="37" t="str">
        <f t="shared" si="6"/>
        <v/>
      </c>
      <c r="J177" s="78"/>
      <c r="K177" s="14" t="b">
        <f t="shared" si="8"/>
        <v>0</v>
      </c>
      <c r="L177" s="39" t="str">
        <f t="shared" si="7"/>
        <v/>
      </c>
      <c r="M177" s="22" t="str">
        <f>IF(ISBLANK(H177),"",IF(I177-Parâmetros!$B$3+1&lt;=30,I177-Parâmetros!$B$3+1,IF(I177-Parâmetros!$B$3+1&gt;30,I177-Parâmetros!$B$3+1)))</f>
        <v/>
      </c>
    </row>
    <row r="178" spans="2:13" x14ac:dyDescent="0.25">
      <c r="B178" s="68">
        <v>173</v>
      </c>
      <c r="C178" s="42"/>
      <c r="D178" s="43"/>
      <c r="E178" s="63"/>
      <c r="F178" s="44"/>
      <c r="G178" s="13" t="str">
        <f>IF(ISBLANK(F178),"",INT((Parâmetros!$B$3-F178)/365.25))</f>
        <v/>
      </c>
      <c r="H178" s="65"/>
      <c r="I178" s="36" t="str">
        <f t="shared" si="6"/>
        <v/>
      </c>
      <c r="J178" s="77"/>
      <c r="K178" s="14" t="b">
        <f t="shared" si="8"/>
        <v>0</v>
      </c>
      <c r="L178" s="38" t="str">
        <f t="shared" si="7"/>
        <v/>
      </c>
      <c r="M178" s="13" t="str">
        <f>IF(ISBLANK(H178),"",IF(I178-Parâmetros!$B$3+1&lt;=30,I178-Parâmetros!$B$3+1,IF(I178-Parâmetros!$B$3+1&gt;30,I178-Parâmetros!$B$3+1)))</f>
        <v/>
      </c>
    </row>
    <row r="179" spans="2:13" x14ac:dyDescent="0.25">
      <c r="B179" s="67">
        <v>174</v>
      </c>
      <c r="C179" s="19"/>
      <c r="D179" s="35"/>
      <c r="E179" s="61"/>
      <c r="F179" s="34"/>
      <c r="G179" s="22" t="str">
        <f>IF(ISBLANK(F179),"",INT((Parâmetros!$B$3-F179)/365.25))</f>
        <v/>
      </c>
      <c r="H179" s="64"/>
      <c r="I179" s="37" t="str">
        <f t="shared" si="6"/>
        <v/>
      </c>
      <c r="J179" s="78"/>
      <c r="K179" s="14" t="b">
        <f t="shared" si="8"/>
        <v>0</v>
      </c>
      <c r="L179" s="39" t="str">
        <f t="shared" si="7"/>
        <v/>
      </c>
      <c r="M179" s="22" t="str">
        <f>IF(ISBLANK(H179),"",IF(I179-Parâmetros!$B$3+1&lt;=30,I179-Parâmetros!$B$3+1,IF(I179-Parâmetros!$B$3+1&gt;30,I179-Parâmetros!$B$3+1)))</f>
        <v/>
      </c>
    </row>
    <row r="180" spans="2:13" x14ac:dyDescent="0.25">
      <c r="B180" s="68">
        <v>175</v>
      </c>
      <c r="C180" s="42"/>
      <c r="D180" s="43"/>
      <c r="E180" s="63"/>
      <c r="F180" s="44"/>
      <c r="G180" s="13" t="str">
        <f>IF(ISBLANK(F180),"",INT((Parâmetros!$B$3-F180)/365.25))</f>
        <v/>
      </c>
      <c r="H180" s="65"/>
      <c r="I180" s="36" t="str">
        <f t="shared" si="6"/>
        <v/>
      </c>
      <c r="J180" s="77"/>
      <c r="K180" s="14" t="b">
        <f t="shared" si="8"/>
        <v>0</v>
      </c>
      <c r="L180" s="38" t="str">
        <f t="shared" si="7"/>
        <v/>
      </c>
      <c r="M180" s="13" t="str">
        <f>IF(ISBLANK(H180),"",IF(I180-Parâmetros!$B$3+1&lt;=30,I180-Parâmetros!$B$3+1,IF(I180-Parâmetros!$B$3+1&gt;30,I180-Parâmetros!$B$3+1)))</f>
        <v/>
      </c>
    </row>
    <row r="181" spans="2:13" x14ac:dyDescent="0.25">
      <c r="B181" s="67">
        <v>176</v>
      </c>
      <c r="C181" s="19"/>
      <c r="D181" s="35"/>
      <c r="E181" s="61"/>
      <c r="F181" s="34"/>
      <c r="G181" s="22" t="str">
        <f>IF(ISBLANK(F181),"",INT((Parâmetros!$B$3-F181)/365.25))</f>
        <v/>
      </c>
      <c r="H181" s="64"/>
      <c r="I181" s="37" t="str">
        <f t="shared" si="6"/>
        <v/>
      </c>
      <c r="J181" s="78"/>
      <c r="K181" s="14" t="b">
        <f t="shared" si="8"/>
        <v>0</v>
      </c>
      <c r="L181" s="39" t="str">
        <f t="shared" si="7"/>
        <v/>
      </c>
      <c r="M181" s="22" t="str">
        <f>IF(ISBLANK(H181),"",IF(I181-Parâmetros!$B$3+1&lt;=30,I181-Parâmetros!$B$3+1,IF(I181-Parâmetros!$B$3+1&gt;30,I181-Parâmetros!$B$3+1)))</f>
        <v/>
      </c>
    </row>
    <row r="182" spans="2:13" x14ac:dyDescent="0.25">
      <c r="B182" s="68">
        <v>177</v>
      </c>
      <c r="C182" s="42"/>
      <c r="D182" s="43"/>
      <c r="E182" s="63"/>
      <c r="F182" s="44"/>
      <c r="G182" s="13" t="str">
        <f>IF(ISBLANK(F182),"",INT((Parâmetros!$B$3-F182)/365.25))</f>
        <v/>
      </c>
      <c r="H182" s="65"/>
      <c r="I182" s="36" t="str">
        <f t="shared" si="6"/>
        <v/>
      </c>
      <c r="J182" s="77"/>
      <c r="K182" s="14" t="b">
        <f t="shared" si="8"/>
        <v>0</v>
      </c>
      <c r="L182" s="38" t="str">
        <f t="shared" si="7"/>
        <v/>
      </c>
      <c r="M182" s="13" t="str">
        <f>IF(ISBLANK(H182),"",IF(I182-Parâmetros!$B$3+1&lt;=30,I182-Parâmetros!$B$3+1,IF(I182-Parâmetros!$B$3+1&gt;30,I182-Parâmetros!$B$3+1)))</f>
        <v/>
      </c>
    </row>
    <row r="183" spans="2:13" x14ac:dyDescent="0.25">
      <c r="B183" s="67">
        <v>178</v>
      </c>
      <c r="C183" s="19"/>
      <c r="D183" s="35"/>
      <c r="E183" s="61"/>
      <c r="F183" s="34"/>
      <c r="G183" s="22" t="str">
        <f>IF(ISBLANK(F183),"",INT((Parâmetros!$B$3-F183)/365.25))</f>
        <v/>
      </c>
      <c r="H183" s="64"/>
      <c r="I183" s="37" t="str">
        <f t="shared" si="6"/>
        <v/>
      </c>
      <c r="J183" s="78"/>
      <c r="K183" s="14" t="b">
        <f t="shared" si="8"/>
        <v>0</v>
      </c>
      <c r="L183" s="39" t="str">
        <f t="shared" si="7"/>
        <v/>
      </c>
      <c r="M183" s="22" t="str">
        <f>IF(ISBLANK(H183),"",IF(I183-Parâmetros!$B$3+1&lt;=30,I183-Parâmetros!$B$3+1,IF(I183-Parâmetros!$B$3+1&gt;30,I183-Parâmetros!$B$3+1)))</f>
        <v/>
      </c>
    </row>
    <row r="184" spans="2:13" x14ac:dyDescent="0.25">
      <c r="B184" s="68">
        <v>179</v>
      </c>
      <c r="C184" s="42"/>
      <c r="D184" s="43"/>
      <c r="E184" s="63"/>
      <c r="F184" s="44"/>
      <c r="G184" s="13" t="str">
        <f>IF(ISBLANK(F184),"",INT((Parâmetros!$B$3-F184)/365.25))</f>
        <v/>
      </c>
      <c r="H184" s="65"/>
      <c r="I184" s="36" t="str">
        <f t="shared" si="6"/>
        <v/>
      </c>
      <c r="J184" s="77"/>
      <c r="K184" s="14" t="b">
        <f t="shared" si="8"/>
        <v>0</v>
      </c>
      <c r="L184" s="38" t="str">
        <f t="shared" si="7"/>
        <v/>
      </c>
      <c r="M184" s="13" t="str">
        <f>IF(ISBLANK(H184),"",IF(I184-Parâmetros!$B$3+1&lt;=30,I184-Parâmetros!$B$3+1,IF(I184-Parâmetros!$B$3+1&gt;30,I184-Parâmetros!$B$3+1)))</f>
        <v/>
      </c>
    </row>
    <row r="185" spans="2:13" x14ac:dyDescent="0.25">
      <c r="B185" s="67">
        <v>180</v>
      </c>
      <c r="C185" s="19"/>
      <c r="D185" s="35"/>
      <c r="E185" s="61"/>
      <c r="F185" s="34"/>
      <c r="G185" s="22" t="str">
        <f>IF(ISBLANK(F185),"",INT((Parâmetros!$B$3-F185)/365.25))</f>
        <v/>
      </c>
      <c r="H185" s="64"/>
      <c r="I185" s="37" t="str">
        <f t="shared" si="6"/>
        <v/>
      </c>
      <c r="J185" s="78"/>
      <c r="K185" s="14" t="b">
        <f t="shared" si="8"/>
        <v>0</v>
      </c>
      <c r="L185" s="39" t="str">
        <f t="shared" si="7"/>
        <v/>
      </c>
      <c r="M185" s="22" t="str">
        <f>IF(ISBLANK(H185),"",IF(I185-Parâmetros!$B$3+1&lt;=30,I185-Parâmetros!$B$3+1,IF(I185-Parâmetros!$B$3+1&gt;30,I185-Parâmetros!$B$3+1)))</f>
        <v/>
      </c>
    </row>
    <row r="186" spans="2:13" x14ac:dyDescent="0.25">
      <c r="B186" s="68">
        <v>181</v>
      </c>
      <c r="C186" s="42"/>
      <c r="D186" s="43"/>
      <c r="E186" s="63"/>
      <c r="F186" s="44"/>
      <c r="G186" s="13" t="str">
        <f>IF(ISBLANK(F186),"",INT((Parâmetros!$B$3-F186)/365.25))</f>
        <v/>
      </c>
      <c r="H186" s="65"/>
      <c r="I186" s="36" t="str">
        <f t="shared" si="6"/>
        <v/>
      </c>
      <c r="J186" s="77"/>
      <c r="K186" s="14" t="b">
        <f t="shared" si="8"/>
        <v>0</v>
      </c>
      <c r="L186" s="38" t="str">
        <f t="shared" si="7"/>
        <v/>
      </c>
      <c r="M186" s="13" t="str">
        <f>IF(ISBLANK(H186),"",IF(I186-Parâmetros!$B$3+1&lt;=30,I186-Parâmetros!$B$3+1,IF(I186-Parâmetros!$B$3+1&gt;30,I186-Parâmetros!$B$3+1)))</f>
        <v/>
      </c>
    </row>
    <row r="187" spans="2:13" x14ac:dyDescent="0.25">
      <c r="B187" s="67">
        <v>182</v>
      </c>
      <c r="C187" s="19"/>
      <c r="D187" s="35"/>
      <c r="E187" s="61"/>
      <c r="F187" s="34"/>
      <c r="G187" s="22" t="str">
        <f>IF(ISBLANK(F187),"",INT((Parâmetros!$B$3-F187)/365.25))</f>
        <v/>
      </c>
      <c r="H187" s="64"/>
      <c r="I187" s="37" t="str">
        <f t="shared" si="6"/>
        <v/>
      </c>
      <c r="J187" s="78"/>
      <c r="K187" s="14" t="b">
        <f t="shared" si="8"/>
        <v>0</v>
      </c>
      <c r="L187" s="39" t="str">
        <f t="shared" si="7"/>
        <v/>
      </c>
      <c r="M187" s="22" t="str">
        <f>IF(ISBLANK(H187),"",IF(I187-Parâmetros!$B$3+1&lt;=30,I187-Parâmetros!$B$3+1,IF(I187-Parâmetros!$B$3+1&gt;30,I187-Parâmetros!$B$3+1)))</f>
        <v/>
      </c>
    </row>
    <row r="188" spans="2:13" x14ac:dyDescent="0.25">
      <c r="B188" s="68">
        <v>183</v>
      </c>
      <c r="C188" s="42"/>
      <c r="D188" s="43"/>
      <c r="E188" s="63"/>
      <c r="F188" s="44"/>
      <c r="G188" s="13" t="str">
        <f>IF(ISBLANK(F188),"",INT((Parâmetros!$B$3-F188)/365.25))</f>
        <v/>
      </c>
      <c r="H188" s="65"/>
      <c r="I188" s="36" t="str">
        <f t="shared" si="6"/>
        <v/>
      </c>
      <c r="J188" s="77"/>
      <c r="K188" s="14" t="b">
        <f t="shared" si="8"/>
        <v>0</v>
      </c>
      <c r="L188" s="38" t="str">
        <f t="shared" si="7"/>
        <v/>
      </c>
      <c r="M188" s="13" t="str">
        <f>IF(ISBLANK(H188),"",IF(I188-Parâmetros!$B$3+1&lt;=30,I188-Parâmetros!$B$3+1,IF(I188-Parâmetros!$B$3+1&gt;30,I188-Parâmetros!$B$3+1)))</f>
        <v/>
      </c>
    </row>
    <row r="189" spans="2:13" x14ac:dyDescent="0.25">
      <c r="B189" s="67">
        <v>184</v>
      </c>
      <c r="C189" s="19"/>
      <c r="D189" s="35"/>
      <c r="E189" s="61"/>
      <c r="F189" s="34"/>
      <c r="G189" s="22" t="str">
        <f>IF(ISBLANK(F189),"",INT((Parâmetros!$B$3-F189)/365.25))</f>
        <v/>
      </c>
      <c r="H189" s="64"/>
      <c r="I189" s="37" t="str">
        <f t="shared" si="6"/>
        <v/>
      </c>
      <c r="J189" s="78"/>
      <c r="K189" s="14" t="b">
        <f t="shared" si="8"/>
        <v>0</v>
      </c>
      <c r="L189" s="39" t="str">
        <f t="shared" si="7"/>
        <v/>
      </c>
      <c r="M189" s="22" t="str">
        <f>IF(ISBLANK(H189),"",IF(I189-Parâmetros!$B$3+1&lt;=30,I189-Parâmetros!$B$3+1,IF(I189-Parâmetros!$B$3+1&gt;30,I189-Parâmetros!$B$3+1)))</f>
        <v/>
      </c>
    </row>
    <row r="190" spans="2:13" x14ac:dyDescent="0.25">
      <c r="B190" s="68">
        <v>185</v>
      </c>
      <c r="C190" s="42"/>
      <c r="D190" s="43"/>
      <c r="E190" s="63"/>
      <c r="F190" s="44"/>
      <c r="G190" s="13" t="str">
        <f>IF(ISBLANK(F190),"",INT((Parâmetros!$B$3-F190)/365.25))</f>
        <v/>
      </c>
      <c r="H190" s="65"/>
      <c r="I190" s="36" t="str">
        <f t="shared" si="6"/>
        <v/>
      </c>
      <c r="J190" s="77"/>
      <c r="K190" s="14" t="b">
        <f t="shared" si="8"/>
        <v>0</v>
      </c>
      <c r="L190" s="38" t="str">
        <f t="shared" si="7"/>
        <v/>
      </c>
      <c r="M190" s="13" t="str">
        <f>IF(ISBLANK(H190),"",IF(I190-Parâmetros!$B$3+1&lt;=30,I190-Parâmetros!$B$3+1,IF(I190-Parâmetros!$B$3+1&gt;30,I190-Parâmetros!$B$3+1)))</f>
        <v/>
      </c>
    </row>
    <row r="191" spans="2:13" x14ac:dyDescent="0.25">
      <c r="B191" s="67">
        <v>186</v>
      </c>
      <c r="C191" s="19"/>
      <c r="D191" s="35"/>
      <c r="E191" s="61"/>
      <c r="F191" s="34"/>
      <c r="G191" s="22" t="str">
        <f>IF(ISBLANK(F191),"",INT((Parâmetros!$B$3-F191)/365.25))</f>
        <v/>
      </c>
      <c r="H191" s="64"/>
      <c r="I191" s="37" t="str">
        <f t="shared" si="6"/>
        <v/>
      </c>
      <c r="J191" s="78"/>
      <c r="K191" s="14" t="b">
        <f t="shared" si="8"/>
        <v>0</v>
      </c>
      <c r="L191" s="39" t="str">
        <f t="shared" si="7"/>
        <v/>
      </c>
      <c r="M191" s="22" t="str">
        <f>IF(ISBLANK(H191),"",IF(I191-Parâmetros!$B$3+1&lt;=30,I191-Parâmetros!$B$3+1,IF(I191-Parâmetros!$B$3+1&gt;30,I191-Parâmetros!$B$3+1)))</f>
        <v/>
      </c>
    </row>
    <row r="192" spans="2:13" x14ac:dyDescent="0.25">
      <c r="B192" s="68">
        <v>187</v>
      </c>
      <c r="C192" s="42"/>
      <c r="D192" s="43"/>
      <c r="E192" s="63"/>
      <c r="F192" s="44"/>
      <c r="G192" s="13" t="str">
        <f>IF(ISBLANK(F192),"",INT((Parâmetros!$B$3-F192)/365.25))</f>
        <v/>
      </c>
      <c r="H192" s="65"/>
      <c r="I192" s="36" t="str">
        <f t="shared" si="6"/>
        <v/>
      </c>
      <c r="J192" s="77"/>
      <c r="K192" s="14" t="b">
        <f t="shared" si="8"/>
        <v>0</v>
      </c>
      <c r="L192" s="38" t="str">
        <f t="shared" si="7"/>
        <v/>
      </c>
      <c r="M192" s="13" t="str">
        <f>IF(ISBLANK(H192),"",IF(I192-Parâmetros!$B$3+1&lt;=30,I192-Parâmetros!$B$3+1,IF(I192-Parâmetros!$B$3+1&gt;30,I192-Parâmetros!$B$3+1)))</f>
        <v/>
      </c>
    </row>
    <row r="193" spans="2:13" x14ac:dyDescent="0.25">
      <c r="B193" s="67">
        <v>188</v>
      </c>
      <c r="C193" s="19"/>
      <c r="D193" s="35"/>
      <c r="E193" s="61"/>
      <c r="F193" s="34"/>
      <c r="G193" s="22" t="str">
        <f>IF(ISBLANK(F193),"",INT((Parâmetros!$B$3-F193)/365.25))</f>
        <v/>
      </c>
      <c r="H193" s="64"/>
      <c r="I193" s="37" t="str">
        <f t="shared" si="6"/>
        <v/>
      </c>
      <c r="J193" s="78"/>
      <c r="K193" s="14" t="b">
        <f t="shared" si="8"/>
        <v>0</v>
      </c>
      <c r="L193" s="39" t="str">
        <f t="shared" si="7"/>
        <v/>
      </c>
      <c r="M193" s="22" t="str">
        <f>IF(ISBLANK(H193),"",IF(I193-Parâmetros!$B$3+1&lt;=30,I193-Parâmetros!$B$3+1,IF(I193-Parâmetros!$B$3+1&gt;30,I193-Parâmetros!$B$3+1)))</f>
        <v/>
      </c>
    </row>
    <row r="194" spans="2:13" x14ac:dyDescent="0.25">
      <c r="B194" s="68">
        <v>189</v>
      </c>
      <c r="C194" s="42"/>
      <c r="D194" s="43"/>
      <c r="E194" s="63"/>
      <c r="F194" s="44"/>
      <c r="G194" s="13" t="str">
        <f>IF(ISBLANK(F194),"",INT((Parâmetros!$B$3-F194)/365.25))</f>
        <v/>
      </c>
      <c r="H194" s="65"/>
      <c r="I194" s="36" t="str">
        <f t="shared" si="6"/>
        <v/>
      </c>
      <c r="J194" s="77"/>
      <c r="K194" s="14" t="b">
        <f t="shared" si="8"/>
        <v>0</v>
      </c>
      <c r="L194" s="38" t="str">
        <f t="shared" si="7"/>
        <v/>
      </c>
      <c r="M194" s="13" t="str">
        <f>IF(ISBLANK(H194),"",IF(I194-Parâmetros!$B$3+1&lt;=30,I194-Parâmetros!$B$3+1,IF(I194-Parâmetros!$B$3+1&gt;30,I194-Parâmetros!$B$3+1)))</f>
        <v/>
      </c>
    </row>
    <row r="195" spans="2:13" x14ac:dyDescent="0.25">
      <c r="B195" s="67">
        <v>190</v>
      </c>
      <c r="C195" s="19"/>
      <c r="D195" s="35"/>
      <c r="E195" s="61"/>
      <c r="F195" s="34"/>
      <c r="G195" s="22" t="str">
        <f>IF(ISBLANK(F195),"",INT((Parâmetros!$B$3-F195)/365.25))</f>
        <v/>
      </c>
      <c r="H195" s="64"/>
      <c r="I195" s="37" t="str">
        <f t="shared" si="6"/>
        <v/>
      </c>
      <c r="J195" s="78"/>
      <c r="K195" s="14" t="b">
        <f t="shared" si="8"/>
        <v>0</v>
      </c>
      <c r="L195" s="39" t="str">
        <f t="shared" si="7"/>
        <v/>
      </c>
      <c r="M195" s="22" t="str">
        <f>IF(ISBLANK(H195),"",IF(I195-Parâmetros!$B$3+1&lt;=30,I195-Parâmetros!$B$3+1,IF(I195-Parâmetros!$B$3+1&gt;30,I195-Parâmetros!$B$3+1)))</f>
        <v/>
      </c>
    </row>
    <row r="196" spans="2:13" x14ac:dyDescent="0.25">
      <c r="B196" s="68">
        <v>191</v>
      </c>
      <c r="C196" s="42"/>
      <c r="D196" s="43"/>
      <c r="E196" s="63"/>
      <c r="F196" s="44"/>
      <c r="G196" s="13" t="str">
        <f>IF(ISBLANK(F196),"",INT((Parâmetros!$B$3-F196)/365.25))</f>
        <v/>
      </c>
      <c r="H196" s="65"/>
      <c r="I196" s="36" t="str">
        <f t="shared" si="6"/>
        <v/>
      </c>
      <c r="J196" s="77"/>
      <c r="K196" s="14" t="b">
        <f t="shared" si="8"/>
        <v>0</v>
      </c>
      <c r="L196" s="38" t="str">
        <f t="shared" si="7"/>
        <v/>
      </c>
      <c r="M196" s="13" t="str">
        <f>IF(ISBLANK(H196),"",IF(I196-Parâmetros!$B$3+1&lt;=30,I196-Parâmetros!$B$3+1,IF(I196-Parâmetros!$B$3+1&gt;30,I196-Parâmetros!$B$3+1)))</f>
        <v/>
      </c>
    </row>
    <row r="197" spans="2:13" x14ac:dyDescent="0.25">
      <c r="B197" s="67">
        <v>192</v>
      </c>
      <c r="C197" s="19"/>
      <c r="D197" s="35"/>
      <c r="E197" s="61"/>
      <c r="F197" s="34"/>
      <c r="G197" s="22" t="str">
        <f>IF(ISBLANK(F197),"",INT((Parâmetros!$B$3-F197)/365.25))</f>
        <v/>
      </c>
      <c r="H197" s="64"/>
      <c r="I197" s="37" t="str">
        <f t="shared" si="6"/>
        <v/>
      </c>
      <c r="J197" s="78"/>
      <c r="K197" s="14" t="b">
        <f t="shared" si="8"/>
        <v>0</v>
      </c>
      <c r="L197" s="39" t="str">
        <f t="shared" si="7"/>
        <v/>
      </c>
      <c r="M197" s="22" t="str">
        <f>IF(ISBLANK(H197),"",IF(I197-Parâmetros!$B$3+1&lt;=30,I197-Parâmetros!$B$3+1,IF(I197-Parâmetros!$B$3+1&gt;30,I197-Parâmetros!$B$3+1)))</f>
        <v/>
      </c>
    </row>
    <row r="198" spans="2:13" x14ac:dyDescent="0.25">
      <c r="B198" s="68">
        <v>193</v>
      </c>
      <c r="C198" s="42"/>
      <c r="D198" s="43"/>
      <c r="E198" s="63"/>
      <c r="F198" s="44"/>
      <c r="G198" s="13" t="str">
        <f>IF(ISBLANK(F198),"",INT((Parâmetros!$B$3-F198)/365.25))</f>
        <v/>
      </c>
      <c r="H198" s="65"/>
      <c r="I198" s="36" t="str">
        <f t="shared" ref="I198:I261" si="9">IF(ISBLANK(H198),"",IF(K198=1,H198+365,IF(K198=2,H198+730,IF(K198=3,H198+182))))</f>
        <v/>
      </c>
      <c r="J198" s="77"/>
      <c r="K198" s="14" t="b">
        <f t="shared" si="8"/>
        <v>0</v>
      </c>
      <c r="L198" s="38" t="str">
        <f t="shared" ref="L198:L261" si="10">IF(ISBLANK(C198),"",IF(ISBLANK(H198),"Informar Data último exame",IF(AND(M198&gt;0,M198&lt;=30),"Atenção, menos de 30 dias",IF(M198&gt;30,"No prazo",IF(M198&lt;0,"Exame vencido")))))</f>
        <v/>
      </c>
      <c r="M198" s="13" t="str">
        <f>IF(ISBLANK(H198),"",IF(I198-Parâmetros!$B$3+1&lt;=30,I198-Parâmetros!$B$3+1,IF(I198-Parâmetros!$B$3+1&gt;30,I198-Parâmetros!$B$3+1)))</f>
        <v/>
      </c>
    </row>
    <row r="199" spans="2:13" x14ac:dyDescent="0.25">
      <c r="B199" s="67">
        <v>194</v>
      </c>
      <c r="C199" s="19"/>
      <c r="D199" s="35"/>
      <c r="E199" s="61"/>
      <c r="F199" s="34"/>
      <c r="G199" s="22" t="str">
        <f>IF(ISBLANK(F199),"",INT((Parâmetros!$B$3-F199)/365.25))</f>
        <v/>
      </c>
      <c r="H199" s="64"/>
      <c r="I199" s="37" t="str">
        <f t="shared" si="9"/>
        <v/>
      </c>
      <c r="J199" s="78"/>
      <c r="K199" s="14" t="b">
        <f t="shared" si="8"/>
        <v>0</v>
      </c>
      <c r="L199" s="39" t="str">
        <f t="shared" si="10"/>
        <v/>
      </c>
      <c r="M199" s="22" t="str">
        <f>IF(ISBLANK(H199),"",IF(I199-Parâmetros!$B$3+1&lt;=30,I199-Parâmetros!$B$3+1,IF(I199-Parâmetros!$B$3+1&gt;30,I199-Parâmetros!$B$3+1)))</f>
        <v/>
      </c>
    </row>
    <row r="200" spans="2:13" x14ac:dyDescent="0.25">
      <c r="B200" s="68">
        <v>195</v>
      </c>
      <c r="C200" s="42"/>
      <c r="D200" s="43"/>
      <c r="E200" s="63"/>
      <c r="F200" s="44"/>
      <c r="G200" s="13" t="str">
        <f>IF(ISBLANK(F200),"",INT((Parâmetros!$B$3-F200)/365.25))</f>
        <v/>
      </c>
      <c r="H200" s="65"/>
      <c r="I200" s="36" t="str">
        <f t="shared" si="9"/>
        <v/>
      </c>
      <c r="J200" s="77"/>
      <c r="K200" s="14" t="b">
        <f t="shared" ref="K200:K263" si="11">IF(J200="1 ANO",1,IF(J200="2 ANOS",2,IF(J200="6 MESES",3)))</f>
        <v>0</v>
      </c>
      <c r="L200" s="38" t="str">
        <f t="shared" si="10"/>
        <v/>
      </c>
      <c r="M200" s="13" t="str">
        <f>IF(ISBLANK(H200),"",IF(I200-Parâmetros!$B$3+1&lt;=30,I200-Parâmetros!$B$3+1,IF(I200-Parâmetros!$B$3+1&gt;30,I200-Parâmetros!$B$3+1)))</f>
        <v/>
      </c>
    </row>
    <row r="201" spans="2:13" x14ac:dyDescent="0.25">
      <c r="B201" s="67">
        <v>196</v>
      </c>
      <c r="C201" s="19"/>
      <c r="D201" s="35"/>
      <c r="E201" s="61"/>
      <c r="F201" s="34"/>
      <c r="G201" s="22" t="str">
        <f>IF(ISBLANK(F201),"",INT((Parâmetros!$B$3-F201)/365.25))</f>
        <v/>
      </c>
      <c r="H201" s="64"/>
      <c r="I201" s="37" t="str">
        <f t="shared" si="9"/>
        <v/>
      </c>
      <c r="J201" s="78"/>
      <c r="K201" s="14" t="b">
        <f t="shared" si="11"/>
        <v>0</v>
      </c>
      <c r="L201" s="39" t="str">
        <f t="shared" si="10"/>
        <v/>
      </c>
      <c r="M201" s="22" t="str">
        <f>IF(ISBLANK(H201),"",IF(I201-Parâmetros!$B$3+1&lt;=30,I201-Parâmetros!$B$3+1,IF(I201-Parâmetros!$B$3+1&gt;30,I201-Parâmetros!$B$3+1)))</f>
        <v/>
      </c>
    </row>
    <row r="202" spans="2:13" x14ac:dyDescent="0.25">
      <c r="B202" s="68">
        <v>197</v>
      </c>
      <c r="C202" s="42"/>
      <c r="D202" s="43"/>
      <c r="E202" s="63"/>
      <c r="F202" s="44"/>
      <c r="G202" s="13" t="str">
        <f>IF(ISBLANK(F202),"",INT((Parâmetros!$B$3-F202)/365.25))</f>
        <v/>
      </c>
      <c r="H202" s="65"/>
      <c r="I202" s="36" t="str">
        <f t="shared" si="9"/>
        <v/>
      </c>
      <c r="J202" s="77"/>
      <c r="K202" s="14" t="b">
        <f t="shared" si="11"/>
        <v>0</v>
      </c>
      <c r="L202" s="38" t="str">
        <f t="shared" si="10"/>
        <v/>
      </c>
      <c r="M202" s="13" t="str">
        <f>IF(ISBLANK(H202),"",IF(I202-Parâmetros!$B$3+1&lt;=30,I202-Parâmetros!$B$3+1,IF(I202-Parâmetros!$B$3+1&gt;30,I202-Parâmetros!$B$3+1)))</f>
        <v/>
      </c>
    </row>
    <row r="203" spans="2:13" x14ac:dyDescent="0.25">
      <c r="B203" s="67">
        <v>198</v>
      </c>
      <c r="C203" s="19"/>
      <c r="D203" s="35"/>
      <c r="E203" s="61"/>
      <c r="F203" s="34"/>
      <c r="G203" s="22" t="str">
        <f>IF(ISBLANK(F203),"",INT((Parâmetros!$B$3-F203)/365.25))</f>
        <v/>
      </c>
      <c r="H203" s="64"/>
      <c r="I203" s="37" t="str">
        <f t="shared" si="9"/>
        <v/>
      </c>
      <c r="J203" s="78"/>
      <c r="K203" s="14" t="b">
        <f t="shared" si="11"/>
        <v>0</v>
      </c>
      <c r="L203" s="39" t="str">
        <f t="shared" si="10"/>
        <v/>
      </c>
      <c r="M203" s="22" t="str">
        <f>IF(ISBLANK(H203),"",IF(I203-Parâmetros!$B$3+1&lt;=30,I203-Parâmetros!$B$3+1,IF(I203-Parâmetros!$B$3+1&gt;30,I203-Parâmetros!$B$3+1)))</f>
        <v/>
      </c>
    </row>
    <row r="204" spans="2:13" x14ac:dyDescent="0.25">
      <c r="B204" s="68">
        <v>199</v>
      </c>
      <c r="C204" s="42"/>
      <c r="D204" s="43"/>
      <c r="E204" s="63"/>
      <c r="F204" s="44"/>
      <c r="G204" s="13" t="str">
        <f>IF(ISBLANK(F204),"",INT((Parâmetros!$B$3-F204)/365.25))</f>
        <v/>
      </c>
      <c r="H204" s="65"/>
      <c r="I204" s="36" t="str">
        <f t="shared" si="9"/>
        <v/>
      </c>
      <c r="J204" s="77"/>
      <c r="K204" s="14" t="b">
        <f t="shared" si="11"/>
        <v>0</v>
      </c>
      <c r="L204" s="38" t="str">
        <f t="shared" si="10"/>
        <v/>
      </c>
      <c r="M204" s="13" t="str">
        <f>IF(ISBLANK(H204),"",IF(I204-Parâmetros!$B$3+1&lt;=30,I204-Parâmetros!$B$3+1,IF(I204-Parâmetros!$B$3+1&gt;30,I204-Parâmetros!$B$3+1)))</f>
        <v/>
      </c>
    </row>
    <row r="205" spans="2:13" x14ac:dyDescent="0.25">
      <c r="B205" s="67">
        <v>200</v>
      </c>
      <c r="C205" s="19"/>
      <c r="D205" s="35"/>
      <c r="E205" s="61"/>
      <c r="F205" s="34"/>
      <c r="G205" s="22" t="str">
        <f>IF(ISBLANK(F205),"",INT((Parâmetros!$B$3-F205)/365.25))</f>
        <v/>
      </c>
      <c r="H205" s="64"/>
      <c r="I205" s="37" t="str">
        <f t="shared" si="9"/>
        <v/>
      </c>
      <c r="J205" s="78"/>
      <c r="K205" s="14" t="b">
        <f t="shared" si="11"/>
        <v>0</v>
      </c>
      <c r="L205" s="39" t="str">
        <f t="shared" si="10"/>
        <v/>
      </c>
      <c r="M205" s="22" t="str">
        <f>IF(ISBLANK(H205),"",IF(I205-Parâmetros!$B$3+1&lt;=30,I205-Parâmetros!$B$3+1,IF(I205-Parâmetros!$B$3+1&gt;30,I205-Parâmetros!$B$3+1)))</f>
        <v/>
      </c>
    </row>
    <row r="206" spans="2:13" x14ac:dyDescent="0.25">
      <c r="B206" s="68">
        <v>201</v>
      </c>
      <c r="C206" s="10"/>
      <c r="D206" s="11"/>
      <c r="E206" s="62"/>
      <c r="F206" s="12"/>
      <c r="G206" s="13" t="str">
        <f>IF(ISBLANK(F206),"",INT((Parâmetros!$B$3-F206)/365.25))</f>
        <v/>
      </c>
      <c r="H206" s="12"/>
      <c r="I206" s="36" t="str">
        <f t="shared" si="9"/>
        <v/>
      </c>
      <c r="J206" s="77"/>
      <c r="K206" s="14" t="b">
        <f t="shared" si="11"/>
        <v>0</v>
      </c>
      <c r="L206" s="38" t="str">
        <f t="shared" si="10"/>
        <v/>
      </c>
      <c r="M206" s="13" t="str">
        <f>IF(ISBLANK(H206),"",IF(I206-Parâmetros!$B$3+1&lt;=30,I206-Parâmetros!$B$3+1,IF(I206-Parâmetros!$B$3+1&gt;30,I206-Parâmetros!$B$3+1)))</f>
        <v/>
      </c>
    </row>
    <row r="207" spans="2:13" x14ac:dyDescent="0.25">
      <c r="B207" s="67">
        <v>202</v>
      </c>
      <c r="C207" s="19"/>
      <c r="D207" s="20"/>
      <c r="E207" s="61"/>
      <c r="F207" s="21"/>
      <c r="G207" s="22" t="str">
        <f>IF(ISBLANK(F207),"",INT((Parâmetros!$B$3-F207)/365.25))</f>
        <v/>
      </c>
      <c r="H207" s="64"/>
      <c r="I207" s="37" t="str">
        <f t="shared" si="9"/>
        <v/>
      </c>
      <c r="J207" s="78"/>
      <c r="K207" s="14" t="b">
        <f t="shared" si="11"/>
        <v>0</v>
      </c>
      <c r="L207" s="39" t="str">
        <f t="shared" si="10"/>
        <v/>
      </c>
      <c r="M207" s="22" t="str">
        <f>IF(ISBLANK(H207),"",IF(I207-Parâmetros!$B$3+1&lt;=30,I207-Parâmetros!$B$3+1,IF(I207-Parâmetros!$B$3+1&gt;30,I207-Parâmetros!$B$3+1)))</f>
        <v/>
      </c>
    </row>
    <row r="208" spans="2:13" x14ac:dyDescent="0.25">
      <c r="B208" s="68">
        <v>203</v>
      </c>
      <c r="C208" s="15"/>
      <c r="D208" s="16"/>
      <c r="E208" s="62"/>
      <c r="F208" s="17"/>
      <c r="G208" s="13" t="str">
        <f>IF(ISBLANK(F208),"",INT((Parâmetros!$B$3-F208)/365.25))</f>
        <v/>
      </c>
      <c r="H208" s="11"/>
      <c r="I208" s="36" t="str">
        <f t="shared" si="9"/>
        <v/>
      </c>
      <c r="J208" s="77"/>
      <c r="K208" s="14" t="b">
        <f t="shared" si="11"/>
        <v>0</v>
      </c>
      <c r="L208" s="38" t="str">
        <f t="shared" si="10"/>
        <v/>
      </c>
      <c r="M208" s="13" t="str">
        <f>IF(ISBLANK(H208),"",IF(I208-Parâmetros!$B$3+1&lt;=30,I208-Parâmetros!$B$3+1,IF(I208-Parâmetros!$B$3+1&gt;30,I208-Parâmetros!$B$3+1)))</f>
        <v/>
      </c>
    </row>
    <row r="209" spans="2:13" x14ac:dyDescent="0.25">
      <c r="B209" s="67">
        <v>204</v>
      </c>
      <c r="C209" s="19"/>
      <c r="D209" s="33"/>
      <c r="E209" s="61"/>
      <c r="F209" s="34"/>
      <c r="G209" s="22" t="str">
        <f>IF(ISBLANK(F209),"",INT((Parâmetros!$B$3-F209)/365.25))</f>
        <v/>
      </c>
      <c r="H209" s="64"/>
      <c r="I209" s="37" t="str">
        <f t="shared" si="9"/>
        <v/>
      </c>
      <c r="J209" s="78"/>
      <c r="K209" s="14" t="b">
        <f t="shared" si="11"/>
        <v>0</v>
      </c>
      <c r="L209" s="39" t="str">
        <f t="shared" si="10"/>
        <v/>
      </c>
      <c r="M209" s="22" t="str">
        <f>IF(ISBLANK(H209),"",IF(I209-Parâmetros!$B$3+1&lt;=30,I209-Parâmetros!$B$3+1,IF(I209-Parâmetros!$B$3+1&gt;30,I209-Parâmetros!$B$3+1)))</f>
        <v/>
      </c>
    </row>
    <row r="210" spans="2:13" x14ac:dyDescent="0.25">
      <c r="B210" s="68">
        <v>205</v>
      </c>
      <c r="C210" s="15"/>
      <c r="D210" s="16"/>
      <c r="E210" s="62"/>
      <c r="F210" s="18"/>
      <c r="G210" s="13" t="str">
        <f>IF(ISBLANK(F210),"",INT((Parâmetros!$B$3-F210)/365.25))</f>
        <v/>
      </c>
      <c r="H210" s="11"/>
      <c r="I210" s="36" t="str">
        <f t="shared" si="9"/>
        <v/>
      </c>
      <c r="J210" s="77"/>
      <c r="K210" s="14" t="b">
        <f t="shared" si="11"/>
        <v>0</v>
      </c>
      <c r="L210" s="38" t="str">
        <f t="shared" si="10"/>
        <v/>
      </c>
      <c r="M210" s="13" t="str">
        <f>IF(ISBLANK(H210),"",IF(I210-Parâmetros!$B$3+1&lt;=30,I210-Parâmetros!$B$3+1,IF(I210-Parâmetros!$B$3+1&gt;30,I210-Parâmetros!$B$3+1)))</f>
        <v/>
      </c>
    </row>
    <row r="211" spans="2:13" x14ac:dyDescent="0.25">
      <c r="B211" s="67">
        <v>206</v>
      </c>
      <c r="C211" s="19"/>
      <c r="D211" s="33"/>
      <c r="E211" s="61"/>
      <c r="F211" s="34"/>
      <c r="G211" s="22" t="str">
        <f>IF(ISBLANK(F211),"",INT((Parâmetros!$B$3-F211)/365.25))</f>
        <v/>
      </c>
      <c r="H211" s="64"/>
      <c r="I211" s="37" t="str">
        <f t="shared" si="9"/>
        <v/>
      </c>
      <c r="J211" s="78"/>
      <c r="K211" s="14" t="b">
        <f t="shared" si="11"/>
        <v>0</v>
      </c>
      <c r="L211" s="39" t="str">
        <f t="shared" si="10"/>
        <v/>
      </c>
      <c r="M211" s="22" t="str">
        <f>IF(ISBLANK(H211),"",IF(I211-Parâmetros!$B$3+1&lt;=30,I211-Parâmetros!$B$3+1,IF(I211-Parâmetros!$B$3+1&gt;30,I211-Parâmetros!$B$3+1)))</f>
        <v/>
      </c>
    </row>
    <row r="212" spans="2:13" x14ac:dyDescent="0.25">
      <c r="B212" s="68">
        <v>207</v>
      </c>
      <c r="C212" s="15"/>
      <c r="D212" s="16"/>
      <c r="E212" s="62"/>
      <c r="F212" s="18"/>
      <c r="G212" s="13" t="str">
        <f>IF(ISBLANK(F212),"",INT((Parâmetros!$B$3-F212)/365.25))</f>
        <v/>
      </c>
      <c r="H212" s="11"/>
      <c r="I212" s="36" t="str">
        <f t="shared" si="9"/>
        <v/>
      </c>
      <c r="J212" s="77"/>
      <c r="K212" s="14" t="b">
        <f t="shared" si="11"/>
        <v>0</v>
      </c>
      <c r="L212" s="38" t="str">
        <f t="shared" si="10"/>
        <v/>
      </c>
      <c r="M212" s="13" t="str">
        <f>IF(ISBLANK(H212),"",IF(I212-Parâmetros!$B$3+1&lt;=30,I212-Parâmetros!$B$3+1,IF(I212-Parâmetros!$B$3+1&gt;30,I212-Parâmetros!$B$3+1)))</f>
        <v/>
      </c>
    </row>
    <row r="213" spans="2:13" x14ac:dyDescent="0.25">
      <c r="B213" s="67">
        <v>208</v>
      </c>
      <c r="C213" s="19"/>
      <c r="D213" s="33"/>
      <c r="E213" s="61"/>
      <c r="F213" s="34"/>
      <c r="G213" s="22" t="str">
        <f>IF(ISBLANK(F213),"",INT((Parâmetros!$B$3-F213)/365.25))</f>
        <v/>
      </c>
      <c r="H213" s="64"/>
      <c r="I213" s="37" t="str">
        <f t="shared" si="9"/>
        <v/>
      </c>
      <c r="J213" s="78"/>
      <c r="K213" s="14" t="b">
        <f t="shared" si="11"/>
        <v>0</v>
      </c>
      <c r="L213" s="39" t="str">
        <f t="shared" si="10"/>
        <v/>
      </c>
      <c r="M213" s="22" t="str">
        <f>IF(ISBLANK(H213),"",IF(I213-Parâmetros!$B$3+1&lt;=30,I213-Parâmetros!$B$3+1,IF(I213-Parâmetros!$B$3+1&gt;30,I213-Parâmetros!$B$3+1)))</f>
        <v/>
      </c>
    </row>
    <row r="214" spans="2:13" x14ac:dyDescent="0.25">
      <c r="B214" s="68">
        <v>209</v>
      </c>
      <c r="C214" s="15"/>
      <c r="D214" s="16"/>
      <c r="E214" s="62"/>
      <c r="F214" s="18"/>
      <c r="G214" s="13" t="str">
        <f>IF(ISBLANK(F214),"",INT((Parâmetros!$B$3-F214)/365.25))</f>
        <v/>
      </c>
      <c r="H214" s="11"/>
      <c r="I214" s="36" t="str">
        <f t="shared" si="9"/>
        <v/>
      </c>
      <c r="J214" s="77"/>
      <c r="K214" s="14" t="b">
        <f t="shared" si="11"/>
        <v>0</v>
      </c>
      <c r="L214" s="38" t="str">
        <f t="shared" si="10"/>
        <v/>
      </c>
      <c r="M214" s="13" t="str">
        <f>IF(ISBLANK(H214),"",IF(I214-Parâmetros!$B$3+1&lt;=30,I214-Parâmetros!$B$3+1,IF(I214-Parâmetros!$B$3+1&gt;30,I214-Parâmetros!$B$3+1)))</f>
        <v/>
      </c>
    </row>
    <row r="215" spans="2:13" x14ac:dyDescent="0.25">
      <c r="B215" s="67">
        <v>210</v>
      </c>
      <c r="C215" s="19"/>
      <c r="D215" s="33"/>
      <c r="E215" s="61"/>
      <c r="F215" s="34"/>
      <c r="G215" s="22" t="str">
        <f>IF(ISBLANK(F215),"",INT((Parâmetros!$B$3-F215)/365.25))</f>
        <v/>
      </c>
      <c r="H215" s="64"/>
      <c r="I215" s="37" t="str">
        <f t="shared" si="9"/>
        <v/>
      </c>
      <c r="J215" s="78"/>
      <c r="K215" s="14" t="b">
        <f t="shared" si="11"/>
        <v>0</v>
      </c>
      <c r="L215" s="39" t="str">
        <f t="shared" si="10"/>
        <v/>
      </c>
      <c r="M215" s="22" t="str">
        <f>IF(ISBLANK(H215),"",IF(I215-Parâmetros!$B$3+1&lt;=30,I215-Parâmetros!$B$3+1,IF(I215-Parâmetros!$B$3+1&gt;30,I215-Parâmetros!$B$3+1)))</f>
        <v/>
      </c>
    </row>
    <row r="216" spans="2:13" x14ac:dyDescent="0.25">
      <c r="B216" s="68">
        <v>211</v>
      </c>
      <c r="C216" s="15"/>
      <c r="D216" s="16"/>
      <c r="E216" s="62"/>
      <c r="F216" s="18"/>
      <c r="G216" s="13" t="str">
        <f>IF(ISBLANK(F216),"",INT((Parâmetros!$B$3-F216)/365.25))</f>
        <v/>
      </c>
      <c r="H216" s="11"/>
      <c r="I216" s="36" t="str">
        <f t="shared" si="9"/>
        <v/>
      </c>
      <c r="J216" s="77"/>
      <c r="K216" s="14" t="b">
        <f t="shared" si="11"/>
        <v>0</v>
      </c>
      <c r="L216" s="38" t="str">
        <f t="shared" si="10"/>
        <v/>
      </c>
      <c r="M216" s="13" t="str">
        <f>IF(ISBLANK(H216),"",IF(I216-Parâmetros!$B$3+1&lt;=30,I216-Parâmetros!$B$3+1,IF(I216-Parâmetros!$B$3+1&gt;30,I216-Parâmetros!$B$3+1)))</f>
        <v/>
      </c>
    </row>
    <row r="217" spans="2:13" x14ac:dyDescent="0.25">
      <c r="B217" s="67">
        <v>212</v>
      </c>
      <c r="C217" s="19"/>
      <c r="D217" s="33"/>
      <c r="E217" s="61"/>
      <c r="F217" s="34"/>
      <c r="G217" s="22" t="str">
        <f>IF(ISBLANK(F217),"",INT((Parâmetros!$B$3-F217)/365.25))</f>
        <v/>
      </c>
      <c r="H217" s="64"/>
      <c r="I217" s="37" t="str">
        <f t="shared" si="9"/>
        <v/>
      </c>
      <c r="J217" s="78"/>
      <c r="K217" s="14" t="b">
        <f t="shared" si="11"/>
        <v>0</v>
      </c>
      <c r="L217" s="39" t="str">
        <f t="shared" si="10"/>
        <v/>
      </c>
      <c r="M217" s="22" t="str">
        <f>IF(ISBLANK(H217),"",IF(I217-Parâmetros!$B$3+1&lt;=30,I217-Parâmetros!$B$3+1,IF(I217-Parâmetros!$B$3+1&gt;30,I217-Parâmetros!$B$3+1)))</f>
        <v/>
      </c>
    </row>
    <row r="218" spans="2:13" x14ac:dyDescent="0.25">
      <c r="B218" s="68">
        <v>213</v>
      </c>
      <c r="C218" s="15"/>
      <c r="D218" s="16"/>
      <c r="E218" s="62"/>
      <c r="F218" s="18"/>
      <c r="G218" s="13" t="str">
        <f>IF(ISBLANK(F218),"",INT((Parâmetros!$B$3-F218)/365.25))</f>
        <v/>
      </c>
      <c r="H218" s="11"/>
      <c r="I218" s="36" t="str">
        <f t="shared" si="9"/>
        <v/>
      </c>
      <c r="J218" s="77"/>
      <c r="K218" s="14" t="b">
        <f t="shared" si="11"/>
        <v>0</v>
      </c>
      <c r="L218" s="38" t="str">
        <f t="shared" si="10"/>
        <v/>
      </c>
      <c r="M218" s="13" t="str">
        <f>IF(ISBLANK(H218),"",IF(I218-Parâmetros!$B$3+1&lt;=30,I218-Parâmetros!$B$3+1,IF(I218-Parâmetros!$B$3+1&gt;30,I218-Parâmetros!$B$3+1)))</f>
        <v/>
      </c>
    </row>
    <row r="219" spans="2:13" x14ac:dyDescent="0.25">
      <c r="B219" s="67">
        <v>214</v>
      </c>
      <c r="C219" s="19"/>
      <c r="D219" s="33"/>
      <c r="E219" s="61"/>
      <c r="F219" s="34"/>
      <c r="G219" s="22" t="str">
        <f>IF(ISBLANK(F219),"",INT((Parâmetros!$B$3-F219)/365.25))</f>
        <v/>
      </c>
      <c r="H219" s="64"/>
      <c r="I219" s="37" t="str">
        <f t="shared" si="9"/>
        <v/>
      </c>
      <c r="J219" s="78"/>
      <c r="K219" s="14" t="b">
        <f t="shared" si="11"/>
        <v>0</v>
      </c>
      <c r="L219" s="39" t="str">
        <f t="shared" si="10"/>
        <v/>
      </c>
      <c r="M219" s="22" t="str">
        <f>IF(ISBLANK(H219),"",IF(I219-Parâmetros!$B$3+1&lt;=30,I219-Parâmetros!$B$3+1,IF(I219-Parâmetros!$B$3+1&gt;30,I219-Parâmetros!$B$3+1)))</f>
        <v/>
      </c>
    </row>
    <row r="220" spans="2:13" x14ac:dyDescent="0.25">
      <c r="B220" s="68">
        <v>215</v>
      </c>
      <c r="C220" s="15"/>
      <c r="D220" s="16"/>
      <c r="E220" s="62"/>
      <c r="F220" s="18"/>
      <c r="G220" s="13" t="str">
        <f>IF(ISBLANK(F220),"",INT((Parâmetros!$B$3-F220)/365.25))</f>
        <v/>
      </c>
      <c r="H220" s="11"/>
      <c r="I220" s="36" t="str">
        <f t="shared" si="9"/>
        <v/>
      </c>
      <c r="J220" s="77"/>
      <c r="K220" s="14" t="b">
        <f t="shared" si="11"/>
        <v>0</v>
      </c>
      <c r="L220" s="38" t="str">
        <f t="shared" si="10"/>
        <v/>
      </c>
      <c r="M220" s="13" t="str">
        <f>IF(ISBLANK(H220),"",IF(I220-Parâmetros!$B$3+1&lt;=30,I220-Parâmetros!$B$3+1,IF(I220-Parâmetros!$B$3+1&gt;30,I220-Parâmetros!$B$3+1)))</f>
        <v/>
      </c>
    </row>
    <row r="221" spans="2:13" x14ac:dyDescent="0.25">
      <c r="B221" s="67">
        <v>216</v>
      </c>
      <c r="C221" s="19"/>
      <c r="D221" s="33"/>
      <c r="E221" s="61"/>
      <c r="F221" s="34"/>
      <c r="G221" s="22" t="str">
        <f>IF(ISBLANK(F221),"",INT((Parâmetros!$B$3-F221)/365.25))</f>
        <v/>
      </c>
      <c r="H221" s="64"/>
      <c r="I221" s="37" t="str">
        <f t="shared" si="9"/>
        <v/>
      </c>
      <c r="J221" s="78"/>
      <c r="K221" s="14" t="b">
        <f t="shared" si="11"/>
        <v>0</v>
      </c>
      <c r="L221" s="39" t="str">
        <f t="shared" si="10"/>
        <v/>
      </c>
      <c r="M221" s="22" t="str">
        <f>IF(ISBLANK(H221),"",IF(I221-Parâmetros!$B$3+1&lt;=30,I221-Parâmetros!$B$3+1,IF(I221-Parâmetros!$B$3+1&gt;30,I221-Parâmetros!$B$3+1)))</f>
        <v/>
      </c>
    </row>
    <row r="222" spans="2:13" x14ac:dyDescent="0.25">
      <c r="B222" s="68">
        <v>217</v>
      </c>
      <c r="C222" s="15"/>
      <c r="D222" s="16"/>
      <c r="E222" s="62"/>
      <c r="F222" s="18"/>
      <c r="G222" s="13" t="str">
        <f>IF(ISBLANK(F222),"",INT((Parâmetros!$B$3-F222)/365.25))</f>
        <v/>
      </c>
      <c r="H222" s="11"/>
      <c r="I222" s="36" t="str">
        <f t="shared" si="9"/>
        <v/>
      </c>
      <c r="J222" s="77"/>
      <c r="K222" s="14" t="b">
        <f t="shared" si="11"/>
        <v>0</v>
      </c>
      <c r="L222" s="38" t="str">
        <f t="shared" si="10"/>
        <v/>
      </c>
      <c r="M222" s="13" t="str">
        <f>IF(ISBLANK(H222),"",IF(I222-Parâmetros!$B$3+1&lt;=30,I222-Parâmetros!$B$3+1,IF(I222-Parâmetros!$B$3+1&gt;30,I222-Parâmetros!$B$3+1)))</f>
        <v/>
      </c>
    </row>
    <row r="223" spans="2:13" x14ac:dyDescent="0.25">
      <c r="B223" s="67">
        <v>218</v>
      </c>
      <c r="C223" s="19"/>
      <c r="D223" s="33"/>
      <c r="E223" s="61"/>
      <c r="F223" s="34"/>
      <c r="G223" s="22" t="str">
        <f>IF(ISBLANK(F223),"",INT((Parâmetros!$B$3-F223)/365.25))</f>
        <v/>
      </c>
      <c r="H223" s="64"/>
      <c r="I223" s="37" t="str">
        <f t="shared" si="9"/>
        <v/>
      </c>
      <c r="J223" s="78"/>
      <c r="K223" s="14" t="b">
        <f t="shared" si="11"/>
        <v>0</v>
      </c>
      <c r="L223" s="39" t="str">
        <f t="shared" si="10"/>
        <v/>
      </c>
      <c r="M223" s="22" t="str">
        <f>IF(ISBLANK(H223),"",IF(I223-Parâmetros!$B$3+1&lt;=30,I223-Parâmetros!$B$3+1,IF(I223-Parâmetros!$B$3+1&gt;30,I223-Parâmetros!$B$3+1)))</f>
        <v/>
      </c>
    </row>
    <row r="224" spans="2:13" x14ac:dyDescent="0.25">
      <c r="B224" s="68">
        <v>219</v>
      </c>
      <c r="C224" s="15"/>
      <c r="D224" s="16"/>
      <c r="E224" s="62"/>
      <c r="F224" s="18"/>
      <c r="G224" s="13" t="str">
        <f>IF(ISBLANK(F224),"",INT((Parâmetros!$B$3-F224)/365.25))</f>
        <v/>
      </c>
      <c r="H224" s="11"/>
      <c r="I224" s="36" t="str">
        <f t="shared" si="9"/>
        <v/>
      </c>
      <c r="J224" s="77"/>
      <c r="K224" s="14" t="b">
        <f t="shared" si="11"/>
        <v>0</v>
      </c>
      <c r="L224" s="38" t="str">
        <f t="shared" si="10"/>
        <v/>
      </c>
      <c r="M224" s="13" t="str">
        <f>IF(ISBLANK(H224),"",IF(I224-Parâmetros!$B$3+1&lt;=30,I224-Parâmetros!$B$3+1,IF(I224-Parâmetros!$B$3+1&gt;30,I224-Parâmetros!$B$3+1)))</f>
        <v/>
      </c>
    </row>
    <row r="225" spans="2:13" x14ac:dyDescent="0.25">
      <c r="B225" s="67">
        <v>220</v>
      </c>
      <c r="C225" s="19"/>
      <c r="D225" s="33"/>
      <c r="E225" s="61"/>
      <c r="F225" s="34"/>
      <c r="G225" s="22" t="str">
        <f>IF(ISBLANK(F225),"",INT((Parâmetros!$B$3-F225)/365.25))</f>
        <v/>
      </c>
      <c r="H225" s="64"/>
      <c r="I225" s="37" t="str">
        <f t="shared" si="9"/>
        <v/>
      </c>
      <c r="J225" s="78"/>
      <c r="K225" s="14" t="b">
        <f t="shared" si="11"/>
        <v>0</v>
      </c>
      <c r="L225" s="39" t="str">
        <f t="shared" si="10"/>
        <v/>
      </c>
      <c r="M225" s="22" t="str">
        <f>IF(ISBLANK(H225),"",IF(I225-Parâmetros!$B$3+1&lt;=30,I225-Parâmetros!$B$3+1,IF(I225-Parâmetros!$B$3+1&gt;30,I225-Parâmetros!$B$3+1)))</f>
        <v/>
      </c>
    </row>
    <row r="226" spans="2:13" x14ac:dyDescent="0.25">
      <c r="B226" s="68">
        <v>221</v>
      </c>
      <c r="C226" s="15"/>
      <c r="D226" s="16"/>
      <c r="E226" s="62"/>
      <c r="F226" s="18"/>
      <c r="G226" s="13" t="str">
        <f>IF(ISBLANK(F226),"",INT((Parâmetros!$B$3-F226)/365.25))</f>
        <v/>
      </c>
      <c r="H226" s="11"/>
      <c r="I226" s="36" t="str">
        <f t="shared" si="9"/>
        <v/>
      </c>
      <c r="J226" s="77"/>
      <c r="K226" s="14" t="b">
        <f t="shared" si="11"/>
        <v>0</v>
      </c>
      <c r="L226" s="38" t="str">
        <f t="shared" si="10"/>
        <v/>
      </c>
      <c r="M226" s="13" t="str">
        <f>IF(ISBLANK(H226),"",IF(I226-Parâmetros!$B$3+1&lt;=30,I226-Parâmetros!$B$3+1,IF(I226-Parâmetros!$B$3+1&gt;30,I226-Parâmetros!$B$3+1)))</f>
        <v/>
      </c>
    </row>
    <row r="227" spans="2:13" x14ac:dyDescent="0.25">
      <c r="B227" s="67">
        <v>222</v>
      </c>
      <c r="C227" s="19"/>
      <c r="D227" s="33"/>
      <c r="E227" s="61"/>
      <c r="F227" s="34"/>
      <c r="G227" s="22" t="str">
        <f>IF(ISBLANK(F227),"",INT((Parâmetros!$B$3-F227)/365.25))</f>
        <v/>
      </c>
      <c r="H227" s="64"/>
      <c r="I227" s="37" t="str">
        <f t="shared" si="9"/>
        <v/>
      </c>
      <c r="J227" s="78"/>
      <c r="K227" s="14" t="b">
        <f t="shared" si="11"/>
        <v>0</v>
      </c>
      <c r="L227" s="39" t="str">
        <f t="shared" si="10"/>
        <v/>
      </c>
      <c r="M227" s="22" t="str">
        <f>IF(ISBLANK(H227),"",IF(I227-Parâmetros!$B$3+1&lt;=30,I227-Parâmetros!$B$3+1,IF(I227-Parâmetros!$B$3+1&gt;30,I227-Parâmetros!$B$3+1)))</f>
        <v/>
      </c>
    </row>
    <row r="228" spans="2:13" x14ac:dyDescent="0.25">
      <c r="B228" s="68">
        <v>223</v>
      </c>
      <c r="C228" s="15"/>
      <c r="D228" s="16"/>
      <c r="E228" s="62"/>
      <c r="F228" s="18"/>
      <c r="G228" s="13" t="str">
        <f>IF(ISBLANK(F228),"",INT((Parâmetros!$B$3-F228)/365.25))</f>
        <v/>
      </c>
      <c r="H228" s="11"/>
      <c r="I228" s="36" t="str">
        <f t="shared" si="9"/>
        <v/>
      </c>
      <c r="J228" s="77"/>
      <c r="K228" s="14" t="b">
        <f t="shared" si="11"/>
        <v>0</v>
      </c>
      <c r="L228" s="38" t="str">
        <f t="shared" si="10"/>
        <v/>
      </c>
      <c r="M228" s="13" t="str">
        <f>IF(ISBLANK(H228),"",IF(I228-Parâmetros!$B$3+1&lt;=30,I228-Parâmetros!$B$3+1,IF(I228-Parâmetros!$B$3+1&gt;30,I228-Parâmetros!$B$3+1)))</f>
        <v/>
      </c>
    </row>
    <row r="229" spans="2:13" x14ac:dyDescent="0.25">
      <c r="B229" s="67">
        <v>224</v>
      </c>
      <c r="C229" s="19"/>
      <c r="D229" s="33"/>
      <c r="E229" s="61"/>
      <c r="F229" s="34"/>
      <c r="G229" s="22" t="str">
        <f>IF(ISBLANK(F229),"",INT((Parâmetros!$B$3-F229)/365.25))</f>
        <v/>
      </c>
      <c r="H229" s="64"/>
      <c r="I229" s="37" t="str">
        <f t="shared" si="9"/>
        <v/>
      </c>
      <c r="J229" s="78"/>
      <c r="K229" s="14" t="b">
        <f t="shared" si="11"/>
        <v>0</v>
      </c>
      <c r="L229" s="39" t="str">
        <f t="shared" si="10"/>
        <v/>
      </c>
      <c r="M229" s="22" t="str">
        <f>IF(ISBLANK(H229),"",IF(I229-Parâmetros!$B$3+1&lt;=30,I229-Parâmetros!$B$3+1,IF(I229-Parâmetros!$B$3+1&gt;30,I229-Parâmetros!$B$3+1)))</f>
        <v/>
      </c>
    </row>
    <row r="230" spans="2:13" x14ac:dyDescent="0.25">
      <c r="B230" s="68">
        <v>225</v>
      </c>
      <c r="C230" s="15"/>
      <c r="D230" s="16"/>
      <c r="E230" s="62"/>
      <c r="F230" s="18"/>
      <c r="G230" s="13" t="str">
        <f>IF(ISBLANK(F230),"",INT((Parâmetros!$B$3-F230)/365.25))</f>
        <v/>
      </c>
      <c r="H230" s="11"/>
      <c r="I230" s="36" t="str">
        <f t="shared" si="9"/>
        <v/>
      </c>
      <c r="J230" s="77"/>
      <c r="K230" s="14" t="b">
        <f t="shared" si="11"/>
        <v>0</v>
      </c>
      <c r="L230" s="38" t="str">
        <f t="shared" si="10"/>
        <v/>
      </c>
      <c r="M230" s="13" t="str">
        <f>IF(ISBLANK(H230),"",IF(I230-Parâmetros!$B$3+1&lt;=30,I230-Parâmetros!$B$3+1,IF(I230-Parâmetros!$B$3+1&gt;30,I230-Parâmetros!$B$3+1)))</f>
        <v/>
      </c>
    </row>
    <row r="231" spans="2:13" x14ac:dyDescent="0.25">
      <c r="B231" s="67">
        <v>226</v>
      </c>
      <c r="C231" s="19"/>
      <c r="D231" s="33"/>
      <c r="E231" s="61"/>
      <c r="F231" s="34"/>
      <c r="G231" s="22" t="str">
        <f>IF(ISBLANK(F231),"",INT((Parâmetros!$B$3-F231)/365.25))</f>
        <v/>
      </c>
      <c r="H231" s="64"/>
      <c r="I231" s="37" t="str">
        <f t="shared" si="9"/>
        <v/>
      </c>
      <c r="J231" s="78"/>
      <c r="K231" s="14" t="b">
        <f t="shared" si="11"/>
        <v>0</v>
      </c>
      <c r="L231" s="39" t="str">
        <f t="shared" si="10"/>
        <v/>
      </c>
      <c r="M231" s="22" t="str">
        <f>IF(ISBLANK(H231),"",IF(I231-Parâmetros!$B$3+1&lt;=30,I231-Parâmetros!$B$3+1,IF(I231-Parâmetros!$B$3+1&gt;30,I231-Parâmetros!$B$3+1)))</f>
        <v/>
      </c>
    </row>
    <row r="232" spans="2:13" x14ac:dyDescent="0.25">
      <c r="B232" s="68">
        <v>227</v>
      </c>
      <c r="C232" s="15"/>
      <c r="D232" s="16"/>
      <c r="E232" s="62"/>
      <c r="F232" s="18"/>
      <c r="G232" s="13" t="str">
        <f>IF(ISBLANK(F232),"",INT((Parâmetros!$B$3-F232)/365.25))</f>
        <v/>
      </c>
      <c r="H232" s="11"/>
      <c r="I232" s="36" t="str">
        <f t="shared" si="9"/>
        <v/>
      </c>
      <c r="J232" s="77"/>
      <c r="K232" s="14" t="b">
        <f t="shared" si="11"/>
        <v>0</v>
      </c>
      <c r="L232" s="38" t="str">
        <f t="shared" si="10"/>
        <v/>
      </c>
      <c r="M232" s="13" t="str">
        <f>IF(ISBLANK(H232),"",IF(I232-Parâmetros!$B$3+1&lt;=30,I232-Parâmetros!$B$3+1,IF(I232-Parâmetros!$B$3+1&gt;30,I232-Parâmetros!$B$3+1)))</f>
        <v/>
      </c>
    </row>
    <row r="233" spans="2:13" x14ac:dyDescent="0.25">
      <c r="B233" s="67">
        <v>228</v>
      </c>
      <c r="C233" s="19"/>
      <c r="D233" s="33"/>
      <c r="E233" s="61"/>
      <c r="F233" s="34"/>
      <c r="G233" s="22" t="str">
        <f>IF(ISBLANK(F233),"",INT((Parâmetros!$B$3-F233)/365.25))</f>
        <v/>
      </c>
      <c r="H233" s="64"/>
      <c r="I233" s="37" t="str">
        <f t="shared" si="9"/>
        <v/>
      </c>
      <c r="J233" s="78"/>
      <c r="K233" s="14" t="b">
        <f t="shared" si="11"/>
        <v>0</v>
      </c>
      <c r="L233" s="39" t="str">
        <f t="shared" si="10"/>
        <v/>
      </c>
      <c r="M233" s="22" t="str">
        <f>IF(ISBLANK(H233),"",IF(I233-Parâmetros!$B$3+1&lt;=30,I233-Parâmetros!$B$3+1,IF(I233-Parâmetros!$B$3+1&gt;30,I233-Parâmetros!$B$3+1)))</f>
        <v/>
      </c>
    </row>
    <row r="234" spans="2:13" x14ac:dyDescent="0.25">
      <c r="B234" s="68">
        <v>229</v>
      </c>
      <c r="C234" s="15"/>
      <c r="D234" s="16"/>
      <c r="E234" s="62"/>
      <c r="F234" s="18"/>
      <c r="G234" s="13" t="str">
        <f>IF(ISBLANK(F234),"",INT((Parâmetros!$B$3-F234)/365.25))</f>
        <v/>
      </c>
      <c r="H234" s="11"/>
      <c r="I234" s="36" t="str">
        <f t="shared" si="9"/>
        <v/>
      </c>
      <c r="J234" s="77"/>
      <c r="K234" s="14" t="b">
        <f t="shared" si="11"/>
        <v>0</v>
      </c>
      <c r="L234" s="38" t="str">
        <f t="shared" si="10"/>
        <v/>
      </c>
      <c r="M234" s="13" t="str">
        <f>IF(ISBLANK(H234),"",IF(I234-Parâmetros!$B$3+1&lt;=30,I234-Parâmetros!$B$3+1,IF(I234-Parâmetros!$B$3+1&gt;30,I234-Parâmetros!$B$3+1)))</f>
        <v/>
      </c>
    </row>
    <row r="235" spans="2:13" x14ac:dyDescent="0.25">
      <c r="B235" s="67">
        <v>230</v>
      </c>
      <c r="C235" s="19"/>
      <c r="D235" s="33"/>
      <c r="E235" s="61"/>
      <c r="F235" s="34"/>
      <c r="G235" s="22" t="str">
        <f>IF(ISBLANK(F235),"",INT((Parâmetros!$B$3-F235)/365.25))</f>
        <v/>
      </c>
      <c r="H235" s="64"/>
      <c r="I235" s="37" t="str">
        <f t="shared" si="9"/>
        <v/>
      </c>
      <c r="J235" s="78"/>
      <c r="K235" s="14" t="b">
        <f t="shared" si="11"/>
        <v>0</v>
      </c>
      <c r="L235" s="39" t="str">
        <f t="shared" si="10"/>
        <v/>
      </c>
      <c r="M235" s="22" t="str">
        <f>IF(ISBLANK(H235),"",IF(I235-Parâmetros!$B$3+1&lt;=30,I235-Parâmetros!$B$3+1,IF(I235-Parâmetros!$B$3+1&gt;30,I235-Parâmetros!$B$3+1)))</f>
        <v/>
      </c>
    </row>
    <row r="236" spans="2:13" x14ac:dyDescent="0.25">
      <c r="B236" s="68">
        <v>231</v>
      </c>
      <c r="C236" s="15"/>
      <c r="D236" s="16"/>
      <c r="E236" s="62"/>
      <c r="F236" s="18"/>
      <c r="G236" s="13" t="str">
        <f>IF(ISBLANK(F236),"",INT((Parâmetros!$B$3-F236)/365.25))</f>
        <v/>
      </c>
      <c r="H236" s="11"/>
      <c r="I236" s="36" t="str">
        <f t="shared" si="9"/>
        <v/>
      </c>
      <c r="J236" s="77"/>
      <c r="K236" s="14" t="b">
        <f t="shared" si="11"/>
        <v>0</v>
      </c>
      <c r="L236" s="38" t="str">
        <f t="shared" si="10"/>
        <v/>
      </c>
      <c r="M236" s="13" t="str">
        <f>IF(ISBLANK(H236),"",IF(I236-Parâmetros!$B$3+1&lt;=30,I236-Parâmetros!$B$3+1,IF(I236-Parâmetros!$B$3+1&gt;30,I236-Parâmetros!$B$3+1)))</f>
        <v/>
      </c>
    </row>
    <row r="237" spans="2:13" x14ac:dyDescent="0.25">
      <c r="B237" s="67">
        <v>232</v>
      </c>
      <c r="C237" s="19"/>
      <c r="D237" s="33"/>
      <c r="E237" s="61"/>
      <c r="F237" s="34"/>
      <c r="G237" s="22" t="str">
        <f>IF(ISBLANK(F237),"",INT((Parâmetros!$B$3-F237)/365.25))</f>
        <v/>
      </c>
      <c r="H237" s="64"/>
      <c r="I237" s="37" t="str">
        <f t="shared" si="9"/>
        <v/>
      </c>
      <c r="J237" s="78"/>
      <c r="K237" s="14" t="b">
        <f t="shared" si="11"/>
        <v>0</v>
      </c>
      <c r="L237" s="39" t="str">
        <f t="shared" si="10"/>
        <v/>
      </c>
      <c r="M237" s="22" t="str">
        <f>IF(ISBLANK(H237),"",IF(I237-Parâmetros!$B$3+1&lt;=30,I237-Parâmetros!$B$3+1,IF(I237-Parâmetros!$B$3+1&gt;30,I237-Parâmetros!$B$3+1)))</f>
        <v/>
      </c>
    </row>
    <row r="238" spans="2:13" x14ac:dyDescent="0.25">
      <c r="B238" s="68">
        <v>233</v>
      </c>
      <c r="C238" s="15"/>
      <c r="D238" s="16"/>
      <c r="E238" s="62"/>
      <c r="F238" s="18"/>
      <c r="G238" s="13" t="str">
        <f>IF(ISBLANK(F238),"",INT((Parâmetros!$B$3-F238)/365.25))</f>
        <v/>
      </c>
      <c r="H238" s="11"/>
      <c r="I238" s="36" t="str">
        <f t="shared" si="9"/>
        <v/>
      </c>
      <c r="J238" s="77"/>
      <c r="K238" s="14" t="b">
        <f t="shared" si="11"/>
        <v>0</v>
      </c>
      <c r="L238" s="38" t="str">
        <f t="shared" si="10"/>
        <v/>
      </c>
      <c r="M238" s="13" t="str">
        <f>IF(ISBLANK(H238),"",IF(I238-Parâmetros!$B$3+1&lt;=30,I238-Parâmetros!$B$3+1,IF(I238-Parâmetros!$B$3+1&gt;30,I238-Parâmetros!$B$3+1)))</f>
        <v/>
      </c>
    </row>
    <row r="239" spans="2:13" x14ac:dyDescent="0.25">
      <c r="B239" s="67">
        <v>234</v>
      </c>
      <c r="C239" s="19"/>
      <c r="D239" s="33"/>
      <c r="E239" s="61"/>
      <c r="F239" s="34"/>
      <c r="G239" s="22" t="str">
        <f>IF(ISBLANK(F239),"",INT((Parâmetros!$B$3-F239)/365.25))</f>
        <v/>
      </c>
      <c r="H239" s="64"/>
      <c r="I239" s="37" t="str">
        <f t="shared" si="9"/>
        <v/>
      </c>
      <c r="J239" s="78"/>
      <c r="K239" s="14" t="b">
        <f t="shared" si="11"/>
        <v>0</v>
      </c>
      <c r="L239" s="39" t="str">
        <f t="shared" si="10"/>
        <v/>
      </c>
      <c r="M239" s="22" t="str">
        <f>IF(ISBLANK(H239),"",IF(I239-Parâmetros!$B$3+1&lt;=30,I239-Parâmetros!$B$3+1,IF(I239-Parâmetros!$B$3+1&gt;30,I239-Parâmetros!$B$3+1)))</f>
        <v/>
      </c>
    </row>
    <row r="240" spans="2:13" x14ac:dyDescent="0.25">
      <c r="B240" s="68">
        <v>235</v>
      </c>
      <c r="C240" s="15"/>
      <c r="D240" s="16"/>
      <c r="E240" s="62"/>
      <c r="F240" s="18"/>
      <c r="G240" s="13" t="str">
        <f>IF(ISBLANK(F240),"",INT((Parâmetros!$B$3-F240)/365.25))</f>
        <v/>
      </c>
      <c r="H240" s="11"/>
      <c r="I240" s="36" t="str">
        <f t="shared" si="9"/>
        <v/>
      </c>
      <c r="J240" s="77"/>
      <c r="K240" s="14" t="b">
        <f t="shared" si="11"/>
        <v>0</v>
      </c>
      <c r="L240" s="38" t="str">
        <f t="shared" si="10"/>
        <v/>
      </c>
      <c r="M240" s="13" t="str">
        <f>IF(ISBLANK(H240),"",IF(I240-Parâmetros!$B$3+1&lt;=30,I240-Parâmetros!$B$3+1,IF(I240-Parâmetros!$B$3+1&gt;30,I240-Parâmetros!$B$3+1)))</f>
        <v/>
      </c>
    </row>
    <row r="241" spans="2:13" x14ac:dyDescent="0.25">
      <c r="B241" s="67">
        <v>236</v>
      </c>
      <c r="C241" s="19"/>
      <c r="D241" s="33"/>
      <c r="E241" s="61"/>
      <c r="F241" s="34"/>
      <c r="G241" s="22" t="str">
        <f>IF(ISBLANK(F241),"",INT((Parâmetros!$B$3-F241)/365.25))</f>
        <v/>
      </c>
      <c r="H241" s="64"/>
      <c r="I241" s="37" t="str">
        <f t="shared" si="9"/>
        <v/>
      </c>
      <c r="J241" s="78"/>
      <c r="K241" s="14" t="b">
        <f t="shared" si="11"/>
        <v>0</v>
      </c>
      <c r="L241" s="39" t="str">
        <f t="shared" si="10"/>
        <v/>
      </c>
      <c r="M241" s="22" t="str">
        <f>IF(ISBLANK(H241),"",IF(I241-Parâmetros!$B$3+1&lt;=30,I241-Parâmetros!$B$3+1,IF(I241-Parâmetros!$B$3+1&gt;30,I241-Parâmetros!$B$3+1)))</f>
        <v/>
      </c>
    </row>
    <row r="242" spans="2:13" x14ac:dyDescent="0.25">
      <c r="B242" s="68">
        <v>237</v>
      </c>
      <c r="C242" s="15"/>
      <c r="D242" s="16"/>
      <c r="E242" s="62"/>
      <c r="F242" s="18"/>
      <c r="G242" s="13" t="str">
        <f>IF(ISBLANK(F242),"",INT((Parâmetros!$B$3-F242)/365.25))</f>
        <v/>
      </c>
      <c r="H242" s="11"/>
      <c r="I242" s="36" t="str">
        <f t="shared" si="9"/>
        <v/>
      </c>
      <c r="J242" s="77"/>
      <c r="K242" s="14" t="b">
        <f t="shared" si="11"/>
        <v>0</v>
      </c>
      <c r="L242" s="38" t="str">
        <f t="shared" si="10"/>
        <v/>
      </c>
      <c r="M242" s="13" t="str">
        <f>IF(ISBLANK(H242),"",IF(I242-Parâmetros!$B$3+1&lt;=30,I242-Parâmetros!$B$3+1,IF(I242-Parâmetros!$B$3+1&gt;30,I242-Parâmetros!$B$3+1)))</f>
        <v/>
      </c>
    </row>
    <row r="243" spans="2:13" x14ac:dyDescent="0.25">
      <c r="B243" s="67">
        <v>238</v>
      </c>
      <c r="C243" s="19"/>
      <c r="D243" s="33"/>
      <c r="E243" s="61"/>
      <c r="F243" s="34"/>
      <c r="G243" s="22" t="str">
        <f>IF(ISBLANK(F243),"",INT((Parâmetros!$B$3-F243)/365.25))</f>
        <v/>
      </c>
      <c r="H243" s="64"/>
      <c r="I243" s="37" t="str">
        <f t="shared" si="9"/>
        <v/>
      </c>
      <c r="J243" s="78"/>
      <c r="K243" s="14" t="b">
        <f t="shared" si="11"/>
        <v>0</v>
      </c>
      <c r="L243" s="39" t="str">
        <f t="shared" si="10"/>
        <v/>
      </c>
      <c r="M243" s="22" t="str">
        <f>IF(ISBLANK(H243),"",IF(I243-Parâmetros!$B$3+1&lt;=30,I243-Parâmetros!$B$3+1,IF(I243-Parâmetros!$B$3+1&gt;30,I243-Parâmetros!$B$3+1)))</f>
        <v/>
      </c>
    </row>
    <row r="244" spans="2:13" x14ac:dyDescent="0.25">
      <c r="B244" s="68">
        <v>239</v>
      </c>
      <c r="C244" s="15"/>
      <c r="D244" s="16"/>
      <c r="E244" s="62"/>
      <c r="F244" s="18"/>
      <c r="G244" s="13" t="str">
        <f>IF(ISBLANK(F244),"",INT((Parâmetros!$B$3-F244)/365.25))</f>
        <v/>
      </c>
      <c r="H244" s="11"/>
      <c r="I244" s="36" t="str">
        <f t="shared" si="9"/>
        <v/>
      </c>
      <c r="J244" s="77"/>
      <c r="K244" s="14" t="b">
        <f t="shared" si="11"/>
        <v>0</v>
      </c>
      <c r="L244" s="38" t="str">
        <f t="shared" si="10"/>
        <v/>
      </c>
      <c r="M244" s="13" t="str">
        <f>IF(ISBLANK(H244),"",IF(I244-Parâmetros!$B$3+1&lt;=30,I244-Parâmetros!$B$3+1,IF(I244-Parâmetros!$B$3+1&gt;30,I244-Parâmetros!$B$3+1)))</f>
        <v/>
      </c>
    </row>
    <row r="245" spans="2:13" x14ac:dyDescent="0.25">
      <c r="B245" s="67">
        <v>240</v>
      </c>
      <c r="C245" s="19"/>
      <c r="D245" s="33"/>
      <c r="E245" s="61"/>
      <c r="F245" s="34"/>
      <c r="G245" s="22" t="str">
        <f>IF(ISBLANK(F245),"",INT((Parâmetros!$B$3-F245)/365.25))</f>
        <v/>
      </c>
      <c r="H245" s="64"/>
      <c r="I245" s="37" t="str">
        <f t="shared" si="9"/>
        <v/>
      </c>
      <c r="J245" s="78"/>
      <c r="K245" s="14" t="b">
        <f t="shared" si="11"/>
        <v>0</v>
      </c>
      <c r="L245" s="39" t="str">
        <f t="shared" si="10"/>
        <v/>
      </c>
      <c r="M245" s="22" t="str">
        <f>IF(ISBLANK(H245),"",IF(I245-Parâmetros!$B$3+1&lt;=30,I245-Parâmetros!$B$3+1,IF(I245-Parâmetros!$B$3+1&gt;30,I245-Parâmetros!$B$3+1)))</f>
        <v/>
      </c>
    </row>
    <row r="246" spans="2:13" x14ac:dyDescent="0.25">
      <c r="B246" s="68">
        <v>241</v>
      </c>
      <c r="C246" s="15"/>
      <c r="D246" s="16"/>
      <c r="E246" s="62"/>
      <c r="F246" s="18"/>
      <c r="G246" s="13" t="str">
        <f>IF(ISBLANK(F246),"",INT((Parâmetros!$B$3-F246)/365.25))</f>
        <v/>
      </c>
      <c r="H246" s="11"/>
      <c r="I246" s="36" t="str">
        <f t="shared" si="9"/>
        <v/>
      </c>
      <c r="J246" s="77"/>
      <c r="K246" s="14" t="b">
        <f t="shared" si="11"/>
        <v>0</v>
      </c>
      <c r="L246" s="38" t="str">
        <f t="shared" si="10"/>
        <v/>
      </c>
      <c r="M246" s="13" t="str">
        <f>IF(ISBLANK(H246),"",IF(I246-Parâmetros!$B$3+1&lt;=30,I246-Parâmetros!$B$3+1,IF(I246-Parâmetros!$B$3+1&gt;30,I246-Parâmetros!$B$3+1)))</f>
        <v/>
      </c>
    </row>
    <row r="247" spans="2:13" x14ac:dyDescent="0.25">
      <c r="B247" s="67">
        <v>242</v>
      </c>
      <c r="C247" s="19"/>
      <c r="D247" s="33"/>
      <c r="E247" s="61"/>
      <c r="F247" s="34"/>
      <c r="G247" s="22" t="str">
        <f>IF(ISBLANK(F247),"",INT((Parâmetros!$B$3-F247)/365.25))</f>
        <v/>
      </c>
      <c r="H247" s="64"/>
      <c r="I247" s="37" t="str">
        <f t="shared" si="9"/>
        <v/>
      </c>
      <c r="J247" s="78"/>
      <c r="K247" s="14" t="b">
        <f t="shared" si="11"/>
        <v>0</v>
      </c>
      <c r="L247" s="39" t="str">
        <f t="shared" si="10"/>
        <v/>
      </c>
      <c r="M247" s="22" t="str">
        <f>IF(ISBLANK(H247),"",IF(I247-Parâmetros!$B$3+1&lt;=30,I247-Parâmetros!$B$3+1,IF(I247-Parâmetros!$B$3+1&gt;30,I247-Parâmetros!$B$3+1)))</f>
        <v/>
      </c>
    </row>
    <row r="248" spans="2:13" x14ac:dyDescent="0.25">
      <c r="B248" s="68">
        <v>243</v>
      </c>
      <c r="C248" s="15"/>
      <c r="D248" s="16"/>
      <c r="E248" s="62"/>
      <c r="F248" s="18"/>
      <c r="G248" s="13" t="str">
        <f>IF(ISBLANK(F248),"",INT((Parâmetros!$B$3-F248)/365.25))</f>
        <v/>
      </c>
      <c r="H248" s="11"/>
      <c r="I248" s="36" t="str">
        <f t="shared" si="9"/>
        <v/>
      </c>
      <c r="J248" s="77"/>
      <c r="K248" s="14" t="b">
        <f t="shared" si="11"/>
        <v>0</v>
      </c>
      <c r="L248" s="38" t="str">
        <f t="shared" si="10"/>
        <v/>
      </c>
      <c r="M248" s="13" t="str">
        <f>IF(ISBLANK(H248),"",IF(I248-Parâmetros!$B$3+1&lt;=30,I248-Parâmetros!$B$3+1,IF(I248-Parâmetros!$B$3+1&gt;30,I248-Parâmetros!$B$3+1)))</f>
        <v/>
      </c>
    </row>
    <row r="249" spans="2:13" x14ac:dyDescent="0.25">
      <c r="B249" s="67">
        <v>244</v>
      </c>
      <c r="C249" s="19"/>
      <c r="D249" s="33"/>
      <c r="E249" s="61"/>
      <c r="F249" s="34"/>
      <c r="G249" s="22" t="str">
        <f>IF(ISBLANK(F249),"",INT((Parâmetros!$B$3-F249)/365.25))</f>
        <v/>
      </c>
      <c r="H249" s="64"/>
      <c r="I249" s="37" t="str">
        <f t="shared" si="9"/>
        <v/>
      </c>
      <c r="J249" s="78"/>
      <c r="K249" s="14" t="b">
        <f t="shared" si="11"/>
        <v>0</v>
      </c>
      <c r="L249" s="39" t="str">
        <f t="shared" si="10"/>
        <v/>
      </c>
      <c r="M249" s="22" t="str">
        <f>IF(ISBLANK(H249),"",IF(I249-Parâmetros!$B$3+1&lt;=30,I249-Parâmetros!$B$3+1,IF(I249-Parâmetros!$B$3+1&gt;30,I249-Parâmetros!$B$3+1)))</f>
        <v/>
      </c>
    </row>
    <row r="250" spans="2:13" x14ac:dyDescent="0.25">
      <c r="B250" s="68">
        <v>245</v>
      </c>
      <c r="C250" s="15"/>
      <c r="D250" s="16"/>
      <c r="E250" s="62"/>
      <c r="F250" s="18"/>
      <c r="G250" s="13" t="str">
        <f>IF(ISBLANK(F250),"",INT((Parâmetros!$B$3-F250)/365.25))</f>
        <v/>
      </c>
      <c r="H250" s="11"/>
      <c r="I250" s="36" t="str">
        <f t="shared" si="9"/>
        <v/>
      </c>
      <c r="J250" s="77"/>
      <c r="K250" s="14" t="b">
        <f t="shared" si="11"/>
        <v>0</v>
      </c>
      <c r="L250" s="38" t="str">
        <f t="shared" si="10"/>
        <v/>
      </c>
      <c r="M250" s="13" t="str">
        <f>IF(ISBLANK(H250),"",IF(I250-Parâmetros!$B$3+1&lt;=30,I250-Parâmetros!$B$3+1,IF(I250-Parâmetros!$B$3+1&gt;30,I250-Parâmetros!$B$3+1)))</f>
        <v/>
      </c>
    </row>
    <row r="251" spans="2:13" x14ac:dyDescent="0.25">
      <c r="B251" s="67">
        <v>246</v>
      </c>
      <c r="C251" s="19"/>
      <c r="D251" s="33"/>
      <c r="E251" s="61"/>
      <c r="F251" s="34"/>
      <c r="G251" s="22" t="str">
        <f>IF(ISBLANK(F251),"",INT((Parâmetros!$B$3-F251)/365.25))</f>
        <v/>
      </c>
      <c r="H251" s="64"/>
      <c r="I251" s="37" t="str">
        <f t="shared" si="9"/>
        <v/>
      </c>
      <c r="J251" s="78"/>
      <c r="K251" s="14" t="b">
        <f t="shared" si="11"/>
        <v>0</v>
      </c>
      <c r="L251" s="39" t="str">
        <f t="shared" si="10"/>
        <v/>
      </c>
      <c r="M251" s="22" t="str">
        <f>IF(ISBLANK(H251),"",IF(I251-Parâmetros!$B$3+1&lt;=30,I251-Parâmetros!$B$3+1,IF(I251-Parâmetros!$B$3+1&gt;30,I251-Parâmetros!$B$3+1)))</f>
        <v/>
      </c>
    </row>
    <row r="252" spans="2:13" x14ac:dyDescent="0.25">
      <c r="B252" s="68">
        <v>247</v>
      </c>
      <c r="C252" s="15"/>
      <c r="D252" s="16"/>
      <c r="E252" s="62"/>
      <c r="F252" s="18"/>
      <c r="G252" s="13" t="str">
        <f>IF(ISBLANK(F252),"",INT((Parâmetros!$B$3-F252)/365.25))</f>
        <v/>
      </c>
      <c r="H252" s="11"/>
      <c r="I252" s="36" t="str">
        <f t="shared" si="9"/>
        <v/>
      </c>
      <c r="J252" s="77"/>
      <c r="K252" s="14" t="b">
        <f t="shared" si="11"/>
        <v>0</v>
      </c>
      <c r="L252" s="38" t="str">
        <f t="shared" si="10"/>
        <v/>
      </c>
      <c r="M252" s="13" t="str">
        <f>IF(ISBLANK(H252),"",IF(I252-Parâmetros!$B$3+1&lt;=30,I252-Parâmetros!$B$3+1,IF(I252-Parâmetros!$B$3+1&gt;30,I252-Parâmetros!$B$3+1)))</f>
        <v/>
      </c>
    </row>
    <row r="253" spans="2:13" x14ac:dyDescent="0.25">
      <c r="B253" s="67">
        <v>248</v>
      </c>
      <c r="C253" s="19"/>
      <c r="D253" s="33"/>
      <c r="E253" s="61"/>
      <c r="F253" s="34"/>
      <c r="G253" s="22" t="str">
        <f>IF(ISBLANK(F253),"",INT((Parâmetros!$B$3-F253)/365.25))</f>
        <v/>
      </c>
      <c r="H253" s="64"/>
      <c r="I253" s="37" t="str">
        <f t="shared" si="9"/>
        <v/>
      </c>
      <c r="J253" s="78"/>
      <c r="K253" s="14" t="b">
        <f t="shared" si="11"/>
        <v>0</v>
      </c>
      <c r="L253" s="39" t="str">
        <f t="shared" si="10"/>
        <v/>
      </c>
      <c r="M253" s="22" t="str">
        <f>IF(ISBLANK(H253),"",IF(I253-Parâmetros!$B$3+1&lt;=30,I253-Parâmetros!$B$3+1,IF(I253-Parâmetros!$B$3+1&gt;30,I253-Parâmetros!$B$3+1)))</f>
        <v/>
      </c>
    </row>
    <row r="254" spans="2:13" x14ac:dyDescent="0.25">
      <c r="B254" s="68">
        <v>249</v>
      </c>
      <c r="C254" s="15"/>
      <c r="D254" s="16"/>
      <c r="E254" s="62"/>
      <c r="F254" s="18"/>
      <c r="G254" s="13" t="str">
        <f>IF(ISBLANK(F254),"",INT((Parâmetros!$B$3-F254)/365.25))</f>
        <v/>
      </c>
      <c r="H254" s="11"/>
      <c r="I254" s="36" t="str">
        <f t="shared" si="9"/>
        <v/>
      </c>
      <c r="J254" s="77"/>
      <c r="K254" s="14" t="b">
        <f t="shared" si="11"/>
        <v>0</v>
      </c>
      <c r="L254" s="38" t="str">
        <f t="shared" si="10"/>
        <v/>
      </c>
      <c r="M254" s="13" t="str">
        <f>IF(ISBLANK(H254),"",IF(I254-Parâmetros!$B$3+1&lt;=30,I254-Parâmetros!$B$3+1,IF(I254-Parâmetros!$B$3+1&gt;30,I254-Parâmetros!$B$3+1)))</f>
        <v/>
      </c>
    </row>
    <row r="255" spans="2:13" x14ac:dyDescent="0.25">
      <c r="B255" s="67">
        <v>250</v>
      </c>
      <c r="C255" s="19"/>
      <c r="D255" s="35"/>
      <c r="E255" s="61"/>
      <c r="F255" s="34"/>
      <c r="G255" s="22" t="str">
        <f>IF(ISBLANK(F255),"",INT((Parâmetros!$B$3-F255)/365.25))</f>
        <v/>
      </c>
      <c r="H255" s="64"/>
      <c r="I255" s="37" t="str">
        <f t="shared" si="9"/>
        <v/>
      </c>
      <c r="J255" s="78"/>
      <c r="K255" s="14" t="b">
        <f t="shared" si="11"/>
        <v>0</v>
      </c>
      <c r="L255" s="39" t="str">
        <f t="shared" si="10"/>
        <v/>
      </c>
      <c r="M255" s="22" t="str">
        <f>IF(ISBLANK(H255),"",IF(I255-Parâmetros!$B$3+1&lt;=30,I255-Parâmetros!$B$3+1,IF(I255-Parâmetros!$B$3+1&gt;30,I255-Parâmetros!$B$3+1)))</f>
        <v/>
      </c>
    </row>
    <row r="256" spans="2:13" x14ac:dyDescent="0.25">
      <c r="B256" s="68">
        <v>251</v>
      </c>
      <c r="C256" s="42"/>
      <c r="D256" s="43"/>
      <c r="E256" s="63"/>
      <c r="F256" s="44"/>
      <c r="G256" s="13" t="str">
        <f>IF(ISBLANK(F256),"",INT((Parâmetros!$B$3-F256)/365.25))</f>
        <v/>
      </c>
      <c r="H256" s="65"/>
      <c r="I256" s="36" t="str">
        <f t="shared" si="9"/>
        <v/>
      </c>
      <c r="J256" s="77"/>
      <c r="K256" s="14" t="b">
        <f t="shared" si="11"/>
        <v>0</v>
      </c>
      <c r="L256" s="38" t="str">
        <f t="shared" si="10"/>
        <v/>
      </c>
      <c r="M256" s="13" t="str">
        <f>IF(ISBLANK(H256),"",IF(I256-Parâmetros!$B$3+1&lt;=30,I256-Parâmetros!$B$3+1,IF(I256-Parâmetros!$B$3+1&gt;30,I256-Parâmetros!$B$3+1)))</f>
        <v/>
      </c>
    </row>
    <row r="257" spans="2:13" x14ac:dyDescent="0.25">
      <c r="B257" s="67">
        <v>252</v>
      </c>
      <c r="C257" s="19"/>
      <c r="D257" s="35"/>
      <c r="E257" s="61"/>
      <c r="F257" s="34"/>
      <c r="G257" s="22" t="str">
        <f>IF(ISBLANK(F257),"",INT((Parâmetros!$B$3-F257)/365.25))</f>
        <v/>
      </c>
      <c r="H257" s="64"/>
      <c r="I257" s="37" t="str">
        <f t="shared" si="9"/>
        <v/>
      </c>
      <c r="J257" s="78"/>
      <c r="K257" s="14" t="b">
        <f t="shared" si="11"/>
        <v>0</v>
      </c>
      <c r="L257" s="39" t="str">
        <f t="shared" si="10"/>
        <v/>
      </c>
      <c r="M257" s="22" t="str">
        <f>IF(ISBLANK(H257),"",IF(I257-Parâmetros!$B$3+1&lt;=30,I257-Parâmetros!$B$3+1,IF(I257-Parâmetros!$B$3+1&gt;30,I257-Parâmetros!$B$3+1)))</f>
        <v/>
      </c>
    </row>
    <row r="258" spans="2:13" x14ac:dyDescent="0.25">
      <c r="B258" s="68">
        <v>253</v>
      </c>
      <c r="C258" s="42"/>
      <c r="D258" s="43"/>
      <c r="E258" s="63"/>
      <c r="F258" s="44"/>
      <c r="G258" s="13" t="str">
        <f>IF(ISBLANK(F258),"",INT((Parâmetros!$B$3-F258)/365.25))</f>
        <v/>
      </c>
      <c r="H258" s="65"/>
      <c r="I258" s="36" t="str">
        <f t="shared" si="9"/>
        <v/>
      </c>
      <c r="J258" s="77"/>
      <c r="K258" s="14" t="b">
        <f t="shared" si="11"/>
        <v>0</v>
      </c>
      <c r="L258" s="38" t="str">
        <f t="shared" si="10"/>
        <v/>
      </c>
      <c r="M258" s="13" t="str">
        <f>IF(ISBLANK(H258),"",IF(I258-Parâmetros!$B$3+1&lt;=30,I258-Parâmetros!$B$3+1,IF(I258-Parâmetros!$B$3+1&gt;30,I258-Parâmetros!$B$3+1)))</f>
        <v/>
      </c>
    </row>
    <row r="259" spans="2:13" x14ac:dyDescent="0.25">
      <c r="B259" s="67">
        <v>254</v>
      </c>
      <c r="C259" s="19"/>
      <c r="D259" s="35"/>
      <c r="E259" s="61"/>
      <c r="F259" s="34"/>
      <c r="G259" s="22" t="str">
        <f>IF(ISBLANK(F259),"",INT((Parâmetros!$B$3-F259)/365.25))</f>
        <v/>
      </c>
      <c r="H259" s="64"/>
      <c r="I259" s="37" t="str">
        <f t="shared" si="9"/>
        <v/>
      </c>
      <c r="J259" s="78"/>
      <c r="K259" s="14" t="b">
        <f t="shared" si="11"/>
        <v>0</v>
      </c>
      <c r="L259" s="39" t="str">
        <f t="shared" si="10"/>
        <v/>
      </c>
      <c r="M259" s="22" t="str">
        <f>IF(ISBLANK(H259),"",IF(I259-Parâmetros!$B$3+1&lt;=30,I259-Parâmetros!$B$3+1,IF(I259-Parâmetros!$B$3+1&gt;30,I259-Parâmetros!$B$3+1)))</f>
        <v/>
      </c>
    </row>
    <row r="260" spans="2:13" x14ac:dyDescent="0.25">
      <c r="B260" s="68">
        <v>255</v>
      </c>
      <c r="C260" s="42"/>
      <c r="D260" s="43"/>
      <c r="E260" s="63"/>
      <c r="F260" s="44"/>
      <c r="G260" s="13" t="str">
        <f>IF(ISBLANK(F260),"",INT((Parâmetros!$B$3-F260)/365.25))</f>
        <v/>
      </c>
      <c r="H260" s="65"/>
      <c r="I260" s="36" t="str">
        <f t="shared" si="9"/>
        <v/>
      </c>
      <c r="J260" s="77"/>
      <c r="K260" s="14" t="b">
        <f t="shared" si="11"/>
        <v>0</v>
      </c>
      <c r="L260" s="38" t="str">
        <f t="shared" si="10"/>
        <v/>
      </c>
      <c r="M260" s="13" t="str">
        <f>IF(ISBLANK(H260),"",IF(I260-Parâmetros!$B$3+1&lt;=30,I260-Parâmetros!$B$3+1,IF(I260-Parâmetros!$B$3+1&gt;30,I260-Parâmetros!$B$3+1)))</f>
        <v/>
      </c>
    </row>
    <row r="261" spans="2:13" x14ac:dyDescent="0.25">
      <c r="B261" s="67">
        <v>256</v>
      </c>
      <c r="C261" s="19"/>
      <c r="D261" s="35"/>
      <c r="E261" s="61"/>
      <c r="F261" s="34"/>
      <c r="G261" s="22" t="str">
        <f>IF(ISBLANK(F261),"",INT((Parâmetros!$B$3-F261)/365.25))</f>
        <v/>
      </c>
      <c r="H261" s="64"/>
      <c r="I261" s="37" t="str">
        <f t="shared" si="9"/>
        <v/>
      </c>
      <c r="J261" s="78"/>
      <c r="K261" s="14" t="b">
        <f t="shared" si="11"/>
        <v>0</v>
      </c>
      <c r="L261" s="39" t="str">
        <f t="shared" si="10"/>
        <v/>
      </c>
      <c r="M261" s="22" t="str">
        <f>IF(ISBLANK(H261),"",IF(I261-Parâmetros!$B$3+1&lt;=30,I261-Parâmetros!$B$3+1,IF(I261-Parâmetros!$B$3+1&gt;30,I261-Parâmetros!$B$3+1)))</f>
        <v/>
      </c>
    </row>
    <row r="262" spans="2:13" x14ac:dyDescent="0.25">
      <c r="B262" s="68">
        <v>257</v>
      </c>
      <c r="C262" s="42"/>
      <c r="D262" s="43"/>
      <c r="E262" s="63"/>
      <c r="F262" s="44"/>
      <c r="G262" s="13" t="str">
        <f>IF(ISBLANK(F262),"",INT((Parâmetros!$B$3-F262)/365.25))</f>
        <v/>
      </c>
      <c r="H262" s="65"/>
      <c r="I262" s="36" t="str">
        <f t="shared" ref="I262:I325" si="12">IF(ISBLANK(H262),"",IF(K262=1,H262+365,IF(K262=2,H262+730,IF(K262=3,H262+182))))</f>
        <v/>
      </c>
      <c r="J262" s="77"/>
      <c r="K262" s="14" t="b">
        <f t="shared" si="11"/>
        <v>0</v>
      </c>
      <c r="L262" s="38" t="str">
        <f t="shared" ref="L262:L325" si="13">IF(ISBLANK(C262),"",IF(ISBLANK(H262),"Informar Data último exame",IF(AND(M262&gt;0,M262&lt;=30),"Atenção, menos de 30 dias",IF(M262&gt;30,"No prazo",IF(M262&lt;0,"Exame vencido")))))</f>
        <v/>
      </c>
      <c r="M262" s="13" t="str">
        <f>IF(ISBLANK(H262),"",IF(I262-Parâmetros!$B$3+1&lt;=30,I262-Parâmetros!$B$3+1,IF(I262-Parâmetros!$B$3+1&gt;30,I262-Parâmetros!$B$3+1)))</f>
        <v/>
      </c>
    </row>
    <row r="263" spans="2:13" x14ac:dyDescent="0.25">
      <c r="B263" s="67">
        <v>258</v>
      </c>
      <c r="C263" s="19"/>
      <c r="D263" s="35"/>
      <c r="E263" s="61"/>
      <c r="F263" s="34"/>
      <c r="G263" s="22" t="str">
        <f>IF(ISBLANK(F263),"",INT((Parâmetros!$B$3-F263)/365.25))</f>
        <v/>
      </c>
      <c r="H263" s="64"/>
      <c r="I263" s="37" t="str">
        <f t="shared" si="12"/>
        <v/>
      </c>
      <c r="J263" s="78"/>
      <c r="K263" s="14" t="b">
        <f t="shared" si="11"/>
        <v>0</v>
      </c>
      <c r="L263" s="39" t="str">
        <f t="shared" si="13"/>
        <v/>
      </c>
      <c r="M263" s="22" t="str">
        <f>IF(ISBLANK(H263),"",IF(I263-Parâmetros!$B$3+1&lt;=30,I263-Parâmetros!$B$3+1,IF(I263-Parâmetros!$B$3+1&gt;30,I263-Parâmetros!$B$3+1)))</f>
        <v/>
      </c>
    </row>
    <row r="264" spans="2:13" x14ac:dyDescent="0.25">
      <c r="B264" s="68">
        <v>259</v>
      </c>
      <c r="C264" s="42"/>
      <c r="D264" s="43"/>
      <c r="E264" s="63"/>
      <c r="F264" s="44"/>
      <c r="G264" s="13" t="str">
        <f>IF(ISBLANK(F264),"",INT((Parâmetros!$B$3-F264)/365.25))</f>
        <v/>
      </c>
      <c r="H264" s="65"/>
      <c r="I264" s="36" t="str">
        <f t="shared" si="12"/>
        <v/>
      </c>
      <c r="J264" s="77"/>
      <c r="K264" s="14" t="b">
        <f t="shared" ref="K264:K327" si="14">IF(J264="1 ANO",1,IF(J264="2 ANOS",2,IF(J264="6 MESES",3)))</f>
        <v>0</v>
      </c>
      <c r="L264" s="38" t="str">
        <f t="shared" si="13"/>
        <v/>
      </c>
      <c r="M264" s="13" t="str">
        <f>IF(ISBLANK(H264),"",IF(I264-Parâmetros!$B$3+1&lt;=30,I264-Parâmetros!$B$3+1,IF(I264-Parâmetros!$B$3+1&gt;30,I264-Parâmetros!$B$3+1)))</f>
        <v/>
      </c>
    </row>
    <row r="265" spans="2:13" x14ac:dyDescent="0.25">
      <c r="B265" s="67">
        <v>260</v>
      </c>
      <c r="C265" s="19"/>
      <c r="D265" s="35"/>
      <c r="E265" s="61"/>
      <c r="F265" s="34"/>
      <c r="G265" s="22" t="str">
        <f>IF(ISBLANK(F265),"",INT((Parâmetros!$B$3-F265)/365.25))</f>
        <v/>
      </c>
      <c r="H265" s="64"/>
      <c r="I265" s="37" t="str">
        <f t="shared" si="12"/>
        <v/>
      </c>
      <c r="J265" s="78"/>
      <c r="K265" s="14" t="b">
        <f t="shared" si="14"/>
        <v>0</v>
      </c>
      <c r="L265" s="39" t="str">
        <f t="shared" si="13"/>
        <v/>
      </c>
      <c r="M265" s="22" t="str">
        <f>IF(ISBLANK(H265),"",IF(I265-Parâmetros!$B$3+1&lt;=30,I265-Parâmetros!$B$3+1,IF(I265-Parâmetros!$B$3+1&gt;30,I265-Parâmetros!$B$3+1)))</f>
        <v/>
      </c>
    </row>
    <row r="266" spans="2:13" x14ac:dyDescent="0.25">
      <c r="B266" s="68">
        <v>261</v>
      </c>
      <c r="C266" s="42"/>
      <c r="D266" s="43"/>
      <c r="E266" s="63"/>
      <c r="F266" s="44"/>
      <c r="G266" s="13" t="str">
        <f>IF(ISBLANK(F266),"",INT((Parâmetros!$B$3-F266)/365.25))</f>
        <v/>
      </c>
      <c r="H266" s="65"/>
      <c r="I266" s="36" t="str">
        <f t="shared" si="12"/>
        <v/>
      </c>
      <c r="J266" s="77"/>
      <c r="K266" s="14" t="b">
        <f t="shared" si="14"/>
        <v>0</v>
      </c>
      <c r="L266" s="38" t="str">
        <f t="shared" si="13"/>
        <v/>
      </c>
      <c r="M266" s="13" t="str">
        <f>IF(ISBLANK(H266),"",IF(I266-Parâmetros!$B$3+1&lt;=30,I266-Parâmetros!$B$3+1,IF(I266-Parâmetros!$B$3+1&gt;30,I266-Parâmetros!$B$3+1)))</f>
        <v/>
      </c>
    </row>
    <row r="267" spans="2:13" x14ac:dyDescent="0.25">
      <c r="B267" s="67">
        <v>262</v>
      </c>
      <c r="C267" s="19"/>
      <c r="D267" s="35"/>
      <c r="E267" s="61"/>
      <c r="F267" s="34"/>
      <c r="G267" s="22" t="str">
        <f>IF(ISBLANK(F267),"",INT((Parâmetros!$B$3-F267)/365.25))</f>
        <v/>
      </c>
      <c r="H267" s="64"/>
      <c r="I267" s="37" t="str">
        <f t="shared" si="12"/>
        <v/>
      </c>
      <c r="J267" s="78"/>
      <c r="K267" s="14" t="b">
        <f t="shared" si="14"/>
        <v>0</v>
      </c>
      <c r="L267" s="39" t="str">
        <f t="shared" si="13"/>
        <v/>
      </c>
      <c r="M267" s="22" t="str">
        <f>IF(ISBLANK(H267),"",IF(I267-Parâmetros!$B$3+1&lt;=30,I267-Parâmetros!$B$3+1,IF(I267-Parâmetros!$B$3+1&gt;30,I267-Parâmetros!$B$3+1)))</f>
        <v/>
      </c>
    </row>
    <row r="268" spans="2:13" x14ac:dyDescent="0.25">
      <c r="B268" s="68">
        <v>263</v>
      </c>
      <c r="C268" s="42"/>
      <c r="D268" s="43"/>
      <c r="E268" s="63"/>
      <c r="F268" s="44"/>
      <c r="G268" s="13" t="str">
        <f>IF(ISBLANK(F268),"",INT((Parâmetros!$B$3-F268)/365.25))</f>
        <v/>
      </c>
      <c r="H268" s="65"/>
      <c r="I268" s="36" t="str">
        <f t="shared" si="12"/>
        <v/>
      </c>
      <c r="J268" s="77"/>
      <c r="K268" s="14" t="b">
        <f t="shared" si="14"/>
        <v>0</v>
      </c>
      <c r="L268" s="38" t="str">
        <f t="shared" si="13"/>
        <v/>
      </c>
      <c r="M268" s="13" t="str">
        <f>IF(ISBLANK(H268),"",IF(I268-Parâmetros!$B$3+1&lt;=30,I268-Parâmetros!$B$3+1,IF(I268-Parâmetros!$B$3+1&gt;30,I268-Parâmetros!$B$3+1)))</f>
        <v/>
      </c>
    </row>
    <row r="269" spans="2:13" x14ac:dyDescent="0.25">
      <c r="B269" s="67">
        <v>264</v>
      </c>
      <c r="C269" s="19"/>
      <c r="D269" s="35"/>
      <c r="E269" s="61"/>
      <c r="F269" s="34"/>
      <c r="G269" s="22" t="str">
        <f>IF(ISBLANK(F269),"",INT((Parâmetros!$B$3-F269)/365.25))</f>
        <v/>
      </c>
      <c r="H269" s="64"/>
      <c r="I269" s="37" t="str">
        <f t="shared" si="12"/>
        <v/>
      </c>
      <c r="J269" s="78"/>
      <c r="K269" s="14" t="b">
        <f t="shared" si="14"/>
        <v>0</v>
      </c>
      <c r="L269" s="39" t="str">
        <f t="shared" si="13"/>
        <v/>
      </c>
      <c r="M269" s="22" t="str">
        <f>IF(ISBLANK(H269),"",IF(I269-Parâmetros!$B$3+1&lt;=30,I269-Parâmetros!$B$3+1,IF(I269-Parâmetros!$B$3+1&gt;30,I269-Parâmetros!$B$3+1)))</f>
        <v/>
      </c>
    </row>
    <row r="270" spans="2:13" x14ac:dyDescent="0.25">
      <c r="B270" s="68">
        <v>265</v>
      </c>
      <c r="C270" s="42"/>
      <c r="D270" s="43"/>
      <c r="E270" s="63"/>
      <c r="F270" s="44"/>
      <c r="G270" s="13" t="str">
        <f>IF(ISBLANK(F270),"",INT((Parâmetros!$B$3-F270)/365.25))</f>
        <v/>
      </c>
      <c r="H270" s="65"/>
      <c r="I270" s="36" t="str">
        <f t="shared" si="12"/>
        <v/>
      </c>
      <c r="J270" s="77"/>
      <c r="K270" s="14" t="b">
        <f t="shared" si="14"/>
        <v>0</v>
      </c>
      <c r="L270" s="38" t="str">
        <f t="shared" si="13"/>
        <v/>
      </c>
      <c r="M270" s="13" t="str">
        <f>IF(ISBLANK(H270),"",IF(I270-Parâmetros!$B$3+1&lt;=30,I270-Parâmetros!$B$3+1,IF(I270-Parâmetros!$B$3+1&gt;30,I270-Parâmetros!$B$3+1)))</f>
        <v/>
      </c>
    </row>
    <row r="271" spans="2:13" x14ac:dyDescent="0.25">
      <c r="B271" s="67">
        <v>266</v>
      </c>
      <c r="C271" s="19"/>
      <c r="D271" s="35"/>
      <c r="E271" s="61"/>
      <c r="F271" s="34"/>
      <c r="G271" s="22" t="str">
        <f>IF(ISBLANK(F271),"",INT((Parâmetros!$B$3-F271)/365.25))</f>
        <v/>
      </c>
      <c r="H271" s="64"/>
      <c r="I271" s="37" t="str">
        <f t="shared" si="12"/>
        <v/>
      </c>
      <c r="J271" s="78"/>
      <c r="K271" s="14" t="b">
        <f t="shared" si="14"/>
        <v>0</v>
      </c>
      <c r="L271" s="39" t="str">
        <f t="shared" si="13"/>
        <v/>
      </c>
      <c r="M271" s="22" t="str">
        <f>IF(ISBLANK(H271),"",IF(I271-Parâmetros!$B$3+1&lt;=30,I271-Parâmetros!$B$3+1,IF(I271-Parâmetros!$B$3+1&gt;30,I271-Parâmetros!$B$3+1)))</f>
        <v/>
      </c>
    </row>
    <row r="272" spans="2:13" x14ac:dyDescent="0.25">
      <c r="B272" s="68">
        <v>267</v>
      </c>
      <c r="C272" s="42"/>
      <c r="D272" s="43"/>
      <c r="E272" s="63"/>
      <c r="F272" s="44"/>
      <c r="G272" s="13" t="str">
        <f>IF(ISBLANK(F272),"",INT((Parâmetros!$B$3-F272)/365.25))</f>
        <v/>
      </c>
      <c r="H272" s="65"/>
      <c r="I272" s="36" t="str">
        <f t="shared" si="12"/>
        <v/>
      </c>
      <c r="J272" s="77"/>
      <c r="K272" s="14" t="b">
        <f t="shared" si="14"/>
        <v>0</v>
      </c>
      <c r="L272" s="38" t="str">
        <f t="shared" si="13"/>
        <v/>
      </c>
      <c r="M272" s="13" t="str">
        <f>IF(ISBLANK(H272),"",IF(I272-Parâmetros!$B$3+1&lt;=30,I272-Parâmetros!$B$3+1,IF(I272-Parâmetros!$B$3+1&gt;30,I272-Parâmetros!$B$3+1)))</f>
        <v/>
      </c>
    </row>
    <row r="273" spans="2:13" x14ac:dyDescent="0.25">
      <c r="B273" s="67">
        <v>268</v>
      </c>
      <c r="C273" s="19"/>
      <c r="D273" s="35"/>
      <c r="E273" s="61"/>
      <c r="F273" s="34"/>
      <c r="G273" s="22" t="str">
        <f>IF(ISBLANK(F273),"",INT((Parâmetros!$B$3-F273)/365.25))</f>
        <v/>
      </c>
      <c r="H273" s="64"/>
      <c r="I273" s="37" t="str">
        <f t="shared" si="12"/>
        <v/>
      </c>
      <c r="J273" s="78"/>
      <c r="K273" s="14" t="b">
        <f t="shared" si="14"/>
        <v>0</v>
      </c>
      <c r="L273" s="39" t="str">
        <f t="shared" si="13"/>
        <v/>
      </c>
      <c r="M273" s="22" t="str">
        <f>IF(ISBLANK(H273),"",IF(I273-Parâmetros!$B$3+1&lt;=30,I273-Parâmetros!$B$3+1,IF(I273-Parâmetros!$B$3+1&gt;30,I273-Parâmetros!$B$3+1)))</f>
        <v/>
      </c>
    </row>
    <row r="274" spans="2:13" x14ac:dyDescent="0.25">
      <c r="B274" s="68">
        <v>269</v>
      </c>
      <c r="C274" s="42"/>
      <c r="D274" s="43"/>
      <c r="E274" s="63"/>
      <c r="F274" s="44"/>
      <c r="G274" s="13" t="str">
        <f>IF(ISBLANK(F274),"",INT((Parâmetros!$B$3-F274)/365.25))</f>
        <v/>
      </c>
      <c r="H274" s="65"/>
      <c r="I274" s="36" t="str">
        <f t="shared" si="12"/>
        <v/>
      </c>
      <c r="J274" s="77"/>
      <c r="K274" s="14" t="b">
        <f t="shared" si="14"/>
        <v>0</v>
      </c>
      <c r="L274" s="38" t="str">
        <f t="shared" si="13"/>
        <v/>
      </c>
      <c r="M274" s="13" t="str">
        <f>IF(ISBLANK(H274),"",IF(I274-Parâmetros!$B$3+1&lt;=30,I274-Parâmetros!$B$3+1,IF(I274-Parâmetros!$B$3+1&gt;30,I274-Parâmetros!$B$3+1)))</f>
        <v/>
      </c>
    </row>
    <row r="275" spans="2:13" x14ac:dyDescent="0.25">
      <c r="B275" s="67">
        <v>270</v>
      </c>
      <c r="C275" s="19"/>
      <c r="D275" s="35"/>
      <c r="E275" s="61"/>
      <c r="F275" s="34"/>
      <c r="G275" s="22" t="str">
        <f>IF(ISBLANK(F275),"",INT((Parâmetros!$B$3-F275)/365.25))</f>
        <v/>
      </c>
      <c r="H275" s="64"/>
      <c r="I275" s="37" t="str">
        <f t="shared" si="12"/>
        <v/>
      </c>
      <c r="J275" s="78"/>
      <c r="K275" s="14" t="b">
        <f t="shared" si="14"/>
        <v>0</v>
      </c>
      <c r="L275" s="39" t="str">
        <f t="shared" si="13"/>
        <v/>
      </c>
      <c r="M275" s="22" t="str">
        <f>IF(ISBLANK(H275),"",IF(I275-Parâmetros!$B$3+1&lt;=30,I275-Parâmetros!$B$3+1,IF(I275-Parâmetros!$B$3+1&gt;30,I275-Parâmetros!$B$3+1)))</f>
        <v/>
      </c>
    </row>
    <row r="276" spans="2:13" x14ac:dyDescent="0.25">
      <c r="B276" s="68">
        <v>271</v>
      </c>
      <c r="C276" s="42"/>
      <c r="D276" s="43"/>
      <c r="E276" s="63"/>
      <c r="F276" s="44"/>
      <c r="G276" s="13" t="str">
        <f>IF(ISBLANK(F276),"",INT((Parâmetros!$B$3-F276)/365.25))</f>
        <v/>
      </c>
      <c r="H276" s="65"/>
      <c r="I276" s="36" t="str">
        <f t="shared" si="12"/>
        <v/>
      </c>
      <c r="J276" s="77"/>
      <c r="K276" s="14" t="b">
        <f t="shared" si="14"/>
        <v>0</v>
      </c>
      <c r="L276" s="38" t="str">
        <f t="shared" si="13"/>
        <v/>
      </c>
      <c r="M276" s="13" t="str">
        <f>IF(ISBLANK(H276),"",IF(I276-Parâmetros!$B$3+1&lt;=30,I276-Parâmetros!$B$3+1,IF(I276-Parâmetros!$B$3+1&gt;30,I276-Parâmetros!$B$3+1)))</f>
        <v/>
      </c>
    </row>
    <row r="277" spans="2:13" x14ac:dyDescent="0.25">
      <c r="B277" s="67">
        <v>272</v>
      </c>
      <c r="C277" s="19"/>
      <c r="D277" s="35"/>
      <c r="E277" s="61"/>
      <c r="F277" s="34"/>
      <c r="G277" s="22" t="str">
        <f>IF(ISBLANK(F277),"",INT((Parâmetros!$B$3-F277)/365.25))</f>
        <v/>
      </c>
      <c r="H277" s="64"/>
      <c r="I277" s="37" t="str">
        <f t="shared" si="12"/>
        <v/>
      </c>
      <c r="J277" s="78"/>
      <c r="K277" s="14" t="b">
        <f t="shared" si="14"/>
        <v>0</v>
      </c>
      <c r="L277" s="39" t="str">
        <f t="shared" si="13"/>
        <v/>
      </c>
      <c r="M277" s="22" t="str">
        <f>IF(ISBLANK(H277),"",IF(I277-Parâmetros!$B$3+1&lt;=30,I277-Parâmetros!$B$3+1,IF(I277-Parâmetros!$B$3+1&gt;30,I277-Parâmetros!$B$3+1)))</f>
        <v/>
      </c>
    </row>
    <row r="278" spans="2:13" x14ac:dyDescent="0.25">
      <c r="B278" s="68">
        <v>273</v>
      </c>
      <c r="C278" s="42"/>
      <c r="D278" s="43"/>
      <c r="E278" s="63"/>
      <c r="F278" s="44"/>
      <c r="G278" s="13" t="str">
        <f>IF(ISBLANK(F278),"",INT((Parâmetros!$B$3-F278)/365.25))</f>
        <v/>
      </c>
      <c r="H278" s="65"/>
      <c r="I278" s="36" t="str">
        <f t="shared" si="12"/>
        <v/>
      </c>
      <c r="J278" s="77"/>
      <c r="K278" s="14" t="b">
        <f t="shared" si="14"/>
        <v>0</v>
      </c>
      <c r="L278" s="38" t="str">
        <f t="shared" si="13"/>
        <v/>
      </c>
      <c r="M278" s="13" t="str">
        <f>IF(ISBLANK(H278),"",IF(I278-Parâmetros!$B$3+1&lt;=30,I278-Parâmetros!$B$3+1,IF(I278-Parâmetros!$B$3+1&gt;30,I278-Parâmetros!$B$3+1)))</f>
        <v/>
      </c>
    </row>
    <row r="279" spans="2:13" x14ac:dyDescent="0.25">
      <c r="B279" s="67">
        <v>274</v>
      </c>
      <c r="C279" s="19"/>
      <c r="D279" s="35"/>
      <c r="E279" s="61"/>
      <c r="F279" s="34"/>
      <c r="G279" s="22" t="str">
        <f>IF(ISBLANK(F279),"",INT((Parâmetros!$B$3-F279)/365.25))</f>
        <v/>
      </c>
      <c r="H279" s="64"/>
      <c r="I279" s="37" t="str">
        <f t="shared" si="12"/>
        <v/>
      </c>
      <c r="J279" s="78"/>
      <c r="K279" s="14" t="b">
        <f t="shared" si="14"/>
        <v>0</v>
      </c>
      <c r="L279" s="39" t="str">
        <f t="shared" si="13"/>
        <v/>
      </c>
      <c r="M279" s="22" t="str">
        <f>IF(ISBLANK(H279),"",IF(I279-Parâmetros!$B$3+1&lt;=30,I279-Parâmetros!$B$3+1,IF(I279-Parâmetros!$B$3+1&gt;30,I279-Parâmetros!$B$3+1)))</f>
        <v/>
      </c>
    </row>
    <row r="280" spans="2:13" x14ac:dyDescent="0.25">
      <c r="B280" s="68">
        <v>275</v>
      </c>
      <c r="C280" s="42"/>
      <c r="D280" s="43"/>
      <c r="E280" s="63"/>
      <c r="F280" s="44"/>
      <c r="G280" s="13" t="str">
        <f>IF(ISBLANK(F280),"",INT((Parâmetros!$B$3-F280)/365.25))</f>
        <v/>
      </c>
      <c r="H280" s="65"/>
      <c r="I280" s="36" t="str">
        <f t="shared" si="12"/>
        <v/>
      </c>
      <c r="J280" s="77"/>
      <c r="K280" s="14" t="b">
        <f t="shared" si="14"/>
        <v>0</v>
      </c>
      <c r="L280" s="38" t="str">
        <f t="shared" si="13"/>
        <v/>
      </c>
      <c r="M280" s="13" t="str">
        <f>IF(ISBLANK(H280),"",IF(I280-Parâmetros!$B$3+1&lt;=30,I280-Parâmetros!$B$3+1,IF(I280-Parâmetros!$B$3+1&gt;30,I280-Parâmetros!$B$3+1)))</f>
        <v/>
      </c>
    </row>
    <row r="281" spans="2:13" x14ac:dyDescent="0.25">
      <c r="B281" s="67">
        <v>276</v>
      </c>
      <c r="C281" s="19"/>
      <c r="D281" s="35"/>
      <c r="E281" s="61"/>
      <c r="F281" s="34"/>
      <c r="G281" s="22" t="str">
        <f>IF(ISBLANK(F281),"",INT((Parâmetros!$B$3-F281)/365.25))</f>
        <v/>
      </c>
      <c r="H281" s="64"/>
      <c r="I281" s="37" t="str">
        <f t="shared" si="12"/>
        <v/>
      </c>
      <c r="J281" s="78"/>
      <c r="K281" s="14" t="b">
        <f t="shared" si="14"/>
        <v>0</v>
      </c>
      <c r="L281" s="39" t="str">
        <f t="shared" si="13"/>
        <v/>
      </c>
      <c r="M281" s="22" t="str">
        <f>IF(ISBLANK(H281),"",IF(I281-Parâmetros!$B$3+1&lt;=30,I281-Parâmetros!$B$3+1,IF(I281-Parâmetros!$B$3+1&gt;30,I281-Parâmetros!$B$3+1)))</f>
        <v/>
      </c>
    </row>
    <row r="282" spans="2:13" x14ac:dyDescent="0.25">
      <c r="B282" s="68">
        <v>277</v>
      </c>
      <c r="C282" s="42"/>
      <c r="D282" s="43"/>
      <c r="E282" s="63"/>
      <c r="F282" s="44"/>
      <c r="G282" s="13" t="str">
        <f>IF(ISBLANK(F282),"",INT((Parâmetros!$B$3-F282)/365.25))</f>
        <v/>
      </c>
      <c r="H282" s="65"/>
      <c r="I282" s="36" t="str">
        <f t="shared" si="12"/>
        <v/>
      </c>
      <c r="J282" s="77"/>
      <c r="K282" s="14" t="b">
        <f t="shared" si="14"/>
        <v>0</v>
      </c>
      <c r="L282" s="38" t="str">
        <f t="shared" si="13"/>
        <v/>
      </c>
      <c r="M282" s="13" t="str">
        <f>IF(ISBLANK(H282),"",IF(I282-Parâmetros!$B$3+1&lt;=30,I282-Parâmetros!$B$3+1,IF(I282-Parâmetros!$B$3+1&gt;30,I282-Parâmetros!$B$3+1)))</f>
        <v/>
      </c>
    </row>
    <row r="283" spans="2:13" x14ac:dyDescent="0.25">
      <c r="B283" s="67">
        <v>278</v>
      </c>
      <c r="C283" s="19"/>
      <c r="D283" s="35"/>
      <c r="E283" s="61"/>
      <c r="F283" s="34"/>
      <c r="G283" s="22" t="str">
        <f>IF(ISBLANK(F283),"",INT((Parâmetros!$B$3-F283)/365.25))</f>
        <v/>
      </c>
      <c r="H283" s="64"/>
      <c r="I283" s="37" t="str">
        <f t="shared" si="12"/>
        <v/>
      </c>
      <c r="J283" s="78"/>
      <c r="K283" s="14" t="b">
        <f t="shared" si="14"/>
        <v>0</v>
      </c>
      <c r="L283" s="39" t="str">
        <f t="shared" si="13"/>
        <v/>
      </c>
      <c r="M283" s="22" t="str">
        <f>IF(ISBLANK(H283),"",IF(I283-Parâmetros!$B$3+1&lt;=30,I283-Parâmetros!$B$3+1,IF(I283-Parâmetros!$B$3+1&gt;30,I283-Parâmetros!$B$3+1)))</f>
        <v/>
      </c>
    </row>
    <row r="284" spans="2:13" x14ac:dyDescent="0.25">
      <c r="B284" s="68">
        <v>279</v>
      </c>
      <c r="C284" s="42"/>
      <c r="D284" s="43"/>
      <c r="E284" s="63"/>
      <c r="F284" s="44"/>
      <c r="G284" s="13" t="str">
        <f>IF(ISBLANK(F284),"",INT((Parâmetros!$B$3-F284)/365.25))</f>
        <v/>
      </c>
      <c r="H284" s="65"/>
      <c r="I284" s="36" t="str">
        <f t="shared" si="12"/>
        <v/>
      </c>
      <c r="J284" s="77"/>
      <c r="K284" s="14" t="b">
        <f t="shared" si="14"/>
        <v>0</v>
      </c>
      <c r="L284" s="38" t="str">
        <f t="shared" si="13"/>
        <v/>
      </c>
      <c r="M284" s="13" t="str">
        <f>IF(ISBLANK(H284),"",IF(I284-Parâmetros!$B$3+1&lt;=30,I284-Parâmetros!$B$3+1,IF(I284-Parâmetros!$B$3+1&gt;30,I284-Parâmetros!$B$3+1)))</f>
        <v/>
      </c>
    </row>
    <row r="285" spans="2:13" x14ac:dyDescent="0.25">
      <c r="B285" s="67">
        <v>280</v>
      </c>
      <c r="C285" s="19"/>
      <c r="D285" s="35"/>
      <c r="E285" s="61"/>
      <c r="F285" s="34"/>
      <c r="G285" s="22" t="str">
        <f>IF(ISBLANK(F285),"",INT((Parâmetros!$B$3-F285)/365.25))</f>
        <v/>
      </c>
      <c r="H285" s="64"/>
      <c r="I285" s="37" t="str">
        <f t="shared" si="12"/>
        <v/>
      </c>
      <c r="J285" s="78"/>
      <c r="K285" s="14" t="b">
        <f t="shared" si="14"/>
        <v>0</v>
      </c>
      <c r="L285" s="39" t="str">
        <f t="shared" si="13"/>
        <v/>
      </c>
      <c r="M285" s="22" t="str">
        <f>IF(ISBLANK(H285),"",IF(I285-Parâmetros!$B$3+1&lt;=30,I285-Parâmetros!$B$3+1,IF(I285-Parâmetros!$B$3+1&gt;30,I285-Parâmetros!$B$3+1)))</f>
        <v/>
      </c>
    </row>
    <row r="286" spans="2:13" x14ac:dyDescent="0.25">
      <c r="B286" s="68">
        <v>281</v>
      </c>
      <c r="C286" s="42"/>
      <c r="D286" s="43"/>
      <c r="E286" s="63"/>
      <c r="F286" s="44"/>
      <c r="G286" s="13" t="str">
        <f>IF(ISBLANK(F286),"",INT((Parâmetros!$B$3-F286)/365.25))</f>
        <v/>
      </c>
      <c r="H286" s="65"/>
      <c r="I286" s="36" t="str">
        <f t="shared" si="12"/>
        <v/>
      </c>
      <c r="J286" s="77"/>
      <c r="K286" s="14" t="b">
        <f t="shared" si="14"/>
        <v>0</v>
      </c>
      <c r="L286" s="38" t="str">
        <f t="shared" si="13"/>
        <v/>
      </c>
      <c r="M286" s="13" t="str">
        <f>IF(ISBLANK(H286),"",IF(I286-Parâmetros!$B$3+1&lt;=30,I286-Parâmetros!$B$3+1,IF(I286-Parâmetros!$B$3+1&gt;30,I286-Parâmetros!$B$3+1)))</f>
        <v/>
      </c>
    </row>
    <row r="287" spans="2:13" x14ac:dyDescent="0.25">
      <c r="B287" s="67">
        <v>282</v>
      </c>
      <c r="C287" s="19"/>
      <c r="D287" s="35"/>
      <c r="E287" s="61"/>
      <c r="F287" s="34"/>
      <c r="G287" s="22" t="str">
        <f>IF(ISBLANK(F287),"",INT((Parâmetros!$B$3-F287)/365.25))</f>
        <v/>
      </c>
      <c r="H287" s="64"/>
      <c r="I287" s="37" t="str">
        <f t="shared" si="12"/>
        <v/>
      </c>
      <c r="J287" s="78"/>
      <c r="K287" s="14" t="b">
        <f t="shared" si="14"/>
        <v>0</v>
      </c>
      <c r="L287" s="39" t="str">
        <f t="shared" si="13"/>
        <v/>
      </c>
      <c r="M287" s="22" t="str">
        <f>IF(ISBLANK(H287),"",IF(I287-Parâmetros!$B$3+1&lt;=30,I287-Parâmetros!$B$3+1,IF(I287-Parâmetros!$B$3+1&gt;30,I287-Parâmetros!$B$3+1)))</f>
        <v/>
      </c>
    </row>
    <row r="288" spans="2:13" x14ac:dyDescent="0.25">
      <c r="B288" s="68">
        <v>283</v>
      </c>
      <c r="C288" s="42"/>
      <c r="D288" s="43"/>
      <c r="E288" s="63"/>
      <c r="F288" s="44"/>
      <c r="G288" s="13" t="str">
        <f>IF(ISBLANK(F288),"",INT((Parâmetros!$B$3-F288)/365.25))</f>
        <v/>
      </c>
      <c r="H288" s="65"/>
      <c r="I288" s="36" t="str">
        <f t="shared" si="12"/>
        <v/>
      </c>
      <c r="J288" s="77"/>
      <c r="K288" s="14" t="b">
        <f t="shared" si="14"/>
        <v>0</v>
      </c>
      <c r="L288" s="38" t="str">
        <f t="shared" si="13"/>
        <v/>
      </c>
      <c r="M288" s="13" t="str">
        <f>IF(ISBLANK(H288),"",IF(I288-Parâmetros!$B$3+1&lt;=30,I288-Parâmetros!$B$3+1,IF(I288-Parâmetros!$B$3+1&gt;30,I288-Parâmetros!$B$3+1)))</f>
        <v/>
      </c>
    </row>
    <row r="289" spans="2:13" x14ac:dyDescent="0.25">
      <c r="B289" s="67">
        <v>284</v>
      </c>
      <c r="C289" s="19"/>
      <c r="D289" s="35"/>
      <c r="E289" s="61"/>
      <c r="F289" s="34"/>
      <c r="G289" s="22" t="str">
        <f>IF(ISBLANK(F289),"",INT((Parâmetros!$B$3-F289)/365.25))</f>
        <v/>
      </c>
      <c r="H289" s="64"/>
      <c r="I289" s="37" t="str">
        <f t="shared" si="12"/>
        <v/>
      </c>
      <c r="J289" s="78"/>
      <c r="K289" s="14" t="b">
        <f t="shared" si="14"/>
        <v>0</v>
      </c>
      <c r="L289" s="39" t="str">
        <f t="shared" si="13"/>
        <v/>
      </c>
      <c r="M289" s="22" t="str">
        <f>IF(ISBLANK(H289),"",IF(I289-Parâmetros!$B$3+1&lt;=30,I289-Parâmetros!$B$3+1,IF(I289-Parâmetros!$B$3+1&gt;30,I289-Parâmetros!$B$3+1)))</f>
        <v/>
      </c>
    </row>
    <row r="290" spans="2:13" x14ac:dyDescent="0.25">
      <c r="B290" s="68">
        <v>285</v>
      </c>
      <c r="C290" s="42"/>
      <c r="D290" s="43"/>
      <c r="E290" s="63"/>
      <c r="F290" s="44"/>
      <c r="G290" s="13" t="str">
        <f>IF(ISBLANK(F290),"",INT((Parâmetros!$B$3-F290)/365.25))</f>
        <v/>
      </c>
      <c r="H290" s="65"/>
      <c r="I290" s="36" t="str">
        <f t="shared" si="12"/>
        <v/>
      </c>
      <c r="J290" s="77"/>
      <c r="K290" s="14" t="b">
        <f t="shared" si="14"/>
        <v>0</v>
      </c>
      <c r="L290" s="38" t="str">
        <f t="shared" si="13"/>
        <v/>
      </c>
      <c r="M290" s="13" t="str">
        <f>IF(ISBLANK(H290),"",IF(I290-Parâmetros!$B$3+1&lt;=30,I290-Parâmetros!$B$3+1,IF(I290-Parâmetros!$B$3+1&gt;30,I290-Parâmetros!$B$3+1)))</f>
        <v/>
      </c>
    </row>
    <row r="291" spans="2:13" x14ac:dyDescent="0.25">
      <c r="B291" s="67">
        <v>286</v>
      </c>
      <c r="C291" s="19"/>
      <c r="D291" s="35"/>
      <c r="E291" s="61"/>
      <c r="F291" s="34"/>
      <c r="G291" s="22" t="str">
        <f>IF(ISBLANK(F291),"",INT((Parâmetros!$B$3-F291)/365.25))</f>
        <v/>
      </c>
      <c r="H291" s="64"/>
      <c r="I291" s="37" t="str">
        <f t="shared" si="12"/>
        <v/>
      </c>
      <c r="J291" s="78"/>
      <c r="K291" s="14" t="b">
        <f t="shared" si="14"/>
        <v>0</v>
      </c>
      <c r="L291" s="39" t="str">
        <f t="shared" si="13"/>
        <v/>
      </c>
      <c r="M291" s="22" t="str">
        <f>IF(ISBLANK(H291),"",IF(I291-Parâmetros!$B$3+1&lt;=30,I291-Parâmetros!$B$3+1,IF(I291-Parâmetros!$B$3+1&gt;30,I291-Parâmetros!$B$3+1)))</f>
        <v/>
      </c>
    </row>
    <row r="292" spans="2:13" x14ac:dyDescent="0.25">
      <c r="B292" s="68">
        <v>287</v>
      </c>
      <c r="C292" s="42"/>
      <c r="D292" s="43"/>
      <c r="E292" s="63"/>
      <c r="F292" s="44"/>
      <c r="G292" s="13" t="str">
        <f>IF(ISBLANK(F292),"",INT((Parâmetros!$B$3-F292)/365.25))</f>
        <v/>
      </c>
      <c r="H292" s="65"/>
      <c r="I292" s="36" t="str">
        <f t="shared" si="12"/>
        <v/>
      </c>
      <c r="J292" s="77"/>
      <c r="K292" s="14" t="b">
        <f t="shared" si="14"/>
        <v>0</v>
      </c>
      <c r="L292" s="38" t="str">
        <f t="shared" si="13"/>
        <v/>
      </c>
      <c r="M292" s="13" t="str">
        <f>IF(ISBLANK(H292),"",IF(I292-Parâmetros!$B$3+1&lt;=30,I292-Parâmetros!$B$3+1,IF(I292-Parâmetros!$B$3+1&gt;30,I292-Parâmetros!$B$3+1)))</f>
        <v/>
      </c>
    </row>
    <row r="293" spans="2:13" x14ac:dyDescent="0.25">
      <c r="B293" s="67">
        <v>288</v>
      </c>
      <c r="C293" s="19"/>
      <c r="D293" s="35"/>
      <c r="E293" s="61"/>
      <c r="F293" s="34"/>
      <c r="G293" s="22" t="str">
        <f>IF(ISBLANK(F293),"",INT((Parâmetros!$B$3-F293)/365.25))</f>
        <v/>
      </c>
      <c r="H293" s="64"/>
      <c r="I293" s="37" t="str">
        <f t="shared" si="12"/>
        <v/>
      </c>
      <c r="J293" s="78"/>
      <c r="K293" s="14" t="b">
        <f t="shared" si="14"/>
        <v>0</v>
      </c>
      <c r="L293" s="39" t="str">
        <f t="shared" si="13"/>
        <v/>
      </c>
      <c r="M293" s="22" t="str">
        <f>IF(ISBLANK(H293),"",IF(I293-Parâmetros!$B$3+1&lt;=30,I293-Parâmetros!$B$3+1,IF(I293-Parâmetros!$B$3+1&gt;30,I293-Parâmetros!$B$3+1)))</f>
        <v/>
      </c>
    </row>
    <row r="294" spans="2:13" x14ac:dyDescent="0.25">
      <c r="B294" s="68">
        <v>289</v>
      </c>
      <c r="C294" s="42"/>
      <c r="D294" s="43"/>
      <c r="E294" s="63"/>
      <c r="F294" s="44"/>
      <c r="G294" s="13" t="str">
        <f>IF(ISBLANK(F294),"",INT((Parâmetros!$B$3-F294)/365.25))</f>
        <v/>
      </c>
      <c r="H294" s="65"/>
      <c r="I294" s="36" t="str">
        <f t="shared" si="12"/>
        <v/>
      </c>
      <c r="J294" s="77"/>
      <c r="K294" s="14" t="b">
        <f t="shared" si="14"/>
        <v>0</v>
      </c>
      <c r="L294" s="38" t="str">
        <f t="shared" si="13"/>
        <v/>
      </c>
      <c r="M294" s="13" t="str">
        <f>IF(ISBLANK(H294),"",IF(I294-Parâmetros!$B$3+1&lt;=30,I294-Parâmetros!$B$3+1,IF(I294-Parâmetros!$B$3+1&gt;30,I294-Parâmetros!$B$3+1)))</f>
        <v/>
      </c>
    </row>
    <row r="295" spans="2:13" x14ac:dyDescent="0.25">
      <c r="B295" s="67">
        <v>290</v>
      </c>
      <c r="C295" s="19"/>
      <c r="D295" s="35"/>
      <c r="E295" s="61"/>
      <c r="F295" s="34"/>
      <c r="G295" s="22" t="str">
        <f>IF(ISBLANK(F295),"",INT((Parâmetros!$B$3-F295)/365.25))</f>
        <v/>
      </c>
      <c r="H295" s="64"/>
      <c r="I295" s="37" t="str">
        <f t="shared" si="12"/>
        <v/>
      </c>
      <c r="J295" s="78"/>
      <c r="K295" s="14" t="b">
        <f t="shared" si="14"/>
        <v>0</v>
      </c>
      <c r="L295" s="39" t="str">
        <f t="shared" si="13"/>
        <v/>
      </c>
      <c r="M295" s="22" t="str">
        <f>IF(ISBLANK(H295),"",IF(I295-Parâmetros!$B$3+1&lt;=30,I295-Parâmetros!$B$3+1,IF(I295-Parâmetros!$B$3+1&gt;30,I295-Parâmetros!$B$3+1)))</f>
        <v/>
      </c>
    </row>
    <row r="296" spans="2:13" x14ac:dyDescent="0.25">
      <c r="B296" s="68">
        <v>291</v>
      </c>
      <c r="C296" s="42"/>
      <c r="D296" s="43"/>
      <c r="E296" s="63"/>
      <c r="F296" s="44"/>
      <c r="G296" s="13" t="str">
        <f>IF(ISBLANK(F296),"",INT((Parâmetros!$B$3-F296)/365.25))</f>
        <v/>
      </c>
      <c r="H296" s="65"/>
      <c r="I296" s="36" t="str">
        <f t="shared" si="12"/>
        <v/>
      </c>
      <c r="J296" s="77"/>
      <c r="K296" s="14" t="b">
        <f t="shared" si="14"/>
        <v>0</v>
      </c>
      <c r="L296" s="38" t="str">
        <f t="shared" si="13"/>
        <v/>
      </c>
      <c r="M296" s="13" t="str">
        <f>IF(ISBLANK(H296),"",IF(I296-Parâmetros!$B$3+1&lt;=30,I296-Parâmetros!$B$3+1,IF(I296-Parâmetros!$B$3+1&gt;30,I296-Parâmetros!$B$3+1)))</f>
        <v/>
      </c>
    </row>
    <row r="297" spans="2:13" x14ac:dyDescent="0.25">
      <c r="B297" s="67">
        <v>292</v>
      </c>
      <c r="C297" s="19"/>
      <c r="D297" s="35"/>
      <c r="E297" s="61"/>
      <c r="F297" s="34"/>
      <c r="G297" s="22" t="str">
        <f>IF(ISBLANK(F297),"",INT((Parâmetros!$B$3-F297)/365.25))</f>
        <v/>
      </c>
      <c r="H297" s="64"/>
      <c r="I297" s="37" t="str">
        <f t="shared" si="12"/>
        <v/>
      </c>
      <c r="J297" s="78"/>
      <c r="K297" s="14" t="b">
        <f t="shared" si="14"/>
        <v>0</v>
      </c>
      <c r="L297" s="39" t="str">
        <f t="shared" si="13"/>
        <v/>
      </c>
      <c r="M297" s="22" t="str">
        <f>IF(ISBLANK(H297),"",IF(I297-Parâmetros!$B$3+1&lt;=30,I297-Parâmetros!$B$3+1,IF(I297-Parâmetros!$B$3+1&gt;30,I297-Parâmetros!$B$3+1)))</f>
        <v/>
      </c>
    </row>
    <row r="298" spans="2:13" x14ac:dyDescent="0.25">
      <c r="B298" s="68">
        <v>293</v>
      </c>
      <c r="C298" s="42"/>
      <c r="D298" s="43"/>
      <c r="E298" s="63"/>
      <c r="F298" s="44"/>
      <c r="G298" s="13" t="str">
        <f>IF(ISBLANK(F298),"",INT((Parâmetros!$B$3-F298)/365.25))</f>
        <v/>
      </c>
      <c r="H298" s="65"/>
      <c r="I298" s="36" t="str">
        <f t="shared" si="12"/>
        <v/>
      </c>
      <c r="J298" s="77"/>
      <c r="K298" s="14" t="b">
        <f t="shared" si="14"/>
        <v>0</v>
      </c>
      <c r="L298" s="38" t="str">
        <f t="shared" si="13"/>
        <v/>
      </c>
      <c r="M298" s="13" t="str">
        <f>IF(ISBLANK(H298),"",IF(I298-Parâmetros!$B$3+1&lt;=30,I298-Parâmetros!$B$3+1,IF(I298-Parâmetros!$B$3+1&gt;30,I298-Parâmetros!$B$3+1)))</f>
        <v/>
      </c>
    </row>
    <row r="299" spans="2:13" x14ac:dyDescent="0.25">
      <c r="B299" s="67">
        <v>294</v>
      </c>
      <c r="C299" s="19"/>
      <c r="D299" s="35"/>
      <c r="E299" s="61"/>
      <c r="F299" s="34"/>
      <c r="G299" s="22" t="str">
        <f>IF(ISBLANK(F299),"",INT((Parâmetros!$B$3-F299)/365.25))</f>
        <v/>
      </c>
      <c r="H299" s="64"/>
      <c r="I299" s="37" t="str">
        <f t="shared" si="12"/>
        <v/>
      </c>
      <c r="J299" s="78"/>
      <c r="K299" s="14" t="b">
        <f t="shared" si="14"/>
        <v>0</v>
      </c>
      <c r="L299" s="39" t="str">
        <f t="shared" si="13"/>
        <v/>
      </c>
      <c r="M299" s="22" t="str">
        <f>IF(ISBLANK(H299),"",IF(I299-Parâmetros!$B$3+1&lt;=30,I299-Parâmetros!$B$3+1,IF(I299-Parâmetros!$B$3+1&gt;30,I299-Parâmetros!$B$3+1)))</f>
        <v/>
      </c>
    </row>
    <row r="300" spans="2:13" x14ac:dyDescent="0.25">
      <c r="B300" s="68">
        <v>295</v>
      </c>
      <c r="C300" s="42"/>
      <c r="D300" s="43"/>
      <c r="E300" s="63"/>
      <c r="F300" s="44"/>
      <c r="G300" s="13" t="str">
        <f>IF(ISBLANK(F300),"",INT((Parâmetros!$B$3-F300)/365.25))</f>
        <v/>
      </c>
      <c r="H300" s="65"/>
      <c r="I300" s="36" t="str">
        <f t="shared" si="12"/>
        <v/>
      </c>
      <c r="J300" s="77"/>
      <c r="K300" s="14" t="b">
        <f t="shared" si="14"/>
        <v>0</v>
      </c>
      <c r="L300" s="38" t="str">
        <f t="shared" si="13"/>
        <v/>
      </c>
      <c r="M300" s="13" t="str">
        <f>IF(ISBLANK(H300),"",IF(I300-Parâmetros!$B$3+1&lt;=30,I300-Parâmetros!$B$3+1,IF(I300-Parâmetros!$B$3+1&gt;30,I300-Parâmetros!$B$3+1)))</f>
        <v/>
      </c>
    </row>
    <row r="301" spans="2:13" x14ac:dyDescent="0.25">
      <c r="B301" s="67">
        <v>296</v>
      </c>
      <c r="C301" s="19"/>
      <c r="D301" s="35"/>
      <c r="E301" s="61"/>
      <c r="F301" s="34"/>
      <c r="G301" s="22" t="str">
        <f>IF(ISBLANK(F301),"",INT((Parâmetros!$B$3-F301)/365.25))</f>
        <v/>
      </c>
      <c r="H301" s="64"/>
      <c r="I301" s="37" t="str">
        <f t="shared" si="12"/>
        <v/>
      </c>
      <c r="J301" s="78"/>
      <c r="K301" s="14" t="b">
        <f t="shared" si="14"/>
        <v>0</v>
      </c>
      <c r="L301" s="39" t="str">
        <f t="shared" si="13"/>
        <v/>
      </c>
      <c r="M301" s="22" t="str">
        <f>IF(ISBLANK(H301),"",IF(I301-Parâmetros!$B$3+1&lt;=30,I301-Parâmetros!$B$3+1,IF(I301-Parâmetros!$B$3+1&gt;30,I301-Parâmetros!$B$3+1)))</f>
        <v/>
      </c>
    </row>
    <row r="302" spans="2:13" x14ac:dyDescent="0.25">
      <c r="B302" s="68">
        <v>297</v>
      </c>
      <c r="C302" s="42"/>
      <c r="D302" s="43"/>
      <c r="E302" s="63"/>
      <c r="F302" s="44"/>
      <c r="G302" s="13" t="str">
        <f>IF(ISBLANK(F302),"",INT((Parâmetros!$B$3-F302)/365.25))</f>
        <v/>
      </c>
      <c r="H302" s="65"/>
      <c r="I302" s="36" t="str">
        <f t="shared" si="12"/>
        <v/>
      </c>
      <c r="J302" s="77"/>
      <c r="K302" s="14" t="b">
        <f t="shared" si="14"/>
        <v>0</v>
      </c>
      <c r="L302" s="38" t="str">
        <f t="shared" si="13"/>
        <v/>
      </c>
      <c r="M302" s="13" t="str">
        <f>IF(ISBLANK(H302),"",IF(I302-Parâmetros!$B$3+1&lt;=30,I302-Parâmetros!$B$3+1,IF(I302-Parâmetros!$B$3+1&gt;30,I302-Parâmetros!$B$3+1)))</f>
        <v/>
      </c>
    </row>
    <row r="303" spans="2:13" x14ac:dyDescent="0.25">
      <c r="B303" s="67">
        <v>298</v>
      </c>
      <c r="C303" s="19"/>
      <c r="D303" s="35"/>
      <c r="E303" s="61"/>
      <c r="F303" s="34"/>
      <c r="G303" s="22" t="str">
        <f>IF(ISBLANK(F303),"",INT((Parâmetros!$B$3-F303)/365.25))</f>
        <v/>
      </c>
      <c r="H303" s="64"/>
      <c r="I303" s="37" t="str">
        <f t="shared" si="12"/>
        <v/>
      </c>
      <c r="J303" s="78"/>
      <c r="K303" s="14" t="b">
        <f t="shared" si="14"/>
        <v>0</v>
      </c>
      <c r="L303" s="39" t="str">
        <f t="shared" si="13"/>
        <v/>
      </c>
      <c r="M303" s="22" t="str">
        <f>IF(ISBLANK(H303),"",IF(I303-Parâmetros!$B$3+1&lt;=30,I303-Parâmetros!$B$3+1,IF(I303-Parâmetros!$B$3+1&gt;30,I303-Parâmetros!$B$3+1)))</f>
        <v/>
      </c>
    </row>
    <row r="304" spans="2:13" x14ac:dyDescent="0.25">
      <c r="B304" s="68">
        <v>299</v>
      </c>
      <c r="C304" s="42"/>
      <c r="D304" s="43"/>
      <c r="E304" s="63"/>
      <c r="F304" s="44"/>
      <c r="G304" s="13" t="str">
        <f>IF(ISBLANK(F304),"",INT((Parâmetros!$B$3-F304)/365.25))</f>
        <v/>
      </c>
      <c r="H304" s="65"/>
      <c r="I304" s="36" t="str">
        <f t="shared" si="12"/>
        <v/>
      </c>
      <c r="J304" s="77"/>
      <c r="K304" s="14" t="b">
        <f t="shared" si="14"/>
        <v>0</v>
      </c>
      <c r="L304" s="38" t="str">
        <f t="shared" si="13"/>
        <v/>
      </c>
      <c r="M304" s="13" t="str">
        <f>IF(ISBLANK(H304),"",IF(I304-Parâmetros!$B$3+1&lt;=30,I304-Parâmetros!$B$3+1,IF(I304-Parâmetros!$B$3+1&gt;30,I304-Parâmetros!$B$3+1)))</f>
        <v/>
      </c>
    </row>
    <row r="305" spans="2:13" x14ac:dyDescent="0.25">
      <c r="B305" s="67">
        <v>300</v>
      </c>
      <c r="C305" s="19"/>
      <c r="D305" s="35"/>
      <c r="E305" s="61"/>
      <c r="F305" s="34"/>
      <c r="G305" s="22" t="str">
        <f>IF(ISBLANK(F305),"",INT((Parâmetros!$B$3-F305)/365.25))</f>
        <v/>
      </c>
      <c r="H305" s="64"/>
      <c r="I305" s="37" t="str">
        <f t="shared" si="12"/>
        <v/>
      </c>
      <c r="J305" s="78"/>
      <c r="K305" s="14" t="b">
        <f t="shared" si="14"/>
        <v>0</v>
      </c>
      <c r="L305" s="39" t="str">
        <f t="shared" si="13"/>
        <v/>
      </c>
      <c r="M305" s="22" t="str">
        <f>IF(ISBLANK(H305),"",IF(I305-Parâmetros!$B$3+1&lt;=30,I305-Parâmetros!$B$3+1,IF(I305-Parâmetros!$B$3+1&gt;30,I305-Parâmetros!$B$3+1)))</f>
        <v/>
      </c>
    </row>
    <row r="306" spans="2:13" x14ac:dyDescent="0.25">
      <c r="B306" s="68">
        <v>301</v>
      </c>
      <c r="C306" s="10"/>
      <c r="D306" s="11"/>
      <c r="E306" s="62"/>
      <c r="F306" s="12"/>
      <c r="G306" s="13" t="str">
        <f>IF(ISBLANK(F306),"",INT((Parâmetros!$B$3-F306)/365.25))</f>
        <v/>
      </c>
      <c r="H306" s="12"/>
      <c r="I306" s="36" t="str">
        <f t="shared" si="12"/>
        <v/>
      </c>
      <c r="J306" s="77"/>
      <c r="K306" s="14" t="b">
        <f t="shared" si="14"/>
        <v>0</v>
      </c>
      <c r="L306" s="38" t="str">
        <f t="shared" si="13"/>
        <v/>
      </c>
      <c r="M306" s="13" t="str">
        <f>IF(ISBLANK(H306),"",IF(I306-Parâmetros!$B$3+1&lt;=30,I306-Parâmetros!$B$3+1,IF(I306-Parâmetros!$B$3+1&gt;30,I306-Parâmetros!$B$3+1)))</f>
        <v/>
      </c>
    </row>
    <row r="307" spans="2:13" x14ac:dyDescent="0.25">
      <c r="B307" s="67">
        <v>302</v>
      </c>
      <c r="C307" s="19"/>
      <c r="D307" s="20"/>
      <c r="E307" s="61"/>
      <c r="F307" s="21"/>
      <c r="G307" s="22" t="str">
        <f>IF(ISBLANK(F307),"",INT((Parâmetros!$B$3-F307)/365.25))</f>
        <v/>
      </c>
      <c r="H307" s="64"/>
      <c r="I307" s="37" t="str">
        <f t="shared" si="12"/>
        <v/>
      </c>
      <c r="J307" s="78"/>
      <c r="K307" s="14" t="b">
        <f t="shared" si="14"/>
        <v>0</v>
      </c>
      <c r="L307" s="39" t="str">
        <f t="shared" si="13"/>
        <v/>
      </c>
      <c r="M307" s="22" t="str">
        <f>IF(ISBLANK(H307),"",IF(I307-Parâmetros!$B$3+1&lt;=30,I307-Parâmetros!$B$3+1,IF(I307-Parâmetros!$B$3+1&gt;30,I307-Parâmetros!$B$3+1)))</f>
        <v/>
      </c>
    </row>
    <row r="308" spans="2:13" x14ac:dyDescent="0.25">
      <c r="B308" s="68">
        <v>303</v>
      </c>
      <c r="C308" s="15"/>
      <c r="D308" s="16"/>
      <c r="E308" s="62"/>
      <c r="F308" s="17"/>
      <c r="G308" s="13" t="str">
        <f>IF(ISBLANK(F308),"",INT((Parâmetros!$B$3-F308)/365.25))</f>
        <v/>
      </c>
      <c r="H308" s="11"/>
      <c r="I308" s="36" t="str">
        <f t="shared" si="12"/>
        <v/>
      </c>
      <c r="J308" s="77"/>
      <c r="K308" s="14" t="b">
        <f t="shared" si="14"/>
        <v>0</v>
      </c>
      <c r="L308" s="38" t="str">
        <f t="shared" si="13"/>
        <v/>
      </c>
      <c r="M308" s="13" t="str">
        <f>IF(ISBLANK(H308),"",IF(I308-Parâmetros!$B$3+1&lt;=30,I308-Parâmetros!$B$3+1,IF(I308-Parâmetros!$B$3+1&gt;30,I308-Parâmetros!$B$3+1)))</f>
        <v/>
      </c>
    </row>
    <row r="309" spans="2:13" x14ac:dyDescent="0.25">
      <c r="B309" s="67">
        <v>304</v>
      </c>
      <c r="C309" s="19"/>
      <c r="D309" s="33"/>
      <c r="E309" s="61"/>
      <c r="F309" s="34"/>
      <c r="G309" s="22" t="str">
        <f>IF(ISBLANK(F309),"",INT((Parâmetros!$B$3-F309)/365.25))</f>
        <v/>
      </c>
      <c r="H309" s="64"/>
      <c r="I309" s="37" t="str">
        <f t="shared" si="12"/>
        <v/>
      </c>
      <c r="J309" s="78"/>
      <c r="K309" s="14" t="b">
        <f t="shared" si="14"/>
        <v>0</v>
      </c>
      <c r="L309" s="39" t="str">
        <f t="shared" si="13"/>
        <v/>
      </c>
      <c r="M309" s="22" t="str">
        <f>IF(ISBLANK(H309),"",IF(I309-Parâmetros!$B$3+1&lt;=30,I309-Parâmetros!$B$3+1,IF(I309-Parâmetros!$B$3+1&gt;30,I309-Parâmetros!$B$3+1)))</f>
        <v/>
      </c>
    </row>
    <row r="310" spans="2:13" x14ac:dyDescent="0.25">
      <c r="B310" s="68">
        <v>305</v>
      </c>
      <c r="C310" s="15"/>
      <c r="D310" s="16"/>
      <c r="E310" s="62"/>
      <c r="F310" s="18"/>
      <c r="G310" s="13" t="str">
        <f>IF(ISBLANK(F310),"",INT((Parâmetros!$B$3-F310)/365.25))</f>
        <v/>
      </c>
      <c r="H310" s="11"/>
      <c r="I310" s="36" t="str">
        <f t="shared" si="12"/>
        <v/>
      </c>
      <c r="J310" s="77"/>
      <c r="K310" s="14" t="b">
        <f t="shared" si="14"/>
        <v>0</v>
      </c>
      <c r="L310" s="38" t="str">
        <f t="shared" si="13"/>
        <v/>
      </c>
      <c r="M310" s="13" t="str">
        <f>IF(ISBLANK(H310),"",IF(I310-Parâmetros!$B$3+1&lt;=30,I310-Parâmetros!$B$3+1,IF(I310-Parâmetros!$B$3+1&gt;30,I310-Parâmetros!$B$3+1)))</f>
        <v/>
      </c>
    </row>
    <row r="311" spans="2:13" x14ac:dyDescent="0.25">
      <c r="B311" s="67">
        <v>306</v>
      </c>
      <c r="C311" s="19"/>
      <c r="D311" s="33"/>
      <c r="E311" s="61"/>
      <c r="F311" s="34"/>
      <c r="G311" s="22" t="str">
        <f>IF(ISBLANK(F311),"",INT((Parâmetros!$B$3-F311)/365.25))</f>
        <v/>
      </c>
      <c r="H311" s="64"/>
      <c r="I311" s="37" t="str">
        <f t="shared" si="12"/>
        <v/>
      </c>
      <c r="J311" s="78"/>
      <c r="K311" s="14" t="b">
        <f t="shared" si="14"/>
        <v>0</v>
      </c>
      <c r="L311" s="39" t="str">
        <f t="shared" si="13"/>
        <v/>
      </c>
      <c r="M311" s="22" t="str">
        <f>IF(ISBLANK(H311),"",IF(I311-Parâmetros!$B$3+1&lt;=30,I311-Parâmetros!$B$3+1,IF(I311-Parâmetros!$B$3+1&gt;30,I311-Parâmetros!$B$3+1)))</f>
        <v/>
      </c>
    </row>
    <row r="312" spans="2:13" x14ac:dyDescent="0.25">
      <c r="B312" s="68">
        <v>307</v>
      </c>
      <c r="C312" s="15"/>
      <c r="D312" s="16"/>
      <c r="E312" s="62"/>
      <c r="F312" s="18"/>
      <c r="G312" s="13" t="str">
        <f>IF(ISBLANK(F312),"",INT((Parâmetros!$B$3-F312)/365.25))</f>
        <v/>
      </c>
      <c r="H312" s="11"/>
      <c r="I312" s="36" t="str">
        <f t="shared" si="12"/>
        <v/>
      </c>
      <c r="J312" s="77"/>
      <c r="K312" s="14" t="b">
        <f t="shared" si="14"/>
        <v>0</v>
      </c>
      <c r="L312" s="38" t="str">
        <f t="shared" si="13"/>
        <v/>
      </c>
      <c r="M312" s="13" t="str">
        <f>IF(ISBLANK(H312),"",IF(I312-Parâmetros!$B$3+1&lt;=30,I312-Parâmetros!$B$3+1,IF(I312-Parâmetros!$B$3+1&gt;30,I312-Parâmetros!$B$3+1)))</f>
        <v/>
      </c>
    </row>
    <row r="313" spans="2:13" x14ac:dyDescent="0.25">
      <c r="B313" s="67">
        <v>308</v>
      </c>
      <c r="C313" s="19"/>
      <c r="D313" s="33"/>
      <c r="E313" s="61"/>
      <c r="F313" s="34"/>
      <c r="G313" s="22" t="str">
        <f>IF(ISBLANK(F313),"",INT((Parâmetros!$B$3-F313)/365.25))</f>
        <v/>
      </c>
      <c r="H313" s="64"/>
      <c r="I313" s="37" t="str">
        <f t="shared" si="12"/>
        <v/>
      </c>
      <c r="J313" s="78"/>
      <c r="K313" s="14" t="b">
        <f t="shared" si="14"/>
        <v>0</v>
      </c>
      <c r="L313" s="39" t="str">
        <f t="shared" si="13"/>
        <v/>
      </c>
      <c r="M313" s="22" t="str">
        <f>IF(ISBLANK(H313),"",IF(I313-Parâmetros!$B$3+1&lt;=30,I313-Parâmetros!$B$3+1,IF(I313-Parâmetros!$B$3+1&gt;30,I313-Parâmetros!$B$3+1)))</f>
        <v/>
      </c>
    </row>
    <row r="314" spans="2:13" x14ac:dyDescent="0.25">
      <c r="B314" s="68">
        <v>309</v>
      </c>
      <c r="C314" s="15"/>
      <c r="D314" s="16"/>
      <c r="E314" s="62"/>
      <c r="F314" s="18"/>
      <c r="G314" s="13" t="str">
        <f>IF(ISBLANK(F314),"",INT((Parâmetros!$B$3-F314)/365.25))</f>
        <v/>
      </c>
      <c r="H314" s="11"/>
      <c r="I314" s="36" t="str">
        <f t="shared" si="12"/>
        <v/>
      </c>
      <c r="J314" s="77"/>
      <c r="K314" s="14" t="b">
        <f t="shared" si="14"/>
        <v>0</v>
      </c>
      <c r="L314" s="38" t="str">
        <f t="shared" si="13"/>
        <v/>
      </c>
      <c r="M314" s="13" t="str">
        <f>IF(ISBLANK(H314),"",IF(I314-Parâmetros!$B$3+1&lt;=30,I314-Parâmetros!$B$3+1,IF(I314-Parâmetros!$B$3+1&gt;30,I314-Parâmetros!$B$3+1)))</f>
        <v/>
      </c>
    </row>
    <row r="315" spans="2:13" x14ac:dyDescent="0.25">
      <c r="B315" s="67">
        <v>310</v>
      </c>
      <c r="C315" s="19"/>
      <c r="D315" s="33"/>
      <c r="E315" s="61"/>
      <c r="F315" s="34"/>
      <c r="G315" s="22" t="str">
        <f>IF(ISBLANK(F315),"",INT((Parâmetros!$B$3-F315)/365.25))</f>
        <v/>
      </c>
      <c r="H315" s="64"/>
      <c r="I315" s="37" t="str">
        <f t="shared" si="12"/>
        <v/>
      </c>
      <c r="J315" s="78"/>
      <c r="K315" s="14" t="b">
        <f t="shared" si="14"/>
        <v>0</v>
      </c>
      <c r="L315" s="39" t="str">
        <f t="shared" si="13"/>
        <v/>
      </c>
      <c r="M315" s="22" t="str">
        <f>IF(ISBLANK(H315),"",IF(I315-Parâmetros!$B$3+1&lt;=30,I315-Parâmetros!$B$3+1,IF(I315-Parâmetros!$B$3+1&gt;30,I315-Parâmetros!$B$3+1)))</f>
        <v/>
      </c>
    </row>
    <row r="316" spans="2:13" x14ac:dyDescent="0.25">
      <c r="B316" s="68">
        <v>311</v>
      </c>
      <c r="C316" s="15"/>
      <c r="D316" s="16"/>
      <c r="E316" s="62"/>
      <c r="F316" s="18"/>
      <c r="G316" s="13" t="str">
        <f>IF(ISBLANK(F316),"",INT((Parâmetros!$B$3-F316)/365.25))</f>
        <v/>
      </c>
      <c r="H316" s="11"/>
      <c r="I316" s="36" t="str">
        <f t="shared" si="12"/>
        <v/>
      </c>
      <c r="J316" s="77"/>
      <c r="K316" s="14" t="b">
        <f t="shared" si="14"/>
        <v>0</v>
      </c>
      <c r="L316" s="38" t="str">
        <f t="shared" si="13"/>
        <v/>
      </c>
      <c r="M316" s="13" t="str">
        <f>IF(ISBLANK(H316),"",IF(I316-Parâmetros!$B$3+1&lt;=30,I316-Parâmetros!$B$3+1,IF(I316-Parâmetros!$B$3+1&gt;30,I316-Parâmetros!$B$3+1)))</f>
        <v/>
      </c>
    </row>
    <row r="317" spans="2:13" x14ac:dyDescent="0.25">
      <c r="B317" s="67">
        <v>312</v>
      </c>
      <c r="C317" s="19"/>
      <c r="D317" s="33"/>
      <c r="E317" s="61"/>
      <c r="F317" s="34"/>
      <c r="G317" s="22" t="str">
        <f>IF(ISBLANK(F317),"",INT((Parâmetros!$B$3-F317)/365.25))</f>
        <v/>
      </c>
      <c r="H317" s="64"/>
      <c r="I317" s="37" t="str">
        <f t="shared" si="12"/>
        <v/>
      </c>
      <c r="J317" s="78"/>
      <c r="K317" s="14" t="b">
        <f t="shared" si="14"/>
        <v>0</v>
      </c>
      <c r="L317" s="39" t="str">
        <f t="shared" si="13"/>
        <v/>
      </c>
      <c r="M317" s="22" t="str">
        <f>IF(ISBLANK(H317),"",IF(I317-Parâmetros!$B$3+1&lt;=30,I317-Parâmetros!$B$3+1,IF(I317-Parâmetros!$B$3+1&gt;30,I317-Parâmetros!$B$3+1)))</f>
        <v/>
      </c>
    </row>
    <row r="318" spans="2:13" x14ac:dyDescent="0.25">
      <c r="B318" s="68">
        <v>313</v>
      </c>
      <c r="C318" s="15"/>
      <c r="D318" s="16"/>
      <c r="E318" s="62"/>
      <c r="F318" s="18"/>
      <c r="G318" s="13" t="str">
        <f>IF(ISBLANK(F318),"",INT((Parâmetros!$B$3-F318)/365.25))</f>
        <v/>
      </c>
      <c r="H318" s="11"/>
      <c r="I318" s="36" t="str">
        <f t="shared" si="12"/>
        <v/>
      </c>
      <c r="J318" s="77"/>
      <c r="K318" s="14" t="b">
        <f t="shared" si="14"/>
        <v>0</v>
      </c>
      <c r="L318" s="38" t="str">
        <f t="shared" si="13"/>
        <v/>
      </c>
      <c r="M318" s="13" t="str">
        <f>IF(ISBLANK(H318),"",IF(I318-Parâmetros!$B$3+1&lt;=30,I318-Parâmetros!$B$3+1,IF(I318-Parâmetros!$B$3+1&gt;30,I318-Parâmetros!$B$3+1)))</f>
        <v/>
      </c>
    </row>
    <row r="319" spans="2:13" x14ac:dyDescent="0.25">
      <c r="B319" s="67">
        <v>314</v>
      </c>
      <c r="C319" s="19"/>
      <c r="D319" s="33"/>
      <c r="E319" s="61"/>
      <c r="F319" s="34"/>
      <c r="G319" s="22" t="str">
        <f>IF(ISBLANK(F319),"",INT((Parâmetros!$B$3-F319)/365.25))</f>
        <v/>
      </c>
      <c r="H319" s="64"/>
      <c r="I319" s="37" t="str">
        <f t="shared" si="12"/>
        <v/>
      </c>
      <c r="J319" s="78"/>
      <c r="K319" s="14" t="b">
        <f t="shared" si="14"/>
        <v>0</v>
      </c>
      <c r="L319" s="39" t="str">
        <f t="shared" si="13"/>
        <v/>
      </c>
      <c r="M319" s="22" t="str">
        <f>IF(ISBLANK(H319),"",IF(I319-Parâmetros!$B$3+1&lt;=30,I319-Parâmetros!$B$3+1,IF(I319-Parâmetros!$B$3+1&gt;30,I319-Parâmetros!$B$3+1)))</f>
        <v/>
      </c>
    </row>
    <row r="320" spans="2:13" x14ac:dyDescent="0.25">
      <c r="B320" s="68">
        <v>315</v>
      </c>
      <c r="C320" s="15"/>
      <c r="D320" s="16"/>
      <c r="E320" s="62"/>
      <c r="F320" s="18"/>
      <c r="G320" s="13" t="str">
        <f>IF(ISBLANK(F320),"",INT((Parâmetros!$B$3-F320)/365.25))</f>
        <v/>
      </c>
      <c r="H320" s="11"/>
      <c r="I320" s="36" t="str">
        <f t="shared" si="12"/>
        <v/>
      </c>
      <c r="J320" s="77"/>
      <c r="K320" s="14" t="b">
        <f t="shared" si="14"/>
        <v>0</v>
      </c>
      <c r="L320" s="38" t="str">
        <f t="shared" si="13"/>
        <v/>
      </c>
      <c r="M320" s="13" t="str">
        <f>IF(ISBLANK(H320),"",IF(I320-Parâmetros!$B$3+1&lt;=30,I320-Parâmetros!$B$3+1,IF(I320-Parâmetros!$B$3+1&gt;30,I320-Parâmetros!$B$3+1)))</f>
        <v/>
      </c>
    </row>
    <row r="321" spans="2:13" x14ac:dyDescent="0.25">
      <c r="B321" s="67">
        <v>316</v>
      </c>
      <c r="C321" s="19"/>
      <c r="D321" s="33"/>
      <c r="E321" s="61"/>
      <c r="F321" s="34"/>
      <c r="G321" s="22" t="str">
        <f>IF(ISBLANK(F321),"",INT((Parâmetros!$B$3-F321)/365.25))</f>
        <v/>
      </c>
      <c r="H321" s="64"/>
      <c r="I321" s="37" t="str">
        <f t="shared" si="12"/>
        <v/>
      </c>
      <c r="J321" s="78"/>
      <c r="K321" s="14" t="b">
        <f t="shared" si="14"/>
        <v>0</v>
      </c>
      <c r="L321" s="39" t="str">
        <f t="shared" si="13"/>
        <v/>
      </c>
      <c r="M321" s="22" t="str">
        <f>IF(ISBLANK(H321),"",IF(I321-Parâmetros!$B$3+1&lt;=30,I321-Parâmetros!$B$3+1,IF(I321-Parâmetros!$B$3+1&gt;30,I321-Parâmetros!$B$3+1)))</f>
        <v/>
      </c>
    </row>
    <row r="322" spans="2:13" x14ac:dyDescent="0.25">
      <c r="B322" s="68">
        <v>317</v>
      </c>
      <c r="C322" s="15"/>
      <c r="D322" s="16"/>
      <c r="E322" s="62"/>
      <c r="F322" s="18"/>
      <c r="G322" s="13" t="str">
        <f>IF(ISBLANK(F322),"",INT((Parâmetros!$B$3-F322)/365.25))</f>
        <v/>
      </c>
      <c r="H322" s="11"/>
      <c r="I322" s="36" t="str">
        <f t="shared" si="12"/>
        <v/>
      </c>
      <c r="J322" s="77"/>
      <c r="K322" s="14" t="b">
        <f t="shared" si="14"/>
        <v>0</v>
      </c>
      <c r="L322" s="38" t="str">
        <f t="shared" si="13"/>
        <v/>
      </c>
      <c r="M322" s="13" t="str">
        <f>IF(ISBLANK(H322),"",IF(I322-Parâmetros!$B$3+1&lt;=30,I322-Parâmetros!$B$3+1,IF(I322-Parâmetros!$B$3+1&gt;30,I322-Parâmetros!$B$3+1)))</f>
        <v/>
      </c>
    </row>
    <row r="323" spans="2:13" x14ac:dyDescent="0.25">
      <c r="B323" s="67">
        <v>318</v>
      </c>
      <c r="C323" s="19"/>
      <c r="D323" s="33"/>
      <c r="E323" s="61"/>
      <c r="F323" s="34"/>
      <c r="G323" s="22" t="str">
        <f>IF(ISBLANK(F323),"",INT((Parâmetros!$B$3-F323)/365.25))</f>
        <v/>
      </c>
      <c r="H323" s="64"/>
      <c r="I323" s="37" t="str">
        <f t="shared" si="12"/>
        <v/>
      </c>
      <c r="J323" s="78"/>
      <c r="K323" s="14" t="b">
        <f t="shared" si="14"/>
        <v>0</v>
      </c>
      <c r="L323" s="39" t="str">
        <f t="shared" si="13"/>
        <v/>
      </c>
      <c r="M323" s="22" t="str">
        <f>IF(ISBLANK(H323),"",IF(I323-Parâmetros!$B$3+1&lt;=30,I323-Parâmetros!$B$3+1,IF(I323-Parâmetros!$B$3+1&gt;30,I323-Parâmetros!$B$3+1)))</f>
        <v/>
      </c>
    </row>
    <row r="324" spans="2:13" x14ac:dyDescent="0.25">
      <c r="B324" s="68">
        <v>319</v>
      </c>
      <c r="C324" s="15"/>
      <c r="D324" s="16"/>
      <c r="E324" s="62"/>
      <c r="F324" s="18"/>
      <c r="G324" s="13" t="str">
        <f>IF(ISBLANK(F324),"",INT((Parâmetros!$B$3-F324)/365.25))</f>
        <v/>
      </c>
      <c r="H324" s="11"/>
      <c r="I324" s="36" t="str">
        <f t="shared" si="12"/>
        <v/>
      </c>
      <c r="J324" s="77"/>
      <c r="K324" s="14" t="b">
        <f t="shared" si="14"/>
        <v>0</v>
      </c>
      <c r="L324" s="38" t="str">
        <f t="shared" si="13"/>
        <v/>
      </c>
      <c r="M324" s="13" t="str">
        <f>IF(ISBLANK(H324),"",IF(I324-Parâmetros!$B$3+1&lt;=30,I324-Parâmetros!$B$3+1,IF(I324-Parâmetros!$B$3+1&gt;30,I324-Parâmetros!$B$3+1)))</f>
        <v/>
      </c>
    </row>
    <row r="325" spans="2:13" x14ac:dyDescent="0.25">
      <c r="B325" s="67">
        <v>320</v>
      </c>
      <c r="C325" s="19"/>
      <c r="D325" s="33"/>
      <c r="E325" s="61"/>
      <c r="F325" s="34"/>
      <c r="G325" s="22" t="str">
        <f>IF(ISBLANK(F325),"",INT((Parâmetros!$B$3-F325)/365.25))</f>
        <v/>
      </c>
      <c r="H325" s="64"/>
      <c r="I325" s="37" t="str">
        <f t="shared" si="12"/>
        <v/>
      </c>
      <c r="J325" s="78"/>
      <c r="K325" s="14" t="b">
        <f t="shared" si="14"/>
        <v>0</v>
      </c>
      <c r="L325" s="39" t="str">
        <f t="shared" si="13"/>
        <v/>
      </c>
      <c r="M325" s="22" t="str">
        <f>IF(ISBLANK(H325),"",IF(I325-Parâmetros!$B$3+1&lt;=30,I325-Parâmetros!$B$3+1,IF(I325-Parâmetros!$B$3+1&gt;30,I325-Parâmetros!$B$3+1)))</f>
        <v/>
      </c>
    </row>
    <row r="326" spans="2:13" x14ac:dyDescent="0.25">
      <c r="B326" s="68">
        <v>321</v>
      </c>
      <c r="C326" s="15"/>
      <c r="D326" s="16"/>
      <c r="E326" s="62"/>
      <c r="F326" s="18"/>
      <c r="G326" s="13" t="str">
        <f>IF(ISBLANK(F326),"",INT((Parâmetros!$B$3-F326)/365.25))</f>
        <v/>
      </c>
      <c r="H326" s="11"/>
      <c r="I326" s="36" t="str">
        <f t="shared" ref="I326:I389" si="15">IF(ISBLANK(H326),"",IF(K326=1,H326+365,IF(K326=2,H326+730,IF(K326=3,H326+182))))</f>
        <v/>
      </c>
      <c r="J326" s="77"/>
      <c r="K326" s="14" t="b">
        <f t="shared" si="14"/>
        <v>0</v>
      </c>
      <c r="L326" s="38" t="str">
        <f t="shared" ref="L326:L389" si="16">IF(ISBLANK(C326),"",IF(ISBLANK(H326),"Informar Data último exame",IF(AND(M326&gt;0,M326&lt;=30),"Atenção, menos de 30 dias",IF(M326&gt;30,"No prazo",IF(M326&lt;0,"Exame vencido")))))</f>
        <v/>
      </c>
      <c r="M326" s="13" t="str">
        <f>IF(ISBLANK(H326),"",IF(I326-Parâmetros!$B$3+1&lt;=30,I326-Parâmetros!$B$3+1,IF(I326-Parâmetros!$B$3+1&gt;30,I326-Parâmetros!$B$3+1)))</f>
        <v/>
      </c>
    </row>
    <row r="327" spans="2:13" x14ac:dyDescent="0.25">
      <c r="B327" s="67">
        <v>322</v>
      </c>
      <c r="C327" s="19"/>
      <c r="D327" s="33"/>
      <c r="E327" s="61"/>
      <c r="F327" s="34"/>
      <c r="G327" s="22" t="str">
        <f>IF(ISBLANK(F327),"",INT((Parâmetros!$B$3-F327)/365.25))</f>
        <v/>
      </c>
      <c r="H327" s="64"/>
      <c r="I327" s="37" t="str">
        <f t="shared" si="15"/>
        <v/>
      </c>
      <c r="J327" s="78"/>
      <c r="K327" s="14" t="b">
        <f t="shared" si="14"/>
        <v>0</v>
      </c>
      <c r="L327" s="39" t="str">
        <f t="shared" si="16"/>
        <v/>
      </c>
      <c r="M327" s="22" t="str">
        <f>IF(ISBLANK(H327),"",IF(I327-Parâmetros!$B$3+1&lt;=30,I327-Parâmetros!$B$3+1,IF(I327-Parâmetros!$B$3+1&gt;30,I327-Parâmetros!$B$3+1)))</f>
        <v/>
      </c>
    </row>
    <row r="328" spans="2:13" x14ac:dyDescent="0.25">
      <c r="B328" s="68">
        <v>323</v>
      </c>
      <c r="C328" s="15"/>
      <c r="D328" s="16"/>
      <c r="E328" s="62"/>
      <c r="F328" s="18"/>
      <c r="G328" s="13" t="str">
        <f>IF(ISBLANK(F328),"",INT((Parâmetros!$B$3-F328)/365.25))</f>
        <v/>
      </c>
      <c r="H328" s="11"/>
      <c r="I328" s="36" t="str">
        <f t="shared" si="15"/>
        <v/>
      </c>
      <c r="J328" s="77"/>
      <c r="K328" s="14" t="b">
        <f t="shared" ref="K328:K391" si="17">IF(J328="1 ANO",1,IF(J328="2 ANOS",2,IF(J328="6 MESES",3)))</f>
        <v>0</v>
      </c>
      <c r="L328" s="38" t="str">
        <f t="shared" si="16"/>
        <v/>
      </c>
      <c r="M328" s="13" t="str">
        <f>IF(ISBLANK(H328),"",IF(I328-Parâmetros!$B$3+1&lt;=30,I328-Parâmetros!$B$3+1,IF(I328-Parâmetros!$B$3+1&gt;30,I328-Parâmetros!$B$3+1)))</f>
        <v/>
      </c>
    </row>
    <row r="329" spans="2:13" x14ac:dyDescent="0.25">
      <c r="B329" s="67">
        <v>324</v>
      </c>
      <c r="C329" s="19"/>
      <c r="D329" s="33"/>
      <c r="E329" s="61"/>
      <c r="F329" s="34"/>
      <c r="G329" s="22" t="str">
        <f>IF(ISBLANK(F329),"",INT((Parâmetros!$B$3-F329)/365.25))</f>
        <v/>
      </c>
      <c r="H329" s="64"/>
      <c r="I329" s="37" t="str">
        <f t="shared" si="15"/>
        <v/>
      </c>
      <c r="J329" s="78"/>
      <c r="K329" s="14" t="b">
        <f t="shared" si="17"/>
        <v>0</v>
      </c>
      <c r="L329" s="39" t="str">
        <f t="shared" si="16"/>
        <v/>
      </c>
      <c r="M329" s="22" t="str">
        <f>IF(ISBLANK(H329),"",IF(I329-Parâmetros!$B$3+1&lt;=30,I329-Parâmetros!$B$3+1,IF(I329-Parâmetros!$B$3+1&gt;30,I329-Parâmetros!$B$3+1)))</f>
        <v/>
      </c>
    </row>
    <row r="330" spans="2:13" x14ac:dyDescent="0.25">
      <c r="B330" s="68">
        <v>325</v>
      </c>
      <c r="C330" s="15"/>
      <c r="D330" s="16"/>
      <c r="E330" s="62"/>
      <c r="F330" s="18"/>
      <c r="G330" s="13" t="str">
        <f>IF(ISBLANK(F330),"",INT((Parâmetros!$B$3-F330)/365.25))</f>
        <v/>
      </c>
      <c r="H330" s="11"/>
      <c r="I330" s="36" t="str">
        <f t="shared" si="15"/>
        <v/>
      </c>
      <c r="J330" s="77"/>
      <c r="K330" s="14" t="b">
        <f t="shared" si="17"/>
        <v>0</v>
      </c>
      <c r="L330" s="38" t="str">
        <f t="shared" si="16"/>
        <v/>
      </c>
      <c r="M330" s="13" t="str">
        <f>IF(ISBLANK(H330),"",IF(I330-Parâmetros!$B$3+1&lt;=30,I330-Parâmetros!$B$3+1,IF(I330-Parâmetros!$B$3+1&gt;30,I330-Parâmetros!$B$3+1)))</f>
        <v/>
      </c>
    </row>
    <row r="331" spans="2:13" x14ac:dyDescent="0.25">
      <c r="B331" s="67">
        <v>326</v>
      </c>
      <c r="C331" s="19"/>
      <c r="D331" s="33"/>
      <c r="E331" s="61"/>
      <c r="F331" s="34"/>
      <c r="G331" s="22" t="str">
        <f>IF(ISBLANK(F331),"",INT((Parâmetros!$B$3-F331)/365.25))</f>
        <v/>
      </c>
      <c r="H331" s="64"/>
      <c r="I331" s="37" t="str">
        <f t="shared" si="15"/>
        <v/>
      </c>
      <c r="J331" s="78"/>
      <c r="K331" s="14" t="b">
        <f t="shared" si="17"/>
        <v>0</v>
      </c>
      <c r="L331" s="39" t="str">
        <f t="shared" si="16"/>
        <v/>
      </c>
      <c r="M331" s="22" t="str">
        <f>IF(ISBLANK(H331),"",IF(I331-Parâmetros!$B$3+1&lt;=30,I331-Parâmetros!$B$3+1,IF(I331-Parâmetros!$B$3+1&gt;30,I331-Parâmetros!$B$3+1)))</f>
        <v/>
      </c>
    </row>
    <row r="332" spans="2:13" x14ac:dyDescent="0.25">
      <c r="B332" s="68">
        <v>327</v>
      </c>
      <c r="C332" s="15"/>
      <c r="D332" s="16"/>
      <c r="E332" s="62"/>
      <c r="F332" s="18"/>
      <c r="G332" s="13" t="str">
        <f>IF(ISBLANK(F332),"",INT((Parâmetros!$B$3-F332)/365.25))</f>
        <v/>
      </c>
      <c r="H332" s="11"/>
      <c r="I332" s="36" t="str">
        <f t="shared" si="15"/>
        <v/>
      </c>
      <c r="J332" s="77"/>
      <c r="K332" s="14" t="b">
        <f t="shared" si="17"/>
        <v>0</v>
      </c>
      <c r="L332" s="38" t="str">
        <f t="shared" si="16"/>
        <v/>
      </c>
      <c r="M332" s="13" t="str">
        <f>IF(ISBLANK(H332),"",IF(I332-Parâmetros!$B$3+1&lt;=30,I332-Parâmetros!$B$3+1,IF(I332-Parâmetros!$B$3+1&gt;30,I332-Parâmetros!$B$3+1)))</f>
        <v/>
      </c>
    </row>
    <row r="333" spans="2:13" x14ac:dyDescent="0.25">
      <c r="B333" s="67">
        <v>328</v>
      </c>
      <c r="C333" s="19"/>
      <c r="D333" s="33"/>
      <c r="E333" s="61"/>
      <c r="F333" s="34"/>
      <c r="G333" s="22" t="str">
        <f>IF(ISBLANK(F333),"",INT((Parâmetros!$B$3-F333)/365.25))</f>
        <v/>
      </c>
      <c r="H333" s="64"/>
      <c r="I333" s="37" t="str">
        <f t="shared" si="15"/>
        <v/>
      </c>
      <c r="J333" s="78"/>
      <c r="K333" s="14" t="b">
        <f t="shared" si="17"/>
        <v>0</v>
      </c>
      <c r="L333" s="39" t="str">
        <f t="shared" si="16"/>
        <v/>
      </c>
      <c r="M333" s="22" t="str">
        <f>IF(ISBLANK(H333),"",IF(I333-Parâmetros!$B$3+1&lt;=30,I333-Parâmetros!$B$3+1,IF(I333-Parâmetros!$B$3+1&gt;30,I333-Parâmetros!$B$3+1)))</f>
        <v/>
      </c>
    </row>
    <row r="334" spans="2:13" x14ac:dyDescent="0.25">
      <c r="B334" s="68">
        <v>329</v>
      </c>
      <c r="C334" s="15"/>
      <c r="D334" s="16"/>
      <c r="E334" s="62"/>
      <c r="F334" s="18"/>
      <c r="G334" s="13" t="str">
        <f>IF(ISBLANK(F334),"",INT((Parâmetros!$B$3-F334)/365.25))</f>
        <v/>
      </c>
      <c r="H334" s="11"/>
      <c r="I334" s="36" t="str">
        <f t="shared" si="15"/>
        <v/>
      </c>
      <c r="J334" s="77"/>
      <c r="K334" s="14" t="b">
        <f t="shared" si="17"/>
        <v>0</v>
      </c>
      <c r="L334" s="38" t="str">
        <f t="shared" si="16"/>
        <v/>
      </c>
      <c r="M334" s="13" t="str">
        <f>IF(ISBLANK(H334),"",IF(I334-Parâmetros!$B$3+1&lt;=30,I334-Parâmetros!$B$3+1,IF(I334-Parâmetros!$B$3+1&gt;30,I334-Parâmetros!$B$3+1)))</f>
        <v/>
      </c>
    </row>
    <row r="335" spans="2:13" x14ac:dyDescent="0.25">
      <c r="B335" s="67">
        <v>330</v>
      </c>
      <c r="C335" s="19"/>
      <c r="D335" s="33"/>
      <c r="E335" s="61"/>
      <c r="F335" s="34"/>
      <c r="G335" s="22" t="str">
        <f>IF(ISBLANK(F335),"",INT((Parâmetros!$B$3-F335)/365.25))</f>
        <v/>
      </c>
      <c r="H335" s="64"/>
      <c r="I335" s="37" t="str">
        <f t="shared" si="15"/>
        <v/>
      </c>
      <c r="J335" s="78"/>
      <c r="K335" s="14" t="b">
        <f t="shared" si="17"/>
        <v>0</v>
      </c>
      <c r="L335" s="39" t="str">
        <f t="shared" si="16"/>
        <v/>
      </c>
      <c r="M335" s="22" t="str">
        <f>IF(ISBLANK(H335),"",IF(I335-Parâmetros!$B$3+1&lt;=30,I335-Parâmetros!$B$3+1,IF(I335-Parâmetros!$B$3+1&gt;30,I335-Parâmetros!$B$3+1)))</f>
        <v/>
      </c>
    </row>
    <row r="336" spans="2:13" x14ac:dyDescent="0.25">
      <c r="B336" s="68">
        <v>331</v>
      </c>
      <c r="C336" s="15"/>
      <c r="D336" s="16"/>
      <c r="E336" s="62"/>
      <c r="F336" s="18"/>
      <c r="G336" s="13" t="str">
        <f>IF(ISBLANK(F336),"",INT((Parâmetros!$B$3-F336)/365.25))</f>
        <v/>
      </c>
      <c r="H336" s="11"/>
      <c r="I336" s="36" t="str">
        <f t="shared" si="15"/>
        <v/>
      </c>
      <c r="J336" s="77"/>
      <c r="K336" s="14" t="b">
        <f t="shared" si="17"/>
        <v>0</v>
      </c>
      <c r="L336" s="38" t="str">
        <f t="shared" si="16"/>
        <v/>
      </c>
      <c r="M336" s="13" t="str">
        <f>IF(ISBLANK(H336),"",IF(I336-Parâmetros!$B$3+1&lt;=30,I336-Parâmetros!$B$3+1,IF(I336-Parâmetros!$B$3+1&gt;30,I336-Parâmetros!$B$3+1)))</f>
        <v/>
      </c>
    </row>
    <row r="337" spans="2:13" x14ac:dyDescent="0.25">
      <c r="B337" s="67">
        <v>332</v>
      </c>
      <c r="C337" s="19"/>
      <c r="D337" s="33"/>
      <c r="E337" s="61"/>
      <c r="F337" s="34"/>
      <c r="G337" s="22" t="str">
        <f>IF(ISBLANK(F337),"",INT((Parâmetros!$B$3-F337)/365.25))</f>
        <v/>
      </c>
      <c r="H337" s="64"/>
      <c r="I337" s="37" t="str">
        <f t="shared" si="15"/>
        <v/>
      </c>
      <c r="J337" s="78"/>
      <c r="K337" s="14" t="b">
        <f t="shared" si="17"/>
        <v>0</v>
      </c>
      <c r="L337" s="39" t="str">
        <f t="shared" si="16"/>
        <v/>
      </c>
      <c r="M337" s="22" t="str">
        <f>IF(ISBLANK(H337),"",IF(I337-Parâmetros!$B$3+1&lt;=30,I337-Parâmetros!$B$3+1,IF(I337-Parâmetros!$B$3+1&gt;30,I337-Parâmetros!$B$3+1)))</f>
        <v/>
      </c>
    </row>
    <row r="338" spans="2:13" x14ac:dyDescent="0.25">
      <c r="B338" s="68">
        <v>333</v>
      </c>
      <c r="C338" s="15"/>
      <c r="D338" s="16"/>
      <c r="E338" s="62"/>
      <c r="F338" s="18"/>
      <c r="G338" s="13" t="str">
        <f>IF(ISBLANK(F338),"",INT((Parâmetros!$B$3-F338)/365.25))</f>
        <v/>
      </c>
      <c r="H338" s="11"/>
      <c r="I338" s="36" t="str">
        <f t="shared" si="15"/>
        <v/>
      </c>
      <c r="J338" s="77"/>
      <c r="K338" s="14" t="b">
        <f t="shared" si="17"/>
        <v>0</v>
      </c>
      <c r="L338" s="38" t="str">
        <f t="shared" si="16"/>
        <v/>
      </c>
      <c r="M338" s="13" t="str">
        <f>IF(ISBLANK(H338),"",IF(I338-Parâmetros!$B$3+1&lt;=30,I338-Parâmetros!$B$3+1,IF(I338-Parâmetros!$B$3+1&gt;30,I338-Parâmetros!$B$3+1)))</f>
        <v/>
      </c>
    </row>
    <row r="339" spans="2:13" x14ac:dyDescent="0.25">
      <c r="B339" s="67">
        <v>334</v>
      </c>
      <c r="C339" s="19"/>
      <c r="D339" s="33"/>
      <c r="E339" s="61"/>
      <c r="F339" s="34"/>
      <c r="G339" s="22" t="str">
        <f>IF(ISBLANK(F339),"",INT((Parâmetros!$B$3-F339)/365.25))</f>
        <v/>
      </c>
      <c r="H339" s="64"/>
      <c r="I339" s="37" t="str">
        <f t="shared" si="15"/>
        <v/>
      </c>
      <c r="J339" s="78"/>
      <c r="K339" s="14" t="b">
        <f t="shared" si="17"/>
        <v>0</v>
      </c>
      <c r="L339" s="39" t="str">
        <f t="shared" si="16"/>
        <v/>
      </c>
      <c r="M339" s="22" t="str">
        <f>IF(ISBLANK(H339),"",IF(I339-Parâmetros!$B$3+1&lt;=30,I339-Parâmetros!$B$3+1,IF(I339-Parâmetros!$B$3+1&gt;30,I339-Parâmetros!$B$3+1)))</f>
        <v/>
      </c>
    </row>
    <row r="340" spans="2:13" x14ac:dyDescent="0.25">
      <c r="B340" s="68">
        <v>335</v>
      </c>
      <c r="C340" s="15"/>
      <c r="D340" s="16"/>
      <c r="E340" s="62"/>
      <c r="F340" s="18"/>
      <c r="G340" s="13" t="str">
        <f>IF(ISBLANK(F340),"",INT((Parâmetros!$B$3-F340)/365.25))</f>
        <v/>
      </c>
      <c r="H340" s="11"/>
      <c r="I340" s="36" t="str">
        <f t="shared" si="15"/>
        <v/>
      </c>
      <c r="J340" s="77"/>
      <c r="K340" s="14" t="b">
        <f t="shared" si="17"/>
        <v>0</v>
      </c>
      <c r="L340" s="38" t="str">
        <f t="shared" si="16"/>
        <v/>
      </c>
      <c r="M340" s="13" t="str">
        <f>IF(ISBLANK(H340),"",IF(I340-Parâmetros!$B$3+1&lt;=30,I340-Parâmetros!$B$3+1,IF(I340-Parâmetros!$B$3+1&gt;30,I340-Parâmetros!$B$3+1)))</f>
        <v/>
      </c>
    </row>
    <row r="341" spans="2:13" x14ac:dyDescent="0.25">
      <c r="B341" s="67">
        <v>336</v>
      </c>
      <c r="C341" s="19"/>
      <c r="D341" s="33"/>
      <c r="E341" s="61"/>
      <c r="F341" s="34"/>
      <c r="G341" s="22" t="str">
        <f>IF(ISBLANK(F341),"",INT((Parâmetros!$B$3-F341)/365.25))</f>
        <v/>
      </c>
      <c r="H341" s="64"/>
      <c r="I341" s="37" t="str">
        <f t="shared" si="15"/>
        <v/>
      </c>
      <c r="J341" s="78"/>
      <c r="K341" s="14" t="b">
        <f t="shared" si="17"/>
        <v>0</v>
      </c>
      <c r="L341" s="39" t="str">
        <f t="shared" si="16"/>
        <v/>
      </c>
      <c r="M341" s="22" t="str">
        <f>IF(ISBLANK(H341),"",IF(I341-Parâmetros!$B$3+1&lt;=30,I341-Parâmetros!$B$3+1,IF(I341-Parâmetros!$B$3+1&gt;30,I341-Parâmetros!$B$3+1)))</f>
        <v/>
      </c>
    </row>
    <row r="342" spans="2:13" x14ac:dyDescent="0.25">
      <c r="B342" s="68">
        <v>337</v>
      </c>
      <c r="C342" s="15"/>
      <c r="D342" s="16"/>
      <c r="E342" s="62"/>
      <c r="F342" s="18"/>
      <c r="G342" s="13" t="str">
        <f>IF(ISBLANK(F342),"",INT((Parâmetros!$B$3-F342)/365.25))</f>
        <v/>
      </c>
      <c r="H342" s="11"/>
      <c r="I342" s="36" t="str">
        <f t="shared" si="15"/>
        <v/>
      </c>
      <c r="J342" s="77"/>
      <c r="K342" s="14" t="b">
        <f t="shared" si="17"/>
        <v>0</v>
      </c>
      <c r="L342" s="38" t="str">
        <f t="shared" si="16"/>
        <v/>
      </c>
      <c r="M342" s="13" t="str">
        <f>IF(ISBLANK(H342),"",IF(I342-Parâmetros!$B$3+1&lt;=30,I342-Parâmetros!$B$3+1,IF(I342-Parâmetros!$B$3+1&gt;30,I342-Parâmetros!$B$3+1)))</f>
        <v/>
      </c>
    </row>
    <row r="343" spans="2:13" x14ac:dyDescent="0.25">
      <c r="B343" s="67">
        <v>338</v>
      </c>
      <c r="C343" s="19"/>
      <c r="D343" s="33"/>
      <c r="E343" s="61"/>
      <c r="F343" s="34"/>
      <c r="G343" s="22" t="str">
        <f>IF(ISBLANK(F343),"",INT((Parâmetros!$B$3-F343)/365.25))</f>
        <v/>
      </c>
      <c r="H343" s="64"/>
      <c r="I343" s="37" t="str">
        <f t="shared" si="15"/>
        <v/>
      </c>
      <c r="J343" s="78"/>
      <c r="K343" s="14" t="b">
        <f t="shared" si="17"/>
        <v>0</v>
      </c>
      <c r="L343" s="39" t="str">
        <f t="shared" si="16"/>
        <v/>
      </c>
      <c r="M343" s="22" t="str">
        <f>IF(ISBLANK(H343),"",IF(I343-Parâmetros!$B$3+1&lt;=30,I343-Parâmetros!$B$3+1,IF(I343-Parâmetros!$B$3+1&gt;30,I343-Parâmetros!$B$3+1)))</f>
        <v/>
      </c>
    </row>
    <row r="344" spans="2:13" x14ac:dyDescent="0.25">
      <c r="B344" s="68">
        <v>339</v>
      </c>
      <c r="C344" s="15"/>
      <c r="D344" s="16"/>
      <c r="E344" s="62"/>
      <c r="F344" s="18"/>
      <c r="G344" s="13" t="str">
        <f>IF(ISBLANK(F344),"",INT((Parâmetros!$B$3-F344)/365.25))</f>
        <v/>
      </c>
      <c r="H344" s="11"/>
      <c r="I344" s="36" t="str">
        <f t="shared" si="15"/>
        <v/>
      </c>
      <c r="J344" s="77"/>
      <c r="K344" s="14" t="b">
        <f t="shared" si="17"/>
        <v>0</v>
      </c>
      <c r="L344" s="38" t="str">
        <f t="shared" si="16"/>
        <v/>
      </c>
      <c r="M344" s="13" t="str">
        <f>IF(ISBLANK(H344),"",IF(I344-Parâmetros!$B$3+1&lt;=30,I344-Parâmetros!$B$3+1,IF(I344-Parâmetros!$B$3+1&gt;30,I344-Parâmetros!$B$3+1)))</f>
        <v/>
      </c>
    </row>
    <row r="345" spans="2:13" x14ac:dyDescent="0.25">
      <c r="B345" s="67">
        <v>340</v>
      </c>
      <c r="C345" s="19"/>
      <c r="D345" s="33"/>
      <c r="E345" s="61"/>
      <c r="F345" s="34"/>
      <c r="G345" s="22" t="str">
        <f>IF(ISBLANK(F345),"",INT((Parâmetros!$B$3-F345)/365.25))</f>
        <v/>
      </c>
      <c r="H345" s="64"/>
      <c r="I345" s="37" t="str">
        <f t="shared" si="15"/>
        <v/>
      </c>
      <c r="J345" s="78"/>
      <c r="K345" s="14" t="b">
        <f t="shared" si="17"/>
        <v>0</v>
      </c>
      <c r="L345" s="39" t="str">
        <f t="shared" si="16"/>
        <v/>
      </c>
      <c r="M345" s="22" t="str">
        <f>IF(ISBLANK(H345),"",IF(I345-Parâmetros!$B$3+1&lt;=30,I345-Parâmetros!$B$3+1,IF(I345-Parâmetros!$B$3+1&gt;30,I345-Parâmetros!$B$3+1)))</f>
        <v/>
      </c>
    </row>
    <row r="346" spans="2:13" x14ac:dyDescent="0.25">
      <c r="B346" s="68">
        <v>341</v>
      </c>
      <c r="C346" s="15"/>
      <c r="D346" s="16"/>
      <c r="E346" s="62"/>
      <c r="F346" s="18"/>
      <c r="G346" s="13" t="str">
        <f>IF(ISBLANK(F346),"",INT((Parâmetros!$B$3-F346)/365.25))</f>
        <v/>
      </c>
      <c r="H346" s="11"/>
      <c r="I346" s="36" t="str">
        <f t="shared" si="15"/>
        <v/>
      </c>
      <c r="J346" s="77"/>
      <c r="K346" s="14" t="b">
        <f t="shared" si="17"/>
        <v>0</v>
      </c>
      <c r="L346" s="38" t="str">
        <f t="shared" si="16"/>
        <v/>
      </c>
      <c r="M346" s="13" t="str">
        <f>IF(ISBLANK(H346),"",IF(I346-Parâmetros!$B$3+1&lt;=30,I346-Parâmetros!$B$3+1,IF(I346-Parâmetros!$B$3+1&gt;30,I346-Parâmetros!$B$3+1)))</f>
        <v/>
      </c>
    </row>
    <row r="347" spans="2:13" x14ac:dyDescent="0.25">
      <c r="B347" s="67">
        <v>342</v>
      </c>
      <c r="C347" s="19"/>
      <c r="D347" s="33"/>
      <c r="E347" s="61"/>
      <c r="F347" s="34"/>
      <c r="G347" s="22" t="str">
        <f>IF(ISBLANK(F347),"",INT((Parâmetros!$B$3-F347)/365.25))</f>
        <v/>
      </c>
      <c r="H347" s="64"/>
      <c r="I347" s="37" t="str">
        <f t="shared" si="15"/>
        <v/>
      </c>
      <c r="J347" s="78"/>
      <c r="K347" s="14" t="b">
        <f t="shared" si="17"/>
        <v>0</v>
      </c>
      <c r="L347" s="39" t="str">
        <f t="shared" si="16"/>
        <v/>
      </c>
      <c r="M347" s="22" t="str">
        <f>IF(ISBLANK(H347),"",IF(I347-Parâmetros!$B$3+1&lt;=30,I347-Parâmetros!$B$3+1,IF(I347-Parâmetros!$B$3+1&gt;30,I347-Parâmetros!$B$3+1)))</f>
        <v/>
      </c>
    </row>
    <row r="348" spans="2:13" x14ac:dyDescent="0.25">
      <c r="B348" s="68">
        <v>343</v>
      </c>
      <c r="C348" s="15"/>
      <c r="D348" s="16"/>
      <c r="E348" s="62"/>
      <c r="F348" s="18"/>
      <c r="G348" s="13" t="str">
        <f>IF(ISBLANK(F348),"",INT((Parâmetros!$B$3-F348)/365.25))</f>
        <v/>
      </c>
      <c r="H348" s="11"/>
      <c r="I348" s="36" t="str">
        <f t="shared" si="15"/>
        <v/>
      </c>
      <c r="J348" s="77"/>
      <c r="K348" s="14" t="b">
        <f t="shared" si="17"/>
        <v>0</v>
      </c>
      <c r="L348" s="38" t="str">
        <f t="shared" si="16"/>
        <v/>
      </c>
      <c r="M348" s="13" t="str">
        <f>IF(ISBLANK(H348),"",IF(I348-Parâmetros!$B$3+1&lt;=30,I348-Parâmetros!$B$3+1,IF(I348-Parâmetros!$B$3+1&gt;30,I348-Parâmetros!$B$3+1)))</f>
        <v/>
      </c>
    </row>
    <row r="349" spans="2:13" x14ac:dyDescent="0.25">
      <c r="B349" s="67">
        <v>344</v>
      </c>
      <c r="C349" s="19"/>
      <c r="D349" s="33"/>
      <c r="E349" s="61"/>
      <c r="F349" s="34"/>
      <c r="G349" s="22" t="str">
        <f>IF(ISBLANK(F349),"",INT((Parâmetros!$B$3-F349)/365.25))</f>
        <v/>
      </c>
      <c r="H349" s="64"/>
      <c r="I349" s="37" t="str">
        <f t="shared" si="15"/>
        <v/>
      </c>
      <c r="J349" s="78"/>
      <c r="K349" s="14" t="b">
        <f t="shared" si="17"/>
        <v>0</v>
      </c>
      <c r="L349" s="39" t="str">
        <f t="shared" si="16"/>
        <v/>
      </c>
      <c r="M349" s="22" t="str">
        <f>IF(ISBLANK(H349),"",IF(I349-Parâmetros!$B$3+1&lt;=30,I349-Parâmetros!$B$3+1,IF(I349-Parâmetros!$B$3+1&gt;30,I349-Parâmetros!$B$3+1)))</f>
        <v/>
      </c>
    </row>
    <row r="350" spans="2:13" x14ac:dyDescent="0.25">
      <c r="B350" s="68">
        <v>345</v>
      </c>
      <c r="C350" s="15"/>
      <c r="D350" s="16"/>
      <c r="E350" s="62"/>
      <c r="F350" s="18"/>
      <c r="G350" s="13" t="str">
        <f>IF(ISBLANK(F350),"",INT((Parâmetros!$B$3-F350)/365.25))</f>
        <v/>
      </c>
      <c r="H350" s="11"/>
      <c r="I350" s="36" t="str">
        <f t="shared" si="15"/>
        <v/>
      </c>
      <c r="J350" s="77"/>
      <c r="K350" s="14" t="b">
        <f t="shared" si="17"/>
        <v>0</v>
      </c>
      <c r="L350" s="38" t="str">
        <f t="shared" si="16"/>
        <v/>
      </c>
      <c r="M350" s="13" t="str">
        <f>IF(ISBLANK(H350),"",IF(I350-Parâmetros!$B$3+1&lt;=30,I350-Parâmetros!$B$3+1,IF(I350-Parâmetros!$B$3+1&gt;30,I350-Parâmetros!$B$3+1)))</f>
        <v/>
      </c>
    </row>
    <row r="351" spans="2:13" x14ac:dyDescent="0.25">
      <c r="B351" s="67">
        <v>346</v>
      </c>
      <c r="C351" s="19"/>
      <c r="D351" s="33"/>
      <c r="E351" s="61"/>
      <c r="F351" s="34"/>
      <c r="G351" s="22" t="str">
        <f>IF(ISBLANK(F351),"",INT((Parâmetros!$B$3-F351)/365.25))</f>
        <v/>
      </c>
      <c r="H351" s="64"/>
      <c r="I351" s="37" t="str">
        <f t="shared" si="15"/>
        <v/>
      </c>
      <c r="J351" s="78"/>
      <c r="K351" s="14" t="b">
        <f t="shared" si="17"/>
        <v>0</v>
      </c>
      <c r="L351" s="39" t="str">
        <f t="shared" si="16"/>
        <v/>
      </c>
      <c r="M351" s="22" t="str">
        <f>IF(ISBLANK(H351),"",IF(I351-Parâmetros!$B$3+1&lt;=30,I351-Parâmetros!$B$3+1,IF(I351-Parâmetros!$B$3+1&gt;30,I351-Parâmetros!$B$3+1)))</f>
        <v/>
      </c>
    </row>
    <row r="352" spans="2:13" x14ac:dyDescent="0.25">
      <c r="B352" s="68">
        <v>347</v>
      </c>
      <c r="C352" s="15"/>
      <c r="D352" s="16"/>
      <c r="E352" s="62"/>
      <c r="F352" s="18"/>
      <c r="G352" s="13" t="str">
        <f>IF(ISBLANK(F352),"",INT((Parâmetros!$B$3-F352)/365.25))</f>
        <v/>
      </c>
      <c r="H352" s="11"/>
      <c r="I352" s="36" t="str">
        <f t="shared" si="15"/>
        <v/>
      </c>
      <c r="J352" s="77"/>
      <c r="K352" s="14" t="b">
        <f t="shared" si="17"/>
        <v>0</v>
      </c>
      <c r="L352" s="38" t="str">
        <f t="shared" si="16"/>
        <v/>
      </c>
      <c r="M352" s="13" t="str">
        <f>IF(ISBLANK(H352),"",IF(I352-Parâmetros!$B$3+1&lt;=30,I352-Parâmetros!$B$3+1,IF(I352-Parâmetros!$B$3+1&gt;30,I352-Parâmetros!$B$3+1)))</f>
        <v/>
      </c>
    </row>
    <row r="353" spans="2:13" x14ac:dyDescent="0.25">
      <c r="B353" s="67">
        <v>348</v>
      </c>
      <c r="C353" s="19"/>
      <c r="D353" s="33"/>
      <c r="E353" s="61"/>
      <c r="F353" s="34"/>
      <c r="G353" s="22" t="str">
        <f>IF(ISBLANK(F353),"",INT((Parâmetros!$B$3-F353)/365.25))</f>
        <v/>
      </c>
      <c r="H353" s="64"/>
      <c r="I353" s="37" t="str">
        <f t="shared" si="15"/>
        <v/>
      </c>
      <c r="J353" s="78"/>
      <c r="K353" s="14" t="b">
        <f t="shared" si="17"/>
        <v>0</v>
      </c>
      <c r="L353" s="39" t="str">
        <f t="shared" si="16"/>
        <v/>
      </c>
      <c r="M353" s="22" t="str">
        <f>IF(ISBLANK(H353),"",IF(I353-Parâmetros!$B$3+1&lt;=30,I353-Parâmetros!$B$3+1,IF(I353-Parâmetros!$B$3+1&gt;30,I353-Parâmetros!$B$3+1)))</f>
        <v/>
      </c>
    </row>
    <row r="354" spans="2:13" x14ac:dyDescent="0.25">
      <c r="B354" s="68">
        <v>349</v>
      </c>
      <c r="C354" s="15"/>
      <c r="D354" s="16"/>
      <c r="E354" s="62"/>
      <c r="F354" s="18"/>
      <c r="G354" s="13" t="str">
        <f>IF(ISBLANK(F354),"",INT((Parâmetros!$B$3-F354)/365.25))</f>
        <v/>
      </c>
      <c r="H354" s="11"/>
      <c r="I354" s="36" t="str">
        <f t="shared" si="15"/>
        <v/>
      </c>
      <c r="J354" s="77"/>
      <c r="K354" s="14" t="b">
        <f t="shared" si="17"/>
        <v>0</v>
      </c>
      <c r="L354" s="38" t="str">
        <f t="shared" si="16"/>
        <v/>
      </c>
      <c r="M354" s="13" t="str">
        <f>IF(ISBLANK(H354),"",IF(I354-Parâmetros!$B$3+1&lt;=30,I354-Parâmetros!$B$3+1,IF(I354-Parâmetros!$B$3+1&gt;30,I354-Parâmetros!$B$3+1)))</f>
        <v/>
      </c>
    </row>
    <row r="355" spans="2:13" x14ac:dyDescent="0.25">
      <c r="B355" s="67">
        <v>350</v>
      </c>
      <c r="C355" s="19"/>
      <c r="D355" s="35"/>
      <c r="E355" s="61"/>
      <c r="F355" s="34"/>
      <c r="G355" s="22" t="str">
        <f>IF(ISBLANK(F355),"",INT((Parâmetros!$B$3-F355)/365.25))</f>
        <v/>
      </c>
      <c r="H355" s="64"/>
      <c r="I355" s="37" t="str">
        <f t="shared" si="15"/>
        <v/>
      </c>
      <c r="J355" s="78"/>
      <c r="K355" s="14" t="b">
        <f t="shared" si="17"/>
        <v>0</v>
      </c>
      <c r="L355" s="39" t="str">
        <f t="shared" si="16"/>
        <v/>
      </c>
      <c r="M355" s="22" t="str">
        <f>IF(ISBLANK(H355),"",IF(I355-Parâmetros!$B$3+1&lt;=30,I355-Parâmetros!$B$3+1,IF(I355-Parâmetros!$B$3+1&gt;30,I355-Parâmetros!$B$3+1)))</f>
        <v/>
      </c>
    </row>
    <row r="356" spans="2:13" x14ac:dyDescent="0.25">
      <c r="B356" s="68">
        <v>351</v>
      </c>
      <c r="C356" s="42"/>
      <c r="D356" s="43"/>
      <c r="E356" s="63"/>
      <c r="F356" s="44"/>
      <c r="G356" s="13" t="str">
        <f>IF(ISBLANK(F356),"",INT((Parâmetros!$B$3-F356)/365.25))</f>
        <v/>
      </c>
      <c r="H356" s="65"/>
      <c r="I356" s="36" t="str">
        <f t="shared" si="15"/>
        <v/>
      </c>
      <c r="J356" s="77"/>
      <c r="K356" s="14" t="b">
        <f t="shared" si="17"/>
        <v>0</v>
      </c>
      <c r="L356" s="38" t="str">
        <f t="shared" si="16"/>
        <v/>
      </c>
      <c r="M356" s="13" t="str">
        <f>IF(ISBLANK(H356),"",IF(I356-Parâmetros!$B$3+1&lt;=30,I356-Parâmetros!$B$3+1,IF(I356-Parâmetros!$B$3+1&gt;30,I356-Parâmetros!$B$3+1)))</f>
        <v/>
      </c>
    </row>
    <row r="357" spans="2:13" x14ac:dyDescent="0.25">
      <c r="B357" s="67">
        <v>352</v>
      </c>
      <c r="C357" s="19"/>
      <c r="D357" s="35"/>
      <c r="E357" s="61"/>
      <c r="F357" s="34"/>
      <c r="G357" s="22" t="str">
        <f>IF(ISBLANK(F357),"",INT((Parâmetros!$B$3-F357)/365.25))</f>
        <v/>
      </c>
      <c r="H357" s="64"/>
      <c r="I357" s="37" t="str">
        <f t="shared" si="15"/>
        <v/>
      </c>
      <c r="J357" s="78"/>
      <c r="K357" s="14" t="b">
        <f t="shared" si="17"/>
        <v>0</v>
      </c>
      <c r="L357" s="39" t="str">
        <f t="shared" si="16"/>
        <v/>
      </c>
      <c r="M357" s="22" t="str">
        <f>IF(ISBLANK(H357),"",IF(I357-Parâmetros!$B$3+1&lt;=30,I357-Parâmetros!$B$3+1,IF(I357-Parâmetros!$B$3+1&gt;30,I357-Parâmetros!$B$3+1)))</f>
        <v/>
      </c>
    </row>
    <row r="358" spans="2:13" x14ac:dyDescent="0.25">
      <c r="B358" s="68">
        <v>353</v>
      </c>
      <c r="C358" s="42"/>
      <c r="D358" s="43"/>
      <c r="E358" s="63"/>
      <c r="F358" s="44"/>
      <c r="G358" s="13" t="str">
        <f>IF(ISBLANK(F358),"",INT((Parâmetros!$B$3-F358)/365.25))</f>
        <v/>
      </c>
      <c r="H358" s="65"/>
      <c r="I358" s="36" t="str">
        <f t="shared" si="15"/>
        <v/>
      </c>
      <c r="J358" s="77"/>
      <c r="K358" s="14" t="b">
        <f t="shared" si="17"/>
        <v>0</v>
      </c>
      <c r="L358" s="38" t="str">
        <f t="shared" si="16"/>
        <v/>
      </c>
      <c r="M358" s="13" t="str">
        <f>IF(ISBLANK(H358),"",IF(I358-Parâmetros!$B$3+1&lt;=30,I358-Parâmetros!$B$3+1,IF(I358-Parâmetros!$B$3+1&gt;30,I358-Parâmetros!$B$3+1)))</f>
        <v/>
      </c>
    </row>
    <row r="359" spans="2:13" x14ac:dyDescent="0.25">
      <c r="B359" s="67">
        <v>354</v>
      </c>
      <c r="C359" s="19"/>
      <c r="D359" s="35"/>
      <c r="E359" s="61"/>
      <c r="F359" s="34"/>
      <c r="G359" s="22" t="str">
        <f>IF(ISBLANK(F359),"",INT((Parâmetros!$B$3-F359)/365.25))</f>
        <v/>
      </c>
      <c r="H359" s="64"/>
      <c r="I359" s="37" t="str">
        <f t="shared" si="15"/>
        <v/>
      </c>
      <c r="J359" s="78"/>
      <c r="K359" s="14" t="b">
        <f t="shared" si="17"/>
        <v>0</v>
      </c>
      <c r="L359" s="39" t="str">
        <f t="shared" si="16"/>
        <v/>
      </c>
      <c r="M359" s="22" t="str">
        <f>IF(ISBLANK(H359),"",IF(I359-Parâmetros!$B$3+1&lt;=30,I359-Parâmetros!$B$3+1,IF(I359-Parâmetros!$B$3+1&gt;30,I359-Parâmetros!$B$3+1)))</f>
        <v/>
      </c>
    </row>
    <row r="360" spans="2:13" x14ac:dyDescent="0.25">
      <c r="B360" s="68">
        <v>355</v>
      </c>
      <c r="C360" s="42"/>
      <c r="D360" s="43"/>
      <c r="E360" s="63"/>
      <c r="F360" s="44"/>
      <c r="G360" s="13" t="str">
        <f>IF(ISBLANK(F360),"",INT((Parâmetros!$B$3-F360)/365.25))</f>
        <v/>
      </c>
      <c r="H360" s="65"/>
      <c r="I360" s="36" t="str">
        <f t="shared" si="15"/>
        <v/>
      </c>
      <c r="J360" s="77"/>
      <c r="K360" s="14" t="b">
        <f t="shared" si="17"/>
        <v>0</v>
      </c>
      <c r="L360" s="38" t="str">
        <f t="shared" si="16"/>
        <v/>
      </c>
      <c r="M360" s="13" t="str">
        <f>IF(ISBLANK(H360),"",IF(I360-Parâmetros!$B$3+1&lt;=30,I360-Parâmetros!$B$3+1,IF(I360-Parâmetros!$B$3+1&gt;30,I360-Parâmetros!$B$3+1)))</f>
        <v/>
      </c>
    </row>
    <row r="361" spans="2:13" x14ac:dyDescent="0.25">
      <c r="B361" s="67">
        <v>356</v>
      </c>
      <c r="C361" s="19"/>
      <c r="D361" s="35"/>
      <c r="E361" s="61"/>
      <c r="F361" s="34"/>
      <c r="G361" s="22" t="str">
        <f>IF(ISBLANK(F361),"",INT((Parâmetros!$B$3-F361)/365.25))</f>
        <v/>
      </c>
      <c r="H361" s="64"/>
      <c r="I361" s="37" t="str">
        <f t="shared" si="15"/>
        <v/>
      </c>
      <c r="J361" s="78"/>
      <c r="K361" s="14" t="b">
        <f t="shared" si="17"/>
        <v>0</v>
      </c>
      <c r="L361" s="39" t="str">
        <f t="shared" si="16"/>
        <v/>
      </c>
      <c r="M361" s="22" t="str">
        <f>IF(ISBLANK(H361),"",IF(I361-Parâmetros!$B$3+1&lt;=30,I361-Parâmetros!$B$3+1,IF(I361-Parâmetros!$B$3+1&gt;30,I361-Parâmetros!$B$3+1)))</f>
        <v/>
      </c>
    </row>
    <row r="362" spans="2:13" x14ac:dyDescent="0.25">
      <c r="B362" s="68">
        <v>357</v>
      </c>
      <c r="C362" s="42"/>
      <c r="D362" s="43"/>
      <c r="E362" s="63"/>
      <c r="F362" s="44"/>
      <c r="G362" s="13" t="str">
        <f>IF(ISBLANK(F362),"",INT((Parâmetros!$B$3-F362)/365.25))</f>
        <v/>
      </c>
      <c r="H362" s="65"/>
      <c r="I362" s="36" t="str">
        <f t="shared" si="15"/>
        <v/>
      </c>
      <c r="J362" s="77"/>
      <c r="K362" s="14" t="b">
        <f t="shared" si="17"/>
        <v>0</v>
      </c>
      <c r="L362" s="38" t="str">
        <f t="shared" si="16"/>
        <v/>
      </c>
      <c r="M362" s="13" t="str">
        <f>IF(ISBLANK(H362),"",IF(I362-Parâmetros!$B$3+1&lt;=30,I362-Parâmetros!$B$3+1,IF(I362-Parâmetros!$B$3+1&gt;30,I362-Parâmetros!$B$3+1)))</f>
        <v/>
      </c>
    </row>
    <row r="363" spans="2:13" x14ac:dyDescent="0.25">
      <c r="B363" s="67">
        <v>358</v>
      </c>
      <c r="C363" s="19"/>
      <c r="D363" s="35"/>
      <c r="E363" s="61"/>
      <c r="F363" s="34"/>
      <c r="G363" s="22" t="str">
        <f>IF(ISBLANK(F363),"",INT((Parâmetros!$B$3-F363)/365.25))</f>
        <v/>
      </c>
      <c r="H363" s="64"/>
      <c r="I363" s="37" t="str">
        <f t="shared" si="15"/>
        <v/>
      </c>
      <c r="J363" s="78"/>
      <c r="K363" s="14" t="b">
        <f t="shared" si="17"/>
        <v>0</v>
      </c>
      <c r="L363" s="39" t="str">
        <f t="shared" si="16"/>
        <v/>
      </c>
      <c r="M363" s="22" t="str">
        <f>IF(ISBLANK(H363),"",IF(I363-Parâmetros!$B$3+1&lt;=30,I363-Parâmetros!$B$3+1,IF(I363-Parâmetros!$B$3+1&gt;30,I363-Parâmetros!$B$3+1)))</f>
        <v/>
      </c>
    </row>
    <row r="364" spans="2:13" x14ac:dyDescent="0.25">
      <c r="B364" s="68">
        <v>359</v>
      </c>
      <c r="C364" s="42"/>
      <c r="D364" s="43"/>
      <c r="E364" s="63"/>
      <c r="F364" s="44"/>
      <c r="G364" s="13" t="str">
        <f>IF(ISBLANK(F364),"",INT((Parâmetros!$B$3-F364)/365.25))</f>
        <v/>
      </c>
      <c r="H364" s="65"/>
      <c r="I364" s="36" t="str">
        <f t="shared" si="15"/>
        <v/>
      </c>
      <c r="J364" s="77"/>
      <c r="K364" s="14" t="b">
        <f t="shared" si="17"/>
        <v>0</v>
      </c>
      <c r="L364" s="38" t="str">
        <f t="shared" si="16"/>
        <v/>
      </c>
      <c r="M364" s="13" t="str">
        <f>IF(ISBLANK(H364),"",IF(I364-Parâmetros!$B$3+1&lt;=30,I364-Parâmetros!$B$3+1,IF(I364-Parâmetros!$B$3+1&gt;30,I364-Parâmetros!$B$3+1)))</f>
        <v/>
      </c>
    </row>
    <row r="365" spans="2:13" x14ac:dyDescent="0.25">
      <c r="B365" s="67">
        <v>360</v>
      </c>
      <c r="C365" s="19"/>
      <c r="D365" s="35"/>
      <c r="E365" s="61"/>
      <c r="F365" s="34"/>
      <c r="G365" s="22" t="str">
        <f>IF(ISBLANK(F365),"",INT((Parâmetros!$B$3-F365)/365.25))</f>
        <v/>
      </c>
      <c r="H365" s="64"/>
      <c r="I365" s="37" t="str">
        <f t="shared" si="15"/>
        <v/>
      </c>
      <c r="J365" s="78"/>
      <c r="K365" s="14" t="b">
        <f t="shared" si="17"/>
        <v>0</v>
      </c>
      <c r="L365" s="39" t="str">
        <f t="shared" si="16"/>
        <v/>
      </c>
      <c r="M365" s="22" t="str">
        <f>IF(ISBLANK(H365),"",IF(I365-Parâmetros!$B$3+1&lt;=30,I365-Parâmetros!$B$3+1,IF(I365-Parâmetros!$B$3+1&gt;30,I365-Parâmetros!$B$3+1)))</f>
        <v/>
      </c>
    </row>
    <row r="366" spans="2:13" x14ac:dyDescent="0.25">
      <c r="B366" s="68">
        <v>361</v>
      </c>
      <c r="C366" s="42"/>
      <c r="D366" s="43"/>
      <c r="E366" s="63"/>
      <c r="F366" s="44"/>
      <c r="G366" s="13" t="str">
        <f>IF(ISBLANK(F366),"",INT((Parâmetros!$B$3-F366)/365.25))</f>
        <v/>
      </c>
      <c r="H366" s="65"/>
      <c r="I366" s="36" t="str">
        <f t="shared" si="15"/>
        <v/>
      </c>
      <c r="J366" s="77"/>
      <c r="K366" s="14" t="b">
        <f t="shared" si="17"/>
        <v>0</v>
      </c>
      <c r="L366" s="38" t="str">
        <f t="shared" si="16"/>
        <v/>
      </c>
      <c r="M366" s="13" t="str">
        <f>IF(ISBLANK(H366),"",IF(I366-Parâmetros!$B$3+1&lt;=30,I366-Parâmetros!$B$3+1,IF(I366-Parâmetros!$B$3+1&gt;30,I366-Parâmetros!$B$3+1)))</f>
        <v/>
      </c>
    </row>
    <row r="367" spans="2:13" x14ac:dyDescent="0.25">
      <c r="B367" s="67">
        <v>362</v>
      </c>
      <c r="C367" s="19"/>
      <c r="D367" s="35"/>
      <c r="E367" s="61"/>
      <c r="F367" s="34"/>
      <c r="G367" s="22" t="str">
        <f>IF(ISBLANK(F367),"",INT((Parâmetros!$B$3-F367)/365.25))</f>
        <v/>
      </c>
      <c r="H367" s="64"/>
      <c r="I367" s="37" t="str">
        <f t="shared" si="15"/>
        <v/>
      </c>
      <c r="J367" s="78"/>
      <c r="K367" s="14" t="b">
        <f t="shared" si="17"/>
        <v>0</v>
      </c>
      <c r="L367" s="39" t="str">
        <f t="shared" si="16"/>
        <v/>
      </c>
      <c r="M367" s="22" t="str">
        <f>IF(ISBLANK(H367),"",IF(I367-Parâmetros!$B$3+1&lt;=30,I367-Parâmetros!$B$3+1,IF(I367-Parâmetros!$B$3+1&gt;30,I367-Parâmetros!$B$3+1)))</f>
        <v/>
      </c>
    </row>
    <row r="368" spans="2:13" x14ac:dyDescent="0.25">
      <c r="B368" s="68">
        <v>363</v>
      </c>
      <c r="C368" s="42"/>
      <c r="D368" s="43"/>
      <c r="E368" s="63"/>
      <c r="F368" s="44"/>
      <c r="G368" s="13" t="str">
        <f>IF(ISBLANK(F368),"",INT((Parâmetros!$B$3-F368)/365.25))</f>
        <v/>
      </c>
      <c r="H368" s="65"/>
      <c r="I368" s="36" t="str">
        <f t="shared" si="15"/>
        <v/>
      </c>
      <c r="J368" s="77"/>
      <c r="K368" s="14" t="b">
        <f t="shared" si="17"/>
        <v>0</v>
      </c>
      <c r="L368" s="38" t="str">
        <f t="shared" si="16"/>
        <v/>
      </c>
      <c r="M368" s="13" t="str">
        <f>IF(ISBLANK(H368),"",IF(I368-Parâmetros!$B$3+1&lt;=30,I368-Parâmetros!$B$3+1,IF(I368-Parâmetros!$B$3+1&gt;30,I368-Parâmetros!$B$3+1)))</f>
        <v/>
      </c>
    </row>
    <row r="369" spans="2:13" x14ac:dyDescent="0.25">
      <c r="B369" s="67">
        <v>364</v>
      </c>
      <c r="C369" s="19"/>
      <c r="D369" s="35"/>
      <c r="E369" s="61"/>
      <c r="F369" s="34"/>
      <c r="G369" s="22" t="str">
        <f>IF(ISBLANK(F369),"",INT((Parâmetros!$B$3-F369)/365.25))</f>
        <v/>
      </c>
      <c r="H369" s="64"/>
      <c r="I369" s="37" t="str">
        <f t="shared" si="15"/>
        <v/>
      </c>
      <c r="J369" s="78"/>
      <c r="K369" s="14" t="b">
        <f t="shared" si="17"/>
        <v>0</v>
      </c>
      <c r="L369" s="39" t="str">
        <f t="shared" si="16"/>
        <v/>
      </c>
      <c r="M369" s="22" t="str">
        <f>IF(ISBLANK(H369),"",IF(I369-Parâmetros!$B$3+1&lt;=30,I369-Parâmetros!$B$3+1,IF(I369-Parâmetros!$B$3+1&gt;30,I369-Parâmetros!$B$3+1)))</f>
        <v/>
      </c>
    </row>
    <row r="370" spans="2:13" x14ac:dyDescent="0.25">
      <c r="B370" s="68">
        <v>365</v>
      </c>
      <c r="C370" s="42"/>
      <c r="D370" s="43"/>
      <c r="E370" s="63"/>
      <c r="F370" s="44"/>
      <c r="G370" s="13" t="str">
        <f>IF(ISBLANK(F370),"",INT((Parâmetros!$B$3-F370)/365.25))</f>
        <v/>
      </c>
      <c r="H370" s="65"/>
      <c r="I370" s="36" t="str">
        <f t="shared" si="15"/>
        <v/>
      </c>
      <c r="J370" s="77"/>
      <c r="K370" s="14" t="b">
        <f t="shared" si="17"/>
        <v>0</v>
      </c>
      <c r="L370" s="38" t="str">
        <f t="shared" si="16"/>
        <v/>
      </c>
      <c r="M370" s="13" t="str">
        <f>IF(ISBLANK(H370),"",IF(I370-Parâmetros!$B$3+1&lt;=30,I370-Parâmetros!$B$3+1,IF(I370-Parâmetros!$B$3+1&gt;30,I370-Parâmetros!$B$3+1)))</f>
        <v/>
      </c>
    </row>
    <row r="371" spans="2:13" x14ac:dyDescent="0.25">
      <c r="B371" s="67">
        <v>366</v>
      </c>
      <c r="C371" s="19"/>
      <c r="D371" s="35"/>
      <c r="E371" s="61"/>
      <c r="F371" s="34"/>
      <c r="G371" s="22" t="str">
        <f>IF(ISBLANK(F371),"",INT((Parâmetros!$B$3-F371)/365.25))</f>
        <v/>
      </c>
      <c r="H371" s="64"/>
      <c r="I371" s="37" t="str">
        <f t="shared" si="15"/>
        <v/>
      </c>
      <c r="J371" s="78"/>
      <c r="K371" s="14" t="b">
        <f t="shared" si="17"/>
        <v>0</v>
      </c>
      <c r="L371" s="39" t="str">
        <f t="shared" si="16"/>
        <v/>
      </c>
      <c r="M371" s="22" t="str">
        <f>IF(ISBLANK(H371),"",IF(I371-Parâmetros!$B$3+1&lt;=30,I371-Parâmetros!$B$3+1,IF(I371-Parâmetros!$B$3+1&gt;30,I371-Parâmetros!$B$3+1)))</f>
        <v/>
      </c>
    </row>
    <row r="372" spans="2:13" x14ac:dyDescent="0.25">
      <c r="B372" s="68">
        <v>367</v>
      </c>
      <c r="C372" s="42"/>
      <c r="D372" s="43"/>
      <c r="E372" s="63"/>
      <c r="F372" s="44"/>
      <c r="G372" s="13" t="str">
        <f>IF(ISBLANK(F372),"",INT((Parâmetros!$B$3-F372)/365.25))</f>
        <v/>
      </c>
      <c r="H372" s="65"/>
      <c r="I372" s="36" t="str">
        <f t="shared" si="15"/>
        <v/>
      </c>
      <c r="J372" s="77"/>
      <c r="K372" s="14" t="b">
        <f t="shared" si="17"/>
        <v>0</v>
      </c>
      <c r="L372" s="38" t="str">
        <f t="shared" si="16"/>
        <v/>
      </c>
      <c r="M372" s="13" t="str">
        <f>IF(ISBLANK(H372),"",IF(I372-Parâmetros!$B$3+1&lt;=30,I372-Parâmetros!$B$3+1,IF(I372-Parâmetros!$B$3+1&gt;30,I372-Parâmetros!$B$3+1)))</f>
        <v/>
      </c>
    </row>
    <row r="373" spans="2:13" x14ac:dyDescent="0.25">
      <c r="B373" s="67">
        <v>368</v>
      </c>
      <c r="C373" s="19"/>
      <c r="D373" s="35"/>
      <c r="E373" s="61"/>
      <c r="F373" s="34"/>
      <c r="G373" s="22" t="str">
        <f>IF(ISBLANK(F373),"",INT((Parâmetros!$B$3-F373)/365.25))</f>
        <v/>
      </c>
      <c r="H373" s="64"/>
      <c r="I373" s="37" t="str">
        <f t="shared" si="15"/>
        <v/>
      </c>
      <c r="J373" s="78"/>
      <c r="K373" s="14" t="b">
        <f t="shared" si="17"/>
        <v>0</v>
      </c>
      <c r="L373" s="39" t="str">
        <f t="shared" si="16"/>
        <v/>
      </c>
      <c r="M373" s="22" t="str">
        <f>IF(ISBLANK(H373),"",IF(I373-Parâmetros!$B$3+1&lt;=30,I373-Parâmetros!$B$3+1,IF(I373-Parâmetros!$B$3+1&gt;30,I373-Parâmetros!$B$3+1)))</f>
        <v/>
      </c>
    </row>
    <row r="374" spans="2:13" x14ac:dyDescent="0.25">
      <c r="B374" s="68">
        <v>369</v>
      </c>
      <c r="C374" s="42"/>
      <c r="D374" s="43"/>
      <c r="E374" s="63"/>
      <c r="F374" s="44"/>
      <c r="G374" s="13" t="str">
        <f>IF(ISBLANK(F374),"",INT((Parâmetros!$B$3-F374)/365.25))</f>
        <v/>
      </c>
      <c r="H374" s="65"/>
      <c r="I374" s="36" t="str">
        <f t="shared" si="15"/>
        <v/>
      </c>
      <c r="J374" s="77"/>
      <c r="K374" s="14" t="b">
        <f t="shared" si="17"/>
        <v>0</v>
      </c>
      <c r="L374" s="38" t="str">
        <f t="shared" si="16"/>
        <v/>
      </c>
      <c r="M374" s="13" t="str">
        <f>IF(ISBLANK(H374),"",IF(I374-Parâmetros!$B$3+1&lt;=30,I374-Parâmetros!$B$3+1,IF(I374-Parâmetros!$B$3+1&gt;30,I374-Parâmetros!$B$3+1)))</f>
        <v/>
      </c>
    </row>
    <row r="375" spans="2:13" x14ac:dyDescent="0.25">
      <c r="B375" s="67">
        <v>370</v>
      </c>
      <c r="C375" s="19"/>
      <c r="D375" s="35"/>
      <c r="E375" s="61"/>
      <c r="F375" s="34"/>
      <c r="G375" s="22" t="str">
        <f>IF(ISBLANK(F375),"",INT((Parâmetros!$B$3-F375)/365.25))</f>
        <v/>
      </c>
      <c r="H375" s="64"/>
      <c r="I375" s="37" t="str">
        <f t="shared" si="15"/>
        <v/>
      </c>
      <c r="J375" s="78"/>
      <c r="K375" s="14" t="b">
        <f t="shared" si="17"/>
        <v>0</v>
      </c>
      <c r="L375" s="39" t="str">
        <f t="shared" si="16"/>
        <v/>
      </c>
      <c r="M375" s="22" t="str">
        <f>IF(ISBLANK(H375),"",IF(I375-Parâmetros!$B$3+1&lt;=30,I375-Parâmetros!$B$3+1,IF(I375-Parâmetros!$B$3+1&gt;30,I375-Parâmetros!$B$3+1)))</f>
        <v/>
      </c>
    </row>
    <row r="376" spans="2:13" x14ac:dyDescent="0.25">
      <c r="B376" s="68">
        <v>371</v>
      </c>
      <c r="C376" s="42"/>
      <c r="D376" s="43"/>
      <c r="E376" s="63"/>
      <c r="F376" s="44"/>
      <c r="G376" s="13" t="str">
        <f>IF(ISBLANK(F376),"",INT((Parâmetros!$B$3-F376)/365.25))</f>
        <v/>
      </c>
      <c r="H376" s="65"/>
      <c r="I376" s="36" t="str">
        <f t="shared" si="15"/>
        <v/>
      </c>
      <c r="J376" s="77"/>
      <c r="K376" s="14" t="b">
        <f t="shared" si="17"/>
        <v>0</v>
      </c>
      <c r="L376" s="38" t="str">
        <f t="shared" si="16"/>
        <v/>
      </c>
      <c r="M376" s="13" t="str">
        <f>IF(ISBLANK(H376),"",IF(I376-Parâmetros!$B$3+1&lt;=30,I376-Parâmetros!$B$3+1,IF(I376-Parâmetros!$B$3+1&gt;30,I376-Parâmetros!$B$3+1)))</f>
        <v/>
      </c>
    </row>
    <row r="377" spans="2:13" x14ac:dyDescent="0.25">
      <c r="B377" s="67">
        <v>372</v>
      </c>
      <c r="C377" s="19"/>
      <c r="D377" s="35"/>
      <c r="E377" s="61"/>
      <c r="F377" s="34"/>
      <c r="G377" s="22" t="str">
        <f>IF(ISBLANK(F377),"",INT((Parâmetros!$B$3-F377)/365.25))</f>
        <v/>
      </c>
      <c r="H377" s="64"/>
      <c r="I377" s="37" t="str">
        <f t="shared" si="15"/>
        <v/>
      </c>
      <c r="J377" s="78"/>
      <c r="K377" s="14" t="b">
        <f t="shared" si="17"/>
        <v>0</v>
      </c>
      <c r="L377" s="39" t="str">
        <f t="shared" si="16"/>
        <v/>
      </c>
      <c r="M377" s="22" t="str">
        <f>IF(ISBLANK(H377),"",IF(I377-Parâmetros!$B$3+1&lt;=30,I377-Parâmetros!$B$3+1,IF(I377-Parâmetros!$B$3+1&gt;30,I377-Parâmetros!$B$3+1)))</f>
        <v/>
      </c>
    </row>
    <row r="378" spans="2:13" x14ac:dyDescent="0.25">
      <c r="B378" s="68">
        <v>373</v>
      </c>
      <c r="C378" s="42"/>
      <c r="D378" s="43"/>
      <c r="E378" s="63"/>
      <c r="F378" s="44"/>
      <c r="G378" s="13" t="str">
        <f>IF(ISBLANK(F378),"",INT((Parâmetros!$B$3-F378)/365.25))</f>
        <v/>
      </c>
      <c r="H378" s="65"/>
      <c r="I378" s="36" t="str">
        <f t="shared" si="15"/>
        <v/>
      </c>
      <c r="J378" s="77"/>
      <c r="K378" s="14" t="b">
        <f t="shared" si="17"/>
        <v>0</v>
      </c>
      <c r="L378" s="38" t="str">
        <f t="shared" si="16"/>
        <v/>
      </c>
      <c r="M378" s="13" t="str">
        <f>IF(ISBLANK(H378),"",IF(I378-Parâmetros!$B$3+1&lt;=30,I378-Parâmetros!$B$3+1,IF(I378-Parâmetros!$B$3+1&gt;30,I378-Parâmetros!$B$3+1)))</f>
        <v/>
      </c>
    </row>
    <row r="379" spans="2:13" x14ac:dyDescent="0.25">
      <c r="B379" s="67">
        <v>374</v>
      </c>
      <c r="C379" s="19"/>
      <c r="D379" s="35"/>
      <c r="E379" s="61"/>
      <c r="F379" s="34"/>
      <c r="G379" s="22" t="str">
        <f>IF(ISBLANK(F379),"",INT((Parâmetros!$B$3-F379)/365.25))</f>
        <v/>
      </c>
      <c r="H379" s="64"/>
      <c r="I379" s="37" t="str">
        <f t="shared" si="15"/>
        <v/>
      </c>
      <c r="J379" s="78"/>
      <c r="K379" s="14" t="b">
        <f t="shared" si="17"/>
        <v>0</v>
      </c>
      <c r="L379" s="39" t="str">
        <f t="shared" si="16"/>
        <v/>
      </c>
      <c r="M379" s="22" t="str">
        <f>IF(ISBLANK(H379),"",IF(I379-Parâmetros!$B$3+1&lt;=30,I379-Parâmetros!$B$3+1,IF(I379-Parâmetros!$B$3+1&gt;30,I379-Parâmetros!$B$3+1)))</f>
        <v/>
      </c>
    </row>
    <row r="380" spans="2:13" x14ac:dyDescent="0.25">
      <c r="B380" s="68">
        <v>375</v>
      </c>
      <c r="C380" s="42"/>
      <c r="D380" s="43"/>
      <c r="E380" s="63"/>
      <c r="F380" s="44"/>
      <c r="G380" s="13" t="str">
        <f>IF(ISBLANK(F380),"",INT((Parâmetros!$B$3-F380)/365.25))</f>
        <v/>
      </c>
      <c r="H380" s="65"/>
      <c r="I380" s="36" t="str">
        <f t="shared" si="15"/>
        <v/>
      </c>
      <c r="J380" s="77"/>
      <c r="K380" s="14" t="b">
        <f t="shared" si="17"/>
        <v>0</v>
      </c>
      <c r="L380" s="38" t="str">
        <f t="shared" si="16"/>
        <v/>
      </c>
      <c r="M380" s="13" t="str">
        <f>IF(ISBLANK(H380),"",IF(I380-Parâmetros!$B$3+1&lt;=30,I380-Parâmetros!$B$3+1,IF(I380-Parâmetros!$B$3+1&gt;30,I380-Parâmetros!$B$3+1)))</f>
        <v/>
      </c>
    </row>
    <row r="381" spans="2:13" x14ac:dyDescent="0.25">
      <c r="B381" s="67">
        <v>376</v>
      </c>
      <c r="C381" s="19"/>
      <c r="D381" s="35"/>
      <c r="E381" s="61"/>
      <c r="F381" s="34"/>
      <c r="G381" s="22" t="str">
        <f>IF(ISBLANK(F381),"",INT((Parâmetros!$B$3-F381)/365.25))</f>
        <v/>
      </c>
      <c r="H381" s="64"/>
      <c r="I381" s="37" t="str">
        <f t="shared" si="15"/>
        <v/>
      </c>
      <c r="J381" s="78"/>
      <c r="K381" s="14" t="b">
        <f t="shared" si="17"/>
        <v>0</v>
      </c>
      <c r="L381" s="39" t="str">
        <f t="shared" si="16"/>
        <v/>
      </c>
      <c r="M381" s="22" t="str">
        <f>IF(ISBLANK(H381),"",IF(I381-Parâmetros!$B$3+1&lt;=30,I381-Parâmetros!$B$3+1,IF(I381-Parâmetros!$B$3+1&gt;30,I381-Parâmetros!$B$3+1)))</f>
        <v/>
      </c>
    </row>
    <row r="382" spans="2:13" x14ac:dyDescent="0.25">
      <c r="B382" s="68">
        <v>377</v>
      </c>
      <c r="C382" s="42"/>
      <c r="D382" s="43"/>
      <c r="E382" s="63"/>
      <c r="F382" s="44"/>
      <c r="G382" s="13" t="str">
        <f>IF(ISBLANK(F382),"",INT((Parâmetros!$B$3-F382)/365.25))</f>
        <v/>
      </c>
      <c r="H382" s="65"/>
      <c r="I382" s="36" t="str">
        <f t="shared" si="15"/>
        <v/>
      </c>
      <c r="J382" s="77"/>
      <c r="K382" s="14" t="b">
        <f t="shared" si="17"/>
        <v>0</v>
      </c>
      <c r="L382" s="38" t="str">
        <f t="shared" si="16"/>
        <v/>
      </c>
      <c r="M382" s="13" t="str">
        <f>IF(ISBLANK(H382),"",IF(I382-Parâmetros!$B$3+1&lt;=30,I382-Parâmetros!$B$3+1,IF(I382-Parâmetros!$B$3+1&gt;30,I382-Parâmetros!$B$3+1)))</f>
        <v/>
      </c>
    </row>
    <row r="383" spans="2:13" x14ac:dyDescent="0.25">
      <c r="B383" s="67">
        <v>378</v>
      </c>
      <c r="C383" s="19"/>
      <c r="D383" s="35"/>
      <c r="E383" s="61"/>
      <c r="F383" s="34"/>
      <c r="G383" s="22" t="str">
        <f>IF(ISBLANK(F383),"",INT((Parâmetros!$B$3-F383)/365.25))</f>
        <v/>
      </c>
      <c r="H383" s="64"/>
      <c r="I383" s="37" t="str">
        <f t="shared" si="15"/>
        <v/>
      </c>
      <c r="J383" s="78"/>
      <c r="K383" s="14" t="b">
        <f t="shared" si="17"/>
        <v>0</v>
      </c>
      <c r="L383" s="39" t="str">
        <f t="shared" si="16"/>
        <v/>
      </c>
      <c r="M383" s="22" t="str">
        <f>IF(ISBLANK(H383),"",IF(I383-Parâmetros!$B$3+1&lt;=30,I383-Parâmetros!$B$3+1,IF(I383-Parâmetros!$B$3+1&gt;30,I383-Parâmetros!$B$3+1)))</f>
        <v/>
      </c>
    </row>
    <row r="384" spans="2:13" x14ac:dyDescent="0.25">
      <c r="B384" s="68">
        <v>379</v>
      </c>
      <c r="C384" s="42"/>
      <c r="D384" s="43"/>
      <c r="E384" s="63"/>
      <c r="F384" s="44"/>
      <c r="G384" s="13" t="str">
        <f>IF(ISBLANK(F384),"",INT((Parâmetros!$B$3-F384)/365.25))</f>
        <v/>
      </c>
      <c r="H384" s="65"/>
      <c r="I384" s="36" t="str">
        <f t="shared" si="15"/>
        <v/>
      </c>
      <c r="J384" s="77"/>
      <c r="K384" s="14" t="b">
        <f t="shared" si="17"/>
        <v>0</v>
      </c>
      <c r="L384" s="38" t="str">
        <f t="shared" si="16"/>
        <v/>
      </c>
      <c r="M384" s="13" t="str">
        <f>IF(ISBLANK(H384),"",IF(I384-Parâmetros!$B$3+1&lt;=30,I384-Parâmetros!$B$3+1,IF(I384-Parâmetros!$B$3+1&gt;30,I384-Parâmetros!$B$3+1)))</f>
        <v/>
      </c>
    </row>
    <row r="385" spans="2:13" x14ac:dyDescent="0.25">
      <c r="B385" s="67">
        <v>380</v>
      </c>
      <c r="C385" s="19"/>
      <c r="D385" s="35"/>
      <c r="E385" s="61"/>
      <c r="F385" s="34"/>
      <c r="G385" s="22" t="str">
        <f>IF(ISBLANK(F385),"",INT((Parâmetros!$B$3-F385)/365.25))</f>
        <v/>
      </c>
      <c r="H385" s="64"/>
      <c r="I385" s="37" t="str">
        <f t="shared" si="15"/>
        <v/>
      </c>
      <c r="J385" s="78"/>
      <c r="K385" s="14" t="b">
        <f t="shared" si="17"/>
        <v>0</v>
      </c>
      <c r="L385" s="39" t="str">
        <f t="shared" si="16"/>
        <v/>
      </c>
      <c r="M385" s="22" t="str">
        <f>IF(ISBLANK(H385),"",IF(I385-Parâmetros!$B$3+1&lt;=30,I385-Parâmetros!$B$3+1,IF(I385-Parâmetros!$B$3+1&gt;30,I385-Parâmetros!$B$3+1)))</f>
        <v/>
      </c>
    </row>
    <row r="386" spans="2:13" x14ac:dyDescent="0.25">
      <c r="B386" s="68">
        <v>381</v>
      </c>
      <c r="C386" s="42"/>
      <c r="D386" s="43"/>
      <c r="E386" s="63"/>
      <c r="F386" s="44"/>
      <c r="G386" s="13" t="str">
        <f>IF(ISBLANK(F386),"",INT((Parâmetros!$B$3-F386)/365.25))</f>
        <v/>
      </c>
      <c r="H386" s="65"/>
      <c r="I386" s="36" t="str">
        <f t="shared" si="15"/>
        <v/>
      </c>
      <c r="J386" s="77"/>
      <c r="K386" s="14" t="b">
        <f t="shared" si="17"/>
        <v>0</v>
      </c>
      <c r="L386" s="38" t="str">
        <f t="shared" si="16"/>
        <v/>
      </c>
      <c r="M386" s="13" t="str">
        <f>IF(ISBLANK(H386),"",IF(I386-Parâmetros!$B$3+1&lt;=30,I386-Parâmetros!$B$3+1,IF(I386-Parâmetros!$B$3+1&gt;30,I386-Parâmetros!$B$3+1)))</f>
        <v/>
      </c>
    </row>
    <row r="387" spans="2:13" x14ac:dyDescent="0.25">
      <c r="B387" s="67">
        <v>382</v>
      </c>
      <c r="C387" s="19"/>
      <c r="D387" s="35"/>
      <c r="E387" s="61"/>
      <c r="F387" s="34"/>
      <c r="G387" s="22" t="str">
        <f>IF(ISBLANK(F387),"",INT((Parâmetros!$B$3-F387)/365.25))</f>
        <v/>
      </c>
      <c r="H387" s="64"/>
      <c r="I387" s="37" t="str">
        <f t="shared" si="15"/>
        <v/>
      </c>
      <c r="J387" s="78"/>
      <c r="K387" s="14" t="b">
        <f t="shared" si="17"/>
        <v>0</v>
      </c>
      <c r="L387" s="39" t="str">
        <f t="shared" si="16"/>
        <v/>
      </c>
      <c r="M387" s="22" t="str">
        <f>IF(ISBLANK(H387),"",IF(I387-Parâmetros!$B$3+1&lt;=30,I387-Parâmetros!$B$3+1,IF(I387-Parâmetros!$B$3+1&gt;30,I387-Parâmetros!$B$3+1)))</f>
        <v/>
      </c>
    </row>
    <row r="388" spans="2:13" x14ac:dyDescent="0.25">
      <c r="B388" s="68">
        <v>383</v>
      </c>
      <c r="C388" s="42"/>
      <c r="D388" s="43"/>
      <c r="E388" s="63"/>
      <c r="F388" s="44"/>
      <c r="G388" s="13" t="str">
        <f>IF(ISBLANK(F388),"",INT((Parâmetros!$B$3-F388)/365.25))</f>
        <v/>
      </c>
      <c r="H388" s="65"/>
      <c r="I388" s="36" t="str">
        <f t="shared" si="15"/>
        <v/>
      </c>
      <c r="J388" s="77"/>
      <c r="K388" s="14" t="b">
        <f t="shared" si="17"/>
        <v>0</v>
      </c>
      <c r="L388" s="38" t="str">
        <f t="shared" si="16"/>
        <v/>
      </c>
      <c r="M388" s="13" t="str">
        <f>IF(ISBLANK(H388),"",IF(I388-Parâmetros!$B$3+1&lt;=30,I388-Parâmetros!$B$3+1,IF(I388-Parâmetros!$B$3+1&gt;30,I388-Parâmetros!$B$3+1)))</f>
        <v/>
      </c>
    </row>
    <row r="389" spans="2:13" x14ac:dyDescent="0.25">
      <c r="B389" s="67">
        <v>384</v>
      </c>
      <c r="C389" s="19"/>
      <c r="D389" s="35"/>
      <c r="E389" s="61"/>
      <c r="F389" s="34"/>
      <c r="G389" s="22" t="str">
        <f>IF(ISBLANK(F389),"",INT((Parâmetros!$B$3-F389)/365.25))</f>
        <v/>
      </c>
      <c r="H389" s="64"/>
      <c r="I389" s="37" t="str">
        <f t="shared" si="15"/>
        <v/>
      </c>
      <c r="J389" s="78"/>
      <c r="K389" s="14" t="b">
        <f t="shared" si="17"/>
        <v>0</v>
      </c>
      <c r="L389" s="39" t="str">
        <f t="shared" si="16"/>
        <v/>
      </c>
      <c r="M389" s="22" t="str">
        <f>IF(ISBLANK(H389),"",IF(I389-Parâmetros!$B$3+1&lt;=30,I389-Parâmetros!$B$3+1,IF(I389-Parâmetros!$B$3+1&gt;30,I389-Parâmetros!$B$3+1)))</f>
        <v/>
      </c>
    </row>
    <row r="390" spans="2:13" x14ac:dyDescent="0.25">
      <c r="B390" s="68">
        <v>385</v>
      </c>
      <c r="C390" s="42"/>
      <c r="D390" s="43"/>
      <c r="E390" s="63"/>
      <c r="F390" s="44"/>
      <c r="G390" s="13" t="str">
        <f>IF(ISBLANK(F390),"",INT((Parâmetros!$B$3-F390)/365.25))</f>
        <v/>
      </c>
      <c r="H390" s="65"/>
      <c r="I390" s="36" t="str">
        <f t="shared" ref="I390:I405" si="18">IF(ISBLANK(H390),"",IF(K390=1,H390+365,IF(K390=2,H390+730,IF(K390=3,H390+182))))</f>
        <v/>
      </c>
      <c r="J390" s="77"/>
      <c r="K390" s="14" t="b">
        <f t="shared" si="17"/>
        <v>0</v>
      </c>
      <c r="L390" s="38" t="str">
        <f t="shared" ref="L390:L405" si="19">IF(ISBLANK(C390),"",IF(ISBLANK(H390),"Informar Data último exame",IF(AND(M390&gt;0,M390&lt;=30),"Atenção, menos de 30 dias",IF(M390&gt;30,"No prazo",IF(M390&lt;0,"Exame vencido")))))</f>
        <v/>
      </c>
      <c r="M390" s="13" t="str">
        <f>IF(ISBLANK(H390),"",IF(I390-Parâmetros!$B$3+1&lt;=30,I390-Parâmetros!$B$3+1,IF(I390-Parâmetros!$B$3+1&gt;30,I390-Parâmetros!$B$3+1)))</f>
        <v/>
      </c>
    </row>
    <row r="391" spans="2:13" x14ac:dyDescent="0.25">
      <c r="B391" s="67">
        <v>386</v>
      </c>
      <c r="C391" s="19"/>
      <c r="D391" s="35"/>
      <c r="E391" s="61"/>
      <c r="F391" s="34"/>
      <c r="G391" s="22" t="str">
        <f>IF(ISBLANK(F391),"",INT((Parâmetros!$B$3-F391)/365.25))</f>
        <v/>
      </c>
      <c r="H391" s="64"/>
      <c r="I391" s="37" t="str">
        <f t="shared" si="18"/>
        <v/>
      </c>
      <c r="J391" s="78"/>
      <c r="K391" s="14" t="b">
        <f t="shared" si="17"/>
        <v>0</v>
      </c>
      <c r="L391" s="39" t="str">
        <f t="shared" si="19"/>
        <v/>
      </c>
      <c r="M391" s="22" t="str">
        <f>IF(ISBLANK(H391),"",IF(I391-Parâmetros!$B$3+1&lt;=30,I391-Parâmetros!$B$3+1,IF(I391-Parâmetros!$B$3+1&gt;30,I391-Parâmetros!$B$3+1)))</f>
        <v/>
      </c>
    </row>
    <row r="392" spans="2:13" x14ac:dyDescent="0.25">
      <c r="B392" s="68">
        <v>387</v>
      </c>
      <c r="C392" s="42"/>
      <c r="D392" s="43"/>
      <c r="E392" s="63"/>
      <c r="F392" s="44"/>
      <c r="G392" s="13" t="str">
        <f>IF(ISBLANK(F392),"",INT((Parâmetros!$B$3-F392)/365.25))</f>
        <v/>
      </c>
      <c r="H392" s="65"/>
      <c r="I392" s="36" t="str">
        <f t="shared" si="18"/>
        <v/>
      </c>
      <c r="J392" s="77"/>
      <c r="K392" s="14" t="b">
        <f t="shared" ref="K392:K405" si="20">IF(J392="1 ANO",1,IF(J392="2 ANOS",2,IF(J392="6 MESES",3)))</f>
        <v>0</v>
      </c>
      <c r="L392" s="38" t="str">
        <f t="shared" si="19"/>
        <v/>
      </c>
      <c r="M392" s="13" t="str">
        <f>IF(ISBLANK(H392),"",IF(I392-Parâmetros!$B$3+1&lt;=30,I392-Parâmetros!$B$3+1,IF(I392-Parâmetros!$B$3+1&gt;30,I392-Parâmetros!$B$3+1)))</f>
        <v/>
      </c>
    </row>
    <row r="393" spans="2:13" x14ac:dyDescent="0.25">
      <c r="B393" s="67">
        <v>388</v>
      </c>
      <c r="C393" s="19"/>
      <c r="D393" s="35"/>
      <c r="E393" s="61"/>
      <c r="F393" s="34"/>
      <c r="G393" s="22" t="str">
        <f>IF(ISBLANK(F393),"",INT((Parâmetros!$B$3-F393)/365.25))</f>
        <v/>
      </c>
      <c r="H393" s="64"/>
      <c r="I393" s="37" t="str">
        <f t="shared" si="18"/>
        <v/>
      </c>
      <c r="J393" s="78"/>
      <c r="K393" s="14" t="b">
        <f t="shared" si="20"/>
        <v>0</v>
      </c>
      <c r="L393" s="39" t="str">
        <f t="shared" si="19"/>
        <v/>
      </c>
      <c r="M393" s="22" t="str">
        <f>IF(ISBLANK(H393),"",IF(I393-Parâmetros!$B$3+1&lt;=30,I393-Parâmetros!$B$3+1,IF(I393-Parâmetros!$B$3+1&gt;30,I393-Parâmetros!$B$3+1)))</f>
        <v/>
      </c>
    </row>
    <row r="394" spans="2:13" x14ac:dyDescent="0.25">
      <c r="B394" s="68">
        <v>389</v>
      </c>
      <c r="C394" s="42"/>
      <c r="D394" s="43"/>
      <c r="E394" s="63"/>
      <c r="F394" s="44"/>
      <c r="G394" s="13" t="str">
        <f>IF(ISBLANK(F394),"",INT((Parâmetros!$B$3-F394)/365.25))</f>
        <v/>
      </c>
      <c r="H394" s="65"/>
      <c r="I394" s="36" t="str">
        <f t="shared" si="18"/>
        <v/>
      </c>
      <c r="J394" s="77"/>
      <c r="K394" s="14" t="b">
        <f t="shared" si="20"/>
        <v>0</v>
      </c>
      <c r="L394" s="38" t="str">
        <f t="shared" si="19"/>
        <v/>
      </c>
      <c r="M394" s="13" t="str">
        <f>IF(ISBLANK(H394),"",IF(I394-Parâmetros!$B$3+1&lt;=30,I394-Parâmetros!$B$3+1,IF(I394-Parâmetros!$B$3+1&gt;30,I394-Parâmetros!$B$3+1)))</f>
        <v/>
      </c>
    </row>
    <row r="395" spans="2:13" x14ac:dyDescent="0.25">
      <c r="B395" s="67">
        <v>390</v>
      </c>
      <c r="C395" s="19"/>
      <c r="D395" s="35"/>
      <c r="E395" s="61"/>
      <c r="F395" s="34"/>
      <c r="G395" s="22" t="str">
        <f>IF(ISBLANK(F395),"",INT((Parâmetros!$B$3-F395)/365.25))</f>
        <v/>
      </c>
      <c r="H395" s="64"/>
      <c r="I395" s="37" t="str">
        <f t="shared" si="18"/>
        <v/>
      </c>
      <c r="J395" s="78"/>
      <c r="K395" s="14" t="b">
        <f t="shared" si="20"/>
        <v>0</v>
      </c>
      <c r="L395" s="39" t="str">
        <f t="shared" si="19"/>
        <v/>
      </c>
      <c r="M395" s="22" t="str">
        <f>IF(ISBLANK(H395),"",IF(I395-Parâmetros!$B$3+1&lt;=30,I395-Parâmetros!$B$3+1,IF(I395-Parâmetros!$B$3+1&gt;30,I395-Parâmetros!$B$3+1)))</f>
        <v/>
      </c>
    </row>
    <row r="396" spans="2:13" x14ac:dyDescent="0.25">
      <c r="B396" s="68">
        <v>391</v>
      </c>
      <c r="C396" s="42"/>
      <c r="D396" s="43"/>
      <c r="E396" s="63"/>
      <c r="F396" s="44"/>
      <c r="G396" s="13" t="str">
        <f>IF(ISBLANK(F396),"",INT((Parâmetros!$B$3-F396)/365.25))</f>
        <v/>
      </c>
      <c r="H396" s="65"/>
      <c r="I396" s="36" t="str">
        <f t="shared" si="18"/>
        <v/>
      </c>
      <c r="J396" s="77"/>
      <c r="K396" s="14" t="b">
        <f t="shared" si="20"/>
        <v>0</v>
      </c>
      <c r="L396" s="38" t="str">
        <f t="shared" si="19"/>
        <v/>
      </c>
      <c r="M396" s="13" t="str">
        <f>IF(ISBLANK(H396),"",IF(I396-Parâmetros!$B$3+1&lt;=30,I396-Parâmetros!$B$3+1,IF(I396-Parâmetros!$B$3+1&gt;30,I396-Parâmetros!$B$3+1)))</f>
        <v/>
      </c>
    </row>
    <row r="397" spans="2:13" x14ac:dyDescent="0.25">
      <c r="B397" s="67">
        <v>392</v>
      </c>
      <c r="C397" s="19"/>
      <c r="D397" s="35"/>
      <c r="E397" s="61"/>
      <c r="F397" s="34"/>
      <c r="G397" s="22" t="str">
        <f>IF(ISBLANK(F397),"",INT((Parâmetros!$B$3-F397)/365.25))</f>
        <v/>
      </c>
      <c r="H397" s="64"/>
      <c r="I397" s="37" t="str">
        <f t="shared" si="18"/>
        <v/>
      </c>
      <c r="J397" s="78"/>
      <c r="K397" s="14" t="b">
        <f t="shared" si="20"/>
        <v>0</v>
      </c>
      <c r="L397" s="39" t="str">
        <f t="shared" si="19"/>
        <v/>
      </c>
      <c r="M397" s="22" t="str">
        <f>IF(ISBLANK(H397),"",IF(I397-Parâmetros!$B$3+1&lt;=30,I397-Parâmetros!$B$3+1,IF(I397-Parâmetros!$B$3+1&gt;30,I397-Parâmetros!$B$3+1)))</f>
        <v/>
      </c>
    </row>
    <row r="398" spans="2:13" x14ac:dyDescent="0.25">
      <c r="B398" s="68">
        <v>393</v>
      </c>
      <c r="C398" s="42"/>
      <c r="D398" s="43"/>
      <c r="E398" s="63"/>
      <c r="F398" s="44"/>
      <c r="G398" s="13" t="str">
        <f>IF(ISBLANK(F398),"",INT((Parâmetros!$B$3-F398)/365.25))</f>
        <v/>
      </c>
      <c r="H398" s="65"/>
      <c r="I398" s="36" t="str">
        <f t="shared" si="18"/>
        <v/>
      </c>
      <c r="J398" s="77"/>
      <c r="K398" s="14" t="b">
        <f t="shared" si="20"/>
        <v>0</v>
      </c>
      <c r="L398" s="38" t="str">
        <f t="shared" si="19"/>
        <v/>
      </c>
      <c r="M398" s="13" t="str">
        <f>IF(ISBLANK(H398),"",IF(I398-Parâmetros!$B$3+1&lt;=30,I398-Parâmetros!$B$3+1,IF(I398-Parâmetros!$B$3+1&gt;30,I398-Parâmetros!$B$3+1)))</f>
        <v/>
      </c>
    </row>
    <row r="399" spans="2:13" x14ac:dyDescent="0.25">
      <c r="B399" s="67">
        <v>394</v>
      </c>
      <c r="C399" s="19"/>
      <c r="D399" s="35"/>
      <c r="E399" s="61"/>
      <c r="F399" s="34"/>
      <c r="G399" s="22" t="str">
        <f>IF(ISBLANK(F399),"",INT((Parâmetros!$B$3-F399)/365.25))</f>
        <v/>
      </c>
      <c r="H399" s="64"/>
      <c r="I399" s="37" t="str">
        <f t="shared" si="18"/>
        <v/>
      </c>
      <c r="J399" s="78"/>
      <c r="K399" s="14" t="b">
        <f t="shared" si="20"/>
        <v>0</v>
      </c>
      <c r="L399" s="39" t="str">
        <f t="shared" si="19"/>
        <v/>
      </c>
      <c r="M399" s="22" t="str">
        <f>IF(ISBLANK(H399),"",IF(I399-Parâmetros!$B$3+1&lt;=30,I399-Parâmetros!$B$3+1,IF(I399-Parâmetros!$B$3+1&gt;30,I399-Parâmetros!$B$3+1)))</f>
        <v/>
      </c>
    </row>
    <row r="400" spans="2:13" x14ac:dyDescent="0.25">
      <c r="B400" s="68">
        <v>395</v>
      </c>
      <c r="C400" s="42"/>
      <c r="D400" s="43"/>
      <c r="E400" s="63"/>
      <c r="F400" s="44"/>
      <c r="G400" s="13" t="str">
        <f>IF(ISBLANK(F400),"",INT((Parâmetros!$B$3-F400)/365.25))</f>
        <v/>
      </c>
      <c r="H400" s="65"/>
      <c r="I400" s="36" t="str">
        <f t="shared" si="18"/>
        <v/>
      </c>
      <c r="J400" s="77"/>
      <c r="K400" s="14" t="b">
        <f t="shared" si="20"/>
        <v>0</v>
      </c>
      <c r="L400" s="38" t="str">
        <f t="shared" si="19"/>
        <v/>
      </c>
      <c r="M400" s="13" t="str">
        <f>IF(ISBLANK(H400),"",IF(I400-Parâmetros!$B$3+1&lt;=30,I400-Parâmetros!$B$3+1,IF(I400-Parâmetros!$B$3+1&gt;30,I400-Parâmetros!$B$3+1)))</f>
        <v/>
      </c>
    </row>
    <row r="401" spans="2:13" x14ac:dyDescent="0.25">
      <c r="B401" s="67">
        <v>396</v>
      </c>
      <c r="C401" s="19"/>
      <c r="D401" s="35"/>
      <c r="E401" s="61"/>
      <c r="F401" s="34"/>
      <c r="G401" s="22" t="str">
        <f>IF(ISBLANK(F401),"",INT((Parâmetros!$B$3-F401)/365.25))</f>
        <v/>
      </c>
      <c r="H401" s="64"/>
      <c r="I401" s="37" t="str">
        <f t="shared" si="18"/>
        <v/>
      </c>
      <c r="J401" s="78"/>
      <c r="K401" s="14" t="b">
        <f t="shared" si="20"/>
        <v>0</v>
      </c>
      <c r="L401" s="39" t="str">
        <f t="shared" si="19"/>
        <v/>
      </c>
      <c r="M401" s="22" t="str">
        <f>IF(ISBLANK(H401),"",IF(I401-Parâmetros!$B$3+1&lt;=30,I401-Parâmetros!$B$3+1,IF(I401-Parâmetros!$B$3+1&gt;30,I401-Parâmetros!$B$3+1)))</f>
        <v/>
      </c>
    </row>
    <row r="402" spans="2:13" x14ac:dyDescent="0.25">
      <c r="B402" s="68">
        <v>397</v>
      </c>
      <c r="C402" s="42"/>
      <c r="D402" s="43"/>
      <c r="E402" s="63"/>
      <c r="F402" s="44"/>
      <c r="G402" s="13" t="str">
        <f>IF(ISBLANK(F402),"",INT((Parâmetros!$B$3-F402)/365.25))</f>
        <v/>
      </c>
      <c r="H402" s="65"/>
      <c r="I402" s="36" t="str">
        <f t="shared" si="18"/>
        <v/>
      </c>
      <c r="J402" s="77"/>
      <c r="K402" s="14" t="b">
        <f t="shared" si="20"/>
        <v>0</v>
      </c>
      <c r="L402" s="38" t="str">
        <f t="shared" si="19"/>
        <v/>
      </c>
      <c r="M402" s="13" t="str">
        <f>IF(ISBLANK(H402),"",IF(I402-Parâmetros!$B$3+1&lt;=30,I402-Parâmetros!$B$3+1,IF(I402-Parâmetros!$B$3+1&gt;30,I402-Parâmetros!$B$3+1)))</f>
        <v/>
      </c>
    </row>
    <row r="403" spans="2:13" x14ac:dyDescent="0.25">
      <c r="B403" s="67">
        <v>398</v>
      </c>
      <c r="C403" s="19"/>
      <c r="D403" s="35"/>
      <c r="E403" s="61"/>
      <c r="F403" s="34"/>
      <c r="G403" s="22" t="str">
        <f>IF(ISBLANK(F403),"",INT((Parâmetros!$B$3-F403)/365.25))</f>
        <v/>
      </c>
      <c r="H403" s="64"/>
      <c r="I403" s="37" t="str">
        <f t="shared" si="18"/>
        <v/>
      </c>
      <c r="J403" s="78"/>
      <c r="K403" s="14" t="b">
        <f t="shared" si="20"/>
        <v>0</v>
      </c>
      <c r="L403" s="39" t="str">
        <f t="shared" si="19"/>
        <v/>
      </c>
      <c r="M403" s="22" t="str">
        <f>IF(ISBLANK(H403),"",IF(I403-Parâmetros!$B$3+1&lt;=30,I403-Parâmetros!$B$3+1,IF(I403-Parâmetros!$B$3+1&gt;30,I403-Parâmetros!$B$3+1)))</f>
        <v/>
      </c>
    </row>
    <row r="404" spans="2:13" x14ac:dyDescent="0.25">
      <c r="B404" s="68">
        <v>399</v>
      </c>
      <c r="C404" s="42"/>
      <c r="D404" s="43"/>
      <c r="E404" s="63"/>
      <c r="F404" s="44"/>
      <c r="G404" s="13" t="str">
        <f>IF(ISBLANK(F404),"",INT((Parâmetros!$B$3-F404)/365.25))</f>
        <v/>
      </c>
      <c r="H404" s="65"/>
      <c r="I404" s="36" t="str">
        <f t="shared" si="18"/>
        <v/>
      </c>
      <c r="J404" s="77"/>
      <c r="K404" s="14" t="b">
        <f t="shared" si="20"/>
        <v>0</v>
      </c>
      <c r="L404" s="38" t="str">
        <f t="shared" si="19"/>
        <v/>
      </c>
      <c r="M404" s="13" t="str">
        <f>IF(ISBLANK(H404),"",IF(I404-Parâmetros!$B$3+1&lt;=30,I404-Parâmetros!$B$3+1,IF(I404-Parâmetros!$B$3+1&gt;30,I404-Parâmetros!$B$3+1)))</f>
        <v/>
      </c>
    </row>
    <row r="405" spans="2:13" x14ac:dyDescent="0.25">
      <c r="B405" s="67">
        <v>400</v>
      </c>
      <c r="C405" s="19"/>
      <c r="D405" s="35"/>
      <c r="E405" s="61"/>
      <c r="F405" s="34"/>
      <c r="G405" s="22" t="str">
        <f>IF(ISBLANK(F405),"",INT((Parâmetros!$B$3-F405)/365.25))</f>
        <v/>
      </c>
      <c r="H405" s="64"/>
      <c r="I405" s="37" t="str">
        <f t="shared" si="18"/>
        <v/>
      </c>
      <c r="J405" s="78"/>
      <c r="K405" s="14" t="b">
        <f t="shared" si="20"/>
        <v>0</v>
      </c>
      <c r="L405" s="39" t="str">
        <f t="shared" si="19"/>
        <v/>
      </c>
      <c r="M405" s="22" t="str">
        <f>IF(ISBLANK(H405),"",IF(I405-Parâmetros!$B$3+1&lt;=30,I405-Parâmetros!$B$3+1,IF(I405-Parâmetros!$B$3+1&gt;30,I405-Parâmetros!$B$3+1)))</f>
        <v/>
      </c>
    </row>
  </sheetData>
  <sheetProtection password="CFCD" sheet="1" objects="1" scenarios="1"/>
  <mergeCells count="5">
    <mergeCell ref="B2:M2"/>
    <mergeCell ref="B4:B5"/>
    <mergeCell ref="C4:C5"/>
    <mergeCell ref="G4:G5"/>
    <mergeCell ref="E4:E5"/>
  </mergeCells>
  <conditionalFormatting sqref="L6:L405">
    <cfRule type="cellIs" dxfId="13" priority="319" operator="equal">
      <formula>"No prazo"</formula>
    </cfRule>
  </conditionalFormatting>
  <conditionalFormatting sqref="O11">
    <cfRule type="cellIs" dxfId="12" priority="294" operator="equal">
      <formula>"ALERTA"</formula>
    </cfRule>
    <cfRule type="cellIs" dxfId="11" priority="295" operator="equal">
      <formula>"ALERTA"</formula>
    </cfRule>
    <cfRule type="cellIs" dxfId="10" priority="296" operator="equal">
      <formula>"ALERTA"</formula>
    </cfRule>
    <cfRule type="cellIs" dxfId="9" priority="297" operator="equal">
      <formula>"ALERTA"</formula>
    </cfRule>
    <cfRule type="cellIs" dxfId="8" priority="298" operator="equal">
      <formula>"ALERTA"</formula>
    </cfRule>
  </conditionalFormatting>
  <conditionalFormatting sqref="M6:M405">
    <cfRule type="cellIs" dxfId="7" priority="285" operator="greaterThan">
      <formula>30</formula>
    </cfRule>
    <cfRule type="cellIs" dxfId="6" priority="286" operator="lessThan">
      <formula>30</formula>
    </cfRule>
  </conditionalFormatting>
  <conditionalFormatting sqref="I6:I405">
    <cfRule type="cellIs" dxfId="5" priority="283" operator="equal">
      <formula>"Não vencidas"</formula>
    </cfRule>
    <cfRule type="cellIs" dxfId="4" priority="284" operator="equal">
      <formula>"Vencidas"</formula>
    </cfRule>
  </conditionalFormatting>
  <conditionalFormatting sqref="L6:L405">
    <cfRule type="cellIs" dxfId="3" priority="280" operator="equal">
      <formula>"Atenção, menos de 30 dias"</formula>
    </cfRule>
  </conditionalFormatting>
  <conditionalFormatting sqref="L6:L405">
    <cfRule type="cellIs" dxfId="2" priority="279" operator="equal">
      <formula>"Exame vencido"</formula>
    </cfRule>
  </conditionalFormatting>
  <conditionalFormatting sqref="L8">
    <cfRule type="cellIs" dxfId="1" priority="3" operator="equal">
      <formula>"Informar Data último exame"</formula>
    </cfRule>
  </conditionalFormatting>
  <conditionalFormatting sqref="L6:L405">
    <cfRule type="cellIs" dxfId="0" priority="2" operator="equal">
      <formula>"Informar Data último exame"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Parâmetros!$B$5:$B$8</xm:f>
          </x14:formula1>
          <xm:sqref>J6:J405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"/>
  <sheetViews>
    <sheetView workbookViewId="0"/>
  </sheetViews>
  <sheetFormatPr defaultRowHeight="15" x14ac:dyDescent="0.25"/>
  <cols>
    <col min="1" max="1" width="2.7109375" style="4" customWidth="1"/>
    <col min="2" max="2" width="10.7109375" style="4" bestFit="1" customWidth="1"/>
    <col min="3" max="3" width="2.7109375" style="4" customWidth="1"/>
    <col min="4" max="16384" width="9.140625" style="4"/>
  </cols>
  <sheetData>
    <row r="1" spans="1:26" ht="9.9499999999999993" customHeight="1" thickBo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1" customHeight="1" x14ac:dyDescent="0.25">
      <c r="A2" s="3"/>
      <c r="B2" s="5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1" customHeight="1" thickBot="1" x14ac:dyDescent="0.3">
      <c r="A3" s="3"/>
      <c r="B3" s="6">
        <f ca="1">NOW()</f>
        <v>43217.720327199073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1" customHeight="1" thickBo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1" customHeight="1" x14ac:dyDescent="0.25">
      <c r="A5" s="3"/>
      <c r="B5" s="45" t="s">
        <v>39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1" customHeight="1" thickBot="1" x14ac:dyDescent="0.3">
      <c r="A6" s="3"/>
      <c r="B6" s="46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1" customHeight="1" thickBot="1" x14ac:dyDescent="0.3">
      <c r="A7" s="3"/>
      <c r="B7" s="75" t="s">
        <v>41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1" customHeight="1" thickBot="1" x14ac:dyDescent="0.3">
      <c r="A8" s="3"/>
      <c r="B8" s="7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1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1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1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1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1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1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1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1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1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1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1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1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1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1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1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1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1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</sheetData>
  <sheetProtection password="CFCD" sheet="1" objects="1" scenarios="1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Orientações</vt:lpstr>
      <vt:lpstr>Controle Vencimento Periódico</vt:lpstr>
      <vt:lpstr>Parâmetros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</dc:creator>
  <cp:lastModifiedBy>Gilberto</cp:lastModifiedBy>
  <dcterms:created xsi:type="dcterms:W3CDTF">2018-03-29T17:50:59Z</dcterms:created>
  <dcterms:modified xsi:type="dcterms:W3CDTF">2018-04-27T20:25:06Z</dcterms:modified>
</cp:coreProperties>
</file>