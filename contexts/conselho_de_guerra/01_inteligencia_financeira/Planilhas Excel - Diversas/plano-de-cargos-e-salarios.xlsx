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EstaPasta_de_trabalho" defaultThemeVersion="124226"/>
  <bookViews>
    <workbookView xWindow="0" yWindow="210" windowWidth="19155" windowHeight="7905" tabRatio="494"/>
  </bookViews>
  <sheets>
    <sheet name="Início" sheetId="1" r:id="rId1"/>
    <sheet name="Controle de Cargos" sheetId="8" r:id="rId2"/>
    <sheet name="Custos Fixos" sheetId="2" state="hidden" r:id="rId3"/>
    <sheet name="Panorama" sheetId="5" r:id="rId4"/>
    <sheet name="Plan1" sheetId="10" state="hidden" r:id="rId5"/>
  </sheets>
  <calcPr calcId="145621" concurrentCalc="0"/>
</workbook>
</file>

<file path=xl/calcChain.xml><?xml version="1.0" encoding="utf-8"?>
<calcChain xmlns="http://schemas.openxmlformats.org/spreadsheetml/2006/main">
  <c r="A11" i="8" l="1"/>
  <c r="C4" i="10"/>
  <c r="F11" i="8"/>
  <c r="F12" i="8"/>
  <c r="F13" i="8"/>
  <c r="F15" i="8"/>
  <c r="F14" i="8"/>
  <c r="G11" i="8"/>
  <c r="H11" i="8"/>
  <c r="D4" i="10"/>
  <c r="A17" i="8"/>
  <c r="C5" i="10"/>
  <c r="F17" i="8"/>
  <c r="F18" i="8"/>
  <c r="F19" i="8"/>
  <c r="F20" i="8"/>
  <c r="F21" i="8"/>
  <c r="G17" i="8"/>
  <c r="H17" i="8"/>
  <c r="D5" i="10"/>
  <c r="A23" i="8"/>
  <c r="C6" i="10"/>
  <c r="F23" i="8"/>
  <c r="F24" i="8"/>
  <c r="F25" i="8"/>
  <c r="F26" i="8"/>
  <c r="F27" i="8"/>
  <c r="G23" i="8"/>
  <c r="H23" i="8"/>
  <c r="D6" i="10"/>
  <c r="A29" i="8"/>
  <c r="C7" i="10"/>
  <c r="F29" i="8"/>
  <c r="F30" i="8"/>
  <c r="F31" i="8"/>
  <c r="F32" i="8"/>
  <c r="F33" i="8"/>
  <c r="G29" i="8"/>
  <c r="H29" i="8"/>
  <c r="D7" i="10"/>
  <c r="A35" i="8"/>
  <c r="C8" i="10"/>
  <c r="F35" i="8"/>
  <c r="F36" i="8"/>
  <c r="F37" i="8"/>
  <c r="F38" i="8"/>
  <c r="F39" i="8"/>
  <c r="G35" i="8"/>
  <c r="H35" i="8"/>
  <c r="D8" i="10"/>
  <c r="A41" i="8"/>
  <c r="C9" i="10"/>
  <c r="F41" i="8"/>
  <c r="F42" i="8"/>
  <c r="F43" i="8"/>
  <c r="F44" i="8"/>
  <c r="F45" i="8"/>
  <c r="G41" i="8"/>
  <c r="H41" i="8"/>
  <c r="D9" i="10"/>
  <c r="A47" i="8"/>
  <c r="C10" i="10"/>
  <c r="F47" i="8"/>
  <c r="F48" i="8"/>
  <c r="F49" i="8"/>
  <c r="F50" i="8"/>
  <c r="F51" i="8"/>
  <c r="G47" i="8"/>
  <c r="H47" i="8"/>
  <c r="D10" i="10"/>
  <c r="A53" i="8"/>
  <c r="C11" i="10"/>
  <c r="F53" i="8"/>
  <c r="F54" i="8"/>
  <c r="F55" i="8"/>
  <c r="F56" i="8"/>
  <c r="F57" i="8"/>
  <c r="G53" i="8"/>
  <c r="H53" i="8"/>
  <c r="D11" i="10"/>
  <c r="F7" i="8"/>
  <c r="F8" i="8"/>
  <c r="F9" i="8"/>
  <c r="F5" i="8"/>
  <c r="F6" i="8"/>
  <c r="G5" i="8"/>
  <c r="H5" i="8"/>
  <c r="D3" i="10"/>
  <c r="A5" i="8"/>
  <c r="C3" i="10"/>
  <c r="H6" i="8"/>
  <c r="H7" i="8"/>
  <c r="H8" i="8"/>
  <c r="H9" i="8"/>
  <c r="H10" i="8"/>
  <c r="H12" i="8"/>
  <c r="H13" i="8"/>
  <c r="H14" i="8"/>
  <c r="H15" i="8"/>
  <c r="H16" i="8"/>
  <c r="H18" i="8"/>
  <c r="H19" i="8"/>
  <c r="H20" i="8"/>
  <c r="H21" i="8"/>
  <c r="H22" i="8"/>
  <c r="H24" i="8"/>
  <c r="H25" i="8"/>
  <c r="H26" i="8"/>
  <c r="H27" i="8"/>
  <c r="H28" i="8"/>
  <c r="H30" i="8"/>
  <c r="H31" i="8"/>
  <c r="H32" i="8"/>
  <c r="H33" i="8"/>
  <c r="H34" i="8"/>
  <c r="H36" i="8"/>
  <c r="H37" i="8"/>
  <c r="H38" i="8"/>
  <c r="H39" i="8"/>
  <c r="H40" i="8"/>
  <c r="H42" i="8"/>
  <c r="H43" i="8"/>
  <c r="H44" i="8"/>
  <c r="H45" i="8"/>
  <c r="H46" i="8"/>
  <c r="H48" i="8"/>
  <c r="H49" i="8"/>
  <c r="H50" i="8"/>
  <c r="H51" i="8"/>
  <c r="H52" i="8"/>
  <c r="H54" i="8"/>
  <c r="H55" i="8"/>
  <c r="H56" i="8"/>
  <c r="H57" i="8"/>
  <c r="H58" i="8"/>
  <c r="F59" i="8"/>
  <c r="F60" i="8"/>
  <c r="F61" i="8"/>
  <c r="F62" i="8"/>
  <c r="F63" i="8"/>
  <c r="G59" i="8"/>
  <c r="H59" i="8"/>
  <c r="H60" i="8"/>
  <c r="H61" i="8"/>
  <c r="H62" i="8"/>
  <c r="H63" i="8"/>
  <c r="H64" i="8"/>
  <c r="A14" i="8"/>
  <c r="A15" i="8"/>
  <c r="A16" i="8"/>
  <c r="A18" i="8"/>
  <c r="A19" i="8"/>
  <c r="A20" i="8"/>
  <c r="A21" i="8"/>
  <c r="A22" i="8"/>
  <c r="A24" i="8"/>
  <c r="A25" i="8"/>
  <c r="A26" i="8"/>
  <c r="A27" i="8"/>
  <c r="A28" i="8"/>
  <c r="A30" i="8"/>
  <c r="A31" i="8"/>
  <c r="A32" i="8"/>
  <c r="A33" i="8"/>
  <c r="A34" i="8"/>
  <c r="A36" i="8"/>
  <c r="A37" i="8"/>
  <c r="A38" i="8"/>
  <c r="A39" i="8"/>
  <c r="A40" i="8"/>
  <c r="A42" i="8"/>
  <c r="A43" i="8"/>
  <c r="A44" i="8"/>
  <c r="A45" i="8"/>
  <c r="A46" i="8"/>
  <c r="A48" i="8"/>
  <c r="A49" i="8"/>
  <c r="A50" i="8"/>
  <c r="A51" i="8"/>
  <c r="A52" i="8"/>
  <c r="A54" i="8"/>
  <c r="A55" i="8"/>
  <c r="A56" i="8"/>
  <c r="A57" i="8"/>
  <c r="A58" i="8"/>
  <c r="A59" i="8"/>
  <c r="A60" i="8"/>
  <c r="A61" i="8"/>
  <c r="A62" i="8"/>
  <c r="A63" i="8"/>
  <c r="A6" i="8"/>
  <c r="A7" i="8"/>
  <c r="A8" i="8"/>
  <c r="A9" i="8"/>
  <c r="A10" i="8"/>
  <c r="A12" i="8"/>
  <c r="A13" i="8"/>
  <c r="J63" i="8"/>
  <c r="J62" i="8"/>
  <c r="J61" i="8"/>
  <c r="J60" i="8"/>
  <c r="J59" i="8"/>
  <c r="I59" i="8"/>
  <c r="J57" i="8"/>
  <c r="J56" i="8"/>
  <c r="J55" i="8"/>
  <c r="J54" i="8"/>
  <c r="J53" i="8"/>
  <c r="I53" i="8"/>
  <c r="J51" i="8"/>
  <c r="J50" i="8"/>
  <c r="J49" i="8"/>
  <c r="J48" i="8"/>
  <c r="J47" i="8"/>
  <c r="I47" i="8"/>
  <c r="J45" i="8"/>
  <c r="J44" i="8"/>
  <c r="J43" i="8"/>
  <c r="J42" i="8"/>
  <c r="J41" i="8"/>
  <c r="I41" i="8"/>
  <c r="J39" i="8"/>
  <c r="J38" i="8"/>
  <c r="J37" i="8"/>
  <c r="J36" i="8"/>
  <c r="J35" i="8"/>
  <c r="I35" i="8"/>
  <c r="J33" i="8"/>
  <c r="J32" i="8"/>
  <c r="J31" i="8"/>
  <c r="J30" i="8"/>
  <c r="J29" i="8"/>
  <c r="I29" i="8"/>
  <c r="J27" i="8"/>
  <c r="J26" i="8"/>
  <c r="J25" i="8"/>
  <c r="J24" i="8"/>
  <c r="J23" i="8"/>
  <c r="I23" i="8"/>
  <c r="J21" i="8"/>
  <c r="J20" i="8"/>
  <c r="J19" i="8"/>
  <c r="J18" i="8"/>
  <c r="J17" i="8"/>
  <c r="I17" i="8"/>
  <c r="J15" i="8"/>
  <c r="J14" i="8"/>
  <c r="J13" i="8"/>
  <c r="J12" i="8"/>
  <c r="J11" i="8"/>
  <c r="I11" i="8"/>
  <c r="J9" i="8"/>
  <c r="J8" i="8"/>
  <c r="J7" i="8"/>
  <c r="J6" i="8"/>
  <c r="J5" i="8"/>
  <c r="I5" i="8"/>
  <c r="D11" i="2"/>
  <c r="D10" i="2"/>
  <c r="D9" i="2"/>
  <c r="D7" i="2"/>
  <c r="D6" i="2"/>
  <c r="D52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6" i="2"/>
</calcChain>
</file>

<file path=xl/sharedStrings.xml><?xml version="1.0" encoding="utf-8"?>
<sst xmlns="http://schemas.openxmlformats.org/spreadsheetml/2006/main" count="34" uniqueCount="21">
  <si>
    <t>-</t>
  </si>
  <si>
    <t>TOTAL CUSTOS FIXOS</t>
  </si>
  <si>
    <t>ATIVO</t>
  </si>
  <si>
    <t>CIRCULANTE</t>
  </si>
  <si>
    <t>NÃO CIRCULANTE</t>
  </si>
  <si>
    <t>PATRIMONIO LÍQUIDO</t>
  </si>
  <si>
    <t>CARGO</t>
  </si>
  <si>
    <t>NÍVEL</t>
  </si>
  <si>
    <t>QUANTIDADE</t>
  </si>
  <si>
    <t>SALÁRIO UNITÁRIO</t>
  </si>
  <si>
    <t>SALÁRIO POR NÍVEL</t>
  </si>
  <si>
    <t>SALÁRIO POR CARGO</t>
  </si>
  <si>
    <t>COMPETÊNCIA I</t>
  </si>
  <si>
    <t>COMPETÊNCIA II</t>
  </si>
  <si>
    <t>COMPETÊNCIA III</t>
  </si>
  <si>
    <t xml:space="preserve">CARGO </t>
  </si>
  <si>
    <t>RECEPCIONISTA</t>
  </si>
  <si>
    <t>ANALISTA RH</t>
  </si>
  <si>
    <r>
      <rPr>
        <b/>
        <i/>
        <sz val="18"/>
        <color theme="0"/>
        <rFont val="Calibri"/>
        <family val="2"/>
        <scheme val="minor"/>
      </rPr>
      <t xml:space="preserve">PLANO DE CARGOS E SALÁRIOS </t>
    </r>
    <r>
      <rPr>
        <i/>
        <sz val="16"/>
        <color theme="0"/>
        <rFont val="Calibri"/>
        <family val="2"/>
        <scheme val="minor"/>
      </rPr>
      <t>- INÍCIO</t>
    </r>
  </si>
  <si>
    <r>
      <rPr>
        <b/>
        <i/>
        <sz val="18"/>
        <color theme="0"/>
        <rFont val="Calibri"/>
        <family val="2"/>
        <scheme val="minor"/>
      </rPr>
      <t xml:space="preserve">PLANO DE CARGOS E SALÁRIOS </t>
    </r>
    <r>
      <rPr>
        <i/>
        <sz val="16"/>
        <color theme="0"/>
        <rFont val="Calibri"/>
        <family val="2"/>
        <scheme val="minor"/>
      </rPr>
      <t>- CONTROLE</t>
    </r>
  </si>
  <si>
    <r>
      <rPr>
        <b/>
        <i/>
        <sz val="18"/>
        <color theme="0"/>
        <rFont val="Calibri"/>
        <family val="2"/>
        <scheme val="minor"/>
      </rPr>
      <t xml:space="preserve">PLANO DE CARGOS E SALÁRIOS </t>
    </r>
    <r>
      <rPr>
        <i/>
        <sz val="16"/>
        <color theme="0"/>
        <rFont val="Calibri"/>
        <family val="2"/>
        <scheme val="minor"/>
      </rPr>
      <t>- PANORAMA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</si>
</sst>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Arabic Typesetting"/>
      <family val="4"/>
    </font>
    <font>
      <b/>
      <sz val="20"/>
      <color theme="1"/>
      <name val="Arabic Typesetting"/>
      <family val="4"/>
    </font>
    <font>
      <b/>
      <sz val="20"/>
      <name val="Arabic Typesetting"/>
      <family val="4"/>
    </font>
    <font>
      <sz val="20"/>
      <color theme="0"/>
      <name val="Arabic Typesetting"/>
      <family val="4"/>
    </font>
    <font>
      <b/>
      <sz val="11"/>
      <color theme="0"/>
      <name val="Calibri"/>
      <family val="2"/>
      <scheme val="minor"/>
    </font>
    <font>
      <b/>
      <sz val="11"/>
      <color theme="1" tint="0.249977111117893"/>
      <name val="Calibri"/>
      <family val="2"/>
      <scheme val="minor"/>
    </font>
    <font>
      <b/>
      <i/>
      <sz val="22"/>
      <color theme="0"/>
      <name val="Calibri"/>
      <family val="2"/>
      <scheme val="minor"/>
    </font>
    <font>
      <b/>
      <i/>
      <sz val="18"/>
      <color theme="0"/>
      <name val="Calibri"/>
      <family val="2"/>
      <scheme val="minor"/>
    </font>
    <font>
      <i/>
      <sz val="16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008080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double">
        <color theme="1" tint="0.249977111117893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double">
        <color theme="1" tint="0.249977111117893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double">
        <color theme="1" tint="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/>
      <bottom style="thin">
        <color theme="0" tint="-0.34998626667073579"/>
      </bottom>
      <diagonal/>
    </border>
    <border>
      <left style="medium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/>
      <bottom/>
      <diagonal/>
    </border>
    <border>
      <left/>
      <right style="medium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double">
        <color theme="1" tint="0.249977111117893"/>
      </top>
      <bottom style="double">
        <color theme="1" tint="0.249977111117893"/>
      </bottom>
      <diagonal/>
    </border>
    <border>
      <left style="medium">
        <color theme="0"/>
      </left>
      <right style="medium">
        <color theme="0" tint="-0.34998626667073579"/>
      </right>
      <top style="medium">
        <color theme="0"/>
      </top>
      <bottom/>
      <diagonal/>
    </border>
    <border>
      <left style="medium">
        <color theme="0"/>
      </left>
      <right style="medium">
        <color theme="0" tint="-0.34998626667073579"/>
      </right>
      <top/>
      <bottom/>
      <diagonal/>
    </border>
    <border>
      <left style="thin">
        <color theme="0" tint="-0.34998626667073579"/>
      </left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indexed="64"/>
      </left>
      <right/>
      <top style="medium">
        <color indexed="64"/>
      </top>
      <bottom style="dashed">
        <color theme="6" tint="-0.499984740745262"/>
      </bottom>
      <diagonal/>
    </border>
    <border>
      <left/>
      <right/>
      <top style="medium">
        <color indexed="64"/>
      </top>
      <bottom style="dashed">
        <color theme="6" tint="-0.499984740745262"/>
      </bottom>
      <diagonal/>
    </border>
    <border>
      <left/>
      <right/>
      <top/>
      <bottom style="dashed">
        <color theme="6" tint="-0.499984740745262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70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1" xfId="0" applyFill="1" applyBorder="1"/>
    <xf numFmtId="0" fontId="0" fillId="0" borderId="0" xfId="0" applyBorder="1"/>
    <xf numFmtId="0" fontId="2" fillId="0" borderId="0" xfId="0" applyFont="1"/>
    <xf numFmtId="0" fontId="3" fillId="0" borderId="0" xfId="0" applyFont="1"/>
    <xf numFmtId="0" fontId="3" fillId="0" borderId="4" xfId="0" applyFont="1" applyBorder="1" applyAlignment="1">
      <alignment horizontal="right"/>
    </xf>
    <xf numFmtId="0" fontId="3" fillId="0" borderId="0" xfId="0" applyFont="1" applyBorder="1"/>
    <xf numFmtId="44" fontId="3" fillId="0" borderId="6" xfId="3" applyFont="1" applyBorder="1"/>
    <xf numFmtId="0" fontId="3" fillId="0" borderId="3" xfId="0" applyFont="1" applyBorder="1" applyAlignment="1">
      <alignment horizontal="right"/>
    </xf>
    <xf numFmtId="0" fontId="0" fillId="0" borderId="2" xfId="0" applyBorder="1"/>
    <xf numFmtId="0" fontId="0" fillId="0" borderId="7" xfId="0" applyBorder="1"/>
    <xf numFmtId="0" fontId="3" fillId="0" borderId="8" xfId="0" applyFont="1" applyBorder="1" applyAlignment="1">
      <alignment horizontal="right"/>
    </xf>
    <xf numFmtId="44" fontId="3" fillId="0" borderId="9" xfId="3" applyFont="1" applyBorder="1"/>
    <xf numFmtId="0" fontId="5" fillId="0" borderId="0" xfId="0" applyFont="1" applyBorder="1" applyAlignment="1">
      <alignment horizontal="right"/>
    </xf>
    <xf numFmtId="44" fontId="5" fillId="0" borderId="0" xfId="3" applyFont="1" applyBorder="1"/>
    <xf numFmtId="9" fontId="6" fillId="0" borderId="0" xfId="2" applyFont="1" applyBorder="1"/>
    <xf numFmtId="44" fontId="2" fillId="0" borderId="0" xfId="0" applyNumberFormat="1" applyFont="1"/>
    <xf numFmtId="0" fontId="2" fillId="0" borderId="0" xfId="0" applyFont="1" applyBorder="1"/>
    <xf numFmtId="44" fontId="2" fillId="0" borderId="0" xfId="0" applyNumberFormat="1" applyFont="1" applyBorder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9" fontId="0" fillId="2" borderId="10" xfId="2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 applyBorder="1"/>
    <xf numFmtId="44" fontId="2" fillId="2" borderId="0" xfId="0" applyNumberFormat="1" applyFont="1" applyFill="1" applyBorder="1"/>
    <xf numFmtId="0" fontId="2" fillId="2" borderId="0" xfId="0" applyFont="1" applyFill="1"/>
    <xf numFmtId="0" fontId="0" fillId="2" borderId="0" xfId="0" applyFill="1" applyBorder="1" applyAlignment="1">
      <alignment horizontal="center"/>
    </xf>
    <xf numFmtId="44" fontId="0" fillId="2" borderId="0" xfId="3" applyFont="1" applyFill="1" applyBorder="1" applyAlignment="1">
      <alignment horizontal="center"/>
    </xf>
    <xf numFmtId="0" fontId="2" fillId="2" borderId="0" xfId="0" applyFont="1" applyFill="1" applyBorder="1"/>
    <xf numFmtId="44" fontId="0" fillId="4" borderId="10" xfId="3" applyFont="1" applyFill="1" applyBorder="1" applyAlignment="1">
      <alignment horizontal="center"/>
    </xf>
    <xf numFmtId="0" fontId="0" fillId="0" borderId="0" xfId="0" applyAlignment="1">
      <alignment horizontal="center" vertical="center" textRotation="90"/>
    </xf>
    <xf numFmtId="0" fontId="0" fillId="2" borderId="0" xfId="0" applyFill="1" applyBorder="1" applyAlignment="1">
      <alignment horizontal="center" vertical="center" textRotation="90"/>
    </xf>
    <xf numFmtId="44" fontId="0" fillId="2" borderId="13" xfId="3" applyFont="1" applyFill="1" applyBorder="1" applyAlignment="1">
      <alignment horizontal="center"/>
    </xf>
    <xf numFmtId="9" fontId="0" fillId="2" borderId="13" xfId="2" applyFont="1" applyFill="1" applyBorder="1" applyAlignment="1">
      <alignment horizontal="center"/>
    </xf>
    <xf numFmtId="0" fontId="8" fillId="2" borderId="0" xfId="0" applyFont="1" applyFill="1" applyBorder="1" applyAlignment="1">
      <alignment horizontal="center"/>
    </xf>
    <xf numFmtId="0" fontId="8" fillId="5" borderId="12" xfId="0" applyFont="1" applyFill="1" applyBorder="1" applyAlignment="1">
      <alignment horizontal="center"/>
    </xf>
    <xf numFmtId="0" fontId="8" fillId="5" borderId="11" xfId="0" applyFont="1" applyFill="1" applyBorder="1" applyAlignment="1">
      <alignment horizontal="center"/>
    </xf>
    <xf numFmtId="0" fontId="0" fillId="4" borderId="17" xfId="0" applyFill="1" applyBorder="1"/>
    <xf numFmtId="44" fontId="0" fillId="4" borderId="18" xfId="3" applyFont="1" applyFill="1" applyBorder="1" applyAlignment="1">
      <alignment horizontal="center"/>
    </xf>
    <xf numFmtId="9" fontId="0" fillId="2" borderId="18" xfId="2" applyFont="1" applyFill="1" applyBorder="1" applyAlignment="1">
      <alignment horizontal="center"/>
    </xf>
    <xf numFmtId="0" fontId="0" fillId="4" borderId="14" xfId="0" applyFill="1" applyBorder="1"/>
    <xf numFmtId="0" fontId="0" fillId="2" borderId="16" xfId="0" applyFill="1" applyBorder="1"/>
    <xf numFmtId="9" fontId="0" fillId="2" borderId="20" xfId="2" applyFont="1" applyFill="1" applyBorder="1" applyAlignment="1">
      <alignment horizontal="center"/>
    </xf>
    <xf numFmtId="0" fontId="0" fillId="2" borderId="0" xfId="0" applyFill="1" applyAlignment="1">
      <alignment horizontal="center" vertical="center" textRotation="90"/>
    </xf>
    <xf numFmtId="9" fontId="3" fillId="0" borderId="5" xfId="2" applyFont="1" applyBorder="1"/>
    <xf numFmtId="9" fontId="3" fillId="0" borderId="6" xfId="2" applyFont="1" applyBorder="1"/>
    <xf numFmtId="44" fontId="0" fillId="2" borderId="18" xfId="3" applyFont="1" applyFill="1" applyBorder="1" applyAlignment="1">
      <alignment horizontal="center"/>
    </xf>
    <xf numFmtId="44" fontId="0" fillId="2" borderId="10" xfId="3" applyFont="1" applyFill="1" applyBorder="1" applyAlignment="1">
      <alignment horizontal="center"/>
    </xf>
    <xf numFmtId="0" fontId="0" fillId="2" borderId="17" xfId="0" applyFill="1" applyBorder="1"/>
    <xf numFmtId="1" fontId="0" fillId="2" borderId="18" xfId="1" applyNumberFormat="1" applyFont="1" applyFill="1" applyBorder="1" applyAlignment="1">
      <alignment horizontal="center"/>
    </xf>
    <xf numFmtId="0" fontId="0" fillId="2" borderId="14" xfId="0" applyFill="1" applyBorder="1"/>
    <xf numFmtId="1" fontId="0" fillId="2" borderId="10" xfId="1" applyNumberFormat="1" applyFont="1" applyFill="1" applyBorder="1" applyAlignment="1">
      <alignment horizontal="center"/>
    </xf>
    <xf numFmtId="44" fontId="0" fillId="0" borderId="0" xfId="0" applyNumberFormat="1"/>
    <xf numFmtId="0" fontId="7" fillId="2" borderId="0" xfId="0" applyFont="1" applyFill="1" applyBorder="1" applyAlignment="1">
      <alignment horizontal="center"/>
    </xf>
    <xf numFmtId="44" fontId="2" fillId="2" borderId="0" xfId="0" applyNumberFormat="1" applyFont="1" applyFill="1" applyBorder="1" applyAlignment="1">
      <alignment horizontal="center"/>
    </xf>
    <xf numFmtId="0" fontId="12" fillId="7" borderId="26" xfId="0" applyFont="1" applyFill="1" applyBorder="1" applyAlignment="1">
      <alignment vertical="center"/>
    </xf>
    <xf numFmtId="0" fontId="2" fillId="7" borderId="27" xfId="0" applyFont="1" applyFill="1" applyBorder="1"/>
    <xf numFmtId="0" fontId="9" fillId="7" borderId="26" xfId="0" applyFont="1" applyFill="1" applyBorder="1" applyAlignment="1">
      <alignment vertical="center"/>
    </xf>
    <xf numFmtId="0" fontId="9" fillId="7" borderId="25" xfId="0" applyFont="1" applyFill="1" applyBorder="1" applyAlignment="1">
      <alignment horizontal="center" vertical="center"/>
    </xf>
    <xf numFmtId="0" fontId="9" fillId="7" borderId="26" xfId="0" applyFont="1" applyFill="1" applyBorder="1" applyAlignment="1">
      <alignment horizontal="center" vertical="center"/>
    </xf>
    <xf numFmtId="0" fontId="7" fillId="6" borderId="22" xfId="0" applyFont="1" applyFill="1" applyBorder="1" applyAlignment="1">
      <alignment horizontal="center" vertical="center"/>
    </xf>
    <xf numFmtId="0" fontId="7" fillId="6" borderId="23" xfId="0" applyFont="1" applyFill="1" applyBorder="1" applyAlignment="1">
      <alignment horizontal="center" vertical="center"/>
    </xf>
    <xf numFmtId="44" fontId="0" fillId="4" borderId="24" xfId="2" applyNumberFormat="1" applyFont="1" applyFill="1" applyBorder="1" applyAlignment="1">
      <alignment horizontal="center" vertical="center"/>
    </xf>
    <xf numFmtId="9" fontId="0" fillId="4" borderId="19" xfId="2" applyFont="1" applyFill="1" applyBorder="1" applyAlignment="1">
      <alignment horizontal="center" vertical="center"/>
    </xf>
    <xf numFmtId="9" fontId="0" fillId="4" borderId="15" xfId="2" applyFont="1" applyFill="1" applyBorder="1" applyAlignment="1">
      <alignment horizontal="center" vertical="center"/>
    </xf>
    <xf numFmtId="44" fontId="0" fillId="4" borderId="19" xfId="2" applyNumberFormat="1" applyFont="1" applyFill="1" applyBorder="1" applyAlignment="1">
      <alignment horizontal="center" vertical="center"/>
    </xf>
    <xf numFmtId="44" fontId="0" fillId="4" borderId="15" xfId="2" applyNumberFormat="1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right"/>
    </xf>
  </cellXfs>
  <cellStyles count="4">
    <cellStyle name="Moeda" xfId="3" builtinId="4"/>
    <cellStyle name="Normal" xfId="0" builtinId="0"/>
    <cellStyle name="Porcentagem" xfId="2" builtinId="5"/>
    <cellStyle name="Vírgula" xfId="1" builtinId="3"/>
  </cellStyles>
  <dxfs count="21">
    <dxf>
      <font>
        <color theme="0"/>
      </font>
      <fill>
        <patternFill>
          <bgColor theme="0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003300"/>
      <color rgb="FF339933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42"/>
    </mc:Choice>
    <mc:Fallback>
      <c:style val="42"/>
    </mc:Fallback>
  </mc:AlternateContent>
  <c:chart>
    <c:title>
      <c:tx>
        <c:rich>
          <a:bodyPr/>
          <a:lstStyle/>
          <a:p>
            <a:pPr>
              <a:defRPr lang="en-US"/>
            </a:pPr>
            <a:r>
              <a:rPr lang="pt-BR"/>
              <a:t>ATIVO</a:t>
            </a:r>
          </a:p>
        </c:rich>
      </c:tx>
      <c:overlay val="0"/>
    </c:title>
    <c:autoTitleDeleted val="0"/>
    <c:view3D>
      <c:rotX val="15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4.8140997675590887E-2"/>
          <c:y val="0.10592812857692478"/>
          <c:w val="0.91493593136508378"/>
          <c:h val="0.69479443610216196"/>
        </c:manualLayout>
      </c:layout>
      <c:pie3DChart>
        <c:varyColors val="1"/>
        <c:ser>
          <c:idx val="0"/>
          <c:order val="0"/>
          <c:explosion val="25"/>
          <c:dPt>
            <c:idx val="1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</c:spPr>
          </c:dPt>
          <c:cat>
            <c:strRef>
              <c:f>'Custos Fixos'!$C$6:$C$7</c:f>
              <c:strCache>
                <c:ptCount val="2"/>
                <c:pt idx="0">
                  <c:v>CIRCULANTE</c:v>
                </c:pt>
                <c:pt idx="1">
                  <c:v>NÃO CIRCULANTE</c:v>
                </c:pt>
              </c:strCache>
            </c:strRef>
          </c:cat>
          <c:val>
            <c:numRef>
              <c:f>'Custos Fixos'!$D$6:$D$7</c:f>
              <c:numCache>
                <c:formatCode>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</c:pie3DChart>
      <c:spPr>
        <a:solidFill>
          <a:schemeClr val="tx1">
            <a:lumMod val="65000"/>
            <a:lumOff val="35000"/>
          </a:schemeClr>
        </a:solidFill>
      </c:spPr>
    </c:plotArea>
    <c:legend>
      <c:legendPos val="b"/>
      <c:layout>
        <c:manualLayout>
          <c:xMode val="edge"/>
          <c:yMode val="edge"/>
          <c:x val="3.5918912026018691E-2"/>
          <c:y val="0.69160936946677365"/>
          <c:w val="0.9158543241099415"/>
          <c:h val="0.28857644016489437"/>
        </c:manualLayout>
      </c:layout>
      <c:overlay val="0"/>
      <c:txPr>
        <a:bodyPr/>
        <a:lstStyle/>
        <a:p>
          <a:pPr rtl="0">
            <a:defRPr lang="en-US"/>
          </a:pPr>
          <a:endParaRPr lang="pt-BR"/>
        </a:p>
      </c:txPr>
    </c:legend>
    <c:plotVisOnly val="1"/>
    <c:dispBlanksAs val="zero"/>
    <c:showDLblsOverMax val="0"/>
  </c:chart>
  <c:spPr>
    <a:solidFill>
      <a:schemeClr val="tx1">
        <a:lumMod val="65000"/>
        <a:lumOff val="35000"/>
      </a:schemeClr>
    </a:solidFill>
  </c:spPr>
  <c:printSettings>
    <c:headerFooter/>
    <c:pageMargins b="0.78740157499999996" l="0.511811024" r="0.511811024" t="0.78740157499999996" header="0.31496062000000247" footer="0.31496062000000247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42"/>
    </mc:Choice>
    <mc:Fallback>
      <c:style val="42"/>
    </mc:Fallback>
  </mc:AlternateContent>
  <c:chart>
    <c:title>
      <c:tx>
        <c:rich>
          <a:bodyPr/>
          <a:lstStyle/>
          <a:p>
            <a:pPr>
              <a:defRPr lang="en-US"/>
            </a:pPr>
            <a:r>
              <a:rPr lang="pt-BR"/>
              <a:t>PASSIVO</a:t>
            </a:r>
          </a:p>
        </c:rich>
      </c:tx>
      <c:overlay val="0"/>
    </c:title>
    <c:autoTitleDeleted val="0"/>
    <c:view3D>
      <c:rotX val="15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4.8140997675590887E-2"/>
          <c:y val="0.10592812857692482"/>
          <c:w val="0.914935931365084"/>
          <c:h val="0.6947944361021624"/>
        </c:manualLayout>
      </c:layout>
      <c:pie3DChart>
        <c:varyColors val="1"/>
        <c:ser>
          <c:idx val="0"/>
          <c:order val="0"/>
          <c:explosion val="25"/>
          <c:dPt>
            <c:idx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</c:spPr>
          </c:dPt>
          <c:cat>
            <c:strRef>
              <c:f>'Custos Fixos'!$C$9:$C$11</c:f>
              <c:strCache>
                <c:ptCount val="3"/>
                <c:pt idx="0">
                  <c:v>CIRCULANTE</c:v>
                </c:pt>
                <c:pt idx="1">
                  <c:v>NÃO CIRCULANTE</c:v>
                </c:pt>
                <c:pt idx="2">
                  <c:v>PATRIMONIO LÍQUIDO</c:v>
                </c:pt>
              </c:strCache>
            </c:strRef>
          </c:cat>
          <c:val>
            <c:numRef>
              <c:f>'Custos Fixos'!$D$9:$D$11</c:f>
              <c:numCache>
                <c:formatCode>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</c:pie3DChart>
    </c:plotArea>
    <c:legend>
      <c:legendPos val="b"/>
      <c:layout>
        <c:manualLayout>
          <c:xMode val="edge"/>
          <c:yMode val="edge"/>
          <c:x val="3.5918912026018691E-2"/>
          <c:y val="0.69160936946677365"/>
          <c:w val="0.9158543241099415"/>
          <c:h val="0.28857644016489448"/>
        </c:manualLayout>
      </c:layout>
      <c:overlay val="0"/>
      <c:txPr>
        <a:bodyPr/>
        <a:lstStyle/>
        <a:p>
          <a:pPr rtl="0">
            <a:defRPr lang="en-US"/>
          </a:pPr>
          <a:endParaRPr lang="pt-BR"/>
        </a:p>
      </c:txPr>
    </c:legend>
    <c:plotVisOnly val="1"/>
    <c:dispBlanksAs val="zero"/>
    <c:showDLblsOverMax val="0"/>
  </c:chart>
  <c:spPr>
    <a:solidFill>
      <a:schemeClr val="tx1">
        <a:lumMod val="65000"/>
        <a:lumOff val="35000"/>
      </a:schemeClr>
    </a:solidFill>
  </c:spPr>
  <c:printSettings>
    <c:headerFooter/>
    <c:pageMargins b="0.78740157499999996" l="0.511811024" r="0.511811024" t="0.78740157499999996" header="0.31496062000000258" footer="0.31496062000000258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>
                <a:solidFill>
                  <a:schemeClr val="bg1">
                    <a:lumMod val="85000"/>
                  </a:schemeClr>
                </a:solidFill>
              </a:defRPr>
            </a:pPr>
            <a:r>
              <a:rPr lang="en-US" sz="1800">
                <a:solidFill>
                  <a:schemeClr val="bg1">
                    <a:lumMod val="85000"/>
                  </a:schemeClr>
                </a:solidFill>
              </a:rPr>
              <a:t>SALÁRIO POR CARGO</a:t>
            </a:r>
          </a:p>
        </c:rich>
      </c:tx>
      <c:layout>
        <c:manualLayout>
          <c:xMode val="edge"/>
          <c:yMode val="edge"/>
          <c:x val="0.46277028719574737"/>
          <c:y val="4.102563155937088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1.8333335739282947E-2"/>
          <c:y val="0.24133686998844245"/>
          <c:w val="0.96333332852143416"/>
          <c:h val="0.5990050465531987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60000"/>
                <a:lumOff val="40000"/>
              </a:schemeClr>
            </a:solidFill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dLbls>
            <c:txPr>
              <a:bodyPr/>
              <a:lstStyle/>
              <a:p>
                <a:pPr>
                  <a:defRPr lang="en-US" sz="1600" b="1">
                    <a:solidFill>
                      <a:schemeClr val="bg1">
                        <a:lumMod val="95000"/>
                      </a:schemeClr>
                    </a:solidFill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Plan1!$C$3:$C$11</c:f>
              <c:strCache>
                <c:ptCount val="9"/>
                <c:pt idx="0">
                  <c:v>RECEPCIONISTA</c:v>
                </c:pt>
                <c:pt idx="1">
                  <c:v>ANALISTA RH</c:v>
                </c:pt>
                <c:pt idx="2">
                  <c:v>CARGO </c:v>
                </c:pt>
                <c:pt idx="3">
                  <c:v>CARGO </c:v>
                </c:pt>
                <c:pt idx="4">
                  <c:v>CARGO </c:v>
                </c:pt>
                <c:pt idx="5">
                  <c:v>CARGO </c:v>
                </c:pt>
                <c:pt idx="6">
                  <c:v>CARGO </c:v>
                </c:pt>
                <c:pt idx="7">
                  <c:v>CARGO </c:v>
                </c:pt>
                <c:pt idx="8">
                  <c:v>CARGO </c:v>
                </c:pt>
              </c:strCache>
            </c:strRef>
          </c:cat>
          <c:val>
            <c:numRef>
              <c:f>Plan1!$D$3:$D$11</c:f>
              <c:numCache>
                <c:formatCode>_("R$"* #,##0.00_);_("R$"* \(#,##0.00\);_("R$"* "-"??_);_(@_)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16"/>
        <c:overlap val="99"/>
        <c:axId val="156856704"/>
        <c:axId val="157386240"/>
      </c:barChart>
      <c:catAx>
        <c:axId val="156856704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lang="en-US" sz="1200" b="1">
                <a:solidFill>
                  <a:schemeClr val="bg1">
                    <a:lumMod val="95000"/>
                  </a:schemeClr>
                </a:solidFill>
              </a:defRPr>
            </a:pPr>
            <a:endParaRPr lang="pt-BR"/>
          </a:p>
        </c:txPr>
        <c:crossAx val="157386240"/>
        <c:crosses val="autoZero"/>
        <c:auto val="1"/>
        <c:lblAlgn val="ctr"/>
        <c:lblOffset val="100"/>
        <c:noMultiLvlLbl val="0"/>
      </c:catAx>
      <c:valAx>
        <c:axId val="157386240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one"/>
        <c:crossAx val="156856704"/>
        <c:crosses val="autoZero"/>
        <c:crossBetween val="between"/>
      </c:valAx>
      <c:spPr>
        <a:noFill/>
        <a:ln w="25400">
          <a:noFill/>
        </a:ln>
        <a:scene3d>
          <a:camera prst="orthographicFront"/>
          <a:lightRig rig="threePt" dir="t"/>
        </a:scene3d>
        <a:sp3d>
          <a:bevelT/>
        </a:sp3d>
      </c:spPr>
    </c:plotArea>
    <c:plotVisOnly val="1"/>
    <c:dispBlanksAs val="gap"/>
    <c:showDLblsOverMax val="0"/>
  </c:chart>
  <c:spPr>
    <a:solidFill>
      <a:schemeClr val="tx1">
        <a:lumMod val="85000"/>
        <a:lumOff val="15000"/>
      </a:schemeClr>
    </a:solidFill>
  </c:spPr>
  <c:printSettings>
    <c:headerFooter/>
    <c:pageMargins b="0.78740157499999996" l="0.511811024" r="0.511811024" t="0.78740157499999996" header="0.31496062000000091" footer="0.31496062000000091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Controle de Cargos'!A1"/><Relationship Id="rId7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An&#225;lise!A1"/><Relationship Id="rId6" Type="http://schemas.openxmlformats.org/officeDocument/2006/relationships/hyperlink" Target="http://www.acelere.vc" TargetMode="External"/><Relationship Id="rId5" Type="http://schemas.openxmlformats.org/officeDocument/2006/relationships/hyperlink" Target="#Panorama!A1"/><Relationship Id="rId4" Type="http://schemas.openxmlformats.org/officeDocument/2006/relationships/hyperlink" Target="#'Fatores Internos'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&#237;cio!A1"/><Relationship Id="rId2" Type="http://schemas.openxmlformats.org/officeDocument/2006/relationships/image" Target="../media/image2.png"/><Relationship Id="rId1" Type="http://schemas.openxmlformats.org/officeDocument/2006/relationships/hyperlink" Target="http://www.acelere.vc" TargetMode="External"/><Relationship Id="rId4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hyperlink" Target="#Painel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://www.acelere.vc" TargetMode="External"/><Relationship Id="rId1" Type="http://schemas.openxmlformats.org/officeDocument/2006/relationships/chart" Target="../charts/chart3.xml"/><Relationship Id="rId5" Type="http://schemas.openxmlformats.org/officeDocument/2006/relationships/image" Target="../media/image3.png"/><Relationship Id="rId4" Type="http://schemas.openxmlformats.org/officeDocument/2006/relationships/hyperlink" Target="#In&#237;cio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219075</xdr:colOff>
      <xdr:row>9</xdr:row>
      <xdr:rowOff>19050</xdr:rowOff>
    </xdr:from>
    <xdr:to>
      <xdr:col>8</xdr:col>
      <xdr:colOff>285750</xdr:colOff>
      <xdr:row>11</xdr:row>
      <xdr:rowOff>177088</xdr:rowOff>
    </xdr:to>
    <xdr:grpSp>
      <xdr:nvGrpSpPr>
        <xdr:cNvPr id="9" name="Grupo 8">
          <a:hlinkClick xmlns:r="http://schemas.openxmlformats.org/officeDocument/2006/relationships" r:id="rId1"/>
        </xdr:cNvPr>
        <xdr:cNvGrpSpPr/>
      </xdr:nvGrpSpPr>
      <xdr:grpSpPr>
        <a:xfrm>
          <a:off x="3695700" y="2000250"/>
          <a:ext cx="1895475" cy="539038"/>
          <a:chOff x="285750" y="2400300"/>
          <a:chExt cx="1895475" cy="539038"/>
        </a:xfrm>
      </xdr:grpSpPr>
      <xdr:pic>
        <xdr:nvPicPr>
          <xdr:cNvPr id="10" name="Imagem 9"/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5750" y="2400300"/>
            <a:ext cx="1895475" cy="53903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1" name="CaixaDeTexto 10">
            <a:hlinkClick xmlns:r="http://schemas.openxmlformats.org/officeDocument/2006/relationships" r:id="rId3"/>
          </xdr:cNvPr>
          <xdr:cNvSpPr txBox="1"/>
        </xdr:nvSpPr>
        <xdr:spPr>
          <a:xfrm>
            <a:off x="542925" y="2524125"/>
            <a:ext cx="1390649" cy="257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1300" i="1" u="sng">
                <a:solidFill>
                  <a:schemeClr val="bg1"/>
                </a:solidFill>
              </a:rPr>
              <a:t>CONTROLE</a:t>
            </a:r>
          </a:p>
        </xdr:txBody>
      </xdr:sp>
    </xdr:grpSp>
    <xdr:clientData/>
  </xdr:twoCellAnchor>
  <xdr:twoCellAnchor>
    <xdr:from>
      <xdr:col>9</xdr:col>
      <xdr:colOff>590550</xdr:colOff>
      <xdr:row>9</xdr:row>
      <xdr:rowOff>19050</xdr:rowOff>
    </xdr:from>
    <xdr:to>
      <xdr:col>13</xdr:col>
      <xdr:colOff>47625</xdr:colOff>
      <xdr:row>11</xdr:row>
      <xdr:rowOff>177088</xdr:rowOff>
    </xdr:to>
    <xdr:grpSp>
      <xdr:nvGrpSpPr>
        <xdr:cNvPr id="12" name="Grupo 11">
          <a:hlinkClick xmlns:r="http://schemas.openxmlformats.org/officeDocument/2006/relationships" r:id="rId4"/>
        </xdr:cNvPr>
        <xdr:cNvGrpSpPr/>
      </xdr:nvGrpSpPr>
      <xdr:grpSpPr>
        <a:xfrm>
          <a:off x="6505575" y="2000250"/>
          <a:ext cx="1895475" cy="539038"/>
          <a:chOff x="285750" y="2400300"/>
          <a:chExt cx="1895475" cy="539038"/>
        </a:xfrm>
      </xdr:grpSpPr>
      <xdr:pic>
        <xdr:nvPicPr>
          <xdr:cNvPr id="13" name="Imagem 12"/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5750" y="2400300"/>
            <a:ext cx="1895475" cy="53903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4" name="CaixaDeTexto 13">
            <a:hlinkClick xmlns:r="http://schemas.openxmlformats.org/officeDocument/2006/relationships" r:id="rId5"/>
          </xdr:cNvPr>
          <xdr:cNvSpPr txBox="1"/>
        </xdr:nvSpPr>
        <xdr:spPr>
          <a:xfrm>
            <a:off x="419100" y="2524125"/>
            <a:ext cx="1638299" cy="257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1300" i="1" u="sng">
                <a:solidFill>
                  <a:schemeClr val="bg1"/>
                </a:solidFill>
              </a:rPr>
              <a:t>PANORAMA</a:t>
            </a:r>
          </a:p>
        </xdr:txBody>
      </xdr:sp>
    </xdr:grpSp>
    <xdr:clientData/>
  </xdr:twoCellAnchor>
  <xdr:twoCellAnchor editAs="oneCell">
    <xdr:from>
      <xdr:col>17</xdr:col>
      <xdr:colOff>571500</xdr:colOff>
      <xdr:row>0</xdr:row>
      <xdr:rowOff>0</xdr:rowOff>
    </xdr:from>
    <xdr:to>
      <xdr:col>19</xdr:col>
      <xdr:colOff>552450</xdr:colOff>
      <xdr:row>1</xdr:row>
      <xdr:rowOff>22779</xdr:rowOff>
    </xdr:to>
    <xdr:pic>
      <xdr:nvPicPr>
        <xdr:cNvPr id="15" name="Imagem 14">
          <a:hlinkClick xmlns:r="http://schemas.openxmlformats.org/officeDocument/2006/relationships" r:id="rId6"/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3325" y="0"/>
          <a:ext cx="1200150" cy="4799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542925</xdr:colOff>
      <xdr:row>0</xdr:row>
      <xdr:rowOff>0</xdr:rowOff>
    </xdr:from>
    <xdr:to>
      <xdr:col>10</xdr:col>
      <xdr:colOff>1743075</xdr:colOff>
      <xdr:row>1</xdr:row>
      <xdr:rowOff>22779</xdr:rowOff>
    </xdr:to>
    <xdr:pic>
      <xdr:nvPicPr>
        <xdr:cNvPr id="7" name="Imagem 6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87125" y="0"/>
          <a:ext cx="1200150" cy="479979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0</xdr:row>
      <xdr:rowOff>66675</xdr:rowOff>
    </xdr:from>
    <xdr:to>
      <xdr:col>1</xdr:col>
      <xdr:colOff>238125</xdr:colOff>
      <xdr:row>0</xdr:row>
      <xdr:rowOff>396724</xdr:rowOff>
    </xdr:to>
    <xdr:pic>
      <xdr:nvPicPr>
        <xdr:cNvPr id="8" name="Imagem 7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66675"/>
          <a:ext cx="561975" cy="33004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0</xdr:row>
      <xdr:rowOff>78581</xdr:rowOff>
    </xdr:from>
    <xdr:to>
      <xdr:col>1</xdr:col>
      <xdr:colOff>219075</xdr:colOff>
      <xdr:row>1</xdr:row>
      <xdr:rowOff>95514</xdr:rowOff>
    </xdr:to>
    <xdr:sp macro="" textlink="">
      <xdr:nvSpPr>
        <xdr:cNvPr id="2" name="Seta em curva para a direita 1">
          <a:hlinkClick xmlns:r="http://schemas.openxmlformats.org/officeDocument/2006/relationships" r:id="rId1"/>
        </xdr:cNvPr>
        <xdr:cNvSpPr/>
      </xdr:nvSpPr>
      <xdr:spPr>
        <a:xfrm rot="10800000">
          <a:off x="133350" y="78581"/>
          <a:ext cx="276225" cy="278871"/>
        </a:xfrm>
        <a:prstGeom prst="curvedRightArrow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1023937</xdr:colOff>
      <xdr:row>4</xdr:row>
      <xdr:rowOff>47624</xdr:rowOff>
    </xdr:from>
    <xdr:to>
      <xdr:col>12</xdr:col>
      <xdr:colOff>416717</xdr:colOff>
      <xdr:row>17</xdr:row>
      <xdr:rowOff>83343</xdr:rowOff>
    </xdr:to>
    <xdr:graphicFrame macro="">
      <xdr:nvGraphicFramePr>
        <xdr:cNvPr id="6" name="Grá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523874</xdr:colOff>
      <xdr:row>3</xdr:row>
      <xdr:rowOff>178594</xdr:rowOff>
    </xdr:from>
    <xdr:to>
      <xdr:col>20</xdr:col>
      <xdr:colOff>369091</xdr:colOff>
      <xdr:row>17</xdr:row>
      <xdr:rowOff>11907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142875</xdr:colOff>
      <xdr:row>3</xdr:row>
      <xdr:rowOff>31749</xdr:rowOff>
    </xdr:from>
    <xdr:to>
      <xdr:col>30</xdr:col>
      <xdr:colOff>412750</xdr:colOff>
      <xdr:row>30</xdr:row>
      <xdr:rowOff>174625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18</xdr:col>
      <xdr:colOff>333375</xdr:colOff>
      <xdr:row>0</xdr:row>
      <xdr:rowOff>0</xdr:rowOff>
    </xdr:from>
    <xdr:to>
      <xdr:col>20</xdr:col>
      <xdr:colOff>314325</xdr:colOff>
      <xdr:row>1</xdr:row>
      <xdr:rowOff>22779</xdr:rowOff>
    </xdr:to>
    <xdr:pic>
      <xdr:nvPicPr>
        <xdr:cNvPr id="13" name="Imagem 12">
          <a:hlinkClick xmlns:r="http://schemas.openxmlformats.org/officeDocument/2006/relationships" r:id="rId2"/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06175" y="0"/>
          <a:ext cx="1200150" cy="479979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0</xdr:row>
      <xdr:rowOff>66675</xdr:rowOff>
    </xdr:from>
    <xdr:to>
      <xdr:col>1</xdr:col>
      <xdr:colOff>28575</xdr:colOff>
      <xdr:row>0</xdr:row>
      <xdr:rowOff>396724</xdr:rowOff>
    </xdr:to>
    <xdr:pic>
      <xdr:nvPicPr>
        <xdr:cNvPr id="14" name="Imagem 13">
          <a:hlinkClick xmlns:r="http://schemas.openxmlformats.org/officeDocument/2006/relationships" r:id="rId4"/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66675"/>
          <a:ext cx="561975" cy="3300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/>
  <dimension ref="A1:Y1"/>
  <sheetViews>
    <sheetView tabSelected="1" workbookViewId="0">
      <selection activeCell="D6" sqref="D6"/>
    </sheetView>
  </sheetViews>
  <sheetFormatPr defaultRowHeight="15" x14ac:dyDescent="0.25"/>
  <cols>
    <col min="1" max="1" width="15.5703125" style="1" customWidth="1"/>
    <col min="2" max="16384" width="9.140625" style="1"/>
  </cols>
  <sheetData>
    <row r="1" spans="1:25" s="58" customFormat="1" ht="36" customHeight="1" x14ac:dyDescent="0.25">
      <c r="A1" s="60" t="s">
        <v>18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57"/>
      <c r="V1" s="57"/>
      <c r="W1" s="57"/>
      <c r="X1" s="57"/>
      <c r="Y1" s="57"/>
    </row>
  </sheetData>
  <mergeCells count="1">
    <mergeCell ref="A1:T1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"/>
  <dimension ref="A1:Y64"/>
  <sheetViews>
    <sheetView showGridLines="0" topLeftCell="H1" zoomScaleNormal="100" workbookViewId="0">
      <pane ySplit="3" topLeftCell="A4" activePane="bottomLeft" state="frozen"/>
      <selection pane="bottomLeft" activeCell="K5" sqref="K5:M15"/>
    </sheetView>
  </sheetViews>
  <sheetFormatPr defaultRowHeight="15" x14ac:dyDescent="0.25"/>
  <cols>
    <col min="1" max="1" width="5.7109375" style="5" customWidth="1"/>
    <col min="2" max="2" width="17.7109375" style="32" customWidth="1"/>
    <col min="3" max="3" width="16.85546875" customWidth="1"/>
    <col min="4" max="4" width="14.85546875" style="22" customWidth="1"/>
    <col min="5" max="5" width="18.140625" style="22" bestFit="1" customWidth="1"/>
    <col min="6" max="6" width="18.5703125" style="22" bestFit="1" customWidth="1"/>
    <col min="7" max="7" width="19.28515625" style="22" customWidth="1"/>
    <col min="8" max="8" width="4.28515625" style="21" customWidth="1"/>
    <col min="9" max="9" width="19.140625" style="22" bestFit="1" customWidth="1"/>
    <col min="10" max="10" width="26.5703125" style="22" customWidth="1"/>
    <col min="11" max="12" width="35.140625" style="24" customWidth="1"/>
    <col min="13" max="13" width="41.7109375" style="24" bestFit="1" customWidth="1"/>
    <col min="14" max="14" width="13.28515625" style="22" bestFit="1" customWidth="1"/>
    <col min="15" max="15" width="13.28515625" style="5" bestFit="1" customWidth="1"/>
    <col min="16" max="16" width="13.7109375" style="5" customWidth="1"/>
    <col min="17" max="17" width="13.28515625" style="5" bestFit="1" customWidth="1"/>
  </cols>
  <sheetData>
    <row r="1" spans="1:25" s="58" customFormat="1" ht="36" customHeight="1" x14ac:dyDescent="0.25">
      <c r="A1" s="60" t="s">
        <v>19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59"/>
      <c r="M1" s="59"/>
      <c r="N1" s="59"/>
      <c r="O1" s="59"/>
      <c r="P1" s="59"/>
      <c r="Q1" s="59"/>
      <c r="R1" s="59"/>
      <c r="S1" s="59"/>
      <c r="T1" s="59"/>
      <c r="U1" s="57"/>
      <c r="V1" s="57"/>
      <c r="W1" s="57"/>
      <c r="X1" s="57"/>
      <c r="Y1" s="57"/>
    </row>
    <row r="2" spans="1:25" ht="10.5" customHeight="1" thickBot="1" x14ac:dyDescent="0.3">
      <c r="J2" s="21">
        <v>0</v>
      </c>
    </row>
    <row r="3" spans="1:25" x14ac:dyDescent="0.25">
      <c r="B3" s="37" t="s">
        <v>6</v>
      </c>
      <c r="C3" s="37" t="s">
        <v>7</v>
      </c>
      <c r="D3" s="37" t="s">
        <v>8</v>
      </c>
      <c r="E3" s="37" t="s">
        <v>9</v>
      </c>
      <c r="F3" s="37" t="s">
        <v>10</v>
      </c>
      <c r="G3" s="38" t="s">
        <v>11</v>
      </c>
      <c r="H3" s="55"/>
      <c r="I3" s="37" t="s">
        <v>6</v>
      </c>
      <c r="J3" s="37" t="s">
        <v>7</v>
      </c>
      <c r="K3" s="37" t="s">
        <v>12</v>
      </c>
      <c r="L3" s="37" t="s">
        <v>13</v>
      </c>
      <c r="M3" s="37" t="s">
        <v>14</v>
      </c>
      <c r="N3" s="36"/>
      <c r="O3" s="19"/>
    </row>
    <row r="4" spans="1:25" s="1" customFormat="1" ht="9.75" customHeight="1" thickBot="1" x14ac:dyDescent="0.3">
      <c r="A4" s="27"/>
      <c r="B4" s="45"/>
      <c r="C4" s="36"/>
      <c r="D4" s="36"/>
      <c r="E4" s="36"/>
      <c r="F4" s="36"/>
      <c r="G4" s="36"/>
      <c r="H4" s="55"/>
      <c r="I4" s="45"/>
      <c r="J4" s="36"/>
      <c r="K4" s="36"/>
      <c r="L4" s="36"/>
      <c r="M4" s="36"/>
      <c r="N4" s="36"/>
      <c r="O4" s="30"/>
      <c r="P4" s="27"/>
      <c r="Q4" s="27"/>
    </row>
    <row r="5" spans="1:25" ht="15" customHeight="1" x14ac:dyDescent="0.25">
      <c r="A5" s="19" t="str">
        <f>B5</f>
        <v>RECEPCIONISTA</v>
      </c>
      <c r="B5" s="62" t="s">
        <v>16</v>
      </c>
      <c r="C5" s="50"/>
      <c r="D5" s="51"/>
      <c r="E5" s="48"/>
      <c r="F5" s="40">
        <f>E5*D5</f>
        <v>0</v>
      </c>
      <c r="G5" s="64">
        <f>SUM(F5:F9)</f>
        <v>0</v>
      </c>
      <c r="H5" s="56">
        <f>G5</f>
        <v>0</v>
      </c>
      <c r="I5" s="62" t="str">
        <f>B5</f>
        <v>RECEPCIONISTA</v>
      </c>
      <c r="J5" s="39">
        <f>C5</f>
        <v>0</v>
      </c>
      <c r="K5" s="41"/>
      <c r="L5" s="41"/>
      <c r="M5" s="41"/>
      <c r="N5" s="29"/>
      <c r="O5" s="20"/>
      <c r="P5" s="18"/>
    </row>
    <row r="6" spans="1:25" x14ac:dyDescent="0.25">
      <c r="A6" s="19">
        <f t="shared" ref="A6:A63" si="0">B6</f>
        <v>0</v>
      </c>
      <c r="B6" s="63"/>
      <c r="C6" s="52"/>
      <c r="D6" s="53"/>
      <c r="E6" s="49"/>
      <c r="F6" s="31">
        <f>E6*D6</f>
        <v>0</v>
      </c>
      <c r="G6" s="65"/>
      <c r="H6" s="56">
        <f t="shared" ref="H6:H64" si="1">G6</f>
        <v>0</v>
      </c>
      <c r="I6" s="63"/>
      <c r="J6" s="42">
        <f>C6</f>
        <v>0</v>
      </c>
      <c r="K6" s="23"/>
      <c r="L6" s="23"/>
      <c r="M6" s="23"/>
      <c r="N6" s="29"/>
      <c r="O6" s="20"/>
      <c r="P6" s="18"/>
    </row>
    <row r="7" spans="1:25" x14ac:dyDescent="0.25">
      <c r="A7" s="19">
        <f t="shared" si="0"/>
        <v>0</v>
      </c>
      <c r="B7" s="63"/>
      <c r="C7" s="52"/>
      <c r="D7" s="53"/>
      <c r="E7" s="49"/>
      <c r="F7" s="31">
        <f t="shared" ref="F7:F9" si="2">E7*D7</f>
        <v>0</v>
      </c>
      <c r="G7" s="65"/>
      <c r="H7" s="56">
        <f t="shared" si="1"/>
        <v>0</v>
      </c>
      <c r="I7" s="63"/>
      <c r="J7" s="42">
        <f>C7</f>
        <v>0</v>
      </c>
      <c r="K7" s="23"/>
      <c r="L7" s="23"/>
      <c r="M7" s="23"/>
      <c r="N7" s="29"/>
      <c r="O7" s="20"/>
      <c r="P7" s="18"/>
    </row>
    <row r="8" spans="1:25" x14ac:dyDescent="0.25">
      <c r="A8" s="19">
        <f t="shared" si="0"/>
        <v>0</v>
      </c>
      <c r="B8" s="63"/>
      <c r="C8" s="52"/>
      <c r="D8" s="53"/>
      <c r="E8" s="49"/>
      <c r="F8" s="31">
        <f t="shared" si="2"/>
        <v>0</v>
      </c>
      <c r="G8" s="65"/>
      <c r="H8" s="56">
        <f t="shared" si="1"/>
        <v>0</v>
      </c>
      <c r="I8" s="63"/>
      <c r="J8" s="42">
        <f>C8</f>
        <v>0</v>
      </c>
      <c r="K8" s="23"/>
      <c r="L8" s="23"/>
      <c r="M8" s="23"/>
      <c r="N8" s="29"/>
      <c r="O8" s="20"/>
      <c r="P8" s="18"/>
    </row>
    <row r="9" spans="1:25" x14ac:dyDescent="0.25">
      <c r="A9" s="19">
        <f t="shared" si="0"/>
        <v>0</v>
      </c>
      <c r="B9" s="63"/>
      <c r="C9" s="52"/>
      <c r="D9" s="53"/>
      <c r="E9" s="49"/>
      <c r="F9" s="31">
        <f t="shared" si="2"/>
        <v>0</v>
      </c>
      <c r="G9" s="66"/>
      <c r="H9" s="56">
        <f t="shared" si="1"/>
        <v>0</v>
      </c>
      <c r="I9" s="63"/>
      <c r="J9" s="42">
        <f>C9</f>
        <v>0</v>
      </c>
      <c r="K9" s="23"/>
      <c r="L9" s="23"/>
      <c r="M9" s="23"/>
      <c r="N9" s="29"/>
      <c r="O9" s="20"/>
      <c r="P9" s="18"/>
    </row>
    <row r="10" spans="1:25" s="25" customFormat="1" ht="7.5" customHeight="1" thickBot="1" x14ac:dyDescent="0.3">
      <c r="A10" s="19">
        <f t="shared" si="0"/>
        <v>0</v>
      </c>
      <c r="B10" s="33"/>
      <c r="C10" s="43"/>
      <c r="D10" s="34"/>
      <c r="E10" s="35"/>
      <c r="F10" s="35"/>
      <c r="G10" s="44"/>
      <c r="H10" s="56">
        <f t="shared" si="1"/>
        <v>0</v>
      </c>
      <c r="I10" s="28"/>
      <c r="J10" s="43"/>
      <c r="K10" s="34"/>
      <c r="L10" s="35"/>
      <c r="M10" s="44"/>
      <c r="N10" s="29"/>
      <c r="O10" s="26"/>
      <c r="P10" s="26"/>
      <c r="Q10" s="30"/>
    </row>
    <row r="11" spans="1:25" ht="15" customHeight="1" x14ac:dyDescent="0.25">
      <c r="A11" s="19" t="str">
        <f t="shared" si="0"/>
        <v>ANALISTA RH</v>
      </c>
      <c r="B11" s="62" t="s">
        <v>17</v>
      </c>
      <c r="C11" s="50"/>
      <c r="D11" s="51"/>
      <c r="E11" s="48"/>
      <c r="F11" s="40">
        <f>E11*D11</f>
        <v>0</v>
      </c>
      <c r="G11" s="64">
        <f>SUM(F11:F15)</f>
        <v>0</v>
      </c>
      <c r="H11" s="56">
        <f t="shared" si="1"/>
        <v>0</v>
      </c>
      <c r="I11" s="62" t="str">
        <f>B11</f>
        <v>ANALISTA RH</v>
      </c>
      <c r="J11" s="39">
        <f>C11</f>
        <v>0</v>
      </c>
      <c r="K11" s="41"/>
      <c r="L11" s="41"/>
      <c r="M11" s="41"/>
      <c r="N11" s="29"/>
      <c r="O11" s="20"/>
      <c r="P11" s="18"/>
    </row>
    <row r="12" spans="1:25" x14ac:dyDescent="0.25">
      <c r="A12" s="19">
        <f t="shared" si="0"/>
        <v>0</v>
      </c>
      <c r="B12" s="63"/>
      <c r="C12" s="52"/>
      <c r="D12" s="53"/>
      <c r="E12" s="49"/>
      <c r="F12" s="31">
        <f>E12*D12</f>
        <v>0</v>
      </c>
      <c r="G12" s="65"/>
      <c r="H12" s="56">
        <f t="shared" si="1"/>
        <v>0</v>
      </c>
      <c r="I12" s="63"/>
      <c r="J12" s="42">
        <f>C12</f>
        <v>0</v>
      </c>
      <c r="K12" s="23"/>
      <c r="L12" s="23"/>
      <c r="M12" s="23"/>
      <c r="N12" s="29"/>
      <c r="O12" s="20"/>
      <c r="P12" s="18"/>
    </row>
    <row r="13" spans="1:25" x14ac:dyDescent="0.25">
      <c r="A13" s="19">
        <f t="shared" si="0"/>
        <v>0</v>
      </c>
      <c r="B13" s="63"/>
      <c r="C13" s="52"/>
      <c r="D13" s="53"/>
      <c r="E13" s="49"/>
      <c r="F13" s="31">
        <f t="shared" ref="F13:F15" si="3">E13*D13</f>
        <v>0</v>
      </c>
      <c r="G13" s="65"/>
      <c r="H13" s="56">
        <f t="shared" si="1"/>
        <v>0</v>
      </c>
      <c r="I13" s="63"/>
      <c r="J13" s="42">
        <f>C13</f>
        <v>0</v>
      </c>
      <c r="K13" s="23"/>
      <c r="L13" s="23"/>
      <c r="M13" s="23"/>
      <c r="N13" s="29"/>
      <c r="O13" s="20"/>
      <c r="P13" s="18"/>
    </row>
    <row r="14" spans="1:25" x14ac:dyDescent="0.25">
      <c r="A14" s="19">
        <f t="shared" si="0"/>
        <v>0</v>
      </c>
      <c r="B14" s="63"/>
      <c r="C14" s="52"/>
      <c r="D14" s="53"/>
      <c r="E14" s="49"/>
      <c r="F14" s="31">
        <f t="shared" si="3"/>
        <v>0</v>
      </c>
      <c r="G14" s="65"/>
      <c r="H14" s="56">
        <f t="shared" si="1"/>
        <v>0</v>
      </c>
      <c r="I14" s="63"/>
      <c r="J14" s="42">
        <f>C14</f>
        <v>0</v>
      </c>
      <c r="K14" s="23"/>
      <c r="L14" s="23"/>
      <c r="M14" s="23"/>
      <c r="N14" s="29"/>
      <c r="O14" s="20"/>
      <c r="P14" s="18"/>
    </row>
    <row r="15" spans="1:25" x14ac:dyDescent="0.25">
      <c r="A15" s="19">
        <f t="shared" si="0"/>
        <v>0</v>
      </c>
      <c r="B15" s="63"/>
      <c r="C15" s="52"/>
      <c r="D15" s="53"/>
      <c r="E15" s="49"/>
      <c r="F15" s="31">
        <f t="shared" si="3"/>
        <v>0</v>
      </c>
      <c r="G15" s="66"/>
      <c r="H15" s="56">
        <f t="shared" si="1"/>
        <v>0</v>
      </c>
      <c r="I15" s="63"/>
      <c r="J15" s="42">
        <f>C15</f>
        <v>0</v>
      </c>
      <c r="K15" s="23"/>
      <c r="L15" s="23"/>
      <c r="M15" s="23"/>
      <c r="N15" s="29"/>
      <c r="O15" s="20"/>
      <c r="P15" s="18"/>
    </row>
    <row r="16" spans="1:25" s="25" customFormat="1" ht="7.5" customHeight="1" thickBot="1" x14ac:dyDescent="0.3">
      <c r="A16" s="19">
        <f t="shared" si="0"/>
        <v>0</v>
      </c>
      <c r="B16" s="33"/>
      <c r="C16" s="43"/>
      <c r="D16" s="34"/>
      <c r="E16" s="35"/>
      <c r="F16" s="35"/>
      <c r="G16" s="44"/>
      <c r="H16" s="56">
        <f t="shared" si="1"/>
        <v>0</v>
      </c>
      <c r="I16" s="28"/>
      <c r="J16" s="43"/>
      <c r="K16" s="34"/>
      <c r="L16" s="35"/>
      <c r="M16" s="44"/>
      <c r="N16" s="29"/>
      <c r="O16" s="26"/>
      <c r="P16" s="26"/>
      <c r="Q16" s="30"/>
    </row>
    <row r="17" spans="1:17" ht="15" customHeight="1" x14ac:dyDescent="0.25">
      <c r="A17" s="19" t="str">
        <f t="shared" si="0"/>
        <v xml:space="preserve">CARGO </v>
      </c>
      <c r="B17" s="62" t="s">
        <v>15</v>
      </c>
      <c r="C17" s="50"/>
      <c r="D17" s="51"/>
      <c r="E17" s="48"/>
      <c r="F17" s="40">
        <f>E17*D17</f>
        <v>0</v>
      </c>
      <c r="G17" s="64">
        <f>SUM(F17:F21)</f>
        <v>0</v>
      </c>
      <c r="H17" s="56">
        <f t="shared" si="1"/>
        <v>0</v>
      </c>
      <c r="I17" s="62" t="str">
        <f>B17</f>
        <v xml:space="preserve">CARGO </v>
      </c>
      <c r="J17" s="39">
        <f>C17</f>
        <v>0</v>
      </c>
      <c r="K17" s="41"/>
      <c r="L17" s="41"/>
      <c r="M17" s="41"/>
      <c r="N17" s="29"/>
      <c r="O17" s="20"/>
      <c r="P17" s="18"/>
    </row>
    <row r="18" spans="1:17" x14ac:dyDescent="0.25">
      <c r="A18" s="19">
        <f t="shared" si="0"/>
        <v>0</v>
      </c>
      <c r="B18" s="63"/>
      <c r="C18" s="52"/>
      <c r="D18" s="53"/>
      <c r="E18" s="49"/>
      <c r="F18" s="31">
        <f>E18*D18</f>
        <v>0</v>
      </c>
      <c r="G18" s="65"/>
      <c r="H18" s="56">
        <f t="shared" si="1"/>
        <v>0</v>
      </c>
      <c r="I18" s="63"/>
      <c r="J18" s="42">
        <f>C18</f>
        <v>0</v>
      </c>
      <c r="K18" s="23"/>
      <c r="L18" s="23"/>
      <c r="M18" s="23"/>
      <c r="N18" s="29"/>
      <c r="O18" s="20"/>
      <c r="P18" s="18"/>
    </row>
    <row r="19" spans="1:17" x14ac:dyDescent="0.25">
      <c r="A19" s="19">
        <f t="shared" si="0"/>
        <v>0</v>
      </c>
      <c r="B19" s="63"/>
      <c r="C19" s="52"/>
      <c r="D19" s="53"/>
      <c r="E19" s="49"/>
      <c r="F19" s="31">
        <f t="shared" ref="F19:F21" si="4">E19*D19</f>
        <v>0</v>
      </c>
      <c r="G19" s="65"/>
      <c r="H19" s="56">
        <f t="shared" si="1"/>
        <v>0</v>
      </c>
      <c r="I19" s="63"/>
      <c r="J19" s="42">
        <f>C19</f>
        <v>0</v>
      </c>
      <c r="K19" s="23"/>
      <c r="L19" s="23"/>
      <c r="M19" s="23"/>
      <c r="N19" s="29"/>
      <c r="O19" s="20"/>
      <c r="P19" s="18"/>
    </row>
    <row r="20" spans="1:17" x14ac:dyDescent="0.25">
      <c r="A20" s="19">
        <f t="shared" si="0"/>
        <v>0</v>
      </c>
      <c r="B20" s="63"/>
      <c r="C20" s="52"/>
      <c r="D20" s="53"/>
      <c r="E20" s="49"/>
      <c r="F20" s="31">
        <f t="shared" si="4"/>
        <v>0</v>
      </c>
      <c r="G20" s="65"/>
      <c r="H20" s="56">
        <f t="shared" si="1"/>
        <v>0</v>
      </c>
      <c r="I20" s="63"/>
      <c r="J20" s="42">
        <f>C20</f>
        <v>0</v>
      </c>
      <c r="K20" s="23"/>
      <c r="L20" s="23"/>
      <c r="M20" s="23"/>
      <c r="N20" s="29"/>
      <c r="O20" s="20"/>
      <c r="P20" s="18"/>
    </row>
    <row r="21" spans="1:17" x14ac:dyDescent="0.25">
      <c r="A21" s="19">
        <f t="shared" si="0"/>
        <v>0</v>
      </c>
      <c r="B21" s="63"/>
      <c r="C21" s="52"/>
      <c r="D21" s="53"/>
      <c r="E21" s="49"/>
      <c r="F21" s="31">
        <f t="shared" si="4"/>
        <v>0</v>
      </c>
      <c r="G21" s="66"/>
      <c r="H21" s="56">
        <f t="shared" si="1"/>
        <v>0</v>
      </c>
      <c r="I21" s="63"/>
      <c r="J21" s="42">
        <f>C21</f>
        <v>0</v>
      </c>
      <c r="K21" s="23"/>
      <c r="L21" s="23"/>
      <c r="M21" s="23"/>
      <c r="N21" s="29"/>
      <c r="O21" s="20"/>
      <c r="P21" s="18"/>
    </row>
    <row r="22" spans="1:17" s="25" customFormat="1" ht="7.5" customHeight="1" thickBot="1" x14ac:dyDescent="0.3">
      <c r="A22" s="19">
        <f t="shared" si="0"/>
        <v>0</v>
      </c>
      <c r="B22" s="33"/>
      <c r="C22" s="43"/>
      <c r="D22" s="34"/>
      <c r="E22" s="35"/>
      <c r="F22" s="35"/>
      <c r="G22" s="44"/>
      <c r="H22" s="56">
        <f t="shared" si="1"/>
        <v>0</v>
      </c>
      <c r="I22" s="28"/>
      <c r="J22" s="43"/>
      <c r="K22" s="34"/>
      <c r="L22" s="35"/>
      <c r="M22" s="44"/>
      <c r="N22" s="29"/>
      <c r="O22" s="26"/>
      <c r="P22" s="26"/>
      <c r="Q22" s="30"/>
    </row>
    <row r="23" spans="1:17" ht="15" customHeight="1" x14ac:dyDescent="0.25">
      <c r="A23" s="19" t="str">
        <f t="shared" si="0"/>
        <v xml:space="preserve">CARGO </v>
      </c>
      <c r="B23" s="62" t="s">
        <v>15</v>
      </c>
      <c r="C23" s="50"/>
      <c r="D23" s="51"/>
      <c r="E23" s="48"/>
      <c r="F23" s="40">
        <f>E23*D23</f>
        <v>0</v>
      </c>
      <c r="G23" s="64">
        <f>SUM(F23:F27)</f>
        <v>0</v>
      </c>
      <c r="H23" s="56">
        <f t="shared" si="1"/>
        <v>0</v>
      </c>
      <c r="I23" s="62" t="str">
        <f>B23</f>
        <v xml:space="preserve">CARGO </v>
      </c>
      <c r="J23" s="39">
        <f>C23</f>
        <v>0</v>
      </c>
      <c r="K23" s="41"/>
      <c r="L23" s="41"/>
      <c r="M23" s="41"/>
      <c r="N23" s="29"/>
      <c r="O23" s="20"/>
      <c r="P23" s="18"/>
    </row>
    <row r="24" spans="1:17" x14ac:dyDescent="0.25">
      <c r="A24" s="19">
        <f t="shared" si="0"/>
        <v>0</v>
      </c>
      <c r="B24" s="63"/>
      <c r="C24" s="52"/>
      <c r="D24" s="53"/>
      <c r="E24" s="49"/>
      <c r="F24" s="31">
        <f>E24*D24</f>
        <v>0</v>
      </c>
      <c r="G24" s="65"/>
      <c r="H24" s="56">
        <f t="shared" si="1"/>
        <v>0</v>
      </c>
      <c r="I24" s="63"/>
      <c r="J24" s="42">
        <f>C24</f>
        <v>0</v>
      </c>
      <c r="K24" s="23"/>
      <c r="L24" s="23"/>
      <c r="M24" s="23"/>
      <c r="N24" s="29"/>
      <c r="O24" s="20"/>
      <c r="P24" s="18"/>
    </row>
    <row r="25" spans="1:17" x14ac:dyDescent="0.25">
      <c r="A25" s="19">
        <f t="shared" si="0"/>
        <v>0</v>
      </c>
      <c r="B25" s="63"/>
      <c r="C25" s="52"/>
      <c r="D25" s="53"/>
      <c r="E25" s="49"/>
      <c r="F25" s="31">
        <f t="shared" ref="F25:F27" si="5">E25*D25</f>
        <v>0</v>
      </c>
      <c r="G25" s="65"/>
      <c r="H25" s="56">
        <f t="shared" si="1"/>
        <v>0</v>
      </c>
      <c r="I25" s="63"/>
      <c r="J25" s="42">
        <f>C25</f>
        <v>0</v>
      </c>
      <c r="K25" s="23"/>
      <c r="L25" s="23"/>
      <c r="M25" s="23"/>
      <c r="N25" s="29"/>
      <c r="O25" s="20"/>
      <c r="P25" s="18"/>
    </row>
    <row r="26" spans="1:17" x14ac:dyDescent="0.25">
      <c r="A26" s="19">
        <f t="shared" si="0"/>
        <v>0</v>
      </c>
      <c r="B26" s="63"/>
      <c r="C26" s="52"/>
      <c r="D26" s="53"/>
      <c r="E26" s="49"/>
      <c r="F26" s="31">
        <f t="shared" si="5"/>
        <v>0</v>
      </c>
      <c r="G26" s="65"/>
      <c r="H26" s="56">
        <f t="shared" si="1"/>
        <v>0</v>
      </c>
      <c r="I26" s="63"/>
      <c r="J26" s="42">
        <f>C26</f>
        <v>0</v>
      </c>
      <c r="K26" s="23"/>
      <c r="L26" s="23"/>
      <c r="M26" s="23"/>
      <c r="N26" s="29"/>
      <c r="O26" s="20"/>
      <c r="P26" s="18"/>
    </row>
    <row r="27" spans="1:17" x14ac:dyDescent="0.25">
      <c r="A27" s="19">
        <f t="shared" si="0"/>
        <v>0</v>
      </c>
      <c r="B27" s="63"/>
      <c r="C27" s="52"/>
      <c r="D27" s="53"/>
      <c r="E27" s="49"/>
      <c r="F27" s="31">
        <f t="shared" si="5"/>
        <v>0</v>
      </c>
      <c r="G27" s="66"/>
      <c r="H27" s="56">
        <f t="shared" si="1"/>
        <v>0</v>
      </c>
      <c r="I27" s="63"/>
      <c r="J27" s="42">
        <f>C27</f>
        <v>0</v>
      </c>
      <c r="K27" s="23"/>
      <c r="L27" s="23"/>
      <c r="M27" s="23"/>
      <c r="N27" s="29"/>
      <c r="O27" s="20"/>
      <c r="P27" s="18"/>
    </row>
    <row r="28" spans="1:17" s="25" customFormat="1" ht="7.5" customHeight="1" thickBot="1" x14ac:dyDescent="0.3">
      <c r="A28" s="19">
        <f t="shared" si="0"/>
        <v>0</v>
      </c>
      <c r="B28" s="33"/>
      <c r="C28" s="43"/>
      <c r="D28" s="34"/>
      <c r="E28" s="35"/>
      <c r="F28" s="35"/>
      <c r="G28" s="44"/>
      <c r="H28" s="56">
        <f t="shared" si="1"/>
        <v>0</v>
      </c>
      <c r="I28" s="28"/>
      <c r="J28" s="43"/>
      <c r="K28" s="34"/>
      <c r="L28" s="35"/>
      <c r="M28" s="44"/>
      <c r="N28" s="29"/>
      <c r="O28" s="26"/>
      <c r="P28" s="26"/>
      <c r="Q28" s="30"/>
    </row>
    <row r="29" spans="1:17" ht="15" customHeight="1" x14ac:dyDescent="0.25">
      <c r="A29" s="19" t="str">
        <f t="shared" si="0"/>
        <v xml:space="preserve">CARGO </v>
      </c>
      <c r="B29" s="62" t="s">
        <v>15</v>
      </c>
      <c r="C29" s="50"/>
      <c r="D29" s="51"/>
      <c r="E29" s="48"/>
      <c r="F29" s="40">
        <f>E29*D29</f>
        <v>0</v>
      </c>
      <c r="G29" s="64">
        <f>SUM(F29:F33)</f>
        <v>0</v>
      </c>
      <c r="H29" s="56">
        <f t="shared" si="1"/>
        <v>0</v>
      </c>
      <c r="I29" s="62" t="str">
        <f>B29</f>
        <v xml:space="preserve">CARGO </v>
      </c>
      <c r="J29" s="39">
        <f>C29</f>
        <v>0</v>
      </c>
      <c r="K29" s="41"/>
      <c r="L29" s="41"/>
      <c r="M29" s="41"/>
      <c r="N29" s="29"/>
      <c r="O29" s="20"/>
      <c r="P29" s="18"/>
    </row>
    <row r="30" spans="1:17" x14ac:dyDescent="0.25">
      <c r="A30" s="19">
        <f t="shared" si="0"/>
        <v>0</v>
      </c>
      <c r="B30" s="63"/>
      <c r="C30" s="52"/>
      <c r="D30" s="53"/>
      <c r="E30" s="49"/>
      <c r="F30" s="31">
        <f>E30*D30</f>
        <v>0</v>
      </c>
      <c r="G30" s="65"/>
      <c r="H30" s="56">
        <f t="shared" si="1"/>
        <v>0</v>
      </c>
      <c r="I30" s="63"/>
      <c r="J30" s="42">
        <f>C30</f>
        <v>0</v>
      </c>
      <c r="K30" s="23"/>
      <c r="L30" s="23"/>
      <c r="M30" s="23"/>
      <c r="N30" s="29"/>
      <c r="O30" s="20"/>
      <c r="P30" s="18"/>
    </row>
    <row r="31" spans="1:17" x14ac:dyDescent="0.25">
      <c r="A31" s="19">
        <f t="shared" si="0"/>
        <v>0</v>
      </c>
      <c r="B31" s="63"/>
      <c r="C31" s="52"/>
      <c r="D31" s="53"/>
      <c r="E31" s="49"/>
      <c r="F31" s="31">
        <f t="shared" ref="F31:F33" si="6">E31*D31</f>
        <v>0</v>
      </c>
      <c r="G31" s="65"/>
      <c r="H31" s="56">
        <f t="shared" si="1"/>
        <v>0</v>
      </c>
      <c r="I31" s="63"/>
      <c r="J31" s="42">
        <f>C31</f>
        <v>0</v>
      </c>
      <c r="K31" s="23"/>
      <c r="L31" s="23"/>
      <c r="M31" s="23"/>
      <c r="N31" s="29"/>
      <c r="O31" s="20"/>
      <c r="P31" s="18"/>
    </row>
    <row r="32" spans="1:17" x14ac:dyDescent="0.25">
      <c r="A32" s="19">
        <f t="shared" si="0"/>
        <v>0</v>
      </c>
      <c r="B32" s="63"/>
      <c r="C32" s="52"/>
      <c r="D32" s="53"/>
      <c r="E32" s="49"/>
      <c r="F32" s="31">
        <f t="shared" si="6"/>
        <v>0</v>
      </c>
      <c r="G32" s="65"/>
      <c r="H32" s="56">
        <f t="shared" si="1"/>
        <v>0</v>
      </c>
      <c r="I32" s="63"/>
      <c r="J32" s="42">
        <f>C32</f>
        <v>0</v>
      </c>
      <c r="K32" s="23"/>
      <c r="L32" s="23"/>
      <c r="M32" s="23"/>
      <c r="N32" s="29"/>
      <c r="O32" s="20"/>
      <c r="P32" s="18"/>
    </row>
    <row r="33" spans="1:17" x14ac:dyDescent="0.25">
      <c r="A33" s="19">
        <f t="shared" si="0"/>
        <v>0</v>
      </c>
      <c r="B33" s="63"/>
      <c r="C33" s="52"/>
      <c r="D33" s="53"/>
      <c r="E33" s="49"/>
      <c r="F33" s="31">
        <f t="shared" si="6"/>
        <v>0</v>
      </c>
      <c r="G33" s="66"/>
      <c r="H33" s="56">
        <f t="shared" si="1"/>
        <v>0</v>
      </c>
      <c r="I33" s="63"/>
      <c r="J33" s="42">
        <f>C33</f>
        <v>0</v>
      </c>
      <c r="K33" s="23"/>
      <c r="L33" s="23"/>
      <c r="M33" s="23"/>
      <c r="N33" s="29"/>
      <c r="O33" s="20"/>
      <c r="P33" s="18"/>
    </row>
    <row r="34" spans="1:17" s="25" customFormat="1" ht="7.5" customHeight="1" thickBot="1" x14ac:dyDescent="0.3">
      <c r="A34" s="19">
        <f t="shared" si="0"/>
        <v>0</v>
      </c>
      <c r="B34" s="33"/>
      <c r="C34" s="43"/>
      <c r="D34" s="34"/>
      <c r="E34" s="35"/>
      <c r="F34" s="35"/>
      <c r="G34" s="44"/>
      <c r="H34" s="56">
        <f t="shared" si="1"/>
        <v>0</v>
      </c>
      <c r="I34" s="28"/>
      <c r="J34" s="43"/>
      <c r="K34" s="34"/>
      <c r="L34" s="35"/>
      <c r="M34" s="44"/>
      <c r="N34" s="29"/>
      <c r="O34" s="26"/>
      <c r="P34" s="26"/>
      <c r="Q34" s="30"/>
    </row>
    <row r="35" spans="1:17" ht="15" customHeight="1" x14ac:dyDescent="0.25">
      <c r="A35" s="19" t="str">
        <f t="shared" si="0"/>
        <v xml:space="preserve">CARGO </v>
      </c>
      <c r="B35" s="62" t="s">
        <v>15</v>
      </c>
      <c r="C35" s="50"/>
      <c r="D35" s="51"/>
      <c r="E35" s="48"/>
      <c r="F35" s="40">
        <f>E35*D35</f>
        <v>0</v>
      </c>
      <c r="G35" s="64">
        <f>SUM(F35:F39)</f>
        <v>0</v>
      </c>
      <c r="H35" s="56">
        <f t="shared" si="1"/>
        <v>0</v>
      </c>
      <c r="I35" s="62" t="str">
        <f>B35</f>
        <v xml:space="preserve">CARGO </v>
      </c>
      <c r="J35" s="39">
        <f>C35</f>
        <v>0</v>
      </c>
      <c r="K35" s="41"/>
      <c r="L35" s="41"/>
      <c r="M35" s="41"/>
      <c r="N35" s="29"/>
      <c r="O35" s="20"/>
      <c r="P35" s="18"/>
    </row>
    <row r="36" spans="1:17" x14ac:dyDescent="0.25">
      <c r="A36" s="19">
        <f t="shared" si="0"/>
        <v>0</v>
      </c>
      <c r="B36" s="63"/>
      <c r="C36" s="52"/>
      <c r="D36" s="53"/>
      <c r="E36" s="49"/>
      <c r="F36" s="31">
        <f>E36*D36</f>
        <v>0</v>
      </c>
      <c r="G36" s="65"/>
      <c r="H36" s="56">
        <f t="shared" si="1"/>
        <v>0</v>
      </c>
      <c r="I36" s="63"/>
      <c r="J36" s="42">
        <f>C36</f>
        <v>0</v>
      </c>
      <c r="K36" s="23"/>
      <c r="L36" s="23"/>
      <c r="M36" s="23"/>
      <c r="N36" s="29"/>
      <c r="O36" s="20"/>
      <c r="P36" s="18"/>
    </row>
    <row r="37" spans="1:17" x14ac:dyDescent="0.25">
      <c r="A37" s="19">
        <f t="shared" si="0"/>
        <v>0</v>
      </c>
      <c r="B37" s="63"/>
      <c r="C37" s="52"/>
      <c r="D37" s="53"/>
      <c r="E37" s="49"/>
      <c r="F37" s="31">
        <f t="shared" ref="F37:F39" si="7">E37*D37</f>
        <v>0</v>
      </c>
      <c r="G37" s="65"/>
      <c r="H37" s="56">
        <f t="shared" si="1"/>
        <v>0</v>
      </c>
      <c r="I37" s="63"/>
      <c r="J37" s="42">
        <f>C37</f>
        <v>0</v>
      </c>
      <c r="K37" s="23"/>
      <c r="L37" s="23"/>
      <c r="M37" s="23"/>
      <c r="N37" s="29"/>
      <c r="O37" s="20"/>
      <c r="P37" s="18"/>
    </row>
    <row r="38" spans="1:17" x14ac:dyDescent="0.25">
      <c r="A38" s="19">
        <f t="shared" si="0"/>
        <v>0</v>
      </c>
      <c r="B38" s="63"/>
      <c r="C38" s="52"/>
      <c r="D38" s="53"/>
      <c r="E38" s="49"/>
      <c r="F38" s="31">
        <f t="shared" si="7"/>
        <v>0</v>
      </c>
      <c r="G38" s="65"/>
      <c r="H38" s="56">
        <f t="shared" si="1"/>
        <v>0</v>
      </c>
      <c r="I38" s="63"/>
      <c r="J38" s="42">
        <f>C38</f>
        <v>0</v>
      </c>
      <c r="K38" s="23"/>
      <c r="L38" s="23"/>
      <c r="M38" s="23"/>
      <c r="N38" s="29"/>
      <c r="O38" s="20"/>
      <c r="P38" s="18"/>
    </row>
    <row r="39" spans="1:17" x14ac:dyDescent="0.25">
      <c r="A39" s="19">
        <f t="shared" si="0"/>
        <v>0</v>
      </c>
      <c r="B39" s="63"/>
      <c r="C39" s="52"/>
      <c r="D39" s="53"/>
      <c r="E39" s="49"/>
      <c r="F39" s="31">
        <f t="shared" si="7"/>
        <v>0</v>
      </c>
      <c r="G39" s="66"/>
      <c r="H39" s="56">
        <f t="shared" si="1"/>
        <v>0</v>
      </c>
      <c r="I39" s="63"/>
      <c r="J39" s="42">
        <f>C39</f>
        <v>0</v>
      </c>
      <c r="K39" s="23"/>
      <c r="L39" s="23"/>
      <c r="M39" s="23"/>
      <c r="N39" s="29"/>
      <c r="O39" s="20"/>
      <c r="P39" s="18"/>
    </row>
    <row r="40" spans="1:17" s="25" customFormat="1" ht="7.5" customHeight="1" thickBot="1" x14ac:dyDescent="0.3">
      <c r="A40" s="19">
        <f t="shared" si="0"/>
        <v>0</v>
      </c>
      <c r="B40" s="33"/>
      <c r="C40" s="43"/>
      <c r="D40" s="34"/>
      <c r="E40" s="35"/>
      <c r="F40" s="35"/>
      <c r="G40" s="44"/>
      <c r="H40" s="56">
        <f t="shared" si="1"/>
        <v>0</v>
      </c>
      <c r="I40" s="28"/>
      <c r="J40" s="43"/>
      <c r="K40" s="34"/>
      <c r="L40" s="35"/>
      <c r="M40" s="44"/>
      <c r="N40" s="29"/>
      <c r="O40" s="26"/>
      <c r="P40" s="26"/>
      <c r="Q40" s="30"/>
    </row>
    <row r="41" spans="1:17" ht="15" customHeight="1" x14ac:dyDescent="0.25">
      <c r="A41" s="19" t="str">
        <f t="shared" si="0"/>
        <v xml:space="preserve">CARGO </v>
      </c>
      <c r="B41" s="62" t="s">
        <v>15</v>
      </c>
      <c r="C41" s="50"/>
      <c r="D41" s="51"/>
      <c r="E41" s="48"/>
      <c r="F41" s="40">
        <f>E41*D41</f>
        <v>0</v>
      </c>
      <c r="G41" s="64">
        <f>SUM(F41:F45)</f>
        <v>0</v>
      </c>
      <c r="H41" s="56">
        <f t="shared" si="1"/>
        <v>0</v>
      </c>
      <c r="I41" s="62" t="str">
        <f>B41</f>
        <v xml:space="preserve">CARGO </v>
      </c>
      <c r="J41" s="39">
        <f>C41</f>
        <v>0</v>
      </c>
      <c r="K41" s="41"/>
      <c r="L41" s="41"/>
      <c r="M41" s="41"/>
      <c r="N41" s="29"/>
      <c r="O41" s="20"/>
      <c r="P41" s="18"/>
    </row>
    <row r="42" spans="1:17" x14ac:dyDescent="0.25">
      <c r="A42" s="19">
        <f t="shared" si="0"/>
        <v>0</v>
      </c>
      <c r="B42" s="63"/>
      <c r="C42" s="52"/>
      <c r="D42" s="53"/>
      <c r="E42" s="49"/>
      <c r="F42" s="31">
        <f>E42*D42</f>
        <v>0</v>
      </c>
      <c r="G42" s="65"/>
      <c r="H42" s="56">
        <f t="shared" si="1"/>
        <v>0</v>
      </c>
      <c r="I42" s="63"/>
      <c r="J42" s="42">
        <f>C42</f>
        <v>0</v>
      </c>
      <c r="K42" s="23"/>
      <c r="L42" s="23"/>
      <c r="M42" s="23"/>
      <c r="N42" s="29"/>
      <c r="O42" s="20"/>
      <c r="P42" s="18"/>
    </row>
    <row r="43" spans="1:17" x14ac:dyDescent="0.25">
      <c r="A43" s="19">
        <f t="shared" si="0"/>
        <v>0</v>
      </c>
      <c r="B43" s="63"/>
      <c r="C43" s="52"/>
      <c r="D43" s="53"/>
      <c r="E43" s="49"/>
      <c r="F43" s="31">
        <f t="shared" ref="F43:F45" si="8">E43*D43</f>
        <v>0</v>
      </c>
      <c r="G43" s="65"/>
      <c r="H43" s="56">
        <f t="shared" si="1"/>
        <v>0</v>
      </c>
      <c r="I43" s="63"/>
      <c r="J43" s="42">
        <f>C43</f>
        <v>0</v>
      </c>
      <c r="K43" s="23"/>
      <c r="L43" s="23"/>
      <c r="M43" s="23"/>
      <c r="N43" s="29"/>
      <c r="O43" s="20"/>
      <c r="P43" s="18"/>
    </row>
    <row r="44" spans="1:17" x14ac:dyDescent="0.25">
      <c r="A44" s="19">
        <f t="shared" si="0"/>
        <v>0</v>
      </c>
      <c r="B44" s="63"/>
      <c r="C44" s="52"/>
      <c r="D44" s="53"/>
      <c r="E44" s="49"/>
      <c r="F44" s="31">
        <f t="shared" si="8"/>
        <v>0</v>
      </c>
      <c r="G44" s="65"/>
      <c r="H44" s="56">
        <f t="shared" si="1"/>
        <v>0</v>
      </c>
      <c r="I44" s="63"/>
      <c r="J44" s="42">
        <f>C44</f>
        <v>0</v>
      </c>
      <c r="K44" s="23"/>
      <c r="L44" s="23"/>
      <c r="M44" s="23"/>
      <c r="N44" s="29"/>
      <c r="O44" s="20"/>
      <c r="P44" s="18"/>
    </row>
    <row r="45" spans="1:17" x14ac:dyDescent="0.25">
      <c r="A45" s="19">
        <f t="shared" si="0"/>
        <v>0</v>
      </c>
      <c r="B45" s="63"/>
      <c r="C45" s="52"/>
      <c r="D45" s="53"/>
      <c r="E45" s="49"/>
      <c r="F45" s="31">
        <f t="shared" si="8"/>
        <v>0</v>
      </c>
      <c r="G45" s="66"/>
      <c r="H45" s="56">
        <f t="shared" si="1"/>
        <v>0</v>
      </c>
      <c r="I45" s="63"/>
      <c r="J45" s="42">
        <f>C45</f>
        <v>0</v>
      </c>
      <c r="K45" s="23"/>
      <c r="L45" s="23"/>
      <c r="M45" s="23"/>
      <c r="N45" s="29"/>
      <c r="O45" s="20"/>
      <c r="P45" s="18"/>
    </row>
    <row r="46" spans="1:17" s="25" customFormat="1" ht="7.5" customHeight="1" thickBot="1" x14ac:dyDescent="0.3">
      <c r="A46" s="19">
        <f t="shared" si="0"/>
        <v>0</v>
      </c>
      <c r="B46" s="33"/>
      <c r="C46" s="43"/>
      <c r="D46" s="34"/>
      <c r="E46" s="35"/>
      <c r="F46" s="35"/>
      <c r="G46" s="44"/>
      <c r="H46" s="56">
        <f t="shared" si="1"/>
        <v>0</v>
      </c>
      <c r="I46" s="28"/>
      <c r="J46" s="43"/>
      <c r="K46" s="34"/>
      <c r="L46" s="35"/>
      <c r="M46" s="44"/>
      <c r="N46" s="29"/>
      <c r="O46" s="26"/>
      <c r="P46" s="26"/>
      <c r="Q46" s="30"/>
    </row>
    <row r="47" spans="1:17" ht="15" customHeight="1" x14ac:dyDescent="0.25">
      <c r="A47" s="19" t="str">
        <f t="shared" si="0"/>
        <v xml:space="preserve">CARGO </v>
      </c>
      <c r="B47" s="62" t="s">
        <v>15</v>
      </c>
      <c r="C47" s="50"/>
      <c r="D47" s="51"/>
      <c r="E47" s="48"/>
      <c r="F47" s="40">
        <f>E47*D47</f>
        <v>0</v>
      </c>
      <c r="G47" s="64">
        <f>SUM(F47:F51)</f>
        <v>0</v>
      </c>
      <c r="H47" s="56">
        <f t="shared" si="1"/>
        <v>0</v>
      </c>
      <c r="I47" s="62" t="str">
        <f>B47</f>
        <v xml:space="preserve">CARGO </v>
      </c>
      <c r="J47" s="39">
        <f>C47</f>
        <v>0</v>
      </c>
      <c r="K47" s="41"/>
      <c r="L47" s="41"/>
      <c r="M47" s="41"/>
      <c r="N47" s="29"/>
      <c r="O47" s="20"/>
      <c r="P47" s="18"/>
    </row>
    <row r="48" spans="1:17" x14ac:dyDescent="0.25">
      <c r="A48" s="19">
        <f t="shared" si="0"/>
        <v>0</v>
      </c>
      <c r="B48" s="63"/>
      <c r="C48" s="52"/>
      <c r="D48" s="53"/>
      <c r="E48" s="49"/>
      <c r="F48" s="31">
        <f>E48*D48</f>
        <v>0</v>
      </c>
      <c r="G48" s="65"/>
      <c r="H48" s="56">
        <f t="shared" si="1"/>
        <v>0</v>
      </c>
      <c r="I48" s="63"/>
      <c r="J48" s="42">
        <f>C48</f>
        <v>0</v>
      </c>
      <c r="K48" s="23"/>
      <c r="L48" s="23"/>
      <c r="M48" s="23"/>
      <c r="N48" s="29"/>
      <c r="O48" s="20"/>
      <c r="P48" s="18"/>
    </row>
    <row r="49" spans="1:17" x14ac:dyDescent="0.25">
      <c r="A49" s="19">
        <f t="shared" si="0"/>
        <v>0</v>
      </c>
      <c r="B49" s="63"/>
      <c r="C49" s="52"/>
      <c r="D49" s="53"/>
      <c r="E49" s="49"/>
      <c r="F49" s="31">
        <f t="shared" ref="F49:F51" si="9">E49*D49</f>
        <v>0</v>
      </c>
      <c r="G49" s="65"/>
      <c r="H49" s="56">
        <f t="shared" si="1"/>
        <v>0</v>
      </c>
      <c r="I49" s="63"/>
      <c r="J49" s="42">
        <f>C49</f>
        <v>0</v>
      </c>
      <c r="K49" s="23"/>
      <c r="L49" s="23"/>
      <c r="M49" s="23"/>
      <c r="N49" s="29"/>
      <c r="O49" s="20"/>
      <c r="P49" s="18"/>
    </row>
    <row r="50" spans="1:17" x14ac:dyDescent="0.25">
      <c r="A50" s="19">
        <f t="shared" si="0"/>
        <v>0</v>
      </c>
      <c r="B50" s="63"/>
      <c r="C50" s="52"/>
      <c r="D50" s="53"/>
      <c r="E50" s="49"/>
      <c r="F50" s="31">
        <f t="shared" si="9"/>
        <v>0</v>
      </c>
      <c r="G50" s="65"/>
      <c r="H50" s="56">
        <f t="shared" si="1"/>
        <v>0</v>
      </c>
      <c r="I50" s="63"/>
      <c r="J50" s="42">
        <f>C50</f>
        <v>0</v>
      </c>
      <c r="K50" s="23"/>
      <c r="L50" s="23"/>
      <c r="M50" s="23"/>
      <c r="N50" s="29"/>
      <c r="O50" s="20"/>
      <c r="P50" s="18"/>
    </row>
    <row r="51" spans="1:17" x14ac:dyDescent="0.25">
      <c r="A51" s="19">
        <f t="shared" si="0"/>
        <v>0</v>
      </c>
      <c r="B51" s="63"/>
      <c r="C51" s="52"/>
      <c r="D51" s="53"/>
      <c r="E51" s="49"/>
      <c r="F51" s="31">
        <f t="shared" si="9"/>
        <v>0</v>
      </c>
      <c r="G51" s="66"/>
      <c r="H51" s="56">
        <f t="shared" si="1"/>
        <v>0</v>
      </c>
      <c r="I51" s="63"/>
      <c r="J51" s="42">
        <f>C51</f>
        <v>0</v>
      </c>
      <c r="K51" s="23"/>
      <c r="L51" s="23"/>
      <c r="M51" s="23"/>
      <c r="N51" s="29"/>
      <c r="O51" s="20"/>
      <c r="P51" s="18"/>
    </row>
    <row r="52" spans="1:17" s="25" customFormat="1" ht="7.5" customHeight="1" thickBot="1" x14ac:dyDescent="0.3">
      <c r="A52" s="19">
        <f t="shared" si="0"/>
        <v>0</v>
      </c>
      <c r="B52" s="33"/>
      <c r="C52" s="43"/>
      <c r="D52" s="34"/>
      <c r="E52" s="35"/>
      <c r="F52" s="35"/>
      <c r="G52" s="44"/>
      <c r="H52" s="56">
        <f t="shared" si="1"/>
        <v>0</v>
      </c>
      <c r="I52" s="28"/>
      <c r="J52" s="43"/>
      <c r="K52" s="34"/>
      <c r="L52" s="35"/>
      <c r="M52" s="44"/>
      <c r="N52" s="29"/>
      <c r="O52" s="26"/>
      <c r="P52" s="26"/>
      <c r="Q52" s="30"/>
    </row>
    <row r="53" spans="1:17" ht="15" customHeight="1" x14ac:dyDescent="0.25">
      <c r="A53" s="19" t="str">
        <f t="shared" si="0"/>
        <v xml:space="preserve">CARGO </v>
      </c>
      <c r="B53" s="62" t="s">
        <v>15</v>
      </c>
      <c r="C53" s="50"/>
      <c r="D53" s="51"/>
      <c r="E53" s="48"/>
      <c r="F53" s="40">
        <f>E53*D53</f>
        <v>0</v>
      </c>
      <c r="G53" s="64">
        <f>SUM(F53:F57)</f>
        <v>0</v>
      </c>
      <c r="H53" s="56">
        <f t="shared" si="1"/>
        <v>0</v>
      </c>
      <c r="I53" s="62" t="str">
        <f>B53</f>
        <v xml:space="preserve">CARGO </v>
      </c>
      <c r="J53" s="39">
        <f>C53</f>
        <v>0</v>
      </c>
      <c r="K53" s="41"/>
      <c r="L53" s="41"/>
      <c r="M53" s="41"/>
      <c r="N53" s="29"/>
      <c r="O53" s="20"/>
      <c r="P53" s="18"/>
    </row>
    <row r="54" spans="1:17" x14ac:dyDescent="0.25">
      <c r="A54" s="19">
        <f t="shared" si="0"/>
        <v>0</v>
      </c>
      <c r="B54" s="63"/>
      <c r="C54" s="52"/>
      <c r="D54" s="53"/>
      <c r="E54" s="49"/>
      <c r="F54" s="31">
        <f>E54*D54</f>
        <v>0</v>
      </c>
      <c r="G54" s="65"/>
      <c r="H54" s="56">
        <f t="shared" si="1"/>
        <v>0</v>
      </c>
      <c r="I54" s="63"/>
      <c r="J54" s="42">
        <f>C54</f>
        <v>0</v>
      </c>
      <c r="K54" s="23"/>
      <c r="L54" s="23"/>
      <c r="M54" s="23"/>
      <c r="N54" s="29"/>
      <c r="O54" s="20"/>
      <c r="P54" s="18"/>
    </row>
    <row r="55" spans="1:17" x14ac:dyDescent="0.25">
      <c r="A55" s="19">
        <f t="shared" si="0"/>
        <v>0</v>
      </c>
      <c r="B55" s="63"/>
      <c r="C55" s="52"/>
      <c r="D55" s="53"/>
      <c r="E55" s="49"/>
      <c r="F55" s="31">
        <f t="shared" ref="F55:F57" si="10">E55*D55</f>
        <v>0</v>
      </c>
      <c r="G55" s="65"/>
      <c r="H55" s="56">
        <f t="shared" si="1"/>
        <v>0</v>
      </c>
      <c r="I55" s="63"/>
      <c r="J55" s="42">
        <f>C55</f>
        <v>0</v>
      </c>
      <c r="K55" s="23"/>
      <c r="L55" s="23"/>
      <c r="M55" s="23"/>
      <c r="N55" s="29"/>
      <c r="O55" s="20"/>
      <c r="P55" s="18"/>
    </row>
    <row r="56" spans="1:17" x14ac:dyDescent="0.25">
      <c r="A56" s="19">
        <f t="shared" si="0"/>
        <v>0</v>
      </c>
      <c r="B56" s="63"/>
      <c r="C56" s="52"/>
      <c r="D56" s="53"/>
      <c r="E56" s="49"/>
      <c r="F56" s="31">
        <f t="shared" si="10"/>
        <v>0</v>
      </c>
      <c r="G56" s="65"/>
      <c r="H56" s="56">
        <f t="shared" si="1"/>
        <v>0</v>
      </c>
      <c r="I56" s="63"/>
      <c r="J56" s="42">
        <f>C56</f>
        <v>0</v>
      </c>
      <c r="K56" s="23"/>
      <c r="L56" s="23"/>
      <c r="M56" s="23"/>
      <c r="N56" s="29"/>
      <c r="O56" s="20"/>
      <c r="P56" s="18"/>
    </row>
    <row r="57" spans="1:17" x14ac:dyDescent="0.25">
      <c r="A57" s="19">
        <f t="shared" si="0"/>
        <v>0</v>
      </c>
      <c r="B57" s="63"/>
      <c r="C57" s="52"/>
      <c r="D57" s="53"/>
      <c r="E57" s="49"/>
      <c r="F57" s="31">
        <f t="shared" si="10"/>
        <v>0</v>
      </c>
      <c r="G57" s="66"/>
      <c r="H57" s="56">
        <f t="shared" si="1"/>
        <v>0</v>
      </c>
      <c r="I57" s="63"/>
      <c r="J57" s="42">
        <f>C57</f>
        <v>0</v>
      </c>
      <c r="K57" s="23"/>
      <c r="L57" s="23"/>
      <c r="M57" s="23"/>
      <c r="N57" s="29"/>
      <c r="O57" s="20"/>
      <c r="P57" s="18"/>
    </row>
    <row r="58" spans="1:17" s="25" customFormat="1" ht="7.5" customHeight="1" thickBot="1" x14ac:dyDescent="0.3">
      <c r="A58" s="19">
        <f t="shared" si="0"/>
        <v>0</v>
      </c>
      <c r="B58" s="33"/>
      <c r="C58" s="43"/>
      <c r="D58" s="34"/>
      <c r="E58" s="35"/>
      <c r="F58" s="35"/>
      <c r="G58" s="44"/>
      <c r="H58" s="56">
        <f t="shared" si="1"/>
        <v>0</v>
      </c>
      <c r="I58" s="28"/>
      <c r="J58" s="43"/>
      <c r="K58" s="34"/>
      <c r="L58" s="35"/>
      <c r="M58" s="44"/>
      <c r="N58" s="29"/>
      <c r="O58" s="26"/>
      <c r="P58" s="26"/>
      <c r="Q58" s="30"/>
    </row>
    <row r="59" spans="1:17" ht="15" customHeight="1" x14ac:dyDescent="0.25">
      <c r="A59" s="19" t="str">
        <f t="shared" si="0"/>
        <v xml:space="preserve">CARGO </v>
      </c>
      <c r="B59" s="62" t="s">
        <v>15</v>
      </c>
      <c r="C59" s="50"/>
      <c r="D59" s="51"/>
      <c r="E59" s="48"/>
      <c r="F59" s="40">
        <f>E59*D59</f>
        <v>0</v>
      </c>
      <c r="G59" s="64">
        <f>SUM(F59:F63)</f>
        <v>0</v>
      </c>
      <c r="H59" s="56">
        <f t="shared" si="1"/>
        <v>0</v>
      </c>
      <c r="I59" s="62" t="str">
        <f>B59</f>
        <v xml:space="preserve">CARGO </v>
      </c>
      <c r="J59" s="39">
        <f>C59</f>
        <v>0</v>
      </c>
      <c r="K59" s="41"/>
      <c r="L59" s="41"/>
      <c r="M59" s="41"/>
      <c r="N59" s="29"/>
      <c r="O59" s="20"/>
      <c r="P59" s="18"/>
    </row>
    <row r="60" spans="1:17" x14ac:dyDescent="0.25">
      <c r="A60" s="19">
        <f t="shared" si="0"/>
        <v>0</v>
      </c>
      <c r="B60" s="63"/>
      <c r="C60" s="52"/>
      <c r="D60" s="53"/>
      <c r="E60" s="49"/>
      <c r="F60" s="31">
        <f>E60*D60</f>
        <v>0</v>
      </c>
      <c r="G60" s="67"/>
      <c r="H60" s="56">
        <f t="shared" si="1"/>
        <v>0</v>
      </c>
      <c r="I60" s="63"/>
      <c r="J60" s="42">
        <f>C60</f>
        <v>0</v>
      </c>
      <c r="K60" s="23"/>
      <c r="L60" s="23"/>
      <c r="M60" s="23"/>
      <c r="N60" s="29"/>
      <c r="O60" s="20"/>
      <c r="P60" s="18"/>
    </row>
    <row r="61" spans="1:17" x14ac:dyDescent="0.25">
      <c r="A61" s="19">
        <f t="shared" si="0"/>
        <v>0</v>
      </c>
      <c r="B61" s="63"/>
      <c r="C61" s="52"/>
      <c r="D61" s="53"/>
      <c r="E61" s="49"/>
      <c r="F61" s="31">
        <f t="shared" ref="F61:F63" si="11">E61*D61</f>
        <v>0</v>
      </c>
      <c r="G61" s="67"/>
      <c r="H61" s="56">
        <f t="shared" si="1"/>
        <v>0</v>
      </c>
      <c r="I61" s="63"/>
      <c r="J61" s="42">
        <f>C61</f>
        <v>0</v>
      </c>
      <c r="K61" s="23"/>
      <c r="L61" s="23"/>
      <c r="M61" s="23"/>
      <c r="N61" s="29"/>
      <c r="O61" s="20"/>
      <c r="P61" s="18"/>
    </row>
    <row r="62" spans="1:17" x14ac:dyDescent="0.25">
      <c r="A62" s="19">
        <f t="shared" si="0"/>
        <v>0</v>
      </c>
      <c r="B62" s="63"/>
      <c r="C62" s="52"/>
      <c r="D62" s="53"/>
      <c r="E62" s="49"/>
      <c r="F62" s="31">
        <f t="shared" si="11"/>
        <v>0</v>
      </c>
      <c r="G62" s="67"/>
      <c r="H62" s="56">
        <f t="shared" si="1"/>
        <v>0</v>
      </c>
      <c r="I62" s="63"/>
      <c r="J62" s="42">
        <f>C62</f>
        <v>0</v>
      </c>
      <c r="K62" s="23"/>
      <c r="L62" s="23"/>
      <c r="M62" s="23"/>
      <c r="N62" s="29"/>
      <c r="O62" s="20"/>
      <c r="P62" s="18"/>
    </row>
    <row r="63" spans="1:17" x14ac:dyDescent="0.25">
      <c r="A63" s="19">
        <f t="shared" si="0"/>
        <v>0</v>
      </c>
      <c r="B63" s="63"/>
      <c r="C63" s="52"/>
      <c r="D63" s="53"/>
      <c r="E63" s="49"/>
      <c r="F63" s="31">
        <f t="shared" si="11"/>
        <v>0</v>
      </c>
      <c r="G63" s="68"/>
      <c r="H63" s="56">
        <f t="shared" si="1"/>
        <v>0</v>
      </c>
      <c r="I63" s="63"/>
      <c r="J63" s="42">
        <f>C63</f>
        <v>0</v>
      </c>
      <c r="K63" s="23"/>
      <c r="L63" s="23"/>
      <c r="M63" s="23"/>
      <c r="N63" s="29"/>
      <c r="O63" s="20"/>
      <c r="P63" s="18"/>
    </row>
    <row r="64" spans="1:17" s="25" customFormat="1" ht="7.5" customHeight="1" x14ac:dyDescent="0.25">
      <c r="A64" s="30"/>
      <c r="B64" s="33"/>
      <c r="C64" s="43"/>
      <c r="D64" s="34"/>
      <c r="E64" s="35"/>
      <c r="F64" s="35"/>
      <c r="G64" s="44"/>
      <c r="H64" s="56">
        <f t="shared" si="1"/>
        <v>0</v>
      </c>
      <c r="I64" s="28"/>
      <c r="J64" s="43"/>
      <c r="K64" s="34"/>
      <c r="L64" s="35"/>
      <c r="M64" s="44"/>
      <c r="N64" s="29"/>
      <c r="O64" s="26"/>
      <c r="P64" s="26"/>
      <c r="Q64" s="30"/>
    </row>
  </sheetData>
  <mergeCells count="31">
    <mergeCell ref="I53:I57"/>
    <mergeCell ref="B59:B63"/>
    <mergeCell ref="G59:G63"/>
    <mergeCell ref="I59:I63"/>
    <mergeCell ref="G35:G39"/>
    <mergeCell ref="G41:G45"/>
    <mergeCell ref="B47:B51"/>
    <mergeCell ref="G47:G51"/>
    <mergeCell ref="I47:I51"/>
    <mergeCell ref="B41:B45"/>
    <mergeCell ref="I41:I45"/>
    <mergeCell ref="B53:B57"/>
    <mergeCell ref="G53:G57"/>
    <mergeCell ref="B35:B39"/>
    <mergeCell ref="I35:I39"/>
    <mergeCell ref="G23:G27"/>
    <mergeCell ref="G29:G33"/>
    <mergeCell ref="B5:B9"/>
    <mergeCell ref="I5:I9"/>
    <mergeCell ref="B11:B15"/>
    <mergeCell ref="I11:I15"/>
    <mergeCell ref="B17:B21"/>
    <mergeCell ref="I17:I21"/>
    <mergeCell ref="G5:G9"/>
    <mergeCell ref="G11:G15"/>
    <mergeCell ref="G17:G21"/>
    <mergeCell ref="A1:K1"/>
    <mergeCell ref="B23:B27"/>
    <mergeCell ref="I23:I27"/>
    <mergeCell ref="B29:B33"/>
    <mergeCell ref="I29:I33"/>
  </mergeCells>
  <conditionalFormatting sqref="N5:N10">
    <cfRule type="cellIs" dxfId="20" priority="32" operator="lessThan">
      <formula>0</formula>
    </cfRule>
    <cfRule type="cellIs" dxfId="19" priority="33" operator="greaterThan">
      <formula>0</formula>
    </cfRule>
  </conditionalFormatting>
  <conditionalFormatting sqref="N11:N16">
    <cfRule type="cellIs" dxfId="18" priority="18" operator="lessThan">
      <formula>0</formula>
    </cfRule>
    <cfRule type="cellIs" dxfId="17" priority="19" operator="greaterThan">
      <formula>0</formula>
    </cfRule>
  </conditionalFormatting>
  <conditionalFormatting sqref="N17:N22">
    <cfRule type="cellIs" dxfId="16" priority="16" operator="lessThan">
      <formula>0</formula>
    </cfRule>
    <cfRule type="cellIs" dxfId="15" priority="17" operator="greaterThan">
      <formula>0</formula>
    </cfRule>
  </conditionalFormatting>
  <conditionalFormatting sqref="N23:N28">
    <cfRule type="cellIs" dxfId="14" priority="14" operator="lessThan">
      <formula>0</formula>
    </cfRule>
    <cfRule type="cellIs" dxfId="13" priority="15" operator="greaterThan">
      <formula>0</formula>
    </cfRule>
  </conditionalFormatting>
  <conditionalFormatting sqref="N29:N34">
    <cfRule type="cellIs" dxfId="12" priority="12" operator="lessThan">
      <formula>0</formula>
    </cfRule>
    <cfRule type="cellIs" dxfId="11" priority="13" operator="greaterThan">
      <formula>0</formula>
    </cfRule>
  </conditionalFormatting>
  <conditionalFormatting sqref="N35:N40">
    <cfRule type="cellIs" dxfId="10" priority="10" operator="lessThan">
      <formula>0</formula>
    </cfRule>
    <cfRule type="cellIs" dxfId="9" priority="11" operator="greaterThan">
      <formula>0</formula>
    </cfRule>
  </conditionalFormatting>
  <conditionalFormatting sqref="N41:N46">
    <cfRule type="cellIs" dxfId="8" priority="8" operator="lessThan">
      <formula>0</formula>
    </cfRule>
    <cfRule type="cellIs" dxfId="7" priority="9" operator="greaterThan">
      <formula>0</formula>
    </cfRule>
  </conditionalFormatting>
  <conditionalFormatting sqref="N47:N52">
    <cfRule type="cellIs" dxfId="6" priority="6" operator="lessThan">
      <formula>0</formula>
    </cfRule>
    <cfRule type="cellIs" dxfId="5" priority="7" operator="greaterThan">
      <formula>0</formula>
    </cfRule>
  </conditionalFormatting>
  <conditionalFormatting sqref="N53:N58">
    <cfRule type="cellIs" dxfId="4" priority="4" operator="lessThan">
      <formula>0</formula>
    </cfRule>
    <cfRule type="cellIs" dxfId="3" priority="5" operator="greaterThan">
      <formula>0</formula>
    </cfRule>
  </conditionalFormatting>
  <conditionalFormatting sqref="N59:N64">
    <cfRule type="cellIs" dxfId="2" priority="2" operator="lessThan">
      <formula>0</formula>
    </cfRule>
    <cfRule type="cellIs" dxfId="1" priority="3" operator="greaterThan">
      <formula>0</formula>
    </cfRule>
  </conditionalFormatting>
  <conditionalFormatting sqref="J5:J64">
    <cfRule type="cellIs" dxfId="0" priority="1" operator="equal">
      <formula>$J$2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4"/>
  <dimension ref="A1:E52"/>
  <sheetViews>
    <sheetView showGridLines="0" zoomScale="80" zoomScaleNormal="80" workbookViewId="0">
      <selection activeCell="V13" sqref="V13"/>
    </sheetView>
  </sheetViews>
  <sheetFormatPr defaultRowHeight="15" x14ac:dyDescent="0.25"/>
  <cols>
    <col min="1" max="1" width="2.85546875" customWidth="1"/>
    <col min="2" max="2" width="3" customWidth="1"/>
    <col min="3" max="3" width="53.140625" customWidth="1"/>
    <col min="4" max="4" width="36.7109375" customWidth="1"/>
    <col min="5" max="5" width="3.7109375" customWidth="1"/>
    <col min="6" max="6" width="25" customWidth="1"/>
  </cols>
  <sheetData>
    <row r="1" spans="1:5" s="2" customFormat="1" ht="21" customHeight="1" x14ac:dyDescent="0.25"/>
    <row r="2" spans="1:5" s="3" customFormat="1" ht="15.75" thickBot="1" x14ac:dyDescent="0.3"/>
    <row r="3" spans="1:5" x14ac:dyDescent="0.25">
      <c r="C3" s="11"/>
      <c r="D3" s="11"/>
    </row>
    <row r="4" spans="1:5" ht="15.75" thickBot="1" x14ac:dyDescent="0.3">
      <c r="C4" s="12"/>
      <c r="D4" s="12"/>
    </row>
    <row r="5" spans="1:5" ht="31.5" thickTop="1" thickBot="1" x14ac:dyDescent="0.7">
      <c r="A5" s="4"/>
      <c r="B5" s="4"/>
      <c r="C5" s="69" t="s">
        <v>2</v>
      </c>
      <c r="D5" s="69"/>
      <c r="E5" s="4"/>
    </row>
    <row r="6" spans="1:5" s="6" customFormat="1" ht="23.25" customHeight="1" thickTop="1" x14ac:dyDescent="0.65">
      <c r="A6" s="8"/>
      <c r="B6" s="8"/>
      <c r="C6" s="10" t="s">
        <v>3</v>
      </c>
      <c r="D6" s="46" t="e">
        <f>#REF!/#REF!</f>
        <v>#REF!</v>
      </c>
      <c r="E6" s="17" t="e">
        <f>D6/$D$52</f>
        <v>#REF!</v>
      </c>
    </row>
    <row r="7" spans="1:5" s="6" customFormat="1" ht="23.25" customHeight="1" x14ac:dyDescent="0.65">
      <c r="A7" s="8"/>
      <c r="B7" s="8"/>
      <c r="C7" s="7" t="s">
        <v>4</v>
      </c>
      <c r="D7" s="47" t="e">
        <f>#REF!/#REF!</f>
        <v>#REF!</v>
      </c>
      <c r="E7" s="17" t="e">
        <f t="shared" ref="E7:E51" si="0">D7/$D$52</f>
        <v>#REF!</v>
      </c>
    </row>
    <row r="8" spans="1:5" s="6" customFormat="1" ht="23.25" customHeight="1" x14ac:dyDescent="0.65">
      <c r="A8" s="8"/>
      <c r="B8" s="8"/>
      <c r="C8" s="7"/>
      <c r="D8" s="47"/>
      <c r="E8" s="17" t="e">
        <f t="shared" si="0"/>
        <v>#REF!</v>
      </c>
    </row>
    <row r="9" spans="1:5" s="6" customFormat="1" ht="23.25" customHeight="1" x14ac:dyDescent="0.65">
      <c r="A9" s="8"/>
      <c r="B9" s="8"/>
      <c r="C9" s="10" t="s">
        <v>3</v>
      </c>
      <c r="D9" s="47" t="e">
        <f>#REF!/#REF!</f>
        <v>#REF!</v>
      </c>
      <c r="E9" s="17" t="e">
        <f t="shared" si="0"/>
        <v>#REF!</v>
      </c>
    </row>
    <row r="10" spans="1:5" s="6" customFormat="1" ht="23.25" customHeight="1" x14ac:dyDescent="0.65">
      <c r="A10" s="8"/>
      <c r="B10" s="8"/>
      <c r="C10" s="7" t="s">
        <v>4</v>
      </c>
      <c r="D10" s="47" t="e">
        <f>#REF!/#REF!</f>
        <v>#REF!</v>
      </c>
      <c r="E10" s="17" t="e">
        <f t="shared" si="0"/>
        <v>#REF!</v>
      </c>
    </row>
    <row r="11" spans="1:5" s="6" customFormat="1" ht="23.25" customHeight="1" x14ac:dyDescent="0.65">
      <c r="A11" s="8"/>
      <c r="B11" s="8"/>
      <c r="C11" s="7" t="s">
        <v>5</v>
      </c>
      <c r="D11" s="47" t="e">
        <f>#REF!/#REF!</f>
        <v>#REF!</v>
      </c>
      <c r="E11" s="17" t="e">
        <f t="shared" si="0"/>
        <v>#REF!</v>
      </c>
    </row>
    <row r="12" spans="1:5" s="6" customFormat="1" ht="23.25" customHeight="1" x14ac:dyDescent="0.65">
      <c r="A12" s="8"/>
      <c r="B12" s="8"/>
      <c r="C12" s="7"/>
      <c r="D12" s="47"/>
      <c r="E12" s="17" t="e">
        <f t="shared" si="0"/>
        <v>#REF!</v>
      </c>
    </row>
    <row r="13" spans="1:5" s="6" customFormat="1" ht="23.25" customHeight="1" x14ac:dyDescent="0.65">
      <c r="A13" s="8"/>
      <c r="B13" s="8"/>
      <c r="C13" s="7"/>
      <c r="D13" s="47"/>
      <c r="E13" s="17" t="e">
        <f t="shared" si="0"/>
        <v>#REF!</v>
      </c>
    </row>
    <row r="14" spans="1:5" s="6" customFormat="1" ht="23.25" customHeight="1" x14ac:dyDescent="0.65">
      <c r="A14" s="8"/>
      <c r="B14" s="8"/>
      <c r="C14" s="7"/>
      <c r="D14" s="47" t="s">
        <v>0</v>
      </c>
      <c r="E14" s="17" t="e">
        <f t="shared" si="0"/>
        <v>#VALUE!</v>
      </c>
    </row>
    <row r="15" spans="1:5" s="6" customFormat="1" ht="23.25" customHeight="1" x14ac:dyDescent="0.65">
      <c r="A15" s="8"/>
      <c r="B15" s="8"/>
      <c r="C15" s="7"/>
      <c r="D15" s="9"/>
      <c r="E15" s="17" t="e">
        <f t="shared" si="0"/>
        <v>#REF!</v>
      </c>
    </row>
    <row r="16" spans="1:5" s="6" customFormat="1" ht="23.25" customHeight="1" x14ac:dyDescent="0.65">
      <c r="A16" s="8"/>
      <c r="B16" s="8"/>
      <c r="C16" s="7"/>
      <c r="D16" s="9"/>
      <c r="E16" s="17" t="e">
        <f t="shared" si="0"/>
        <v>#REF!</v>
      </c>
    </row>
    <row r="17" spans="1:5" s="6" customFormat="1" ht="23.25" customHeight="1" x14ac:dyDescent="0.65">
      <c r="A17" s="8"/>
      <c r="B17" s="8"/>
      <c r="C17" s="7"/>
      <c r="D17" s="9"/>
      <c r="E17" s="17" t="e">
        <f t="shared" si="0"/>
        <v>#REF!</v>
      </c>
    </row>
    <row r="18" spans="1:5" s="6" customFormat="1" ht="23.25" customHeight="1" x14ac:dyDescent="0.65">
      <c r="A18" s="8"/>
      <c r="B18" s="8"/>
      <c r="C18" s="7"/>
      <c r="D18" s="9"/>
      <c r="E18" s="17" t="e">
        <f t="shared" si="0"/>
        <v>#REF!</v>
      </c>
    </row>
    <row r="19" spans="1:5" s="6" customFormat="1" ht="23.25" customHeight="1" x14ac:dyDescent="0.65">
      <c r="A19" s="8"/>
      <c r="B19" s="8"/>
      <c r="C19" s="7"/>
      <c r="D19" s="9"/>
      <c r="E19" s="17" t="e">
        <f t="shared" si="0"/>
        <v>#REF!</v>
      </c>
    </row>
    <row r="20" spans="1:5" s="6" customFormat="1" ht="23.25" customHeight="1" x14ac:dyDescent="0.65">
      <c r="A20" s="8"/>
      <c r="B20" s="8"/>
      <c r="C20" s="7"/>
      <c r="D20" s="9"/>
      <c r="E20" s="17" t="e">
        <f t="shared" si="0"/>
        <v>#REF!</v>
      </c>
    </row>
    <row r="21" spans="1:5" s="6" customFormat="1" ht="23.25" customHeight="1" x14ac:dyDescent="0.65">
      <c r="A21" s="8"/>
      <c r="B21" s="8"/>
      <c r="C21" s="7"/>
      <c r="D21" s="9"/>
      <c r="E21" s="17" t="e">
        <f t="shared" si="0"/>
        <v>#REF!</v>
      </c>
    </row>
    <row r="22" spans="1:5" s="6" customFormat="1" ht="23.25" customHeight="1" x14ac:dyDescent="0.65">
      <c r="A22" s="8"/>
      <c r="B22" s="8"/>
      <c r="C22" s="7"/>
      <c r="D22" s="9"/>
      <c r="E22" s="17" t="e">
        <f t="shared" si="0"/>
        <v>#REF!</v>
      </c>
    </row>
    <row r="23" spans="1:5" s="6" customFormat="1" ht="23.25" customHeight="1" x14ac:dyDescent="0.65">
      <c r="A23" s="8"/>
      <c r="B23" s="8"/>
      <c r="C23" s="7"/>
      <c r="D23" s="9"/>
      <c r="E23" s="17" t="e">
        <f t="shared" si="0"/>
        <v>#REF!</v>
      </c>
    </row>
    <row r="24" spans="1:5" s="6" customFormat="1" ht="23.25" customHeight="1" x14ac:dyDescent="0.65">
      <c r="A24" s="8"/>
      <c r="B24" s="8"/>
      <c r="C24" s="7"/>
      <c r="D24" s="9"/>
      <c r="E24" s="17" t="e">
        <f t="shared" si="0"/>
        <v>#REF!</v>
      </c>
    </row>
    <row r="25" spans="1:5" s="6" customFormat="1" ht="23.25" customHeight="1" x14ac:dyDescent="0.65">
      <c r="A25" s="8"/>
      <c r="B25" s="8"/>
      <c r="C25" s="7"/>
      <c r="D25" s="9"/>
      <c r="E25" s="17" t="e">
        <f t="shared" si="0"/>
        <v>#REF!</v>
      </c>
    </row>
    <row r="26" spans="1:5" s="6" customFormat="1" ht="23.25" customHeight="1" x14ac:dyDescent="0.65">
      <c r="A26" s="8"/>
      <c r="B26" s="8"/>
      <c r="C26" s="7"/>
      <c r="D26" s="9"/>
      <c r="E26" s="17" t="e">
        <f t="shared" si="0"/>
        <v>#REF!</v>
      </c>
    </row>
    <row r="27" spans="1:5" s="6" customFormat="1" ht="23.25" customHeight="1" x14ac:dyDescent="0.65">
      <c r="A27" s="8"/>
      <c r="B27" s="8"/>
      <c r="C27" s="7"/>
      <c r="D27" s="9"/>
      <c r="E27" s="17" t="e">
        <f t="shared" si="0"/>
        <v>#REF!</v>
      </c>
    </row>
    <row r="28" spans="1:5" s="6" customFormat="1" ht="23.25" customHeight="1" x14ac:dyDescent="0.65">
      <c r="A28" s="8"/>
      <c r="B28" s="8"/>
      <c r="C28" s="7"/>
      <c r="D28" s="9"/>
      <c r="E28" s="17" t="e">
        <f t="shared" si="0"/>
        <v>#REF!</v>
      </c>
    </row>
    <row r="29" spans="1:5" s="6" customFormat="1" ht="23.25" customHeight="1" x14ac:dyDescent="0.65">
      <c r="A29" s="8"/>
      <c r="B29" s="8"/>
      <c r="C29" s="7"/>
      <c r="D29" s="9"/>
      <c r="E29" s="17" t="e">
        <f t="shared" si="0"/>
        <v>#REF!</v>
      </c>
    </row>
    <row r="30" spans="1:5" s="6" customFormat="1" ht="23.25" customHeight="1" x14ac:dyDescent="0.65">
      <c r="A30" s="8"/>
      <c r="B30" s="8"/>
      <c r="C30" s="7"/>
      <c r="D30" s="9"/>
      <c r="E30" s="17" t="e">
        <f t="shared" si="0"/>
        <v>#REF!</v>
      </c>
    </row>
    <row r="31" spans="1:5" s="6" customFormat="1" ht="23.25" customHeight="1" x14ac:dyDescent="0.65">
      <c r="A31" s="8"/>
      <c r="B31" s="8"/>
      <c r="C31" s="7"/>
      <c r="D31" s="9"/>
      <c r="E31" s="17" t="e">
        <f t="shared" si="0"/>
        <v>#REF!</v>
      </c>
    </row>
    <row r="32" spans="1:5" s="6" customFormat="1" ht="23.25" customHeight="1" x14ac:dyDescent="0.65">
      <c r="A32" s="8"/>
      <c r="B32" s="8"/>
      <c r="C32" s="7"/>
      <c r="D32" s="9"/>
      <c r="E32" s="17" t="e">
        <f t="shared" si="0"/>
        <v>#REF!</v>
      </c>
    </row>
    <row r="33" spans="1:5" s="6" customFormat="1" ht="23.25" customHeight="1" x14ac:dyDescent="0.65">
      <c r="A33" s="8"/>
      <c r="B33" s="8"/>
      <c r="C33" s="7"/>
      <c r="D33" s="9"/>
      <c r="E33" s="17" t="e">
        <f t="shared" si="0"/>
        <v>#REF!</v>
      </c>
    </row>
    <row r="34" spans="1:5" s="6" customFormat="1" ht="23.25" customHeight="1" x14ac:dyDescent="0.65">
      <c r="A34" s="8"/>
      <c r="B34" s="8"/>
      <c r="C34" s="7"/>
      <c r="D34" s="9"/>
      <c r="E34" s="17" t="e">
        <f t="shared" si="0"/>
        <v>#REF!</v>
      </c>
    </row>
    <row r="35" spans="1:5" s="6" customFormat="1" ht="23.25" customHeight="1" x14ac:dyDescent="0.65">
      <c r="A35" s="8"/>
      <c r="B35" s="8"/>
      <c r="C35" s="7"/>
      <c r="D35" s="9"/>
      <c r="E35" s="17" t="e">
        <f t="shared" si="0"/>
        <v>#REF!</v>
      </c>
    </row>
    <row r="36" spans="1:5" s="6" customFormat="1" ht="23.25" customHeight="1" x14ac:dyDescent="0.65">
      <c r="A36" s="8"/>
      <c r="B36" s="8"/>
      <c r="C36" s="7"/>
      <c r="D36" s="9"/>
      <c r="E36" s="17" t="e">
        <f t="shared" si="0"/>
        <v>#REF!</v>
      </c>
    </row>
    <row r="37" spans="1:5" s="6" customFormat="1" ht="23.25" customHeight="1" x14ac:dyDescent="0.65">
      <c r="A37" s="8"/>
      <c r="B37" s="8"/>
      <c r="C37" s="7"/>
      <c r="D37" s="9"/>
      <c r="E37" s="17" t="e">
        <f t="shared" si="0"/>
        <v>#REF!</v>
      </c>
    </row>
    <row r="38" spans="1:5" s="6" customFormat="1" ht="23.25" customHeight="1" x14ac:dyDescent="0.65">
      <c r="A38" s="8"/>
      <c r="B38" s="8"/>
      <c r="C38" s="7"/>
      <c r="D38" s="9"/>
      <c r="E38" s="17" t="e">
        <f t="shared" si="0"/>
        <v>#REF!</v>
      </c>
    </row>
    <row r="39" spans="1:5" s="6" customFormat="1" ht="23.25" customHeight="1" x14ac:dyDescent="0.65">
      <c r="A39" s="8"/>
      <c r="B39" s="8"/>
      <c r="C39" s="7"/>
      <c r="D39" s="9"/>
      <c r="E39" s="17" t="e">
        <f t="shared" si="0"/>
        <v>#REF!</v>
      </c>
    </row>
    <row r="40" spans="1:5" s="6" customFormat="1" ht="23.25" customHeight="1" x14ac:dyDescent="0.65">
      <c r="A40" s="8"/>
      <c r="B40" s="8"/>
      <c r="C40" s="7"/>
      <c r="D40" s="9"/>
      <c r="E40" s="17" t="e">
        <f t="shared" si="0"/>
        <v>#REF!</v>
      </c>
    </row>
    <row r="41" spans="1:5" s="6" customFormat="1" ht="23.25" customHeight="1" x14ac:dyDescent="0.65">
      <c r="A41" s="8"/>
      <c r="B41" s="8"/>
      <c r="C41" s="7"/>
      <c r="D41" s="9"/>
      <c r="E41" s="17" t="e">
        <f t="shared" si="0"/>
        <v>#REF!</v>
      </c>
    </row>
    <row r="42" spans="1:5" s="6" customFormat="1" ht="23.25" customHeight="1" x14ac:dyDescent="0.65">
      <c r="A42" s="8"/>
      <c r="B42" s="8"/>
      <c r="C42" s="7"/>
      <c r="D42" s="9"/>
      <c r="E42" s="17" t="e">
        <f t="shared" si="0"/>
        <v>#REF!</v>
      </c>
    </row>
    <row r="43" spans="1:5" s="6" customFormat="1" ht="23.25" customHeight="1" x14ac:dyDescent="0.65">
      <c r="A43" s="8"/>
      <c r="B43" s="8"/>
      <c r="C43" s="7"/>
      <c r="D43" s="9"/>
      <c r="E43" s="17" t="e">
        <f t="shared" si="0"/>
        <v>#REF!</v>
      </c>
    </row>
    <row r="44" spans="1:5" s="6" customFormat="1" ht="23.25" customHeight="1" x14ac:dyDescent="0.65">
      <c r="A44" s="8"/>
      <c r="B44" s="8"/>
      <c r="C44" s="7"/>
      <c r="D44" s="9"/>
      <c r="E44" s="17" t="e">
        <f t="shared" si="0"/>
        <v>#REF!</v>
      </c>
    </row>
    <row r="45" spans="1:5" s="6" customFormat="1" ht="23.25" customHeight="1" x14ac:dyDescent="0.65">
      <c r="A45" s="8"/>
      <c r="B45" s="8"/>
      <c r="C45" s="7"/>
      <c r="D45" s="9"/>
      <c r="E45" s="17" t="e">
        <f t="shared" si="0"/>
        <v>#REF!</v>
      </c>
    </row>
    <row r="46" spans="1:5" s="6" customFormat="1" ht="23.25" customHeight="1" x14ac:dyDescent="0.65">
      <c r="A46" s="8"/>
      <c r="B46" s="8"/>
      <c r="C46" s="7"/>
      <c r="D46" s="9"/>
      <c r="E46" s="17" t="e">
        <f t="shared" si="0"/>
        <v>#REF!</v>
      </c>
    </row>
    <row r="47" spans="1:5" s="6" customFormat="1" ht="23.25" customHeight="1" x14ac:dyDescent="0.65">
      <c r="A47" s="8"/>
      <c r="B47" s="8"/>
      <c r="C47" s="7"/>
      <c r="D47" s="9"/>
      <c r="E47" s="17" t="e">
        <f t="shared" si="0"/>
        <v>#REF!</v>
      </c>
    </row>
    <row r="48" spans="1:5" s="6" customFormat="1" ht="23.25" customHeight="1" x14ac:dyDescent="0.65">
      <c r="A48" s="8"/>
      <c r="B48" s="8"/>
      <c r="C48" s="7"/>
      <c r="D48" s="9"/>
      <c r="E48" s="17" t="e">
        <f t="shared" si="0"/>
        <v>#REF!</v>
      </c>
    </row>
    <row r="49" spans="1:5" s="6" customFormat="1" ht="23.25" customHeight="1" x14ac:dyDescent="0.65">
      <c r="A49" s="8"/>
      <c r="B49" s="8"/>
      <c r="C49" s="7"/>
      <c r="D49" s="9"/>
      <c r="E49" s="17" t="e">
        <f t="shared" si="0"/>
        <v>#REF!</v>
      </c>
    </row>
    <row r="50" spans="1:5" s="6" customFormat="1" ht="23.25" customHeight="1" x14ac:dyDescent="0.65">
      <c r="A50" s="8"/>
      <c r="B50" s="8"/>
      <c r="C50" s="7"/>
      <c r="D50" s="9" t="s">
        <v>0</v>
      </c>
      <c r="E50" s="17" t="e">
        <f t="shared" si="0"/>
        <v>#VALUE!</v>
      </c>
    </row>
    <row r="51" spans="1:5" s="6" customFormat="1" ht="23.25" customHeight="1" thickBot="1" x14ac:dyDescent="0.7">
      <c r="A51" s="8"/>
      <c r="B51" s="8"/>
      <c r="C51" s="13"/>
      <c r="D51" s="14" t="s">
        <v>0</v>
      </c>
      <c r="E51" s="17" t="e">
        <f t="shared" si="0"/>
        <v>#VALUE!</v>
      </c>
    </row>
    <row r="52" spans="1:5" s="6" customFormat="1" ht="23.25" customHeight="1" thickTop="1" x14ac:dyDescent="0.65">
      <c r="A52" s="8"/>
      <c r="B52" s="8"/>
      <c r="C52" s="15" t="s">
        <v>1</v>
      </c>
      <c r="D52" s="16" t="e">
        <f>SUM(D6:D51)</f>
        <v>#REF!</v>
      </c>
      <c r="E52" s="8"/>
    </row>
  </sheetData>
  <mergeCells count="1">
    <mergeCell ref="C5:D5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5"/>
  <dimension ref="A1:Y1"/>
  <sheetViews>
    <sheetView showGridLines="0" zoomScaleNormal="100" workbookViewId="0">
      <selection sqref="A1:U1"/>
    </sheetView>
  </sheetViews>
  <sheetFormatPr defaultRowHeight="15" x14ac:dyDescent="0.25"/>
  <sheetData>
    <row r="1" spans="1:25" s="58" customFormat="1" ht="36" customHeight="1" x14ac:dyDescent="0.25">
      <c r="A1" s="60" t="s">
        <v>20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57"/>
      <c r="W1" s="57"/>
      <c r="X1" s="57"/>
      <c r="Y1" s="57"/>
    </row>
  </sheetData>
  <mergeCells count="1">
    <mergeCell ref="A1:U1"/>
  </mergeCell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D11"/>
  <sheetViews>
    <sheetView workbookViewId="0">
      <selection activeCell="E16" sqref="E16"/>
    </sheetView>
  </sheetViews>
  <sheetFormatPr defaultRowHeight="15" x14ac:dyDescent="0.25"/>
  <cols>
    <col min="4" max="4" width="12.140625" bestFit="1" customWidth="1"/>
  </cols>
  <sheetData>
    <row r="3" spans="3:4" x14ac:dyDescent="0.25">
      <c r="C3" t="str">
        <f>'Controle de Cargos'!A5</f>
        <v>RECEPCIONISTA</v>
      </c>
      <c r="D3" s="54">
        <f>'Controle de Cargos'!H5</f>
        <v>0</v>
      </c>
    </row>
    <row r="4" spans="3:4" x14ac:dyDescent="0.25">
      <c r="C4" t="str">
        <f>'Controle de Cargos'!A11</f>
        <v>ANALISTA RH</v>
      </c>
      <c r="D4" s="54">
        <f>'Controle de Cargos'!H11</f>
        <v>0</v>
      </c>
    </row>
    <row r="5" spans="3:4" x14ac:dyDescent="0.25">
      <c r="C5" t="str">
        <f>'Controle de Cargos'!A17</f>
        <v xml:space="preserve">CARGO </v>
      </c>
      <c r="D5" s="54">
        <f>'Controle de Cargos'!H17</f>
        <v>0</v>
      </c>
    </row>
    <row r="6" spans="3:4" x14ac:dyDescent="0.25">
      <c r="C6" t="str">
        <f>'Controle de Cargos'!A23</f>
        <v xml:space="preserve">CARGO </v>
      </c>
      <c r="D6" s="54">
        <f>'Controle de Cargos'!H23</f>
        <v>0</v>
      </c>
    </row>
    <row r="7" spans="3:4" x14ac:dyDescent="0.25">
      <c r="C7" t="str">
        <f>'Controle de Cargos'!A29</f>
        <v xml:space="preserve">CARGO </v>
      </c>
      <c r="D7" s="54">
        <f>'Controle de Cargos'!H29</f>
        <v>0</v>
      </c>
    </row>
    <row r="8" spans="3:4" x14ac:dyDescent="0.25">
      <c r="C8" t="str">
        <f>'Controle de Cargos'!A35</f>
        <v xml:space="preserve">CARGO </v>
      </c>
      <c r="D8" s="54">
        <f>'Controle de Cargos'!H35</f>
        <v>0</v>
      </c>
    </row>
    <row r="9" spans="3:4" x14ac:dyDescent="0.25">
      <c r="C9" t="str">
        <f>'Controle de Cargos'!A41</f>
        <v xml:space="preserve">CARGO </v>
      </c>
      <c r="D9" s="54">
        <f>'Controle de Cargos'!H41</f>
        <v>0</v>
      </c>
    </row>
    <row r="10" spans="3:4" x14ac:dyDescent="0.25">
      <c r="C10" t="str">
        <f>'Controle de Cargos'!A47</f>
        <v xml:space="preserve">CARGO </v>
      </c>
      <c r="D10" s="54">
        <f>'Controle de Cargos'!H47</f>
        <v>0</v>
      </c>
    </row>
    <row r="11" spans="3:4" x14ac:dyDescent="0.25">
      <c r="C11" t="str">
        <f>'Controle de Cargos'!A53</f>
        <v xml:space="preserve">CARGO </v>
      </c>
      <c r="D11" s="54">
        <f>'Controle de Cargos'!H53</f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Início</vt:lpstr>
      <vt:lpstr>Controle de Cargos</vt:lpstr>
      <vt:lpstr>Custos Fixos</vt:lpstr>
      <vt:lpstr>Panorama</vt:lpstr>
      <vt:lpstr>Plan1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Acelere.vc</dc:creator>
  <cp:lastModifiedBy>Pedro</cp:lastModifiedBy>
  <dcterms:created xsi:type="dcterms:W3CDTF">2013-11-09T12:17:33Z</dcterms:created>
  <dcterms:modified xsi:type="dcterms:W3CDTF">2014-05-30T20:37:55Z</dcterms:modified>
</cp:coreProperties>
</file>