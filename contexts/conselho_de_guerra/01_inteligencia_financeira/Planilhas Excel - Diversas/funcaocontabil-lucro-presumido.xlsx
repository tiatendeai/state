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te\"/>
    </mc:Choice>
  </mc:AlternateContent>
  <bookViews>
    <workbookView xWindow="0" yWindow="0" windowWidth="20490" windowHeight="7530" tabRatio="346"/>
  </bookViews>
  <sheets>
    <sheet name="Lucro Presumido" sheetId="1" r:id="rId1"/>
  </sheets>
  <definedNames>
    <definedName name="_xlnm.Print_Area" localSheetId="0">'Lucro Presumido'!$B$11:$L$34,'Lucro Presumido'!$N$11:$V$34</definedName>
    <definedName name="Icms">#REF!</definedName>
  </definedNames>
  <calcPr calcId="171027"/>
</workbook>
</file>

<file path=xl/calcChain.xml><?xml version="1.0" encoding="utf-8"?>
<calcChain xmlns="http://schemas.openxmlformats.org/spreadsheetml/2006/main">
  <c r="V31" i="1" l="1"/>
  <c r="V30" i="1"/>
  <c r="V27" i="1"/>
  <c r="V23" i="1"/>
  <c r="V22" i="1"/>
  <c r="V21" i="1"/>
  <c r="U20" i="1"/>
  <c r="T20" i="1"/>
  <c r="S20" i="1"/>
  <c r="U19" i="1"/>
  <c r="T19" i="1"/>
  <c r="S19" i="1"/>
  <c r="S25" i="1" s="1"/>
  <c r="U17" i="1"/>
  <c r="T17" i="1"/>
  <c r="S17" i="1"/>
  <c r="U16" i="1"/>
  <c r="U24" i="1" s="1"/>
  <c r="U26" i="1" s="1"/>
  <c r="T16" i="1"/>
  <c r="S16" i="1"/>
  <c r="V14" i="1"/>
  <c r="V13" i="1"/>
  <c r="V12" i="1"/>
  <c r="Q31" i="1"/>
  <c r="Q30" i="1"/>
  <c r="Q27" i="1"/>
  <c r="Q23" i="1"/>
  <c r="Q22" i="1"/>
  <c r="Q21" i="1"/>
  <c r="P20" i="1"/>
  <c r="O20" i="1"/>
  <c r="N20" i="1"/>
  <c r="P19" i="1"/>
  <c r="O19" i="1"/>
  <c r="N19" i="1"/>
  <c r="P17" i="1"/>
  <c r="O17" i="1"/>
  <c r="N17" i="1"/>
  <c r="P16" i="1"/>
  <c r="O16" i="1"/>
  <c r="N16" i="1"/>
  <c r="Q14" i="1"/>
  <c r="Q13" i="1"/>
  <c r="Q12" i="1"/>
  <c r="L31" i="1"/>
  <c r="L30" i="1"/>
  <c r="L27" i="1"/>
  <c r="L23" i="1"/>
  <c r="L22" i="1"/>
  <c r="L21" i="1"/>
  <c r="K20" i="1"/>
  <c r="J20" i="1"/>
  <c r="I20" i="1"/>
  <c r="K19" i="1"/>
  <c r="J19" i="1"/>
  <c r="I19" i="1"/>
  <c r="K17" i="1"/>
  <c r="J17" i="1"/>
  <c r="I17" i="1"/>
  <c r="K16" i="1"/>
  <c r="J16" i="1"/>
  <c r="I16" i="1"/>
  <c r="L14" i="1"/>
  <c r="L13" i="1"/>
  <c r="L12" i="1"/>
  <c r="N24" i="1" l="1"/>
  <c r="P25" i="1"/>
  <c r="P28" i="1" s="1"/>
  <c r="T25" i="1"/>
  <c r="T28" i="1" s="1"/>
  <c r="J24" i="1"/>
  <c r="J26" i="1" s="1"/>
  <c r="K24" i="1"/>
  <c r="K26" i="1" s="1"/>
  <c r="I25" i="1"/>
  <c r="I28" i="1" s="1"/>
  <c r="L20" i="1"/>
  <c r="K25" i="1"/>
  <c r="K28" i="1" s="1"/>
  <c r="L28" i="1" s="1"/>
  <c r="O24" i="1"/>
  <c r="O26" i="1" s="1"/>
  <c r="S24" i="1"/>
  <c r="U25" i="1"/>
  <c r="U28" i="1" s="1"/>
  <c r="I24" i="1"/>
  <c r="I26" i="1" s="1"/>
  <c r="L26" i="1" s="1"/>
  <c r="T24" i="1"/>
  <c r="T26" i="1" s="1"/>
  <c r="Q19" i="1"/>
  <c r="J25" i="1"/>
  <c r="J28" i="1" s="1"/>
  <c r="P24" i="1"/>
  <c r="P26" i="1" s="1"/>
  <c r="N25" i="1"/>
  <c r="Q20" i="1"/>
  <c r="V20" i="1"/>
  <c r="L17" i="1"/>
  <c r="Q17" i="1"/>
  <c r="V17" i="1"/>
  <c r="S26" i="1"/>
  <c r="V24" i="1"/>
  <c r="S28" i="1"/>
  <c r="V28" i="1" s="1"/>
  <c r="V25" i="1"/>
  <c r="V29" i="1" s="1"/>
  <c r="V16" i="1"/>
  <c r="V19" i="1"/>
  <c r="N28" i="1"/>
  <c r="N26" i="1"/>
  <c r="Q16" i="1"/>
  <c r="O25" i="1"/>
  <c r="O28" i="1" s="1"/>
  <c r="L16" i="1"/>
  <c r="L19" i="1"/>
  <c r="G31" i="1"/>
  <c r="G30" i="1"/>
  <c r="G27" i="1"/>
  <c r="L25" i="1" l="1"/>
  <c r="L29" i="1" s="1"/>
  <c r="L33" i="1" s="1"/>
  <c r="V26" i="1"/>
  <c r="V32" i="1" s="1"/>
  <c r="Q24" i="1"/>
  <c r="L24" i="1"/>
  <c r="Q26" i="1"/>
  <c r="V33" i="1"/>
  <c r="Q25" i="1"/>
  <c r="Q29" i="1" s="1"/>
  <c r="Q32" i="1"/>
  <c r="Q28" i="1"/>
  <c r="L32" i="1"/>
  <c r="L34" i="1" l="1"/>
  <c r="V34" i="1"/>
  <c r="Q33" i="1"/>
  <c r="Q34" i="1" s="1"/>
  <c r="E20" i="1"/>
  <c r="F20" i="1"/>
  <c r="D20" i="1"/>
  <c r="E19" i="1"/>
  <c r="F19" i="1"/>
  <c r="D19" i="1"/>
  <c r="E17" i="1"/>
  <c r="F17" i="1"/>
  <c r="D17" i="1"/>
  <c r="F16" i="1"/>
  <c r="E16" i="1"/>
  <c r="D16" i="1"/>
  <c r="D11" i="1" l="1"/>
  <c r="E11" i="1" s="1"/>
  <c r="F11" i="1" s="1"/>
  <c r="I11" i="1" s="1"/>
  <c r="J11" i="1" s="1"/>
  <c r="K11" i="1" s="1"/>
  <c r="N11" i="1" s="1"/>
  <c r="O11" i="1" s="1"/>
  <c r="P11" i="1" s="1"/>
  <c r="S11" i="1" s="1"/>
  <c r="T11" i="1" s="1"/>
  <c r="U11" i="1" s="1"/>
  <c r="G21" i="1" l="1"/>
  <c r="G22" i="1"/>
  <c r="G23" i="1"/>
  <c r="G14" i="1"/>
  <c r="G13" i="1"/>
  <c r="G12" i="1"/>
  <c r="D24" i="1" l="1"/>
  <c r="D26" i="1" s="1"/>
  <c r="F24" i="1"/>
  <c r="F26" i="1" s="1"/>
  <c r="E24" i="1"/>
  <c r="E26" i="1" s="1"/>
  <c r="G16" i="1"/>
  <c r="D25" i="1"/>
  <c r="D28" i="1" s="1"/>
  <c r="E25" i="1" l="1"/>
  <c r="E28" i="1" s="1"/>
  <c r="F25" i="1"/>
  <c r="F28" i="1" s="1"/>
  <c r="G20" i="1"/>
  <c r="G19" i="1"/>
  <c r="G17" i="1"/>
  <c r="G25" i="1" l="1"/>
  <c r="G29" i="1" s="1"/>
  <c r="G24" i="1"/>
  <c r="G26" i="1"/>
  <c r="G32" i="1" s="1"/>
  <c r="G28" i="1" l="1"/>
  <c r="G33" i="1" s="1"/>
  <c r="G34" i="1" s="1"/>
</calcChain>
</file>

<file path=xl/comments1.xml><?xml version="1.0" encoding="utf-8"?>
<comments xmlns="http://schemas.openxmlformats.org/spreadsheetml/2006/main">
  <authors>
    <author>User</author>
    <author>Guilherme</author>
  </authors>
  <commentList>
    <comment ref="G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Especiais</t>
        </r>
      </text>
    </comment>
    <comment ref="C19" authorId="1" shapeId="0">
      <text>
        <r>
          <rPr>
            <sz val="9"/>
            <color indexed="81"/>
            <rFont val="Segoe UI"/>
            <family val="2"/>
          </rPr>
          <t xml:space="preserve">1,6% = Revenda de Combustíveis e Derivados
8% = * Diversos (consultar site RFB)
16% = Transportes de Passageiros, Bancos Comerciais, Bancos de Investimentos, Caixas Econômicas, etc.
</t>
        </r>
      </text>
    </comment>
  </commentList>
</comments>
</file>

<file path=xl/sharedStrings.xml><?xml version="1.0" encoding="utf-8"?>
<sst xmlns="http://schemas.openxmlformats.org/spreadsheetml/2006/main" count="44" uniqueCount="27">
  <si>
    <t>-</t>
  </si>
  <si>
    <t>=</t>
  </si>
  <si>
    <t>+</t>
  </si>
  <si>
    <t>Receita Bruta de Venda</t>
  </si>
  <si>
    <t>Receita Bruta de Serviços</t>
  </si>
  <si>
    <t>Devolução de Vendas</t>
  </si>
  <si>
    <t>Receitas Financeiras</t>
  </si>
  <si>
    <t>Ganho de Capital</t>
  </si>
  <si>
    <t>Outras Receitas</t>
  </si>
  <si>
    <t>1º. Trimestre</t>
  </si>
  <si>
    <t>Total Imposto Presumido</t>
  </si>
  <si>
    <t>Base de Cálculo Presumido CS</t>
  </si>
  <si>
    <t>Base de Cálculo Presumido IR</t>
  </si>
  <si>
    <t>2º. Trimestre</t>
  </si>
  <si>
    <t>Base Presunção Contribuição Social</t>
  </si>
  <si>
    <t>Base Presunção Imposto de Renda</t>
  </si>
  <si>
    <t>3º. Trimestre</t>
  </si>
  <si>
    <t>4º. Trimestre</t>
  </si>
  <si>
    <t xml:space="preserve">          Função Contábil</t>
  </si>
  <si>
    <t>Aviso de Desbloqueio</t>
  </si>
  <si>
    <t>PLANILHA DE CÁLCULO LUCRO PRESUMIDO - IMPOSTO DE RENDA E CONTRIBUIÇÃO SOCIAL</t>
  </si>
  <si>
    <t>CS Retido sobre Notas Fiscais</t>
  </si>
  <si>
    <t>IR sobre Notas Fiscais</t>
  </si>
  <si>
    <t>IR sobre Aplicações Financeiras</t>
  </si>
  <si>
    <t>Contribuição Social</t>
  </si>
  <si>
    <t>Imposto de Renda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</si>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</sst>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_-;\-* #,##0.00_-;_-* &quot;-&quot;??_-;_-@_-"/>
    <numFmt numFmtId="164" formatCode="_(* #,##0.00_);_(* \(#,##0.00\);_(* &quot;-&quot;??_);_(@_)"/>
    <numFmt numFmtId="165" formatCode="&quot;R$ &quot;#,##0.00"/>
    <numFmt numFmtId="166" formatCode="&quot;Alíquota da CSLL de&quot;\ 0%"/>
    <numFmt numFmtId="167" formatCode="&quot;Alíquota do IR de&quot;\ 0%"/>
    <numFmt numFmtId="168" formatCode="&quot;Adicional de IR se &gt; 20 mil reais&quot;\ 0%"/>
    <numFmt numFmtId="169" formatCode="0.0%"/>
    <numFmt numFmtId="170" formatCode="&quot;Alíquota&quot;\ 0%"/>
    <numFmt numFmtId="171" formatCode="0%\ &quot;de adicional de IR SE &gt; 60 mil&quot;"/>
    <numFmt numFmtId="172" formatCode="&quot;Vendas - Alíquota&quot;\ 0%"/>
    <numFmt numFmtId="173" formatCode="&quot;Serviços - Alíquota&quot;\ 0%"/>
    <numFmt numFmtId="174" formatCode="&quot;LUCRO PRESUMIDO&quot;\ ##"/>
    <numFmt numFmtId="175" formatCode="mmmm"/>
  </numFmts>
  <fonts count="12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8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5"/>
      <color indexed="8"/>
      <name val="Arial"/>
      <family val="2"/>
    </font>
    <font>
      <sz val="9"/>
      <color indexed="81"/>
      <name val="Segoe UI"/>
      <family val="2"/>
    </font>
    <font>
      <sz val="10"/>
      <color theme="0" tint="-0.249977111117893"/>
      <name val="Arial"/>
      <family val="2"/>
    </font>
    <font>
      <u/>
      <sz val="8"/>
      <name val="Arial"/>
      <family val="2"/>
    </font>
    <font>
      <sz val="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2" borderId="0" xfId="0" applyFont="1" applyFill="1" applyBorder="1" applyProtection="1"/>
    <xf numFmtId="0" fontId="2" fillId="2" borderId="3" xfId="0" applyFont="1" applyFill="1" applyBorder="1" applyAlignment="1" applyProtection="1">
      <alignment horizontal="center"/>
    </xf>
    <xf numFmtId="0" fontId="2" fillId="2" borderId="6" xfId="0" applyFont="1" applyFill="1" applyBorder="1" applyProtection="1"/>
    <xf numFmtId="0" fontId="2" fillId="2" borderId="0" xfId="0" applyFont="1" applyFill="1" applyBorder="1" applyAlignment="1" applyProtection="1">
      <alignment horizontal="center"/>
    </xf>
    <xf numFmtId="165" fontId="4" fillId="2" borderId="0" xfId="0" applyNumberFormat="1" applyFont="1" applyFill="1" applyBorder="1" applyAlignment="1" applyProtection="1"/>
    <xf numFmtId="9" fontId="2" fillId="2" borderId="0" xfId="0" applyNumberFormat="1" applyFont="1" applyFill="1" applyBorder="1" applyProtection="1"/>
    <xf numFmtId="169" fontId="2" fillId="2" borderId="0" xfId="0" applyNumberFormat="1" applyFont="1" applyFill="1" applyBorder="1" applyProtection="1"/>
    <xf numFmtId="169" fontId="7" fillId="2" borderId="0" xfId="0" applyNumberFormat="1" applyFont="1" applyFill="1" applyBorder="1" applyProtection="1"/>
    <xf numFmtId="9" fontId="7" fillId="2" borderId="0" xfId="0" applyNumberFormat="1" applyFont="1" applyFill="1" applyBorder="1" applyProtection="1"/>
    <xf numFmtId="164" fontId="2" fillId="2" borderId="4" xfId="0" applyNumberFormat="1" applyFont="1" applyFill="1" applyBorder="1" applyProtection="1"/>
    <xf numFmtId="0" fontId="2" fillId="2" borderId="8" xfId="0" applyFont="1" applyFill="1" applyBorder="1" applyAlignment="1" applyProtection="1">
      <alignment horizontal="center"/>
    </xf>
    <xf numFmtId="164" fontId="2" fillId="2" borderId="9" xfId="0" applyNumberFormat="1" applyFont="1" applyFill="1" applyBorder="1" applyProtection="1"/>
    <xf numFmtId="164" fontId="2" fillId="2" borderId="2" xfId="0" applyNumberFormat="1" applyFont="1" applyFill="1" applyBorder="1" applyProtection="1"/>
    <xf numFmtId="43" fontId="2" fillId="2" borderId="10" xfId="0" applyNumberFormat="1" applyFont="1" applyFill="1" applyBorder="1" applyProtection="1"/>
    <xf numFmtId="0" fontId="2" fillId="2" borderId="10" xfId="0" applyFont="1" applyFill="1" applyBorder="1" applyProtection="1"/>
    <xf numFmtId="168" fontId="2" fillId="2" borderId="8" xfId="0" applyNumberFormat="1" applyFont="1" applyFill="1" applyBorder="1" applyProtection="1"/>
    <xf numFmtId="168" fontId="2" fillId="2" borderId="10" xfId="0" applyNumberFormat="1" applyFont="1" applyFill="1" applyBorder="1" applyProtection="1"/>
    <xf numFmtId="168" fontId="2" fillId="2" borderId="9" xfId="0" applyNumberFormat="1" applyFont="1" applyFill="1" applyBorder="1" applyProtection="1"/>
    <xf numFmtId="167" fontId="2" fillId="2" borderId="10" xfId="0" applyNumberFormat="1" applyFont="1" applyFill="1" applyBorder="1" applyProtection="1"/>
    <xf numFmtId="0" fontId="3" fillId="2" borderId="9" xfId="0" applyFont="1" applyFill="1" applyBorder="1" applyAlignment="1" applyProtection="1">
      <alignment horizontal="center"/>
    </xf>
    <xf numFmtId="170" fontId="2" fillId="2" borderId="6" xfId="0" applyNumberFormat="1" applyFont="1" applyFill="1" applyBorder="1" applyProtection="1"/>
    <xf numFmtId="166" fontId="2" fillId="2" borderId="6" xfId="0" applyNumberFormat="1" applyFont="1" applyFill="1" applyBorder="1" applyProtection="1"/>
    <xf numFmtId="171" fontId="2" fillId="2" borderId="6" xfId="0" applyNumberFormat="1" applyFont="1" applyFill="1" applyBorder="1" applyProtection="1"/>
    <xf numFmtId="0" fontId="2" fillId="3" borderId="1" xfId="0" applyFont="1" applyFill="1" applyBorder="1" applyAlignment="1" applyProtection="1">
      <alignment horizontal="center"/>
    </xf>
    <xf numFmtId="175" fontId="3" fillId="2" borderId="7" xfId="0" applyNumberFormat="1" applyFont="1" applyFill="1" applyBorder="1" applyAlignment="1" applyProtection="1">
      <alignment horizontal="center"/>
    </xf>
    <xf numFmtId="164" fontId="2" fillId="2" borderId="7" xfId="0" applyNumberFormat="1" applyFont="1" applyFill="1" applyBorder="1" applyProtection="1"/>
    <xf numFmtId="0" fontId="3" fillId="2" borderId="7" xfId="0" applyFont="1" applyFill="1" applyBorder="1" applyAlignment="1" applyProtection="1">
      <alignment horizontal="center"/>
    </xf>
    <xf numFmtId="164" fontId="3" fillId="2" borderId="7" xfId="0" applyNumberFormat="1" applyFont="1" applyFill="1" applyBorder="1" applyAlignment="1" applyProtection="1">
      <alignment vertical="center"/>
    </xf>
    <xf numFmtId="0" fontId="3" fillId="2" borderId="8" xfId="0" applyFont="1" applyFill="1" applyBorder="1" applyAlignment="1" applyProtection="1">
      <alignment vertical="center"/>
    </xf>
    <xf numFmtId="0" fontId="3" fillId="2" borderId="10" xfId="0" applyFont="1" applyFill="1" applyBorder="1" applyAlignment="1" applyProtection="1">
      <alignment vertical="center"/>
    </xf>
    <xf numFmtId="43" fontId="2" fillId="2" borderId="8" xfId="0" applyNumberFormat="1" applyFont="1" applyFill="1" applyBorder="1" applyProtection="1"/>
    <xf numFmtId="164" fontId="2" fillId="2" borderId="11" xfId="0" applyNumberFormat="1" applyFont="1" applyFill="1" applyBorder="1" applyProtection="1"/>
    <xf numFmtId="168" fontId="2" fillId="2" borderId="3" xfId="0" applyNumberFormat="1" applyFont="1" applyFill="1" applyBorder="1" applyProtection="1"/>
    <xf numFmtId="168" fontId="2" fillId="2" borderId="6" xfId="0" applyNumberFormat="1" applyFont="1" applyFill="1" applyBorder="1" applyProtection="1"/>
    <xf numFmtId="168" fontId="2" fillId="2" borderId="4" xfId="0" applyNumberFormat="1" applyFont="1" applyFill="1" applyBorder="1" applyProtection="1"/>
    <xf numFmtId="0" fontId="10" fillId="0" borderId="0" xfId="1" applyFont="1" applyAlignment="1" applyProtection="1">
      <protection locked="0"/>
    </xf>
    <xf numFmtId="0" fontId="5" fillId="0" borderId="0" xfId="0" applyFont="1" applyProtection="1"/>
    <xf numFmtId="0" fontId="6" fillId="0" borderId="0" xfId="1" applyFont="1" applyFill="1" applyAlignment="1" applyProtection="1"/>
    <xf numFmtId="0" fontId="9" fillId="0" borderId="0" xfId="0" applyFont="1" applyProtection="1"/>
    <xf numFmtId="174" fontId="3" fillId="3" borderId="5" xfId="0" applyNumberFormat="1" applyFont="1" applyFill="1" applyBorder="1" applyAlignment="1" applyProtection="1">
      <alignment horizontal="left"/>
      <protection locked="0"/>
    </xf>
    <xf numFmtId="164" fontId="2" fillId="3" borderId="7" xfId="0" applyNumberFormat="1" applyFont="1" applyFill="1" applyBorder="1" applyProtection="1">
      <protection locked="0"/>
    </xf>
    <xf numFmtId="169" fontId="11" fillId="2" borderId="0" xfId="0" applyNumberFormat="1" applyFont="1" applyFill="1" applyBorder="1" applyProtection="1"/>
    <xf numFmtId="9" fontId="11" fillId="2" borderId="0" xfId="0" applyNumberFormat="1" applyFont="1" applyFill="1" applyBorder="1" applyProtection="1"/>
    <xf numFmtId="171" fontId="2" fillId="2" borderId="6" xfId="0" applyNumberFormat="1" applyFont="1" applyFill="1" applyBorder="1" applyAlignment="1" applyProtection="1">
      <alignment horizontal="left"/>
    </xf>
    <xf numFmtId="164" fontId="2" fillId="0" borderId="4" xfId="0" applyNumberFormat="1" applyFont="1" applyFill="1" applyBorder="1" applyProtection="1"/>
    <xf numFmtId="171" fontId="3" fillId="2" borderId="6" xfId="0" applyNumberFormat="1" applyFont="1" applyFill="1" applyBorder="1" applyAlignment="1" applyProtection="1">
      <alignment horizontal="left"/>
    </xf>
    <xf numFmtId="164" fontId="3" fillId="0" borderId="4" xfId="0" applyNumberFormat="1" applyFont="1" applyFill="1" applyBorder="1" applyProtection="1"/>
    <xf numFmtId="166" fontId="2" fillId="2" borderId="6" xfId="0" applyNumberFormat="1" applyFont="1" applyFill="1" applyBorder="1" applyAlignment="1" applyProtection="1">
      <alignment horizontal="left"/>
    </xf>
    <xf numFmtId="172" fontId="2" fillId="3" borderId="6" xfId="0" applyNumberFormat="1" applyFont="1" applyFill="1" applyBorder="1" applyProtection="1">
      <protection locked="0"/>
    </xf>
    <xf numFmtId="173" fontId="2" fillId="3" borderId="0" xfId="0" applyNumberFormat="1" applyFont="1" applyFill="1" applyBorder="1" applyProtection="1">
      <protection locked="0"/>
    </xf>
    <xf numFmtId="173" fontId="2" fillId="3" borderId="10" xfId="0" applyNumberFormat="1" applyFont="1" applyFill="1" applyBorder="1" applyProtection="1"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1857375</xdr:colOff>
      <xdr:row>10</xdr:row>
      <xdr:rowOff>38100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0002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0"/>
  <sheetViews>
    <sheetView showGridLines="0" showRowColHeaders="0" tabSelected="1" zoomScale="85" zoomScaleNormal="85" zoomScaleSheetLayoutView="100" workbookViewId="0">
      <pane xSplit="3" topLeftCell="D1" activePane="topRight" state="frozen"/>
      <selection pane="topRight" activeCell="G2" sqref="G2"/>
    </sheetView>
  </sheetViews>
  <sheetFormatPr defaultRowHeight="12.75" x14ac:dyDescent="0.2"/>
  <cols>
    <col min="1" max="1" width="2.7109375" style="1" customWidth="1"/>
    <col min="2" max="2" width="2.140625" style="4" customWidth="1"/>
    <col min="3" max="3" width="32.85546875" style="1" bestFit="1" customWidth="1"/>
    <col min="4" max="6" width="11.7109375" style="1" customWidth="1"/>
    <col min="7" max="7" width="15.7109375" style="1" customWidth="1"/>
    <col min="8" max="8" width="1.7109375" style="1" customWidth="1"/>
    <col min="9" max="11" width="11.7109375" style="1" customWidth="1"/>
    <col min="12" max="12" width="15.7109375" style="1" customWidth="1"/>
    <col min="13" max="13" width="1.7109375" style="1" customWidth="1"/>
    <col min="14" max="16" width="11.7109375" style="1" customWidth="1"/>
    <col min="17" max="17" width="15.7109375" style="1" customWidth="1"/>
    <col min="18" max="18" width="1.7109375" style="1" customWidth="1"/>
    <col min="19" max="21" width="11.7109375" style="1" customWidth="1"/>
    <col min="22" max="22" width="15.7109375" style="1" customWidth="1"/>
    <col min="23" max="16384" width="9.140625" style="1"/>
  </cols>
  <sheetData>
    <row r="1" spans="1:22" ht="23.25" x14ac:dyDescent="0.35">
      <c r="A1" s="5" t="s">
        <v>20</v>
      </c>
      <c r="B1" s="5"/>
      <c r="C1" s="5"/>
      <c r="E1" s="5"/>
      <c r="F1" s="5"/>
      <c r="G1" s="5"/>
    </row>
    <row r="2" spans="1:22" s="37" customFormat="1" ht="12.75" customHeight="1" x14ac:dyDescent="0.2">
      <c r="B2" s="38"/>
      <c r="G2" s="36" t="s">
        <v>19</v>
      </c>
    </row>
    <row r="3" spans="1:22" s="37" customFormat="1" ht="12.75" customHeight="1" x14ac:dyDescent="0.2"/>
    <row r="4" spans="1:22" s="37" customFormat="1" ht="12.75" customHeight="1" x14ac:dyDescent="0.2"/>
    <row r="5" spans="1:22" s="37" customFormat="1" ht="12.75" customHeight="1" x14ac:dyDescent="0.2"/>
    <row r="6" spans="1:22" s="37" customFormat="1" ht="12.75" customHeight="1" x14ac:dyDescent="0.2"/>
    <row r="7" spans="1:22" s="37" customFormat="1" ht="12.75" customHeight="1" x14ac:dyDescent="0.2"/>
    <row r="8" spans="1:22" s="37" customFormat="1" ht="12.75" customHeight="1" x14ac:dyDescent="0.2"/>
    <row r="9" spans="1:22" s="37" customFormat="1" ht="12.75" customHeight="1" x14ac:dyDescent="0.2">
      <c r="C9" s="39" t="s">
        <v>18</v>
      </c>
    </row>
    <row r="10" spans="1:22" s="37" customFormat="1" ht="12.75" customHeight="1" x14ac:dyDescent="0.2"/>
    <row r="11" spans="1:22" x14ac:dyDescent="0.2">
      <c r="B11" s="24"/>
      <c r="C11" s="40">
        <v>2017</v>
      </c>
      <c r="D11" s="25">
        <f>DATE($C$11,1,1)</f>
        <v>42736</v>
      </c>
      <c r="E11" s="25">
        <f>EDATE(D11,1)</f>
        <v>42767</v>
      </c>
      <c r="F11" s="25">
        <f>EDATE(E11,1)</f>
        <v>42795</v>
      </c>
      <c r="G11" s="27" t="s">
        <v>9</v>
      </c>
      <c r="I11" s="25">
        <f>EDATE(F11,1)</f>
        <v>42826</v>
      </c>
      <c r="J11" s="25">
        <f>EDATE(I11,1)</f>
        <v>42856</v>
      </c>
      <c r="K11" s="25">
        <f>EDATE(J11,1)</f>
        <v>42887</v>
      </c>
      <c r="L11" s="20" t="s">
        <v>13</v>
      </c>
      <c r="N11" s="25">
        <f>EDATE(K11,1)</f>
        <v>42917</v>
      </c>
      <c r="O11" s="25">
        <f>EDATE(N11,1)</f>
        <v>42948</v>
      </c>
      <c r="P11" s="25">
        <f>EDATE(O11,1)</f>
        <v>42979</v>
      </c>
      <c r="Q11" s="20" t="s">
        <v>16</v>
      </c>
      <c r="S11" s="25">
        <f>EDATE(P11,1)</f>
        <v>43009</v>
      </c>
      <c r="T11" s="25">
        <f>EDATE(S11,1)</f>
        <v>43040</v>
      </c>
      <c r="U11" s="25">
        <f>EDATE(T11,1)</f>
        <v>43070</v>
      </c>
      <c r="V11" s="20" t="s">
        <v>17</v>
      </c>
    </row>
    <row r="12" spans="1:22" x14ac:dyDescent="0.2">
      <c r="B12" s="11" t="s">
        <v>2</v>
      </c>
      <c r="C12" s="15" t="s">
        <v>3</v>
      </c>
      <c r="D12" s="41">
        <v>200000</v>
      </c>
      <c r="E12" s="41">
        <v>280000</v>
      </c>
      <c r="F12" s="41">
        <v>300000</v>
      </c>
      <c r="G12" s="10">
        <f>SUM(D12:F12)</f>
        <v>780000</v>
      </c>
      <c r="I12" s="41">
        <v>200000</v>
      </c>
      <c r="J12" s="41">
        <v>280000</v>
      </c>
      <c r="K12" s="41">
        <v>300000</v>
      </c>
      <c r="L12" s="10">
        <f>SUM(I12:K12)</f>
        <v>780000</v>
      </c>
      <c r="N12" s="41">
        <v>200000</v>
      </c>
      <c r="O12" s="41">
        <v>280000</v>
      </c>
      <c r="P12" s="41">
        <v>300000</v>
      </c>
      <c r="Q12" s="10">
        <f>SUM(N12:P12)</f>
        <v>780000</v>
      </c>
      <c r="S12" s="41">
        <v>200000</v>
      </c>
      <c r="T12" s="41">
        <v>280000</v>
      </c>
      <c r="U12" s="41">
        <v>300000</v>
      </c>
      <c r="V12" s="10">
        <f>SUM(S12:U12)</f>
        <v>780000</v>
      </c>
    </row>
    <row r="13" spans="1:22" x14ac:dyDescent="0.2">
      <c r="B13" s="11" t="s">
        <v>0</v>
      </c>
      <c r="C13" s="15" t="s">
        <v>5</v>
      </c>
      <c r="D13" s="41">
        <v>0</v>
      </c>
      <c r="E13" s="41">
        <v>0</v>
      </c>
      <c r="F13" s="41">
        <v>1000</v>
      </c>
      <c r="G13" s="12">
        <f>SUM(D13:F13)</f>
        <v>1000</v>
      </c>
      <c r="I13" s="41">
        <v>0</v>
      </c>
      <c r="J13" s="41">
        <v>0</v>
      </c>
      <c r="K13" s="41">
        <v>1000</v>
      </c>
      <c r="L13" s="12">
        <f>SUM(I13:K13)</f>
        <v>1000</v>
      </c>
      <c r="N13" s="41">
        <v>0</v>
      </c>
      <c r="O13" s="41">
        <v>0</v>
      </c>
      <c r="P13" s="41">
        <v>1000</v>
      </c>
      <c r="Q13" s="12">
        <f>SUM(N13:P13)</f>
        <v>1000</v>
      </c>
      <c r="S13" s="41">
        <v>0</v>
      </c>
      <c r="T13" s="41">
        <v>0</v>
      </c>
      <c r="U13" s="41">
        <v>1000</v>
      </c>
      <c r="V13" s="12">
        <f>SUM(S13:U13)</f>
        <v>1000</v>
      </c>
    </row>
    <row r="14" spans="1:22" x14ac:dyDescent="0.2">
      <c r="B14" s="11" t="s">
        <v>2</v>
      </c>
      <c r="C14" s="15" t="s">
        <v>4</v>
      </c>
      <c r="D14" s="41">
        <v>15000</v>
      </c>
      <c r="E14" s="41">
        <v>20000</v>
      </c>
      <c r="F14" s="41">
        <v>25000</v>
      </c>
      <c r="G14" s="12">
        <f t="shared" ref="G14" si="0">SUM(D14:F14)</f>
        <v>60000</v>
      </c>
      <c r="I14" s="41">
        <v>15000</v>
      </c>
      <c r="J14" s="41">
        <v>20000</v>
      </c>
      <c r="K14" s="41">
        <v>25000</v>
      </c>
      <c r="L14" s="12">
        <f t="shared" ref="L14" si="1">SUM(I14:K14)</f>
        <v>60000</v>
      </c>
      <c r="N14" s="41">
        <v>15000</v>
      </c>
      <c r="O14" s="41">
        <v>20000</v>
      </c>
      <c r="P14" s="41">
        <v>25000</v>
      </c>
      <c r="Q14" s="12">
        <f t="shared" ref="Q14" si="2">SUM(N14:P14)</f>
        <v>60000</v>
      </c>
      <c r="S14" s="41">
        <v>15000</v>
      </c>
      <c r="T14" s="41">
        <v>20000</v>
      </c>
      <c r="U14" s="41">
        <v>25000</v>
      </c>
      <c r="V14" s="12">
        <f t="shared" ref="V14" si="3">SUM(S14:U14)</f>
        <v>60000</v>
      </c>
    </row>
    <row r="15" spans="1:22" x14ac:dyDescent="0.2">
      <c r="B15" s="11"/>
      <c r="C15" s="15" t="s">
        <v>14</v>
      </c>
      <c r="D15" s="14"/>
      <c r="E15" s="14"/>
      <c r="F15" s="14"/>
      <c r="G15" s="12"/>
      <c r="I15" s="31"/>
      <c r="J15" s="14"/>
      <c r="K15" s="14"/>
      <c r="L15" s="12"/>
      <c r="N15" s="14"/>
      <c r="O15" s="14"/>
      <c r="P15" s="14"/>
      <c r="Q15" s="12"/>
      <c r="S15" s="31"/>
      <c r="T15" s="14"/>
      <c r="U15" s="14"/>
      <c r="V15" s="12"/>
    </row>
    <row r="16" spans="1:22" x14ac:dyDescent="0.2">
      <c r="B16" s="2" t="s">
        <v>26</v>
      </c>
      <c r="C16" s="49">
        <v>0.12</v>
      </c>
      <c r="D16" s="26">
        <f>(D12-D13)*$C$16</f>
        <v>24000</v>
      </c>
      <c r="E16" s="26">
        <f>(E12-E13)*$C$16</f>
        <v>33600</v>
      </c>
      <c r="F16" s="26">
        <f>(F12-F13)*$C$16</f>
        <v>35880</v>
      </c>
      <c r="G16" s="10">
        <f t="shared" ref="G16:G17" si="4">SUM(D16:F16)</f>
        <v>93480</v>
      </c>
      <c r="I16" s="26">
        <f>(I12-I13)*$C$16</f>
        <v>24000</v>
      </c>
      <c r="J16" s="26">
        <f>(J12-J13)*$C$16</f>
        <v>33600</v>
      </c>
      <c r="K16" s="26">
        <f>(K12-K13)*$C$16</f>
        <v>35880</v>
      </c>
      <c r="L16" s="10">
        <f t="shared" ref="L16:L17" si="5">SUM(I16:K16)</f>
        <v>93480</v>
      </c>
      <c r="N16" s="26">
        <f>(N12-N13)*$C$16</f>
        <v>24000</v>
      </c>
      <c r="O16" s="26">
        <f>(O12-O13)*$C$16</f>
        <v>33600</v>
      </c>
      <c r="P16" s="26">
        <f>(P12-P13)*$C$16</f>
        <v>35880</v>
      </c>
      <c r="Q16" s="10">
        <f t="shared" ref="Q16:Q17" si="6">SUM(N16:P16)</f>
        <v>93480</v>
      </c>
      <c r="S16" s="26">
        <f>(S12-S13)*$C$16</f>
        <v>24000</v>
      </c>
      <c r="T16" s="26">
        <f>(T12-T13)*$C$16</f>
        <v>33600</v>
      </c>
      <c r="U16" s="26">
        <f>(U12-U13)*$C$16</f>
        <v>35880</v>
      </c>
      <c r="V16" s="10">
        <f t="shared" ref="V16:V17" si="7">SUM(S16:U16)</f>
        <v>93480</v>
      </c>
    </row>
    <row r="17" spans="1:22" x14ac:dyDescent="0.2">
      <c r="B17" s="2" t="s">
        <v>26</v>
      </c>
      <c r="C17" s="50">
        <v>0.32</v>
      </c>
      <c r="D17" s="26">
        <f>D14*$C$17</f>
        <v>4800</v>
      </c>
      <c r="E17" s="26">
        <f t="shared" ref="E17:F17" si="8">E14*$C$17</f>
        <v>6400</v>
      </c>
      <c r="F17" s="26">
        <f t="shared" si="8"/>
        <v>8000</v>
      </c>
      <c r="G17" s="13">
        <f t="shared" si="4"/>
        <v>19200</v>
      </c>
      <c r="I17" s="26">
        <f>I14*$C$17</f>
        <v>4800</v>
      </c>
      <c r="J17" s="26">
        <f t="shared" ref="J17:K17" si="9">J14*$C$17</f>
        <v>6400</v>
      </c>
      <c r="K17" s="26">
        <f t="shared" si="9"/>
        <v>8000</v>
      </c>
      <c r="L17" s="13">
        <f t="shared" si="5"/>
        <v>19200</v>
      </c>
      <c r="N17" s="26">
        <f>N14*$C$17</f>
        <v>4800</v>
      </c>
      <c r="O17" s="26">
        <f t="shared" ref="O17:P17" si="10">O14*$C$17</f>
        <v>6400</v>
      </c>
      <c r="P17" s="26">
        <f t="shared" si="10"/>
        <v>8000</v>
      </c>
      <c r="Q17" s="13">
        <f t="shared" si="6"/>
        <v>19200</v>
      </c>
      <c r="S17" s="26">
        <f>S14*$C$17</f>
        <v>4800</v>
      </c>
      <c r="T17" s="26">
        <f t="shared" ref="T17:U17" si="11">T14*$C$17</f>
        <v>6400</v>
      </c>
      <c r="U17" s="26">
        <f t="shared" si="11"/>
        <v>8000</v>
      </c>
      <c r="V17" s="13">
        <f t="shared" si="7"/>
        <v>19200</v>
      </c>
    </row>
    <row r="18" spans="1:22" x14ac:dyDescent="0.2">
      <c r="B18" s="11"/>
      <c r="C18" s="15" t="s">
        <v>15</v>
      </c>
      <c r="D18" s="14"/>
      <c r="E18" s="14"/>
      <c r="F18" s="14"/>
      <c r="G18" s="12"/>
      <c r="I18" s="31"/>
      <c r="J18" s="14"/>
      <c r="K18" s="14"/>
      <c r="L18" s="12"/>
      <c r="N18" s="14"/>
      <c r="O18" s="14"/>
      <c r="P18" s="14"/>
      <c r="Q18" s="12"/>
      <c r="S18" s="31"/>
      <c r="T18" s="14"/>
      <c r="U18" s="14"/>
      <c r="V18" s="12"/>
    </row>
    <row r="19" spans="1:22" x14ac:dyDescent="0.2">
      <c r="A19" s="42">
        <v>1.6E-2</v>
      </c>
      <c r="B19" s="2" t="s">
        <v>26</v>
      </c>
      <c r="C19" s="49">
        <v>0.08</v>
      </c>
      <c r="D19" s="26">
        <f>(D12-D13)*$C$19</f>
        <v>16000</v>
      </c>
      <c r="E19" s="26">
        <f>(E12-E13)*$C$19</f>
        <v>22400</v>
      </c>
      <c r="F19" s="26">
        <f>(F12-F13)*$C$19</f>
        <v>23920</v>
      </c>
      <c r="G19" s="10">
        <f t="shared" ref="G19:G20" si="12">SUM(D19:F19)</f>
        <v>62320</v>
      </c>
      <c r="I19" s="26">
        <f>(I12-I13)*$C$19</f>
        <v>16000</v>
      </c>
      <c r="J19" s="26">
        <f>(J12-J13)*$C$19</f>
        <v>22400</v>
      </c>
      <c r="K19" s="26">
        <f>(K12-K13)*$C$19</f>
        <v>23920</v>
      </c>
      <c r="L19" s="10">
        <f t="shared" ref="L19:L20" si="13">SUM(I19:K19)</f>
        <v>62320</v>
      </c>
      <c r="N19" s="26">
        <f>(N12-N13)*$C$19</f>
        <v>16000</v>
      </c>
      <c r="O19" s="26">
        <f>(O12-O13)*$C$19</f>
        <v>22400</v>
      </c>
      <c r="P19" s="26">
        <f>(P12-P13)*$C$19</f>
        <v>23920</v>
      </c>
      <c r="Q19" s="10">
        <f t="shared" ref="Q19:Q20" si="14">SUM(N19:P19)</f>
        <v>62320</v>
      </c>
      <c r="S19" s="26">
        <f>(S12-S13)*$C$19</f>
        <v>16000</v>
      </c>
      <c r="T19" s="26">
        <f>(T12-T13)*$C$19</f>
        <v>22400</v>
      </c>
      <c r="U19" s="26">
        <f>(U12-U13)*$C$19</f>
        <v>23920</v>
      </c>
      <c r="V19" s="10">
        <f t="shared" ref="V19:V20" si="15">SUM(S19:U19)</f>
        <v>62320</v>
      </c>
    </row>
    <row r="20" spans="1:22" x14ac:dyDescent="0.2">
      <c r="A20" s="43">
        <v>0.08</v>
      </c>
      <c r="B20" s="2" t="s">
        <v>26</v>
      </c>
      <c r="C20" s="51">
        <v>0.32</v>
      </c>
      <c r="D20" s="26">
        <f>D14*$C$20</f>
        <v>4800</v>
      </c>
      <c r="E20" s="26">
        <f t="shared" ref="E20:F20" si="16">E14*$C$20</f>
        <v>6400</v>
      </c>
      <c r="F20" s="26">
        <f t="shared" si="16"/>
        <v>8000</v>
      </c>
      <c r="G20" s="12">
        <f t="shared" si="12"/>
        <v>19200</v>
      </c>
      <c r="I20" s="26">
        <f>I14*$C$20</f>
        <v>4800</v>
      </c>
      <c r="J20" s="26">
        <f t="shared" ref="J20:K20" si="17">J14*$C$20</f>
        <v>6400</v>
      </c>
      <c r="K20" s="26">
        <f t="shared" si="17"/>
        <v>8000</v>
      </c>
      <c r="L20" s="12">
        <f t="shared" si="13"/>
        <v>19200</v>
      </c>
      <c r="N20" s="26">
        <f>N14*$C$20</f>
        <v>4800</v>
      </c>
      <c r="O20" s="26">
        <f t="shared" ref="O20:P20" si="18">O14*$C$20</f>
        <v>6400</v>
      </c>
      <c r="P20" s="26">
        <f t="shared" si="18"/>
        <v>8000</v>
      </c>
      <c r="Q20" s="12">
        <f t="shared" si="14"/>
        <v>19200</v>
      </c>
      <c r="S20" s="26">
        <f>S14*$C$20</f>
        <v>4800</v>
      </c>
      <c r="T20" s="26">
        <f t="shared" ref="T20:U20" si="19">T14*$C$20</f>
        <v>6400</v>
      </c>
      <c r="U20" s="26">
        <f t="shared" si="19"/>
        <v>8000</v>
      </c>
      <c r="V20" s="12">
        <f t="shared" si="15"/>
        <v>19200</v>
      </c>
    </row>
    <row r="21" spans="1:22" x14ac:dyDescent="0.2">
      <c r="A21" s="43">
        <v>0.16</v>
      </c>
      <c r="B21" s="2" t="s">
        <v>2</v>
      </c>
      <c r="C21" s="21" t="s">
        <v>6</v>
      </c>
      <c r="D21" s="41">
        <v>300</v>
      </c>
      <c r="E21" s="41">
        <v>500</v>
      </c>
      <c r="F21" s="41">
        <v>0</v>
      </c>
      <c r="G21" s="10">
        <f t="shared" ref="G21:G23" si="20">SUM(D21:F21)</f>
        <v>800</v>
      </c>
      <c r="I21" s="41">
        <v>300</v>
      </c>
      <c r="J21" s="41">
        <v>500</v>
      </c>
      <c r="K21" s="41">
        <v>0</v>
      </c>
      <c r="L21" s="10">
        <f t="shared" ref="L21:L23" si="21">SUM(I21:K21)</f>
        <v>800</v>
      </c>
      <c r="N21" s="41">
        <v>300</v>
      </c>
      <c r="O21" s="41">
        <v>500</v>
      </c>
      <c r="P21" s="41">
        <v>0</v>
      </c>
      <c r="Q21" s="10">
        <f t="shared" ref="Q21:Q23" si="22">SUM(N21:P21)</f>
        <v>800</v>
      </c>
      <c r="S21" s="41">
        <v>300</v>
      </c>
      <c r="T21" s="41">
        <v>500</v>
      </c>
      <c r="U21" s="41">
        <v>0</v>
      </c>
      <c r="V21" s="10">
        <f t="shared" ref="V21:V23" si="23">SUM(S21:U21)</f>
        <v>800</v>
      </c>
    </row>
    <row r="22" spans="1:22" x14ac:dyDescent="0.2">
      <c r="A22" s="9"/>
      <c r="B22" s="2" t="s">
        <v>2</v>
      </c>
      <c r="C22" s="21" t="s">
        <v>7</v>
      </c>
      <c r="D22" s="41">
        <v>0</v>
      </c>
      <c r="E22" s="41">
        <v>0</v>
      </c>
      <c r="F22" s="41">
        <v>0</v>
      </c>
      <c r="G22" s="10">
        <f t="shared" si="20"/>
        <v>0</v>
      </c>
      <c r="I22" s="41">
        <v>0</v>
      </c>
      <c r="J22" s="41">
        <v>0</v>
      </c>
      <c r="K22" s="41">
        <v>0</v>
      </c>
      <c r="L22" s="10">
        <f t="shared" si="21"/>
        <v>0</v>
      </c>
      <c r="N22" s="41">
        <v>0</v>
      </c>
      <c r="O22" s="41">
        <v>0</v>
      </c>
      <c r="P22" s="41">
        <v>0</v>
      </c>
      <c r="Q22" s="10">
        <f t="shared" si="22"/>
        <v>0</v>
      </c>
      <c r="S22" s="41">
        <v>0</v>
      </c>
      <c r="T22" s="41">
        <v>0</v>
      </c>
      <c r="U22" s="41">
        <v>0</v>
      </c>
      <c r="V22" s="10">
        <f t="shared" si="23"/>
        <v>0</v>
      </c>
    </row>
    <row r="23" spans="1:22" x14ac:dyDescent="0.2">
      <c r="B23" s="11" t="s">
        <v>2</v>
      </c>
      <c r="C23" s="15" t="s">
        <v>8</v>
      </c>
      <c r="D23" s="41">
        <v>0</v>
      </c>
      <c r="E23" s="41">
        <v>0</v>
      </c>
      <c r="F23" s="41">
        <v>0</v>
      </c>
      <c r="G23" s="12">
        <f t="shared" si="20"/>
        <v>0</v>
      </c>
      <c r="I23" s="41">
        <v>0</v>
      </c>
      <c r="J23" s="41">
        <v>0</v>
      </c>
      <c r="K23" s="41">
        <v>0</v>
      </c>
      <c r="L23" s="12">
        <f t="shared" si="21"/>
        <v>0</v>
      </c>
      <c r="N23" s="41">
        <v>0</v>
      </c>
      <c r="O23" s="41">
        <v>0</v>
      </c>
      <c r="P23" s="41">
        <v>0</v>
      </c>
      <c r="Q23" s="12">
        <f t="shared" si="22"/>
        <v>0</v>
      </c>
      <c r="S23" s="41">
        <v>0</v>
      </c>
      <c r="T23" s="41">
        <v>0</v>
      </c>
      <c r="U23" s="41">
        <v>0</v>
      </c>
      <c r="V23" s="12">
        <f t="shared" si="23"/>
        <v>0</v>
      </c>
    </row>
    <row r="24" spans="1:22" x14ac:dyDescent="0.2">
      <c r="B24" s="2" t="s">
        <v>1</v>
      </c>
      <c r="C24" s="3" t="s">
        <v>11</v>
      </c>
      <c r="D24" s="26">
        <f>SUM(D16:D17,D21:D23)</f>
        <v>29100</v>
      </c>
      <c r="E24" s="26">
        <f>SUM(E16:E17,E21:E23)</f>
        <v>40500</v>
      </c>
      <c r="F24" s="26">
        <f>SUM(F16:F17,F21:F23)</f>
        <v>43880</v>
      </c>
      <c r="G24" s="10">
        <f>SUM(D24:F24)</f>
        <v>113480</v>
      </c>
      <c r="I24" s="26">
        <f>SUM(I16:I17,I21:I23)</f>
        <v>29100</v>
      </c>
      <c r="J24" s="26">
        <f>SUM(J16:J17,J21:J23)</f>
        <v>40500</v>
      </c>
      <c r="K24" s="26">
        <f>SUM(K16:K17,K21:K23)</f>
        <v>43880</v>
      </c>
      <c r="L24" s="10">
        <f>SUM(I24:K24)</f>
        <v>113480</v>
      </c>
      <c r="N24" s="26">
        <f>SUM(N16:N17,N21:N23)</f>
        <v>29100</v>
      </c>
      <c r="O24" s="26">
        <f>SUM(O16:O17,O21:O23)</f>
        <v>40500</v>
      </c>
      <c r="P24" s="26">
        <f>SUM(P16:P17,P21:P23)</f>
        <v>43880</v>
      </c>
      <c r="Q24" s="10">
        <f>SUM(N24:P24)</f>
        <v>113480</v>
      </c>
      <c r="S24" s="26">
        <f>SUM(S16:S17,S21:S23)</f>
        <v>29100</v>
      </c>
      <c r="T24" s="26">
        <f>SUM(T16:T17,T21:T23)</f>
        <v>40500</v>
      </c>
      <c r="U24" s="26">
        <f>SUM(U16:U17,U21:U23)</f>
        <v>43880</v>
      </c>
      <c r="V24" s="10">
        <f>SUM(S24:U24)</f>
        <v>113480</v>
      </c>
    </row>
    <row r="25" spans="1:22" x14ac:dyDescent="0.2">
      <c r="B25" s="11" t="s">
        <v>1</v>
      </c>
      <c r="C25" s="15" t="s">
        <v>12</v>
      </c>
      <c r="D25" s="26">
        <f>SUM(D19:D20,D21:D23)</f>
        <v>21100</v>
      </c>
      <c r="E25" s="26">
        <f>SUM(E19:E20,E21:E23)</f>
        <v>29300</v>
      </c>
      <c r="F25" s="26">
        <f>SUM(F19:F20,F21:F23)</f>
        <v>31920</v>
      </c>
      <c r="G25" s="26">
        <f>SUM(D25:F25)</f>
        <v>82320</v>
      </c>
      <c r="I25" s="26">
        <f>SUM(I19:I20,I21:I23)</f>
        <v>21100</v>
      </c>
      <c r="J25" s="26">
        <f>SUM(J19:J20,J21:J23)</f>
        <v>29300</v>
      </c>
      <c r="K25" s="26">
        <f>SUM(K19:K20,K21:K23)</f>
        <v>31920</v>
      </c>
      <c r="L25" s="26">
        <f>SUM(I25:K25)</f>
        <v>82320</v>
      </c>
      <c r="N25" s="26">
        <f>SUM(N19:N20,N21:N23)</f>
        <v>21100</v>
      </c>
      <c r="O25" s="26">
        <f>SUM(O19:O20,O21:O23)</f>
        <v>29300</v>
      </c>
      <c r="P25" s="26">
        <f>SUM(P19:P20,P21:P23)</f>
        <v>31920</v>
      </c>
      <c r="Q25" s="26">
        <f>SUM(N25:P25)</f>
        <v>82320</v>
      </c>
      <c r="S25" s="26">
        <f>SUM(S19:S20,S21:S23)</f>
        <v>21100</v>
      </c>
      <c r="T25" s="26">
        <f>SUM(T19:T20,T21:T23)</f>
        <v>29300</v>
      </c>
      <c r="U25" s="26">
        <f>SUM(U19:U20,U21:U23)</f>
        <v>31920</v>
      </c>
      <c r="V25" s="26">
        <f>SUM(S25:U25)</f>
        <v>82320</v>
      </c>
    </row>
    <row r="26" spans="1:22" x14ac:dyDescent="0.2">
      <c r="B26" s="2" t="s">
        <v>26</v>
      </c>
      <c r="C26" s="22">
        <v>0.09</v>
      </c>
      <c r="D26" s="26">
        <f>D24*$C$26</f>
        <v>2619</v>
      </c>
      <c r="E26" s="26">
        <f t="shared" ref="E26:F26" si="24">E24*$C$26</f>
        <v>3645</v>
      </c>
      <c r="F26" s="26">
        <f t="shared" si="24"/>
        <v>3949.2</v>
      </c>
      <c r="G26" s="10">
        <f t="shared" ref="G26:G28" si="25">SUM(D26:F26)</f>
        <v>10213.200000000001</v>
      </c>
      <c r="I26" s="26">
        <f>I24*$C$26</f>
        <v>2619</v>
      </c>
      <c r="J26" s="26">
        <f t="shared" ref="J26:K26" si="26">J24*$C$26</f>
        <v>3645</v>
      </c>
      <c r="K26" s="26">
        <f t="shared" si="26"/>
        <v>3949.2</v>
      </c>
      <c r="L26" s="10">
        <f t="shared" ref="L26" si="27">SUM(I26:K26)</f>
        <v>10213.200000000001</v>
      </c>
      <c r="N26" s="26">
        <f>N24*$C$26</f>
        <v>2619</v>
      </c>
      <c r="O26" s="26">
        <f t="shared" ref="O26:P26" si="28">O24*$C$26</f>
        <v>3645</v>
      </c>
      <c r="P26" s="26">
        <f t="shared" si="28"/>
        <v>3949.2</v>
      </c>
      <c r="Q26" s="10">
        <f t="shared" ref="Q26" si="29">SUM(N26:P26)</f>
        <v>10213.200000000001</v>
      </c>
      <c r="S26" s="26">
        <f>S24*$C$26</f>
        <v>2619</v>
      </c>
      <c r="T26" s="26">
        <f t="shared" ref="T26:U26" si="30">T24*$C$26</f>
        <v>3645</v>
      </c>
      <c r="U26" s="26">
        <f t="shared" si="30"/>
        <v>3949.2</v>
      </c>
      <c r="V26" s="10">
        <f t="shared" ref="V26" si="31">SUM(S26:U26)</f>
        <v>10213.200000000001</v>
      </c>
    </row>
    <row r="27" spans="1:22" x14ac:dyDescent="0.2">
      <c r="B27" s="11" t="s">
        <v>0</v>
      </c>
      <c r="C27" s="48" t="s">
        <v>21</v>
      </c>
      <c r="D27" s="41">
        <v>200</v>
      </c>
      <c r="E27" s="41">
        <v>100</v>
      </c>
      <c r="F27" s="41">
        <v>100</v>
      </c>
      <c r="G27" s="10">
        <f>SUM(D27:F27)</f>
        <v>400</v>
      </c>
      <c r="I27" s="41">
        <v>200</v>
      </c>
      <c r="J27" s="41">
        <v>100</v>
      </c>
      <c r="K27" s="41">
        <v>100</v>
      </c>
      <c r="L27" s="10">
        <f>SUM(I27:K27)</f>
        <v>400</v>
      </c>
      <c r="N27" s="41">
        <v>200</v>
      </c>
      <c r="O27" s="41">
        <v>100</v>
      </c>
      <c r="P27" s="41">
        <v>100</v>
      </c>
      <c r="Q27" s="10">
        <f>SUM(N27:P27)</f>
        <v>400</v>
      </c>
      <c r="S27" s="41">
        <v>200</v>
      </c>
      <c r="T27" s="41">
        <v>100</v>
      </c>
      <c r="U27" s="41">
        <v>100</v>
      </c>
      <c r="V27" s="10">
        <f>SUM(S27:U27)</f>
        <v>400</v>
      </c>
    </row>
    <row r="28" spans="1:22" x14ac:dyDescent="0.2">
      <c r="B28" s="2" t="s">
        <v>26</v>
      </c>
      <c r="C28" s="19">
        <v>0.15</v>
      </c>
      <c r="D28" s="32">
        <f>D25*$C$28</f>
        <v>3165</v>
      </c>
      <c r="E28" s="32">
        <f t="shared" ref="E28:F28" si="32">E25*$C$28</f>
        <v>4395</v>
      </c>
      <c r="F28" s="32">
        <f t="shared" si="32"/>
        <v>4788</v>
      </c>
      <c r="G28" s="12">
        <f t="shared" si="25"/>
        <v>12348</v>
      </c>
      <c r="I28" s="32">
        <f>I25*$C$28</f>
        <v>3165</v>
      </c>
      <c r="J28" s="32">
        <f t="shared" ref="J28:K28" si="33">J25*$C$28</f>
        <v>4395</v>
      </c>
      <c r="K28" s="32">
        <f t="shared" si="33"/>
        <v>4788</v>
      </c>
      <c r="L28" s="12">
        <f t="shared" ref="L28" si="34">SUM(I28:K28)</f>
        <v>12348</v>
      </c>
      <c r="N28" s="32">
        <f>N25*$C$28</f>
        <v>3165</v>
      </c>
      <c r="O28" s="32">
        <f t="shared" ref="O28:P28" si="35">O25*$C$28</f>
        <v>4395</v>
      </c>
      <c r="P28" s="32">
        <f t="shared" si="35"/>
        <v>4788</v>
      </c>
      <c r="Q28" s="12">
        <f t="shared" ref="Q28" si="36">SUM(N28:P28)</f>
        <v>12348</v>
      </c>
      <c r="S28" s="32">
        <f>S25*$C$28</f>
        <v>3165</v>
      </c>
      <c r="T28" s="32">
        <f t="shared" ref="T28:U28" si="37">T25*$C$28</f>
        <v>4395</v>
      </c>
      <c r="U28" s="32">
        <f t="shared" si="37"/>
        <v>4788</v>
      </c>
      <c r="V28" s="12">
        <f t="shared" ref="V28" si="38">SUM(S28:U28)</f>
        <v>12348</v>
      </c>
    </row>
    <row r="29" spans="1:22" x14ac:dyDescent="0.2">
      <c r="A29" s="8"/>
      <c r="B29" s="2" t="s">
        <v>26</v>
      </c>
      <c r="C29" s="23">
        <v>0.1</v>
      </c>
      <c r="D29" s="16"/>
      <c r="E29" s="17"/>
      <c r="F29" s="18"/>
      <c r="G29" s="10">
        <f>IF(G25&gt;60000,(G25-60000)*$C$29,0)</f>
        <v>2232</v>
      </c>
      <c r="I29" s="16"/>
      <c r="J29" s="17"/>
      <c r="K29" s="18"/>
      <c r="L29" s="10">
        <f>IF(L25&gt;60000,(L25-60000)*$C$29,0)</f>
        <v>2232</v>
      </c>
      <c r="N29" s="16"/>
      <c r="O29" s="17"/>
      <c r="P29" s="18"/>
      <c r="Q29" s="10">
        <f>IF(Q25&gt;60000,(Q25-60000)*$C$29,0)</f>
        <v>2232</v>
      </c>
      <c r="S29" s="16"/>
      <c r="T29" s="17"/>
      <c r="U29" s="18"/>
      <c r="V29" s="10">
        <f>IF(V25&gt;60000,(V25-60000)*$C$29,0)</f>
        <v>2232</v>
      </c>
    </row>
    <row r="30" spans="1:22" x14ac:dyDescent="0.2">
      <c r="A30" s="8"/>
      <c r="B30" s="11" t="s">
        <v>0</v>
      </c>
      <c r="C30" s="44" t="s">
        <v>22</v>
      </c>
      <c r="D30" s="41">
        <v>500</v>
      </c>
      <c r="E30" s="41">
        <v>100</v>
      </c>
      <c r="F30" s="41">
        <v>200</v>
      </c>
      <c r="G30" s="45">
        <f>SUM(D30:F30)</f>
        <v>800</v>
      </c>
      <c r="I30" s="41">
        <v>500</v>
      </c>
      <c r="J30" s="41">
        <v>100</v>
      </c>
      <c r="K30" s="41">
        <v>200</v>
      </c>
      <c r="L30" s="45">
        <f>SUM(I30:K30)</f>
        <v>800</v>
      </c>
      <c r="N30" s="41">
        <v>500</v>
      </c>
      <c r="O30" s="41">
        <v>100</v>
      </c>
      <c r="P30" s="41">
        <v>200</v>
      </c>
      <c r="Q30" s="45">
        <f>SUM(N30:P30)</f>
        <v>800</v>
      </c>
      <c r="S30" s="41">
        <v>500</v>
      </c>
      <c r="T30" s="41">
        <v>100</v>
      </c>
      <c r="U30" s="41">
        <v>200</v>
      </c>
      <c r="V30" s="45">
        <f>SUM(S30:U30)</f>
        <v>800</v>
      </c>
    </row>
    <row r="31" spans="1:22" x14ac:dyDescent="0.2">
      <c r="A31" s="8"/>
      <c r="B31" s="11" t="s">
        <v>0</v>
      </c>
      <c r="C31" s="44" t="s">
        <v>23</v>
      </c>
      <c r="D31" s="41">
        <v>10</v>
      </c>
      <c r="E31" s="41">
        <v>10</v>
      </c>
      <c r="F31" s="41">
        <v>10</v>
      </c>
      <c r="G31" s="45">
        <f>SUM(D31:F31)</f>
        <v>30</v>
      </c>
      <c r="I31" s="41">
        <v>10</v>
      </c>
      <c r="J31" s="41">
        <v>10</v>
      </c>
      <c r="K31" s="41">
        <v>10</v>
      </c>
      <c r="L31" s="45">
        <f>SUM(I31:K31)</f>
        <v>30</v>
      </c>
      <c r="N31" s="41">
        <v>10</v>
      </c>
      <c r="O31" s="41">
        <v>10</v>
      </c>
      <c r="P31" s="41">
        <v>10</v>
      </c>
      <c r="Q31" s="45">
        <f>SUM(N31:P31)</f>
        <v>30</v>
      </c>
      <c r="S31" s="41">
        <v>10</v>
      </c>
      <c r="T31" s="41">
        <v>10</v>
      </c>
      <c r="U31" s="41">
        <v>10</v>
      </c>
      <c r="V31" s="45">
        <f>SUM(S31:U31)</f>
        <v>30</v>
      </c>
    </row>
    <row r="32" spans="1:22" x14ac:dyDescent="0.2">
      <c r="A32" s="8"/>
      <c r="B32" s="29" t="s">
        <v>1</v>
      </c>
      <c r="C32" s="46" t="s">
        <v>24</v>
      </c>
      <c r="D32" s="33"/>
      <c r="E32" s="34"/>
      <c r="F32" s="35"/>
      <c r="G32" s="47">
        <f>G26-G27</f>
        <v>9813.2000000000007</v>
      </c>
      <c r="I32" s="33"/>
      <c r="J32" s="34"/>
      <c r="K32" s="35"/>
      <c r="L32" s="47">
        <f>L26-L27</f>
        <v>9813.2000000000007</v>
      </c>
      <c r="N32" s="33"/>
      <c r="O32" s="34"/>
      <c r="P32" s="35"/>
      <c r="Q32" s="47">
        <f>Q26-Q27</f>
        <v>9813.2000000000007</v>
      </c>
      <c r="S32" s="33"/>
      <c r="T32" s="34"/>
      <c r="U32" s="35"/>
      <c r="V32" s="47">
        <f>V26-V27</f>
        <v>9813.2000000000007</v>
      </c>
    </row>
    <row r="33" spans="1:22" x14ac:dyDescent="0.2">
      <c r="A33" s="8"/>
      <c r="B33" s="29" t="s">
        <v>1</v>
      </c>
      <c r="C33" s="46" t="s">
        <v>25</v>
      </c>
      <c r="D33" s="33"/>
      <c r="E33" s="34"/>
      <c r="F33" s="35"/>
      <c r="G33" s="47">
        <f>G28+G29-G30-G31</f>
        <v>13750</v>
      </c>
      <c r="I33" s="33"/>
      <c r="J33" s="34"/>
      <c r="K33" s="35"/>
      <c r="L33" s="47">
        <f>L28+L29-L30-L31</f>
        <v>13750</v>
      </c>
      <c r="N33" s="33"/>
      <c r="O33" s="34"/>
      <c r="P33" s="35"/>
      <c r="Q33" s="47">
        <f>Q28+Q29-Q30-Q31</f>
        <v>13750</v>
      </c>
      <c r="S33" s="33"/>
      <c r="T33" s="34"/>
      <c r="U33" s="35"/>
      <c r="V33" s="47">
        <f>V28+V29-V30-V31</f>
        <v>13750</v>
      </c>
    </row>
    <row r="34" spans="1:22" x14ac:dyDescent="0.2">
      <c r="A34" s="9"/>
      <c r="B34" s="29" t="s">
        <v>1</v>
      </c>
      <c r="C34" s="30" t="s">
        <v>10</v>
      </c>
      <c r="D34" s="33"/>
      <c r="E34" s="34"/>
      <c r="F34" s="35"/>
      <c r="G34" s="28">
        <f>SUM(G32:G33)</f>
        <v>23563.200000000001</v>
      </c>
      <c r="I34" s="33"/>
      <c r="J34" s="34"/>
      <c r="K34" s="35"/>
      <c r="L34" s="28">
        <f>SUM(L32:L33)</f>
        <v>23563.200000000001</v>
      </c>
      <c r="N34" s="33"/>
      <c r="O34" s="34"/>
      <c r="P34" s="35"/>
      <c r="Q34" s="28">
        <f>SUM(Q32:Q33)</f>
        <v>23563.200000000001</v>
      </c>
      <c r="S34" s="33"/>
      <c r="T34" s="34"/>
      <c r="U34" s="35"/>
      <c r="V34" s="28">
        <f>SUM(V32:V33)</f>
        <v>23563.200000000001</v>
      </c>
    </row>
    <row r="35" spans="1:22" x14ac:dyDescent="0.2">
      <c r="A35" s="9"/>
    </row>
    <row r="37" spans="1:22" x14ac:dyDescent="0.2">
      <c r="D37" s="7"/>
    </row>
    <row r="38" spans="1:22" x14ac:dyDescent="0.2">
      <c r="D38" s="6"/>
    </row>
    <row r="39" spans="1:22" x14ac:dyDescent="0.2">
      <c r="D39" s="6"/>
    </row>
    <row r="40" spans="1:22" x14ac:dyDescent="0.2">
      <c r="D40" s="6"/>
    </row>
  </sheetData>
  <sheetProtection algorithmName="SHA-512" hashValue="tesqLh75h7R311xJvf5x5z718ejGTCej2UY+LuKOxWInazTtlg4EQDtc71OzUXM71Rt2ghcUUDmZ8Jly4n3etQ==" saltValue="DEzSdfY10yyp99TStUeFxA==" spinCount="100000" sheet="1" formatColumns="0" selectLockedCells="1"/>
  <phoneticPr fontId="0" type="noConversion"/>
  <dataValidations count="1">
    <dataValidation type="list" allowBlank="1" showInputMessage="1" showErrorMessage="1" sqref="C19">
      <formula1>$A$19:$A$21</formula1>
    </dataValidation>
  </dataValidations>
  <hyperlinks>
    <hyperlink ref="G2" r:id="rId1" location="!download/cu9f"/>
  </hyperlinks>
  <pageMargins left="0.25" right="0.25" top="0.75" bottom="0.75" header="0.3" footer="0.3"/>
  <pageSetup paperSize="9" orientation="landscape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Lucro Presumido</vt:lpstr>
      <vt:lpstr>'Lucro Presumido'!Area_de_impressao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e IR Lucro Presumido</dc:title>
  <dc:subject>Impostos</dc:subject>
  <dc:creator>www.funcaocontabil.net</dc:creator>
  <cp:keywords>Função Contábil</cp:keywords>
  <cp:lastModifiedBy>Guilherme Fernando Ferrari</cp:lastModifiedBy>
  <cp:lastPrinted>2015-10-28T14:32:38Z</cp:lastPrinted>
  <dcterms:created xsi:type="dcterms:W3CDTF">2011-04-15T19:05:09Z</dcterms:created>
  <dcterms:modified xsi:type="dcterms:W3CDTF">2017-08-03T22:21:44Z</dcterms:modified>
</cp:coreProperties>
</file>