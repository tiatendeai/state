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EstaPasta_de_trabalho" defaultThemeVersion="124226"/>
  <bookViews>
    <workbookView xWindow="360" yWindow="300" windowWidth="18735" windowHeight="10680"/>
  </bookViews>
  <sheets>
    <sheet name="Cálculo do ponto de equilíbrio" sheetId="1" r:id="rId1"/>
  </sheets>
  <calcPr calcId="124519" iterateDelta="1E-4"/>
</workbook>
</file>

<file path=xl/calcChain.xml><?xml version="1.0" encoding="utf-8"?>
<calcChain xmlns="http://schemas.openxmlformats.org/spreadsheetml/2006/main">
  <c r="D31" i="1"/>
  <c r="D30"/>
  <c r="H14" l="1"/>
  <c r="D29" s="1"/>
  <c r="D28" l="1"/>
  <c r="D27"/>
  <c r="D32" s="1"/>
  <c r="H16" s="1"/>
  <c r="F19" s="1"/>
  <c r="H19" s="1"/>
  <c r="D18"/>
  <c r="D19"/>
  <c r="D20"/>
  <c r="D21"/>
  <c r="D22"/>
  <c r="D23"/>
  <c r="G6"/>
  <c r="G5"/>
  <c r="C24" l="1"/>
  <c r="H26" s="1"/>
  <c r="H25" s="1"/>
  <c r="D10" l="1"/>
  <c r="D11"/>
  <c r="D12"/>
  <c r="D13"/>
  <c r="D14"/>
  <c r="D15"/>
  <c r="D16"/>
  <c r="D17"/>
</calcChain>
</file>

<file path=xl/comments1.xml><?xml version="1.0" encoding="utf-8"?>
<comments xmlns="http://schemas.openxmlformats.org/spreadsheetml/2006/main">
  <authors>
    <author>Autor</author>
  </authors>
  <commentList>
    <comment ref="B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planilha você deve inserir as despesas fixas da sua empresa, aquelas que mesmo com sua empresa de porta fechada serão geradas, como energia, salários, impostos, etc.</t>
        </r>
      </text>
    </comment>
    <comment ref="D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indica o percentual de cada despesa em relação ao total, facilitando a analise e possível corte de gastos.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Suporte:</t>
        </r>
        <r>
          <rPr>
            <sz val="9"/>
            <color indexed="81"/>
            <rFont val="Tahoma"/>
            <family val="2"/>
          </rPr>
          <t xml:space="preserve">
Nesta coluna informe as receitas mensais da sua empresa, não esqueça de separar as formas de pagamento para o calculo sair corretamente</t>
        </r>
      </text>
    </comment>
    <comment ref="F16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Aqui fica informada sua margem sobre sua receita, em outras palavras e o que sobra depois de deduzir os custos das vendas.</t>
        </r>
      </text>
    </comment>
    <comment ref="F18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 xml:space="preserve">Aqui fica demonstrado se sua empresa esta lhe dando lucro ou prejuízo, este valor é calculado da seguinte forma: </t>
        </r>
        <r>
          <rPr>
            <b/>
            <sz val="10"/>
            <color indexed="81"/>
            <rFont val="Tahoma"/>
            <family val="2"/>
          </rPr>
          <t>Margem de Contribuição - Despesas Fixas</t>
        </r>
      </text>
    </comment>
    <comment ref="H25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Este valor indica quanto deve faturar para pagar suas despesas fixas sem tomar prejuízo.</t>
        </r>
      </text>
    </comment>
    <comment ref="C26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informe percentual dos custos sobre a receita.</t>
        </r>
      </text>
    </comment>
    <comment ref="D26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demonstra o valor de cada custo variável incidente sobre sua receita.</t>
        </r>
      </text>
    </comment>
    <comment ref="H26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Neste campo indica o percentual de risco do seu negócio, quanto menor menos risco, se for igual a 100% indica que atingiu o P.E, maior que 100% indica que não atingiu o P.E e esta em prejuízo.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Suporte:</t>
        </r>
        <r>
          <rPr>
            <sz val="9"/>
            <color indexed="81"/>
            <rFont val="Tahoma"/>
            <family val="2"/>
          </rPr>
          <t xml:space="preserve">
Para descobrir o percentual, pegue o valor pago pela mercadoria e divida pelo preço de venda, ou some o custo total e divida pela receita total.
</t>
        </r>
      </text>
    </comment>
  </commentList>
</comments>
</file>

<file path=xl/sharedStrings.xml><?xml version="1.0" encoding="utf-8"?>
<sst xmlns="http://schemas.openxmlformats.org/spreadsheetml/2006/main" count="35" uniqueCount="34">
  <si>
    <t>Despesas fixas mensais</t>
  </si>
  <si>
    <t>Aluguel</t>
  </si>
  <si>
    <t>Internet</t>
  </si>
  <si>
    <t>Faturamento</t>
  </si>
  <si>
    <t>Dinheiro</t>
  </si>
  <si>
    <t>Outras Receitas</t>
  </si>
  <si>
    <t>Custo das mercadorias vendidas</t>
  </si>
  <si>
    <t>Impostos %</t>
  </si>
  <si>
    <t>Total Receitas Bruta</t>
  </si>
  <si>
    <t>R$</t>
  </si>
  <si>
    <t>Seu percentual de risco</t>
  </si>
  <si>
    <t>Totais</t>
  </si>
  <si>
    <t>Despesas Variáveis</t>
  </si>
  <si>
    <t>Ponto de Equilíbrio</t>
  </si>
  <si>
    <t>Você deve faturar</t>
  </si>
  <si>
    <t>Comissão com Vendas %</t>
  </si>
  <si>
    <t>Total dos Custos variáveis</t>
  </si>
  <si>
    <t xml:space="preserve">Margem de contribuição </t>
  </si>
  <si>
    <t>Tel.: (11) 3522-9234</t>
  </si>
  <si>
    <t>CÁLCULO DO
PONTO DE EQUILÍBRIO</t>
  </si>
  <si>
    <t>Perc. %</t>
  </si>
  <si>
    <t>Total dos custos fixos</t>
  </si>
  <si>
    <t>Água</t>
  </si>
  <si>
    <t>Cart. Crédito</t>
  </si>
  <si>
    <t>Cartão Débito</t>
  </si>
  <si>
    <t>Receita Final</t>
  </si>
  <si>
    <t>Receitas</t>
  </si>
  <si>
    <t xml:space="preserve">Energia </t>
  </si>
  <si>
    <t>Fornecedores a pagar</t>
  </si>
  <si>
    <t>Financiamento (Parcela)</t>
  </si>
  <si>
    <t>Salário + Encargos (Marcelo)</t>
  </si>
  <si>
    <t>Salário + Encargos (Paola)</t>
  </si>
  <si>
    <t>Taxa Cartão Débito</t>
  </si>
  <si>
    <t>Taxa Cartão Crédito</t>
  </si>
</sst>
</file>

<file path=xl/styles.xml><?xml version="1.0" encoding="utf-8"?>
<styleSheet xmlns="http://schemas.openxmlformats.org/spreadsheetml/2006/main">
  <numFmts count="4">
    <numFmt numFmtId="44" formatCode="_(&quot;R$ &quot;* #,##0.00_);_(&quot;R$ &quot;* \(#,##0.00\);_(&quot;R$ &quot;* &quot;-&quot;??_);_(@_)"/>
    <numFmt numFmtId="164" formatCode="#,##0.00;\(#,##0.00\)"/>
    <numFmt numFmtId="165" formatCode="&quot;R$ &quot;#,##0.00;&quot;- R$ &quot;#,##0.00"/>
    <numFmt numFmtId="166" formatCode="&quot;R$ &quot;#,##0.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theme="1"/>
      <name val="Verdana"/>
      <family val="2"/>
    </font>
    <font>
      <b/>
      <sz val="24"/>
      <color theme="0"/>
      <name val="Verdana"/>
      <family val="2"/>
    </font>
    <font>
      <u/>
      <sz val="10"/>
      <color theme="10"/>
      <name val="Verdana"/>
      <family val="2"/>
    </font>
    <font>
      <u/>
      <sz val="10"/>
      <color rgb="FF0000FF"/>
      <name val="Verdana"/>
      <family val="2"/>
    </font>
    <font>
      <b/>
      <u/>
      <sz val="10"/>
      <color rgb="FF000000"/>
      <name val="Verdana"/>
      <family val="2"/>
    </font>
    <font>
      <b/>
      <sz val="12"/>
      <color theme="0"/>
      <name val="Verdana"/>
      <family val="2"/>
    </font>
    <font>
      <sz val="10"/>
      <color theme="1"/>
      <name val="Verdana"/>
      <family val="2"/>
    </font>
    <font>
      <b/>
      <sz val="12"/>
      <color rgb="FFEA8239"/>
      <name val="Verdana"/>
      <family val="2"/>
    </font>
    <font>
      <sz val="11"/>
      <color theme="0"/>
      <name val="Verdana"/>
      <family val="2"/>
    </font>
    <font>
      <b/>
      <sz val="14"/>
      <color rgb="FFEA8239"/>
      <name val="Verdana"/>
      <family val="2"/>
    </font>
    <font>
      <sz val="11"/>
      <color rgb="FFFF000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2C6983"/>
      <name val="Verdana"/>
      <family val="2"/>
    </font>
    <font>
      <b/>
      <sz val="16"/>
      <color rgb="FF2C6983"/>
      <name val="Verdana"/>
      <family val="2"/>
    </font>
    <font>
      <b/>
      <sz val="14"/>
      <color theme="0"/>
      <name val="Verdana"/>
      <family val="2"/>
    </font>
    <font>
      <b/>
      <sz val="16"/>
      <color theme="0"/>
      <name val="Verdana"/>
      <family val="2"/>
    </font>
    <font>
      <b/>
      <sz val="16"/>
      <color rgb="FFEA8239"/>
      <name val="Verdana"/>
      <family val="2"/>
    </font>
    <font>
      <b/>
      <sz val="18"/>
      <color theme="0"/>
      <name val="Verdana"/>
      <family val="2"/>
    </font>
    <font>
      <b/>
      <sz val="18"/>
      <color rgb="FF3B8BAF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rgb="FFEA8239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FFE799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rgb="FF3B8BAF"/>
      </right>
      <top style="dotted">
        <color rgb="FF3B8BAF"/>
      </top>
      <bottom/>
      <diagonal/>
    </border>
    <border>
      <left style="dotted">
        <color rgb="FF3B8BAF"/>
      </left>
      <right/>
      <top style="dotted">
        <color rgb="FF3B8BAF"/>
      </top>
      <bottom style="dotted">
        <color rgb="FF3B8BAF"/>
      </bottom>
      <diagonal/>
    </border>
    <border>
      <left/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 style="dotted">
        <color rgb="FF3B8BAF"/>
      </left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/>
      <right/>
      <top style="dotted">
        <color rgb="FF3B8BAF"/>
      </top>
      <bottom style="dotted">
        <color rgb="FF3B8BAF"/>
      </bottom>
      <diagonal/>
    </border>
    <border>
      <left/>
      <right/>
      <top/>
      <bottom style="dotted">
        <color rgb="FF3B8BAF"/>
      </bottom>
      <diagonal/>
    </border>
    <border>
      <left style="dotted">
        <color rgb="FF3B8BAF"/>
      </left>
      <right style="dotted">
        <color rgb="FF3B8BAF"/>
      </right>
      <top/>
      <bottom/>
      <diagonal/>
    </border>
    <border>
      <left/>
      <right style="dotted">
        <color rgb="FF3B8BAF"/>
      </right>
      <top/>
      <bottom/>
      <diagonal/>
    </border>
    <border>
      <left/>
      <right/>
      <top style="dotted">
        <color rgb="FF2C6983"/>
      </top>
      <bottom style="dotted">
        <color rgb="FF2C6983"/>
      </bottom>
      <diagonal/>
    </border>
    <border>
      <left style="dotted">
        <color rgb="FF2C6983"/>
      </left>
      <right/>
      <top style="dotted">
        <color rgb="FF2C6983"/>
      </top>
      <bottom style="dotted">
        <color rgb="FF2C698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6" fillId="2" borderId="0" xfId="0" applyFont="1" applyFill="1"/>
    <xf numFmtId="44" fontId="6" fillId="2" borderId="0" xfId="1" applyFont="1" applyFill="1"/>
    <xf numFmtId="4" fontId="6" fillId="2" borderId="0" xfId="0" applyNumberFormat="1" applyFont="1" applyFill="1"/>
    <xf numFmtId="0" fontId="6" fillId="0" borderId="0" xfId="0" applyFont="1"/>
    <xf numFmtId="164" fontId="8" fillId="2" borderId="0" xfId="3" applyNumberFormat="1" applyFont="1" applyFill="1" applyAlignment="1" applyProtection="1">
      <alignment horizontal="center"/>
    </xf>
    <xf numFmtId="164" fontId="8" fillId="2" borderId="0" xfId="3" applyNumberFormat="1" applyFont="1" applyFill="1" applyAlignment="1" applyProtection="1"/>
    <xf numFmtId="164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/>
    <xf numFmtId="164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0" fontId="11" fillId="7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left" vertical="center"/>
    </xf>
    <xf numFmtId="4" fontId="6" fillId="2" borderId="0" xfId="0" applyNumberFormat="1" applyFont="1" applyFill="1" applyAlignment="1"/>
    <xf numFmtId="0" fontId="6" fillId="2" borderId="0" xfId="0" applyFont="1" applyFill="1" applyBorder="1"/>
    <xf numFmtId="10" fontId="6" fillId="2" borderId="0" xfId="2" applyNumberFormat="1" applyFont="1" applyFill="1" applyBorder="1" applyAlignment="1">
      <alignment horizontal="center"/>
    </xf>
    <xf numFmtId="44" fontId="13" fillId="9" borderId="0" xfId="1" applyFont="1" applyFill="1" applyBorder="1" applyAlignment="1" applyProtection="1">
      <alignment vertical="center"/>
      <protection locked="0"/>
    </xf>
    <xf numFmtId="44" fontId="13" fillId="10" borderId="0" xfId="1" applyFont="1" applyFill="1" applyBorder="1" applyAlignment="1" applyProtection="1">
      <alignment vertical="center"/>
      <protection locked="0"/>
    </xf>
    <xf numFmtId="44" fontId="6" fillId="2" borderId="0" xfId="1" applyFont="1" applyFill="1" applyBorder="1"/>
    <xf numFmtId="4" fontId="14" fillId="2" borderId="0" xfId="0" applyNumberFormat="1" applyFont="1" applyFill="1" applyBorder="1" applyAlignment="1">
      <alignment horizontal="right"/>
    </xf>
    <xf numFmtId="44" fontId="15" fillId="2" borderId="0" xfId="0" applyNumberFormat="1" applyFont="1" applyFill="1" applyBorder="1" applyAlignment="1"/>
    <xf numFmtId="0" fontId="11" fillId="6" borderId="0" xfId="0" applyFont="1" applyFill="1" applyBorder="1" applyAlignment="1">
      <alignment horizontal="center"/>
    </xf>
    <xf numFmtId="4" fontId="11" fillId="7" borderId="0" xfId="0" applyNumberFormat="1" applyFont="1" applyFill="1" applyBorder="1" applyAlignment="1">
      <alignment horizontal="center"/>
    </xf>
    <xf numFmtId="165" fontId="13" fillId="9" borderId="0" xfId="1" applyNumberFormat="1" applyFont="1" applyFill="1" applyBorder="1" applyAlignment="1">
      <alignment horizontal="center" vertical="center"/>
    </xf>
    <xf numFmtId="9" fontId="16" fillId="2" borderId="0" xfId="2" applyFont="1" applyFill="1"/>
    <xf numFmtId="165" fontId="13" fillId="10" borderId="0" xfId="1" applyNumberFormat="1" applyFont="1" applyFill="1" applyBorder="1" applyAlignment="1">
      <alignment horizontal="center" vertical="center"/>
    </xf>
    <xf numFmtId="0" fontId="16" fillId="2" borderId="0" xfId="0" applyFont="1" applyFill="1"/>
    <xf numFmtId="4" fontId="16" fillId="2" borderId="0" xfId="0" applyNumberFormat="1" applyFont="1" applyFill="1"/>
    <xf numFmtId="4" fontId="16" fillId="2" borderId="0" xfId="0" applyNumberFormat="1" applyFont="1" applyFill="1" applyAlignment="1">
      <alignment horizontal="right"/>
    </xf>
    <xf numFmtId="0" fontId="6" fillId="0" borderId="9" xfId="0" applyFont="1" applyBorder="1"/>
    <xf numFmtId="165" fontId="15" fillId="2" borderId="0" xfId="0" applyNumberFormat="1" applyFont="1" applyFill="1" applyBorder="1" applyAlignment="1">
      <alignment horizontal="center"/>
    </xf>
    <xf numFmtId="44" fontId="6" fillId="2" borderId="0" xfId="0" applyNumberFormat="1" applyFont="1" applyFill="1" applyBorder="1" applyAlignment="1">
      <alignment horizontal="center"/>
    </xf>
    <xf numFmtId="4" fontId="14" fillId="2" borderId="0" xfId="0" applyNumberFormat="1" applyFont="1" applyFill="1" applyAlignment="1">
      <alignment horizontal="right"/>
    </xf>
    <xf numFmtId="44" fontId="6" fillId="0" borderId="0" xfId="1" applyFont="1"/>
    <xf numFmtId="4" fontId="6" fillId="0" borderId="0" xfId="0" applyNumberFormat="1" applyFont="1"/>
    <xf numFmtId="10" fontId="13" fillId="9" borderId="0" xfId="2" applyNumberFormat="1" applyFont="1" applyFill="1" applyBorder="1" applyAlignment="1">
      <alignment horizontal="center"/>
    </xf>
    <xf numFmtId="10" fontId="13" fillId="10" borderId="0" xfId="2" applyNumberFormat="1" applyFont="1" applyFill="1" applyBorder="1" applyAlignment="1">
      <alignment horizontal="center"/>
    </xf>
    <xf numFmtId="0" fontId="6" fillId="3" borderId="0" xfId="0" applyFont="1" applyFill="1"/>
    <xf numFmtId="4" fontId="16" fillId="3" borderId="0" xfId="0" applyNumberFormat="1" applyFont="1" applyFill="1" applyAlignment="1">
      <alignment horizontal="right"/>
    </xf>
    <xf numFmtId="44" fontId="19" fillId="2" borderId="3" xfId="1" applyFont="1" applyFill="1" applyBorder="1" applyProtection="1">
      <protection locked="0"/>
    </xf>
    <xf numFmtId="44" fontId="19" fillId="3" borderId="3" xfId="1" applyFont="1" applyFill="1" applyBorder="1" applyProtection="1">
      <protection locked="0"/>
    </xf>
    <xf numFmtId="44" fontId="19" fillId="2" borderId="5" xfId="1" applyFont="1" applyFill="1" applyBorder="1" applyProtection="1">
      <protection locked="0"/>
    </xf>
    <xf numFmtId="0" fontId="19" fillId="8" borderId="9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8" borderId="0" xfId="0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44" fontId="19" fillId="2" borderId="0" xfId="0" applyNumberFormat="1" applyFont="1" applyFill="1" applyBorder="1" applyAlignment="1">
      <alignment horizontal="right"/>
    </xf>
    <xf numFmtId="10" fontId="19" fillId="2" borderId="0" xfId="2" applyNumberFormat="1" applyFont="1" applyFill="1" applyBorder="1" applyAlignment="1">
      <alignment horizontal="right"/>
    </xf>
    <xf numFmtId="0" fontId="19" fillId="8" borderId="4" xfId="0" applyFont="1" applyFill="1" applyBorder="1" applyAlignment="1" applyProtection="1">
      <protection locked="0"/>
    </xf>
    <xf numFmtId="0" fontId="19" fillId="4" borderId="4" xfId="0" applyFont="1" applyFill="1" applyBorder="1" applyAlignment="1" applyProtection="1">
      <protection locked="0"/>
    </xf>
    <xf numFmtId="0" fontId="19" fillId="8" borderId="10" xfId="0" applyFont="1" applyFill="1" applyBorder="1" applyAlignment="1" applyProtection="1">
      <alignment vertical="center"/>
      <protection locked="0"/>
    </xf>
    <xf numFmtId="0" fontId="19" fillId="4" borderId="10" xfId="0" applyFont="1" applyFill="1" applyBorder="1" applyAlignment="1" applyProtection="1">
      <alignment vertical="center"/>
      <protection locked="0"/>
    </xf>
    <xf numFmtId="44" fontId="19" fillId="3" borderId="11" xfId="1" applyFont="1" applyFill="1" applyBorder="1" applyAlignment="1" applyProtection="1">
      <alignment horizontal="center" vertical="center"/>
      <protection locked="0"/>
    </xf>
    <xf numFmtId="44" fontId="19" fillId="2" borderId="11" xfId="1" applyFont="1" applyFill="1" applyBorder="1" applyAlignment="1" applyProtection="1">
      <alignment horizontal="center" vertical="center"/>
      <protection locked="0"/>
    </xf>
    <xf numFmtId="10" fontId="19" fillId="3" borderId="7" xfId="2" applyNumberFormat="1" applyFont="1" applyFill="1" applyBorder="1" applyAlignment="1" applyProtection="1">
      <alignment horizontal="center" vertical="center"/>
      <protection locked="0"/>
    </xf>
    <xf numFmtId="10" fontId="19" fillId="2" borderId="6" xfId="2" applyNumberFormat="1" applyFont="1" applyFill="1" applyBorder="1" applyAlignment="1" applyProtection="1">
      <alignment horizontal="center" vertical="center"/>
      <protection locked="0"/>
    </xf>
    <xf numFmtId="10" fontId="19" fillId="3" borderId="6" xfId="2" applyNumberFormat="1" applyFont="1" applyFill="1" applyBorder="1" applyAlignment="1" applyProtection="1">
      <alignment horizontal="center" vertical="center"/>
      <protection locked="0"/>
    </xf>
    <xf numFmtId="10" fontId="19" fillId="3" borderId="4" xfId="2" applyNumberFormat="1" applyFont="1" applyFill="1" applyBorder="1" applyAlignment="1" applyProtection="1">
      <alignment horizontal="center" vertical="center"/>
      <protection locked="0"/>
    </xf>
    <xf numFmtId="0" fontId="21" fillId="6" borderId="2" xfId="0" applyFont="1" applyFill="1" applyBorder="1"/>
    <xf numFmtId="0" fontId="21" fillId="6" borderId="9" xfId="0" applyFont="1" applyFill="1" applyBorder="1" applyAlignment="1"/>
    <xf numFmtId="44" fontId="23" fillId="2" borderId="0" xfId="1" applyFont="1" applyFill="1" applyBorder="1" applyAlignment="1">
      <alignment vertical="center"/>
    </xf>
    <xf numFmtId="0" fontId="11" fillId="6" borderId="0" xfId="0" applyFont="1" applyFill="1" applyBorder="1" applyAlignment="1">
      <alignment vertical="center"/>
    </xf>
    <xf numFmtId="44" fontId="20" fillId="2" borderId="8" xfId="0" applyNumberFormat="1" applyFont="1" applyFill="1" applyBorder="1" applyAlignment="1">
      <alignment horizontal="left"/>
    </xf>
    <xf numFmtId="44" fontId="25" fillId="2" borderId="0" xfId="1" applyFont="1" applyFill="1" applyBorder="1"/>
    <xf numFmtId="9" fontId="19" fillId="4" borderId="0" xfId="2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 textRotation="90"/>
    </xf>
    <xf numFmtId="0" fontId="11" fillId="5" borderId="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9" fillId="8" borderId="0" xfId="0" applyFont="1" applyFill="1" applyBorder="1" applyAlignment="1">
      <alignment horizontal="center"/>
    </xf>
    <xf numFmtId="166" fontId="20" fillId="8" borderId="0" xfId="1" applyNumberFormat="1" applyFont="1" applyFill="1" applyBorder="1" applyAlignment="1">
      <alignment horizontal="center" vertical="center"/>
    </xf>
    <xf numFmtId="4" fontId="20" fillId="2" borderId="0" xfId="0" applyNumberFormat="1" applyFont="1" applyFill="1" applyBorder="1" applyAlignment="1">
      <alignment horizontal="center" vertical="center"/>
    </xf>
  </cellXfs>
  <cellStyles count="4">
    <cellStyle name="Hyperlink" xfId="3" builtinId="8"/>
    <cellStyle name="Moeda" xfId="1" builtinId="4"/>
    <cellStyle name="Normal" xfId="0" builtinId="0"/>
    <cellStyle name="Porcentagem" xfId="2" builtinId="5"/>
  </cellStyles>
  <dxfs count="7">
    <dxf>
      <font>
        <b/>
        <i val="0"/>
        <color theme="0"/>
      </font>
      <fill>
        <patternFill>
          <bgColor rgb="FFC73F44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3B8BAF"/>
        </patternFill>
      </fill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85A24E"/>
        </patternFill>
      </fill>
      <border>
        <left/>
        <right/>
        <top/>
        <bottom/>
        <vertical/>
        <horizontal/>
      </border>
    </dxf>
    <dxf>
      <font>
        <b/>
        <i val="0"/>
        <strike val="0"/>
        <color rgb="FFC73F44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rgb="FF85A24E"/>
      </font>
      <fill>
        <patternFill patternType="none">
          <fgColor indexed="64"/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rgb="FF3B8BAF"/>
      </font>
      <fill>
        <patternFill patternType="none">
          <bgColor auto="1"/>
        </patternFill>
      </fill>
      <border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2C6983"/>
      <color rgb="FF3B8BAF"/>
      <color rgb="FFFFDA65"/>
      <color rgb="FFEA8239"/>
      <color rgb="FFFFE799"/>
      <color rgb="FFC73F44"/>
      <color rgb="FF85A24E"/>
      <color rgb="FFAFD1E0"/>
      <color rgb="FFFF806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1</xdr:row>
      <xdr:rowOff>87364</xdr:rowOff>
    </xdr:from>
    <xdr:to>
      <xdr:col>6</xdr:col>
      <xdr:colOff>1866900</xdr:colOff>
      <xdr:row>3</xdr:row>
      <xdr:rowOff>171449</xdr:rowOff>
    </xdr:to>
    <xdr:pic>
      <xdr:nvPicPr>
        <xdr:cNvPr id="4" name="Imagem 3" descr="SOFTE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05525" y="239764"/>
          <a:ext cx="1647825" cy="674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2"/>
  <dimension ref="A1:K43"/>
  <sheetViews>
    <sheetView tabSelected="1" topLeftCell="A4" zoomScale="71" zoomScaleNormal="71" workbookViewId="0">
      <selection activeCell="H11" sqref="H11"/>
    </sheetView>
  </sheetViews>
  <sheetFormatPr defaultColWidth="0" defaultRowHeight="14.25" zeroHeight="1"/>
  <cols>
    <col min="1" max="1" width="3.140625" style="4" customWidth="1"/>
    <col min="2" max="2" width="45.5703125" style="4" bestFit="1" customWidth="1"/>
    <col min="3" max="3" width="27.28515625" style="4" customWidth="1"/>
    <col min="4" max="4" width="25.7109375" style="4" customWidth="1"/>
    <col min="5" max="5" width="5.140625" style="4" customWidth="1"/>
    <col min="6" max="6" width="6.85546875" style="4" customWidth="1"/>
    <col min="7" max="7" width="43.140625" style="4" customWidth="1"/>
    <col min="8" max="8" width="42.5703125" style="34" bestFit="1" customWidth="1"/>
    <col min="9" max="9" width="5.42578125" style="35" customWidth="1"/>
    <col min="10" max="10" width="24.140625" style="1" hidden="1" customWidth="1"/>
    <col min="11" max="11" width="23.85546875" style="1" hidden="1" customWidth="1"/>
    <col min="12" max="16384" width="9.140625" style="1" hidden="1"/>
  </cols>
  <sheetData>
    <row r="1" spans="1:9" s="38" customFormat="1" ht="12" customHeight="1">
      <c r="A1" s="1"/>
      <c r="B1" s="1"/>
      <c r="C1" s="1"/>
      <c r="D1" s="1"/>
      <c r="E1" s="1"/>
      <c r="F1" s="1"/>
      <c r="G1" s="1"/>
      <c r="H1" s="2"/>
      <c r="I1" s="3"/>
    </row>
    <row r="2" spans="1:9" s="38" customFormat="1">
      <c r="A2" s="1"/>
      <c r="B2" s="68" t="s">
        <v>19</v>
      </c>
      <c r="C2" s="68"/>
      <c r="D2" s="68"/>
      <c r="E2" s="1"/>
      <c r="F2" s="1"/>
      <c r="G2" s="1"/>
      <c r="H2" s="2"/>
      <c r="I2" s="3"/>
    </row>
    <row r="3" spans="1:9" s="38" customFormat="1" ht="32.25" customHeight="1">
      <c r="A3" s="1"/>
      <c r="B3" s="68"/>
      <c r="C3" s="68"/>
      <c r="D3" s="68"/>
      <c r="E3" s="1"/>
      <c r="F3" s="1"/>
      <c r="G3" s="1"/>
      <c r="H3" s="1"/>
      <c r="I3" s="3"/>
    </row>
    <row r="4" spans="1:9" s="38" customFormat="1">
      <c r="A4" s="1"/>
      <c r="B4" s="68"/>
      <c r="C4" s="68"/>
      <c r="D4" s="68"/>
      <c r="E4" s="1"/>
      <c r="F4" s="1"/>
      <c r="G4" s="1"/>
      <c r="H4" s="1"/>
      <c r="I4" s="3"/>
    </row>
    <row r="5" spans="1:9" s="38" customFormat="1">
      <c r="A5" s="1"/>
      <c r="B5" s="68"/>
      <c r="C5" s="68"/>
      <c r="D5" s="68"/>
      <c r="E5" s="1"/>
      <c r="F5" s="1"/>
      <c r="G5" s="5" t="str">
        <f t="shared" ref="G5" si="0">HYPERLINK("http://www.softensistemas.com.br/","www.softensistemas.com.br")</f>
        <v>www.softensistemas.com.br</v>
      </c>
      <c r="H5" s="6"/>
      <c r="I5" s="3"/>
    </row>
    <row r="6" spans="1:9" s="38" customFormat="1">
      <c r="A6" s="1"/>
      <c r="B6" s="68"/>
      <c r="C6" s="68"/>
      <c r="D6" s="68"/>
      <c r="E6" s="1"/>
      <c r="F6" s="1"/>
      <c r="G6" s="7" t="str">
        <f t="shared" ref="G6" si="1">HYPERLINK("mailto:contato@softensistemas.com.br","contato@softensistemas.com.br")</f>
        <v>contato@softensistemas.com.br</v>
      </c>
      <c r="H6" s="8"/>
      <c r="I6" s="3"/>
    </row>
    <row r="7" spans="1:9" s="38" customFormat="1">
      <c r="A7" s="1"/>
      <c r="B7" s="68"/>
      <c r="C7" s="68"/>
      <c r="D7" s="68"/>
      <c r="E7" s="1"/>
      <c r="F7" s="1"/>
      <c r="G7" s="9" t="s">
        <v>18</v>
      </c>
      <c r="H7" s="10"/>
      <c r="I7" s="3"/>
    </row>
    <row r="8" spans="1:9" s="38" customFormat="1">
      <c r="A8" s="1"/>
      <c r="B8" s="1"/>
      <c r="C8" s="1"/>
      <c r="D8" s="1"/>
      <c r="E8" s="1"/>
      <c r="F8" s="1"/>
      <c r="G8" s="1"/>
      <c r="H8" s="2"/>
      <c r="I8" s="3"/>
    </row>
    <row r="9" spans="1:9" s="38" customFormat="1" ht="26.25" customHeight="1">
      <c r="A9" s="1"/>
      <c r="B9" s="69" t="s">
        <v>0</v>
      </c>
      <c r="C9" s="69"/>
      <c r="D9" s="11" t="s">
        <v>20</v>
      </c>
      <c r="E9" s="12"/>
      <c r="F9" s="66" t="s">
        <v>26</v>
      </c>
      <c r="G9" s="13" t="s">
        <v>3</v>
      </c>
      <c r="H9" s="11" t="s">
        <v>11</v>
      </c>
      <c r="I9" s="14"/>
    </row>
    <row r="10" spans="1:9" s="38" customFormat="1" ht="18" customHeight="1">
      <c r="A10" s="15"/>
      <c r="B10" s="51" t="s">
        <v>1</v>
      </c>
      <c r="C10" s="53">
        <v>900</v>
      </c>
      <c r="D10" s="36">
        <f t="shared" ref="D10:D23" si="2">IF(C10,C10/$C$24,"")</f>
        <v>9.6359743040685231E-2</v>
      </c>
      <c r="E10" s="16"/>
      <c r="F10" s="66"/>
      <c r="G10" s="45" t="s">
        <v>4</v>
      </c>
      <c r="H10" s="17">
        <v>5012.6400000000003</v>
      </c>
      <c r="I10" s="3"/>
    </row>
    <row r="11" spans="1:9" s="38" customFormat="1" ht="18" customHeight="1">
      <c r="A11" s="15"/>
      <c r="B11" s="52" t="s">
        <v>22</v>
      </c>
      <c r="C11" s="54">
        <v>60</v>
      </c>
      <c r="D11" s="37">
        <f t="shared" si="2"/>
        <v>6.4239828693790149E-3</v>
      </c>
      <c r="E11" s="16"/>
      <c r="F11" s="66"/>
      <c r="G11" s="46" t="s">
        <v>24</v>
      </c>
      <c r="H11" s="18">
        <v>1986.35</v>
      </c>
      <c r="I11" s="3"/>
    </row>
    <row r="12" spans="1:9" s="38" customFormat="1" ht="18" customHeight="1">
      <c r="A12" s="15"/>
      <c r="B12" s="51" t="s">
        <v>27</v>
      </c>
      <c r="C12" s="53">
        <v>200</v>
      </c>
      <c r="D12" s="36">
        <f t="shared" si="2"/>
        <v>2.1413276231263382E-2</v>
      </c>
      <c r="E12" s="16"/>
      <c r="F12" s="66"/>
      <c r="G12" s="45" t="s">
        <v>23</v>
      </c>
      <c r="H12" s="17">
        <v>6000</v>
      </c>
      <c r="I12" s="3"/>
    </row>
    <row r="13" spans="1:9" s="38" customFormat="1" ht="18" customHeight="1">
      <c r="A13" s="15"/>
      <c r="B13" s="52" t="s">
        <v>2</v>
      </c>
      <c r="C13" s="54">
        <v>130</v>
      </c>
      <c r="D13" s="37">
        <f t="shared" si="2"/>
        <v>1.3918629550321198E-2</v>
      </c>
      <c r="E13" s="16"/>
      <c r="F13" s="66"/>
      <c r="G13" s="46" t="s">
        <v>5</v>
      </c>
      <c r="H13" s="18"/>
      <c r="I13" s="3"/>
    </row>
    <row r="14" spans="1:9" s="38" customFormat="1" ht="18" customHeight="1">
      <c r="A14" s="15"/>
      <c r="B14" s="51" t="s">
        <v>28</v>
      </c>
      <c r="C14" s="53">
        <v>4500</v>
      </c>
      <c r="D14" s="36">
        <f t="shared" si="2"/>
        <v>0.4817987152034261</v>
      </c>
      <c r="E14" s="16"/>
      <c r="F14" s="66"/>
      <c r="G14" s="62" t="s">
        <v>8</v>
      </c>
      <c r="H14" s="61">
        <f>SUM(H10:H13)</f>
        <v>12998.99</v>
      </c>
      <c r="I14" s="3"/>
    </row>
    <row r="15" spans="1:9" s="38" customFormat="1" ht="18" customHeight="1">
      <c r="A15" s="15"/>
      <c r="B15" s="52" t="s">
        <v>29</v>
      </c>
      <c r="C15" s="54">
        <v>250</v>
      </c>
      <c r="D15" s="37">
        <f t="shared" si="2"/>
        <v>2.676659528907923E-2</v>
      </c>
      <c r="E15" s="16"/>
      <c r="F15" s="1"/>
      <c r="G15" s="15"/>
      <c r="H15" s="19"/>
      <c r="I15" s="3"/>
    </row>
    <row r="16" spans="1:9" s="38" customFormat="1" ht="26.25" customHeight="1">
      <c r="A16" s="15"/>
      <c r="B16" s="51" t="s">
        <v>30</v>
      </c>
      <c r="C16" s="53">
        <v>2100</v>
      </c>
      <c r="D16" s="36">
        <f t="shared" si="2"/>
        <v>0.22483940042826553</v>
      </c>
      <c r="E16" s="16"/>
      <c r="F16" s="70" t="s">
        <v>17</v>
      </c>
      <c r="G16" s="70"/>
      <c r="H16" s="64">
        <f>(H14)+(D32)</f>
        <v>9339.9991019999998</v>
      </c>
      <c r="I16" s="20"/>
    </row>
    <row r="17" spans="1:11" s="38" customFormat="1" ht="18" customHeight="1">
      <c r="A17" s="15"/>
      <c r="B17" s="52" t="s">
        <v>31</v>
      </c>
      <c r="C17" s="54">
        <v>1200</v>
      </c>
      <c r="D17" s="37">
        <f t="shared" si="2"/>
        <v>0.1284796573875803</v>
      </c>
      <c r="E17" s="16"/>
      <c r="F17" s="1"/>
      <c r="G17" s="1"/>
      <c r="H17" s="2"/>
      <c r="I17" s="1"/>
    </row>
    <row r="18" spans="1:11" s="38" customFormat="1" ht="18" customHeight="1">
      <c r="A18" s="15"/>
      <c r="B18" s="49"/>
      <c r="C18" s="41"/>
      <c r="D18" s="36" t="str">
        <f t="shared" si="2"/>
        <v/>
      </c>
      <c r="E18" s="16"/>
      <c r="F18" s="67" t="s">
        <v>25</v>
      </c>
      <c r="G18" s="67"/>
      <c r="H18" s="67"/>
      <c r="I18" s="1"/>
    </row>
    <row r="19" spans="1:11" s="38" customFormat="1" ht="17.25" customHeight="1">
      <c r="A19" s="15"/>
      <c r="B19" s="50"/>
      <c r="C19" s="40"/>
      <c r="D19" s="37" t="str">
        <f t="shared" si="2"/>
        <v/>
      </c>
      <c r="E19" s="16"/>
      <c r="F19" s="74">
        <f>H16-C24</f>
        <v>-8.9800000023387838E-4</v>
      </c>
      <c r="G19" s="74"/>
      <c r="H19" s="75" t="str">
        <f>IF(F19&lt;-0.001,"PREJUÍZO",IF(F19&gt;0,"LUCRO","PONTO DE EQUILÍBRIO"))</f>
        <v>PONTO DE EQUILÍBRIO</v>
      </c>
      <c r="I19" s="1"/>
    </row>
    <row r="20" spans="1:11" s="38" customFormat="1" ht="18" customHeight="1">
      <c r="A20" s="15"/>
      <c r="B20" s="49"/>
      <c r="C20" s="41"/>
      <c r="D20" s="36" t="str">
        <f t="shared" si="2"/>
        <v/>
      </c>
      <c r="E20" s="16"/>
      <c r="F20" s="74"/>
      <c r="G20" s="74"/>
      <c r="H20" s="75"/>
      <c r="I20" s="1"/>
    </row>
    <row r="21" spans="1:11" s="38" customFormat="1" ht="18" customHeight="1">
      <c r="A21" s="15"/>
      <c r="B21" s="50"/>
      <c r="C21" s="40"/>
      <c r="D21" s="37" t="str">
        <f t="shared" si="2"/>
        <v/>
      </c>
      <c r="E21" s="16"/>
      <c r="F21" s="1"/>
      <c r="G21" s="1"/>
      <c r="H21" s="2"/>
      <c r="I21" s="1"/>
    </row>
    <row r="22" spans="1:11" s="38" customFormat="1" ht="18" customHeight="1">
      <c r="A22" s="15"/>
      <c r="B22" s="49"/>
      <c r="C22" s="41"/>
      <c r="D22" s="36" t="str">
        <f t="shared" si="2"/>
        <v/>
      </c>
      <c r="E22" s="16"/>
      <c r="F22" s="1"/>
      <c r="G22" s="1"/>
      <c r="H22" s="2"/>
      <c r="I22" s="1"/>
    </row>
    <row r="23" spans="1:11" s="38" customFormat="1" ht="18" customHeight="1">
      <c r="A23" s="15"/>
      <c r="B23" s="50"/>
      <c r="C23" s="42"/>
      <c r="D23" s="37" t="str">
        <f t="shared" si="2"/>
        <v/>
      </c>
      <c r="E23" s="16"/>
      <c r="F23" s="1"/>
      <c r="G23" s="2"/>
      <c r="H23" s="3"/>
      <c r="I23" s="1"/>
    </row>
    <row r="24" spans="1:11" s="38" customFormat="1" ht="19.5">
      <c r="A24" s="15"/>
      <c r="B24" s="59" t="s">
        <v>21</v>
      </c>
      <c r="C24" s="63">
        <f>SUM(C10:C23)</f>
        <v>9340</v>
      </c>
      <c r="D24" s="21"/>
      <c r="E24" s="16"/>
      <c r="F24" s="71" t="s">
        <v>13</v>
      </c>
      <c r="G24" s="71"/>
      <c r="H24" s="72"/>
      <c r="I24" s="1"/>
    </row>
    <row r="25" spans="1:11" s="38" customFormat="1" ht="15.75" customHeight="1">
      <c r="A25" s="1"/>
      <c r="B25" s="15"/>
      <c r="C25" s="15"/>
      <c r="D25" s="15"/>
      <c r="E25" s="16"/>
      <c r="F25" s="73" t="s">
        <v>14</v>
      </c>
      <c r="G25" s="73"/>
      <c r="H25" s="47">
        <f>H26*H14</f>
        <v>12998.991249795945</v>
      </c>
      <c r="I25" s="1"/>
    </row>
    <row r="26" spans="1:11" s="38" customFormat="1" ht="15.75" customHeight="1">
      <c r="A26" s="1"/>
      <c r="B26" s="22" t="s">
        <v>12</v>
      </c>
      <c r="C26" s="22" t="s">
        <v>20</v>
      </c>
      <c r="D26" s="23" t="s">
        <v>9</v>
      </c>
      <c r="E26" s="16"/>
      <c r="F26" s="65" t="s">
        <v>10</v>
      </c>
      <c r="G26" s="65"/>
      <c r="H26" s="48">
        <f>C24/H16</f>
        <v>1.0000000961456195</v>
      </c>
      <c r="I26" s="1"/>
    </row>
    <row r="27" spans="1:11" s="38" customFormat="1" ht="21" customHeight="1">
      <c r="A27" s="1"/>
      <c r="B27" s="43" t="s">
        <v>6</v>
      </c>
      <c r="C27" s="55">
        <v>0.2</v>
      </c>
      <c r="D27" s="24">
        <f>-C27*H14</f>
        <v>-2599.7980000000002</v>
      </c>
      <c r="E27" s="16"/>
      <c r="F27" s="1"/>
      <c r="G27" s="1"/>
      <c r="H27" s="25"/>
      <c r="I27" s="1"/>
    </row>
    <row r="28" spans="1:11" s="38" customFormat="1" ht="21" customHeight="1">
      <c r="A28" s="1"/>
      <c r="B28" s="44" t="s">
        <v>7</v>
      </c>
      <c r="C28" s="56">
        <v>1.52E-2</v>
      </c>
      <c r="D28" s="26">
        <f>-C28*H14</f>
        <v>-197.58464799999999</v>
      </c>
      <c r="E28" s="16"/>
      <c r="F28" s="1"/>
      <c r="G28" s="1"/>
      <c r="H28" s="27"/>
      <c r="I28" s="1"/>
    </row>
    <row r="29" spans="1:11" s="38" customFormat="1" ht="21" customHeight="1">
      <c r="A29" s="1"/>
      <c r="B29" s="43" t="s">
        <v>15</v>
      </c>
      <c r="C29" s="57">
        <v>0.05</v>
      </c>
      <c r="D29" s="24">
        <f>-C29*H14</f>
        <v>-649.94950000000006</v>
      </c>
      <c r="E29" s="16"/>
      <c r="F29" s="1"/>
      <c r="G29" s="1"/>
      <c r="H29" s="28"/>
      <c r="I29" s="1"/>
    </row>
    <row r="30" spans="1:11" s="38" customFormat="1" ht="21" customHeight="1">
      <c r="A30" s="1"/>
      <c r="B30" s="44" t="s">
        <v>32</v>
      </c>
      <c r="C30" s="56">
        <v>2.5000000000000001E-2</v>
      </c>
      <c r="D30" s="26">
        <f>-C30*H11</f>
        <v>-49.658749999999998</v>
      </c>
      <c r="E30" s="16"/>
      <c r="F30" s="1"/>
      <c r="G30" s="1"/>
      <c r="H30" s="29"/>
      <c r="I30" s="1"/>
    </row>
    <row r="31" spans="1:11" s="38" customFormat="1" ht="20.25" customHeight="1">
      <c r="A31" s="1"/>
      <c r="B31" s="43" t="s">
        <v>33</v>
      </c>
      <c r="C31" s="58">
        <v>2.7E-2</v>
      </c>
      <c r="D31" s="24">
        <f>-C31*H12</f>
        <v>-162</v>
      </c>
      <c r="E31" s="16"/>
      <c r="F31" s="1"/>
      <c r="G31" s="1"/>
      <c r="H31" s="2"/>
      <c r="I31" s="1"/>
    </row>
    <row r="32" spans="1:11" s="38" customFormat="1" ht="19.5" customHeight="1">
      <c r="A32" s="1"/>
      <c r="B32" s="60" t="s">
        <v>16</v>
      </c>
      <c r="C32" s="30"/>
      <c r="D32" s="31">
        <f>SUM(D27:D31)</f>
        <v>-3658.9908980000005</v>
      </c>
      <c r="E32" s="32"/>
      <c r="F32" s="1"/>
      <c r="G32" s="1"/>
      <c r="H32" s="2"/>
      <c r="I32" s="3"/>
      <c r="K32" s="39"/>
    </row>
    <row r="33" spans="1:11" s="38" customFormat="1">
      <c r="A33" s="1"/>
      <c r="B33" s="1"/>
      <c r="C33" s="1"/>
      <c r="D33" s="1"/>
      <c r="E33" s="1"/>
      <c r="F33" s="1"/>
      <c r="G33" s="1"/>
      <c r="H33" s="2"/>
      <c r="I33" s="3"/>
      <c r="K33" s="39"/>
    </row>
    <row r="34" spans="1:11" hidden="1">
      <c r="A34" s="1"/>
      <c r="B34" s="1"/>
      <c r="C34" s="1"/>
      <c r="D34" s="1"/>
      <c r="E34" s="1"/>
      <c r="F34" s="1"/>
      <c r="G34" s="1"/>
      <c r="H34" s="2"/>
      <c r="I34" s="3"/>
      <c r="K34" s="33"/>
    </row>
    <row r="35" spans="1:11" hidden="1">
      <c r="A35" s="1"/>
      <c r="B35" s="1"/>
      <c r="C35" s="1"/>
      <c r="D35" s="1"/>
      <c r="E35" s="1"/>
      <c r="F35" s="1"/>
      <c r="G35" s="1"/>
      <c r="H35" s="2"/>
      <c r="I35" s="3"/>
    </row>
    <row r="36" spans="1:11" hidden="1">
      <c r="A36" s="1"/>
      <c r="B36" s="1"/>
      <c r="C36" s="1"/>
      <c r="D36" s="1"/>
      <c r="E36" s="1"/>
      <c r="F36" s="1"/>
      <c r="G36" s="1"/>
      <c r="H36" s="2"/>
      <c r="I36" s="3"/>
    </row>
    <row r="37" spans="1:11" hidden="1">
      <c r="A37" s="1"/>
      <c r="B37" s="1"/>
      <c r="C37" s="1"/>
      <c r="D37" s="1"/>
      <c r="E37" s="1"/>
      <c r="F37" s="1"/>
      <c r="G37" s="1"/>
      <c r="H37" s="2"/>
      <c r="I37" s="3"/>
    </row>
    <row r="38" spans="1:11" hidden="1">
      <c r="A38" s="1"/>
      <c r="B38" s="1"/>
      <c r="C38" s="1"/>
      <c r="D38" s="1"/>
      <c r="E38" s="1"/>
      <c r="F38" s="1"/>
      <c r="G38" s="1"/>
      <c r="H38" s="2"/>
      <c r="I38" s="3"/>
    </row>
    <row r="39" spans="1:11" hidden="1">
      <c r="A39" s="1"/>
      <c r="B39" s="1"/>
      <c r="C39" s="1"/>
      <c r="D39" s="1"/>
      <c r="E39" s="1"/>
      <c r="F39" s="1"/>
      <c r="G39" s="1"/>
      <c r="H39" s="2"/>
      <c r="I39" s="3"/>
    </row>
    <row r="40" spans="1:11" hidden="1">
      <c r="A40" s="1"/>
      <c r="B40" s="1"/>
      <c r="C40" s="1"/>
      <c r="D40" s="1"/>
      <c r="E40" s="1"/>
      <c r="F40" s="1"/>
      <c r="G40" s="1"/>
      <c r="H40" s="2"/>
      <c r="I40" s="3"/>
    </row>
    <row r="41" spans="1:11" hidden="1">
      <c r="A41" s="1"/>
      <c r="B41" s="1"/>
      <c r="C41" s="1"/>
      <c r="D41" s="1"/>
      <c r="E41" s="1"/>
      <c r="F41" s="1"/>
      <c r="G41" s="1"/>
      <c r="H41" s="2"/>
      <c r="I41" s="3"/>
    </row>
    <row r="42" spans="1:11" hidden="1">
      <c r="A42" s="1"/>
      <c r="B42" s="1"/>
      <c r="C42" s="1"/>
      <c r="D42" s="1"/>
      <c r="E42" s="1"/>
      <c r="F42" s="1"/>
      <c r="G42" s="1"/>
      <c r="H42" s="2"/>
      <c r="I42" s="3"/>
    </row>
    <row r="43" spans="1:11" hidden="1">
      <c r="B43" s="1"/>
      <c r="C43" s="1"/>
      <c r="D43" s="1"/>
      <c r="E43" s="1"/>
      <c r="F43" s="1"/>
      <c r="G43" s="1"/>
      <c r="H43" s="2"/>
      <c r="I43" s="3"/>
    </row>
  </sheetData>
  <sheetProtection password="CB9A" sheet="1" objects="1" scenarios="1" formatColumns="0" formatRows="0" insertRows="0"/>
  <mergeCells count="10">
    <mergeCell ref="F26:G26"/>
    <mergeCell ref="F9:F14"/>
    <mergeCell ref="F18:H18"/>
    <mergeCell ref="B2:D7"/>
    <mergeCell ref="B9:C9"/>
    <mergeCell ref="F16:G16"/>
    <mergeCell ref="F24:H24"/>
    <mergeCell ref="F25:G25"/>
    <mergeCell ref="F19:G20"/>
    <mergeCell ref="H19:H20"/>
  </mergeCells>
  <conditionalFormatting sqref="G28">
    <cfRule type="containsText" dxfId="6" priority="10" operator="containsText" text="&quot;PREJUIZO&quot;">
      <formula>NOT(ISERROR(SEARCH("""PREJUIZO""",G28)))</formula>
    </cfRule>
  </conditionalFormatting>
  <conditionalFormatting sqref="H19">
    <cfRule type="containsText" dxfId="5" priority="7" operator="containsText" text="PONTO DE EQUI">
      <formula>NOT(ISERROR(SEARCH("PONTO DE EQUI",H19)))</formula>
    </cfRule>
    <cfRule type="containsText" dxfId="4" priority="8" operator="containsText" text="LUCRO">
      <formula>NOT(ISERROR(SEARCH("LUCRO",H19)))</formula>
    </cfRule>
    <cfRule type="containsText" dxfId="3" priority="9" operator="containsText" text="Prejuízo">
      <formula>NOT(ISERROR(SEARCH("Prejuízo",H19)))</formula>
    </cfRule>
  </conditionalFormatting>
  <conditionalFormatting sqref="F19">
    <cfRule type="cellIs" dxfId="0" priority="1" operator="lessThan">
      <formula>-0.01</formula>
    </cfRule>
    <cfRule type="cellIs" dxfId="2" priority="2" operator="greaterThan">
      <formula>0</formula>
    </cfRule>
    <cfRule type="cellIs" dxfId="1" priority="3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do ponto de equilíbrio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2018-04-25T14:24:52Z</dcterms:modified>
</cp:coreProperties>
</file>