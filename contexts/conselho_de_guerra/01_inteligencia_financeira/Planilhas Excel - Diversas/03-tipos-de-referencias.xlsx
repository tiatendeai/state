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Noturno\Paulista37\Aluno4\VIVIANE CAMPOS\2º Aula\"/>
    </mc:Choice>
  </mc:AlternateContent>
  <xr:revisionPtr revIDLastSave="0" documentId="10_ncr:8100000_{0C3DA71C-E372-49A3-B70E-8F6746842CF5}" xr6:coauthVersionLast="33" xr6:coauthVersionMax="33" xr10:uidLastSave="{00000000-0000-0000-0000-000000000000}"/>
  <bookViews>
    <workbookView xWindow="0" yWindow="0" windowWidth="19200" windowHeight="11085" firstSheet="5" activeTab="9" xr2:uid="{00000000-000D-0000-FFFF-FFFF00000000}"/>
  </bookViews>
  <sheets>
    <sheet name="índice" sheetId="11" r:id="rId1"/>
    <sheet name="Relativa" sheetId="1" r:id="rId2"/>
    <sheet name="Absoluta" sheetId="2" r:id="rId3"/>
    <sheet name="Mista" sheetId="3" r:id="rId4"/>
    <sheet name="Tabuada" sheetId="5" r:id="rId5"/>
    <sheet name="Desconto" sheetId="7" r:id="rId6"/>
    <sheet name="Ref. Relativa e Absoluta II" sheetId="6" r:id="rId7"/>
    <sheet name="Renomeando intervalos" sheetId="8" r:id="rId8"/>
    <sheet name="EX01" sheetId="9" r:id="rId9"/>
    <sheet name="EX02" sheetId="10" r:id="rId10"/>
  </sheets>
  <definedNames>
    <definedName name="a" hidden="1">{"azul",#N/A,FALSE,"geral";"verde",#N/A,FALSE,"geral";"vermelho",#N/A,FALSE,"geral"}</definedName>
    <definedName name="anscount" hidden="1">5</definedName>
    <definedName name="b" hidden="1">{"azul",#N/A,FALSE,"geral";"verde",#N/A,FALSE,"geral";"vermelho",#N/A,FALSE,"geral"}</definedName>
    <definedName name="ba" hidden="1">{"azul",#N/A,FALSE,"geral";"verde",#N/A,FALSE,"geral";"vermelho",#N/A,FALSE,"geral"}</definedName>
    <definedName name="conf" hidden="1">{"azul",#N/A,FALSE,"geral";"verde",#N/A,FALSE,"geral";"vermelho",#N/A,FALSE,"geral"}</definedName>
    <definedName name="conf1" hidden="1">{"azul",#N/A,FALSE,"geral";"verde",#N/A,FALSE,"geral";"vermelho",#N/A,FALSE,"geral"}</definedName>
    <definedName name="Cotação_do_Dólar">'Renomeando intervalos'!$B$2</definedName>
    <definedName name="Cotação_do_Euro">'Renomeando intervalos'!$B$3</definedName>
    <definedName name="d" hidden="1">{"azul",#N/A,FALSE,"geral";"verde",#N/A,FALSE,"geral";"vermelho",#N/A,FALSE,"geral"}</definedName>
    <definedName name="da" hidden="1">{"azul",#N/A,FALSE,"geral";"verde",#N/A,FALSE,"geral";"vermelho",#N/A,FALSE,"geral"}</definedName>
    <definedName name="DFDFD" hidden="1">{#N/A,"Médio",TRUE,"Plan30";"3º Trimestre Geral",#N/A,TRUE,"1º Trimestre"}</definedName>
    <definedName name="dolar2">'EX01'!$B$3</definedName>
    <definedName name="e" hidden="1">{"azul",#N/A,FALSE,"geral";"verde",#N/A,FALSE,"geral";"vermelho",#N/A,FALSE,"geral"}</definedName>
    <definedName name="ea" hidden="1">{"azul",#N/A,FALSE,"geral";"verde",#N/A,FALSE,"geral";"vermelho",#N/A,FALSE,"geral"}</definedName>
    <definedName name="entrada">'EX02'!$E$1:$E$11</definedName>
    <definedName name="entradas">'EX02'!$E$2:$E$11</definedName>
    <definedName name="EXER" hidden="1">{"azul",#N/A,FALSE,"geral";"verde",#N/A,FALSE,"geral";"vermelho",#N/A,FALSE,"geral"}</definedName>
    <definedName name="exercicio2" hidden="1">{"azul",#N/A,FALSE,"geral";"verde",#N/A,FALSE,"geral";"vermelho",#N/A,FALSE,"geral"}</definedName>
    <definedName name="g" hidden="1">{"normal","argentina",FALSE,"cenários e solver";#N/A,#N/A,FALSE,"banco de dados"}</definedName>
    <definedName name="limcount" hidden="1">1</definedName>
    <definedName name="Resumo" hidden="1">{"azul",#N/A,FALSE,"geral";"verde",#N/A,FALSE,"geral";"vermelho",#N/A,FALSE,"geral"}</definedName>
    <definedName name="resumoa" hidden="1">{"azul",#N/A,FALSE,"geral";"verde",#N/A,FALSE,"geral";"vermelho",#N/A,FALSE,"geral"}</definedName>
    <definedName name="saidas">'EX02'!$G$1:$G$11</definedName>
    <definedName name="Saídas">'EX02'!$G$2:$G$11</definedName>
    <definedName name="sencount" hidden="1">1</definedName>
    <definedName name="solver_lhs0" hidden="1">#REF!</definedName>
    <definedName name="solver_lhs10" hidden="1">#REF!</definedName>
    <definedName name="solver_lhs11" hidden="1">#REF!</definedName>
    <definedName name="solver_lhs12" hidden="1">#REF!</definedName>
    <definedName name="solver_lhs7" hidden="1">#REF!</definedName>
    <definedName name="solver_lhs8" hidden="1">#REF!</definedName>
    <definedName name="solver_lhs9" hidden="1">#REF!</definedName>
    <definedName name="solver_rel0" hidden="1">2</definedName>
    <definedName name="solver_rel10" hidden="1">3</definedName>
    <definedName name="solver_rel11" hidden="1">4</definedName>
    <definedName name="solver_rel12" hidden="1">4</definedName>
    <definedName name="solver_rel7" hidden="1">3</definedName>
    <definedName name="solver_rel8" hidden="1">3</definedName>
    <definedName name="solver_rel9" hidden="1">3</definedName>
    <definedName name="solver_rhs10" hidden="1">#REF!</definedName>
    <definedName name="solver_rhs11" hidden="1">número</definedName>
    <definedName name="solver_rhs12" hidden="1">número</definedName>
    <definedName name="solver_rhs7" hidden="1">#REF!</definedName>
    <definedName name="solver_rhs8" hidden="1">#REF!</definedName>
    <definedName name="solver_rhs9" hidden="1">#REF!</definedName>
    <definedName name="solver_tmp" hidden="1">0</definedName>
    <definedName name="teste" hidden="1">{"normal","argentina",FALSE,"cenários e solver";#N/A,#N/A,FALSE,"banco de dados"}</definedName>
    <definedName name="v" hidden="1">{"normal","argentina",FALSE,"cenários e solver";#N/A,#N/A,FALSE,"banco de dados"}</definedName>
    <definedName name="vandasa" hidden="1">{"Normal","receita baixa",TRUE,"CENÁRIO ATUAL";"Linhas de Totais","despesa alta",TRUE,"CENÁRIO ATUAL";"Primeiros Meses","despesa baixa",TRUE,"CENÁRIO ATUAL";"Últimos Meses","receita alta",TRUE,"CENÁRIO ATUAL"}</definedName>
    <definedName name="Vendas" hidden="1">{"Normal","receita baixa",TRUE,"CENÁRIO ATUAL";"Linhas de Totais","despesa alta",TRUE,"CENÁRIO ATUAL";"Primeiros Meses","despesa baixa",TRUE,"CENÁRIO ATUAL";"Últimos Meses","receita alta",TRUE,"CENÁRIO ATUAL"}</definedName>
    <definedName name="wrf" hidden="1">{"Normal","receita baixa",TRUE,"CENÁRIO ATUAL";"Linhas de Totais","despesa alta",TRUE,"CENÁRIO ATUAL";"Primeiros Meses","despesa baixa",TRUE,"CENÁRIO ATUAL";"Últimos Meses","receita alta",TRUE,"CENÁRIO ATUAL"}</definedName>
    <definedName name="wrn.Alfa." hidden="1">{#N/A,"Médio",TRUE,"Plan30";"3º Trimestre Geral",#N/A,TRUE,"1º Trimestre"}</definedName>
    <definedName name="wrn.aula." hidden="1">{"azul",#N/A,FALSE,"geral";"verde",#N/A,FALSE,"geral";"vermelho",#N/A,FALSE,"geral"}</definedName>
    <definedName name="wrn.aulaa" hidden="1">{"azul",#N/A,FALSE,"geral";"verde",#N/A,FALSE,"geral";"vermelho",#N/A,FALSE,"geral"}</definedName>
    <definedName name="wrn.Bom." hidden="1">{#N/A,"Bom",FALSE,"Cenario 34"}</definedName>
    <definedName name="wrn.Colar._.Especial." hidden="1">{#N/A,#N/A,FALSE,"Colar especial 11"}</definedName>
    <definedName name="wrn.fluxo._.de._.caixa." hidden="1">{"normal","argentina",FALSE,"cenários e solver";#N/A,#N/A,FALSE,"banco de dados"}</definedName>
    <definedName name="wrn.Mensal." hidden="1">{"Integral",#N/A,FALSE,"Plan1"}</definedName>
    <definedName name="wrn.Minas._.Gerais." hidden="1">{"Minas Gerais",#N/A,FALSE,"Exibição 41"}</definedName>
    <definedName name="wrn.Relat.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._.Final." hidden="1">{"Normal","receita baixa",TRUE,"CENÁRIO ATUAL";"Linhas de Totais","despesa alta",TRUE,"CENÁRIO ATUAL";"Primeiros Meses","despesa baixa",TRUE,"CENÁRIO ATUAL";"Últimos Meses","receita alta",TRUE,"CENÁRIO ATUAL"}</definedName>
    <definedName name="wrn.relata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ório._.Mensal." hidden="1">{"Modo1","Otimista",FALSE,"Orçamento Pessoal"}</definedName>
    <definedName name="wrn.Ruim." hidden="1">{#N/A,"Ruim",FALSE,"Cenario 34"}</definedName>
    <definedName name="wrn.Santa._.Catarina." hidden="1">{"Santa Catarina",#N/A,FALSE,"Exibição 41"}</definedName>
    <definedName name="yu" hidden="1">{"normal","argentina",FALSE,"cenários e solver";#N/A,#N/A,FALSE,"banco de dados"}</definedName>
  </definedNames>
  <calcPr calcId="162913"/>
</workbook>
</file>

<file path=xl/calcChain.xml><?xml version="1.0" encoding="utf-8"?>
<calcChain xmlns="http://schemas.openxmlformats.org/spreadsheetml/2006/main">
  <c r="B5" i="10" l="1"/>
  <c r="B3" i="10"/>
  <c r="C7" i="9"/>
  <c r="C8" i="9"/>
  <c r="C9" i="9"/>
  <c r="C10" i="9"/>
  <c r="C11" i="9"/>
  <c r="C12" i="9"/>
  <c r="C13" i="9"/>
  <c r="C14" i="9"/>
  <c r="C15" i="9"/>
  <c r="C6" i="9"/>
  <c r="D7" i="8"/>
  <c r="D8" i="8"/>
  <c r="D9" i="8"/>
  <c r="D10" i="8"/>
  <c r="D11" i="8"/>
  <c r="D12" i="8"/>
  <c r="D13" i="8"/>
  <c r="D14" i="8"/>
  <c r="D15" i="8"/>
  <c r="D6" i="8"/>
  <c r="C7" i="8"/>
  <c r="C8" i="8"/>
  <c r="C9" i="8"/>
  <c r="C10" i="8"/>
  <c r="C11" i="8"/>
  <c r="C12" i="8"/>
  <c r="C13" i="8"/>
  <c r="C14" i="8"/>
  <c r="C15" i="8"/>
  <c r="C6" i="8"/>
  <c r="B8" i="10" l="1"/>
  <c r="E13" i="6"/>
  <c r="E14" i="6"/>
  <c r="E15" i="6"/>
  <c r="E16" i="6"/>
  <c r="E17" i="6"/>
  <c r="E12" i="6"/>
  <c r="D6" i="7"/>
  <c r="E6" i="7"/>
  <c r="F6" i="7"/>
  <c r="G6" i="7"/>
  <c r="H6" i="7"/>
  <c r="D7" i="7"/>
  <c r="E7" i="7"/>
  <c r="F7" i="7"/>
  <c r="G7" i="7"/>
  <c r="H7" i="7"/>
  <c r="C7" i="7"/>
  <c r="C6" i="7"/>
  <c r="D13" i="6"/>
  <c r="D14" i="6"/>
  <c r="D15" i="6"/>
  <c r="D16" i="6"/>
  <c r="D17" i="6"/>
  <c r="D12" i="6"/>
  <c r="F5" i="6"/>
  <c r="F6" i="6"/>
  <c r="F7" i="6"/>
  <c r="F8" i="6"/>
  <c r="F4" i="6"/>
  <c r="E5" i="6"/>
  <c r="E6" i="6"/>
  <c r="E7" i="6"/>
  <c r="E8" i="6"/>
  <c r="E4" i="6"/>
  <c r="B6" i="5"/>
  <c r="C6" i="5"/>
  <c r="D6" i="5"/>
  <c r="E6" i="5"/>
  <c r="F6" i="5"/>
  <c r="G6" i="5"/>
  <c r="H6" i="5"/>
  <c r="I6" i="5"/>
  <c r="J6" i="5"/>
  <c r="K6" i="5"/>
  <c r="C7" i="5"/>
  <c r="D7" i="5"/>
  <c r="E7" i="5"/>
  <c r="F7" i="5"/>
  <c r="G7" i="5"/>
  <c r="H7" i="5"/>
  <c r="I7" i="5"/>
  <c r="J7" i="5"/>
  <c r="K7" i="5"/>
  <c r="C8" i="5"/>
  <c r="D8" i="5"/>
  <c r="E8" i="5"/>
  <c r="F8" i="5"/>
  <c r="G8" i="5"/>
  <c r="H8" i="5"/>
  <c r="I8" i="5"/>
  <c r="J8" i="5"/>
  <c r="K8" i="5"/>
  <c r="C9" i="5"/>
  <c r="D9" i="5"/>
  <c r="E9" i="5"/>
  <c r="F9" i="5"/>
  <c r="G9" i="5"/>
  <c r="H9" i="5"/>
  <c r="I9" i="5"/>
  <c r="J9" i="5"/>
  <c r="K9" i="5"/>
  <c r="C10" i="5"/>
  <c r="D10" i="5"/>
  <c r="E10" i="5"/>
  <c r="F10" i="5"/>
  <c r="G10" i="5"/>
  <c r="H10" i="5"/>
  <c r="I10" i="5"/>
  <c r="J10" i="5"/>
  <c r="K10" i="5"/>
  <c r="C11" i="5"/>
  <c r="D11" i="5"/>
  <c r="E11" i="5"/>
  <c r="F11" i="5"/>
  <c r="G11" i="5"/>
  <c r="H11" i="5"/>
  <c r="I11" i="5"/>
  <c r="J11" i="5"/>
  <c r="K11" i="5"/>
  <c r="C12" i="5"/>
  <c r="D12" i="5"/>
  <c r="E12" i="5"/>
  <c r="F12" i="5"/>
  <c r="G12" i="5"/>
  <c r="H12" i="5"/>
  <c r="I12" i="5"/>
  <c r="J12" i="5"/>
  <c r="K12" i="5"/>
  <c r="C13" i="5"/>
  <c r="D13" i="5"/>
  <c r="E13" i="5"/>
  <c r="F13" i="5"/>
  <c r="G13" i="5"/>
  <c r="H13" i="5"/>
  <c r="I13" i="5"/>
  <c r="J13" i="5"/>
  <c r="K13" i="5"/>
  <c r="C14" i="5"/>
  <c r="D14" i="5"/>
  <c r="E14" i="5"/>
  <c r="F14" i="5"/>
  <c r="G14" i="5"/>
  <c r="H14" i="5"/>
  <c r="I14" i="5"/>
  <c r="J14" i="5"/>
  <c r="K14" i="5"/>
  <c r="C15" i="5"/>
  <c r="D15" i="5"/>
  <c r="E15" i="5"/>
  <c r="F15" i="5"/>
  <c r="G15" i="5"/>
  <c r="H15" i="5"/>
  <c r="I15" i="5"/>
  <c r="J15" i="5"/>
  <c r="K15" i="5"/>
  <c r="B7" i="5"/>
  <c r="B8" i="5"/>
  <c r="B9" i="5"/>
  <c r="B10" i="5"/>
  <c r="B11" i="5"/>
  <c r="B12" i="5"/>
  <c r="B13" i="5"/>
  <c r="B14" i="5"/>
  <c r="B15" i="5"/>
  <c r="C11" i="3"/>
  <c r="D11" i="3"/>
  <c r="B11" i="3"/>
  <c r="C10" i="3"/>
  <c r="D10" i="3"/>
  <c r="B10" i="3"/>
  <c r="C9" i="3"/>
  <c r="D9" i="3"/>
  <c r="B9" i="3"/>
  <c r="F6" i="2"/>
  <c r="F7" i="2"/>
  <c r="F8" i="2"/>
  <c r="F9" i="2"/>
  <c r="F10" i="2"/>
  <c r="F5" i="2"/>
  <c r="E6" i="2"/>
  <c r="E7" i="2"/>
  <c r="E8" i="2"/>
  <c r="E9" i="2"/>
  <c r="E10" i="2"/>
  <c r="E5" i="2"/>
  <c r="E5" i="1"/>
  <c r="E6" i="1"/>
  <c r="E7" i="1"/>
  <c r="E8" i="1"/>
  <c r="E9" i="1"/>
  <c r="E4" i="1"/>
  <c r="B20" i="6" l="1"/>
  <c r="C22" i="6" l="1"/>
  <c r="C23" i="6"/>
  <c r="C24" i="6"/>
  <c r="C25" i="6"/>
  <c r="C26" i="6"/>
  <c r="E15" i="9"/>
  <c r="E14" i="9"/>
  <c r="E13" i="9"/>
  <c r="E12" i="9"/>
  <c r="E11" i="9"/>
  <c r="E10" i="9"/>
  <c r="E9" i="9"/>
  <c r="E8" i="9"/>
  <c r="E7" i="9"/>
  <c r="E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Bruno de Almeida Costa</author>
  </authors>
  <commentList>
    <comment ref="E3" authorId="0" shapeId="0" xr:uid="{FE6DB1FC-5AF9-4288-A9DC-19A605AD3E78}">
      <text>
        <r>
          <rPr>
            <sz val="12"/>
            <color indexed="81"/>
            <rFont val="Tahoma"/>
            <family val="2"/>
          </rPr>
          <t>O total da venda resulta no cálculo de todos os produtos vendidos, por vendedor.</t>
        </r>
      </text>
    </comment>
    <comment ref="E11" authorId="1" shapeId="0" xr:uid="{3DDC42AC-E539-4DFE-ACBF-079CD3E6CB7C}">
      <text>
        <r>
          <rPr>
            <sz val="9"/>
            <color indexed="81"/>
            <rFont val="Segoe UI"/>
            <family val="2"/>
          </rPr>
          <t xml:space="preserve">Já o investimento líquido, é o que sobra do investimento bruto descontando a perda média, assim como no cálculo de um salário líquido.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Leal</author>
  </authors>
  <commentList>
    <comment ref="C6" authorId="0" shapeId="0" xr:uid="{6590D22D-1C05-4485-9577-BB9863622CBA}">
      <text>
        <r>
          <rPr>
            <sz val="9"/>
            <color indexed="81"/>
            <rFont val="Tahoma"/>
            <family val="2"/>
          </rPr>
          <t>Valor US$ * Cotação do Dolar</t>
        </r>
      </text>
    </comment>
    <comment ref="D6" authorId="0" shapeId="0" xr:uid="{364A4C1D-130D-44BC-852D-1B5295F23BB5}">
      <text>
        <r>
          <rPr>
            <sz val="9"/>
            <color indexed="81"/>
            <rFont val="Tahoma"/>
            <family val="2"/>
          </rPr>
          <t xml:space="preserve">Valor R$ * Cotação Euro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Roberto</author>
  </authors>
  <commentList>
    <comment ref="C6" authorId="0" shapeId="0" xr:uid="{8A404619-15B8-45F7-91A0-F9EC38F2E86A}">
      <text>
        <r>
          <rPr>
            <sz val="8"/>
            <color indexed="81"/>
            <rFont val="Tahoma"/>
            <family val="2"/>
          </rPr>
          <t xml:space="preserve">
Valor em US$ * Valor do Dólar</t>
        </r>
      </text>
    </comment>
  </commentList>
</comments>
</file>

<file path=xl/sharedStrings.xml><?xml version="1.0" encoding="utf-8"?>
<sst xmlns="http://schemas.openxmlformats.org/spreadsheetml/2006/main" count="137" uniqueCount="118">
  <si>
    <t>Código</t>
  </si>
  <si>
    <t>Produto</t>
  </si>
  <si>
    <t>Valor Unitário</t>
  </si>
  <si>
    <t>Total</t>
  </si>
  <si>
    <t>Tabela de Produtos</t>
  </si>
  <si>
    <t>Qtde</t>
  </si>
  <si>
    <t xml:space="preserve">Lápis </t>
  </si>
  <si>
    <t>Borracha</t>
  </si>
  <si>
    <t>Caneta</t>
  </si>
  <si>
    <t>Fichario</t>
  </si>
  <si>
    <t>Lapis de Cor</t>
  </si>
  <si>
    <t>Caderdo 200 fl</t>
  </si>
  <si>
    <t>Nome</t>
  </si>
  <si>
    <t>Janeiro</t>
  </si>
  <si>
    <t>Fevereiro</t>
  </si>
  <si>
    <t>Março</t>
  </si>
  <si>
    <t>Daniel</t>
  </si>
  <si>
    <t>Bruno</t>
  </si>
  <si>
    <t>Nair</t>
  </si>
  <si>
    <t>Marcia</t>
  </si>
  <si>
    <t>Fabio</t>
  </si>
  <si>
    <t>Fernando</t>
  </si>
  <si>
    <t>Venda de Automóveis</t>
  </si>
  <si>
    <t>Vectra</t>
  </si>
  <si>
    <t>Gol</t>
  </si>
  <si>
    <t>Corsa</t>
  </si>
  <si>
    <t>Valor Reajustado de Janeiro</t>
  </si>
  <si>
    <t>Valor Reajustado de Fevereiro</t>
  </si>
  <si>
    <t>Valor Reajustado de Março</t>
  </si>
  <si>
    <t>Vendas</t>
  </si>
  <si>
    <t>Total Vendido</t>
  </si>
  <si>
    <t>Comissão R$</t>
  </si>
  <si>
    <t>Valor da comissão:</t>
  </si>
  <si>
    <t>Para obter todos os resultados de maneira simples e rápida, identifique quais formas de REFERÊNCIA melhor se aplicam a esse exercício.</t>
  </si>
  <si>
    <t>Tabuada Completa.</t>
  </si>
  <si>
    <t>Calcular a comissão dos vendedores, com base em um bonus VARIÁVEL, que possa ser ALTERADO e RECALCULADO a QUALQUER momento.</t>
  </si>
  <si>
    <t>Comissão atual:</t>
  </si>
  <si>
    <t>Vendedor</t>
  </si>
  <si>
    <t>Qtde. Vendida</t>
  </si>
  <si>
    <t>Preço Unitário</t>
  </si>
  <si>
    <t>Total de Venda</t>
  </si>
  <si>
    <t>Comissão</t>
  </si>
  <si>
    <t>Annie Lenox</t>
  </si>
  <si>
    <t>Lenovo Vibe K5</t>
  </si>
  <si>
    <t xml:space="preserve">Morrissey </t>
  </si>
  <si>
    <t>Samsung Galaxy S7</t>
  </si>
  <si>
    <t>Joan</t>
  </si>
  <si>
    <t>LG K10</t>
  </si>
  <si>
    <t>Luciano</t>
  </si>
  <si>
    <t>Dell Latutide 17"</t>
  </si>
  <si>
    <t>Shinji</t>
  </si>
  <si>
    <t>Mesha Power Veil</t>
  </si>
  <si>
    <t>Calcular o Investimento Educacional Estadual por Escola</t>
  </si>
  <si>
    <t xml:space="preserve">Perda Média: </t>
  </si>
  <si>
    <t>Unidade Federativa</t>
  </si>
  <si>
    <t>Montante</t>
  </si>
  <si>
    <t>Qtde. 
Escolas Disponíveis</t>
  </si>
  <si>
    <t>São Paulo</t>
  </si>
  <si>
    <t>Santa Catarina</t>
  </si>
  <si>
    <t>Rio Grande do Sul</t>
  </si>
  <si>
    <t>Bahia</t>
  </si>
  <si>
    <t>Rio de Janeiro</t>
  </si>
  <si>
    <t>Amazonas</t>
  </si>
  <si>
    <t>Calcule a data de entrega dos pedidos, com base na data de expedição especificada.</t>
  </si>
  <si>
    <t>Data de Expedição:</t>
  </si>
  <si>
    <t>Pedido</t>
  </si>
  <si>
    <t>Prazo de Entrega (Dias)</t>
  </si>
  <si>
    <t>Data de Entrega</t>
  </si>
  <si>
    <t>SGAT-S329919</t>
  </si>
  <si>
    <t>SGAT-S493037</t>
  </si>
  <si>
    <t>SGAT-S593058</t>
  </si>
  <si>
    <t>SGAT-S280533</t>
  </si>
  <si>
    <t>SGAT-S278677</t>
  </si>
  <si>
    <t>Valor do Investimento Bruto</t>
  </si>
  <si>
    <t>Valor do Investimento Líquido</t>
  </si>
  <si>
    <t>Valor reajustado em Dezembro</t>
  </si>
  <si>
    <t>Preço com desconto no cartão</t>
  </si>
  <si>
    <t>Preço com desconto à vista</t>
  </si>
  <si>
    <t>Preço</t>
  </si>
  <si>
    <t>Mouse</t>
  </si>
  <si>
    <t>Teclado</t>
  </si>
  <si>
    <t>Gabinete</t>
  </si>
  <si>
    <t>Fonte</t>
  </si>
  <si>
    <t>Processador</t>
  </si>
  <si>
    <t>Placa-mãe</t>
  </si>
  <si>
    <t>Desconto para pagamento 1 vez no cartão</t>
  </si>
  <si>
    <t>Desconto para pagamento a vista</t>
  </si>
  <si>
    <t>Cotação do Dólar:</t>
  </si>
  <si>
    <t>Cotação do Euro:</t>
  </si>
  <si>
    <t>Produtos</t>
  </si>
  <si>
    <t>Valor em US$</t>
  </si>
  <si>
    <t>Valor em R$</t>
  </si>
  <si>
    <t>Valor em €</t>
  </si>
  <si>
    <t>Fonte 200 W</t>
  </si>
  <si>
    <t>Modem</t>
  </si>
  <si>
    <t>Plotter</t>
  </si>
  <si>
    <t>CD-RW</t>
  </si>
  <si>
    <t>Scanner</t>
  </si>
  <si>
    <t>HDD</t>
  </si>
  <si>
    <t>Cabo Serial</t>
  </si>
  <si>
    <t>Impressora</t>
  </si>
  <si>
    <t>Tabela de Conversão de Valores</t>
  </si>
  <si>
    <t>Valor do Dólar:</t>
  </si>
  <si>
    <t>Resposta:</t>
  </si>
  <si>
    <t>Cálculos com Intervalos Nomeados</t>
  </si>
  <si>
    <t>Entradas</t>
  </si>
  <si>
    <t>Saídas</t>
  </si>
  <si>
    <t>Capítulo 5</t>
  </si>
  <si>
    <t>Referências de células</t>
  </si>
  <si>
    <t>Páginas 158 à 172</t>
  </si>
  <si>
    <t>Tipos de endereços</t>
  </si>
  <si>
    <t>Operadores de referências</t>
  </si>
  <si>
    <t>Intervalos nomeados</t>
  </si>
  <si>
    <t>Criando intervalos nomeados</t>
  </si>
  <si>
    <t>Referências 3D</t>
  </si>
  <si>
    <t>Receitas:</t>
  </si>
  <si>
    <t>Despesas:</t>
  </si>
  <si>
    <t>Líquido: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</si>
</sst>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#,##0.000"/>
    <numFmt numFmtId="166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indexed="81"/>
      <name val="Tahoma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color indexed="81"/>
      <name val="Tahoma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3" borderId="0" applyNumberFormat="0" applyBorder="0" applyAlignment="0" applyProtection="0"/>
    <xf numFmtId="0" fontId="2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64" fontId="0" fillId="0" borderId="1" xfId="1" applyFont="1" applyBorder="1"/>
    <xf numFmtId="164" fontId="0" fillId="0" borderId="1" xfId="0" applyNumberFormat="1" applyBorder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9" fontId="0" fillId="0" borderId="3" xfId="2" applyFont="1" applyBorder="1" applyAlignment="1"/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5" xfId="4" applyBorder="1" applyAlignment="1"/>
    <xf numFmtId="0" fontId="5" fillId="3" borderId="6" xfId="4" applyBorder="1" applyAlignment="1"/>
    <xf numFmtId="0" fontId="2" fillId="0" borderId="0" xfId="5"/>
    <xf numFmtId="0" fontId="5" fillId="4" borderId="7" xfId="6" applyFont="1" applyBorder="1" applyAlignment="1"/>
    <xf numFmtId="9" fontId="5" fillId="4" borderId="8" xfId="6" applyNumberFormat="1" applyBorder="1" applyAlignment="1"/>
    <xf numFmtId="0" fontId="5" fillId="5" borderId="9" xfId="7" applyBorder="1" applyAlignment="1"/>
    <xf numFmtId="0" fontId="5" fillId="5" borderId="10" xfId="7" applyBorder="1" applyAlignment="1"/>
    <xf numFmtId="0" fontId="5" fillId="5" borderId="11" xfId="7" applyBorder="1" applyAlignment="1"/>
    <xf numFmtId="0" fontId="2" fillId="0" borderId="12" xfId="5" applyBorder="1"/>
    <xf numFmtId="0" fontId="2" fillId="0" borderId="1" xfId="5" applyBorder="1"/>
    <xf numFmtId="44" fontId="2" fillId="0" borderId="1" xfId="5" applyNumberFormat="1" applyBorder="1"/>
    <xf numFmtId="44" fontId="2" fillId="0" borderId="13" xfId="5" applyNumberFormat="1" applyBorder="1"/>
    <xf numFmtId="0" fontId="2" fillId="0" borderId="14" xfId="5" applyBorder="1"/>
    <xf numFmtId="0" fontId="2" fillId="0" borderId="15" xfId="5" applyBorder="1"/>
    <xf numFmtId="44" fontId="2" fillId="0" borderId="15" xfId="5" applyNumberFormat="1" applyBorder="1"/>
    <xf numFmtId="9" fontId="5" fillId="3" borderId="19" xfId="4" applyNumberFormat="1" applyBorder="1" applyAlignment="1"/>
    <xf numFmtId="0" fontId="5" fillId="5" borderId="9" xfId="7" applyBorder="1" applyAlignment="1">
      <alignment horizontal="left" vertical="center"/>
    </xf>
    <xf numFmtId="0" fontId="5" fillId="5" borderId="10" xfId="7" applyBorder="1" applyAlignment="1">
      <alignment horizontal="left" vertical="center"/>
    </xf>
    <xf numFmtId="0" fontId="5" fillId="5" borderId="20" xfId="7" applyBorder="1" applyAlignment="1">
      <alignment horizontal="left" vertical="center" wrapText="1"/>
    </xf>
    <xf numFmtId="0" fontId="5" fillId="5" borderId="21" xfId="7" applyBorder="1" applyAlignment="1">
      <alignment horizontal="left" vertical="center" wrapText="1"/>
    </xf>
    <xf numFmtId="0" fontId="2" fillId="0" borderId="0" xfId="5" applyBorder="1"/>
    <xf numFmtId="44" fontId="2" fillId="0" borderId="0" xfId="5" applyNumberFormat="1" applyBorder="1"/>
    <xf numFmtId="0" fontId="5" fillId="3" borderId="5" xfId="4" applyBorder="1"/>
    <xf numFmtId="0" fontId="5" fillId="3" borderId="6" xfId="4" applyBorder="1"/>
    <xf numFmtId="0" fontId="5" fillId="3" borderId="19" xfId="4" applyBorder="1"/>
    <xf numFmtId="14" fontId="5" fillId="4" borderId="22" xfId="6" applyNumberFormat="1" applyBorder="1"/>
    <xf numFmtId="14" fontId="5" fillId="4" borderId="23" xfId="6" applyNumberFormat="1" applyBorder="1"/>
    <xf numFmtId="14" fontId="5" fillId="5" borderId="9" xfId="7" applyNumberFormat="1" applyBorder="1"/>
    <xf numFmtId="0" fontId="5" fillId="5" borderId="10" xfId="7" applyBorder="1"/>
    <xf numFmtId="0" fontId="5" fillId="5" borderId="11" xfId="7" applyBorder="1"/>
    <xf numFmtId="14" fontId="2" fillId="0" borderId="13" xfId="5" applyNumberFormat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0" fontId="8" fillId="7" borderId="1" xfId="0" applyFont="1" applyFill="1" applyBorder="1"/>
    <xf numFmtId="0" fontId="0" fillId="7" borderId="1" xfId="0" applyFill="1" applyBorder="1"/>
    <xf numFmtId="9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right"/>
    </xf>
    <xf numFmtId="165" fontId="0" fillId="0" borderId="1" xfId="8" applyNumberFormat="1" applyFont="1" applyBorder="1"/>
    <xf numFmtId="0" fontId="8" fillId="0" borderId="1" xfId="0" applyFont="1" applyBorder="1" applyAlignment="1">
      <alignment horizontal="center" vertical="center" wrapText="1"/>
    </xf>
    <xf numFmtId="4" fontId="0" fillId="0" borderId="1" xfId="0" applyNumberFormat="1" applyBorder="1"/>
    <xf numFmtId="166" fontId="0" fillId="0" borderId="1" xfId="9" applyFont="1" applyBorder="1"/>
    <xf numFmtId="0" fontId="11" fillId="0" borderId="0" xfId="0" applyFont="1"/>
    <xf numFmtId="44" fontId="0" fillId="0" borderId="0" xfId="3" applyFont="1"/>
    <xf numFmtId="0" fontId="12" fillId="7" borderId="1" xfId="0" applyFont="1" applyFill="1" applyBorder="1" applyAlignment="1">
      <alignment horizontal="center" vertical="center"/>
    </xf>
    <xf numFmtId="0" fontId="0" fillId="0" borderId="1" xfId="0" applyFill="1" applyBorder="1"/>
    <xf numFmtId="44" fontId="0" fillId="0" borderId="1" xfId="3" applyFont="1" applyBorder="1"/>
    <xf numFmtId="0" fontId="2" fillId="0" borderId="1" xfId="5" applyBorder="1" applyAlignment="1">
      <alignment horizontal="center"/>
    </xf>
    <xf numFmtId="0" fontId="2" fillId="0" borderId="15" xfId="5" applyBorder="1" applyAlignment="1">
      <alignment horizontal="center"/>
    </xf>
    <xf numFmtId="0" fontId="2" fillId="0" borderId="1" xfId="5" applyBorder="1" applyAlignment="1">
      <alignment horizontal="center" vertical="center"/>
    </xf>
    <xf numFmtId="0" fontId="2" fillId="0" borderId="15" xfId="5" applyBorder="1" applyAlignment="1">
      <alignment horizontal="center" vertical="center"/>
    </xf>
    <xf numFmtId="44" fontId="5" fillId="5" borderId="10" xfId="7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/>
    <xf numFmtId="43" fontId="0" fillId="0" borderId="0" xfId="0" applyNumberForma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16" xfId="4" applyBorder="1" applyAlignment="1"/>
    <xf numFmtId="0" fontId="5" fillId="3" borderId="17" xfId="4" applyBorder="1" applyAlignment="1"/>
    <xf numFmtId="0" fontId="5" fillId="3" borderId="18" xfId="4" applyBorder="1" applyAlignment="1"/>
    <xf numFmtId="0" fontId="8" fillId="0" borderId="0" xfId="0" applyFont="1" applyAlignment="1">
      <alignment horizontal="center"/>
    </xf>
  </cellXfs>
  <cellStyles count="10">
    <cellStyle name="Ênfase1 2" xfId="4" xr:uid="{88E17CC3-88B4-473E-B10B-DDBD7941A9AB}"/>
    <cellStyle name="Ênfase2 2" xfId="6" xr:uid="{D71CDA73-800F-41E5-A89B-9E72C2E6F100}"/>
    <cellStyle name="Ênfase5 2" xfId="7" xr:uid="{2381785E-15C6-4AD4-A2A9-557F3F3FDE5E}"/>
    <cellStyle name="Moeda" xfId="1" builtinId="4"/>
    <cellStyle name="Moeda 2" xfId="3" xr:uid="{E559A858-940C-4BB1-A719-51DAF5DA4DB2}"/>
    <cellStyle name="Normal" xfId="0" builtinId="0"/>
    <cellStyle name="Normal 3" xfId="5" xr:uid="{211E2538-3F5D-4E37-BCD1-A89593871E52}"/>
    <cellStyle name="Porcentagem" xfId="2" builtinId="5"/>
    <cellStyle name="Vírgula 2" xfId="8" xr:uid="{D539F59B-5CA1-49BD-A8AE-71B10FC4366B}"/>
    <cellStyle name="Vírgula 3" xfId="9" xr:uid="{62E73B2C-C1CC-4721-AFCD-AB861DB8BE3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11</xdr:col>
      <xdr:colOff>9525</xdr:colOff>
      <xdr:row>31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1042CF0-995C-47B1-BDEC-7B88F1B48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2375"/>
          <a:ext cx="6715125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8B70-33A6-4AC5-B6FD-C17562164B45}">
  <dimension ref="A1:A8"/>
  <sheetViews>
    <sheetView workbookViewId="0">
      <selection activeCell="A5" sqref="A5"/>
    </sheetView>
  </sheetViews>
  <sheetFormatPr defaultRowHeight="15" x14ac:dyDescent="0.25"/>
  <cols>
    <col min="1" max="1" width="27.42578125" bestFit="1" customWidth="1"/>
  </cols>
  <sheetData>
    <row r="1" spans="1:1" ht="18.75" x14ac:dyDescent="0.25">
      <c r="A1" s="62" t="s">
        <v>107</v>
      </c>
    </row>
    <row r="2" spans="1:1" ht="18.75" x14ac:dyDescent="0.25">
      <c r="A2" s="62" t="s">
        <v>108</v>
      </c>
    </row>
    <row r="3" spans="1:1" ht="18.75" x14ac:dyDescent="0.25">
      <c r="A3" s="62" t="s">
        <v>109</v>
      </c>
    </row>
    <row r="4" spans="1:1" x14ac:dyDescent="0.25">
      <c r="A4" s="3" t="s">
        <v>110</v>
      </c>
    </row>
    <row r="5" spans="1:1" x14ac:dyDescent="0.25">
      <c r="A5" s="3" t="s">
        <v>111</v>
      </c>
    </row>
    <row r="6" spans="1:1" x14ac:dyDescent="0.25">
      <c r="A6" s="3" t="s">
        <v>112</v>
      </c>
    </row>
    <row r="7" spans="1:1" x14ac:dyDescent="0.25">
      <c r="A7" s="63" t="s">
        <v>113</v>
      </c>
    </row>
    <row r="8" spans="1:1" x14ac:dyDescent="0.25">
      <c r="A8" s="63" t="s">
        <v>114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zoomScale="175" zoomScaleNormal="175" workbookViewId="0">
      <selection activeCell="E11" sqref="E11:E12"/>
    </sheetView>
  </sheetViews>
  <sheetFormatPr defaultColWidth="32.85546875" defaultRowHeight="15" x14ac:dyDescent="0.25"/>
  <cols>
    <col min="1" max="1" width="7.140625" bestFit="1" customWidth="1"/>
    <col min="2" max="2" width="13.7109375" bestFit="1" customWidth="1"/>
    <col min="3" max="3" width="5.42578125" bestFit="1" customWidth="1"/>
    <col min="4" max="4" width="13.42578125" bestFit="1" customWidth="1"/>
    <col min="5" max="5" width="12.42578125" bestFit="1" customWidth="1"/>
  </cols>
  <sheetData>
    <row r="1" spans="1:5" x14ac:dyDescent="0.25">
      <c r="A1" s="73" t="s">
        <v>4</v>
      </c>
      <c r="B1" s="73"/>
      <c r="C1" s="73"/>
      <c r="D1" s="73"/>
      <c r="E1" s="73"/>
    </row>
    <row r="2" spans="1:5" x14ac:dyDescent="0.25">
      <c r="A2" s="73"/>
      <c r="B2" s="73"/>
      <c r="C2" s="73"/>
      <c r="D2" s="73"/>
      <c r="E2" s="73"/>
    </row>
    <row r="3" spans="1:5" x14ac:dyDescent="0.25">
      <c r="A3" s="1" t="s">
        <v>0</v>
      </c>
      <c r="B3" s="1" t="s">
        <v>1</v>
      </c>
      <c r="C3" s="1" t="s">
        <v>5</v>
      </c>
      <c r="D3" s="2" t="s">
        <v>2</v>
      </c>
      <c r="E3" s="1" t="s">
        <v>3</v>
      </c>
    </row>
    <row r="4" spans="1:5" x14ac:dyDescent="0.25">
      <c r="A4" s="3">
        <v>1010</v>
      </c>
      <c r="B4" s="3" t="s">
        <v>6</v>
      </c>
      <c r="C4" s="3">
        <v>52</v>
      </c>
      <c r="D4" s="4">
        <v>1.5</v>
      </c>
      <c r="E4" s="5">
        <f>C4*D4</f>
        <v>78</v>
      </c>
    </row>
    <row r="5" spans="1:5" x14ac:dyDescent="0.25">
      <c r="A5" s="3">
        <v>1020</v>
      </c>
      <c r="B5" s="3" t="s">
        <v>7</v>
      </c>
      <c r="C5" s="3">
        <v>30</v>
      </c>
      <c r="D5" s="4">
        <v>1.1499999999999999</v>
      </c>
      <c r="E5" s="5">
        <f t="shared" ref="E5:E9" si="0">C5*D5</f>
        <v>34.5</v>
      </c>
    </row>
    <row r="6" spans="1:5" x14ac:dyDescent="0.25">
      <c r="A6" s="3">
        <v>1030</v>
      </c>
      <c r="B6" s="3" t="s">
        <v>8</v>
      </c>
      <c r="C6" s="3">
        <v>60</v>
      </c>
      <c r="D6" s="4">
        <v>2.1</v>
      </c>
      <c r="E6" s="5">
        <f t="shared" si="0"/>
        <v>126</v>
      </c>
    </row>
    <row r="7" spans="1:5" x14ac:dyDescent="0.25">
      <c r="A7" s="3">
        <v>1040</v>
      </c>
      <c r="B7" s="3" t="s">
        <v>9</v>
      </c>
      <c r="C7" s="3">
        <v>15</v>
      </c>
      <c r="D7" s="4">
        <v>35.9</v>
      </c>
      <c r="E7" s="5">
        <f t="shared" si="0"/>
        <v>538.5</v>
      </c>
    </row>
    <row r="8" spans="1:5" x14ac:dyDescent="0.25">
      <c r="A8" s="3">
        <v>1050</v>
      </c>
      <c r="B8" s="3" t="s">
        <v>10</v>
      </c>
      <c r="C8" s="3">
        <v>32</v>
      </c>
      <c r="D8" s="4">
        <v>42</v>
      </c>
      <c r="E8" s="5">
        <f t="shared" si="0"/>
        <v>1344</v>
      </c>
    </row>
    <row r="9" spans="1:5" x14ac:dyDescent="0.25">
      <c r="A9" s="3">
        <v>1060</v>
      </c>
      <c r="B9" s="3" t="s">
        <v>11</v>
      </c>
      <c r="C9" s="3">
        <v>12</v>
      </c>
      <c r="D9" s="4">
        <v>32</v>
      </c>
      <c r="E9" s="5">
        <f t="shared" si="0"/>
        <v>384</v>
      </c>
    </row>
    <row r="10" spans="1:5" x14ac:dyDescent="0.25">
      <c r="E10" s="71"/>
    </row>
  </sheetData>
  <mergeCells count="1">
    <mergeCell ref="A1:E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zoomScale="160" zoomScaleNormal="160" workbookViewId="0">
      <selection activeCell="G8" sqref="G8"/>
    </sheetView>
  </sheetViews>
  <sheetFormatPr defaultRowHeight="15" x14ac:dyDescent="0.25"/>
  <cols>
    <col min="1" max="1" width="17.7109375" bestFit="1" customWidth="1"/>
    <col min="2" max="4" width="10.5703125" bestFit="1" customWidth="1"/>
    <col min="5" max="5" width="13.5703125" bestFit="1" customWidth="1"/>
    <col min="6" max="6" width="16" bestFit="1" customWidth="1"/>
    <col min="7" max="7" width="12.140625" bestFit="1" customWidth="1"/>
  </cols>
  <sheetData>
    <row r="1" spans="1:10" ht="18.75" x14ac:dyDescent="0.3">
      <c r="A1" s="74" t="s">
        <v>29</v>
      </c>
      <c r="B1" s="74"/>
      <c r="C1" s="74"/>
      <c r="D1" s="74"/>
      <c r="E1" s="74"/>
      <c r="F1" s="74"/>
      <c r="G1" s="7"/>
      <c r="H1" s="7"/>
      <c r="I1" s="7"/>
      <c r="J1" s="7"/>
    </row>
    <row r="2" spans="1:10" ht="18.75" x14ac:dyDescent="0.3">
      <c r="A2" s="74"/>
      <c r="B2" s="74"/>
      <c r="C2" s="74"/>
      <c r="D2" s="74"/>
      <c r="E2" s="74"/>
      <c r="F2" s="74"/>
      <c r="G2" s="6"/>
    </row>
    <row r="3" spans="1:10" x14ac:dyDescent="0.25">
      <c r="A3" s="8" t="s">
        <v>32</v>
      </c>
      <c r="B3" s="9"/>
      <c r="C3" s="11">
        <v>0.03</v>
      </c>
      <c r="D3" s="10"/>
      <c r="E3" s="75"/>
      <c r="F3" s="76"/>
    </row>
    <row r="4" spans="1:10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30</v>
      </c>
      <c r="F4" s="3" t="s">
        <v>31</v>
      </c>
    </row>
    <row r="5" spans="1:10" x14ac:dyDescent="0.25">
      <c r="A5" s="3" t="s">
        <v>18</v>
      </c>
      <c r="B5" s="4">
        <v>523</v>
      </c>
      <c r="C5" s="4">
        <v>712</v>
      </c>
      <c r="D5" s="4">
        <v>436</v>
      </c>
      <c r="E5" s="4">
        <f>SUM(B5:D5)</f>
        <v>1671</v>
      </c>
      <c r="F5" s="4">
        <f>E5*$C$3</f>
        <v>50.129999999999995</v>
      </c>
    </row>
    <row r="6" spans="1:10" x14ac:dyDescent="0.25">
      <c r="A6" s="3" t="s">
        <v>16</v>
      </c>
      <c r="B6" s="4">
        <v>125</v>
      </c>
      <c r="C6" s="4">
        <v>265</v>
      </c>
      <c r="D6" s="4">
        <v>354</v>
      </c>
      <c r="E6" s="4">
        <f t="shared" ref="E6:E10" si="0">SUM(B6:D6)</f>
        <v>744</v>
      </c>
      <c r="F6" s="4">
        <f t="shared" ref="F6:F10" si="1">E6*$C$3</f>
        <v>22.32</v>
      </c>
    </row>
    <row r="7" spans="1:10" x14ac:dyDescent="0.25">
      <c r="A7" s="3" t="s">
        <v>17</v>
      </c>
      <c r="B7" s="4">
        <v>836</v>
      </c>
      <c r="C7" s="4">
        <v>564</v>
      </c>
      <c r="D7" s="4">
        <v>742</v>
      </c>
      <c r="E7" s="4">
        <f t="shared" si="0"/>
        <v>2142</v>
      </c>
      <c r="F7" s="4">
        <f t="shared" si="1"/>
        <v>64.259999999999991</v>
      </c>
    </row>
    <row r="8" spans="1:10" x14ac:dyDescent="0.25">
      <c r="A8" s="3" t="s">
        <v>19</v>
      </c>
      <c r="B8" s="4">
        <v>563</v>
      </c>
      <c r="C8" s="4">
        <v>235</v>
      </c>
      <c r="D8" s="4">
        <v>485</v>
      </c>
      <c r="E8" s="4">
        <f t="shared" si="0"/>
        <v>1283</v>
      </c>
      <c r="F8" s="4">
        <f t="shared" si="1"/>
        <v>38.49</v>
      </c>
    </row>
    <row r="9" spans="1:10" x14ac:dyDescent="0.25">
      <c r="A9" s="3" t="s">
        <v>20</v>
      </c>
      <c r="B9" s="4">
        <v>684</v>
      </c>
      <c r="C9" s="4">
        <v>257</v>
      </c>
      <c r="D9" s="4">
        <v>364</v>
      </c>
      <c r="E9" s="4">
        <f t="shared" si="0"/>
        <v>1305</v>
      </c>
      <c r="F9" s="4">
        <f t="shared" si="1"/>
        <v>39.15</v>
      </c>
    </row>
    <row r="10" spans="1:10" x14ac:dyDescent="0.25">
      <c r="A10" s="3" t="s">
        <v>21</v>
      </c>
      <c r="B10" s="4">
        <v>752</v>
      </c>
      <c r="C10" s="4">
        <v>256</v>
      </c>
      <c r="D10" s="4">
        <v>548</v>
      </c>
      <c r="E10" s="4">
        <f t="shared" si="0"/>
        <v>1556</v>
      </c>
      <c r="F10" s="4">
        <f t="shared" si="1"/>
        <v>46.68</v>
      </c>
    </row>
  </sheetData>
  <mergeCells count="2">
    <mergeCell ref="A1:F2"/>
    <mergeCell ref="E3:F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zoomScale="160" zoomScaleNormal="160" workbookViewId="0">
      <selection activeCell="C14" sqref="C14"/>
    </sheetView>
  </sheetViews>
  <sheetFormatPr defaultRowHeight="15" x14ac:dyDescent="0.25"/>
  <cols>
    <col min="1" max="1" width="29" bestFit="1" customWidth="1"/>
    <col min="2" max="4" width="13.28515625" bestFit="1" customWidth="1"/>
    <col min="5" max="7" width="9.5703125" bestFit="1" customWidth="1"/>
  </cols>
  <sheetData>
    <row r="1" spans="1:7" x14ac:dyDescent="0.25">
      <c r="A1" s="73" t="s">
        <v>22</v>
      </c>
      <c r="B1" s="73"/>
      <c r="C1" s="73"/>
      <c r="D1" s="73"/>
    </row>
    <row r="3" spans="1:7" x14ac:dyDescent="0.25">
      <c r="A3" s="3" t="s">
        <v>13</v>
      </c>
      <c r="B3" s="12">
        <v>0.05</v>
      </c>
    </row>
    <row r="4" spans="1:7" x14ac:dyDescent="0.25">
      <c r="A4" s="3" t="s">
        <v>14</v>
      </c>
      <c r="B4" s="12">
        <v>0.02</v>
      </c>
    </row>
    <row r="5" spans="1:7" x14ac:dyDescent="0.25">
      <c r="A5" s="3" t="s">
        <v>15</v>
      </c>
      <c r="B5" s="12">
        <v>0.03</v>
      </c>
    </row>
    <row r="7" spans="1:7" x14ac:dyDescent="0.25">
      <c r="B7" s="13" t="s">
        <v>23</v>
      </c>
      <c r="C7" s="13" t="s">
        <v>24</v>
      </c>
      <c r="D7" s="13" t="s">
        <v>25</v>
      </c>
    </row>
    <row r="8" spans="1:7" x14ac:dyDescent="0.25">
      <c r="A8" t="s">
        <v>75</v>
      </c>
      <c r="B8" s="14">
        <v>50000</v>
      </c>
      <c r="C8" s="14">
        <v>25000</v>
      </c>
      <c r="D8" s="14">
        <v>22000</v>
      </c>
    </row>
    <row r="9" spans="1:7" x14ac:dyDescent="0.25">
      <c r="A9" t="s">
        <v>26</v>
      </c>
      <c r="B9" s="14">
        <f>B8+(B$8*$B$3)</f>
        <v>52500</v>
      </c>
      <c r="C9" s="14">
        <f t="shared" ref="C9:D9" si="0">C8+(C$8*$B$3)</f>
        <v>26250</v>
      </c>
      <c r="D9" s="14">
        <f t="shared" si="0"/>
        <v>23100</v>
      </c>
      <c r="E9" s="72"/>
      <c r="F9" s="72"/>
      <c r="G9" s="72"/>
    </row>
    <row r="10" spans="1:7" x14ac:dyDescent="0.25">
      <c r="A10" t="s">
        <v>27</v>
      </c>
      <c r="B10" s="14">
        <f>B9+(B$9*$B$4)</f>
        <v>53550</v>
      </c>
      <c r="C10" s="14">
        <f t="shared" ref="C10:D10" si="1">C9+(C$9*$B$4)</f>
        <v>26775</v>
      </c>
      <c r="D10" s="14">
        <f t="shared" si="1"/>
        <v>23562</v>
      </c>
      <c r="E10" s="72"/>
      <c r="F10" s="72"/>
      <c r="G10" s="72"/>
    </row>
    <row r="11" spans="1:7" x14ac:dyDescent="0.25">
      <c r="A11" t="s">
        <v>28</v>
      </c>
      <c r="B11" s="14">
        <f>B10+(B$10*$B$5)</f>
        <v>55156.5</v>
      </c>
      <c r="C11" s="14">
        <f t="shared" ref="C11:D11" si="2">C10+(C$10*$B$5)</f>
        <v>27578.25</v>
      </c>
      <c r="D11" s="14">
        <f t="shared" si="2"/>
        <v>24268.86</v>
      </c>
      <c r="E11" s="72"/>
      <c r="F11" s="72"/>
      <c r="G11" s="7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E051-CCB4-4012-BFEA-2723AE448228}">
  <dimension ref="A1:K15"/>
  <sheetViews>
    <sheetView workbookViewId="0">
      <selection activeCell="P19" sqref="P19"/>
    </sheetView>
  </sheetViews>
  <sheetFormatPr defaultRowHeight="15" x14ac:dyDescent="0.25"/>
  <sheetData>
    <row r="1" spans="1:11" x14ac:dyDescent="0.25">
      <c r="A1" s="77" t="s">
        <v>33</v>
      </c>
      <c r="B1" s="77"/>
      <c r="C1" s="77"/>
      <c r="D1" s="77"/>
      <c r="E1" s="77"/>
      <c r="F1" s="77"/>
      <c r="G1" s="77"/>
      <c r="H1" s="77"/>
      <c r="I1" s="77"/>
      <c r="J1" s="77"/>
      <c r="K1" s="77"/>
    </row>
    <row r="2" spans="1:11" x14ac:dyDescent="0.25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1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x14ac:dyDescent="0.25">
      <c r="A4" s="78" t="s">
        <v>34</v>
      </c>
      <c r="B4" s="78"/>
      <c r="C4" s="78"/>
      <c r="D4" s="78"/>
      <c r="E4" s="78"/>
      <c r="F4" s="78"/>
      <c r="G4" s="78"/>
      <c r="H4" s="78"/>
      <c r="I4" s="78"/>
      <c r="J4" s="78"/>
      <c r="K4" s="78"/>
    </row>
    <row r="5" spans="1:11" ht="18.75" customHeight="1" x14ac:dyDescent="0.25">
      <c r="A5" s="16"/>
      <c r="B5" s="17">
        <v>1</v>
      </c>
      <c r="C5" s="17">
        <v>2</v>
      </c>
      <c r="D5" s="17">
        <v>3</v>
      </c>
      <c r="E5" s="17">
        <v>4</v>
      </c>
      <c r="F5" s="17">
        <v>5</v>
      </c>
      <c r="G5" s="17">
        <v>6</v>
      </c>
      <c r="H5" s="17">
        <v>7</v>
      </c>
      <c r="I5" s="17">
        <v>8</v>
      </c>
      <c r="J5" s="17">
        <v>9</v>
      </c>
      <c r="K5" s="17">
        <v>10</v>
      </c>
    </row>
    <row r="6" spans="1:11" ht="18.75" customHeight="1" x14ac:dyDescent="0.25">
      <c r="A6" s="17">
        <v>1</v>
      </c>
      <c r="B6" s="18">
        <f>$A6*B$5</f>
        <v>1</v>
      </c>
      <c r="C6" s="18">
        <f t="shared" ref="C6:K6" si="0">$A6*C$5</f>
        <v>2</v>
      </c>
      <c r="D6" s="18">
        <f t="shared" si="0"/>
        <v>3</v>
      </c>
      <c r="E6" s="18">
        <f t="shared" si="0"/>
        <v>4</v>
      </c>
      <c r="F6" s="18">
        <f t="shared" si="0"/>
        <v>5</v>
      </c>
      <c r="G6" s="18">
        <f t="shared" si="0"/>
        <v>6</v>
      </c>
      <c r="H6" s="18">
        <f t="shared" si="0"/>
        <v>7</v>
      </c>
      <c r="I6" s="18">
        <f t="shared" si="0"/>
        <v>8</v>
      </c>
      <c r="J6" s="18">
        <f t="shared" si="0"/>
        <v>9</v>
      </c>
      <c r="K6" s="18">
        <f t="shared" si="0"/>
        <v>10</v>
      </c>
    </row>
    <row r="7" spans="1:11" ht="18.75" customHeight="1" x14ac:dyDescent="0.25">
      <c r="A7" s="17">
        <v>2</v>
      </c>
      <c r="B7" s="18">
        <f t="shared" ref="B7:K15" si="1">$A7*B$5</f>
        <v>2</v>
      </c>
      <c r="C7" s="18">
        <f t="shared" si="1"/>
        <v>4</v>
      </c>
      <c r="D7" s="18">
        <f t="shared" si="1"/>
        <v>6</v>
      </c>
      <c r="E7" s="18">
        <f t="shared" si="1"/>
        <v>8</v>
      </c>
      <c r="F7" s="18">
        <f t="shared" si="1"/>
        <v>10</v>
      </c>
      <c r="G7" s="18">
        <f t="shared" si="1"/>
        <v>12</v>
      </c>
      <c r="H7" s="18">
        <f t="shared" si="1"/>
        <v>14</v>
      </c>
      <c r="I7" s="18">
        <f t="shared" si="1"/>
        <v>16</v>
      </c>
      <c r="J7" s="18">
        <f t="shared" si="1"/>
        <v>18</v>
      </c>
      <c r="K7" s="18">
        <f t="shared" si="1"/>
        <v>20</v>
      </c>
    </row>
    <row r="8" spans="1:11" ht="18.75" customHeight="1" x14ac:dyDescent="0.25">
      <c r="A8" s="17">
        <v>3</v>
      </c>
      <c r="B8" s="18">
        <f t="shared" si="1"/>
        <v>3</v>
      </c>
      <c r="C8" s="18">
        <f t="shared" si="1"/>
        <v>6</v>
      </c>
      <c r="D8" s="18">
        <f t="shared" si="1"/>
        <v>9</v>
      </c>
      <c r="E8" s="18">
        <f t="shared" si="1"/>
        <v>12</v>
      </c>
      <c r="F8" s="18">
        <f t="shared" si="1"/>
        <v>15</v>
      </c>
      <c r="G8" s="18">
        <f t="shared" si="1"/>
        <v>18</v>
      </c>
      <c r="H8" s="18">
        <f t="shared" si="1"/>
        <v>21</v>
      </c>
      <c r="I8" s="18">
        <f t="shared" si="1"/>
        <v>24</v>
      </c>
      <c r="J8" s="18">
        <f t="shared" si="1"/>
        <v>27</v>
      </c>
      <c r="K8" s="18">
        <f t="shared" si="1"/>
        <v>30</v>
      </c>
    </row>
    <row r="9" spans="1:11" ht="18.75" customHeight="1" x14ac:dyDescent="0.25">
      <c r="A9" s="17">
        <v>4</v>
      </c>
      <c r="B9" s="18">
        <f t="shared" si="1"/>
        <v>4</v>
      </c>
      <c r="C9" s="18">
        <f t="shared" si="1"/>
        <v>8</v>
      </c>
      <c r="D9" s="18">
        <f t="shared" si="1"/>
        <v>12</v>
      </c>
      <c r="E9" s="18">
        <f t="shared" si="1"/>
        <v>16</v>
      </c>
      <c r="F9" s="18">
        <f t="shared" si="1"/>
        <v>20</v>
      </c>
      <c r="G9" s="18">
        <f t="shared" si="1"/>
        <v>24</v>
      </c>
      <c r="H9" s="18">
        <f t="shared" si="1"/>
        <v>28</v>
      </c>
      <c r="I9" s="18">
        <f t="shared" si="1"/>
        <v>32</v>
      </c>
      <c r="J9" s="18">
        <f t="shared" si="1"/>
        <v>36</v>
      </c>
      <c r="K9" s="18">
        <f t="shared" si="1"/>
        <v>40</v>
      </c>
    </row>
    <row r="10" spans="1:11" ht="18.75" customHeight="1" x14ac:dyDescent="0.25">
      <c r="A10" s="17">
        <v>5</v>
      </c>
      <c r="B10" s="18">
        <f t="shared" si="1"/>
        <v>5</v>
      </c>
      <c r="C10" s="18">
        <f t="shared" si="1"/>
        <v>10</v>
      </c>
      <c r="D10" s="18">
        <f t="shared" si="1"/>
        <v>15</v>
      </c>
      <c r="E10" s="18">
        <f t="shared" si="1"/>
        <v>20</v>
      </c>
      <c r="F10" s="18">
        <f t="shared" si="1"/>
        <v>25</v>
      </c>
      <c r="G10" s="18">
        <f t="shared" si="1"/>
        <v>30</v>
      </c>
      <c r="H10" s="18">
        <f t="shared" si="1"/>
        <v>35</v>
      </c>
      <c r="I10" s="18">
        <f t="shared" si="1"/>
        <v>40</v>
      </c>
      <c r="J10" s="18">
        <f t="shared" si="1"/>
        <v>45</v>
      </c>
      <c r="K10" s="18">
        <f t="shared" si="1"/>
        <v>50</v>
      </c>
    </row>
    <row r="11" spans="1:11" ht="18.75" customHeight="1" x14ac:dyDescent="0.25">
      <c r="A11" s="17">
        <v>6</v>
      </c>
      <c r="B11" s="18">
        <f t="shared" si="1"/>
        <v>6</v>
      </c>
      <c r="C11" s="18">
        <f t="shared" si="1"/>
        <v>12</v>
      </c>
      <c r="D11" s="18">
        <f t="shared" si="1"/>
        <v>18</v>
      </c>
      <c r="E11" s="18">
        <f t="shared" si="1"/>
        <v>24</v>
      </c>
      <c r="F11" s="18">
        <f t="shared" si="1"/>
        <v>30</v>
      </c>
      <c r="G11" s="18">
        <f t="shared" si="1"/>
        <v>36</v>
      </c>
      <c r="H11" s="18">
        <f t="shared" si="1"/>
        <v>42</v>
      </c>
      <c r="I11" s="18">
        <f t="shared" si="1"/>
        <v>48</v>
      </c>
      <c r="J11" s="18">
        <f t="shared" si="1"/>
        <v>54</v>
      </c>
      <c r="K11" s="18">
        <f t="shared" si="1"/>
        <v>60</v>
      </c>
    </row>
    <row r="12" spans="1:11" ht="18.75" customHeight="1" x14ac:dyDescent="0.25">
      <c r="A12" s="17">
        <v>7</v>
      </c>
      <c r="B12" s="18">
        <f t="shared" si="1"/>
        <v>7</v>
      </c>
      <c r="C12" s="18">
        <f t="shared" si="1"/>
        <v>14</v>
      </c>
      <c r="D12" s="18">
        <f t="shared" si="1"/>
        <v>21</v>
      </c>
      <c r="E12" s="18">
        <f t="shared" si="1"/>
        <v>28</v>
      </c>
      <c r="F12" s="18">
        <f t="shared" si="1"/>
        <v>35</v>
      </c>
      <c r="G12" s="18">
        <f t="shared" si="1"/>
        <v>42</v>
      </c>
      <c r="H12" s="18">
        <f t="shared" si="1"/>
        <v>49</v>
      </c>
      <c r="I12" s="18">
        <f t="shared" si="1"/>
        <v>56</v>
      </c>
      <c r="J12" s="18">
        <f t="shared" si="1"/>
        <v>63</v>
      </c>
      <c r="K12" s="18">
        <f t="shared" si="1"/>
        <v>70</v>
      </c>
    </row>
    <row r="13" spans="1:11" ht="18.75" customHeight="1" x14ac:dyDescent="0.25">
      <c r="A13" s="17">
        <v>8</v>
      </c>
      <c r="B13" s="18">
        <f t="shared" si="1"/>
        <v>8</v>
      </c>
      <c r="C13" s="18">
        <f t="shared" si="1"/>
        <v>16</v>
      </c>
      <c r="D13" s="18">
        <f t="shared" si="1"/>
        <v>24</v>
      </c>
      <c r="E13" s="18">
        <f t="shared" si="1"/>
        <v>32</v>
      </c>
      <c r="F13" s="18">
        <f t="shared" si="1"/>
        <v>40</v>
      </c>
      <c r="G13" s="18">
        <f t="shared" si="1"/>
        <v>48</v>
      </c>
      <c r="H13" s="18">
        <f t="shared" si="1"/>
        <v>56</v>
      </c>
      <c r="I13" s="18">
        <f t="shared" si="1"/>
        <v>64</v>
      </c>
      <c r="J13" s="18">
        <f t="shared" si="1"/>
        <v>72</v>
      </c>
      <c r="K13" s="18">
        <f t="shared" si="1"/>
        <v>80</v>
      </c>
    </row>
    <row r="14" spans="1:11" ht="18.75" customHeight="1" x14ac:dyDescent="0.25">
      <c r="A14" s="17">
        <v>9</v>
      </c>
      <c r="B14" s="18">
        <f t="shared" si="1"/>
        <v>9</v>
      </c>
      <c r="C14" s="18">
        <f t="shared" si="1"/>
        <v>18</v>
      </c>
      <c r="D14" s="18">
        <f t="shared" si="1"/>
        <v>27</v>
      </c>
      <c r="E14" s="18">
        <f t="shared" si="1"/>
        <v>36</v>
      </c>
      <c r="F14" s="18">
        <f t="shared" si="1"/>
        <v>45</v>
      </c>
      <c r="G14" s="18">
        <f t="shared" si="1"/>
        <v>54</v>
      </c>
      <c r="H14" s="18">
        <f t="shared" si="1"/>
        <v>63</v>
      </c>
      <c r="I14" s="18">
        <f t="shared" si="1"/>
        <v>72</v>
      </c>
      <c r="J14" s="18">
        <f t="shared" si="1"/>
        <v>81</v>
      </c>
      <c r="K14" s="18">
        <f t="shared" si="1"/>
        <v>90</v>
      </c>
    </row>
    <row r="15" spans="1:11" ht="18.75" customHeight="1" x14ac:dyDescent="0.25">
      <c r="A15" s="17">
        <v>10</v>
      </c>
      <c r="B15" s="18">
        <f t="shared" si="1"/>
        <v>10</v>
      </c>
      <c r="C15" s="18">
        <f t="shared" si="1"/>
        <v>20</v>
      </c>
      <c r="D15" s="18">
        <f t="shared" si="1"/>
        <v>30</v>
      </c>
      <c r="E15" s="18">
        <f t="shared" si="1"/>
        <v>40</v>
      </c>
      <c r="F15" s="18">
        <f t="shared" si="1"/>
        <v>50</v>
      </c>
      <c r="G15" s="18">
        <f t="shared" si="1"/>
        <v>60</v>
      </c>
      <c r="H15" s="18">
        <f t="shared" si="1"/>
        <v>70</v>
      </c>
      <c r="I15" s="18">
        <f t="shared" si="1"/>
        <v>80</v>
      </c>
      <c r="J15" s="18">
        <f t="shared" si="1"/>
        <v>90</v>
      </c>
      <c r="K15" s="18">
        <f t="shared" si="1"/>
        <v>100</v>
      </c>
    </row>
  </sheetData>
  <mergeCells count="2">
    <mergeCell ref="A1:K2"/>
    <mergeCell ref="A4:K4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5CB9-6F78-4C59-8996-13A6B2A6D5C4}">
  <dimension ref="B2:H7"/>
  <sheetViews>
    <sheetView workbookViewId="0">
      <selection activeCell="C6" sqref="C6"/>
    </sheetView>
  </sheetViews>
  <sheetFormatPr defaultRowHeight="15" x14ac:dyDescent="0.25"/>
  <cols>
    <col min="2" max="2" width="38.42578125" bestFit="1" customWidth="1"/>
    <col min="3" max="3" width="10.140625" bestFit="1" customWidth="1"/>
    <col min="4" max="4" width="11.7109375" bestFit="1" customWidth="1"/>
    <col min="5" max="5" width="6.140625" bestFit="1" customWidth="1"/>
    <col min="6" max="6" width="9.28515625" bestFit="1" customWidth="1"/>
    <col min="7" max="7" width="7.85546875" bestFit="1" customWidth="1"/>
    <col min="8" max="8" width="7.140625" bestFit="1" customWidth="1"/>
  </cols>
  <sheetData>
    <row r="2" spans="2:8" x14ac:dyDescent="0.25">
      <c r="B2" s="51" t="s">
        <v>86</v>
      </c>
      <c r="C2" s="54">
        <v>0.1</v>
      </c>
    </row>
    <row r="3" spans="2:8" x14ac:dyDescent="0.25">
      <c r="B3" s="51" t="s">
        <v>85</v>
      </c>
      <c r="C3" s="54">
        <v>0.05</v>
      </c>
    </row>
    <row r="4" spans="2:8" x14ac:dyDescent="0.25">
      <c r="B4" s="53"/>
      <c r="C4" s="52" t="s">
        <v>84</v>
      </c>
      <c r="D4" s="52" t="s">
        <v>83</v>
      </c>
      <c r="E4" s="52" t="s">
        <v>82</v>
      </c>
      <c r="F4" s="52" t="s">
        <v>81</v>
      </c>
      <c r="G4" s="52" t="s">
        <v>80</v>
      </c>
      <c r="H4" s="52" t="s">
        <v>79</v>
      </c>
    </row>
    <row r="5" spans="2:8" x14ac:dyDescent="0.25">
      <c r="B5" s="51" t="s">
        <v>78</v>
      </c>
      <c r="C5" s="50">
        <v>500</v>
      </c>
      <c r="D5" s="50">
        <v>800</v>
      </c>
      <c r="E5" s="50">
        <v>140</v>
      </c>
      <c r="F5" s="50">
        <v>400</v>
      </c>
      <c r="G5" s="50">
        <v>199</v>
      </c>
      <c r="H5" s="50">
        <v>150</v>
      </c>
    </row>
    <row r="6" spans="2:8" x14ac:dyDescent="0.25">
      <c r="B6" s="51" t="s">
        <v>77</v>
      </c>
      <c r="C6" s="50">
        <f>C$5-(C$5*$C2)</f>
        <v>450</v>
      </c>
      <c r="D6" s="70">
        <f t="shared" ref="D6:H6" si="0">D$5-(D$5*$C2)</f>
        <v>720</v>
      </c>
      <c r="E6" s="70">
        <f t="shared" si="0"/>
        <v>126</v>
      </c>
      <c r="F6" s="70">
        <f t="shared" si="0"/>
        <v>360</v>
      </c>
      <c r="G6" s="70">
        <f t="shared" si="0"/>
        <v>179.1</v>
      </c>
      <c r="H6" s="70">
        <f t="shared" si="0"/>
        <v>135</v>
      </c>
    </row>
    <row r="7" spans="2:8" x14ac:dyDescent="0.25">
      <c r="B7" s="51" t="s">
        <v>76</v>
      </c>
      <c r="C7" s="70">
        <f>C$5-(C$5*$C3)</f>
        <v>475</v>
      </c>
      <c r="D7" s="70">
        <f t="shared" ref="D7:H7" si="1">D$5-(D$5*$C3)</f>
        <v>760</v>
      </c>
      <c r="E7" s="70">
        <f t="shared" si="1"/>
        <v>133</v>
      </c>
      <c r="F7" s="70">
        <f t="shared" si="1"/>
        <v>380</v>
      </c>
      <c r="G7" s="70">
        <f t="shared" si="1"/>
        <v>189.05</v>
      </c>
      <c r="H7" s="70">
        <f t="shared" si="1"/>
        <v>142.5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6C588-BE24-4B7C-B59F-ADD566ED940A}">
  <dimension ref="A1:F26"/>
  <sheetViews>
    <sheetView showGridLines="0" zoomScale="85" zoomScaleNormal="85" workbookViewId="0">
      <selection activeCell="D24" sqref="D24"/>
    </sheetView>
  </sheetViews>
  <sheetFormatPr defaultColWidth="12.5703125" defaultRowHeight="18.75" x14ac:dyDescent="0.3"/>
  <cols>
    <col min="1" max="1" width="23.28515625" style="21" customWidth="1"/>
    <col min="2" max="2" width="28" style="21" bestFit="1" customWidth="1"/>
    <col min="3" max="3" width="35.140625" style="21" customWidth="1"/>
    <col min="4" max="4" width="34.42578125" style="21" customWidth="1"/>
    <col min="5" max="5" width="36.140625" style="21" bestFit="1" customWidth="1"/>
    <col min="6" max="6" width="50" style="21" customWidth="1"/>
    <col min="7" max="16384" width="12.5703125" style="21"/>
  </cols>
  <sheetData>
    <row r="1" spans="1:6" ht="19.5" thickBot="1" x14ac:dyDescent="0.35">
      <c r="A1" s="19" t="s">
        <v>35</v>
      </c>
      <c r="B1" s="20"/>
      <c r="C1" s="20"/>
      <c r="D1" s="20"/>
      <c r="E1" s="19"/>
      <c r="F1" s="19"/>
    </row>
    <row r="2" spans="1:6" ht="19.5" thickBot="1" x14ac:dyDescent="0.35">
      <c r="A2" s="22" t="s">
        <v>36</v>
      </c>
      <c r="B2" s="23">
        <v>0.25</v>
      </c>
    </row>
    <row r="3" spans="1:6" x14ac:dyDescent="0.3">
      <c r="A3" s="24" t="s">
        <v>37</v>
      </c>
      <c r="B3" s="25" t="s">
        <v>1</v>
      </c>
      <c r="C3" s="25" t="s">
        <v>38</v>
      </c>
      <c r="D3" s="25" t="s">
        <v>39</v>
      </c>
      <c r="E3" s="25" t="s">
        <v>40</v>
      </c>
      <c r="F3" s="26" t="s">
        <v>41</v>
      </c>
    </row>
    <row r="4" spans="1:6" x14ac:dyDescent="0.3">
      <c r="A4" s="27" t="s">
        <v>42</v>
      </c>
      <c r="B4" s="28" t="s">
        <v>43</v>
      </c>
      <c r="C4" s="65">
        <v>16</v>
      </c>
      <c r="D4" s="29">
        <v>850.99</v>
      </c>
      <c r="E4" s="29">
        <f>C4*D4</f>
        <v>13615.84</v>
      </c>
      <c r="F4" s="30">
        <f>E4*$B$2</f>
        <v>3403.96</v>
      </c>
    </row>
    <row r="5" spans="1:6" x14ac:dyDescent="0.3">
      <c r="A5" s="27" t="s">
        <v>44</v>
      </c>
      <c r="B5" s="28" t="s">
        <v>45</v>
      </c>
      <c r="C5" s="65">
        <v>32</v>
      </c>
      <c r="D5" s="29">
        <v>2999</v>
      </c>
      <c r="E5" s="29">
        <f t="shared" ref="E5:E8" si="0">C5*D5</f>
        <v>95968</v>
      </c>
      <c r="F5" s="30">
        <f t="shared" ref="F5:F8" si="1">E5*$B$2</f>
        <v>23992</v>
      </c>
    </row>
    <row r="6" spans="1:6" x14ac:dyDescent="0.3">
      <c r="A6" s="27" t="s">
        <v>46</v>
      </c>
      <c r="B6" s="28" t="s">
        <v>47</v>
      </c>
      <c r="C6" s="65">
        <v>31</v>
      </c>
      <c r="D6" s="29">
        <v>1159</v>
      </c>
      <c r="E6" s="29">
        <f t="shared" si="0"/>
        <v>35929</v>
      </c>
      <c r="F6" s="30">
        <f t="shared" si="1"/>
        <v>8982.25</v>
      </c>
    </row>
    <row r="7" spans="1:6" x14ac:dyDescent="0.3">
      <c r="A7" s="27" t="s">
        <v>48</v>
      </c>
      <c r="B7" s="28" t="s">
        <v>49</v>
      </c>
      <c r="C7" s="65">
        <v>9</v>
      </c>
      <c r="D7" s="29">
        <v>2850</v>
      </c>
      <c r="E7" s="29">
        <f t="shared" si="0"/>
        <v>25650</v>
      </c>
      <c r="F7" s="30">
        <f t="shared" si="1"/>
        <v>6412.5</v>
      </c>
    </row>
    <row r="8" spans="1:6" ht="19.5" thickBot="1" x14ac:dyDescent="0.35">
      <c r="A8" s="31" t="s">
        <v>50</v>
      </c>
      <c r="B8" s="32" t="s">
        <v>51</v>
      </c>
      <c r="C8" s="66">
        <v>15</v>
      </c>
      <c r="D8" s="33">
        <v>285.99</v>
      </c>
      <c r="E8" s="29">
        <f t="shared" si="0"/>
        <v>4289.8500000000004</v>
      </c>
      <c r="F8" s="30">
        <f t="shared" si="1"/>
        <v>1072.4625000000001</v>
      </c>
    </row>
    <row r="9" spans="1:6" ht="19.5" thickBot="1" x14ac:dyDescent="0.35"/>
    <row r="10" spans="1:6" ht="19.5" thickBot="1" x14ac:dyDescent="0.35">
      <c r="A10" s="79" t="s">
        <v>52</v>
      </c>
      <c r="B10" s="80"/>
      <c r="C10" s="81"/>
      <c r="D10" s="19" t="s">
        <v>53</v>
      </c>
      <c r="E10" s="34">
        <v>0.25</v>
      </c>
    </row>
    <row r="11" spans="1:6" x14ac:dyDescent="0.3">
      <c r="A11" s="35" t="s">
        <v>54</v>
      </c>
      <c r="B11" s="36" t="s">
        <v>55</v>
      </c>
      <c r="C11" s="69" t="s">
        <v>56</v>
      </c>
      <c r="D11" s="37" t="s">
        <v>73</v>
      </c>
      <c r="E11" s="38" t="s">
        <v>74</v>
      </c>
    </row>
    <row r="12" spans="1:6" x14ac:dyDescent="0.3">
      <c r="A12" s="27" t="s">
        <v>57</v>
      </c>
      <c r="B12" s="29">
        <v>18456987.120000001</v>
      </c>
      <c r="C12" s="67">
        <v>826</v>
      </c>
      <c r="D12" s="29">
        <f>B12/C12</f>
        <v>22345.020726392253</v>
      </c>
      <c r="E12" s="30">
        <f>D12-(D12*$E$10)</f>
        <v>16758.765544794191</v>
      </c>
    </row>
    <row r="13" spans="1:6" x14ac:dyDescent="0.3">
      <c r="A13" s="27" t="s">
        <v>58</v>
      </c>
      <c r="B13" s="29">
        <v>16789321</v>
      </c>
      <c r="C13" s="67">
        <v>560</v>
      </c>
      <c r="D13" s="29">
        <f t="shared" ref="D13:D17" si="2">B13/C13</f>
        <v>29980.930357142857</v>
      </c>
      <c r="E13" s="30">
        <f t="shared" ref="E13:E17" si="3">D13-(D13*$E$10)</f>
        <v>22485.697767857142</v>
      </c>
    </row>
    <row r="14" spans="1:6" x14ac:dyDescent="0.3">
      <c r="A14" s="27" t="s">
        <v>59</v>
      </c>
      <c r="B14" s="29">
        <v>14987123.470000001</v>
      </c>
      <c r="C14" s="67">
        <v>684</v>
      </c>
      <c r="D14" s="29">
        <f t="shared" si="2"/>
        <v>21910.999225146199</v>
      </c>
      <c r="E14" s="30">
        <f t="shared" si="3"/>
        <v>16433.24941885965</v>
      </c>
    </row>
    <row r="15" spans="1:6" x14ac:dyDescent="0.3">
      <c r="A15" s="27" t="s">
        <v>60</v>
      </c>
      <c r="B15" s="29">
        <v>9654789.6500000004</v>
      </c>
      <c r="C15" s="67">
        <v>465</v>
      </c>
      <c r="D15" s="29">
        <f t="shared" si="2"/>
        <v>20762.988494623656</v>
      </c>
      <c r="E15" s="30">
        <f t="shared" si="3"/>
        <v>15572.241370967742</v>
      </c>
    </row>
    <row r="16" spans="1:6" x14ac:dyDescent="0.3">
      <c r="A16" s="27" t="s">
        <v>61</v>
      </c>
      <c r="B16" s="29">
        <v>8654987.3200000003</v>
      </c>
      <c r="C16" s="67">
        <v>398</v>
      </c>
      <c r="D16" s="29">
        <f t="shared" si="2"/>
        <v>21746.199296482413</v>
      </c>
      <c r="E16" s="30">
        <f t="shared" si="3"/>
        <v>16309.649472361809</v>
      </c>
    </row>
    <row r="17" spans="1:5" ht="19.5" thickBot="1" x14ac:dyDescent="0.35">
      <c r="A17" s="31" t="s">
        <v>62</v>
      </c>
      <c r="B17" s="33">
        <v>4000349</v>
      </c>
      <c r="C17" s="68">
        <v>301</v>
      </c>
      <c r="D17" s="29">
        <f t="shared" si="2"/>
        <v>13290.196013289036</v>
      </c>
      <c r="E17" s="30">
        <f t="shared" si="3"/>
        <v>9967.6470099667767</v>
      </c>
    </row>
    <row r="18" spans="1:5" ht="19.5" thickBot="1" x14ac:dyDescent="0.35">
      <c r="A18" s="39"/>
      <c r="B18" s="40"/>
      <c r="C18" s="39"/>
      <c r="D18" s="40"/>
      <c r="E18" s="40"/>
    </row>
    <row r="19" spans="1:5" ht="19.5" thickBot="1" x14ac:dyDescent="0.35">
      <c r="A19" s="41" t="s">
        <v>63</v>
      </c>
      <c r="B19" s="42"/>
      <c r="C19" s="42"/>
      <c r="D19" s="43"/>
      <c r="E19" s="43"/>
    </row>
    <row r="20" spans="1:5" ht="19.5" thickBot="1" x14ac:dyDescent="0.35">
      <c r="A20" s="44" t="s">
        <v>64</v>
      </c>
      <c r="B20" s="45">
        <f ca="1">TODAY()</f>
        <v>43264</v>
      </c>
    </row>
    <row r="21" spans="1:5" x14ac:dyDescent="0.3">
      <c r="A21" s="46" t="s">
        <v>65</v>
      </c>
      <c r="B21" s="47" t="s">
        <v>66</v>
      </c>
      <c r="C21" s="48" t="s">
        <v>67</v>
      </c>
    </row>
    <row r="22" spans="1:5" x14ac:dyDescent="0.3">
      <c r="A22" s="27" t="s">
        <v>68</v>
      </c>
      <c r="B22" s="28">
        <v>20</v>
      </c>
      <c r="C22" s="49">
        <f ca="1">$B$20+B22</f>
        <v>43284</v>
      </c>
    </row>
    <row r="23" spans="1:5" x14ac:dyDescent="0.3">
      <c r="A23" s="27" t="s">
        <v>69</v>
      </c>
      <c r="B23" s="28">
        <v>35</v>
      </c>
      <c r="C23" s="49">
        <f t="shared" ref="C23:C26" ca="1" si="4">$B$20+B23</f>
        <v>43299</v>
      </c>
    </row>
    <row r="24" spans="1:5" x14ac:dyDescent="0.3">
      <c r="A24" s="27" t="s">
        <v>70</v>
      </c>
      <c r="B24" s="28">
        <v>13</v>
      </c>
      <c r="C24" s="49">
        <f t="shared" ca="1" si="4"/>
        <v>43277</v>
      </c>
    </row>
    <row r="25" spans="1:5" x14ac:dyDescent="0.3">
      <c r="A25" s="27" t="s">
        <v>71</v>
      </c>
      <c r="B25" s="28">
        <v>10</v>
      </c>
      <c r="C25" s="49">
        <f t="shared" ca="1" si="4"/>
        <v>43274</v>
      </c>
    </row>
    <row r="26" spans="1:5" ht="19.5" thickBot="1" x14ac:dyDescent="0.35">
      <c r="A26" s="31" t="s">
        <v>72</v>
      </c>
      <c r="B26" s="32">
        <v>11</v>
      </c>
      <c r="C26" s="49">
        <f t="shared" ca="1" si="4"/>
        <v>43275</v>
      </c>
    </row>
  </sheetData>
  <mergeCells count="1">
    <mergeCell ref="A10:C10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2730-B79F-4E7F-8E20-68827A88F5E0}">
  <dimension ref="A2:D15"/>
  <sheetViews>
    <sheetView showGridLines="0" workbookViewId="0">
      <selection activeCell="B26" sqref="B26"/>
    </sheetView>
  </sheetViews>
  <sheetFormatPr defaultRowHeight="15" x14ac:dyDescent="0.25"/>
  <cols>
    <col min="1" max="1" width="16.5703125" bestFit="1" customWidth="1"/>
    <col min="2" max="2" width="12.85546875" bestFit="1" customWidth="1"/>
    <col min="3" max="3" width="11.5703125" bestFit="1" customWidth="1"/>
    <col min="4" max="4" width="10.42578125" bestFit="1" customWidth="1"/>
  </cols>
  <sheetData>
    <row r="2" spans="1:4" x14ac:dyDescent="0.25">
      <c r="A2" s="55" t="s">
        <v>87</v>
      </c>
      <c r="B2" s="56">
        <v>2.2999999999999998</v>
      </c>
    </row>
    <row r="3" spans="1:4" x14ac:dyDescent="0.25">
      <c r="A3" s="55" t="s">
        <v>88</v>
      </c>
      <c r="B3" s="56">
        <v>2.4889999999999999</v>
      </c>
    </row>
    <row r="5" spans="1:4" x14ac:dyDescent="0.25">
      <c r="A5" s="57" t="s">
        <v>89</v>
      </c>
      <c r="B5" s="57" t="s">
        <v>90</v>
      </c>
      <c r="C5" s="57" t="s">
        <v>91</v>
      </c>
      <c r="D5" s="57" t="s">
        <v>92</v>
      </c>
    </row>
    <row r="6" spans="1:4" x14ac:dyDescent="0.25">
      <c r="A6" s="3" t="s">
        <v>93</v>
      </c>
      <c r="B6" s="58">
        <v>100</v>
      </c>
      <c r="C6" s="58">
        <f>B6*Cotação_do_Dólar</f>
        <v>229.99999999999997</v>
      </c>
      <c r="D6" s="58">
        <f>B6*Cotação_do_Euro</f>
        <v>248.89999999999998</v>
      </c>
    </row>
    <row r="7" spans="1:4" x14ac:dyDescent="0.25">
      <c r="A7" s="3" t="s">
        <v>94</v>
      </c>
      <c r="B7" s="58">
        <v>150</v>
      </c>
      <c r="C7" s="58">
        <f>B7*Cotação_do_Dólar</f>
        <v>345</v>
      </c>
      <c r="D7" s="58">
        <f>B7*Cotação_do_Euro</f>
        <v>373.34999999999997</v>
      </c>
    </row>
    <row r="8" spans="1:4" x14ac:dyDescent="0.25">
      <c r="A8" s="3" t="s">
        <v>95</v>
      </c>
      <c r="B8" s="58">
        <v>2300</v>
      </c>
      <c r="C8" s="58">
        <f>B8*Cotação_do_Dólar</f>
        <v>5290</v>
      </c>
      <c r="D8" s="58">
        <f>B8*Cotação_do_Euro</f>
        <v>5724.7</v>
      </c>
    </row>
    <row r="9" spans="1:4" x14ac:dyDescent="0.25">
      <c r="A9" s="3" t="s">
        <v>81</v>
      </c>
      <c r="B9" s="58">
        <v>20</v>
      </c>
      <c r="C9" s="58">
        <f>B9*Cotação_do_Dólar</f>
        <v>46</v>
      </c>
      <c r="D9" s="58">
        <f>B9*Cotação_do_Euro</f>
        <v>49.78</v>
      </c>
    </row>
    <row r="10" spans="1:4" x14ac:dyDescent="0.25">
      <c r="A10" s="3" t="s">
        <v>96</v>
      </c>
      <c r="B10" s="58">
        <v>300</v>
      </c>
      <c r="C10" s="58">
        <f>B10*Cotação_do_Dólar</f>
        <v>690</v>
      </c>
      <c r="D10" s="58">
        <f>B10*Cotação_do_Euro</f>
        <v>746.69999999999993</v>
      </c>
    </row>
    <row r="11" spans="1:4" x14ac:dyDescent="0.25">
      <c r="A11" s="3" t="s">
        <v>80</v>
      </c>
      <c r="B11" s="58">
        <v>50</v>
      </c>
      <c r="C11" s="58">
        <f>B11*Cotação_do_Dólar</f>
        <v>114.99999999999999</v>
      </c>
      <c r="D11" s="58">
        <f>B11*Cotação_do_Euro</f>
        <v>124.44999999999999</v>
      </c>
    </row>
    <row r="12" spans="1:4" x14ac:dyDescent="0.25">
      <c r="A12" s="3" t="s">
        <v>97</v>
      </c>
      <c r="B12" s="58">
        <v>200</v>
      </c>
      <c r="C12" s="58">
        <f>B12*Cotação_do_Dólar</f>
        <v>459.99999999999994</v>
      </c>
      <c r="D12" s="58">
        <f>B12*Cotação_do_Euro</f>
        <v>497.79999999999995</v>
      </c>
    </row>
    <row r="13" spans="1:4" x14ac:dyDescent="0.25">
      <c r="A13" s="3" t="s">
        <v>98</v>
      </c>
      <c r="B13" s="58">
        <v>500</v>
      </c>
      <c r="C13" s="58">
        <f>B13*Cotação_do_Dólar</f>
        <v>1150</v>
      </c>
      <c r="D13" s="58">
        <f>B13*Cotação_do_Euro</f>
        <v>1244.5</v>
      </c>
    </row>
    <row r="14" spans="1:4" x14ac:dyDescent="0.25">
      <c r="A14" s="3" t="s">
        <v>99</v>
      </c>
      <c r="B14" s="58">
        <v>10</v>
      </c>
      <c r="C14" s="58">
        <f>B14*Cotação_do_Dólar</f>
        <v>23</v>
      </c>
      <c r="D14" s="58">
        <f>B14*Cotação_do_Euro</f>
        <v>24.89</v>
      </c>
    </row>
    <row r="15" spans="1:4" x14ac:dyDescent="0.25">
      <c r="A15" s="3" t="s">
        <v>100</v>
      </c>
      <c r="B15" s="58">
        <v>150</v>
      </c>
      <c r="C15" s="58">
        <f>B15*Cotação_do_Dólar</f>
        <v>345</v>
      </c>
      <c r="D15" s="58">
        <f>B15*Cotação_do_Euro</f>
        <v>373.34999999999997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F338-FDE5-49E7-BF53-0D391B954512}">
  <dimension ref="A1:E15"/>
  <sheetViews>
    <sheetView showGridLines="0" workbookViewId="0">
      <selection activeCell="G35" sqref="G35"/>
    </sheetView>
  </sheetViews>
  <sheetFormatPr defaultColWidth="14.42578125" defaultRowHeight="15" x14ac:dyDescent="0.25"/>
  <cols>
    <col min="1" max="1" width="14.28515625" bestFit="1" customWidth="1"/>
    <col min="2" max="2" width="12.85546875" bestFit="1" customWidth="1"/>
    <col min="3" max="3" width="11.5703125" bestFit="1" customWidth="1"/>
    <col min="5" max="5" width="9.5703125" bestFit="1" customWidth="1"/>
  </cols>
  <sheetData>
    <row r="1" spans="1:5" x14ac:dyDescent="0.25">
      <c r="A1" s="82" t="s">
        <v>101</v>
      </c>
      <c r="B1" s="82"/>
      <c r="C1" s="82"/>
    </row>
    <row r="3" spans="1:5" x14ac:dyDescent="0.25">
      <c r="A3" t="s">
        <v>102</v>
      </c>
      <c r="B3" s="59">
        <v>2.23</v>
      </c>
    </row>
    <row r="5" spans="1:5" x14ac:dyDescent="0.25">
      <c r="A5" s="57" t="s">
        <v>89</v>
      </c>
      <c r="B5" s="57" t="s">
        <v>90</v>
      </c>
      <c r="C5" s="57" t="s">
        <v>91</v>
      </c>
      <c r="E5" s="57" t="s">
        <v>103</v>
      </c>
    </row>
    <row r="6" spans="1:5" x14ac:dyDescent="0.25">
      <c r="A6" s="3" t="s">
        <v>93</v>
      </c>
      <c r="B6" s="59">
        <v>100</v>
      </c>
      <c r="C6" s="59">
        <f>B6*dolar2</f>
        <v>223</v>
      </c>
      <c r="E6" s="59">
        <f t="shared" ref="E6:E15" si="0">B6*$B$3</f>
        <v>223</v>
      </c>
    </row>
    <row r="7" spans="1:5" x14ac:dyDescent="0.25">
      <c r="A7" s="3" t="s">
        <v>94</v>
      </c>
      <c r="B7" s="59">
        <v>150</v>
      </c>
      <c r="C7" s="59">
        <f>B7*dolar2</f>
        <v>334.5</v>
      </c>
      <c r="E7" s="59">
        <f t="shared" si="0"/>
        <v>334.5</v>
      </c>
    </row>
    <row r="8" spans="1:5" x14ac:dyDescent="0.25">
      <c r="A8" s="3" t="s">
        <v>95</v>
      </c>
      <c r="B8" s="59">
        <v>2300</v>
      </c>
      <c r="C8" s="59">
        <f>B8*dolar2</f>
        <v>5129</v>
      </c>
      <c r="E8" s="59">
        <f t="shared" si="0"/>
        <v>5129</v>
      </c>
    </row>
    <row r="9" spans="1:5" x14ac:dyDescent="0.25">
      <c r="A9" s="3" t="s">
        <v>81</v>
      </c>
      <c r="B9" s="59">
        <v>20</v>
      </c>
      <c r="C9" s="59">
        <f>B9*dolar2</f>
        <v>44.6</v>
      </c>
      <c r="E9" s="59">
        <f t="shared" si="0"/>
        <v>44.6</v>
      </c>
    </row>
    <row r="10" spans="1:5" x14ac:dyDescent="0.25">
      <c r="A10" s="3" t="s">
        <v>96</v>
      </c>
      <c r="B10" s="59">
        <v>300</v>
      </c>
      <c r="C10" s="59">
        <f>B10*dolar2</f>
        <v>669</v>
      </c>
      <c r="E10" s="59">
        <f t="shared" si="0"/>
        <v>669</v>
      </c>
    </row>
    <row r="11" spans="1:5" x14ac:dyDescent="0.25">
      <c r="A11" s="3" t="s">
        <v>80</v>
      </c>
      <c r="B11" s="59">
        <v>50</v>
      </c>
      <c r="C11" s="59">
        <f>B11*dolar2</f>
        <v>111.5</v>
      </c>
      <c r="E11" s="59">
        <f t="shared" si="0"/>
        <v>111.5</v>
      </c>
    </row>
    <row r="12" spans="1:5" x14ac:dyDescent="0.25">
      <c r="A12" s="3" t="s">
        <v>97</v>
      </c>
      <c r="B12" s="59">
        <v>200</v>
      </c>
      <c r="C12" s="59">
        <f>B12*dolar2</f>
        <v>446</v>
      </c>
      <c r="E12" s="59">
        <f t="shared" si="0"/>
        <v>446</v>
      </c>
    </row>
    <row r="13" spans="1:5" x14ac:dyDescent="0.25">
      <c r="A13" s="3" t="s">
        <v>98</v>
      </c>
      <c r="B13" s="59">
        <v>500</v>
      </c>
      <c r="C13" s="59">
        <f>B13*dolar2</f>
        <v>1115</v>
      </c>
      <c r="E13" s="59">
        <f t="shared" si="0"/>
        <v>1115</v>
      </c>
    </row>
    <row r="14" spans="1:5" x14ac:dyDescent="0.25">
      <c r="A14" s="3" t="s">
        <v>99</v>
      </c>
      <c r="B14" s="59">
        <v>10</v>
      </c>
      <c r="C14" s="59">
        <f>B14*dolar2</f>
        <v>22.3</v>
      </c>
      <c r="E14" s="59">
        <f t="shared" si="0"/>
        <v>22.3</v>
      </c>
    </row>
    <row r="15" spans="1:5" x14ac:dyDescent="0.25">
      <c r="A15" s="3" t="s">
        <v>100</v>
      </c>
      <c r="B15" s="59">
        <v>150</v>
      </c>
      <c r="C15" s="59">
        <f>B15*dolar2</f>
        <v>334.5</v>
      </c>
      <c r="E15" s="59">
        <f t="shared" si="0"/>
        <v>334.5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9074-BB4C-454A-AA90-7131E05930EA}">
  <dimension ref="A1:G11"/>
  <sheetViews>
    <sheetView showGridLines="0" tabSelected="1" workbookViewId="0">
      <selection activeCell="G14" sqref="G14"/>
    </sheetView>
  </sheetViews>
  <sheetFormatPr defaultColWidth="13" defaultRowHeight="15" x14ac:dyDescent="0.25"/>
  <cols>
    <col min="2" max="2" width="14.28515625" style="61" bestFit="1" customWidth="1"/>
    <col min="5" max="5" width="14.28515625" style="61" bestFit="1" customWidth="1"/>
    <col min="7" max="7" width="14.28515625" style="61" bestFit="1" customWidth="1"/>
  </cols>
  <sheetData>
    <row r="1" spans="1:7" ht="21" x14ac:dyDescent="0.35">
      <c r="A1" s="60" t="s">
        <v>104</v>
      </c>
      <c r="E1" s="61" t="s">
        <v>105</v>
      </c>
      <c r="G1" s="61" t="s">
        <v>106</v>
      </c>
    </row>
    <row r="2" spans="1:7" x14ac:dyDescent="0.25">
      <c r="E2" s="61">
        <v>45000</v>
      </c>
      <c r="G2" s="61">
        <v>44019.640626329172</v>
      </c>
    </row>
    <row r="3" spans="1:7" x14ac:dyDescent="0.25">
      <c r="A3" t="s">
        <v>115</v>
      </c>
      <c r="B3" s="64">
        <f>SUM(entrada)</f>
        <v>917632</v>
      </c>
      <c r="E3" s="61">
        <v>56789</v>
      </c>
      <c r="G3" s="61">
        <v>55878.468864447263</v>
      </c>
    </row>
    <row r="4" spans="1:7" x14ac:dyDescent="0.25">
      <c r="E4" s="61">
        <v>456789</v>
      </c>
      <c r="G4" s="61">
        <v>455843.54321483162</v>
      </c>
    </row>
    <row r="5" spans="1:7" x14ac:dyDescent="0.25">
      <c r="A5" t="s">
        <v>116</v>
      </c>
      <c r="B5" s="64">
        <f>SUM(saidas)</f>
        <v>908280.40660270944</v>
      </c>
      <c r="E5" s="61">
        <v>87456</v>
      </c>
      <c r="G5" s="61">
        <v>86536.006802498305</v>
      </c>
    </row>
    <row r="6" spans="1:7" x14ac:dyDescent="0.25">
      <c r="E6" s="61">
        <v>56789</v>
      </c>
      <c r="G6" s="61">
        <v>55888.891894527042</v>
      </c>
    </row>
    <row r="7" spans="1:7" x14ac:dyDescent="0.25">
      <c r="E7" s="61">
        <v>23456</v>
      </c>
      <c r="G7" s="61">
        <v>22511.620718587768</v>
      </c>
    </row>
    <row r="8" spans="1:7" x14ac:dyDescent="0.25">
      <c r="A8" t="s">
        <v>117</v>
      </c>
      <c r="B8" s="64">
        <f>B3-B5</f>
        <v>9351.5933972905623</v>
      </c>
      <c r="E8" s="61">
        <v>23454</v>
      </c>
      <c r="G8" s="61">
        <v>22477.153076901344</v>
      </c>
    </row>
    <row r="9" spans="1:7" x14ac:dyDescent="0.25">
      <c r="E9" s="61">
        <v>45678</v>
      </c>
      <c r="G9" s="61">
        <v>44771.10178151435</v>
      </c>
    </row>
    <row r="10" spans="1:7" x14ac:dyDescent="0.25">
      <c r="E10" s="61">
        <v>23456</v>
      </c>
      <c r="G10" s="61">
        <v>22522.028450020589</v>
      </c>
    </row>
    <row r="11" spans="1:7" x14ac:dyDescent="0.25">
      <c r="E11" s="61">
        <v>98765</v>
      </c>
      <c r="G11" s="61">
        <v>97831.951173052032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7</vt:i4>
      </vt:variant>
    </vt:vector>
  </HeadingPairs>
  <TitlesOfParts>
    <vt:vector size="17" baseType="lpstr">
      <vt:lpstr>índice</vt:lpstr>
      <vt:lpstr>Relativa</vt:lpstr>
      <vt:lpstr>Absoluta</vt:lpstr>
      <vt:lpstr>Mista</vt:lpstr>
      <vt:lpstr>Tabuada</vt:lpstr>
      <vt:lpstr>Desconto</vt:lpstr>
      <vt:lpstr>Ref. Relativa e Absoluta II</vt:lpstr>
      <vt:lpstr>Renomeando intervalos</vt:lpstr>
      <vt:lpstr>EX01</vt:lpstr>
      <vt:lpstr>EX02</vt:lpstr>
      <vt:lpstr>Cotação_do_Dólar</vt:lpstr>
      <vt:lpstr>Cotação_do_Euro</vt:lpstr>
      <vt:lpstr>dolar2</vt:lpstr>
      <vt:lpstr>entrada</vt:lpstr>
      <vt:lpstr>entradas</vt:lpstr>
      <vt:lpstr>saidas</vt:lpstr>
      <vt:lpstr>Saídas</vt:lpstr>
    </vt:vector>
  </TitlesOfParts>
  <Company>Machado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</dc:creator>
  <cp:lastModifiedBy>MARIANA</cp:lastModifiedBy>
  <dcterms:created xsi:type="dcterms:W3CDTF">2008-06-21T03:39:38Z</dcterms:created>
  <dcterms:modified xsi:type="dcterms:W3CDTF">2018-06-13T22:26:30Z</dcterms:modified>
</cp:coreProperties>
</file>