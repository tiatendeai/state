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EstaPasta_de_trabalho" defaultThemeVersion="124226"/>
  <bookViews>
    <workbookView xWindow="240" yWindow="90" windowWidth="20115" windowHeight="9270" activeTab="1"/>
  </bookViews>
  <sheets>
    <sheet name="TABELA" sheetId="2" r:id="rId1"/>
    <sheet name="GRAFICO" sheetId="3" r:id="rId2"/>
  </sheets>
  <definedNames>
    <definedName name="_xlnm.Print_Area" localSheetId="1">GRAFICO!$B$1:$B$40</definedName>
    <definedName name="_xlnm.Print_Area" localSheetId="0">TABELA!$B$1:$O$33</definedName>
    <definedName name="_xlnm.Print_Titles" localSheetId="0">TABELA!$B:$B,TABELA!$3:$10</definedName>
  </definedNames>
  <calcPr calcId="145621"/>
  <pivotCaches>
    <pivotCache cacheId="43" r:id="rId3"/>
  </pivotCaches>
</workbook>
</file>

<file path=xl/calcChain.xml><?xml version="1.0" encoding="utf-8"?>
<calcChain xmlns="http://schemas.openxmlformats.org/spreadsheetml/2006/main">
  <c r="B1" i="3" l="1"/>
  <c r="E1" i="2" l="1"/>
  <c r="E2" i="2" l="1"/>
  <c r="B2" i="3" s="1"/>
</calcChain>
</file>

<file path=xl/sharedStrings.xml><?xml version="1.0" encoding="utf-8"?>
<sst xmlns="http://schemas.openxmlformats.org/spreadsheetml/2006/main" count="21" uniqueCount="18">
  <si>
    <t>Rótulos de Linha</t>
  </si>
  <si>
    <t>ANO</t>
  </si>
  <si>
    <t>(Tudo)</t>
  </si>
  <si>
    <t>SEMESTRE</t>
  </si>
  <si>
    <t>TRIMESTRE</t>
  </si>
  <si>
    <t>FILTROS</t>
  </si>
  <si>
    <t>PREVISTO</t>
  </si>
  <si>
    <t>REALIZADO</t>
  </si>
  <si>
    <t>VER GRÁFICO</t>
  </si>
  <si>
    <t>VER TABELA</t>
  </si>
  <si>
    <t>Total Geral</t>
  </si>
  <si>
    <t>Total</t>
  </si>
  <si>
    <t>MÊS</t>
  </si>
  <si>
    <t>TIPO</t>
  </si>
  <si>
    <t>PARTICIPAÇÃO</t>
  </si>
  <si>
    <t>ENTRADAS</t>
  </si>
  <si>
    <t>RENDIMENTOS DE APLICAÇÕES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</si>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</sst>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7.7"/>
      <color theme="10"/>
      <name val="Calibri"/>
      <family val="2"/>
    </font>
    <font>
      <u/>
      <sz val="11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1" fillId="0" borderId="0" xfId="0" applyFont="1"/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right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indent="1"/>
    </xf>
    <xf numFmtId="0" fontId="2" fillId="3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1" applyFont="1" applyAlignment="1" applyProtection="1">
      <alignment horizontal="right" vertical="center"/>
    </xf>
  </cellXfs>
  <cellStyles count="2">
    <cellStyle name="Hiperlink" xfId="1" builtinId="8"/>
    <cellStyle name="Normal" xfId="0" builtinId="0"/>
  </cellStyles>
  <dxfs count="9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Light16"/>
  <colors>
    <mruColors>
      <color rgb="FF37FF91"/>
      <color rgb="FF09FF78"/>
      <color rgb="FFFF939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[reidasplanilhas-R005-Fluxo-Caixa-Participacao-por-Tipo-por Grupo.xlsx]TABELA!Tabela dinâmica1</c:name>
    <c:fmtId val="18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5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6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7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8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8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0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1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2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3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4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5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6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7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  <c:spPr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400"/>
              </a:pPr>
              <a:endParaRPr lang="pt-BR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
</c:separator>
        </c:dLbl>
      </c:pivotFmt>
    </c:pivotFmts>
    <c:view3D>
      <c:rotX val="4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051167106935255"/>
          <c:y val="0.10966906383026045"/>
          <c:w val="0.78985064633292945"/>
          <c:h val="0.77264541156901156"/>
        </c:manualLayout>
      </c:layout>
      <c:pie3DChart>
        <c:varyColors val="1"/>
        <c:ser>
          <c:idx val="0"/>
          <c:order val="0"/>
          <c:tx>
            <c:strRef>
              <c:f>TABELA!$C$9:$C$10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explosion val="25"/>
          <c:dLbls>
            <c:spPr/>
            <c:txPr>
              <a:bodyPr/>
              <a:lstStyle/>
              <a:p>
                <a:pPr>
                  <a:defRPr sz="1400"/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</c:dLbls>
          <c:cat>
            <c:multiLvlStrRef>
              <c:f>TABELA!$B$11:$B$18</c:f>
              <c:multiLvlStrCache>
                <c:ptCount val="3"/>
                <c:lvl>
                  <c:pt idx="0">
                    <c:v>REALIZADO</c:v>
                  </c:pt>
                  <c:pt idx="1">
                    <c:v>PREVISTO</c:v>
                  </c:pt>
                  <c:pt idx="2">
                    <c:v>REALIZADO</c:v>
                  </c:pt>
                </c:lvl>
                <c:lvl>
                  <c:pt idx="0">
                    <c:v>RENDIMENTOS DE APLICAÇÕES</c:v>
                  </c:pt>
                  <c:pt idx="1">
                    <c:v>VENDAS</c:v>
                  </c:pt>
                </c:lvl>
              </c:multiLvlStrCache>
            </c:multiLvlStrRef>
          </c:cat>
          <c:val>
            <c:numRef>
              <c:f>TABELA!$C$11:$C$18</c:f>
              <c:numCache>
                <c:formatCode>_(* #,##0.00_);_(* \(#,##0.00\);_(* "-"??_);_(@_)</c:formatCode>
                <c:ptCount val="3"/>
                <c:pt idx="0">
                  <c:v>1333946.2699999998</c:v>
                </c:pt>
                <c:pt idx="1">
                  <c:v>1389002.2700000007</c:v>
                </c:pt>
                <c:pt idx="2">
                  <c:v>8214327.1400000006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dTable>
        <c:showHorzBorder val="1"/>
        <c:showVertBorder val="1"/>
        <c:showOutline val="0"/>
        <c:showKeys val="1"/>
        <c:spPr>
          <a:noFill/>
        </c:spPr>
      </c:dTable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141" footer="0.31496062000000141"/>
    <c:pageSetup orientation="portrait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1</xdr:row>
      <xdr:rowOff>203200</xdr:rowOff>
    </xdr:from>
    <xdr:to>
      <xdr:col>3</xdr:col>
      <xdr:colOff>454710</xdr:colOff>
      <xdr:row>3</xdr:row>
      <xdr:rowOff>30286</xdr:rowOff>
    </xdr:to>
    <xdr:sp macro="" textlink="">
      <xdr:nvSpPr>
        <xdr:cNvPr id="3" name="Seta para a direita 2"/>
        <xdr:cNvSpPr/>
      </xdr:nvSpPr>
      <xdr:spPr>
        <a:xfrm rot="10800000">
          <a:off x="3238500" y="812800"/>
          <a:ext cx="365810" cy="271586"/>
        </a:xfrm>
        <a:prstGeom prst="rightArrow">
          <a:avLst>
            <a:gd name="adj1" fmla="val 36466"/>
            <a:gd name="adj2" fmla="val 77223"/>
          </a:avLst>
        </a:prstGeom>
        <a:solidFill>
          <a:schemeClr val="accent6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71438</xdr:rowOff>
    </xdr:from>
    <xdr:to>
      <xdr:col>3</xdr:col>
      <xdr:colOff>-1</xdr:colOff>
      <xdr:row>39</xdr:row>
      <xdr:rowOff>47626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reidasplanilhas-base-dados-lancamentos.xlsm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utor" refreshedDate="40908.44732511574" createdVersion="3" refreshedVersion="4" minRefreshableVersion="3" recordCount="1048575">
  <cacheSource type="worksheet">
    <worksheetSource ref="A1:M1048576" sheet="LANÇAMENTOS" r:id="rId1"/>
  </cacheSource>
  <cacheFields count="14">
    <cacheField name="DATA" numFmtId="0">
      <sharedItems containsNonDate="0" containsDate="1" containsString="0" containsBlank="1" minDate="2011-01-01T00:00:00" maxDate="2012-01-01T00:00:00"/>
    </cacheField>
    <cacheField name="DIA" numFmtId="0">
      <sharedItems containsString="0" containsBlank="1" containsNumber="1" containsInteger="1" minValue="1" maxValue="31"/>
    </cacheField>
    <cacheField name="DIASEMANA" numFmtId="0">
      <sharedItems containsBlank="1"/>
    </cacheField>
    <cacheField name="MÊS" numFmtId="0">
      <sharedItems containsBlank="1" count="13">
        <s v="01 (JAN)"/>
        <s v="02 (FEV)"/>
        <s v="03 (MAR)"/>
        <s v="04 (ABR)"/>
        <s v="05 (MAI)"/>
        <s v="06 (JUN)"/>
        <s v="07 (JUL)"/>
        <s v="08 (AGO)"/>
        <s v="09 (SET)"/>
        <s v="10 (OUT)"/>
        <s v="11 (NOV)"/>
        <s v="12 (DEZ)"/>
        <m/>
      </sharedItems>
    </cacheField>
    <cacheField name="TRIMESTRE" numFmtId="0">
      <sharedItems containsBlank="1" count="5">
        <s v="1º TRIM"/>
        <s v="2º TRIM"/>
        <s v="3º TRIM"/>
        <s v="4º TRIM"/>
        <m/>
      </sharedItems>
    </cacheField>
    <cacheField name="SEMESTRE" numFmtId="0">
      <sharedItems containsBlank="1" count="3">
        <s v="1º SEM"/>
        <s v="2º SEM"/>
        <m/>
      </sharedItems>
    </cacheField>
    <cacheField name="ANO" numFmtId="0">
      <sharedItems containsString="0" containsBlank="1" containsNumber="1" containsInteger="1" minValue="2011" maxValue="2011" count="2">
        <n v="2011"/>
        <m/>
      </sharedItems>
    </cacheField>
    <cacheField name="TIPO" numFmtId="0">
      <sharedItems containsBlank="1" count="3">
        <s v="ENTRADAS"/>
        <s v="SAÍDAS"/>
        <m/>
      </sharedItems>
    </cacheField>
    <cacheField name="CONTA" numFmtId="0">
      <sharedItems containsBlank="1" count="4">
        <s v="FATURAMENTO"/>
        <s v="DEPÓSITOS"/>
        <m/>
        <s v="FINANCIAMENTO" u="1"/>
      </sharedItems>
    </cacheField>
    <cacheField name="GRUPO" numFmtId="0">
      <sharedItems containsBlank="1" count="7">
        <s v="VENDAS"/>
        <s v="FORNECEDORES"/>
        <s v="ENERGIA ELÉTRICA"/>
        <s v="COMBUSTÍVEL"/>
        <s v="RENDIMENTOS DE APLICAÇÕES"/>
        <m/>
        <s v="ABACAXI" u="1"/>
      </sharedItems>
    </cacheField>
    <cacheField name="DESCRICAO" numFmtId="0">
      <sharedItems containsBlank="1"/>
    </cacheField>
    <cacheField name="VALOR" numFmtId="0">
      <sharedItems containsString="0" containsBlank="1" containsNumber="1" minValue="-27456" maxValue="35739.599999999999"/>
    </cacheField>
    <cacheField name="SITUAÇÃO" numFmtId="0">
      <sharedItems containsBlank="1" count="3">
        <s v="REALIZADO"/>
        <s v="PREVISTO"/>
        <m/>
      </sharedItems>
    </cacheField>
    <cacheField name="VALORES ABSOLUTOS" numFmtId="0" formula=" ABS(VALOR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43" dataPosition="0" applyNumberFormats="0" applyBorderFormats="0" applyFontFormats="0" applyPatternFormats="0" applyAlignmentFormats="0" applyWidthHeightFormats="1" dataCaption="Valores" updatedVersion="4" minRefreshableVersion="3" fieldPrintTitles="1" itemPrintTitles="1" createdVersion="4" indent="0" outline="1" outlineData="1" gridDropZones="1" multipleFieldFilters="0" chartFormat="19" fieldListSortAscending="1">
  <location ref="B9:C18" firstHeaderRow="2" firstDataRow="2" firstDataCol="1" rowPageCount="5" colPageCount="1"/>
  <pivotFields count="14">
    <pivotField showAll="0" insertBlankRow="1"/>
    <pivotField showAll="0" insertBlankRow="1"/>
    <pivotField showAll="0" insertBlankRow="1"/>
    <pivotField axis="axisPage" showAll="0" insertBlankRow="1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 insertBlankRow="1">
      <items count="6">
        <item x="0"/>
        <item x="1"/>
        <item x="2"/>
        <item x="3"/>
        <item x="4"/>
        <item t="default"/>
      </items>
    </pivotField>
    <pivotField axis="axisPage" showAll="0" insertBlankRow="1">
      <items count="4">
        <item x="0"/>
        <item x="1"/>
        <item x="2"/>
        <item t="default"/>
      </items>
    </pivotField>
    <pivotField axis="axisPage" showAll="0" insertBlankRow="1">
      <items count="3">
        <item x="1"/>
        <item x="0"/>
        <item t="default"/>
      </items>
    </pivotField>
    <pivotField axis="axisPage" showAll="0" insertBlankRow="1" sortType="ascending">
      <items count="4">
        <item x="0"/>
        <item x="1"/>
        <item x="2"/>
        <item t="default"/>
      </items>
    </pivotField>
    <pivotField showAll="0" insertBlankRow="1">
      <items count="5">
        <item x="1"/>
        <item x="0"/>
        <item m="1" x="3"/>
        <item x="2"/>
        <item t="default"/>
      </items>
    </pivotField>
    <pivotField axis="axisRow" showAll="0" insertBlankRow="1">
      <items count="8">
        <item x="3"/>
        <item x="2"/>
        <item x="1"/>
        <item x="4"/>
        <item x="0"/>
        <item x="5"/>
        <item m="1" x="6"/>
        <item t="default"/>
      </items>
    </pivotField>
    <pivotField showAll="0" insertBlankRow="1"/>
    <pivotField showAll="0" insertBlankRow="1"/>
    <pivotField axis="axisRow" showAll="0" defaultSubtotal="0">
      <items count="3">
        <item x="1"/>
        <item x="0"/>
        <item x="2"/>
      </items>
    </pivotField>
    <pivotField dataField="1" dragToRow="0" dragToCol="0" dragToPage="0" showAll="0" defaultSubtotal="0"/>
  </pivotFields>
  <rowFields count="2">
    <field x="9"/>
    <field x="12"/>
  </rowFields>
  <rowItems count="8">
    <i>
      <x v="3"/>
    </i>
    <i r="1">
      <x v="1"/>
    </i>
    <i t="blank">
      <x v="3"/>
    </i>
    <i>
      <x v="4"/>
    </i>
    <i r="1">
      <x/>
    </i>
    <i r="1">
      <x v="1"/>
    </i>
    <i t="blank">
      <x v="4"/>
    </i>
    <i t="grand">
      <x/>
    </i>
  </rowItems>
  <colItems count="1">
    <i/>
  </colItems>
  <pageFields count="5">
    <pageField fld="7" item="0" hier="-1"/>
    <pageField fld="6" item="1" hier="-1"/>
    <pageField fld="5" hier="-1"/>
    <pageField fld="4" hier="-1"/>
    <pageField fld="3" hier="-1"/>
  </pageFields>
  <dataFields count="1">
    <dataField name="PARTICIPAÇÃO" fld="13" baseField="12" baseItem="0" numFmtId="43"/>
  </dataFields>
  <formats count="9">
    <format dxfId="8">
      <pivotArea field="7" dataOnly="0" labelOnly="1" grandCol="1" outline="0" axis="axisPage" fieldPosition="0">
        <references count="1">
          <reference field="4294967294" count="1" selected="0">
            <x v="0"/>
          </reference>
        </references>
      </pivotArea>
    </format>
    <format dxfId="7">
      <pivotArea field="6" type="button" dataOnly="0" labelOnly="1" outline="0" axis="axisPage" fieldPosition="1"/>
    </format>
    <format dxfId="6">
      <pivotArea dataOnly="0" labelOnly="1" outline="0" fieldPosition="0">
        <references count="1">
          <reference field="6" count="1">
            <x v="1"/>
          </reference>
        </references>
      </pivotArea>
    </format>
    <format dxfId="5">
      <pivotArea field="5" type="button" dataOnly="0" labelOnly="1" outline="0" axis="axisPage" fieldPosition="2"/>
    </format>
    <format dxfId="4">
      <pivotArea dataOnly="0" labelOnly="1" outline="0" fieldPosition="0">
        <references count="2">
          <reference field="5" count="0"/>
          <reference field="6" count="1" selected="0">
            <x v="1"/>
          </reference>
        </references>
      </pivotArea>
    </format>
    <format dxfId="3">
      <pivotArea field="4" type="button" dataOnly="0" labelOnly="1" outline="0" axis="axisPage" fieldPosition="3"/>
    </format>
    <format dxfId="2">
      <pivotArea dataOnly="0" labelOnly="1" outline="0" fieldPosition="0">
        <references count="2">
          <reference field="4" count="0"/>
          <reference field="6" count="1" selected="0">
            <x v="1"/>
          </reference>
        </references>
      </pivotArea>
    </format>
    <format dxfId="1">
      <pivotArea field="8" type="button" dataOnly="0" labelOnly="1" outline="0"/>
    </format>
    <format dxfId="0">
      <pivotArea field="9" type="button" dataOnly="0" labelOnly="1" outline="0" axis="axisRow" fieldPosition="0"/>
    </format>
  </formats>
  <chartFormats count="42">
    <chartFormat chart="9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6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8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8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8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8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8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8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8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8" format="19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X18"/>
  <sheetViews>
    <sheetView showGridLines="0" zoomScale="75" zoomScaleNormal="75" zoomScaleSheetLayoutView="80" workbookViewId="0">
      <selection activeCell="E3" sqref="E3:N3"/>
    </sheetView>
  </sheetViews>
  <sheetFormatPr defaultColWidth="0" defaultRowHeight="15" x14ac:dyDescent="0.25"/>
  <cols>
    <col min="1" max="1" width="2.7109375" customWidth="1"/>
    <col min="2" max="2" width="28.7109375" customWidth="1"/>
    <col min="3" max="15" width="15.7109375" customWidth="1"/>
    <col min="16" max="16" width="2.7109375" customWidth="1"/>
    <col min="17" max="22" width="10.5703125" hidden="1" customWidth="1"/>
    <col min="23" max="23" width="12.28515625" hidden="1" customWidth="1"/>
    <col min="24" max="24" width="11.5703125" hidden="1" customWidth="1"/>
    <col min="25" max="26" width="10.5703125" hidden="1" customWidth="1"/>
    <col min="27" max="27" width="13.5703125" hidden="1" customWidth="1"/>
    <col min="28" max="29" width="10.85546875" hidden="1" customWidth="1"/>
    <col min="30" max="30" width="14" hidden="1" customWidth="1"/>
    <col min="31" max="32" width="10.42578125" hidden="1" customWidth="1"/>
    <col min="33" max="33" width="13.140625" hidden="1" customWidth="1"/>
    <col min="34" max="35" width="12.5703125" hidden="1" customWidth="1"/>
    <col min="36" max="36" width="13.28515625" hidden="1" customWidth="1"/>
    <col min="37" max="38" width="10.5703125" hidden="1" customWidth="1"/>
    <col min="39" max="39" width="13.140625" hidden="1" customWidth="1"/>
    <col min="40" max="41" width="10.85546875" hidden="1" customWidth="1"/>
    <col min="42" max="42" width="14" hidden="1" customWidth="1"/>
    <col min="43" max="44" width="10.5703125" hidden="1" customWidth="1"/>
    <col min="45" max="45" width="13.42578125" hidden="1" customWidth="1"/>
    <col min="46" max="47" width="11.5703125" hidden="1" customWidth="1"/>
    <col min="48" max="48" width="13.42578125" hidden="1" customWidth="1"/>
    <col min="49" max="50" width="11.5703125" hidden="1" customWidth="1"/>
    <col min="51" max="51" width="13.28515625" hidden="1" customWidth="1"/>
    <col min="52" max="53" width="11.5703125" hidden="1" customWidth="1"/>
    <col min="54" max="54" width="12.5703125" hidden="1" customWidth="1"/>
    <col min="55" max="56" width="11.5703125" hidden="1" customWidth="1"/>
    <col min="57" max="57" width="13.85546875" hidden="1" customWidth="1"/>
    <col min="58" max="59" width="11.5703125" hidden="1" customWidth="1"/>
    <col min="60" max="60" width="12.7109375" hidden="1" customWidth="1"/>
    <col min="61" max="62" width="11.5703125" hidden="1" customWidth="1"/>
    <col min="63" max="63" width="13.5703125" hidden="1" customWidth="1"/>
    <col min="64" max="65" width="11.5703125" hidden="1" customWidth="1"/>
    <col min="66" max="66" width="14" hidden="1" customWidth="1"/>
    <col min="67" max="68" width="11.5703125" hidden="1" customWidth="1"/>
    <col min="69" max="69" width="13.140625" hidden="1" customWidth="1"/>
    <col min="70" max="70" width="13.28515625" hidden="1" customWidth="1"/>
    <col min="71" max="71" width="17.7109375" hidden="1" customWidth="1"/>
    <col min="72" max="72" width="13.28515625" hidden="1" customWidth="1"/>
    <col min="73" max="74" width="17.7109375" hidden="1" customWidth="1"/>
    <col min="75" max="75" width="13.28515625" hidden="1" customWidth="1"/>
    <col min="76" max="76" width="17.7109375" hidden="1" customWidth="1"/>
    <col min="77" max="16384" width="9.140625" hidden="1"/>
  </cols>
  <sheetData>
    <row r="1" spans="2:14" s="7" customFormat="1" ht="48" customHeight="1" x14ac:dyDescent="0.4">
      <c r="B1" s="16" t="s">
        <v>5</v>
      </c>
      <c r="C1" s="16"/>
      <c r="E1" s="17" t="str">
        <f>GRAFICO!B1</f>
        <v>FLUXO DE CAIXA - PARTICIPAÇÃO POR TIPO (ENTRADAS) E POR GRUPO</v>
      </c>
      <c r="F1" s="17"/>
      <c r="G1" s="17"/>
      <c r="H1" s="17"/>
      <c r="I1" s="17"/>
      <c r="J1" s="17"/>
      <c r="K1" s="17"/>
      <c r="L1" s="17"/>
      <c r="M1" s="17"/>
      <c r="N1" s="17"/>
    </row>
    <row r="2" spans="2:14" s="8" customFormat="1" ht="20.100000000000001" customHeight="1" x14ac:dyDescent="0.25">
      <c r="B2" s="6"/>
      <c r="C2" s="6"/>
      <c r="E2" s="18" t="str">
        <f>SUBSTITUTE("PARÂMETROS DE CONSULTA: "&amp;IF(C3&lt;&gt;"",", "&amp;B3&amp;"="&amp;C3,"")&amp;IF(C4&lt;&gt;"",", "&amp;B4&amp;"="&amp;C4,"")&amp;IF(C5&lt;&gt;"",", "&amp;B5&amp;"="&amp;C5,"")&amp;IF(C6&lt;&gt;"",", "&amp;B6&amp;"="&amp;C6,"")&amp;IF(C7&lt;&gt;"",", "&amp;B7&amp;"="&amp;C7,"")&amp;IF(C8&lt;&gt;"",", "&amp;B8&amp;"="&amp;C8,""),": , ",": ")</f>
        <v>PARÂMETROS DE CONSULTA: TIPO=ENTRADAS, ANO=2011, SEMESTRE=(Tudo), TRIMESTRE=(Tudo), MÊS=(Tudo)</v>
      </c>
      <c r="F2" s="18"/>
      <c r="G2" s="18"/>
      <c r="H2" s="18"/>
      <c r="I2" s="18"/>
      <c r="J2" s="18"/>
      <c r="K2" s="18"/>
      <c r="L2" s="18"/>
      <c r="M2" s="18"/>
      <c r="N2" s="18"/>
    </row>
    <row r="3" spans="2:14" s="8" customFormat="1" ht="15" customHeight="1" x14ac:dyDescent="0.25">
      <c r="B3" s="3" t="s">
        <v>13</v>
      </c>
      <c r="C3" t="s">
        <v>15</v>
      </c>
      <c r="E3" s="19" t="s">
        <v>8</v>
      </c>
      <c r="F3" s="19"/>
      <c r="G3" s="19"/>
      <c r="H3" s="19"/>
      <c r="I3" s="19"/>
      <c r="J3" s="19"/>
      <c r="K3" s="19"/>
      <c r="L3" s="19"/>
      <c r="M3" s="19"/>
      <c r="N3" s="19"/>
    </row>
    <row r="4" spans="2:14" s="10" customFormat="1" ht="15" customHeight="1" x14ac:dyDescent="0.25">
      <c r="B4" s="13" t="s">
        <v>1</v>
      </c>
      <c r="C4" s="14">
        <v>2011</v>
      </c>
    </row>
    <row r="5" spans="2:14" s="10" customFormat="1" ht="15" customHeight="1" x14ac:dyDescent="0.25">
      <c r="B5" s="13" t="s">
        <v>3</v>
      </c>
      <c r="C5" s="10" t="s">
        <v>2</v>
      </c>
    </row>
    <row r="6" spans="2:14" s="10" customFormat="1" ht="15" customHeight="1" x14ac:dyDescent="0.25">
      <c r="B6" s="13" t="s">
        <v>4</v>
      </c>
      <c r="C6" s="10" t="s">
        <v>2</v>
      </c>
    </row>
    <row r="7" spans="2:14" s="10" customFormat="1" ht="15" customHeight="1" x14ac:dyDescent="0.25">
      <c r="B7" s="3" t="s">
        <v>12</v>
      </c>
      <c r="C7" t="s">
        <v>2</v>
      </c>
    </row>
    <row r="8" spans="2:14" s="10" customFormat="1" x14ac:dyDescent="0.25"/>
    <row r="9" spans="2:14" x14ac:dyDescent="0.25">
      <c r="B9" s="3" t="s">
        <v>14</v>
      </c>
    </row>
    <row r="10" spans="2:14" x14ac:dyDescent="0.25">
      <c r="B10" s="13" t="s">
        <v>0</v>
      </c>
      <c r="C10" s="4" t="s">
        <v>11</v>
      </c>
    </row>
    <row r="11" spans="2:14" x14ac:dyDescent="0.25">
      <c r="B11" s="2" t="s">
        <v>16</v>
      </c>
      <c r="C11" s="1">
        <v>1333946.2699999998</v>
      </c>
    </row>
    <row r="12" spans="2:14" x14ac:dyDescent="0.25">
      <c r="B12" s="15" t="s">
        <v>7</v>
      </c>
      <c r="C12" s="1">
        <v>1333946.2699999998</v>
      </c>
    </row>
    <row r="13" spans="2:14" x14ac:dyDescent="0.25">
      <c r="B13" s="2"/>
      <c r="C13" s="1"/>
    </row>
    <row r="14" spans="2:14" x14ac:dyDescent="0.25">
      <c r="B14" s="2" t="s">
        <v>17</v>
      </c>
      <c r="C14" s="1">
        <v>9603329.4100000001</v>
      </c>
    </row>
    <row r="15" spans="2:14" x14ac:dyDescent="0.25">
      <c r="B15" s="15" t="s">
        <v>6</v>
      </c>
      <c r="C15" s="1">
        <v>1389002.2700000007</v>
      </c>
    </row>
    <row r="16" spans="2:14" x14ac:dyDescent="0.25">
      <c r="B16" s="15" t="s">
        <v>7</v>
      </c>
      <c r="C16" s="1">
        <v>8214327.1400000006</v>
      </c>
    </row>
    <row r="17" spans="2:3" x14ac:dyDescent="0.25">
      <c r="B17" s="2"/>
      <c r="C17" s="1"/>
    </row>
    <row r="18" spans="2:3" x14ac:dyDescent="0.25">
      <c r="B18" s="2" t="s">
        <v>10</v>
      </c>
      <c r="C18" s="1">
        <v>10937275.680000002</v>
      </c>
    </row>
  </sheetData>
  <mergeCells count="4">
    <mergeCell ref="B1:C1"/>
    <mergeCell ref="E1:N1"/>
    <mergeCell ref="E2:N2"/>
    <mergeCell ref="E3:N3"/>
  </mergeCells>
  <hyperlinks>
    <hyperlink ref="E3:N3" location="GRAFICO!A1" display="VER GRÁFICO"/>
  </hyperlinks>
  <pageMargins left="0.51181102362204722" right="0.51181102362204722" top="0.78740157480314965" bottom="0.78740157480314965" header="0.31496062992125984" footer="0.31496062992125984"/>
  <pageSetup paperSize="9" scale="5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showGridLines="0" showRowColHeaders="0" tabSelected="1" zoomScale="80" zoomScaleNormal="80" workbookViewId="0"/>
  </sheetViews>
  <sheetFormatPr defaultColWidth="0" defaultRowHeight="15" zeroHeight="1" x14ac:dyDescent="0.25"/>
  <cols>
    <col min="1" max="1" width="2.7109375" customWidth="1"/>
    <col min="2" max="2" width="150.7109375" customWidth="1"/>
    <col min="3" max="3" width="2.7109375" customWidth="1"/>
    <col min="4" max="16384" width="9.140625" hidden="1"/>
  </cols>
  <sheetData>
    <row r="1" spans="1:3" ht="48" customHeight="1" x14ac:dyDescent="0.4">
      <c r="A1" s="5"/>
      <c r="B1" s="11" t="str">
        <f>"FLUXO DE CAIXA - PARTICIPAÇÃO POR TIPO"&amp;IF(OR(TABELA!C3="ENTRADAS",TABELA!C3="SAÍDAS")," ("&amp;TABELA!C3&amp;")","")&amp;" E POR GRUPO"</f>
        <v>FLUXO DE CAIXA - PARTICIPAÇÃO POR TIPO (ENTRADAS) E POR GRUPO</v>
      </c>
      <c r="C1" s="7"/>
    </row>
    <row r="2" spans="1:3" s="10" customFormat="1" ht="20.100000000000001" customHeight="1" x14ac:dyDescent="0.25">
      <c r="A2" s="8"/>
      <c r="B2" s="9" t="str">
        <f>TRIM(TABELA!E2)</f>
        <v>PARÂMETROS DE CONSULTA: TIPO=ENTRADAS, ANO=2011, SEMESTRE=(Tudo), TRIMESTRE=(Tudo), MÊS=(Tudo)</v>
      </c>
      <c r="C2" s="8"/>
    </row>
    <row r="3" spans="1:3" x14ac:dyDescent="0.25">
      <c r="B3" s="12" t="s">
        <v>9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</sheetData>
  <hyperlinks>
    <hyperlink ref="B3" location="TABELA!A1" display="VER TABELA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TABELA</vt:lpstr>
      <vt:lpstr>GRAFICO</vt:lpstr>
      <vt:lpstr>GRAFICO!Area_de_impressao</vt:lpstr>
      <vt:lpstr>TABELA!Area_de_impressao</vt:lpstr>
      <vt:lpstr>TABELA!Titulos_de_impressao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2011-12-31T10:58:43Z</dcterms:created>
  <dcterms:modified xsi:type="dcterms:W3CDTF">2011-12-31T13:44:21Z</dcterms:modified>
</cp:coreProperties>
</file>