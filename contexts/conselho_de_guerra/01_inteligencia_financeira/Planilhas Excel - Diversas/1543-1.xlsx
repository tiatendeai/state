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898\AC\Temp\"/>
    </mc:Choice>
  </mc:AlternateContent>
  <xr:revisionPtr revIDLastSave="0" documentId="8_{738FB7ED-4C41-B545-9734-1F2F2005CC23}" xr6:coauthVersionLast="28" xr6:coauthVersionMax="28" xr10:uidLastSave="{00000000-0000-0000-0000-000000000000}"/>
  <bookViews>
    <workbookView xWindow="120" yWindow="105" windowWidth="12120" windowHeight="8070" xr2:uid="{00000000-000D-0000-FFFF-FFFF00000000}"/>
  </bookViews>
  <sheets>
    <sheet name="Balanço Patrimonial" sheetId="1" r:id="rId1"/>
    <sheet name="DRE_Trimestral" sheetId="2" r:id="rId2"/>
    <sheet name="DRE_Acumulado" sheetId="4" r:id="rId3"/>
    <sheet name="FC_Acumulado" sheetId="5" r:id="rId4"/>
  </sheets>
  <definedNames>
    <definedName name="_1_">#REF!</definedName>
    <definedName name="_xlnm.Print_Area" localSheetId="0">'Balanço Patrimonial'!$A$1:$K$37,'Balanço Patrimonial'!$A$39:$K$78</definedName>
    <definedName name="_xlnm.Print_Area" localSheetId="2">DRE_Acumulado!#REF!,DRE_Acumulado!#REF!,DRE_Acumulado!$A$1:$L$40,DRE_Acumulado!#REF!</definedName>
    <definedName name="_xlnm.Print_Area" localSheetId="1">DRE_Trimestral!#REF!,DRE_Trimestral!#REF!,DRE_Trimestral!$A$1:$K$40,DRE_Trimestral!#REF!</definedName>
    <definedName name="ATIVO">#REF!</definedName>
    <definedName name="ativo2">#REF!</definedName>
    <definedName name="_xlnm.Criteria">#REF!</definedName>
    <definedName name="DOAR">#REF!</definedName>
    <definedName name="DRS">#REF!</definedName>
    <definedName name="PASSIVO">#REF!</definedName>
    <definedName name="Print_Area_MI">#REF!</definedName>
    <definedName name="xxx">#REF!</definedName>
  </definedNames>
  <calcPr calcId="171026"/>
</workbook>
</file>

<file path=xl/calcChain.xml><?xml version="1.0" encoding="utf-8"?>
<calcChain xmlns="http://schemas.openxmlformats.org/spreadsheetml/2006/main">
  <c r="N27" i="4" l="1"/>
  <c r="G56" i="5"/>
  <c r="E56" i="5"/>
  <c r="C56" i="5"/>
  <c r="G50" i="5"/>
  <c r="E50" i="5"/>
  <c r="C50" i="5"/>
  <c r="G41" i="5"/>
  <c r="E41" i="5"/>
  <c r="C41" i="5"/>
  <c r="G35" i="5"/>
  <c r="E35" i="5"/>
  <c r="C35" i="5"/>
</calcChain>
</file>

<file path=xl/sharedStrings.xml><?xml version="1.0" encoding="utf-8"?>
<sst xmlns="http://schemas.openxmlformats.org/spreadsheetml/2006/main" count="174" uniqueCount="123">
  <si>
    <t>GERDAU S.A.</t>
  </si>
  <si>
    <t xml:space="preserve"> R$ mil</t>
  </si>
  <si>
    <t>ATIVO CIRCULANTE</t>
  </si>
  <si>
    <t>Caixa e equivalentes de caixa</t>
  </si>
  <si>
    <t>Aplicações financeiras</t>
  </si>
  <si>
    <t xml:space="preserve">     Títulos para negociação</t>
  </si>
  <si>
    <t xml:space="preserve">     Títulos disponíveis para venda</t>
  </si>
  <si>
    <t xml:space="preserve">     Títulos mantidos até o vencimento</t>
  </si>
  <si>
    <t>Contas a receber de clientes</t>
  </si>
  <si>
    <t>Estoques</t>
  </si>
  <si>
    <t>Créditos tributários</t>
  </si>
  <si>
    <t>Imposto de renda/contribuição social diferidos</t>
  </si>
  <si>
    <t>Pagamentos antecipados</t>
  </si>
  <si>
    <t>Ganhos não realizados com derivativos</t>
  </si>
  <si>
    <t>Outras contas a receber</t>
  </si>
  <si>
    <t>ATIVO NÃO CIRCULANTE</t>
  </si>
  <si>
    <t>Depósitos judiciais</t>
  </si>
  <si>
    <t>Gastos antecipados com plano de pensão</t>
  </si>
  <si>
    <t>Investimentos avaliados por equivalência patrimonial</t>
  </si>
  <si>
    <t xml:space="preserve">Outros investimentos </t>
  </si>
  <si>
    <t>Ágios</t>
  </si>
  <si>
    <t>Imobilizado</t>
  </si>
  <si>
    <t>TOTAL DO ATIVO</t>
  </si>
  <si>
    <t>PASSIVO CIRCULANTE</t>
  </si>
  <si>
    <t>Fornecedores</t>
  </si>
  <si>
    <t>Empréstimos e financiamentos</t>
  </si>
  <si>
    <t>Debêntures</t>
  </si>
  <si>
    <t>Impostos e contribuições sociais a recolher</t>
  </si>
  <si>
    <t>Salários a pagar</t>
  </si>
  <si>
    <t>Dividendos a pagar</t>
  </si>
  <si>
    <t>Perdas não realizadas com derivativos</t>
  </si>
  <si>
    <t>Outras contas a pagar</t>
  </si>
  <si>
    <t>PASSIVO NÃO CIRCULANTE</t>
  </si>
  <si>
    <t>Provisão para contingências</t>
  </si>
  <si>
    <t>Beneficios a empregados</t>
  </si>
  <si>
    <t>PATRIMÔNIO LÍQUIDO</t>
  </si>
  <si>
    <t>Capital social</t>
  </si>
  <si>
    <t>Ações em tesouraria</t>
  </si>
  <si>
    <t>Reserva legal</t>
  </si>
  <si>
    <t>Lucros Acumulados</t>
  </si>
  <si>
    <t>Ajustes cumulativos de conversão para moeda estrangeira</t>
  </si>
  <si>
    <t>PARTICIPAÇÕES DOS ACIONISTAS MINORITÁRIOS</t>
  </si>
  <si>
    <t>PATRIMÔNIO LÍQUIDO INCLUINDO MINORITÁRIOS</t>
  </si>
  <si>
    <t>TOTAL DO PASSIVO</t>
  </si>
  <si>
    <t>RECEITA LÍQUIDA DE VENDAS</t>
  </si>
  <si>
    <t>Custo das vendas</t>
  </si>
  <si>
    <t>LUCRO BRUTO</t>
  </si>
  <si>
    <t>Despesas com vendas</t>
  </si>
  <si>
    <t>Despesas gerais e administrativas</t>
  </si>
  <si>
    <t>Outras receitas (despesas) operacionais</t>
  </si>
  <si>
    <t>LUCRO OPERACIONAL</t>
  </si>
  <si>
    <t>Resultado da Equivalência Patrimonial</t>
  </si>
  <si>
    <t>LUCRO ANTES DO RESULTADO FINANCEIRO E DOS IMPOSTOS</t>
  </si>
  <si>
    <t>Receitas Financeiras</t>
  </si>
  <si>
    <t>Despesas Financeiras</t>
  </si>
  <si>
    <t xml:space="preserve">LUCRO ANTES DOS IMPOSTOS </t>
  </si>
  <si>
    <t>Provisão para Imposto de Renda e Contribuição Social</t>
  </si>
  <si>
    <t xml:space="preserve">   Corrente</t>
  </si>
  <si>
    <t xml:space="preserve">   Diferido</t>
  </si>
  <si>
    <t>LUCRO LÍQUIDO DO PERÍODO</t>
  </si>
  <si>
    <t>ATRIBUÍDO A:</t>
  </si>
  <si>
    <t>Participação dos controladores</t>
  </si>
  <si>
    <t>Participação dos minoritários</t>
  </si>
  <si>
    <t xml:space="preserve">BALANÇO PATRIMONIAL </t>
  </si>
  <si>
    <t>DEMONSTRAÇÃO DO RESULTADO</t>
  </si>
  <si>
    <t>9 meses findos</t>
  </si>
  <si>
    <t>3 meses findos</t>
  </si>
  <si>
    <t>6 meses findos</t>
  </si>
  <si>
    <t>12 meses findos</t>
  </si>
  <si>
    <t>Intangível</t>
  </si>
  <si>
    <t>Diferido</t>
  </si>
  <si>
    <t>Variação cambial, líquida</t>
  </si>
  <si>
    <t>Ganhos e perdas com derivativos, líquido</t>
  </si>
  <si>
    <t>30/09/2007</t>
  </si>
  <si>
    <t>30/09/2006</t>
  </si>
  <si>
    <t>Fluxo de caixa da atividade operacional</t>
  </si>
  <si>
    <t>Lucro líquido do período (inclui participação dos minoritários)</t>
  </si>
  <si>
    <t>Ajustes para reconciliar o lucro líquido ao fluxo de caixa das</t>
  </si>
  <si>
    <t xml:space="preserve">   atividades operacionais:</t>
  </si>
  <si>
    <t xml:space="preserve">       Depreciação e amortização</t>
  </si>
  <si>
    <t xml:space="preserve">       Equivalência patrimonial, líquida</t>
  </si>
  <si>
    <t xml:space="preserve">       Amortização de intangível</t>
  </si>
  <si>
    <t xml:space="preserve">       Variação cambial</t>
  </si>
  <si>
    <t xml:space="preserve">       Ganhos com derivativos, líquido</t>
  </si>
  <si>
    <t xml:space="preserve">       Remuneração baseada em ações</t>
  </si>
  <si>
    <t xml:space="preserve">       Plano de benefícios pós-emprego</t>
  </si>
  <si>
    <t xml:space="preserve">       Imposto de renda diferido</t>
  </si>
  <si>
    <t xml:space="preserve">       Perda na alienação de imobilizado</t>
  </si>
  <si>
    <t xml:space="preserve">       Ganho na alienação de investimentos</t>
  </si>
  <si>
    <t xml:space="preserve">       Provisão de créditos de liquidação duvidosa</t>
  </si>
  <si>
    <t xml:space="preserve">       Provisão para passivos tributários, cíveis e trabalhistas</t>
  </si>
  <si>
    <t xml:space="preserve">       Distribuição de joint ventures</t>
  </si>
  <si>
    <t xml:space="preserve">       Receita de juros de aplicações financeiras</t>
  </si>
  <si>
    <t xml:space="preserve">       Despesa de juros sobre dívidas financeiras</t>
  </si>
  <si>
    <t xml:space="preserve">       Pagamento de juros de empréstimos e financiamentos</t>
  </si>
  <si>
    <t>Variação de ativos e passivos:</t>
  </si>
  <si>
    <t xml:space="preserve">Aumento de contas a receber </t>
  </si>
  <si>
    <t>Aumento de estoques</t>
  </si>
  <si>
    <t>Aumento de contas a pagar e provisões</t>
  </si>
  <si>
    <t>Aumento de outros ativos</t>
  </si>
  <si>
    <t>Aumento (redução) de outros passivos</t>
  </si>
  <si>
    <t>Aplicações financeiras de títulos para negociação</t>
  </si>
  <si>
    <t>Resgate de aplicações financeiras de títulos para negociação</t>
  </si>
  <si>
    <t>Caixa líquido proveniente das atividades operacionais</t>
  </si>
  <si>
    <t>Fluxo de caixa das atividades de investimento</t>
  </si>
  <si>
    <t>Adições de imobilizado</t>
  </si>
  <si>
    <t>Pagamentos na aquisição de empresas</t>
  </si>
  <si>
    <t>Juros recebidos sobre aplicações financeiras</t>
  </si>
  <si>
    <t>Caixa líquido usado nas atividades de investimento</t>
  </si>
  <si>
    <t>Fluxo de caixa das atividades de financiamentos</t>
  </si>
  <si>
    <t>Dividendos e juros sobre o capital próprio pagos</t>
  </si>
  <si>
    <t>Financiamentos obtidos</t>
  </si>
  <si>
    <t>Pagamentos de financiamentos</t>
  </si>
  <si>
    <t>Resgate cotas fundo investimentos consolidados</t>
  </si>
  <si>
    <t>-</t>
  </si>
  <si>
    <t>Financiamentos com empresas ligadas, líquido</t>
  </si>
  <si>
    <t>Caixa líquido proveniente de (usado em) atividades de financiamentos</t>
  </si>
  <si>
    <t>Efeito de variação cambial sobre o caixa e equivalentes de caixa</t>
  </si>
  <si>
    <t>Aumento do caixa e equivalentes de caixa</t>
  </si>
  <si>
    <t>Caixa e equivalentes de caixa no início do período</t>
  </si>
  <si>
    <t>Caixa e equivalentes de caixa no final do período</t>
  </si>
  <si>
    <t>9 meses findos em</t>
  </si>
  <si>
    <t>FLUXO DE CAIXA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</si>
</sst>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6">
    <font>
      <sz val="10"/>
      <name val="MS Sans Serif"/>
    </font>
    <font>
      <sz val="10"/>
      <name val="MS Sans Serif"/>
    </font>
    <font>
      <sz val="10"/>
      <name val="Arial"/>
    </font>
    <font>
      <sz val="10"/>
      <color indexed="8"/>
      <name val="Arial"/>
      <family val="2"/>
    </font>
    <font>
      <b/>
      <sz val="10"/>
      <name val="Times"/>
      <family val="1"/>
    </font>
    <font>
      <sz val="10"/>
      <name val="Times"/>
      <family val="1"/>
    </font>
    <font>
      <sz val="10"/>
      <color indexed="12"/>
      <name val="Times"/>
      <family val="1"/>
    </font>
    <font>
      <b/>
      <sz val="10"/>
      <color indexed="10"/>
      <name val="Times"/>
      <family val="1"/>
    </font>
    <font>
      <sz val="10"/>
      <color indexed="10"/>
      <name val="Times"/>
      <family val="1"/>
    </font>
    <font>
      <b/>
      <sz val="10"/>
      <color indexed="12"/>
      <name val="Times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Times"/>
      <family val="1"/>
    </font>
    <font>
      <sz val="8"/>
      <name val="MS Sans Serif"/>
    </font>
    <font>
      <b/>
      <sz val="10"/>
      <color indexed="8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/>
    <xf numFmtId="4" fontId="3" fillId="2" borderId="1" applyNumberFormat="0" applyProtection="0">
      <alignment horizontal="right"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</cellStyleXfs>
  <cellXfs count="62">
    <xf numFmtId="0" fontId="0" fillId="0" borderId="0" xfId="0"/>
    <xf numFmtId="38" fontId="4" fillId="0" borderId="0" xfId="1" applyNumberFormat="1" applyFont="1" applyAlignment="1">
      <alignment horizontal="left"/>
    </xf>
    <xf numFmtId="38" fontId="5" fillId="0" borderId="0" xfId="1" applyNumberFormat="1" applyFont="1" applyAlignment="1">
      <alignment horizontal="left" indent="2"/>
    </xf>
    <xf numFmtId="38" fontId="4" fillId="0" borderId="0" xfId="0" applyNumberFormat="1" applyFont="1"/>
    <xf numFmtId="38" fontId="4" fillId="0" borderId="0" xfId="1" applyNumberFormat="1" applyFont="1"/>
    <xf numFmtId="38" fontId="5" fillId="0" borderId="0" xfId="1" applyNumberFormat="1" applyFont="1" applyBorder="1"/>
    <xf numFmtId="38" fontId="5" fillId="0" borderId="0" xfId="1" applyNumberFormat="1" applyFont="1"/>
    <xf numFmtId="38" fontId="4" fillId="0" borderId="0" xfId="1" applyNumberFormat="1" applyFont="1" applyAlignment="1">
      <alignment horizontal="center"/>
    </xf>
    <xf numFmtId="164" fontId="5" fillId="0" borderId="0" xfId="1" applyNumberFormat="1" applyFont="1" applyAlignment="1"/>
    <xf numFmtId="38" fontId="5" fillId="0" borderId="2" xfId="1" applyNumberFormat="1" applyFont="1" applyBorder="1"/>
    <xf numFmtId="38" fontId="4" fillId="0" borderId="0" xfId="4" applyNumberFormat="1" applyFont="1" applyFill="1" applyAlignment="1">
      <alignment horizontal="right" vertical="justify"/>
    </xf>
    <xf numFmtId="38" fontId="6" fillId="0" borderId="0" xfId="1" applyNumberFormat="1" applyFont="1"/>
    <xf numFmtId="38" fontId="4" fillId="0" borderId="3" xfId="4" applyNumberFormat="1" applyFont="1" applyFill="1" applyBorder="1" applyAlignment="1">
      <alignment horizontal="right" vertical="justify"/>
    </xf>
    <xf numFmtId="10" fontId="7" fillId="0" borderId="0" xfId="2" applyNumberFormat="1" applyFont="1" applyFill="1" applyAlignment="1">
      <alignment horizontal="right" vertical="justify"/>
    </xf>
    <xf numFmtId="38" fontId="8" fillId="0" borderId="0" xfId="1" applyNumberFormat="1" applyFont="1"/>
    <xf numFmtId="38" fontId="5" fillId="0" borderId="0" xfId="4" applyNumberFormat="1" applyFont="1" applyFill="1" applyBorder="1" applyAlignment="1">
      <alignment horizontal="right" vertical="justify"/>
    </xf>
    <xf numFmtId="38" fontId="5" fillId="0" borderId="2" xfId="4" applyNumberFormat="1" applyFont="1" applyFill="1" applyBorder="1" applyAlignment="1">
      <alignment horizontal="right" vertical="justify"/>
    </xf>
    <xf numFmtId="38" fontId="5" fillId="0" borderId="0" xfId="0" applyNumberFormat="1" applyFont="1" applyFill="1"/>
    <xf numFmtId="38" fontId="9" fillId="0" borderId="0" xfId="1" applyNumberFormat="1" applyFont="1" applyAlignment="1">
      <alignment horizontal="center"/>
    </xf>
    <xf numFmtId="14" fontId="4" fillId="0" borderId="0" xfId="1" applyNumberFormat="1" applyFont="1"/>
    <xf numFmtId="14" fontId="4" fillId="0" borderId="0" xfId="1" applyNumberFormat="1" applyFont="1" applyFill="1"/>
    <xf numFmtId="38" fontId="5" fillId="0" borderId="0" xfId="1" applyNumberFormat="1" applyFont="1" applyFill="1"/>
    <xf numFmtId="38" fontId="4" fillId="0" borderId="0" xfId="1" applyNumberFormat="1" applyFont="1" applyFill="1"/>
    <xf numFmtId="38" fontId="6" fillId="0" borderId="0" xfId="1" applyNumberFormat="1" applyFont="1" applyFill="1"/>
    <xf numFmtId="38" fontId="5" fillId="0" borderId="0" xfId="1" applyNumberFormat="1" applyFont="1" applyFill="1" applyAlignment="1">
      <alignment horizontal="left" indent="2"/>
    </xf>
    <xf numFmtId="38" fontId="4" fillId="0" borderId="0" xfId="4" applyNumberFormat="1" applyFont="1" applyFill="1"/>
    <xf numFmtId="164" fontId="5" fillId="0" borderId="2" xfId="1" applyNumberFormat="1" applyFont="1" applyBorder="1" applyAlignment="1"/>
    <xf numFmtId="38" fontId="5" fillId="0" borderId="0" xfId="1" applyNumberFormat="1" applyFont="1" applyBorder="1" applyAlignment="1">
      <alignment horizontal="left" indent="2"/>
    </xf>
    <xf numFmtId="38" fontId="4" fillId="0" borderId="0" xfId="1" applyNumberFormat="1" applyFont="1" applyAlignment="1">
      <alignment horizontal="left" indent="2"/>
    </xf>
    <xf numFmtId="38" fontId="6" fillId="0" borderId="4" xfId="1" applyNumberFormat="1" applyFont="1" applyBorder="1"/>
    <xf numFmtId="38" fontId="6" fillId="0" borderId="0" xfId="1" applyNumberFormat="1" applyFont="1" applyBorder="1"/>
    <xf numFmtId="38" fontId="4" fillId="0" borderId="0" xfId="1" applyNumberFormat="1" applyFont="1" applyFill="1" applyAlignment="1"/>
    <xf numFmtId="38" fontId="5" fillId="0" borderId="0" xfId="1" applyNumberFormat="1" applyFont="1" applyFill="1" applyBorder="1"/>
    <xf numFmtId="38" fontId="4" fillId="0" borderId="0" xfId="1" applyNumberFormat="1" applyFont="1" applyBorder="1" applyAlignment="1">
      <alignment horizontal="left" indent="2"/>
    </xf>
    <xf numFmtId="38" fontId="4" fillId="0" borderId="2" xfId="4" applyNumberFormat="1" applyFont="1" applyFill="1" applyBorder="1"/>
    <xf numFmtId="165" fontId="5" fillId="0" borderId="0" xfId="1" applyNumberFormat="1" applyFont="1" applyAlignment="1"/>
    <xf numFmtId="38" fontId="4" fillId="0" borderId="0" xfId="1" applyNumberFormat="1" applyFont="1" applyBorder="1" applyAlignment="1">
      <alignment horizontal="center"/>
    </xf>
    <xf numFmtId="14" fontId="4" fillId="0" borderId="0" xfId="1" applyNumberFormat="1" applyFont="1" applyAlignment="1">
      <alignment horizontal="center"/>
    </xf>
    <xf numFmtId="38" fontId="5" fillId="0" borderId="0" xfId="0" applyNumberFormat="1" applyFont="1"/>
    <xf numFmtId="38" fontId="10" fillId="0" borderId="0" xfId="1" applyNumberFormat="1" applyFont="1" applyAlignment="1">
      <alignment horizontal="left" indent="2"/>
    </xf>
    <xf numFmtId="0" fontId="5" fillId="0" borderId="0" xfId="0" applyFont="1"/>
    <xf numFmtId="0" fontId="4" fillId="0" borderId="0" xfId="0" applyFont="1" applyAlignment="1">
      <alignment horizontal="center"/>
    </xf>
    <xf numFmtId="165" fontId="5" fillId="3" borderId="0" xfId="5" applyNumberFormat="1" applyFont="1" applyFill="1" applyAlignment="1">
      <alignment horizontal="right" vertical="top" wrapText="1"/>
    </xf>
    <xf numFmtId="0" fontId="5" fillId="3" borderId="0" xfId="0" applyFont="1" applyFill="1"/>
    <xf numFmtId="165" fontId="13" fillId="3" borderId="0" xfId="5" applyNumberFormat="1" applyFont="1" applyFill="1" applyAlignment="1">
      <alignment horizontal="right" vertical="top" wrapText="1"/>
    </xf>
    <xf numFmtId="165" fontId="5" fillId="3" borderId="0" xfId="5" applyNumberFormat="1" applyFont="1" applyFill="1" applyBorder="1" applyAlignment="1">
      <alignment horizontal="right" vertical="top" wrapText="1"/>
    </xf>
    <xf numFmtId="165" fontId="13" fillId="3" borderId="0" xfId="5" applyNumberFormat="1" applyFont="1" applyFill="1" applyBorder="1" applyAlignment="1">
      <alignment horizontal="right" vertical="top" wrapText="1"/>
    </xf>
    <xf numFmtId="165" fontId="5" fillId="3" borderId="2" xfId="5" applyNumberFormat="1" applyFont="1" applyFill="1" applyBorder="1" applyAlignment="1">
      <alignment horizontal="right" vertical="top" wrapText="1"/>
    </xf>
    <xf numFmtId="165" fontId="10" fillId="0" borderId="0" xfId="5" applyNumberFormat="1" applyFont="1" applyFill="1" applyAlignment="1">
      <alignment horizontal="right" vertical="top" wrapText="1"/>
    </xf>
    <xf numFmtId="165" fontId="10" fillId="0" borderId="0" xfId="5" applyNumberFormat="1" applyFont="1" applyFill="1" applyBorder="1" applyAlignment="1">
      <alignment horizontal="right" vertical="top" wrapText="1"/>
    </xf>
    <xf numFmtId="165" fontId="12" fillId="0" borderId="0" xfId="5" applyNumberFormat="1" applyFont="1" applyFill="1" applyAlignment="1">
      <alignment horizontal="right" vertical="top" wrapText="1"/>
    </xf>
    <xf numFmtId="165" fontId="10" fillId="0" borderId="2" xfId="5" applyNumberFormat="1" applyFont="1" applyFill="1" applyBorder="1" applyAlignment="1">
      <alignment horizontal="right" vertical="top" wrapText="1"/>
    </xf>
    <xf numFmtId="165" fontId="5" fillId="0" borderId="0" xfId="0" applyNumberFormat="1" applyFont="1"/>
    <xf numFmtId="0" fontId="4" fillId="0" borderId="0" xfId="0" applyFont="1"/>
    <xf numFmtId="165" fontId="4" fillId="3" borderId="5" xfId="5" applyNumberFormat="1" applyFont="1" applyFill="1" applyBorder="1" applyAlignment="1">
      <alignment horizontal="right" vertical="top" wrapText="1"/>
    </xf>
    <xf numFmtId="0" fontId="4" fillId="3" borderId="0" xfId="0" applyFont="1" applyFill="1"/>
    <xf numFmtId="165" fontId="15" fillId="3" borderId="5" xfId="5" applyNumberFormat="1" applyFont="1" applyFill="1" applyBorder="1" applyAlignment="1">
      <alignment horizontal="right" vertical="top" wrapText="1"/>
    </xf>
    <xf numFmtId="165" fontId="15" fillId="3" borderId="0" xfId="5" applyNumberFormat="1" applyFont="1" applyFill="1" applyAlignment="1">
      <alignment horizontal="right" vertical="top" wrapText="1"/>
    </xf>
    <xf numFmtId="165" fontId="15" fillId="3" borderId="0" xfId="5" applyNumberFormat="1" applyFont="1" applyFill="1" applyBorder="1" applyAlignment="1">
      <alignment horizontal="right" vertical="top" wrapText="1"/>
    </xf>
    <xf numFmtId="165" fontId="11" fillId="0" borderId="0" xfId="5" applyNumberFormat="1" applyFont="1" applyFill="1" applyAlignment="1">
      <alignment horizontal="right" vertical="top" wrapText="1"/>
    </xf>
    <xf numFmtId="165" fontId="15" fillId="3" borderId="3" xfId="5" applyNumberFormat="1" applyFont="1" applyFill="1" applyBorder="1" applyAlignment="1">
      <alignment horizontal="right" vertical="top" wrapText="1"/>
    </xf>
    <xf numFmtId="165" fontId="10" fillId="3" borderId="0" xfId="5" applyNumberFormat="1" applyFont="1" applyFill="1" applyAlignment="1">
      <alignment horizontal="right" vertical="top" wrapText="1"/>
    </xf>
  </cellXfs>
  <cellStyles count="8">
    <cellStyle name="Normal" xfId="0" builtinId="0"/>
    <cellStyle name="Normal_Gerdau SA consolidado Balanço Abertura" xfId="1" xr:uid="{00000000-0005-0000-0000-000001000000}"/>
    <cellStyle name="Porcentagem" xfId="2" builtinId="5"/>
    <cellStyle name="SAPBEXstdData" xfId="3" xr:uid="{00000000-0005-0000-0000-000003000000}"/>
    <cellStyle name="Separador de milhares_Gerdau SA consolidado Balanço Abertura" xfId="4" xr:uid="{00000000-0005-0000-0000-000004000000}"/>
    <cellStyle name="Separador de milhares_Quadros e Notas Explicativas_SET07" xfId="5" xr:uid="{00000000-0005-0000-0000-000005000000}"/>
    <cellStyle name="sub-títulos" xfId="6" xr:uid="{00000000-0005-0000-0000-000006000000}"/>
    <cellStyle name="títulos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0"/>
  <sheetViews>
    <sheetView showGridLines="0" tabSelected="1" zoomScaleNormal="100" workbookViewId="0" xr3:uid="{AEA406A1-0E4B-5B11-9CD5-51D6E497D94C}"/>
  </sheetViews>
  <sheetFormatPr defaultColWidth="9.16796875" defaultRowHeight="10.5" customHeight="1"/>
  <cols>
    <col min="1" max="1" width="60.27734375" style="6" customWidth="1"/>
    <col min="2" max="2" width="1.75" style="6" customWidth="1"/>
    <col min="3" max="3" width="14.0234375" style="11" bestFit="1" customWidth="1"/>
    <col min="4" max="4" width="1.75" style="6" customWidth="1"/>
    <col min="5" max="5" width="14.0234375" style="11" bestFit="1" customWidth="1"/>
    <col min="6" max="6" width="1.75" style="6" customWidth="1"/>
    <col min="7" max="7" width="14.0234375" style="11" bestFit="1" customWidth="1"/>
    <col min="8" max="8" width="1.75" style="6" customWidth="1"/>
    <col min="9" max="9" width="14.0234375" style="11" bestFit="1" customWidth="1"/>
    <col min="10" max="10" width="1.75" style="6" customWidth="1"/>
    <col min="11" max="11" width="14.0234375" style="11" bestFit="1" customWidth="1"/>
    <col min="12" max="16384" width="9.16796875" style="6"/>
  </cols>
  <sheetData>
    <row r="1" spans="1:11" ht="13.5">
      <c r="A1" s="4" t="s">
        <v>0</v>
      </c>
      <c r="B1" s="4"/>
      <c r="C1" s="18"/>
      <c r="E1" s="18"/>
      <c r="G1" s="18"/>
      <c r="I1" s="18"/>
      <c r="K1" s="18"/>
    </row>
    <row r="2" spans="1:11" ht="10.5" customHeight="1">
      <c r="A2" s="4" t="s">
        <v>63</v>
      </c>
      <c r="B2" s="4"/>
    </row>
    <row r="3" spans="1:11" ht="10.5" customHeight="1">
      <c r="A3" s="1" t="s">
        <v>1</v>
      </c>
      <c r="B3" s="1"/>
      <c r="C3" s="19"/>
      <c r="E3" s="19"/>
      <c r="G3" s="19"/>
      <c r="I3" s="19"/>
      <c r="K3" s="19"/>
    </row>
    <row r="4" spans="1:11" ht="13.5">
      <c r="C4" s="20">
        <v>38990</v>
      </c>
      <c r="D4" s="21"/>
      <c r="E4" s="20">
        <v>39082</v>
      </c>
      <c r="F4" s="21"/>
      <c r="G4" s="20">
        <v>39172</v>
      </c>
      <c r="H4" s="21"/>
      <c r="I4" s="20">
        <v>39263</v>
      </c>
      <c r="J4" s="21"/>
      <c r="K4" s="20">
        <v>39355</v>
      </c>
    </row>
    <row r="5" spans="1:11" ht="13.5">
      <c r="A5" s="22" t="s">
        <v>2</v>
      </c>
      <c r="B5" s="22"/>
      <c r="C5" s="23"/>
      <c r="D5" s="21"/>
      <c r="E5" s="23"/>
      <c r="F5" s="21"/>
      <c r="G5" s="23"/>
      <c r="H5" s="21"/>
      <c r="I5" s="23"/>
      <c r="J5" s="21"/>
      <c r="K5" s="23"/>
    </row>
    <row r="6" spans="1:11" ht="13.5">
      <c r="A6" s="2" t="s">
        <v>3</v>
      </c>
      <c r="B6" s="2"/>
      <c r="C6" s="6">
        <v>1766484</v>
      </c>
      <c r="E6" s="6">
        <v>1070524</v>
      </c>
      <c r="G6" s="6">
        <v>835533</v>
      </c>
      <c r="I6" s="6">
        <v>975067</v>
      </c>
      <c r="K6" s="6">
        <v>1237929</v>
      </c>
    </row>
    <row r="7" spans="1:11" ht="13.5">
      <c r="A7" s="2" t="s">
        <v>4</v>
      </c>
      <c r="B7" s="2"/>
      <c r="C7" s="6"/>
      <c r="E7" s="6"/>
      <c r="G7" s="6"/>
      <c r="I7" s="6"/>
      <c r="K7" s="6"/>
    </row>
    <row r="8" spans="1:11" ht="13.5">
      <c r="A8" s="2" t="s">
        <v>5</v>
      </c>
      <c r="B8" s="2"/>
      <c r="C8" s="6">
        <v>3343475</v>
      </c>
      <c r="E8" s="6">
        <v>4749400</v>
      </c>
      <c r="G8" s="6">
        <v>4153325</v>
      </c>
      <c r="I8" s="6">
        <v>3637702</v>
      </c>
      <c r="K8" s="6">
        <v>3517841</v>
      </c>
    </row>
    <row r="9" spans="1:11" ht="13.5">
      <c r="A9" s="2" t="s">
        <v>6</v>
      </c>
      <c r="B9" s="2"/>
      <c r="C9" s="6">
        <v>583855</v>
      </c>
      <c r="E9" s="6">
        <v>263893</v>
      </c>
      <c r="G9" s="6">
        <v>289771</v>
      </c>
      <c r="I9" s="6">
        <v>380342</v>
      </c>
      <c r="K9" s="6">
        <v>315099</v>
      </c>
    </row>
    <row r="10" spans="1:11" ht="13.5">
      <c r="A10" s="2" t="s">
        <v>7</v>
      </c>
      <c r="B10" s="2"/>
      <c r="C10" s="6">
        <v>301094</v>
      </c>
      <c r="E10" s="6">
        <v>295472</v>
      </c>
      <c r="G10" s="6">
        <v>302057</v>
      </c>
      <c r="I10" s="6">
        <v>156261</v>
      </c>
      <c r="K10" s="8">
        <v>0</v>
      </c>
    </row>
    <row r="11" spans="1:11" ht="13.5">
      <c r="A11" s="2" t="s">
        <v>8</v>
      </c>
      <c r="B11" s="2"/>
      <c r="C11" s="6">
        <v>2706860</v>
      </c>
      <c r="E11" s="6">
        <v>2842568</v>
      </c>
      <c r="G11" s="6">
        <v>3247297</v>
      </c>
      <c r="I11" s="6">
        <v>3305653</v>
      </c>
      <c r="K11" s="6">
        <v>3506459</v>
      </c>
    </row>
    <row r="12" spans="1:11" ht="13.5">
      <c r="A12" s="2" t="s">
        <v>9</v>
      </c>
      <c r="B12" s="2"/>
      <c r="C12" s="6">
        <v>4828052</v>
      </c>
      <c r="E12" s="6">
        <v>5052865</v>
      </c>
      <c r="G12" s="6">
        <v>4940249</v>
      </c>
      <c r="I12" s="6">
        <v>5158014</v>
      </c>
      <c r="K12" s="6">
        <v>5966093</v>
      </c>
    </row>
    <row r="13" spans="1:11" ht="13.5">
      <c r="A13" s="2" t="s">
        <v>10</v>
      </c>
      <c r="B13" s="2"/>
      <c r="C13" s="6">
        <v>451972</v>
      </c>
      <c r="E13" s="6">
        <v>527420</v>
      </c>
      <c r="G13" s="6">
        <v>442928</v>
      </c>
      <c r="I13" s="6">
        <v>476237</v>
      </c>
      <c r="K13" s="6">
        <v>531624</v>
      </c>
    </row>
    <row r="14" spans="1:11" ht="13.5">
      <c r="A14" s="2" t="s">
        <v>11</v>
      </c>
      <c r="B14" s="2"/>
      <c r="C14" s="8">
        <v>0</v>
      </c>
      <c r="E14" s="8">
        <v>0</v>
      </c>
      <c r="G14" s="8">
        <v>0</v>
      </c>
      <c r="I14" s="8">
        <v>0</v>
      </c>
      <c r="K14" s="8">
        <v>0</v>
      </c>
    </row>
    <row r="15" spans="1:11" ht="13.5">
      <c r="A15" s="2" t="s">
        <v>12</v>
      </c>
      <c r="B15" s="2"/>
      <c r="C15" s="6">
        <v>104558</v>
      </c>
      <c r="E15" s="6">
        <v>84014</v>
      </c>
      <c r="G15" s="6">
        <v>95259</v>
      </c>
      <c r="I15" s="6">
        <v>97468</v>
      </c>
      <c r="K15" s="6">
        <v>109356</v>
      </c>
    </row>
    <row r="16" spans="1:11" ht="13.5">
      <c r="A16" s="2" t="s">
        <v>13</v>
      </c>
      <c r="B16" s="2"/>
      <c r="C16" s="6">
        <v>1678</v>
      </c>
      <c r="E16" s="6">
        <v>5687</v>
      </c>
      <c r="G16" s="6">
        <v>6651</v>
      </c>
      <c r="I16" s="6">
        <v>1813</v>
      </c>
      <c r="K16" s="6">
        <v>1146</v>
      </c>
    </row>
    <row r="17" spans="1:11" ht="13.5">
      <c r="A17" s="24" t="s">
        <v>14</v>
      </c>
      <c r="B17" s="24"/>
      <c r="C17" s="9">
        <v>174189</v>
      </c>
      <c r="E17" s="9">
        <v>192113</v>
      </c>
      <c r="G17" s="9">
        <v>194874</v>
      </c>
      <c r="I17" s="9">
        <v>198571</v>
      </c>
      <c r="K17" s="9">
        <v>231719</v>
      </c>
    </row>
    <row r="18" spans="1:11" ht="13.5">
      <c r="A18" s="24"/>
      <c r="B18" s="24"/>
      <c r="C18" s="25">
        <v>14262217</v>
      </c>
      <c r="E18" s="25">
        <v>15083956</v>
      </c>
      <c r="G18" s="25">
        <v>14507944</v>
      </c>
      <c r="I18" s="25">
        <v>14387128</v>
      </c>
      <c r="K18" s="25">
        <v>15417266</v>
      </c>
    </row>
    <row r="19" spans="1:11" ht="13.5">
      <c r="A19" s="24"/>
      <c r="B19" s="24"/>
      <c r="C19" s="6"/>
      <c r="E19" s="6"/>
      <c r="G19" s="6"/>
      <c r="I19" s="6"/>
      <c r="K19" s="6"/>
    </row>
    <row r="20" spans="1:11" ht="13.5">
      <c r="A20" s="22" t="s">
        <v>15</v>
      </c>
      <c r="B20" s="22"/>
      <c r="C20" s="6"/>
      <c r="E20" s="6"/>
      <c r="G20" s="6"/>
      <c r="I20" s="6"/>
      <c r="K20" s="6"/>
    </row>
    <row r="21" spans="1:11" ht="13.5">
      <c r="A21" s="2" t="s">
        <v>10</v>
      </c>
      <c r="B21" s="2"/>
      <c r="C21" s="6">
        <v>230479</v>
      </c>
      <c r="E21" s="6">
        <v>449590</v>
      </c>
      <c r="G21" s="6">
        <v>494595</v>
      </c>
      <c r="I21" s="6">
        <v>461150</v>
      </c>
      <c r="K21" s="6">
        <v>485126</v>
      </c>
    </row>
    <row r="22" spans="1:11" ht="13.5">
      <c r="A22" s="24" t="s">
        <v>11</v>
      </c>
      <c r="B22" s="24"/>
      <c r="C22" s="6">
        <v>929689</v>
      </c>
      <c r="E22" s="6">
        <v>903209</v>
      </c>
      <c r="G22" s="6">
        <v>948743</v>
      </c>
      <c r="I22" s="6">
        <v>892531</v>
      </c>
      <c r="K22" s="6">
        <v>1002346</v>
      </c>
    </row>
    <row r="23" spans="1:11" ht="13.5">
      <c r="A23" s="24" t="s">
        <v>13</v>
      </c>
      <c r="B23" s="24"/>
      <c r="C23" s="6">
        <v>9999</v>
      </c>
      <c r="E23" s="6">
        <v>14160</v>
      </c>
      <c r="G23" s="6">
        <v>14433</v>
      </c>
      <c r="I23" s="6">
        <v>14579</v>
      </c>
      <c r="K23" s="6">
        <v>5478</v>
      </c>
    </row>
    <row r="24" spans="1:11" ht="13.5">
      <c r="A24" s="24" t="s">
        <v>12</v>
      </c>
      <c r="B24" s="24"/>
      <c r="C24" s="6">
        <v>58005</v>
      </c>
      <c r="E24" s="6">
        <v>56570</v>
      </c>
      <c r="G24" s="6">
        <v>56721</v>
      </c>
      <c r="I24" s="6">
        <v>55244</v>
      </c>
      <c r="K24" s="6">
        <v>124663</v>
      </c>
    </row>
    <row r="25" spans="1:11" ht="13.5">
      <c r="A25" s="24" t="s">
        <v>16</v>
      </c>
      <c r="B25" s="24"/>
      <c r="C25" s="6">
        <v>162750</v>
      </c>
      <c r="E25" s="6">
        <v>168145</v>
      </c>
      <c r="G25" s="6">
        <v>169120</v>
      </c>
      <c r="I25" s="6">
        <v>173950</v>
      </c>
      <c r="K25" s="6">
        <v>177948</v>
      </c>
    </row>
    <row r="26" spans="1:11" ht="13.5">
      <c r="A26" s="24" t="s">
        <v>14</v>
      </c>
      <c r="B26" s="24"/>
      <c r="C26" s="6">
        <v>294877</v>
      </c>
      <c r="E26" s="6">
        <v>257900</v>
      </c>
      <c r="G26" s="6">
        <v>317585</v>
      </c>
      <c r="I26" s="6">
        <v>435654</v>
      </c>
      <c r="K26" s="6">
        <v>314047</v>
      </c>
    </row>
    <row r="27" spans="1:11" ht="13.5">
      <c r="A27" s="24" t="s">
        <v>17</v>
      </c>
      <c r="B27" s="24"/>
      <c r="C27" s="6">
        <v>272932</v>
      </c>
      <c r="E27" s="6">
        <v>311740</v>
      </c>
      <c r="G27" s="6">
        <v>319119</v>
      </c>
      <c r="I27" s="6">
        <v>317268</v>
      </c>
      <c r="K27" s="6">
        <v>315418</v>
      </c>
    </row>
    <row r="28" spans="1:11" ht="13.5">
      <c r="A28" s="2" t="s">
        <v>18</v>
      </c>
      <c r="B28" s="2"/>
      <c r="C28" s="6">
        <v>437321</v>
      </c>
      <c r="E28" s="6">
        <v>450080</v>
      </c>
      <c r="G28" s="6">
        <v>431610</v>
      </c>
      <c r="I28" s="6">
        <v>507095</v>
      </c>
      <c r="K28" s="6">
        <v>618164</v>
      </c>
    </row>
    <row r="29" spans="1:11" ht="13.5">
      <c r="A29" s="2" t="s">
        <v>19</v>
      </c>
      <c r="B29" s="2"/>
      <c r="C29" s="6">
        <v>27047</v>
      </c>
      <c r="E29" s="6">
        <v>31588</v>
      </c>
      <c r="G29" s="6">
        <v>42845</v>
      </c>
      <c r="I29" s="6">
        <v>42289</v>
      </c>
      <c r="K29" s="6">
        <v>44567</v>
      </c>
    </row>
    <row r="30" spans="1:11" ht="13.5">
      <c r="A30" s="2" t="s">
        <v>20</v>
      </c>
      <c r="B30" s="2"/>
      <c r="C30" s="6">
        <v>115594</v>
      </c>
      <c r="D30" s="8"/>
      <c r="E30" s="6">
        <v>516687</v>
      </c>
      <c r="F30" s="8"/>
      <c r="G30" s="6">
        <v>771051</v>
      </c>
      <c r="H30" s="8"/>
      <c r="I30" s="6">
        <v>863317</v>
      </c>
      <c r="J30" s="8"/>
      <c r="K30" s="6">
        <v>5923866</v>
      </c>
    </row>
    <row r="31" spans="1:11" ht="13.5">
      <c r="A31" s="2" t="s">
        <v>69</v>
      </c>
      <c r="B31" s="2"/>
      <c r="C31" s="8">
        <v>0</v>
      </c>
      <c r="D31" s="8"/>
      <c r="E31" s="6">
        <v>45381</v>
      </c>
      <c r="F31" s="8"/>
      <c r="G31" s="6">
        <v>47954</v>
      </c>
      <c r="H31" s="8"/>
      <c r="I31" s="6">
        <v>31818</v>
      </c>
      <c r="J31" s="8"/>
      <c r="K31" s="6">
        <v>1112706</v>
      </c>
    </row>
    <row r="32" spans="1:11" ht="13.5">
      <c r="A32" s="2" t="s">
        <v>21</v>
      </c>
      <c r="B32" s="2"/>
      <c r="C32" s="6">
        <v>12998228</v>
      </c>
      <c r="D32" s="8"/>
      <c r="E32" s="6">
        <v>13373543</v>
      </c>
      <c r="F32" s="8"/>
      <c r="G32" s="6">
        <v>13844810</v>
      </c>
      <c r="H32" s="8"/>
      <c r="I32" s="6">
        <v>14008158</v>
      </c>
      <c r="J32" s="8"/>
      <c r="K32" s="6">
        <v>15555972</v>
      </c>
    </row>
    <row r="33" spans="1:11" ht="13.5">
      <c r="A33" s="2" t="s">
        <v>70</v>
      </c>
      <c r="B33" s="2"/>
      <c r="C33" s="26">
        <v>0</v>
      </c>
      <c r="D33" s="8"/>
      <c r="E33" s="26">
        <v>0</v>
      </c>
      <c r="F33" s="8"/>
      <c r="G33" s="26">
        <v>0</v>
      </c>
      <c r="H33" s="8"/>
      <c r="I33" s="26">
        <v>0</v>
      </c>
      <c r="J33" s="8"/>
      <c r="K33" s="26">
        <v>0</v>
      </c>
    </row>
    <row r="34" spans="1:11" ht="13.5">
      <c r="A34" s="27"/>
      <c r="B34" s="27"/>
      <c r="C34" s="25">
        <v>15536921</v>
      </c>
      <c r="D34" s="8"/>
      <c r="E34" s="25">
        <v>16578593</v>
      </c>
      <c r="G34" s="25">
        <v>17458586</v>
      </c>
      <c r="I34" s="25">
        <v>17803053</v>
      </c>
      <c r="K34" s="25">
        <v>25680301</v>
      </c>
    </row>
    <row r="35" spans="1:11" ht="13.5">
      <c r="A35" s="27"/>
      <c r="B35" s="27"/>
      <c r="C35" s="25"/>
      <c r="E35" s="25"/>
      <c r="G35" s="25"/>
      <c r="I35" s="25"/>
      <c r="K35" s="25"/>
    </row>
    <row r="36" spans="1:11" s="21" customFormat="1" ht="14.25" thickBot="1">
      <c r="A36" s="28" t="s">
        <v>22</v>
      </c>
      <c r="B36" s="28"/>
      <c r="C36" s="25">
        <v>29799138</v>
      </c>
      <c r="E36" s="25">
        <v>31662549</v>
      </c>
      <c r="G36" s="25">
        <v>31966530</v>
      </c>
      <c r="I36" s="25">
        <v>32190181</v>
      </c>
      <c r="K36" s="25">
        <v>41097567</v>
      </c>
    </row>
    <row r="37" spans="1:11" ht="12" customHeight="1" thickTop="1">
      <c r="C37" s="29"/>
      <c r="E37" s="29"/>
      <c r="G37" s="29"/>
      <c r="I37" s="29"/>
      <c r="K37" s="29"/>
    </row>
    <row r="38" spans="1:11" ht="25.5" customHeight="1">
      <c r="C38" s="30"/>
      <c r="E38" s="30"/>
      <c r="G38" s="30"/>
      <c r="I38" s="30"/>
      <c r="K38" s="30"/>
    </row>
    <row r="39" spans="1:11" ht="13.5">
      <c r="A39" s="4" t="s">
        <v>0</v>
      </c>
      <c r="B39" s="4"/>
      <c r="C39" s="18"/>
      <c r="E39" s="18"/>
      <c r="G39" s="18"/>
      <c r="I39" s="18"/>
      <c r="K39" s="18"/>
    </row>
    <row r="40" spans="1:11" ht="10.5" customHeight="1">
      <c r="A40" s="4" t="s">
        <v>63</v>
      </c>
      <c r="B40" s="4"/>
    </row>
    <row r="41" spans="1:11" ht="10.5" customHeight="1">
      <c r="A41" s="1" t="s">
        <v>1</v>
      </c>
      <c r="B41" s="1"/>
      <c r="C41" s="31"/>
      <c r="E41" s="31"/>
      <c r="G41" s="31"/>
      <c r="I41" s="31"/>
      <c r="K41" s="31"/>
    </row>
    <row r="42" spans="1:11" ht="13.5">
      <c r="A42" s="4"/>
      <c r="B42" s="4"/>
      <c r="C42" s="19">
        <v>38990</v>
      </c>
      <c r="E42" s="19">
        <v>39082</v>
      </c>
      <c r="G42" s="19">
        <v>39172</v>
      </c>
      <c r="I42" s="19">
        <v>39263</v>
      </c>
      <c r="K42" s="19">
        <v>39355</v>
      </c>
    </row>
    <row r="43" spans="1:11" ht="13.5">
      <c r="A43" s="22" t="s">
        <v>23</v>
      </c>
      <c r="B43" s="22"/>
    </row>
    <row r="44" spans="1:11" ht="13.5">
      <c r="A44" s="2" t="s">
        <v>24</v>
      </c>
      <c r="B44" s="2"/>
      <c r="C44" s="21">
        <v>2290601</v>
      </c>
      <c r="E44" s="21">
        <v>2413949</v>
      </c>
      <c r="G44" s="21">
        <v>2549227</v>
      </c>
      <c r="I44" s="21">
        <v>2479161</v>
      </c>
      <c r="K44" s="21">
        <v>2643520</v>
      </c>
    </row>
    <row r="45" spans="1:11" ht="13.5">
      <c r="A45" s="2" t="s">
        <v>25</v>
      </c>
      <c r="B45" s="2"/>
      <c r="C45" s="21">
        <v>2283784</v>
      </c>
      <c r="E45" s="21">
        <v>2274523</v>
      </c>
      <c r="G45" s="21">
        <v>1913373</v>
      </c>
      <c r="I45" s="21">
        <v>2012384</v>
      </c>
      <c r="K45" s="21">
        <v>4234697</v>
      </c>
    </row>
    <row r="46" spans="1:11" ht="13.5">
      <c r="A46" s="2" t="s">
        <v>26</v>
      </c>
      <c r="B46" s="2"/>
      <c r="C46" s="21">
        <v>3137</v>
      </c>
      <c r="E46" s="21">
        <v>2932</v>
      </c>
      <c r="G46" s="21">
        <v>3123</v>
      </c>
      <c r="I46" s="21">
        <v>2685</v>
      </c>
      <c r="K46" s="21">
        <v>2385</v>
      </c>
    </row>
    <row r="47" spans="1:11" ht="13.5">
      <c r="A47" s="2" t="s">
        <v>27</v>
      </c>
      <c r="B47" s="2"/>
      <c r="C47" s="21">
        <v>486133</v>
      </c>
      <c r="E47" s="21">
        <v>465724</v>
      </c>
      <c r="G47" s="21">
        <v>581499</v>
      </c>
      <c r="I47" s="21">
        <v>522230</v>
      </c>
      <c r="K47" s="21">
        <v>716026</v>
      </c>
    </row>
    <row r="48" spans="1:11" ht="13.5">
      <c r="A48" s="2" t="s">
        <v>11</v>
      </c>
      <c r="B48" s="2"/>
      <c r="C48" s="8">
        <v>0</v>
      </c>
      <c r="E48" s="8">
        <v>0</v>
      </c>
      <c r="G48" s="8">
        <v>0</v>
      </c>
      <c r="I48" s="8">
        <v>0</v>
      </c>
      <c r="K48" s="8">
        <v>0</v>
      </c>
    </row>
    <row r="49" spans="1:11" ht="13.5">
      <c r="A49" s="2" t="s">
        <v>28</v>
      </c>
      <c r="B49" s="2"/>
      <c r="C49" s="21">
        <v>352815</v>
      </c>
      <c r="E49" s="21">
        <v>379301</v>
      </c>
      <c r="G49" s="21">
        <v>328579</v>
      </c>
      <c r="I49" s="21">
        <v>438817</v>
      </c>
      <c r="K49" s="21">
        <v>544889</v>
      </c>
    </row>
    <row r="50" spans="1:11" ht="13.5">
      <c r="A50" s="2" t="s">
        <v>29</v>
      </c>
      <c r="B50" s="2"/>
      <c r="C50" s="8">
        <v>0</v>
      </c>
      <c r="E50" s="21">
        <v>185458</v>
      </c>
      <c r="G50" s="21">
        <v>14253</v>
      </c>
      <c r="I50" s="8">
        <v>0</v>
      </c>
      <c r="K50" s="8">
        <v>0</v>
      </c>
    </row>
    <row r="51" spans="1:11" ht="13.5">
      <c r="A51" s="2" t="s">
        <v>30</v>
      </c>
      <c r="B51" s="2"/>
      <c r="C51" s="21">
        <v>637</v>
      </c>
      <c r="E51" s="21">
        <v>2690</v>
      </c>
      <c r="G51" s="21">
        <v>1439</v>
      </c>
      <c r="I51" s="21">
        <v>2342</v>
      </c>
      <c r="K51" s="21">
        <v>1368</v>
      </c>
    </row>
    <row r="52" spans="1:11" ht="13.5">
      <c r="A52" s="2" t="s">
        <v>31</v>
      </c>
      <c r="B52" s="2"/>
      <c r="C52" s="9">
        <v>500231</v>
      </c>
      <c r="E52" s="9">
        <v>466843</v>
      </c>
      <c r="G52" s="9">
        <v>525430</v>
      </c>
      <c r="I52" s="9">
        <v>593876</v>
      </c>
      <c r="K52" s="9">
        <v>467496</v>
      </c>
    </row>
    <row r="53" spans="1:11" ht="13.5">
      <c r="A53" s="27"/>
      <c r="B53" s="27"/>
      <c r="C53" s="25">
        <v>5917338</v>
      </c>
      <c r="E53" s="25">
        <v>6191420</v>
      </c>
      <c r="G53" s="25">
        <v>5916923</v>
      </c>
      <c r="I53" s="25">
        <v>6051495</v>
      </c>
      <c r="K53" s="25">
        <v>8610381</v>
      </c>
    </row>
    <row r="54" spans="1:11" ht="13.5">
      <c r="A54" s="2"/>
      <c r="B54" s="2"/>
      <c r="C54" s="6"/>
      <c r="E54" s="6"/>
      <c r="G54" s="6"/>
      <c r="I54" s="6"/>
      <c r="K54" s="6"/>
    </row>
    <row r="55" spans="1:11" ht="13.5">
      <c r="A55" s="22" t="s">
        <v>32</v>
      </c>
      <c r="B55" s="22"/>
      <c r="C55" s="6"/>
      <c r="E55" s="6"/>
      <c r="G55" s="6"/>
      <c r="I55" s="6"/>
      <c r="K55" s="6"/>
    </row>
    <row r="56" spans="1:11" ht="13.5">
      <c r="A56" s="2" t="s">
        <v>25</v>
      </c>
      <c r="B56" s="2"/>
      <c r="C56" s="21">
        <v>5717795</v>
      </c>
      <c r="E56" s="21">
        <v>6671456</v>
      </c>
      <c r="G56" s="21">
        <v>6530961</v>
      </c>
      <c r="I56" s="21">
        <v>6183919</v>
      </c>
      <c r="K56" s="21">
        <v>11103445</v>
      </c>
    </row>
    <row r="57" spans="1:11" ht="13.5">
      <c r="A57" s="2" t="s">
        <v>26</v>
      </c>
      <c r="B57" s="2"/>
      <c r="C57" s="21">
        <v>962442</v>
      </c>
      <c r="E57" s="21">
        <v>929024</v>
      </c>
      <c r="G57" s="21">
        <v>972865</v>
      </c>
      <c r="I57" s="21">
        <v>1003873</v>
      </c>
      <c r="K57" s="21">
        <v>1037676</v>
      </c>
    </row>
    <row r="58" spans="1:11" ht="13.5">
      <c r="A58" s="2" t="s">
        <v>11</v>
      </c>
      <c r="B58" s="2"/>
      <c r="C58" s="21">
        <v>1580629</v>
      </c>
      <c r="E58" s="21">
        <v>1474931</v>
      </c>
      <c r="G58" s="21">
        <v>1496118</v>
      </c>
      <c r="I58" s="21">
        <v>1440778</v>
      </c>
      <c r="K58" s="21">
        <v>2273887</v>
      </c>
    </row>
    <row r="59" spans="1:11" ht="13.5">
      <c r="A59" s="2" t="s">
        <v>30</v>
      </c>
      <c r="B59" s="2"/>
      <c r="C59" s="21">
        <v>13404</v>
      </c>
      <c r="E59" s="21">
        <v>22425</v>
      </c>
      <c r="G59" s="21">
        <v>5179</v>
      </c>
      <c r="I59" s="21">
        <v>27601</v>
      </c>
      <c r="K59" s="21">
        <v>6732</v>
      </c>
    </row>
    <row r="60" spans="1:11" ht="13.5">
      <c r="A60" s="2" t="s">
        <v>33</v>
      </c>
      <c r="B60" s="2"/>
      <c r="C60" s="21">
        <v>406402</v>
      </c>
      <c r="E60" s="21">
        <v>402795</v>
      </c>
      <c r="G60" s="21">
        <v>414452</v>
      </c>
      <c r="I60" s="21">
        <v>414895</v>
      </c>
      <c r="K60" s="21">
        <v>430725</v>
      </c>
    </row>
    <row r="61" spans="1:11" ht="13.5">
      <c r="A61" s="2" t="s">
        <v>34</v>
      </c>
      <c r="B61" s="2"/>
      <c r="C61" s="21">
        <v>569289</v>
      </c>
      <c r="E61" s="21">
        <v>564752</v>
      </c>
      <c r="G61" s="21">
        <v>529693</v>
      </c>
      <c r="I61" s="21">
        <v>498482</v>
      </c>
      <c r="K61" s="21">
        <v>516443</v>
      </c>
    </row>
    <row r="62" spans="1:11" ht="13.5">
      <c r="A62" s="2" t="s">
        <v>31</v>
      </c>
      <c r="B62" s="2"/>
      <c r="C62" s="9">
        <v>531307</v>
      </c>
      <c r="E62" s="9">
        <v>603284</v>
      </c>
      <c r="G62" s="9">
        <v>577983</v>
      </c>
      <c r="I62" s="9">
        <v>576328</v>
      </c>
      <c r="K62" s="9">
        <v>615229</v>
      </c>
    </row>
    <row r="63" spans="1:11" ht="13.5">
      <c r="A63" s="27"/>
      <c r="B63" s="27"/>
      <c r="C63" s="25">
        <v>9781268</v>
      </c>
      <c r="E63" s="25">
        <v>10668667</v>
      </c>
      <c r="G63" s="25">
        <v>10527251</v>
      </c>
      <c r="I63" s="25">
        <v>10145876</v>
      </c>
      <c r="K63" s="25">
        <v>15984137</v>
      </c>
    </row>
    <row r="64" spans="1:11" ht="13.5">
      <c r="A64" s="2"/>
      <c r="B64" s="2"/>
      <c r="C64" s="6"/>
      <c r="E64" s="6"/>
      <c r="G64" s="6"/>
      <c r="I64" s="6"/>
      <c r="K64" s="6"/>
    </row>
    <row r="65" spans="1:11" ht="13.5">
      <c r="A65" s="22" t="s">
        <v>35</v>
      </c>
      <c r="B65" s="22"/>
      <c r="C65" s="6"/>
      <c r="E65" s="6"/>
      <c r="G65" s="6"/>
      <c r="I65" s="6"/>
      <c r="K65" s="6"/>
    </row>
    <row r="66" spans="1:11" ht="13.5">
      <c r="A66" s="2" t="s">
        <v>36</v>
      </c>
      <c r="B66" s="2"/>
      <c r="C66" s="6">
        <v>7810453</v>
      </c>
      <c r="E66" s="6">
        <v>7810453</v>
      </c>
      <c r="G66" s="6">
        <v>7810453</v>
      </c>
      <c r="I66" s="6">
        <v>7810453</v>
      </c>
      <c r="K66" s="6">
        <v>7810453</v>
      </c>
    </row>
    <row r="67" spans="1:11" ht="13.5">
      <c r="A67" s="2" t="s">
        <v>37</v>
      </c>
      <c r="B67" s="2"/>
      <c r="C67" s="32">
        <v>-109983</v>
      </c>
      <c r="E67" s="32">
        <v>-109609</v>
      </c>
      <c r="G67" s="32">
        <v>-108895</v>
      </c>
      <c r="I67" s="32">
        <v>-108039</v>
      </c>
      <c r="K67" s="32">
        <v>-106820</v>
      </c>
    </row>
    <row r="68" spans="1:11" ht="13.5">
      <c r="A68" s="2" t="s">
        <v>38</v>
      </c>
      <c r="B68" s="2"/>
      <c r="C68" s="32">
        <v>15063</v>
      </c>
      <c r="E68" s="32">
        <v>159109</v>
      </c>
      <c r="G68" s="32">
        <v>159109</v>
      </c>
      <c r="I68" s="32">
        <v>159109</v>
      </c>
      <c r="K68" s="32">
        <v>159109</v>
      </c>
    </row>
    <row r="69" spans="1:11" ht="13.5">
      <c r="A69" s="2" t="s">
        <v>39</v>
      </c>
      <c r="B69" s="2"/>
      <c r="C69" s="6">
        <v>2479982</v>
      </c>
      <c r="E69" s="6">
        <v>2835623</v>
      </c>
      <c r="G69" s="6">
        <v>3706722</v>
      </c>
      <c r="I69" s="6">
        <v>4386737</v>
      </c>
      <c r="K69" s="6">
        <v>4943175</v>
      </c>
    </row>
    <row r="70" spans="1:11" ht="13.5">
      <c r="A70" s="2" t="s">
        <v>40</v>
      </c>
      <c r="B70" s="2"/>
      <c r="C70" s="9">
        <v>-187165</v>
      </c>
      <c r="E70" s="9">
        <v>-257699</v>
      </c>
      <c r="G70" s="9">
        <v>-448457</v>
      </c>
      <c r="I70" s="9">
        <v>-681838</v>
      </c>
      <c r="K70" s="9">
        <v>-888952</v>
      </c>
    </row>
    <row r="71" spans="1:11" ht="13.5">
      <c r="A71" s="27"/>
      <c r="B71" s="27"/>
      <c r="C71" s="25">
        <v>10008350</v>
      </c>
      <c r="E71" s="25">
        <v>10437877</v>
      </c>
      <c r="G71" s="25">
        <v>11118932</v>
      </c>
      <c r="I71" s="25">
        <v>11566422</v>
      </c>
      <c r="K71" s="25">
        <v>11916965</v>
      </c>
    </row>
    <row r="72" spans="1:11" ht="13.5">
      <c r="A72" s="27"/>
      <c r="B72" s="27"/>
      <c r="C72" s="5"/>
      <c r="E72" s="5"/>
      <c r="G72" s="5"/>
      <c r="I72" s="5"/>
      <c r="K72" s="5"/>
    </row>
    <row r="73" spans="1:11" ht="13.5">
      <c r="A73" s="33" t="s">
        <v>41</v>
      </c>
      <c r="B73" s="33"/>
      <c r="C73" s="34">
        <v>4092182</v>
      </c>
      <c r="E73" s="34">
        <v>4364585</v>
      </c>
      <c r="G73" s="34">
        <v>4403424</v>
      </c>
      <c r="I73" s="34">
        <v>4426388</v>
      </c>
      <c r="K73" s="34">
        <v>4586084</v>
      </c>
    </row>
    <row r="74" spans="1:11" ht="13.5">
      <c r="A74" s="27"/>
      <c r="B74" s="27"/>
      <c r="C74" s="5"/>
      <c r="E74" s="5"/>
      <c r="G74" s="5"/>
      <c r="I74" s="5"/>
      <c r="K74" s="5"/>
    </row>
    <row r="75" spans="1:11" ht="13.5">
      <c r="A75" s="33" t="s">
        <v>42</v>
      </c>
      <c r="B75" s="33"/>
      <c r="C75" s="25">
        <v>14100532</v>
      </c>
      <c r="E75" s="25">
        <v>14802462</v>
      </c>
      <c r="G75" s="25">
        <v>15522356</v>
      </c>
      <c r="I75" s="25">
        <v>15992810</v>
      </c>
      <c r="K75" s="25">
        <v>16503049</v>
      </c>
    </row>
    <row r="76" spans="1:11" ht="13.5">
      <c r="A76" s="27"/>
      <c r="B76" s="27"/>
      <c r="C76" s="5"/>
      <c r="E76" s="5"/>
      <c r="G76" s="5"/>
      <c r="I76" s="5"/>
      <c r="K76" s="5"/>
    </row>
    <row r="77" spans="1:11" s="21" customFormat="1" ht="14.25" thickBot="1">
      <c r="A77" s="28" t="s">
        <v>43</v>
      </c>
      <c r="B77" s="28"/>
      <c r="C77" s="25">
        <v>29799138</v>
      </c>
      <c r="E77" s="25">
        <v>31662549</v>
      </c>
      <c r="G77" s="25">
        <v>31966530</v>
      </c>
      <c r="I77" s="25">
        <v>32190181</v>
      </c>
      <c r="K77" s="25">
        <v>41097567</v>
      </c>
    </row>
    <row r="78" spans="1:11" ht="12" customHeight="1" thickTop="1">
      <c r="C78" s="29"/>
      <c r="E78" s="29"/>
      <c r="G78" s="29"/>
      <c r="I78" s="29"/>
      <c r="K78" s="29"/>
    </row>
    <row r="80" spans="1:11" ht="10.5" customHeight="1">
      <c r="C80" s="8"/>
      <c r="D80" s="8"/>
      <c r="E80" s="8"/>
      <c r="F80" s="8"/>
      <c r="G80" s="35"/>
      <c r="H80" s="8"/>
      <c r="I80" s="35"/>
      <c r="J80" s="8"/>
      <c r="K80" s="8"/>
    </row>
  </sheetData>
  <sheetProtection password="CA27" sheet="1" objects="1" scenarios="1"/>
  <phoneticPr fontId="2" type="noConversion"/>
  <pageMargins left="0.6692913385826772" right="0.35433070866141736" top="0.98425196850393704" bottom="0.98425196850393704" header="0.51181102362204722" footer="0.51181102362204722"/>
  <pageSetup paperSize="9" scale="8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1"/>
  <sheetViews>
    <sheetView showGridLines="0" zoomScaleNormal="100" workbookViewId="0" xr3:uid="{958C4451-9541-5A59-BF78-D2F731DF1C81}"/>
  </sheetViews>
  <sheetFormatPr defaultColWidth="9.16796875" defaultRowHeight="10.5" customHeight="1"/>
  <cols>
    <col min="1" max="1" width="61.35546875" style="6" customWidth="1"/>
    <col min="2" max="2" width="14.0234375" style="11" bestFit="1" customWidth="1"/>
    <col min="3" max="3" width="1.75" style="6" customWidth="1"/>
    <col min="4" max="4" width="14.0234375" style="11" customWidth="1"/>
    <col min="5" max="5" width="1.75" style="6" customWidth="1"/>
    <col min="6" max="6" width="14.0234375" style="11" customWidth="1"/>
    <col min="7" max="7" width="1.75" style="6" customWidth="1"/>
    <col min="8" max="8" width="14.0234375" style="11" customWidth="1"/>
    <col min="9" max="9" width="1.75" style="6" customWidth="1"/>
    <col min="10" max="10" width="14.0234375" style="11" bestFit="1" customWidth="1"/>
    <col min="11" max="16384" width="9.16796875" style="6"/>
  </cols>
  <sheetData>
    <row r="1" spans="1:10" ht="13.5">
      <c r="A1" s="4" t="s">
        <v>0</v>
      </c>
      <c r="B1" s="5"/>
      <c r="D1" s="5"/>
      <c r="F1" s="5"/>
      <c r="H1" s="5"/>
      <c r="J1" s="5"/>
    </row>
    <row r="2" spans="1:10" ht="13.5">
      <c r="A2" s="4" t="s">
        <v>64</v>
      </c>
      <c r="B2" s="5"/>
      <c r="D2" s="5"/>
      <c r="F2" s="5"/>
      <c r="H2" s="5"/>
      <c r="J2" s="5"/>
    </row>
    <row r="3" spans="1:10" ht="13.5">
      <c r="A3" s="1" t="s">
        <v>1</v>
      </c>
      <c r="B3" s="36" t="s">
        <v>66</v>
      </c>
      <c r="D3" s="36" t="s">
        <v>66</v>
      </c>
      <c r="F3" s="36" t="s">
        <v>66</v>
      </c>
      <c r="H3" s="36" t="s">
        <v>66</v>
      </c>
      <c r="J3" s="36" t="s">
        <v>66</v>
      </c>
    </row>
    <row r="4" spans="1:10" ht="13.5">
      <c r="A4" s="1"/>
      <c r="B4" s="37">
        <v>38990</v>
      </c>
      <c r="D4" s="37">
        <v>39082</v>
      </c>
      <c r="F4" s="37">
        <v>39172</v>
      </c>
      <c r="H4" s="37">
        <v>39263</v>
      </c>
      <c r="J4" s="37">
        <v>39355</v>
      </c>
    </row>
    <row r="5" spans="1:10" ht="13.5">
      <c r="A5" s="1"/>
      <c r="B5" s="7"/>
      <c r="D5" s="7"/>
      <c r="F5" s="7"/>
      <c r="H5" s="7"/>
      <c r="J5" s="7"/>
    </row>
    <row r="6" spans="1:10" ht="3" customHeight="1">
      <c r="A6" s="2"/>
      <c r="B6" s="6"/>
      <c r="D6" s="6"/>
      <c r="F6" s="6"/>
      <c r="H6" s="6"/>
      <c r="J6" s="6"/>
    </row>
    <row r="7" spans="1:10" ht="13.5">
      <c r="A7" s="3" t="s">
        <v>44</v>
      </c>
      <c r="B7" s="10">
        <v>6604650</v>
      </c>
      <c r="D7" s="10">
        <v>6478994</v>
      </c>
      <c r="F7" s="10">
        <v>7335141</v>
      </c>
      <c r="H7" s="10">
        <v>7540920</v>
      </c>
      <c r="J7" s="10">
        <v>7664630</v>
      </c>
    </row>
    <row r="8" spans="1:10" ht="3" customHeight="1">
      <c r="A8" s="2"/>
      <c r="B8" s="6"/>
      <c r="D8" s="6"/>
      <c r="F8" s="6"/>
      <c r="H8" s="6"/>
      <c r="J8" s="6"/>
    </row>
    <row r="9" spans="1:10" ht="13.5">
      <c r="A9" s="2" t="s">
        <v>45</v>
      </c>
      <c r="B9" s="9">
        <v>-4708433</v>
      </c>
      <c r="D9" s="9">
        <v>-4935497</v>
      </c>
      <c r="F9" s="9">
        <v>-5566401</v>
      </c>
      <c r="H9" s="9">
        <v>-5647105</v>
      </c>
      <c r="J9" s="9">
        <v>-5749132</v>
      </c>
    </row>
    <row r="10" spans="1:10" ht="3" customHeight="1">
      <c r="A10" s="2"/>
      <c r="B10" s="6"/>
      <c r="D10" s="6"/>
      <c r="F10" s="6"/>
      <c r="H10" s="6"/>
      <c r="J10" s="6"/>
    </row>
    <row r="11" spans="1:10" ht="13.5">
      <c r="A11" s="3" t="s">
        <v>46</v>
      </c>
      <c r="B11" s="10">
        <v>1896217</v>
      </c>
      <c r="D11" s="10">
        <v>1543497</v>
      </c>
      <c r="F11" s="10">
        <v>1768740</v>
      </c>
      <c r="H11" s="10">
        <v>1893815</v>
      </c>
      <c r="J11" s="10">
        <v>1915498</v>
      </c>
    </row>
    <row r="12" spans="1:10" ht="3" customHeight="1">
      <c r="A12" s="2"/>
      <c r="B12" s="6"/>
      <c r="D12" s="6"/>
      <c r="F12" s="6"/>
      <c r="H12" s="6"/>
      <c r="J12" s="6"/>
    </row>
    <row r="13" spans="1:10" ht="13.5">
      <c r="A13" s="2" t="s">
        <v>47</v>
      </c>
      <c r="B13" s="6">
        <v>-131840</v>
      </c>
      <c r="D13" s="6">
        <v>-145823</v>
      </c>
      <c r="F13" s="6">
        <v>-142818</v>
      </c>
      <c r="H13" s="6">
        <v>-159677</v>
      </c>
      <c r="J13" s="6">
        <v>-155125</v>
      </c>
    </row>
    <row r="14" spans="1:10" ht="13.5">
      <c r="A14" s="2" t="s">
        <v>48</v>
      </c>
      <c r="B14" s="6">
        <v>-450547</v>
      </c>
      <c r="D14" s="6">
        <v>-443998</v>
      </c>
      <c r="F14" s="6">
        <v>-434877</v>
      </c>
      <c r="H14" s="6">
        <v>-480498</v>
      </c>
      <c r="J14" s="6">
        <v>-450805</v>
      </c>
    </row>
    <row r="15" spans="1:10" ht="13.5">
      <c r="A15" s="2" t="s">
        <v>49</v>
      </c>
      <c r="B15" s="9">
        <v>-123069</v>
      </c>
      <c r="D15" s="9">
        <v>49070</v>
      </c>
      <c r="F15" s="9">
        <v>10093</v>
      </c>
      <c r="H15" s="9">
        <v>5890</v>
      </c>
      <c r="J15" s="9">
        <v>-149275</v>
      </c>
    </row>
    <row r="16" spans="1:10" ht="3" customHeight="1">
      <c r="A16" s="2"/>
      <c r="B16" s="6"/>
      <c r="D16" s="6"/>
      <c r="F16" s="6"/>
      <c r="H16" s="6"/>
      <c r="J16" s="6"/>
    </row>
    <row r="17" spans="1:10" ht="13.5">
      <c r="A17" s="3" t="s">
        <v>50</v>
      </c>
      <c r="B17" s="10">
        <v>1190761</v>
      </c>
      <c r="D17" s="10">
        <v>1002746</v>
      </c>
      <c r="F17" s="10">
        <v>1201138</v>
      </c>
      <c r="H17" s="10">
        <v>1259530</v>
      </c>
      <c r="J17" s="10">
        <v>1160293</v>
      </c>
    </row>
    <row r="18" spans="1:10" ht="3" customHeight="1">
      <c r="A18" s="2"/>
      <c r="B18" s="6"/>
      <c r="D18" s="6"/>
      <c r="F18" s="6"/>
      <c r="H18" s="6"/>
      <c r="J18" s="6"/>
    </row>
    <row r="19" spans="1:10" ht="13.5">
      <c r="A19" s="2" t="s">
        <v>51</v>
      </c>
      <c r="B19" s="9">
        <v>83592</v>
      </c>
      <c r="D19" s="9">
        <v>26266</v>
      </c>
      <c r="F19" s="9">
        <v>35056</v>
      </c>
      <c r="H19" s="9">
        <v>32961</v>
      </c>
      <c r="J19" s="9">
        <v>27482</v>
      </c>
    </row>
    <row r="20" spans="1:10" ht="3" customHeight="1">
      <c r="A20" s="2"/>
      <c r="B20" s="6"/>
      <c r="D20" s="6"/>
      <c r="F20" s="6"/>
      <c r="H20" s="6"/>
      <c r="J20" s="6"/>
    </row>
    <row r="21" spans="1:10" ht="13.5">
      <c r="A21" s="3" t="s">
        <v>52</v>
      </c>
      <c r="B21" s="10">
        <v>1274353</v>
      </c>
      <c r="D21" s="10">
        <v>1029012</v>
      </c>
      <c r="F21" s="10">
        <v>1236194</v>
      </c>
      <c r="H21" s="10">
        <v>1292491</v>
      </c>
      <c r="J21" s="10">
        <v>1187775</v>
      </c>
    </row>
    <row r="22" spans="1:10" ht="3" customHeight="1">
      <c r="A22" s="2"/>
      <c r="B22" s="6"/>
      <c r="D22" s="6"/>
      <c r="F22" s="6"/>
      <c r="H22" s="6"/>
      <c r="J22" s="6"/>
    </row>
    <row r="23" spans="1:10" ht="13.5">
      <c r="A23" s="39" t="s">
        <v>53</v>
      </c>
      <c r="B23" s="6">
        <v>107098</v>
      </c>
      <c r="D23" s="6">
        <v>322499</v>
      </c>
      <c r="F23" s="6">
        <v>247263</v>
      </c>
      <c r="H23" s="6">
        <v>187457</v>
      </c>
      <c r="J23" s="6">
        <v>187235</v>
      </c>
    </row>
    <row r="24" spans="1:10" ht="13.5">
      <c r="A24" s="39" t="s">
        <v>54</v>
      </c>
      <c r="B24" s="6">
        <v>-224234</v>
      </c>
      <c r="D24" s="6">
        <v>-236744</v>
      </c>
      <c r="F24" s="6">
        <v>-245973</v>
      </c>
      <c r="H24" s="6">
        <v>-256490</v>
      </c>
      <c r="J24" s="6">
        <v>-287326</v>
      </c>
    </row>
    <row r="25" spans="1:10" ht="13.5">
      <c r="A25" s="39" t="s">
        <v>71</v>
      </c>
      <c r="B25" s="6">
        <v>-27793</v>
      </c>
      <c r="D25" s="6">
        <v>71350</v>
      </c>
      <c r="F25" s="6">
        <v>184652</v>
      </c>
      <c r="H25" s="6">
        <v>249876</v>
      </c>
      <c r="J25" s="6">
        <v>157400</v>
      </c>
    </row>
    <row r="26" spans="1:10" ht="13.5">
      <c r="A26" s="39" t="s">
        <v>72</v>
      </c>
      <c r="B26" s="6">
        <v>44138</v>
      </c>
      <c r="D26" s="6">
        <v>9449</v>
      </c>
      <c r="F26" s="6">
        <v>59927</v>
      </c>
      <c r="H26" s="6">
        <v>-31974</v>
      </c>
      <c r="J26" s="6">
        <v>91</v>
      </c>
    </row>
    <row r="27" spans="1:10" ht="3" customHeight="1">
      <c r="A27" s="2"/>
      <c r="B27" s="6"/>
      <c r="D27" s="6"/>
      <c r="F27" s="6"/>
      <c r="H27" s="6"/>
      <c r="J27" s="6"/>
    </row>
    <row r="28" spans="1:10" ht="13.5">
      <c r="A28" s="3" t="s">
        <v>55</v>
      </c>
      <c r="B28" s="10">
        <v>1173562</v>
      </c>
      <c r="D28" s="10">
        <v>1195566</v>
      </c>
      <c r="F28" s="10">
        <v>1482063</v>
      </c>
      <c r="H28" s="10">
        <v>1441360</v>
      </c>
      <c r="J28" s="10">
        <v>1245175</v>
      </c>
    </row>
    <row r="29" spans="1:10" ht="3" customHeight="1">
      <c r="A29" s="2"/>
      <c r="B29" s="6"/>
      <c r="D29" s="6"/>
      <c r="F29" s="6"/>
      <c r="H29" s="6"/>
      <c r="J29" s="6"/>
    </row>
    <row r="30" spans="1:10" ht="13.5">
      <c r="A30" s="2" t="s">
        <v>56</v>
      </c>
    </row>
    <row r="31" spans="1:10" ht="13.5">
      <c r="A31" s="2" t="s">
        <v>57</v>
      </c>
      <c r="B31" s="6">
        <v>-297820</v>
      </c>
      <c r="D31" s="6">
        <v>-84161</v>
      </c>
      <c r="F31" s="6">
        <v>-294129</v>
      </c>
      <c r="H31" s="6">
        <v>-279029</v>
      </c>
      <c r="J31" s="6">
        <v>-234369</v>
      </c>
    </row>
    <row r="32" spans="1:10" ht="13.5">
      <c r="A32" s="2" t="s">
        <v>58</v>
      </c>
      <c r="B32" s="9">
        <v>13662</v>
      </c>
      <c r="D32" s="9">
        <v>27935</v>
      </c>
      <c r="F32" s="9">
        <v>-9869</v>
      </c>
      <c r="H32" s="9">
        <v>-16472</v>
      </c>
      <c r="J32" s="9">
        <v>24257</v>
      </c>
    </row>
    <row r="33" spans="1:10" ht="13.5">
      <c r="A33" s="2"/>
      <c r="B33" s="4">
        <v>-284158</v>
      </c>
      <c r="D33" s="4">
        <v>-56226</v>
      </c>
      <c r="F33" s="4">
        <v>-303998</v>
      </c>
      <c r="H33" s="4">
        <v>-295501</v>
      </c>
      <c r="J33" s="4">
        <v>-210112</v>
      </c>
    </row>
    <row r="34" spans="1:10" ht="3" customHeight="1">
      <c r="A34" s="2"/>
      <c r="B34" s="6"/>
      <c r="D34" s="6"/>
      <c r="F34" s="6"/>
      <c r="H34" s="6"/>
      <c r="J34" s="6"/>
    </row>
    <row r="35" spans="1:10" ht="14.25" thickBot="1">
      <c r="A35" s="3" t="s">
        <v>59</v>
      </c>
      <c r="B35" s="12">
        <v>889404</v>
      </c>
      <c r="D35" s="12">
        <v>1139340</v>
      </c>
      <c r="F35" s="12">
        <v>1178065</v>
      </c>
      <c r="H35" s="12">
        <v>1145859</v>
      </c>
      <c r="J35" s="12">
        <v>1035063</v>
      </c>
    </row>
    <row r="36" spans="1:10" ht="3" customHeight="1" thickTop="1">
      <c r="A36" s="2"/>
      <c r="B36" s="6"/>
      <c r="D36" s="6"/>
      <c r="F36" s="6"/>
      <c r="H36" s="6"/>
      <c r="J36" s="6"/>
    </row>
    <row r="37" spans="1:10" ht="13.5">
      <c r="A37" s="3" t="s">
        <v>60</v>
      </c>
      <c r="B37" s="13"/>
      <c r="C37" s="14"/>
      <c r="D37" s="13"/>
      <c r="F37" s="10"/>
      <c r="H37" s="10"/>
      <c r="I37" s="14"/>
      <c r="J37" s="13"/>
    </row>
    <row r="38" spans="1:10" ht="13.5">
      <c r="A38" s="38" t="s">
        <v>61</v>
      </c>
      <c r="B38" s="15">
        <v>697278</v>
      </c>
      <c r="D38" s="15">
        <v>888781</v>
      </c>
      <c r="F38" s="15">
        <v>943335</v>
      </c>
      <c r="H38" s="15">
        <v>875943</v>
      </c>
      <c r="J38" s="15">
        <v>754417</v>
      </c>
    </row>
    <row r="39" spans="1:10" ht="13.5">
      <c r="A39" s="17" t="s">
        <v>62</v>
      </c>
      <c r="B39" s="16">
        <v>192126</v>
      </c>
      <c r="D39" s="16">
        <v>250559</v>
      </c>
      <c r="F39" s="16">
        <v>234730</v>
      </c>
      <c r="H39" s="16">
        <v>269916</v>
      </c>
      <c r="J39" s="16">
        <v>280646</v>
      </c>
    </row>
    <row r="40" spans="1:10" ht="14.25" thickBot="1">
      <c r="A40" s="17"/>
      <c r="B40" s="12">
        <v>889404</v>
      </c>
      <c r="D40" s="12">
        <v>1139340</v>
      </c>
      <c r="F40" s="12">
        <v>1178065</v>
      </c>
      <c r="H40" s="12">
        <v>1145859</v>
      </c>
      <c r="J40" s="12">
        <v>1035063</v>
      </c>
    </row>
    <row r="41" spans="1:10" ht="10.5" customHeight="1" thickTop="1"/>
  </sheetData>
  <sheetProtection password="CA27" sheet="1" objects="1" scenarios="1"/>
  <phoneticPr fontId="2" type="noConversion"/>
  <pageMargins left="0.6692913385826772" right="0.35433070866141736" top="0.98425196850393704" bottom="0.98425196850393704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2"/>
  <sheetViews>
    <sheetView showGridLines="0" zoomScaleNormal="100" workbookViewId="0" xr3:uid="{842E5F09-E766-5B8D-85AF-A39847EA96FD}"/>
  </sheetViews>
  <sheetFormatPr defaultColWidth="9.16796875" defaultRowHeight="10.5" customHeight="1"/>
  <cols>
    <col min="1" max="1" width="60.546875" style="6" customWidth="1"/>
    <col min="2" max="2" width="14.0234375" style="11" customWidth="1"/>
    <col min="3" max="3" width="1.75" style="6" customWidth="1"/>
    <col min="4" max="4" width="15.23828125" style="11" bestFit="1" customWidth="1"/>
    <col min="5" max="5" width="1.75" style="6" customWidth="1"/>
    <col min="6" max="6" width="14.0234375" style="11" customWidth="1"/>
    <col min="7" max="7" width="1.75" style="6" customWidth="1"/>
    <col min="8" max="8" width="14.0234375" style="6" customWidth="1"/>
    <col min="9" max="9" width="1.75" style="6" customWidth="1"/>
    <col min="10" max="10" width="14.0234375" style="11" customWidth="1"/>
    <col min="11" max="11" width="1.75" style="6" customWidth="1"/>
    <col min="12" max="12" width="14.0234375" style="11" bestFit="1" customWidth="1"/>
    <col min="13" max="13" width="1.75" style="6" customWidth="1"/>
    <col min="14" max="16384" width="9.16796875" style="6"/>
  </cols>
  <sheetData>
    <row r="1" spans="1:12" ht="13.5">
      <c r="A1" s="4" t="s">
        <v>0</v>
      </c>
      <c r="B1" s="5"/>
      <c r="D1" s="5"/>
      <c r="F1" s="5"/>
      <c r="J1" s="5"/>
      <c r="L1" s="5"/>
    </row>
    <row r="2" spans="1:12" ht="13.5">
      <c r="A2" s="4" t="s">
        <v>64</v>
      </c>
      <c r="B2" s="5"/>
      <c r="D2" s="5"/>
      <c r="F2" s="5"/>
      <c r="J2" s="5"/>
      <c r="L2" s="5"/>
    </row>
    <row r="3" spans="1:12" ht="13.5">
      <c r="A3" s="1" t="s">
        <v>1</v>
      </c>
      <c r="B3" s="36" t="s">
        <v>67</v>
      </c>
      <c r="D3" s="36" t="s">
        <v>65</v>
      </c>
      <c r="F3" s="36" t="s">
        <v>68</v>
      </c>
      <c r="H3" s="36" t="s">
        <v>66</v>
      </c>
      <c r="J3" s="36" t="s">
        <v>67</v>
      </c>
      <c r="L3" s="36" t="s">
        <v>65</v>
      </c>
    </row>
    <row r="4" spans="1:12" ht="13.5">
      <c r="A4" s="1"/>
      <c r="B4" s="37">
        <v>38898</v>
      </c>
      <c r="D4" s="37">
        <v>38990</v>
      </c>
      <c r="F4" s="37">
        <v>39082</v>
      </c>
      <c r="H4" s="37">
        <v>39172</v>
      </c>
      <c r="J4" s="37">
        <v>39263</v>
      </c>
      <c r="L4" s="37">
        <v>39355</v>
      </c>
    </row>
    <row r="5" spans="1:12" ht="13.5">
      <c r="A5" s="1"/>
      <c r="B5" s="7"/>
      <c r="D5" s="7"/>
      <c r="F5" s="7"/>
      <c r="J5" s="7"/>
      <c r="L5" s="7"/>
    </row>
    <row r="6" spans="1:12" ht="3" customHeight="1">
      <c r="A6" s="2"/>
      <c r="B6" s="6"/>
      <c r="D6" s="6"/>
      <c r="F6" s="6"/>
      <c r="J6" s="6"/>
      <c r="L6" s="6"/>
    </row>
    <row r="7" spans="1:12" ht="13.5">
      <c r="A7" s="3" t="s">
        <v>44</v>
      </c>
      <c r="B7" s="10">
        <v>12800267</v>
      </c>
      <c r="D7" s="10">
        <v>19404917</v>
      </c>
      <c r="F7" s="10">
        <v>25883911</v>
      </c>
      <c r="H7" s="10">
        <v>7335141</v>
      </c>
      <c r="J7" s="10">
        <v>14876061</v>
      </c>
      <c r="L7" s="10">
        <v>22540691</v>
      </c>
    </row>
    <row r="8" spans="1:12" ht="3" customHeight="1">
      <c r="A8" s="2"/>
      <c r="B8" s="6"/>
      <c r="D8" s="6"/>
      <c r="F8" s="6"/>
      <c r="J8" s="6"/>
      <c r="L8" s="6"/>
    </row>
    <row r="9" spans="1:12" ht="13.5">
      <c r="A9" s="2" t="s">
        <v>45</v>
      </c>
      <c r="B9" s="9">
        <v>-9395336</v>
      </c>
      <c r="D9" s="9">
        <v>-14103769</v>
      </c>
      <c r="F9" s="9">
        <v>-19039266</v>
      </c>
      <c r="H9" s="9">
        <v>-5566401</v>
      </c>
      <c r="J9" s="9">
        <v>-11213506</v>
      </c>
      <c r="L9" s="9">
        <v>-16962638</v>
      </c>
    </row>
    <row r="10" spans="1:12" ht="3" customHeight="1">
      <c r="A10" s="2"/>
      <c r="B10" s="6"/>
      <c r="D10" s="6"/>
      <c r="F10" s="6"/>
      <c r="J10" s="6"/>
      <c r="L10" s="6"/>
    </row>
    <row r="11" spans="1:12" ht="13.5">
      <c r="A11" s="3" t="s">
        <v>46</v>
      </c>
      <c r="B11" s="10">
        <v>3404931</v>
      </c>
      <c r="D11" s="10">
        <v>5301148</v>
      </c>
      <c r="F11" s="10">
        <v>6844645</v>
      </c>
      <c r="H11" s="10">
        <v>1768740</v>
      </c>
      <c r="J11" s="10">
        <v>3662555</v>
      </c>
      <c r="L11" s="10">
        <v>5578053</v>
      </c>
    </row>
    <row r="12" spans="1:12" ht="3" customHeight="1">
      <c r="A12" s="2"/>
      <c r="B12" s="6"/>
      <c r="D12" s="6"/>
      <c r="F12" s="6"/>
      <c r="J12" s="6"/>
      <c r="L12" s="6"/>
    </row>
    <row r="13" spans="1:12" ht="13.5">
      <c r="A13" s="2" t="s">
        <v>47</v>
      </c>
      <c r="B13" s="6">
        <v>-279382</v>
      </c>
      <c r="D13" s="6">
        <v>-411222</v>
      </c>
      <c r="F13" s="6">
        <v>-557045</v>
      </c>
      <c r="H13" s="6">
        <v>-142818</v>
      </c>
      <c r="J13" s="6">
        <v>-302495</v>
      </c>
      <c r="L13" s="6">
        <v>-457620</v>
      </c>
    </row>
    <row r="14" spans="1:12" ht="13.5">
      <c r="A14" s="2" t="s">
        <v>48</v>
      </c>
      <c r="B14" s="6">
        <v>-890320</v>
      </c>
      <c r="D14" s="6">
        <v>-1340867</v>
      </c>
      <c r="F14" s="6">
        <v>-1784865</v>
      </c>
      <c r="H14" s="6">
        <v>-434877</v>
      </c>
      <c r="J14" s="6">
        <v>-915375</v>
      </c>
      <c r="L14" s="6">
        <v>-1366180</v>
      </c>
    </row>
    <row r="15" spans="1:12" ht="13.5">
      <c r="A15" s="2" t="s">
        <v>49</v>
      </c>
      <c r="B15" s="9">
        <v>37836</v>
      </c>
      <c r="D15" s="9">
        <v>-85233</v>
      </c>
      <c r="F15" s="9">
        <v>-36163</v>
      </c>
      <c r="H15" s="9">
        <v>10093</v>
      </c>
      <c r="J15" s="9">
        <v>15983</v>
      </c>
      <c r="L15" s="9">
        <v>-133292</v>
      </c>
    </row>
    <row r="16" spans="1:12" ht="3" customHeight="1">
      <c r="A16" s="2"/>
      <c r="B16" s="6"/>
      <c r="D16" s="6"/>
      <c r="F16" s="6"/>
      <c r="J16" s="6"/>
      <c r="L16" s="6"/>
    </row>
    <row r="17" spans="1:14" ht="13.5">
      <c r="A17" s="3" t="s">
        <v>50</v>
      </c>
      <c r="B17" s="10">
        <v>2273065</v>
      </c>
      <c r="D17" s="10">
        <v>3463826</v>
      </c>
      <c r="F17" s="10">
        <v>4466572</v>
      </c>
      <c r="H17" s="10">
        <v>1201138</v>
      </c>
      <c r="J17" s="10">
        <v>2460668</v>
      </c>
      <c r="L17" s="10">
        <v>3620961</v>
      </c>
    </row>
    <row r="18" spans="1:14" ht="3" customHeight="1">
      <c r="A18" s="2"/>
      <c r="B18" s="6"/>
      <c r="D18" s="6"/>
      <c r="F18" s="6"/>
      <c r="J18" s="6"/>
      <c r="L18" s="6"/>
    </row>
    <row r="19" spans="1:14" ht="13.5">
      <c r="A19" s="2" t="s">
        <v>51</v>
      </c>
      <c r="B19" s="9">
        <v>133692</v>
      </c>
      <c r="D19" s="9">
        <v>217284</v>
      </c>
      <c r="F19" s="9">
        <v>243550</v>
      </c>
      <c r="H19" s="9">
        <v>35056</v>
      </c>
      <c r="J19" s="9">
        <v>68017</v>
      </c>
      <c r="L19" s="9">
        <v>95499</v>
      </c>
    </row>
    <row r="20" spans="1:14" ht="3" customHeight="1">
      <c r="A20" s="2"/>
      <c r="B20" s="6"/>
      <c r="D20" s="6"/>
      <c r="F20" s="6"/>
      <c r="J20" s="6"/>
      <c r="L20" s="6"/>
    </row>
    <row r="21" spans="1:14" ht="13.5">
      <c r="A21" s="3" t="s">
        <v>52</v>
      </c>
      <c r="B21" s="10">
        <v>2406757</v>
      </c>
      <c r="D21" s="10">
        <v>3681110</v>
      </c>
      <c r="F21" s="10">
        <v>4710122</v>
      </c>
      <c r="H21" s="10">
        <v>1236194</v>
      </c>
      <c r="J21" s="10">
        <v>2528685</v>
      </c>
      <c r="L21" s="10">
        <v>3716460</v>
      </c>
    </row>
    <row r="22" spans="1:14" ht="3" customHeight="1">
      <c r="A22" s="2"/>
      <c r="B22" s="6"/>
      <c r="D22" s="6"/>
      <c r="F22" s="6"/>
      <c r="J22" s="6"/>
      <c r="L22" s="6"/>
    </row>
    <row r="23" spans="1:14" ht="13.5">
      <c r="A23" s="39" t="s">
        <v>53</v>
      </c>
      <c r="B23" s="6">
        <v>509887</v>
      </c>
      <c r="D23" s="6">
        <v>616985</v>
      </c>
      <c r="F23" s="6">
        <v>939484</v>
      </c>
      <c r="H23" s="6">
        <v>247263</v>
      </c>
      <c r="J23" s="6">
        <v>434720</v>
      </c>
      <c r="L23" s="6">
        <v>621955</v>
      </c>
    </row>
    <row r="24" spans="1:14" ht="13.5">
      <c r="A24" s="39" t="s">
        <v>54</v>
      </c>
      <c r="B24" s="6">
        <v>-442314</v>
      </c>
      <c r="D24" s="6">
        <v>-666548</v>
      </c>
      <c r="F24" s="6">
        <v>-903292</v>
      </c>
      <c r="H24" s="6">
        <v>-245973</v>
      </c>
      <c r="J24" s="6">
        <v>-502463</v>
      </c>
      <c r="L24" s="6">
        <v>-789789</v>
      </c>
    </row>
    <row r="25" spans="1:14" ht="13.5">
      <c r="A25" s="39" t="s">
        <v>71</v>
      </c>
      <c r="B25" s="6">
        <v>286076</v>
      </c>
      <c r="D25" s="6">
        <v>258283</v>
      </c>
      <c r="F25" s="6">
        <v>329633</v>
      </c>
      <c r="H25" s="6">
        <v>184652</v>
      </c>
      <c r="J25" s="6">
        <v>434528</v>
      </c>
      <c r="L25" s="6">
        <v>591928</v>
      </c>
    </row>
    <row r="26" spans="1:14" ht="13.5">
      <c r="A26" s="39" t="s">
        <v>72</v>
      </c>
      <c r="B26" s="6">
        <v>20880</v>
      </c>
      <c r="D26" s="6">
        <v>65018</v>
      </c>
      <c r="F26" s="6">
        <v>74467</v>
      </c>
      <c r="H26" s="6">
        <v>59927</v>
      </c>
      <c r="J26" s="6">
        <v>27953</v>
      </c>
      <c r="L26" s="6">
        <v>28044</v>
      </c>
    </row>
    <row r="27" spans="1:14" ht="3" customHeight="1">
      <c r="A27" s="2"/>
      <c r="B27" s="6"/>
      <c r="D27" s="6"/>
      <c r="F27" s="6"/>
      <c r="J27" s="6"/>
      <c r="L27" s="6"/>
      <c r="N27" s="6">
        <f>L27-J27</f>
        <v>0</v>
      </c>
    </row>
    <row r="28" spans="1:14" ht="13.5">
      <c r="A28" s="3" t="s">
        <v>55</v>
      </c>
      <c r="B28" s="10">
        <v>2781286</v>
      </c>
      <c r="D28" s="10">
        <v>3954848</v>
      </c>
      <c r="F28" s="10">
        <v>5150414</v>
      </c>
      <c r="H28" s="10">
        <v>1482063</v>
      </c>
      <c r="J28" s="10">
        <v>2923423</v>
      </c>
      <c r="L28" s="10">
        <v>4168598</v>
      </c>
    </row>
    <row r="29" spans="1:14" ht="3" customHeight="1">
      <c r="A29" s="2"/>
      <c r="B29" s="6"/>
      <c r="D29" s="6"/>
      <c r="F29" s="6"/>
      <c r="J29" s="6"/>
      <c r="L29" s="6"/>
    </row>
    <row r="30" spans="1:14" ht="13.5">
      <c r="A30" s="2" t="s">
        <v>56</v>
      </c>
    </row>
    <row r="31" spans="1:14" ht="13.5">
      <c r="A31" s="2" t="s">
        <v>57</v>
      </c>
      <c r="B31" s="6">
        <v>-524316</v>
      </c>
      <c r="D31" s="6">
        <v>-822136</v>
      </c>
      <c r="F31" s="6">
        <v>-906297</v>
      </c>
      <c r="H31" s="6">
        <v>-294129</v>
      </c>
      <c r="J31" s="6">
        <v>-573158</v>
      </c>
      <c r="L31" s="6">
        <v>-807527</v>
      </c>
    </row>
    <row r="32" spans="1:14" ht="13.5">
      <c r="A32" s="2" t="s">
        <v>58</v>
      </c>
      <c r="B32" s="9">
        <v>-24236</v>
      </c>
      <c r="D32" s="9">
        <v>-10574</v>
      </c>
      <c r="F32" s="9">
        <v>17361</v>
      </c>
      <c r="H32" s="9">
        <v>-9869</v>
      </c>
      <c r="J32" s="9">
        <v>-26341</v>
      </c>
      <c r="L32" s="9">
        <v>-2084</v>
      </c>
    </row>
    <row r="33" spans="1:12" ht="13.5">
      <c r="A33" s="2"/>
      <c r="B33" s="4">
        <v>-548552</v>
      </c>
      <c r="D33" s="4">
        <v>-832710</v>
      </c>
      <c r="F33" s="4">
        <v>-888936</v>
      </c>
      <c r="H33" s="4">
        <v>-303998</v>
      </c>
      <c r="J33" s="4">
        <v>-599499</v>
      </c>
      <c r="L33" s="4">
        <v>-809611</v>
      </c>
    </row>
    <row r="34" spans="1:12" ht="3" customHeight="1">
      <c r="A34" s="2"/>
      <c r="B34" s="6"/>
      <c r="D34" s="6"/>
      <c r="F34" s="6"/>
      <c r="J34" s="6"/>
      <c r="L34" s="6"/>
    </row>
    <row r="35" spans="1:12" ht="14.25" thickBot="1">
      <c r="A35" s="3" t="s">
        <v>59</v>
      </c>
      <c r="B35" s="12">
        <v>2232734</v>
      </c>
      <c r="D35" s="12">
        <v>3122138</v>
      </c>
      <c r="F35" s="12">
        <v>4261478</v>
      </c>
      <c r="H35" s="12">
        <v>1178065</v>
      </c>
      <c r="J35" s="12">
        <v>2323924</v>
      </c>
      <c r="L35" s="12">
        <v>3358987</v>
      </c>
    </row>
    <row r="36" spans="1:12" ht="3" customHeight="1" thickTop="1">
      <c r="A36" s="2"/>
      <c r="B36" s="6"/>
      <c r="D36" s="6"/>
      <c r="F36" s="6"/>
      <c r="J36" s="6"/>
      <c r="L36" s="6"/>
    </row>
    <row r="37" spans="1:12" ht="13.5">
      <c r="A37" s="3" t="s">
        <v>60</v>
      </c>
      <c r="B37" s="10"/>
      <c r="D37" s="13"/>
      <c r="F37" s="10"/>
      <c r="J37" s="10"/>
      <c r="K37" s="14"/>
      <c r="L37" s="13"/>
    </row>
    <row r="38" spans="1:12" ht="13.5">
      <c r="A38" s="38" t="s">
        <v>61</v>
      </c>
      <c r="B38" s="15">
        <v>1745824</v>
      </c>
      <c r="D38" s="15">
        <v>2443102</v>
      </c>
      <c r="F38" s="15">
        <v>3331883</v>
      </c>
      <c r="H38" s="6">
        <v>943335</v>
      </c>
      <c r="J38" s="15">
        <v>1819278</v>
      </c>
      <c r="L38" s="15">
        <v>2573695</v>
      </c>
    </row>
    <row r="39" spans="1:12" ht="13.5">
      <c r="A39" s="17" t="s">
        <v>62</v>
      </c>
      <c r="B39" s="16">
        <v>486910</v>
      </c>
      <c r="D39" s="16">
        <v>679036</v>
      </c>
      <c r="F39" s="16">
        <v>929595</v>
      </c>
      <c r="H39" s="16">
        <v>234730</v>
      </c>
      <c r="J39" s="16">
        <v>504646</v>
      </c>
      <c r="L39" s="16">
        <v>785292</v>
      </c>
    </row>
    <row r="40" spans="1:12" ht="14.25" thickBot="1">
      <c r="A40" s="17"/>
      <c r="B40" s="12">
        <v>2232734</v>
      </c>
      <c r="D40" s="12">
        <v>3122138</v>
      </c>
      <c r="F40" s="12">
        <v>4261478</v>
      </c>
      <c r="H40" s="12">
        <v>1178065</v>
      </c>
      <c r="J40" s="12">
        <v>2323924</v>
      </c>
      <c r="L40" s="12">
        <v>3358987</v>
      </c>
    </row>
    <row r="41" spans="1:12" ht="10.5" customHeight="1" thickTop="1"/>
    <row r="42" spans="1:12" ht="10.5" customHeight="1">
      <c r="B42" s="8"/>
      <c r="D42" s="8"/>
      <c r="F42" s="8"/>
      <c r="H42" s="8"/>
      <c r="J42" s="8"/>
      <c r="L42" s="8"/>
    </row>
  </sheetData>
  <sheetProtection password="CA27" sheet="1" objects="1" scenarios="1"/>
  <phoneticPr fontId="2" type="noConversion"/>
  <pageMargins left="0.6692913385826772" right="0.35433070866141736" top="0.98425196850393704" bottom="0.98425196850393704" header="0.51181102362204722" footer="0.51181102362204722"/>
  <pageSetup paperSize="9" scale="8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8"/>
  <sheetViews>
    <sheetView showGridLines="0" zoomScale="80" workbookViewId="0" xr3:uid="{51F8DEE0-4D01-5F28-A812-FC0BD7CAC4A5}"/>
  </sheetViews>
  <sheetFormatPr defaultColWidth="9.16796875" defaultRowHeight="13.5"/>
  <cols>
    <col min="1" max="1" width="68.7734375" style="40" bestFit="1" customWidth="1"/>
    <col min="2" max="2" width="1.75" style="40" customWidth="1"/>
    <col min="3" max="3" width="19.01171875" style="40" customWidth="1"/>
    <col min="4" max="4" width="1.75" style="40" customWidth="1"/>
    <col min="5" max="5" width="16.046875" style="40" bestFit="1" customWidth="1"/>
    <col min="6" max="6" width="1.75" style="40" customWidth="1"/>
    <col min="7" max="7" width="18.47265625" style="40" bestFit="1" customWidth="1"/>
    <col min="8" max="16384" width="9.16796875" style="40"/>
  </cols>
  <sheetData>
    <row r="1" spans="1:7">
      <c r="A1" s="4" t="s">
        <v>0</v>
      </c>
    </row>
    <row r="2" spans="1:7">
      <c r="A2" s="4" t="s">
        <v>122</v>
      </c>
    </row>
    <row r="3" spans="1:7">
      <c r="A3" s="1" t="s">
        <v>1</v>
      </c>
    </row>
    <row r="4" spans="1:7">
      <c r="A4" s="1"/>
      <c r="C4" s="41" t="s">
        <v>121</v>
      </c>
      <c r="D4" s="41"/>
      <c r="E4" s="36" t="s">
        <v>68</v>
      </c>
      <c r="F4" s="41"/>
      <c r="G4" s="41" t="s">
        <v>121</v>
      </c>
    </row>
    <row r="5" spans="1:7">
      <c r="A5" s="1"/>
      <c r="C5" s="41" t="s">
        <v>74</v>
      </c>
      <c r="D5" s="41"/>
      <c r="E5" s="37">
        <v>39082</v>
      </c>
      <c r="F5" s="41"/>
      <c r="G5" s="41" t="s">
        <v>73</v>
      </c>
    </row>
    <row r="6" spans="1:7" s="53" customFormat="1">
      <c r="A6" s="53" t="s">
        <v>75</v>
      </c>
    </row>
    <row r="7" spans="1:7">
      <c r="A7" s="40" t="s">
        <v>76</v>
      </c>
      <c r="C7" s="61">
        <v>3122138</v>
      </c>
      <c r="D7" s="43"/>
      <c r="E7" s="48">
        <v>4261478</v>
      </c>
      <c r="F7" s="43"/>
      <c r="G7" s="61">
        <v>3358987</v>
      </c>
    </row>
    <row r="8" spans="1:7">
      <c r="A8" s="53" t="s">
        <v>77</v>
      </c>
      <c r="B8" s="53"/>
      <c r="C8" s="61"/>
      <c r="D8" s="55"/>
      <c r="E8" s="59"/>
      <c r="F8" s="55"/>
      <c r="G8" s="61"/>
    </row>
    <row r="9" spans="1:7">
      <c r="A9" s="53" t="s">
        <v>78</v>
      </c>
      <c r="B9" s="53"/>
      <c r="C9" s="61"/>
      <c r="D9" s="55"/>
      <c r="E9" s="59"/>
      <c r="F9" s="55"/>
      <c r="G9" s="61"/>
    </row>
    <row r="10" spans="1:7">
      <c r="A10" s="40" t="s">
        <v>79</v>
      </c>
      <c r="C10" s="61">
        <v>853450</v>
      </c>
      <c r="D10" s="43"/>
      <c r="E10" s="48">
        <v>1136919</v>
      </c>
      <c r="F10" s="43"/>
      <c r="G10" s="61">
        <v>917193</v>
      </c>
    </row>
    <row r="11" spans="1:7">
      <c r="A11" s="40" t="s">
        <v>80</v>
      </c>
      <c r="C11" s="61">
        <v>-217284</v>
      </c>
      <c r="D11" s="43"/>
      <c r="E11" s="48">
        <v>-243550</v>
      </c>
      <c r="F11" s="43"/>
      <c r="G11" s="61">
        <v>-95499</v>
      </c>
    </row>
    <row r="12" spans="1:7">
      <c r="A12" s="40" t="s">
        <v>81</v>
      </c>
      <c r="C12" s="61">
        <v>0</v>
      </c>
      <c r="D12" s="43"/>
      <c r="E12" s="42">
        <v>0</v>
      </c>
      <c r="F12" s="43"/>
      <c r="G12" s="61">
        <v>1978</v>
      </c>
    </row>
    <row r="13" spans="1:7">
      <c r="A13" s="40" t="s">
        <v>82</v>
      </c>
      <c r="C13" s="61">
        <v>-240799</v>
      </c>
      <c r="D13" s="43"/>
      <c r="E13" s="48">
        <v>-296207</v>
      </c>
      <c r="F13" s="43"/>
      <c r="G13" s="61">
        <v>-574293</v>
      </c>
    </row>
    <row r="14" spans="1:7">
      <c r="A14" s="40" t="s">
        <v>83</v>
      </c>
      <c r="C14" s="61">
        <v>-65018</v>
      </c>
      <c r="D14" s="43"/>
      <c r="E14" s="48">
        <v>-74467</v>
      </c>
      <c r="F14" s="43"/>
      <c r="G14" s="61">
        <v>-28044</v>
      </c>
    </row>
    <row r="15" spans="1:7">
      <c r="A15" s="40" t="s">
        <v>84</v>
      </c>
      <c r="C15" s="61">
        <v>-54641</v>
      </c>
      <c r="D15" s="43"/>
      <c r="E15" s="48">
        <v>-54531</v>
      </c>
      <c r="F15" s="43"/>
      <c r="G15" s="61">
        <v>2537</v>
      </c>
    </row>
    <row r="16" spans="1:7">
      <c r="A16" s="40" t="s">
        <v>85</v>
      </c>
      <c r="C16" s="61">
        <v>-120930</v>
      </c>
      <c r="D16" s="43"/>
      <c r="E16" s="48">
        <v>-157481</v>
      </c>
      <c r="F16" s="43"/>
      <c r="G16" s="61">
        <v>-45293</v>
      </c>
    </row>
    <row r="17" spans="1:7">
      <c r="A17" s="40" t="s">
        <v>86</v>
      </c>
      <c r="C17" s="61">
        <v>130367</v>
      </c>
      <c r="D17" s="43"/>
      <c r="E17" s="48">
        <v>38797</v>
      </c>
      <c r="F17" s="43"/>
      <c r="G17" s="61">
        <v>99373</v>
      </c>
    </row>
    <row r="18" spans="1:7">
      <c r="A18" s="40" t="s">
        <v>87</v>
      </c>
      <c r="C18" s="61">
        <v>42191</v>
      </c>
      <c r="D18" s="43"/>
      <c r="E18" s="48">
        <v>43464</v>
      </c>
      <c r="F18" s="43"/>
      <c r="G18" s="61">
        <v>46802</v>
      </c>
    </row>
    <row r="19" spans="1:7">
      <c r="A19" s="40" t="s">
        <v>88</v>
      </c>
      <c r="C19" s="61">
        <v>-3606</v>
      </c>
      <c r="D19" s="43"/>
      <c r="E19" s="48">
        <v>-3661</v>
      </c>
      <c r="F19" s="43"/>
      <c r="G19" s="61">
        <v>-75</v>
      </c>
    </row>
    <row r="20" spans="1:7">
      <c r="A20" s="40" t="s">
        <v>89</v>
      </c>
      <c r="C20" s="61">
        <v>16391</v>
      </c>
      <c r="D20" s="43"/>
      <c r="E20" s="48">
        <v>16633</v>
      </c>
      <c r="F20" s="43"/>
      <c r="G20" s="61">
        <v>14290</v>
      </c>
    </row>
    <row r="21" spans="1:7">
      <c r="A21" s="40" t="s">
        <v>90</v>
      </c>
      <c r="C21" s="61">
        <v>-46503</v>
      </c>
      <c r="D21" s="43"/>
      <c r="E21" s="48">
        <v>-52061</v>
      </c>
      <c r="F21" s="43"/>
      <c r="G21" s="61">
        <v>35002</v>
      </c>
    </row>
    <row r="22" spans="1:7">
      <c r="A22" s="40" t="s">
        <v>91</v>
      </c>
      <c r="C22" s="61">
        <v>196073</v>
      </c>
      <c r="D22" s="43"/>
      <c r="E22" s="48">
        <v>215091</v>
      </c>
      <c r="F22" s="43"/>
      <c r="G22" s="61">
        <v>76404</v>
      </c>
    </row>
    <row r="23" spans="1:7">
      <c r="A23" s="40" t="s">
        <v>92</v>
      </c>
      <c r="C23" s="61">
        <v>-542228</v>
      </c>
      <c r="D23" s="43"/>
      <c r="E23" s="48">
        <v>-820940</v>
      </c>
      <c r="F23" s="43"/>
      <c r="G23" s="61">
        <v>-510143</v>
      </c>
    </row>
    <row r="24" spans="1:7">
      <c r="A24" s="40" t="s">
        <v>93</v>
      </c>
      <c r="C24" s="61">
        <v>456180</v>
      </c>
      <c r="D24" s="43"/>
      <c r="E24" s="48">
        <v>695635</v>
      </c>
      <c r="F24" s="43"/>
      <c r="G24" s="61">
        <v>359962</v>
      </c>
    </row>
    <row r="25" spans="1:7">
      <c r="A25" s="40" t="s">
        <v>94</v>
      </c>
      <c r="C25" s="61">
        <v>-421761</v>
      </c>
      <c r="D25" s="43"/>
      <c r="E25" s="48">
        <v>-555092</v>
      </c>
      <c r="F25" s="43"/>
      <c r="G25" s="61">
        <v>-474143</v>
      </c>
    </row>
    <row r="26" spans="1:7">
      <c r="C26" s="44"/>
      <c r="D26" s="43"/>
      <c r="E26" s="43"/>
      <c r="F26" s="43"/>
      <c r="G26" s="44"/>
    </row>
    <row r="27" spans="1:7" s="53" customFormat="1">
      <c r="A27" s="53" t="s">
        <v>95</v>
      </c>
      <c r="C27" s="57"/>
      <c r="D27" s="55"/>
      <c r="E27" s="55"/>
      <c r="F27" s="55"/>
      <c r="G27" s="57"/>
    </row>
    <row r="28" spans="1:7">
      <c r="A28" s="40" t="s">
        <v>96</v>
      </c>
      <c r="C28" s="42">
        <v>-467817</v>
      </c>
      <c r="D28" s="43"/>
      <c r="E28" s="48">
        <v>-290638</v>
      </c>
      <c r="F28" s="43"/>
      <c r="G28" s="42">
        <v>-752484</v>
      </c>
    </row>
    <row r="29" spans="1:7">
      <c r="A29" s="40" t="s">
        <v>97</v>
      </c>
      <c r="C29" s="42">
        <v>-65687</v>
      </c>
      <c r="D29" s="43"/>
      <c r="E29" s="48">
        <v>-186347</v>
      </c>
      <c r="F29" s="43"/>
      <c r="G29" s="42">
        <v>-606901</v>
      </c>
    </row>
    <row r="30" spans="1:7">
      <c r="A30" s="40" t="s">
        <v>98</v>
      </c>
      <c r="C30" s="42">
        <v>283093</v>
      </c>
      <c r="D30" s="43"/>
      <c r="E30" s="48">
        <v>245483</v>
      </c>
      <c r="F30" s="43"/>
      <c r="G30" s="42">
        <v>416473</v>
      </c>
    </row>
    <row r="31" spans="1:7">
      <c r="A31" s="40" t="s">
        <v>99</v>
      </c>
      <c r="C31" s="42">
        <v>-53900</v>
      </c>
      <c r="D31" s="43"/>
      <c r="E31" s="48">
        <v>-107244</v>
      </c>
      <c r="F31" s="43"/>
      <c r="G31" s="42">
        <v>-6024</v>
      </c>
    </row>
    <row r="32" spans="1:7">
      <c r="A32" s="40" t="s">
        <v>100</v>
      </c>
      <c r="C32" s="45">
        <v>-58082</v>
      </c>
      <c r="D32" s="43"/>
      <c r="E32" s="49">
        <v>-312177</v>
      </c>
      <c r="F32" s="43"/>
      <c r="G32" s="45">
        <v>278066</v>
      </c>
    </row>
    <row r="33" spans="1:7">
      <c r="A33" s="40" t="s">
        <v>101</v>
      </c>
      <c r="C33" s="42">
        <v>-2664519</v>
      </c>
      <c r="D33" s="43"/>
      <c r="E33" s="48">
        <v>-7704288</v>
      </c>
      <c r="F33" s="43"/>
      <c r="G33" s="42">
        <v>-714885</v>
      </c>
    </row>
    <row r="34" spans="1:7">
      <c r="A34" s="40" t="s">
        <v>102</v>
      </c>
      <c r="C34" s="42">
        <v>2605824</v>
      </c>
      <c r="D34" s="43"/>
      <c r="E34" s="48">
        <v>6627754</v>
      </c>
      <c r="F34" s="43"/>
      <c r="G34" s="42">
        <v>2596362</v>
      </c>
    </row>
    <row r="35" spans="1:7" s="53" customFormat="1">
      <c r="A35" s="53" t="s">
        <v>103</v>
      </c>
      <c r="C35" s="54">
        <f>SUM(C7:C34)</f>
        <v>2682932</v>
      </c>
      <c r="D35" s="55"/>
      <c r="E35" s="54">
        <f>SUM(E7:E34)</f>
        <v>2422570</v>
      </c>
      <c r="F35" s="55"/>
      <c r="G35" s="54">
        <f>SUM(G7:G34)</f>
        <v>4395645</v>
      </c>
    </row>
    <row r="36" spans="1:7">
      <c r="C36" s="44"/>
      <c r="D36" s="43"/>
      <c r="E36" s="43"/>
      <c r="F36" s="43"/>
      <c r="G36" s="44"/>
    </row>
    <row r="37" spans="1:7" s="53" customFormat="1">
      <c r="A37" s="53" t="s">
        <v>104</v>
      </c>
      <c r="C37" s="57"/>
      <c r="D37" s="55"/>
      <c r="E37" s="55"/>
      <c r="F37" s="55"/>
      <c r="G37" s="57"/>
    </row>
    <row r="38" spans="1:7">
      <c r="A38" s="40" t="s">
        <v>105</v>
      </c>
      <c r="C38" s="42">
        <v>-1823984</v>
      </c>
      <c r="D38" s="43"/>
      <c r="E38" s="48">
        <v>-2373508</v>
      </c>
      <c r="F38" s="43"/>
      <c r="G38" s="42">
        <v>-2055171</v>
      </c>
    </row>
    <row r="39" spans="1:7">
      <c r="A39" s="40" t="s">
        <v>106</v>
      </c>
      <c r="C39" s="42">
        <v>-374318</v>
      </c>
      <c r="D39" s="43"/>
      <c r="E39" s="48">
        <v>-669603</v>
      </c>
      <c r="F39" s="43"/>
      <c r="G39" s="42">
        <v>-7745140</v>
      </c>
    </row>
    <row r="40" spans="1:7">
      <c r="A40" s="40" t="s">
        <v>107</v>
      </c>
      <c r="C40" s="42">
        <v>536215</v>
      </c>
      <c r="D40" s="43"/>
      <c r="E40" s="48">
        <v>752424</v>
      </c>
      <c r="F40" s="43"/>
      <c r="G40" s="42">
        <v>104490</v>
      </c>
    </row>
    <row r="41" spans="1:7" s="53" customFormat="1">
      <c r="A41" s="53" t="s">
        <v>108</v>
      </c>
      <c r="C41" s="56">
        <f>SUM(C38:C40)</f>
        <v>-1662087</v>
      </c>
      <c r="D41" s="55"/>
      <c r="E41" s="56">
        <f>SUM(E38:E40)</f>
        <v>-2290687</v>
      </c>
      <c r="F41" s="55"/>
      <c r="G41" s="56">
        <f>SUM(G38:G40)</f>
        <v>-9695821</v>
      </c>
    </row>
    <row r="42" spans="1:7">
      <c r="C42" s="46"/>
      <c r="D42" s="43"/>
      <c r="E42" s="43"/>
      <c r="F42" s="43"/>
      <c r="G42" s="43"/>
    </row>
    <row r="43" spans="1:7" s="53" customFormat="1">
      <c r="A43" s="53" t="s">
        <v>109</v>
      </c>
      <c r="C43" s="58"/>
      <c r="D43" s="55"/>
      <c r="E43" s="55"/>
      <c r="F43" s="55"/>
      <c r="G43" s="55"/>
    </row>
    <row r="44" spans="1:7">
      <c r="A44" s="40" t="s">
        <v>110</v>
      </c>
      <c r="C44" s="42">
        <v>-810568</v>
      </c>
      <c r="D44" s="43"/>
      <c r="E44" s="48">
        <v>-1070197</v>
      </c>
      <c r="F44" s="43"/>
      <c r="G44" s="42">
        <v>-930914</v>
      </c>
    </row>
    <row r="45" spans="1:7">
      <c r="A45" s="40" t="s">
        <v>111</v>
      </c>
      <c r="C45" s="42">
        <v>2567703</v>
      </c>
      <c r="D45" s="43"/>
      <c r="E45" s="48">
        <v>4606793</v>
      </c>
      <c r="F45" s="43"/>
      <c r="G45" s="42">
        <v>9322256</v>
      </c>
    </row>
    <row r="46" spans="1:7">
      <c r="A46" s="40" t="s">
        <v>112</v>
      </c>
      <c r="C46" s="42">
        <v>-2129086</v>
      </c>
      <c r="D46" s="43"/>
      <c r="E46" s="48">
        <v>-3629755</v>
      </c>
      <c r="F46" s="43"/>
      <c r="G46" s="42">
        <v>-2815895</v>
      </c>
    </row>
    <row r="47" spans="1:7">
      <c r="A47" s="40" t="s">
        <v>113</v>
      </c>
      <c r="C47" s="42" t="s">
        <v>114</v>
      </c>
      <c r="D47" s="43"/>
      <c r="E47" s="48">
        <v>0</v>
      </c>
      <c r="F47" s="43"/>
      <c r="G47" s="42">
        <v>-67589</v>
      </c>
    </row>
    <row r="48" spans="1:7" s="53" customFormat="1">
      <c r="A48" s="40" t="s">
        <v>115</v>
      </c>
      <c r="C48" s="42">
        <v>4945</v>
      </c>
      <c r="D48" s="43"/>
      <c r="E48" s="48">
        <v>-49142</v>
      </c>
      <c r="F48" s="43"/>
      <c r="G48" s="42">
        <v>266415</v>
      </c>
    </row>
    <row r="49" spans="1:7">
      <c r="C49" s="42"/>
      <c r="D49" s="43"/>
      <c r="E49" s="48"/>
      <c r="F49" s="43"/>
      <c r="G49" s="42"/>
    </row>
    <row r="50" spans="1:7" s="53" customFormat="1">
      <c r="A50" s="53" t="s">
        <v>116</v>
      </c>
      <c r="C50" s="54">
        <f>SUM(C44:C49)</f>
        <v>-367006</v>
      </c>
      <c r="D50" s="55"/>
      <c r="E50" s="54">
        <f>SUM(E44:E49)</f>
        <v>-142301</v>
      </c>
      <c r="F50" s="55"/>
      <c r="G50" s="54">
        <f>SUM(G44:G49)</f>
        <v>5774273</v>
      </c>
    </row>
    <row r="51" spans="1:7">
      <c r="C51" s="42"/>
      <c r="D51" s="43"/>
      <c r="E51" s="48"/>
      <c r="F51" s="43"/>
      <c r="G51" s="42"/>
    </row>
    <row r="52" spans="1:7">
      <c r="A52" s="40" t="s">
        <v>117</v>
      </c>
      <c r="C52" s="45">
        <v>-115055</v>
      </c>
      <c r="D52" s="43"/>
      <c r="E52" s="49">
        <v>-146758</v>
      </c>
      <c r="F52" s="43"/>
      <c r="G52" s="45">
        <v>-306691</v>
      </c>
    </row>
    <row r="53" spans="1:7">
      <c r="C53" s="42"/>
      <c r="D53" s="43"/>
      <c r="E53" s="48"/>
      <c r="F53" s="43"/>
      <c r="G53" s="42"/>
    </row>
    <row r="54" spans="1:7">
      <c r="A54" s="40" t="s">
        <v>118</v>
      </c>
      <c r="C54" s="44">
        <v>538784</v>
      </c>
      <c r="D54" s="43"/>
      <c r="E54" s="50">
        <v>-157176</v>
      </c>
      <c r="F54" s="43"/>
      <c r="G54" s="44">
        <v>167406</v>
      </c>
    </row>
    <row r="55" spans="1:7">
      <c r="A55" s="40" t="s">
        <v>119</v>
      </c>
      <c r="C55" s="47">
        <v>1227700</v>
      </c>
      <c r="D55" s="43"/>
      <c r="E55" s="51">
        <v>1227700</v>
      </c>
      <c r="F55" s="43"/>
      <c r="G55" s="47">
        <v>1070523</v>
      </c>
    </row>
    <row r="56" spans="1:7" s="53" customFormat="1" ht="14.25" thickBot="1">
      <c r="A56" s="53" t="s">
        <v>120</v>
      </c>
      <c r="C56" s="60">
        <f>SUM(C54:C55)</f>
        <v>1766484</v>
      </c>
      <c r="D56" s="55"/>
      <c r="E56" s="60">
        <f>SUM(E54:E55)</f>
        <v>1070524</v>
      </c>
      <c r="F56" s="55"/>
      <c r="G56" s="60">
        <f>SUM(G54:G55)</f>
        <v>1237929</v>
      </c>
    </row>
    <row r="57" spans="1:7" ht="14.25" thickTop="1"/>
    <row r="58" spans="1:7">
      <c r="C58" s="52"/>
      <c r="E58" s="52"/>
      <c r="G58" s="52"/>
    </row>
  </sheetData>
  <sheetProtection password="CA27" sheet="1" objects="1" scenarios="1"/>
  <phoneticPr fontId="14" type="noConversion"/>
  <pageMargins left="0.75" right="0.75" top="1" bottom="1" header="0.49212598499999999" footer="0.49212598499999999"/>
  <pageSetup paperSize="9" scale="67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Balanço Patrimonial</vt:lpstr>
      <vt:lpstr>DRE_Trimestral</vt:lpstr>
      <vt:lpstr>DRE_Acumulado</vt:lpstr>
      <vt:lpstr>FC_Acumulado</vt:lpstr>
      <vt:lpstr>Balanço Patrimonial!Area_de_impressao</vt:lpstr>
    </vt:vector>
  </TitlesOfParts>
  <Company>Gerdau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Gerdau S.A.</dc:creator>
  <cp:lastModifiedBy>X</cp:lastModifiedBy>
  <cp:lastPrinted>2007-11-06T22:09:49Z</cp:lastPrinted>
  <dcterms:created xsi:type="dcterms:W3CDTF">2007-10-29T15:59:16Z</dcterms:created>
  <dcterms:modified xsi:type="dcterms:W3CDTF">2018-03-21T09:46:53Z</dcterms:modified>
</cp:coreProperties>
</file>