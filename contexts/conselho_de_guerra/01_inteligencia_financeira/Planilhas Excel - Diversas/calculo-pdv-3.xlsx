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cb1\AC\Temp\"/>
    </mc:Choice>
  </mc:AlternateContent>
  <bookViews>
    <workbookView xWindow="0" yWindow="15" windowWidth="12240" windowHeight="8955" xr2:uid="{00000000-000D-0000-FFFF-FFFF00000000}"/>
  </bookViews>
  <sheets>
    <sheet name="Plan1" sheetId="1" r:id="rId1"/>
    <sheet name="Plan2" sheetId="2" r:id="rId2"/>
    <sheet name="Plan3" sheetId="3" r:id="rId3"/>
  </sheets>
  <calcPr calcId="171026"/>
</workbook>
</file>

<file path=xl/calcChain.xml><?xml version="1.0" encoding="utf-8"?>
<calcChain xmlns="http://schemas.openxmlformats.org/spreadsheetml/2006/main">
  <c r="D11" i="1" l="1"/>
  <c r="G11" i="1"/>
  <c r="J11" i="1"/>
  <c r="F21" i="2"/>
  <c r="D25" i="2"/>
  <c r="J39" i="2"/>
  <c r="A14" i="1"/>
</calcChain>
</file>

<file path=xl/sharedStrings.xml><?xml version="1.0" encoding="utf-8"?>
<sst xmlns="http://schemas.openxmlformats.org/spreadsheetml/2006/main" count="9" uniqueCount="9">
  <si>
    <t>INFORME AQUI O SALÁRIO BASE COM QUINQUÊNIO</t>
  </si>
  <si>
    <t>DATA BASE</t>
  </si>
  <si>
    <t>Nº ANOS</t>
  </si>
  <si>
    <t>VALOR TOTAL</t>
  </si>
  <si>
    <t>VALOR PARCELA</t>
  </si>
  <si>
    <t>PLANILHA PARA CÁLCULO DO PDV</t>
  </si>
  <si>
    <t>INFORME AQUI O ANO DE ADMISSÃO</t>
  </si>
  <si>
    <t>LIMITADO ENTRE 1977 E 1987</t>
  </si>
  <si>
    <t>SE O ANO DE ADMISSÃO FOR INFERIOR A 1977, MANTER 1977.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</si>
</sst>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7" x14ac:knownFonts="1">
    <font>
      <sz val="10"/>
      <name val="Arial"/>
    </font>
    <font>
      <sz val="12"/>
      <name val="Arial"/>
      <family val="2"/>
    </font>
    <font>
      <b/>
      <u/>
      <sz val="16"/>
      <name val="Arial"/>
      <family val="2"/>
    </font>
    <font>
      <u/>
      <sz val="12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4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0" xfId="0" applyFont="1" applyBorder="1" applyAlignment="1">
      <alignment vertical="center"/>
    </xf>
    <xf numFmtId="0" fontId="6" fillId="0" borderId="0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3" fontId="1" fillId="0" borderId="3" xfId="0" applyNumberFormat="1" applyFont="1" applyBorder="1" applyAlignment="1" applyProtection="1">
      <alignment horizontal="center"/>
      <protection hidden="1"/>
    </xf>
    <xf numFmtId="3" fontId="1" fillId="0" borderId="5" xfId="0" applyNumberFormat="1" applyFont="1" applyBorder="1" applyAlignment="1" applyProtection="1">
      <alignment horizontal="center"/>
      <protection hidden="1"/>
    </xf>
    <xf numFmtId="1" fontId="1" fillId="0" borderId="3" xfId="0" applyNumberFormat="1" applyFont="1" applyBorder="1" applyAlignment="1" applyProtection="1">
      <alignment horizontal="center"/>
      <protection hidden="1"/>
    </xf>
    <xf numFmtId="1" fontId="1" fillId="0" borderId="5" xfId="0" applyNumberFormat="1" applyFont="1" applyBorder="1" applyAlignment="1" applyProtection="1">
      <alignment horizontal="center"/>
      <protection hidden="1"/>
    </xf>
    <xf numFmtId="164" fontId="1" fillId="0" borderId="3" xfId="0" applyNumberFormat="1" applyFont="1" applyBorder="1" applyAlignment="1" applyProtection="1">
      <alignment horizontal="center"/>
      <protection hidden="1"/>
    </xf>
    <xf numFmtId="164" fontId="1" fillId="0" borderId="5" xfId="0" applyNumberFormat="1" applyFont="1" applyBorder="1" applyAlignment="1" applyProtection="1">
      <alignment horizontal="center"/>
      <protection hidden="1"/>
    </xf>
    <xf numFmtId="4" fontId="3" fillId="0" borderId="1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1" fillId="2" borderId="9" xfId="0" applyNumberFormat="1" applyFont="1" applyFill="1" applyBorder="1" applyAlignment="1" applyProtection="1">
      <alignment horizontal="center" vertical="center"/>
      <protection locked="0"/>
    </xf>
    <xf numFmtId="164" fontId="1" fillId="2" borderId="10" xfId="0" applyNumberFormat="1" applyFont="1" applyFill="1" applyBorder="1" applyAlignment="1" applyProtection="1">
      <alignment horizontal="center" vertical="center"/>
      <protection locked="0"/>
    </xf>
    <xf numFmtId="3" fontId="1" fillId="2" borderId="9" xfId="0" applyNumberFormat="1" applyFont="1" applyFill="1" applyBorder="1" applyAlignment="1" applyProtection="1">
      <alignment horizontal="center" vertical="center"/>
      <protection locked="0"/>
    </xf>
    <xf numFmtId="3" fontId="1" fillId="2" borderId="1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 xr3:uid="{AEA406A1-0E4B-5B11-9CD5-51D6E497D94C}">
      <selection activeCell="N13" sqref="N13"/>
    </sheetView>
  </sheetViews>
  <sheetFormatPr defaultColWidth="9.16796875" defaultRowHeight="14.25" x14ac:dyDescent="0.15"/>
  <cols>
    <col min="1" max="9" width="9.16796875" style="1"/>
    <col min="10" max="10" width="9.9765625" style="1" customWidth="1"/>
    <col min="11" max="11" width="10.3828125" style="1" customWidth="1"/>
    <col min="12" max="16384" width="9.16796875" style="1"/>
  </cols>
  <sheetData>
    <row r="1" spans="1:12" ht="20.25" x14ac:dyDescent="0.25">
      <c r="A1" s="26" t="s">
        <v>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</row>
    <row r="2" spans="1:12" x14ac:dyDescent="0.1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ht="15" thickBot="1" x14ac:dyDescent="0.2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ht="21.75" customHeight="1" thickBot="1" x14ac:dyDescent="0.2">
      <c r="A4" s="8" t="s">
        <v>0</v>
      </c>
      <c r="B4" s="9"/>
      <c r="C4" s="9"/>
      <c r="D4" s="9"/>
      <c r="E4" s="9"/>
      <c r="F4" s="9"/>
      <c r="G4" s="9"/>
      <c r="H4" s="29">
        <v>3881</v>
      </c>
      <c r="I4" s="30"/>
      <c r="J4" s="3"/>
      <c r="K4" s="3"/>
      <c r="L4" s="4"/>
    </row>
    <row r="5" spans="1:12" x14ac:dyDescent="0.15">
      <c r="A5" s="8"/>
      <c r="B5" s="9"/>
      <c r="C5" s="9"/>
      <c r="D5" s="9"/>
      <c r="E5" s="9"/>
      <c r="F5" s="9"/>
      <c r="G5" s="9"/>
      <c r="H5" s="9"/>
      <c r="I5" s="9"/>
      <c r="J5" s="3"/>
      <c r="K5" s="3"/>
      <c r="L5" s="4"/>
    </row>
    <row r="6" spans="1:12" ht="15" thickBot="1" x14ac:dyDescent="0.2">
      <c r="A6" s="8"/>
      <c r="B6" s="9"/>
      <c r="C6" s="9"/>
      <c r="D6" s="9"/>
      <c r="E6" s="9"/>
      <c r="F6" s="9"/>
      <c r="G6" s="9"/>
      <c r="H6" s="9"/>
      <c r="I6" s="9"/>
      <c r="J6" s="3"/>
      <c r="K6" s="3"/>
      <c r="L6" s="4"/>
    </row>
    <row r="7" spans="1:12" ht="24" customHeight="1" thickBot="1" x14ac:dyDescent="0.2">
      <c r="A7" s="8" t="s">
        <v>6</v>
      </c>
      <c r="B7" s="9"/>
      <c r="C7" s="9"/>
      <c r="D7" s="9"/>
      <c r="E7" s="9"/>
      <c r="F7" s="31">
        <v>1977</v>
      </c>
      <c r="G7" s="32"/>
      <c r="H7" s="13" t="s">
        <v>7</v>
      </c>
      <c r="I7" s="9"/>
      <c r="J7" s="3"/>
      <c r="K7" s="3"/>
      <c r="L7" s="4"/>
    </row>
    <row r="8" spans="1:12" x14ac:dyDescent="0.15">
      <c r="A8" s="2"/>
      <c r="B8" s="3"/>
      <c r="C8" s="3"/>
      <c r="D8" s="3"/>
      <c r="E8" s="3"/>
      <c r="F8" s="3"/>
      <c r="G8" s="3"/>
      <c r="H8" s="14" t="s">
        <v>8</v>
      </c>
      <c r="I8" s="3"/>
      <c r="J8" s="3"/>
      <c r="K8" s="3"/>
      <c r="L8" s="4"/>
    </row>
    <row r="9" spans="1:12" ht="15" thickBot="1" x14ac:dyDescent="0.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 x14ac:dyDescent="0.15">
      <c r="A10" s="15" t="s">
        <v>1</v>
      </c>
      <c r="B10" s="16"/>
      <c r="C10" s="3"/>
      <c r="D10" s="15" t="s">
        <v>2</v>
      </c>
      <c r="E10" s="16"/>
      <c r="F10" s="3"/>
      <c r="G10" s="15" t="s">
        <v>3</v>
      </c>
      <c r="H10" s="16"/>
      <c r="I10" s="3"/>
      <c r="J10" s="15" t="s">
        <v>4</v>
      </c>
      <c r="K10" s="16"/>
      <c r="L10" s="4"/>
    </row>
    <row r="11" spans="1:12" ht="15" thickBot="1" x14ac:dyDescent="0.2">
      <c r="A11" s="17">
        <v>2012</v>
      </c>
      <c r="B11" s="18"/>
      <c r="C11" s="3"/>
      <c r="D11" s="19">
        <f>A11-F7</f>
        <v>35</v>
      </c>
      <c r="E11" s="20"/>
      <c r="F11" s="3"/>
      <c r="G11" s="21">
        <f>(H4*D11)*80%</f>
        <v>108668</v>
      </c>
      <c r="H11" s="22"/>
      <c r="I11" s="3"/>
      <c r="J11" s="21">
        <f>IF(H4&lt;=3000,G11,IF((H4&gt;6000),G11/4,IF((H4&gt;3000),G11/2)))</f>
        <v>54334</v>
      </c>
      <c r="K11" s="22"/>
      <c r="L11" s="4"/>
    </row>
    <row r="12" spans="1:12" x14ac:dyDescent="0.1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 x14ac:dyDescent="0.1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 x14ac:dyDescent="0.15">
      <c r="A14" s="23" t="str">
        <f>CONCATENATE("VOCÊ IRÁ RECEBER ",IF(H4&lt;=3000,1,IF((H4&gt;6000),4,IF((H4&gt;3000),2)))," PARCELA(S) DE R$ ",IF(H4&lt;=3000,G11,IF((H4&gt;6000),G11/4,IF((H4&gt;3000),G11/2))),"")</f>
        <v>VOCÊ IRÁ RECEBER 2 PARCELA(S) DE R$ 54334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x14ac:dyDescent="0.1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 ht="15" thickBot="1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</row>
  </sheetData>
  <sheetProtection sheet="1" objects="1" scenarios="1"/>
  <mergeCells count="12">
    <mergeCell ref="A14:L14"/>
    <mergeCell ref="A1:L1"/>
    <mergeCell ref="J10:K10"/>
    <mergeCell ref="J11:K11"/>
    <mergeCell ref="H4:I4"/>
    <mergeCell ref="F7:G7"/>
    <mergeCell ref="A10:B10"/>
    <mergeCell ref="A11:B11"/>
    <mergeCell ref="D10:E10"/>
    <mergeCell ref="D11:E11"/>
    <mergeCell ref="G10:H10"/>
    <mergeCell ref="G11:H11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J39"/>
  <sheetViews>
    <sheetView topLeftCell="A13" workbookViewId="0" xr3:uid="{958C4451-9541-5A59-BF78-D2F731DF1C81}">
      <selection activeCell="J39" sqref="J39"/>
    </sheetView>
  </sheetViews>
  <sheetFormatPr defaultRowHeight="12.75" x14ac:dyDescent="0.15"/>
  <cols>
    <col min="4" max="4" width="10.11328125" bestFit="1" customWidth="1"/>
  </cols>
  <sheetData>
    <row r="3" spans="9:10" x14ac:dyDescent="0.15">
      <c r="I3">
        <v>1977</v>
      </c>
      <c r="J3">
        <v>365</v>
      </c>
    </row>
    <row r="4" spans="9:10" x14ac:dyDescent="0.15">
      <c r="I4">
        <v>1978</v>
      </c>
      <c r="J4">
        <v>365</v>
      </c>
    </row>
    <row r="5" spans="9:10" x14ac:dyDescent="0.15">
      <c r="I5">
        <v>1979</v>
      </c>
      <c r="J5">
        <v>365</v>
      </c>
    </row>
    <row r="6" spans="9:10" x14ac:dyDescent="0.15">
      <c r="I6" s="12">
        <v>1980</v>
      </c>
      <c r="J6">
        <v>366</v>
      </c>
    </row>
    <row r="7" spans="9:10" x14ac:dyDescent="0.15">
      <c r="I7">
        <v>1981</v>
      </c>
      <c r="J7">
        <v>365</v>
      </c>
    </row>
    <row r="8" spans="9:10" x14ac:dyDescent="0.15">
      <c r="I8">
        <v>1982</v>
      </c>
      <c r="J8">
        <v>365</v>
      </c>
    </row>
    <row r="9" spans="9:10" x14ac:dyDescent="0.15">
      <c r="I9">
        <v>1983</v>
      </c>
      <c r="J9">
        <v>365</v>
      </c>
    </row>
    <row r="10" spans="9:10" x14ac:dyDescent="0.15">
      <c r="I10" s="12">
        <v>1984</v>
      </c>
      <c r="J10">
        <v>366</v>
      </c>
    </row>
    <row r="11" spans="9:10" x14ac:dyDescent="0.15">
      <c r="I11">
        <v>1985</v>
      </c>
      <c r="J11">
        <v>365</v>
      </c>
    </row>
    <row r="12" spans="9:10" x14ac:dyDescent="0.15">
      <c r="I12">
        <v>1986</v>
      </c>
      <c r="J12">
        <v>365</v>
      </c>
    </row>
    <row r="13" spans="9:10" x14ac:dyDescent="0.15">
      <c r="I13">
        <v>1987</v>
      </c>
      <c r="J13">
        <v>365</v>
      </c>
    </row>
    <row r="14" spans="9:10" x14ac:dyDescent="0.15">
      <c r="I14" s="12">
        <v>1988</v>
      </c>
      <c r="J14">
        <v>366</v>
      </c>
    </row>
    <row r="15" spans="9:10" x14ac:dyDescent="0.15">
      <c r="I15">
        <v>1989</v>
      </c>
      <c r="J15">
        <v>365</v>
      </c>
    </row>
    <row r="16" spans="9:10" x14ac:dyDescent="0.15">
      <c r="I16">
        <v>1990</v>
      </c>
      <c r="J16">
        <v>365</v>
      </c>
    </row>
    <row r="17" spans="4:10" x14ac:dyDescent="0.15">
      <c r="I17">
        <v>1991</v>
      </c>
      <c r="J17">
        <v>365</v>
      </c>
    </row>
    <row r="18" spans="4:10" x14ac:dyDescent="0.15">
      <c r="I18" s="12">
        <v>1992</v>
      </c>
      <c r="J18">
        <v>366</v>
      </c>
    </row>
    <row r="19" spans="4:10" x14ac:dyDescent="0.15">
      <c r="D19" s="10">
        <v>28126</v>
      </c>
      <c r="I19">
        <v>1993</v>
      </c>
      <c r="J19">
        <v>365</v>
      </c>
    </row>
    <row r="20" spans="4:10" x14ac:dyDescent="0.15">
      <c r="I20">
        <v>1994</v>
      </c>
      <c r="J20">
        <v>365</v>
      </c>
    </row>
    <row r="21" spans="4:10" x14ac:dyDescent="0.15">
      <c r="D21" s="10">
        <v>41274</v>
      </c>
      <c r="F21">
        <f>2012-1977</f>
        <v>35</v>
      </c>
      <c r="I21">
        <v>1995</v>
      </c>
      <c r="J21">
        <v>365</v>
      </c>
    </row>
    <row r="22" spans="4:10" x14ac:dyDescent="0.15">
      <c r="I22" s="12">
        <v>1996</v>
      </c>
      <c r="J22">
        <v>366</v>
      </c>
    </row>
    <row r="23" spans="4:10" x14ac:dyDescent="0.15">
      <c r="I23">
        <v>1997</v>
      </c>
      <c r="J23">
        <v>365</v>
      </c>
    </row>
    <row r="24" spans="4:10" x14ac:dyDescent="0.15">
      <c r="I24">
        <v>1998</v>
      </c>
      <c r="J24">
        <v>365</v>
      </c>
    </row>
    <row r="25" spans="4:10" x14ac:dyDescent="0.15">
      <c r="D25" s="11">
        <f>D21-D19</f>
        <v>13148</v>
      </c>
      <c r="I25">
        <v>1999</v>
      </c>
      <c r="J25">
        <v>365</v>
      </c>
    </row>
    <row r="26" spans="4:10" x14ac:dyDescent="0.15">
      <c r="I26" s="12">
        <v>2000</v>
      </c>
      <c r="J26">
        <v>366</v>
      </c>
    </row>
    <row r="27" spans="4:10" x14ac:dyDescent="0.15">
      <c r="I27">
        <v>2001</v>
      </c>
      <c r="J27">
        <v>365</v>
      </c>
    </row>
    <row r="28" spans="4:10" x14ac:dyDescent="0.15">
      <c r="I28">
        <v>2002</v>
      </c>
      <c r="J28">
        <v>365</v>
      </c>
    </row>
    <row r="29" spans="4:10" x14ac:dyDescent="0.15">
      <c r="I29">
        <v>2003</v>
      </c>
      <c r="J29">
        <v>365</v>
      </c>
    </row>
    <row r="30" spans="4:10" x14ac:dyDescent="0.15">
      <c r="I30" s="12">
        <v>2004</v>
      </c>
      <c r="J30">
        <v>366</v>
      </c>
    </row>
    <row r="31" spans="4:10" x14ac:dyDescent="0.15">
      <c r="I31">
        <v>2005</v>
      </c>
      <c r="J31">
        <v>365</v>
      </c>
    </row>
    <row r="32" spans="4:10" x14ac:dyDescent="0.15">
      <c r="I32">
        <v>2006</v>
      </c>
      <c r="J32">
        <v>365</v>
      </c>
    </row>
    <row r="33" spans="9:10" x14ac:dyDescent="0.15">
      <c r="I33">
        <v>2007</v>
      </c>
      <c r="J33">
        <v>365</v>
      </c>
    </row>
    <row r="34" spans="9:10" x14ac:dyDescent="0.15">
      <c r="I34" s="12">
        <v>2008</v>
      </c>
      <c r="J34">
        <v>366</v>
      </c>
    </row>
    <row r="35" spans="9:10" x14ac:dyDescent="0.15">
      <c r="I35">
        <v>2009</v>
      </c>
      <c r="J35">
        <v>365</v>
      </c>
    </row>
    <row r="36" spans="9:10" x14ac:dyDescent="0.15">
      <c r="I36">
        <v>2010</v>
      </c>
      <c r="J36">
        <v>365</v>
      </c>
    </row>
    <row r="37" spans="9:10" x14ac:dyDescent="0.15">
      <c r="I37">
        <v>2011</v>
      </c>
      <c r="J37">
        <v>365</v>
      </c>
    </row>
    <row r="38" spans="9:10" x14ac:dyDescent="0.15">
      <c r="I38" s="12">
        <v>2012</v>
      </c>
      <c r="J38">
        <v>366</v>
      </c>
    </row>
    <row r="39" spans="9:10" x14ac:dyDescent="0.15">
      <c r="J39" s="11">
        <f>AVERAGE(J3:J38)</f>
        <v>365.25</v>
      </c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2.75" x14ac:dyDescent="0.15"/>
  <sheetData/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codapar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</dc:creator>
  <cp:lastModifiedBy>X</cp:lastModifiedBy>
  <dcterms:created xsi:type="dcterms:W3CDTF">2012-07-13T18:10:46Z</dcterms:created>
  <dcterms:modified xsi:type="dcterms:W3CDTF">2018-02-12T14:34:07Z</dcterms:modified>
</cp:coreProperties>
</file>