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2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6.xml"/>
  <Override ContentType="application/vnd.openxmlformats-officedocument.drawing+xml" PartName="/xl/drawings/worksheetdrawing1.xml"/>
  <Override ContentType="application/vnd.openxmlformats-officedocument.drawing+xml" PartName="/xl/drawings/worksheetdrawing2.xml"/>
  <Override ContentType="application/vnd.openxmlformats-officedocument.drawing+xml" PartName="/xl/drawings/worksheetdrawing3.xml"/>
  <Override ContentType="application/vnd.openxmlformats-officedocument.drawing+xml" PartName="/xl/drawings/worksheetdrawing4.xml"/>
  <Override ContentType="application/vnd.openxmlformats-officedocument.drawing+xml" PartName="/xl/drawings/worksheetdrawing5.xml"/>
  <Override ContentType="application/vnd.openxmlformats-officedocument.drawing+xml" PartName="/xl/drawings/worksheetdrawing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MÉRCIO" sheetId="1" r:id="rId4"/>
    <sheet state="visible" name="INDÚSTRIA" sheetId="2" r:id="rId5"/>
    <sheet state="visible" name="SERVIÇOS ANEXO III" sheetId="3" r:id="rId6"/>
    <sheet state="visible" name="ANEXO IV" sheetId="4" r:id="rId7"/>
    <sheet state="visible" name="SERVIÇOS ANEXO V" sheetId="5" r:id="rId8"/>
    <sheet state="visible" name="SERVIÇOS ANEXO VI" sheetId="6" r:id="rId9"/>
    <sheet state="visible" name="SERVIÇOS ANEXO VI (2)" sheetId="7" r:id="rId10"/>
  </sheets>
  <definedNames/>
  <calcPr/>
</workbook>
</file>

<file path=xl/sharedStrings.xml><?xml version="1.0" encoding="utf-8"?>
<sst xmlns="http://schemas.openxmlformats.org/spreadsheetml/2006/main" count="195" uniqueCount="47">
  <si>
    <t>COMPARATIVO SIMPLES NACIONAL X LUCRO PRESUMIDO (exceto ICMS)</t>
  </si>
  <si>
    <t>ATIVIDADE COMERCIAL</t>
  </si>
  <si>
    <t>FATOR "r"</t>
  </si>
  <si>
    <t>SIMPLES NACIONAL</t>
  </si>
  <si>
    <t>FAIXA</t>
  </si>
  <si>
    <t>IRPJ</t>
  </si>
  <si>
    <t>CSLL</t>
  </si>
  <si>
    <t>COFINS</t>
  </si>
  <si>
    <t>PIS/PASEP</t>
  </si>
  <si>
    <t>CPP</t>
  </si>
  <si>
    <t>TOTAL DO SIMPLES NACIONAL (tributos federais)</t>
  </si>
  <si>
    <t>LUCRO PRESUMIDO + CPP À PARTE</t>
  </si>
  <si>
    <t>DIFERENÇA NOMINAL</t>
  </si>
  <si>
    <t>DIFERENÇA (%)</t>
  </si>
  <si>
    <t>FATOR "R"</t>
  </si>
  <si>
    <t>ESSE FATOR PODE SER MODIFICADO (REPRESENTA O % DE MÃO-DE-OBRA NA EMPRESA)</t>
  </si>
  <si>
    <t>CARGA DA CPP S/ A FP FORA DO SIMPLES NACIONAL</t>
  </si>
  <si>
    <t>TOTAL</t>
  </si>
  <si>
    <t>COMPARATIVO SIMPLES NACIONAL X LUCRO PRESUMIDO, exceto ICMS</t>
  </si>
  <si>
    <t>ATIVIDADE INDUSTRIAL</t>
  </si>
  <si>
    <t>IPI</t>
  </si>
  <si>
    <t>ALÍQUOTA MÉDIA DE IPI DA EMPRESA FORA DO SIMPLES NACIONAL</t>
  </si>
  <si>
    <t>ESSE % PODE VARIAR A DEPENDER DOS PRODUTOS</t>
  </si>
  <si>
    <t>COMPARATIVO SIMPLES NACIONAL X LUCRO PRESUMIDO</t>
  </si>
  <si>
    <t>SERVIÇOS (ANEXO III DA LC 123/2006)</t>
  </si>
  <si>
    <t>ISS FORA DO SIMPLES NACIONAL = 5%</t>
  </si>
  <si>
    <t>ISS</t>
  </si>
  <si>
    <t>TOTAL DO SIMPLES NACIONAL (tributos federais + ISS)</t>
  </si>
  <si>
    <t>ALÍQUOTA MÉDIA DE ISS FORA DO SIMPLES NACIONAL</t>
  </si>
  <si>
    <t>ESSE % VARIA DE ACORDO COM A LEGISLAÇÃO MUNICIPAL</t>
  </si>
  <si>
    <t>SERVIÇOS ANEXO IV</t>
  </si>
  <si>
    <t>FATOR "r"=</t>
  </si>
  <si>
    <t>A CPP NÃO ESTÁ INCLUÍDA NO SIMPLES NACIONAL</t>
  </si>
  <si>
    <t>CPP + GILRAT PARA A EMPRESA OPTANTE, PAGA FORA DO SIMPLES NACIONAL</t>
  </si>
  <si>
    <t>TOTAL SIMPLES NACIONAL + CPP PARA A OPTANTE</t>
  </si>
  <si>
    <t>LUCRO PRESUMIDO + (CPP + GILRAT + TERCEIROS)</t>
  </si>
  <si>
    <t>CARGA DA CPP PARA A OPTANTE</t>
  </si>
  <si>
    <t>CARGA DA CPP SOBRE A FP FORA DO SIMPLES NACIONAL</t>
  </si>
  <si>
    <t>LUCRO PRESUMIDO + CPP REMANESCENTE À PARTE</t>
  </si>
  <si>
    <t>SERVIÇOS  DO ANEXO V DA LC 123/2006</t>
  </si>
  <si>
    <t>IRPJ, CSLL, COFINS, PIS/PASEP E CPP</t>
  </si>
  <si>
    <t>TOTAL DO SIMPLES NACIONAL</t>
  </si>
  <si>
    <t>INSERIR O % MAIS APROXIMADO DA MÃO-DE-OBRA DA EMPRESA, CONSIDERADO COM RELAÇÃO À RECEITA BRUTA</t>
  </si>
  <si>
    <t>CARGA S/ A FP (FORA DO SIMPLES NACIONAL)</t>
  </si>
  <si>
    <t>SERVIÇOS  DO ANEXO VI DA LC 123/2006</t>
  </si>
  <si>
    <t>FATOR "R"=</t>
  </si>
  <si>
    <r>
      <t xml:space="preserve">ISS FORA DO SIMPLES NACIONAL = </t>
    </r>
    <r>
      <rPr>
        <rFont val="Arial"/>
        <b/>
        <color rgb="FFFF0000"/>
        <sz val="14.0"/>
      </rPr>
      <t>1%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</si>
</sst>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0.000%"/>
  </numFmts>
  <fonts count="26">
    <font>
      <sz val="10.0"/>
      <color rgb="FF000000"/>
      <name val="Arial"/>
    </font>
    <font>
      <b/>
      <sz val="14.0"/>
      <name val="Arial"/>
    </font>
    <font/>
    <font>
      <b/>
      <sz val="12.0"/>
      <name val="Arial"/>
    </font>
    <font>
      <b/>
      <sz val="16.0"/>
      <name val="Arial"/>
    </font>
    <font>
      <b/>
      <sz val="11.0"/>
      <color rgb="FF000000"/>
      <name val="Verdana"/>
    </font>
    <font>
      <sz val="12.0"/>
      <name val="Arial"/>
    </font>
    <font>
      <b/>
      <sz val="12.0"/>
      <color rgb="FF000000"/>
      <name val="Verdana"/>
    </font>
    <font>
      <sz val="12.0"/>
      <color rgb="FF000000"/>
      <name val="Verdana"/>
    </font>
    <font>
      <b/>
      <sz val="12.0"/>
      <color rgb="FF008000"/>
      <name val="Verdana"/>
    </font>
    <font>
      <sz val="9.0"/>
      <color rgb="FF000000"/>
      <name val="Verdana"/>
    </font>
    <font>
      <b/>
      <sz val="9.0"/>
      <color rgb="FF000000"/>
      <name val="Verdana"/>
    </font>
    <font>
      <b/>
      <sz val="9.0"/>
      <color rgb="FF008000"/>
      <name val="Verdana"/>
    </font>
    <font>
      <sz val="14.0"/>
      <color rgb="FF000000"/>
      <name val="Verdana"/>
    </font>
    <font>
      <sz val="10.0"/>
      <name val="Arial"/>
    </font>
    <font>
      <b/>
      <sz val="10.0"/>
      <name val="Arial"/>
    </font>
    <font>
      <b/>
      <sz val="11.0"/>
      <name val="Arial"/>
    </font>
    <font>
      <sz val="11.0"/>
      <name val="Arial"/>
    </font>
    <font>
      <sz val="14.0"/>
      <name val="Arial"/>
    </font>
    <font>
      <b/>
      <sz val="16.0"/>
      <color rgb="FF000000"/>
      <name val="Verdana"/>
    </font>
    <font>
      <sz val="16.0"/>
      <color rgb="FF000000"/>
      <name val="Verdana"/>
    </font>
    <font>
      <sz val="16.0"/>
      <name val="Arial"/>
    </font>
    <font>
      <b/>
      <sz val="16.0"/>
      <color rgb="FF008000"/>
      <name val="Verdana"/>
    </font>
    <font>
      <b/>
      <sz val="14.0"/>
      <color rgb="FF008000"/>
      <name val="Verdana"/>
    </font>
    <font>
      <b/>
      <sz val="14.0"/>
      <color rgb="FF000000"/>
      <name val="Verdana"/>
    </font>
    <font>
      <b/>
      <sz val="14.0"/>
      <color rgb="FF00008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8" fillId="2" fontId="4" numFmtId="10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9" fillId="0" fontId="5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left" shrinkToFit="0" vertical="top" wrapText="1"/>
    </xf>
    <xf borderId="12" fillId="2" fontId="6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horizontal="left" shrinkToFit="0" vertical="top" wrapText="1"/>
    </xf>
    <xf borderId="14" fillId="0" fontId="2" numFmtId="0" xfId="0" applyBorder="1" applyFont="1"/>
    <xf borderId="15" fillId="0" fontId="7" numFmtId="0" xfId="0" applyAlignment="1" applyBorder="1" applyFont="1">
      <alignment horizontal="center" shrinkToFit="0" vertical="bottom" wrapText="1"/>
    </xf>
    <xf borderId="15" fillId="0" fontId="8" numFmtId="0" xfId="0" applyAlignment="1" applyBorder="1" applyFont="1">
      <alignment horizontal="center" shrinkToFit="0" vertical="bottom" wrapText="1"/>
    </xf>
    <xf borderId="16" fillId="0" fontId="8" numFmtId="164" xfId="0" applyAlignment="1" applyBorder="1" applyFont="1" applyNumberFormat="1">
      <alignment horizontal="center" shrinkToFit="0" vertical="bottom" wrapText="1"/>
    </xf>
    <xf borderId="17" fillId="0" fontId="7" numFmtId="164" xfId="0" applyAlignment="1" applyBorder="1" applyFont="1" applyNumberFormat="1">
      <alignment horizontal="center" shrinkToFit="0" vertical="bottom" wrapText="1"/>
    </xf>
    <xf borderId="15" fillId="0" fontId="9" numFmtId="164" xfId="0" applyAlignment="1" applyBorder="1" applyFont="1" applyNumberFormat="1">
      <alignment horizontal="center" shrinkToFit="0" vertical="bottom" wrapText="1"/>
    </xf>
    <xf borderId="16" fillId="0" fontId="6" numFmtId="10" xfId="0" applyAlignment="1" applyBorder="1" applyFont="1" applyNumberFormat="1">
      <alignment shrinkToFit="0" vertical="bottom" wrapText="0"/>
    </xf>
    <xf borderId="18" fillId="0" fontId="2" numFmtId="0" xfId="0" applyBorder="1" applyFont="1"/>
    <xf borderId="19" fillId="0" fontId="7" numFmtId="0" xfId="0" applyAlignment="1" applyBorder="1" applyFont="1">
      <alignment horizontal="center" shrinkToFit="0" vertical="bottom" wrapText="1"/>
    </xf>
    <xf borderId="19" fillId="0" fontId="8" numFmtId="0" xfId="0" applyAlignment="1" applyBorder="1" applyFont="1">
      <alignment horizontal="center" shrinkToFit="0" vertical="bottom" wrapText="1"/>
    </xf>
    <xf borderId="20" fillId="0" fontId="8" numFmtId="164" xfId="0" applyAlignment="1" applyBorder="1" applyFont="1" applyNumberFormat="1">
      <alignment horizontal="center" shrinkToFit="0" vertical="bottom" wrapText="1"/>
    </xf>
    <xf borderId="21" fillId="0" fontId="7" numFmtId="164" xfId="0" applyAlignment="1" applyBorder="1" applyFont="1" applyNumberFormat="1">
      <alignment horizontal="center" shrinkToFit="0" vertical="bottom" wrapText="1"/>
    </xf>
    <xf borderId="19" fillId="0" fontId="9" numFmtId="164" xfId="0" applyAlignment="1" applyBorder="1" applyFont="1" applyNumberFormat="1">
      <alignment horizontal="center" shrinkToFit="0" vertical="bottom" wrapText="1"/>
    </xf>
    <xf borderId="20" fillId="0" fontId="6" numFmtId="10" xfId="0" applyAlignment="1" applyBorder="1" applyFont="1" applyNumberFormat="1">
      <alignment shrinkToFit="0" vertical="bottom" wrapText="0"/>
    </xf>
    <xf borderId="0" fillId="0" fontId="10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shrinkToFit="0" vertical="bottom" wrapText="1"/>
    </xf>
    <xf borderId="22" fillId="2" fontId="13" numFmtId="10" xfId="0" applyAlignment="1" applyBorder="1" applyFont="1" applyNumberFormat="1">
      <alignment horizontal="center" shrinkToFit="0" vertical="bottom" wrapText="1"/>
    </xf>
    <xf borderId="12" fillId="2" fontId="14" numFmtId="0" xfId="0" applyAlignment="1" applyBorder="1" applyFont="1">
      <alignment shrinkToFit="0" vertical="bottom" wrapText="0"/>
    </xf>
    <xf borderId="12" fillId="2" fontId="10" numFmtId="10" xfId="0" applyAlignment="1" applyBorder="1" applyFont="1" applyNumberFormat="1">
      <alignment horizontal="center" shrinkToFit="0" vertical="bottom" wrapText="1"/>
    </xf>
    <xf borderId="0" fillId="0" fontId="10" numFmtId="10" xfId="0" applyAlignment="1" applyFont="1" applyNumberForma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23" fillId="0" fontId="9" numFmtId="0" xfId="0" applyAlignment="1" applyBorder="1" applyFont="1">
      <alignment horizontal="center" shrinkToFit="0" vertical="center" wrapText="1"/>
    </xf>
    <xf borderId="15" fillId="0" fontId="15" numFmtId="0" xfId="0" applyAlignment="1" applyBorder="1" applyFont="1">
      <alignment horizontal="left" shrinkToFit="0" vertical="top" wrapText="1"/>
    </xf>
    <xf borderId="24" fillId="0" fontId="2" numFmtId="0" xfId="0" applyBorder="1" applyFont="1"/>
    <xf borderId="15" fillId="0" fontId="5" numFmtId="0" xfId="0" applyAlignment="1" applyBorder="1" applyFont="1">
      <alignment horizontal="center" shrinkToFit="0" vertical="bottom" wrapText="1"/>
    </xf>
    <xf borderId="15" fillId="0" fontId="14" numFmtId="164" xfId="0" applyAlignment="1" applyBorder="1" applyFont="1" applyNumberFormat="1">
      <alignment shrinkToFit="0" vertical="bottom" wrapText="0"/>
    </xf>
    <xf borderId="15" fillId="0" fontId="10" numFmtId="0" xfId="0" applyAlignment="1" applyBorder="1" applyFont="1">
      <alignment horizontal="center" shrinkToFit="0" vertical="bottom" wrapText="1"/>
    </xf>
    <xf borderId="15" fillId="0" fontId="11" numFmtId="164" xfId="0" applyAlignment="1" applyBorder="1" applyFont="1" applyNumberFormat="1">
      <alignment horizontal="center" shrinkToFit="0" vertical="bottom" wrapText="1"/>
    </xf>
    <xf borderId="25" fillId="0" fontId="2" numFmtId="0" xfId="0" applyBorder="1" applyFont="1"/>
    <xf borderId="26" fillId="0" fontId="4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8" fillId="0" fontId="2" numFmtId="0" xfId="0" applyBorder="1" applyFont="1"/>
    <xf borderId="29" fillId="0" fontId="3" numFmtId="0" xfId="0" applyAlignment="1" applyBorder="1" applyFont="1">
      <alignment horizontal="left" shrinkToFit="0" vertical="top" wrapText="1"/>
    </xf>
    <xf borderId="30" fillId="2" fontId="4" numFmtId="10" xfId="0" applyAlignment="1" applyBorder="1" applyFont="1" applyNumberFormat="1">
      <alignment horizontal="center" shrinkToFit="0" vertical="top" wrapText="1"/>
    </xf>
    <xf borderId="10" fillId="0" fontId="16" numFmtId="0" xfId="0" applyAlignment="1" applyBorder="1" applyFont="1">
      <alignment horizontal="left" shrinkToFit="0" vertical="top" wrapText="1"/>
    </xf>
    <xf borderId="11" fillId="0" fontId="16" numFmtId="0" xfId="0" applyAlignment="1" applyBorder="1" applyFont="1">
      <alignment horizontal="left" shrinkToFit="0" vertical="top" wrapText="1"/>
    </xf>
    <xf borderId="12" fillId="2" fontId="17" numFmtId="0" xfId="0" applyAlignment="1" applyBorder="1" applyFont="1">
      <alignment shrinkToFit="0" vertical="bottom" wrapText="0"/>
    </xf>
    <xf borderId="13" fillId="0" fontId="16" numFmtId="0" xfId="0" applyAlignment="1" applyBorder="1" applyFont="1">
      <alignment horizontal="left" shrinkToFit="0" vertical="top" wrapText="1"/>
    </xf>
    <xf borderId="16" fillId="0" fontId="8" numFmtId="0" xfId="0" applyAlignment="1" applyBorder="1" applyFont="1">
      <alignment horizontal="center" shrinkToFit="0" vertical="bottom" wrapText="1"/>
    </xf>
    <xf borderId="20" fillId="0" fontId="8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0"/>
    </xf>
    <xf borderId="31" fillId="0" fontId="3" numFmtId="0" xfId="0" applyAlignment="1" applyBorder="1" applyFont="1">
      <alignment horizontal="center" shrinkToFit="0" vertical="center" wrapText="1"/>
    </xf>
    <xf borderId="31" fillId="0" fontId="9" numFmtId="0" xfId="0" applyAlignment="1" applyBorder="1" applyFont="1">
      <alignment horizontal="center" shrinkToFit="0" vertical="center" wrapText="1"/>
    </xf>
    <xf borderId="32" fillId="2" fontId="9" numFmtId="165" xfId="0" applyAlignment="1" applyBorder="1" applyFont="1" applyNumberFormat="1">
      <alignment horizontal="center" shrinkToFit="0" vertical="center" wrapText="1"/>
    </xf>
    <xf borderId="10" fillId="0" fontId="1" numFmtId="0" xfId="0" applyAlignment="1" applyBorder="1" applyFont="1">
      <alignment horizontal="left" shrinkToFit="0" vertical="top" wrapText="1"/>
    </xf>
    <xf borderId="12" fillId="2" fontId="18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horizontal="left" shrinkToFit="0" vertical="top" wrapText="1"/>
    </xf>
    <xf borderId="11" fillId="0" fontId="1" numFmtId="0" xfId="0" applyAlignment="1" applyBorder="1" applyFont="1">
      <alignment horizontal="left" shrinkToFit="0" vertical="top" wrapText="1"/>
    </xf>
    <xf borderId="16" fillId="0" fontId="8" numFmtId="164" xfId="0" applyAlignment="1" applyBorder="1" applyFont="1" applyNumberFormat="1">
      <alignment shrinkToFit="0" vertical="bottom" wrapText="1"/>
    </xf>
    <xf borderId="20" fillId="0" fontId="8" numFmtId="164" xfId="0" applyAlignment="1" applyBorder="1" applyFont="1" applyNumberFormat="1">
      <alignment shrinkToFit="0" vertical="bottom" wrapText="1"/>
    </xf>
    <xf borderId="22" fillId="2" fontId="13" numFmtId="165" xfId="0" applyAlignment="1" applyBorder="1" applyFont="1" applyNumberFormat="1">
      <alignment horizontal="center" shrinkToFit="0" vertical="bottom" wrapText="1"/>
    </xf>
    <xf borderId="15" fillId="0" fontId="10" numFmtId="164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33" fillId="0" fontId="9" numFmtId="0" xfId="0" applyAlignment="1" applyBorder="1" applyFont="1">
      <alignment horizontal="center" shrinkToFit="0" vertical="center" wrapText="1"/>
    </xf>
    <xf borderId="33" fillId="2" fontId="19" numFmtId="165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5" fillId="0" fontId="19" numFmtId="0" xfId="0" applyAlignment="1" applyBorder="1" applyFont="1">
      <alignment horizontal="center" shrinkToFit="0" vertical="bottom" wrapText="1"/>
    </xf>
    <xf borderId="15" fillId="0" fontId="20" numFmtId="164" xfId="0" applyAlignment="1" applyBorder="1" applyFont="1" applyNumberFormat="1">
      <alignment horizontal="center" shrinkToFit="0" vertical="bottom" wrapText="1"/>
    </xf>
    <xf borderId="16" fillId="0" fontId="20" numFmtId="164" xfId="0" applyAlignment="1" applyBorder="1" applyFont="1" applyNumberFormat="1">
      <alignment horizontal="center" shrinkToFit="0" vertical="bottom" wrapText="1"/>
    </xf>
    <xf borderId="12" fillId="2" fontId="21" numFmtId="0" xfId="0" applyAlignment="1" applyBorder="1" applyFont="1">
      <alignment shrinkToFit="0" vertical="bottom" wrapText="0"/>
    </xf>
    <xf borderId="17" fillId="0" fontId="19" numFmtId="164" xfId="0" applyAlignment="1" applyBorder="1" applyFont="1" applyNumberFormat="1">
      <alignment horizontal="center" shrinkToFit="0" vertical="bottom" wrapText="1"/>
    </xf>
    <xf borderId="15" fillId="0" fontId="22" numFmtId="164" xfId="0" applyAlignment="1" applyBorder="1" applyFont="1" applyNumberFormat="1">
      <alignment horizontal="center" shrinkToFit="0" vertical="bottom" wrapText="1"/>
    </xf>
    <xf borderId="16" fillId="0" fontId="21" numFmtId="10" xfId="0" applyAlignment="1" applyBorder="1" applyFont="1" applyNumberFormat="1">
      <alignment shrinkToFit="0" vertical="bottom" wrapText="0"/>
    </xf>
    <xf borderId="19" fillId="0" fontId="19" numFmtId="0" xfId="0" applyAlignment="1" applyBorder="1" applyFont="1">
      <alignment horizontal="center" shrinkToFit="0" vertical="bottom" wrapText="1"/>
    </xf>
    <xf borderId="19" fillId="0" fontId="20" numFmtId="164" xfId="0" applyAlignment="1" applyBorder="1" applyFont="1" applyNumberFormat="1">
      <alignment horizontal="center" shrinkToFit="0" vertical="bottom" wrapText="1"/>
    </xf>
    <xf borderId="20" fillId="0" fontId="20" numFmtId="164" xfId="0" applyAlignment="1" applyBorder="1" applyFont="1" applyNumberFormat="1">
      <alignment horizontal="center" shrinkToFit="0" vertical="bottom" wrapText="1"/>
    </xf>
    <xf borderId="21" fillId="0" fontId="19" numFmtId="164" xfId="0" applyAlignment="1" applyBorder="1" applyFont="1" applyNumberFormat="1">
      <alignment horizontal="center" shrinkToFit="0" vertical="bottom" wrapText="1"/>
    </xf>
    <xf borderId="19" fillId="0" fontId="22" numFmtId="164" xfId="0" applyAlignment="1" applyBorder="1" applyFont="1" applyNumberFormat="1">
      <alignment horizontal="center" shrinkToFit="0" vertical="bottom" wrapText="1"/>
    </xf>
    <xf borderId="20" fillId="0" fontId="21" numFmtId="10" xfId="0" applyAlignment="1" applyBorder="1" applyFont="1" applyNumberFormat="1">
      <alignment shrinkToFit="0" vertical="bottom" wrapText="0"/>
    </xf>
    <xf borderId="33" fillId="2" fontId="13" numFmtId="165" xfId="0" applyAlignment="1" applyBorder="1" applyFont="1" applyNumberFormat="1">
      <alignment horizontal="center" shrinkToFit="0" vertical="bottom" wrapText="1"/>
    </xf>
    <xf borderId="33" fillId="2" fontId="13" numFmtId="10" xfId="0" applyAlignment="1" applyBorder="1" applyFont="1" applyNumberFormat="1">
      <alignment horizontal="center" shrinkToFit="0" vertical="bottom" wrapText="1"/>
    </xf>
    <xf borderId="31" fillId="0" fontId="1" numFmtId="0" xfId="0" applyAlignment="1" applyBorder="1" applyFont="1">
      <alignment horizontal="center" shrinkToFit="0" vertical="center" wrapText="1"/>
    </xf>
    <xf borderId="31" fillId="0" fontId="23" numFmtId="0" xfId="0" applyAlignment="1" applyBorder="1" applyFont="1">
      <alignment horizontal="center" shrinkToFit="0" vertical="center" wrapText="1"/>
    </xf>
    <xf borderId="32" fillId="2" fontId="13" numFmtId="164" xfId="0" applyAlignment="1" applyBorder="1" applyFont="1" applyNumberForma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top" wrapText="1"/>
    </xf>
    <xf borderId="15" fillId="0" fontId="24" numFmtId="0" xfId="0" applyAlignment="1" applyBorder="1" applyFont="1">
      <alignment horizontal="center" shrinkToFit="0" vertical="bottom" wrapText="1"/>
    </xf>
    <xf borderId="15" fillId="0" fontId="13" numFmtId="164" xfId="0" applyAlignment="1" applyBorder="1" applyFont="1" applyNumberFormat="1">
      <alignment horizontal="left" shrinkToFit="0" vertical="bottom" wrapText="1"/>
    </xf>
    <xf borderId="15" fillId="0" fontId="13" numFmtId="164" xfId="0" applyAlignment="1" applyBorder="1" applyFont="1" applyNumberFormat="1">
      <alignment horizontal="center" shrinkToFit="0" vertical="bottom" wrapText="1"/>
    </xf>
    <xf borderId="16" fillId="0" fontId="13" numFmtId="164" xfId="0" applyAlignment="1" applyBorder="1" applyFont="1" applyNumberFormat="1">
      <alignment horizontal="center" shrinkToFit="0" vertical="bottom" wrapText="1"/>
    </xf>
    <xf borderId="17" fillId="0" fontId="24" numFmtId="164" xfId="0" applyAlignment="1" applyBorder="1" applyFont="1" applyNumberFormat="1">
      <alignment horizontal="center" shrinkToFit="0" vertical="bottom" wrapText="1"/>
    </xf>
    <xf borderId="15" fillId="0" fontId="23" numFmtId="164" xfId="0" applyAlignment="1" applyBorder="1" applyFont="1" applyNumberFormat="1">
      <alignment horizontal="center" shrinkToFit="0" vertical="bottom" wrapText="1"/>
    </xf>
    <xf borderId="16" fillId="0" fontId="18" numFmtId="10" xfId="0" applyAlignment="1" applyBorder="1" applyFont="1" applyNumberFormat="1">
      <alignment shrinkToFit="0" vertical="bottom" wrapText="0"/>
    </xf>
    <xf borderId="0" fillId="0" fontId="25" numFmtId="0" xfId="0" applyAlignment="1" applyFont="1">
      <alignment shrinkToFit="0" vertical="bottom" wrapText="0"/>
    </xf>
    <xf borderId="19" fillId="0" fontId="24" numFmtId="0" xfId="0" applyAlignment="1" applyBorder="1" applyFont="1">
      <alignment horizontal="center" shrinkToFit="0" vertical="bottom" wrapText="1"/>
    </xf>
    <xf borderId="19" fillId="0" fontId="13" numFmtId="164" xfId="0" applyAlignment="1" applyBorder="1" applyFont="1" applyNumberFormat="1">
      <alignment horizontal="left" shrinkToFit="0" vertical="bottom" wrapText="1"/>
    </xf>
    <xf borderId="19" fillId="0" fontId="13" numFmtId="164" xfId="0" applyAlignment="1" applyBorder="1" applyFont="1" applyNumberFormat="1">
      <alignment horizontal="center" shrinkToFit="0" vertical="bottom" wrapText="1"/>
    </xf>
    <xf borderId="20" fillId="0" fontId="13" numFmtId="164" xfId="0" applyAlignment="1" applyBorder="1" applyFont="1" applyNumberFormat="1">
      <alignment horizontal="center" shrinkToFit="0" vertical="bottom" wrapText="1"/>
    </xf>
    <xf borderId="21" fillId="0" fontId="24" numFmtId="164" xfId="0" applyAlignment="1" applyBorder="1" applyFont="1" applyNumberFormat="1">
      <alignment horizontal="center" shrinkToFit="0" vertical="bottom" wrapText="1"/>
    </xf>
    <xf borderId="19" fillId="0" fontId="23" numFmtId="164" xfId="0" applyAlignment="1" applyBorder="1" applyFont="1" applyNumberFormat="1">
      <alignment horizontal="center" shrinkToFit="0" vertical="bottom" wrapText="1"/>
    </xf>
    <xf borderId="20" fillId="0" fontId="18" numFmtId="10" xfId="0" applyAlignment="1" applyBorder="1" applyFont="1" applyNumberFormat="1">
      <alignment shrinkToFit="0" vertical="bottom" wrapText="0"/>
    </xf>
    <xf borderId="22" fillId="2" fontId="13" numFmtId="164" xfId="0" applyAlignment="1" applyBorder="1" applyFont="1" applyNumberFormat="1">
      <alignment horizontal="center" shrinkToFit="0" vertical="bottom" wrapText="1"/>
    </xf>
    <xf borderId="4" fillId="2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vertical="bottom" wrapText="0"/>
    </xf>
    <xf borderId="33" fillId="2" fontId="13" numFmtId="9" xfId="0" applyAlignment="1" applyBorder="1" applyFont="1" applyNumberFormat="1">
      <alignment horizontal="center" shrinkToFit="0" vertical="bottom" wrapText="1"/>
    </xf>
    <xf borderId="34" fillId="0" fontId="1" numFmtId="0" xfId="0" applyAlignment="1" applyBorder="1" applyFont="1">
      <alignment horizontal="center" shrinkToFit="0" vertical="bottom" wrapText="0"/>
    </xf>
    <xf borderId="35" fillId="0" fontId="2" numFmtId="0" xfId="0" applyBorder="1" applyFont="1"/>
    <xf borderId="36" fillId="0" fontId="2" numFmtId="0" xfId="0" applyBorder="1" applyFont="1"/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horizontal="center" shrinkToFit="0" vertical="center" wrapText="1"/>
    </xf>
    <xf borderId="15" fillId="0" fontId="23" numFmtId="0" xfId="0" applyAlignment="1" applyBorder="1" applyFont="1">
      <alignment horizontal="center" shrinkToFit="0" vertical="bottom" wrapText="1"/>
    </xf>
    <xf borderId="15" fillId="2" fontId="13" numFmtId="164" xfId="0" applyAlignment="1" applyBorder="1" applyFont="1" applyNumberFormat="1">
      <alignment horizontal="center" shrinkToFit="0" vertical="bottom" wrapText="1"/>
    </xf>
    <xf borderId="23" fillId="0" fontId="5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left" shrinkToFit="0" vertical="top" wrapText="1"/>
    </xf>
    <xf borderId="15" fillId="2" fontId="18" numFmtId="0" xfId="0" applyAlignment="1" applyBorder="1" applyFont="1">
      <alignment shrinkToFit="0" vertical="bottom" wrapText="0"/>
    </xf>
    <xf borderId="15" fillId="0" fontId="24" numFmtId="164" xfId="0" applyAlignment="1" applyBorder="1" applyFont="1" applyNumberFormat="1">
      <alignment horizontal="center" shrinkToFit="0" vertical="bottom" wrapText="1"/>
    </xf>
    <xf borderId="15" fillId="0" fontId="18" numFmtId="10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2">
    <dxf>
      <font>
        <color rgb="FF008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10" Type="http://schemas.openxmlformats.org/officeDocument/2006/relationships/worksheet" Target="worksheets/sheet7.xml"/><Relationship Id="rId5" Type="http://schemas.openxmlformats.org/officeDocument/2006/relationships/worksheet" Target="worksheets/sheet2.xml"/><Relationship Id="rId8" Type="http://schemas.openxmlformats.org/officeDocument/2006/relationships/worksheet" Target="worksheets/sheet5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3" Type="http://schemas.openxmlformats.org/officeDocument/2006/relationships/sharedStrings" Target="sharedStrings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0.38"/>
    <col customWidth="1" hidden="1" min="3" max="3" width="7.63"/>
    <col customWidth="1" hidden="1" min="4" max="4" width="5.88"/>
    <col customWidth="1" hidden="1" min="5" max="5" width="8.0"/>
    <col customWidth="1" hidden="1" min="6" max="6" width="11.0"/>
    <col customWidth="1" hidden="1" min="7" max="7" width="13.0"/>
    <col customWidth="1" min="8" max="8" width="13.0"/>
    <col customWidth="1" min="9" max="9" width="1.88"/>
    <col customWidth="1" min="10" max="10" width="19.0"/>
    <col customWidth="1" min="11" max="11" width="15.38"/>
    <col customWidth="1" min="12" max="12" width="14.88"/>
    <col customWidth="1" min="13" max="14" width="8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1.2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  <c r="K2" s="7" t="s">
        <v>2</v>
      </c>
      <c r="L2" s="8" t="str">
        <f>B26</f>
        <v>5.96%</v>
      </c>
      <c r="N2" s="9"/>
    </row>
    <row r="3" ht="78.0" customHeight="1">
      <c r="A3" s="10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2" t="s">
        <v>10</v>
      </c>
      <c r="I3" s="13"/>
      <c r="J3" s="14" t="s">
        <v>11</v>
      </c>
      <c r="K3" s="11" t="s">
        <v>12</v>
      </c>
      <c r="L3" s="12" t="s">
        <v>13</v>
      </c>
    </row>
    <row r="4" ht="15.75" customHeight="1">
      <c r="A4" s="15"/>
      <c r="B4" s="16">
        <v>1.0</v>
      </c>
      <c r="C4" s="17">
        <v>0.0</v>
      </c>
      <c r="D4" s="17">
        <v>0.0</v>
      </c>
      <c r="E4" s="17">
        <v>0.0</v>
      </c>
      <c r="F4" s="17">
        <v>0.0</v>
      </c>
      <c r="G4" s="17">
        <v>2.75</v>
      </c>
      <c r="H4" s="18" t="str">
        <f t="shared" ref="H4:H23" si="1">SUM(C4:G4)</f>
        <v>  2.75 </v>
      </c>
      <c r="I4" s="13"/>
      <c r="J4" s="19" t="str">
        <f t="shared" ref="J4:J23" si="2">H30</f>
        <v>  7.53 </v>
      </c>
      <c r="K4" s="20" t="str">
        <f t="shared" ref="K4:K23" si="3">J4-H4</f>
        <v>  4.78 </v>
      </c>
      <c r="L4" s="21" t="str">
        <f t="shared" ref="L4:L23" si="4">K4/J4</f>
        <v>63.47%</v>
      </c>
    </row>
    <row r="5" ht="15.75" customHeight="1">
      <c r="A5" s="15"/>
      <c r="B5" s="16">
        <v>2.0</v>
      </c>
      <c r="C5" s="17">
        <v>0.0</v>
      </c>
      <c r="D5" s="17">
        <v>0.0</v>
      </c>
      <c r="E5" s="17">
        <v>0.86</v>
      </c>
      <c r="F5" s="17">
        <v>0.0</v>
      </c>
      <c r="G5" s="17">
        <v>2.75</v>
      </c>
      <c r="H5" s="18" t="str">
        <f t="shared" si="1"/>
        <v>  3.61 </v>
      </c>
      <c r="I5" s="13"/>
      <c r="J5" s="19" t="str">
        <f t="shared" si="2"/>
        <v>  7.53 </v>
      </c>
      <c r="K5" s="20" t="str">
        <f t="shared" si="3"/>
        <v>  3.92 </v>
      </c>
      <c r="L5" s="21" t="str">
        <f t="shared" si="4"/>
        <v>52.04%</v>
      </c>
    </row>
    <row r="6" ht="15.75" customHeight="1">
      <c r="A6" s="15"/>
      <c r="B6" s="16">
        <v>3.0</v>
      </c>
      <c r="C6" s="17">
        <v>0.27</v>
      </c>
      <c r="D6" s="17">
        <v>0.31</v>
      </c>
      <c r="E6" s="17">
        <v>0.95</v>
      </c>
      <c r="F6" s="17">
        <v>0.23</v>
      </c>
      <c r="G6" s="17">
        <v>2.75</v>
      </c>
      <c r="H6" s="18" t="str">
        <f t="shared" si="1"/>
        <v>  4.51 </v>
      </c>
      <c r="I6" s="13"/>
      <c r="J6" s="19" t="str">
        <f t="shared" si="2"/>
        <v>  7.53 </v>
      </c>
      <c r="K6" s="20" t="str">
        <f t="shared" si="3"/>
        <v>  3.02 </v>
      </c>
      <c r="L6" s="21" t="str">
        <f t="shared" si="4"/>
        <v>40.08%</v>
      </c>
    </row>
    <row r="7" ht="15.75" customHeight="1">
      <c r="A7" s="15"/>
      <c r="B7" s="16">
        <v>4.0</v>
      </c>
      <c r="C7" s="17">
        <v>0.35</v>
      </c>
      <c r="D7" s="17">
        <v>0.35</v>
      </c>
      <c r="E7" s="17">
        <v>1.04</v>
      </c>
      <c r="F7" s="17">
        <v>0.25</v>
      </c>
      <c r="G7" s="17">
        <v>2.99</v>
      </c>
      <c r="H7" s="18" t="str">
        <f t="shared" si="1"/>
        <v>  4.98 </v>
      </c>
      <c r="I7" s="13"/>
      <c r="J7" s="19" t="str">
        <f t="shared" si="2"/>
        <v>  7.53 </v>
      </c>
      <c r="K7" s="20" t="str">
        <f t="shared" si="3"/>
        <v>  2.55 </v>
      </c>
      <c r="L7" s="21" t="str">
        <f t="shared" si="4"/>
        <v>33.84%</v>
      </c>
    </row>
    <row r="8" ht="15.75" customHeight="1">
      <c r="A8" s="15"/>
      <c r="B8" s="16">
        <v>5.0</v>
      </c>
      <c r="C8" s="17">
        <v>0.35</v>
      </c>
      <c r="D8" s="17">
        <v>0.35</v>
      </c>
      <c r="E8" s="17">
        <v>1.05</v>
      </c>
      <c r="F8" s="17">
        <v>0.25</v>
      </c>
      <c r="G8" s="17">
        <v>3.02</v>
      </c>
      <c r="H8" s="18" t="str">
        <f t="shared" si="1"/>
        <v>  5.02 </v>
      </c>
      <c r="I8" s="13"/>
      <c r="J8" s="19" t="str">
        <f t="shared" si="2"/>
        <v>  7.53 </v>
      </c>
      <c r="K8" s="20" t="str">
        <f t="shared" si="3"/>
        <v>  2.51 </v>
      </c>
      <c r="L8" s="21" t="str">
        <f t="shared" si="4"/>
        <v>33.31%</v>
      </c>
    </row>
    <row r="9" ht="15.75" customHeight="1">
      <c r="A9" s="15"/>
      <c r="B9" s="16">
        <v>6.0</v>
      </c>
      <c r="C9" s="17">
        <v>0.38</v>
      </c>
      <c r="D9" s="17">
        <v>0.38</v>
      </c>
      <c r="E9" s="17">
        <v>1.15</v>
      </c>
      <c r="F9" s="17">
        <v>0.27</v>
      </c>
      <c r="G9" s="17">
        <v>3.28</v>
      </c>
      <c r="H9" s="18" t="str">
        <f t="shared" si="1"/>
        <v>  5.46 </v>
      </c>
      <c r="I9" s="13"/>
      <c r="J9" s="19" t="str">
        <f t="shared" si="2"/>
        <v>  7.53 </v>
      </c>
      <c r="K9" s="20" t="str">
        <f t="shared" si="3"/>
        <v>  2.07 </v>
      </c>
      <c r="L9" s="21" t="str">
        <f t="shared" si="4"/>
        <v>27.46%</v>
      </c>
    </row>
    <row r="10" ht="15.75" customHeight="1">
      <c r="A10" s="15"/>
      <c r="B10" s="16">
        <v>7.0</v>
      </c>
      <c r="C10" s="17">
        <v>0.39</v>
      </c>
      <c r="D10" s="17">
        <v>0.39</v>
      </c>
      <c r="E10" s="17">
        <v>1.16</v>
      </c>
      <c r="F10" s="17">
        <v>0.28</v>
      </c>
      <c r="G10" s="17">
        <v>3.3</v>
      </c>
      <c r="H10" s="18" t="str">
        <f t="shared" si="1"/>
        <v>  5.52 </v>
      </c>
      <c r="I10" s="13"/>
      <c r="J10" s="19" t="str">
        <f t="shared" si="2"/>
        <v>  7.53 </v>
      </c>
      <c r="K10" s="20" t="str">
        <f t="shared" si="3"/>
        <v>  2.01 </v>
      </c>
      <c r="L10" s="21" t="str">
        <f t="shared" si="4"/>
        <v>26.67%</v>
      </c>
    </row>
    <row r="11" ht="15.75" customHeight="1">
      <c r="A11" s="15"/>
      <c r="B11" s="16">
        <v>8.0</v>
      </c>
      <c r="C11" s="17">
        <v>0.39</v>
      </c>
      <c r="D11" s="17">
        <v>0.39</v>
      </c>
      <c r="E11" s="17">
        <v>1.17</v>
      </c>
      <c r="F11" s="17">
        <v>0.28</v>
      </c>
      <c r="G11" s="17">
        <v>3.35</v>
      </c>
      <c r="H11" s="18" t="str">
        <f t="shared" si="1"/>
        <v>  5.58 </v>
      </c>
      <c r="I11" s="13"/>
      <c r="J11" s="19" t="str">
        <f t="shared" si="2"/>
        <v>  7.53 </v>
      </c>
      <c r="K11" s="20" t="str">
        <f t="shared" si="3"/>
        <v>  1.95 </v>
      </c>
      <c r="L11" s="21" t="str">
        <f t="shared" si="4"/>
        <v>25.87%</v>
      </c>
    </row>
    <row r="12" ht="15.75" customHeight="1">
      <c r="A12" s="15"/>
      <c r="B12" s="16">
        <v>9.0</v>
      </c>
      <c r="C12" s="17">
        <v>0.42</v>
      </c>
      <c r="D12" s="17">
        <v>0.42</v>
      </c>
      <c r="E12" s="17">
        <v>1.25</v>
      </c>
      <c r="F12" s="17">
        <v>0.3</v>
      </c>
      <c r="G12" s="17">
        <v>3.57</v>
      </c>
      <c r="H12" s="18" t="str">
        <f t="shared" si="1"/>
        <v>  5.96 </v>
      </c>
      <c r="I12" s="13"/>
      <c r="J12" s="19" t="str">
        <f t="shared" si="2"/>
        <v>  7.53 </v>
      </c>
      <c r="K12" s="20" t="str">
        <f t="shared" si="3"/>
        <v>  1.57 </v>
      </c>
      <c r="L12" s="21" t="str">
        <f t="shared" si="4"/>
        <v>20.82%</v>
      </c>
    </row>
    <row r="13" ht="15.75" customHeight="1">
      <c r="A13" s="15"/>
      <c r="B13" s="16">
        <v>10.0</v>
      </c>
      <c r="C13" s="17">
        <v>0.43</v>
      </c>
      <c r="D13" s="17">
        <v>0.43</v>
      </c>
      <c r="E13" s="17">
        <v>1.26</v>
      </c>
      <c r="F13" s="17">
        <v>0.3</v>
      </c>
      <c r="G13" s="17">
        <v>3.6</v>
      </c>
      <c r="H13" s="18" t="str">
        <f t="shared" si="1"/>
        <v>  6.02 </v>
      </c>
      <c r="I13" s="13"/>
      <c r="J13" s="19" t="str">
        <f t="shared" si="2"/>
        <v>  7.53 </v>
      </c>
      <c r="K13" s="20" t="str">
        <f t="shared" si="3"/>
        <v>  1.51 </v>
      </c>
      <c r="L13" s="21" t="str">
        <f t="shared" si="4"/>
        <v>20.02%</v>
      </c>
    </row>
    <row r="14" ht="15.75" customHeight="1">
      <c r="A14" s="15"/>
      <c r="B14" s="16">
        <v>11.0</v>
      </c>
      <c r="C14" s="17">
        <v>0.46</v>
      </c>
      <c r="D14" s="17">
        <v>0.46</v>
      </c>
      <c r="E14" s="17">
        <v>1.38</v>
      </c>
      <c r="F14" s="17">
        <v>0.33</v>
      </c>
      <c r="G14" s="17">
        <v>3.94</v>
      </c>
      <c r="H14" s="18" t="str">
        <f t="shared" si="1"/>
        <v>  6.57 </v>
      </c>
      <c r="I14" s="13"/>
      <c r="J14" s="19" t="str">
        <f t="shared" si="2"/>
        <v>  7.53 </v>
      </c>
      <c r="K14" s="20" t="str">
        <f t="shared" si="3"/>
        <v>  0.96 </v>
      </c>
      <c r="L14" s="21" t="str">
        <f t="shared" si="4"/>
        <v>12.72%</v>
      </c>
    </row>
    <row r="15" ht="15.75" customHeight="1">
      <c r="A15" s="15"/>
      <c r="B15" s="16">
        <v>12.0</v>
      </c>
      <c r="C15" s="17">
        <v>0.46</v>
      </c>
      <c r="D15" s="17">
        <v>0.46</v>
      </c>
      <c r="E15" s="17">
        <v>1.39</v>
      </c>
      <c r="F15" s="17">
        <v>0.33</v>
      </c>
      <c r="G15" s="17">
        <v>3.99</v>
      </c>
      <c r="H15" s="18" t="str">
        <f t="shared" si="1"/>
        <v>  6.63 </v>
      </c>
      <c r="I15" s="13"/>
      <c r="J15" s="19" t="str">
        <f t="shared" si="2"/>
        <v>  7.53 </v>
      </c>
      <c r="K15" s="20" t="str">
        <f t="shared" si="3"/>
        <v>  0.90 </v>
      </c>
      <c r="L15" s="21" t="str">
        <f t="shared" si="4"/>
        <v>11.92%</v>
      </c>
    </row>
    <row r="16" ht="15.75" customHeight="1">
      <c r="A16" s="15"/>
      <c r="B16" s="16">
        <v>13.0</v>
      </c>
      <c r="C16" s="17">
        <v>0.47</v>
      </c>
      <c r="D16" s="17">
        <v>0.47</v>
      </c>
      <c r="E16" s="17">
        <v>1.4</v>
      </c>
      <c r="F16" s="17">
        <v>0.33</v>
      </c>
      <c r="G16" s="17">
        <v>4.01</v>
      </c>
      <c r="H16" s="18" t="str">
        <f t="shared" si="1"/>
        <v>  6.68 </v>
      </c>
      <c r="I16" s="13"/>
      <c r="J16" s="19" t="str">
        <f t="shared" si="2"/>
        <v>  7.53 </v>
      </c>
      <c r="K16" s="20" t="str">
        <f t="shared" si="3"/>
        <v>  0.85 </v>
      </c>
      <c r="L16" s="21" t="str">
        <f t="shared" si="4"/>
        <v>11.26%</v>
      </c>
    </row>
    <row r="17" ht="15.75" customHeight="1">
      <c r="A17" s="15"/>
      <c r="B17" s="16">
        <v>14.0</v>
      </c>
      <c r="C17" s="17">
        <v>0.47</v>
      </c>
      <c r="D17" s="17">
        <v>0.47</v>
      </c>
      <c r="E17" s="17">
        <v>1.42</v>
      </c>
      <c r="F17" s="17">
        <v>0.34</v>
      </c>
      <c r="G17" s="17">
        <v>4.05</v>
      </c>
      <c r="H17" s="18" t="str">
        <f t="shared" si="1"/>
        <v>  6.75 </v>
      </c>
      <c r="I17" s="13"/>
      <c r="J17" s="19" t="str">
        <f t="shared" si="2"/>
        <v>  7.53 </v>
      </c>
      <c r="K17" s="20" t="str">
        <f t="shared" si="3"/>
        <v>  0.78 </v>
      </c>
      <c r="L17" s="21" t="str">
        <f t="shared" si="4"/>
        <v>10.33%</v>
      </c>
    </row>
    <row r="18" ht="15.75" customHeight="1">
      <c r="A18" s="15"/>
      <c r="B18" s="16">
        <v>15.0</v>
      </c>
      <c r="C18" s="17">
        <v>0.48</v>
      </c>
      <c r="D18" s="17">
        <v>0.48</v>
      </c>
      <c r="E18" s="17">
        <v>1.43</v>
      </c>
      <c r="F18" s="17">
        <v>0.34</v>
      </c>
      <c r="G18" s="17">
        <v>4.08</v>
      </c>
      <c r="H18" s="18" t="str">
        <f t="shared" si="1"/>
        <v>  6.81 </v>
      </c>
      <c r="I18" s="13"/>
      <c r="J18" s="19" t="str">
        <f t="shared" si="2"/>
        <v>  7.53 </v>
      </c>
      <c r="K18" s="20" t="str">
        <f t="shared" si="3"/>
        <v>  0.72 </v>
      </c>
      <c r="L18" s="21" t="str">
        <f t="shared" si="4"/>
        <v>9.53%</v>
      </c>
    </row>
    <row r="19" ht="15.75" customHeight="1">
      <c r="A19" s="15"/>
      <c r="B19" s="16">
        <v>16.0</v>
      </c>
      <c r="C19" s="17">
        <v>0.52</v>
      </c>
      <c r="D19" s="17">
        <v>0.52</v>
      </c>
      <c r="E19" s="17">
        <v>1.56</v>
      </c>
      <c r="F19" s="17">
        <v>0.37</v>
      </c>
      <c r="G19" s="17">
        <v>4.44</v>
      </c>
      <c r="H19" s="18" t="str">
        <f t="shared" si="1"/>
        <v>  7.41 </v>
      </c>
      <c r="I19" s="13"/>
      <c r="J19" s="19" t="str">
        <f t="shared" si="2"/>
        <v>  7.53 </v>
      </c>
      <c r="K19" s="20" t="str">
        <f t="shared" si="3"/>
        <v>  0.12 </v>
      </c>
      <c r="L19" s="21" t="str">
        <f t="shared" si="4"/>
        <v>1.56%</v>
      </c>
    </row>
    <row r="20" ht="15.75" customHeight="1">
      <c r="A20" s="15"/>
      <c r="B20" s="16">
        <v>17.0</v>
      </c>
      <c r="C20" s="17">
        <v>0.52</v>
      </c>
      <c r="D20" s="17">
        <v>0.52</v>
      </c>
      <c r="E20" s="17">
        <v>1.57</v>
      </c>
      <c r="F20" s="17">
        <v>0.37</v>
      </c>
      <c r="G20" s="17">
        <v>4.49</v>
      </c>
      <c r="H20" s="18" t="str">
        <f t="shared" si="1"/>
        <v>  7.47 </v>
      </c>
      <c r="I20" s="13"/>
      <c r="J20" s="19" t="str">
        <f t="shared" si="2"/>
        <v>  7.54 </v>
      </c>
      <c r="K20" s="20" t="str">
        <f t="shared" si="3"/>
        <v>  0.07 </v>
      </c>
      <c r="L20" s="21" t="str">
        <f t="shared" si="4"/>
        <v>0.97%</v>
      </c>
    </row>
    <row r="21" ht="15.75" customHeight="1">
      <c r="A21" s="15"/>
      <c r="B21" s="16">
        <v>18.0</v>
      </c>
      <c r="C21" s="17">
        <v>0.53</v>
      </c>
      <c r="D21" s="17">
        <v>0.53</v>
      </c>
      <c r="E21" s="17">
        <v>1.58</v>
      </c>
      <c r="F21" s="17">
        <v>0.38</v>
      </c>
      <c r="G21" s="17">
        <v>4.52</v>
      </c>
      <c r="H21" s="18" t="str">
        <f t="shared" si="1"/>
        <v>  7.54 </v>
      </c>
      <c r="I21" s="13"/>
      <c r="J21" s="19" t="str">
        <f t="shared" si="2"/>
        <v>  7.59 </v>
      </c>
      <c r="K21" s="20" t="str">
        <f t="shared" si="3"/>
        <v>  0.05 </v>
      </c>
      <c r="L21" s="21" t="str">
        <f t="shared" si="4"/>
        <v>0.61%</v>
      </c>
    </row>
    <row r="22" ht="15.75" customHeight="1">
      <c r="A22" s="15"/>
      <c r="B22" s="16">
        <v>19.0</v>
      </c>
      <c r="C22" s="17">
        <v>0.53</v>
      </c>
      <c r="D22" s="17">
        <v>0.53</v>
      </c>
      <c r="E22" s="17">
        <v>1.6</v>
      </c>
      <c r="F22" s="17">
        <v>0.38</v>
      </c>
      <c r="G22" s="17">
        <v>4.56</v>
      </c>
      <c r="H22" s="18" t="str">
        <f t="shared" si="1"/>
        <v>  7.60 </v>
      </c>
      <c r="I22" s="13"/>
      <c r="J22" s="19" t="str">
        <f t="shared" si="2"/>
        <v>  7.63 </v>
      </c>
      <c r="K22" s="20" t="str">
        <f t="shared" si="3"/>
        <v>  0.03 </v>
      </c>
      <c r="L22" s="21" t="str">
        <f t="shared" si="4"/>
        <v>0.33%</v>
      </c>
    </row>
    <row r="23" ht="16.5" customHeight="1">
      <c r="A23" s="22"/>
      <c r="B23" s="23">
        <v>20.0</v>
      </c>
      <c r="C23" s="24">
        <v>0.54</v>
      </c>
      <c r="D23" s="24">
        <v>0.54</v>
      </c>
      <c r="E23" s="24">
        <v>1.6</v>
      </c>
      <c r="F23" s="24">
        <v>0.38</v>
      </c>
      <c r="G23" s="24">
        <v>4.6</v>
      </c>
      <c r="H23" s="25" t="str">
        <f t="shared" si="1"/>
        <v>  7.66 </v>
      </c>
      <c r="I23" s="13"/>
      <c r="J23" s="26" t="str">
        <f t="shared" si="2"/>
        <v>  7.66 </v>
      </c>
      <c r="K23" s="27" t="str">
        <f t="shared" si="3"/>
        <v>  0.00 </v>
      </c>
      <c r="L23" s="28" t="str">
        <f t="shared" si="4"/>
        <v>0.01%</v>
      </c>
    </row>
    <row r="24" ht="12.75" customHeight="1">
      <c r="A24" s="29"/>
    </row>
    <row r="25" ht="12.75" customHeight="1">
      <c r="A25" s="30"/>
      <c r="B25" s="29"/>
    </row>
    <row r="26" ht="18.0" customHeight="1">
      <c r="A26" s="31" t="s">
        <v>14</v>
      </c>
      <c r="B26" s="32">
        <v>0.0596</v>
      </c>
      <c r="C26" s="33" t="s">
        <v>15</v>
      </c>
      <c r="D26" s="33"/>
      <c r="E26" s="33"/>
      <c r="F26" s="33"/>
      <c r="G26" s="34"/>
      <c r="H26" s="33"/>
      <c r="I26" s="33"/>
      <c r="J26" s="33"/>
      <c r="K26" s="33"/>
    </row>
    <row r="27" ht="57.0" customHeight="1">
      <c r="A27" s="31" t="s">
        <v>16</v>
      </c>
      <c r="B27" s="35">
        <v>0.268</v>
      </c>
    </row>
    <row r="28" ht="13.5" customHeight="1">
      <c r="A28" s="36"/>
      <c r="B28" s="29"/>
    </row>
    <row r="29" ht="12.75" customHeight="1">
      <c r="A29" s="37" t="s">
        <v>11</v>
      </c>
      <c r="B29" s="38" t="s">
        <v>4</v>
      </c>
      <c r="C29" s="38" t="s">
        <v>5</v>
      </c>
      <c r="D29" s="38" t="s">
        <v>6</v>
      </c>
      <c r="E29" s="38" t="s">
        <v>7</v>
      </c>
      <c r="F29" s="38" t="s">
        <v>8</v>
      </c>
      <c r="G29" s="38" t="s">
        <v>9</v>
      </c>
      <c r="H29" s="38" t="s">
        <v>17</v>
      </c>
    </row>
    <row r="30" ht="14.25" customHeight="1">
      <c r="A30" s="39"/>
      <c r="B30" s="40">
        <v>1.0</v>
      </c>
      <c r="C30" s="41">
        <v>1.2</v>
      </c>
      <c r="D30" s="42">
        <v>1.08</v>
      </c>
      <c r="E30" s="42">
        <v>3.0</v>
      </c>
      <c r="F30" s="42">
        <v>0.65</v>
      </c>
      <c r="G30" s="42" t="str">
        <f t="shared" ref="G30:G49" si="5">$B$26*$B$27*100</f>
        <v>1.59728</v>
      </c>
      <c r="H30" s="43" t="str">
        <f t="shared" ref="H30:H49" si="6">SUM(C30:G30)</f>
        <v>  7.53 </v>
      </c>
    </row>
    <row r="31" ht="13.5" customHeight="1">
      <c r="A31" s="39"/>
      <c r="B31" s="40">
        <v>2.0</v>
      </c>
      <c r="C31" s="41">
        <v>1.2</v>
      </c>
      <c r="D31" s="42">
        <v>1.08</v>
      </c>
      <c r="E31" s="42">
        <v>3.0</v>
      </c>
      <c r="F31" s="42">
        <v>0.65</v>
      </c>
      <c r="G31" s="42" t="str">
        <f t="shared" si="5"/>
        <v>1.59728</v>
      </c>
      <c r="H31" s="43" t="str">
        <f t="shared" si="6"/>
        <v>  7.53 </v>
      </c>
    </row>
    <row r="32" ht="13.5" customHeight="1">
      <c r="A32" s="39"/>
      <c r="B32" s="40">
        <v>3.0</v>
      </c>
      <c r="C32" s="41">
        <v>1.2</v>
      </c>
      <c r="D32" s="42">
        <v>1.08</v>
      </c>
      <c r="E32" s="42">
        <v>3.0</v>
      </c>
      <c r="F32" s="42">
        <v>0.65</v>
      </c>
      <c r="G32" s="42" t="str">
        <f t="shared" si="5"/>
        <v>1.59728</v>
      </c>
      <c r="H32" s="43" t="str">
        <f t="shared" si="6"/>
        <v>  7.53 </v>
      </c>
    </row>
    <row r="33" ht="13.5" customHeight="1">
      <c r="A33" s="39"/>
      <c r="B33" s="40">
        <v>4.0</v>
      </c>
      <c r="C33" s="41">
        <v>1.2</v>
      </c>
      <c r="D33" s="42">
        <v>1.08</v>
      </c>
      <c r="E33" s="42">
        <v>3.0</v>
      </c>
      <c r="F33" s="42">
        <v>0.65</v>
      </c>
      <c r="G33" s="42" t="str">
        <f t="shared" si="5"/>
        <v>1.59728</v>
      </c>
      <c r="H33" s="43" t="str">
        <f t="shared" si="6"/>
        <v>  7.53 </v>
      </c>
    </row>
    <row r="34" ht="13.5" customHeight="1">
      <c r="A34" s="39"/>
      <c r="B34" s="40">
        <v>5.0</v>
      </c>
      <c r="C34" s="41">
        <v>1.2</v>
      </c>
      <c r="D34" s="42">
        <v>1.08</v>
      </c>
      <c r="E34" s="42">
        <v>3.0</v>
      </c>
      <c r="F34" s="42">
        <v>0.65</v>
      </c>
      <c r="G34" s="42" t="str">
        <f t="shared" si="5"/>
        <v>1.59728</v>
      </c>
      <c r="H34" s="43" t="str">
        <f t="shared" si="6"/>
        <v>  7.53 </v>
      </c>
    </row>
    <row r="35" ht="13.5" customHeight="1">
      <c r="A35" s="39"/>
      <c r="B35" s="40">
        <v>6.0</v>
      </c>
      <c r="C35" s="41">
        <v>1.2</v>
      </c>
      <c r="D35" s="42">
        <v>1.08</v>
      </c>
      <c r="E35" s="42">
        <v>3.0</v>
      </c>
      <c r="F35" s="42">
        <v>0.65</v>
      </c>
      <c r="G35" s="42" t="str">
        <f t="shared" si="5"/>
        <v>1.59728</v>
      </c>
      <c r="H35" s="43" t="str">
        <f t="shared" si="6"/>
        <v>  7.53 </v>
      </c>
    </row>
    <row r="36" ht="13.5" customHeight="1">
      <c r="A36" s="39"/>
      <c r="B36" s="40">
        <v>7.0</v>
      </c>
      <c r="C36" s="41">
        <v>1.2</v>
      </c>
      <c r="D36" s="42">
        <v>1.08</v>
      </c>
      <c r="E36" s="42">
        <v>3.0</v>
      </c>
      <c r="F36" s="42">
        <v>0.65</v>
      </c>
      <c r="G36" s="42" t="str">
        <f t="shared" si="5"/>
        <v>1.59728</v>
      </c>
      <c r="H36" s="43" t="str">
        <f t="shared" si="6"/>
        <v>  7.53 </v>
      </c>
    </row>
    <row r="37" ht="13.5" customHeight="1">
      <c r="A37" s="39"/>
      <c r="B37" s="40">
        <v>8.0</v>
      </c>
      <c r="C37" s="41">
        <v>1.2</v>
      </c>
      <c r="D37" s="42">
        <v>1.08</v>
      </c>
      <c r="E37" s="42">
        <v>3.0</v>
      </c>
      <c r="F37" s="42">
        <v>0.65</v>
      </c>
      <c r="G37" s="42" t="str">
        <f t="shared" si="5"/>
        <v>1.59728</v>
      </c>
      <c r="H37" s="43" t="str">
        <f t="shared" si="6"/>
        <v>  7.53 </v>
      </c>
    </row>
    <row r="38" ht="13.5" customHeight="1">
      <c r="A38" s="39"/>
      <c r="B38" s="40">
        <v>9.0</v>
      </c>
      <c r="C38" s="41">
        <v>1.2</v>
      </c>
      <c r="D38" s="42">
        <v>1.08</v>
      </c>
      <c r="E38" s="42">
        <v>3.0</v>
      </c>
      <c r="F38" s="42">
        <v>0.65</v>
      </c>
      <c r="G38" s="42" t="str">
        <f t="shared" si="5"/>
        <v>1.59728</v>
      </c>
      <c r="H38" s="43" t="str">
        <f t="shared" si="6"/>
        <v>  7.53 </v>
      </c>
    </row>
    <row r="39" ht="13.5" customHeight="1">
      <c r="A39" s="39"/>
      <c r="B39" s="40">
        <v>10.0</v>
      </c>
      <c r="C39" s="41">
        <v>1.2</v>
      </c>
      <c r="D39" s="42">
        <v>1.08</v>
      </c>
      <c r="E39" s="42">
        <v>3.0</v>
      </c>
      <c r="F39" s="42">
        <v>0.65</v>
      </c>
      <c r="G39" s="42" t="str">
        <f t="shared" si="5"/>
        <v>1.59728</v>
      </c>
      <c r="H39" s="43" t="str">
        <f t="shared" si="6"/>
        <v>  7.53 </v>
      </c>
    </row>
    <row r="40" ht="13.5" customHeight="1">
      <c r="A40" s="39"/>
      <c r="B40" s="40">
        <v>11.0</v>
      </c>
      <c r="C40" s="41">
        <v>1.2</v>
      </c>
      <c r="D40" s="42">
        <v>1.08</v>
      </c>
      <c r="E40" s="42">
        <v>3.0</v>
      </c>
      <c r="F40" s="42">
        <v>0.65</v>
      </c>
      <c r="G40" s="42" t="str">
        <f t="shared" si="5"/>
        <v>1.59728</v>
      </c>
      <c r="H40" s="43" t="str">
        <f t="shared" si="6"/>
        <v>  7.53 </v>
      </c>
    </row>
    <row r="41" ht="13.5" customHeight="1">
      <c r="A41" s="39"/>
      <c r="B41" s="40">
        <v>12.0</v>
      </c>
      <c r="C41" s="41">
        <v>1.2</v>
      </c>
      <c r="D41" s="42">
        <v>1.08</v>
      </c>
      <c r="E41" s="42">
        <v>3.0</v>
      </c>
      <c r="F41" s="42">
        <v>0.65</v>
      </c>
      <c r="G41" s="42" t="str">
        <f t="shared" si="5"/>
        <v>1.59728</v>
      </c>
      <c r="H41" s="43" t="str">
        <f t="shared" si="6"/>
        <v>  7.53 </v>
      </c>
    </row>
    <row r="42" ht="13.5" customHeight="1">
      <c r="A42" s="39"/>
      <c r="B42" s="40">
        <v>13.0</v>
      </c>
      <c r="C42" s="41">
        <v>1.2</v>
      </c>
      <c r="D42" s="42">
        <v>1.08</v>
      </c>
      <c r="E42" s="42">
        <v>3.0</v>
      </c>
      <c r="F42" s="42">
        <v>0.65</v>
      </c>
      <c r="G42" s="42" t="str">
        <f t="shared" si="5"/>
        <v>1.59728</v>
      </c>
      <c r="H42" s="43" t="str">
        <f t="shared" si="6"/>
        <v>  7.53 </v>
      </c>
    </row>
    <row r="43" ht="13.5" customHeight="1">
      <c r="A43" s="39"/>
      <c r="B43" s="40">
        <v>14.0</v>
      </c>
      <c r="C43" s="41">
        <v>1.2</v>
      </c>
      <c r="D43" s="42">
        <v>1.08</v>
      </c>
      <c r="E43" s="42">
        <v>3.0</v>
      </c>
      <c r="F43" s="42">
        <v>0.65</v>
      </c>
      <c r="G43" s="42" t="str">
        <f t="shared" si="5"/>
        <v>1.59728</v>
      </c>
      <c r="H43" s="43" t="str">
        <f t="shared" si="6"/>
        <v>  7.53 </v>
      </c>
    </row>
    <row r="44" ht="13.5" customHeight="1">
      <c r="A44" s="39"/>
      <c r="B44" s="40">
        <v>15.0</v>
      </c>
      <c r="C44" s="41">
        <v>1.2</v>
      </c>
      <c r="D44" s="42">
        <v>1.08</v>
      </c>
      <c r="E44" s="42">
        <v>3.0</v>
      </c>
      <c r="F44" s="42">
        <v>0.65</v>
      </c>
      <c r="G44" s="42" t="str">
        <f t="shared" si="5"/>
        <v>1.59728</v>
      </c>
      <c r="H44" s="43" t="str">
        <f t="shared" si="6"/>
        <v>  7.53 </v>
      </c>
    </row>
    <row r="45" ht="13.5" customHeight="1">
      <c r="A45" s="39"/>
      <c r="B45" s="40">
        <v>16.0</v>
      </c>
      <c r="C45" s="41">
        <v>1.2</v>
      </c>
      <c r="D45" s="42">
        <v>1.08</v>
      </c>
      <c r="E45" s="42">
        <v>3.0</v>
      </c>
      <c r="F45" s="42">
        <v>0.65</v>
      </c>
      <c r="G45" s="42" t="str">
        <f t="shared" si="5"/>
        <v>1.59728</v>
      </c>
      <c r="H45" s="43" t="str">
        <f t="shared" si="6"/>
        <v>  7.53 </v>
      </c>
    </row>
    <row r="46" ht="13.5" customHeight="1">
      <c r="A46" s="39"/>
      <c r="B46" s="40">
        <v>17.0</v>
      </c>
      <c r="C46" s="41">
        <v>1.215686274509804</v>
      </c>
      <c r="D46" s="42">
        <v>1.08</v>
      </c>
      <c r="E46" s="42">
        <v>3.0</v>
      </c>
      <c r="F46" s="42">
        <v>0.65</v>
      </c>
      <c r="G46" s="42" t="str">
        <f t="shared" si="5"/>
        <v>1.59728</v>
      </c>
      <c r="H46" s="43" t="str">
        <f t="shared" si="6"/>
        <v>  7.54 </v>
      </c>
    </row>
    <row r="47" ht="13.5" customHeight="1">
      <c r="A47" s="39"/>
      <c r="B47" s="40">
        <v>18.0</v>
      </c>
      <c r="C47" s="41">
        <v>1.2592592592592593</v>
      </c>
      <c r="D47" s="42">
        <v>1.08</v>
      </c>
      <c r="E47" s="42">
        <v>3.0</v>
      </c>
      <c r="F47" s="42">
        <v>0.65</v>
      </c>
      <c r="G47" s="42" t="str">
        <f t="shared" si="5"/>
        <v>1.59728</v>
      </c>
      <c r="H47" s="43" t="str">
        <f t="shared" si="6"/>
        <v>  7.59 </v>
      </c>
    </row>
    <row r="48" ht="13.5" customHeight="1">
      <c r="A48" s="39"/>
      <c r="B48" s="40">
        <v>19.0</v>
      </c>
      <c r="C48" s="41">
        <v>1.2982456140350878</v>
      </c>
      <c r="D48" s="42">
        <v>1.08</v>
      </c>
      <c r="E48" s="42">
        <v>3.0</v>
      </c>
      <c r="F48" s="42">
        <v>0.65</v>
      </c>
      <c r="G48" s="42" t="str">
        <f t="shared" si="5"/>
        <v>1.59728</v>
      </c>
      <c r="H48" s="43" t="str">
        <f t="shared" si="6"/>
        <v>  7.63 </v>
      </c>
    </row>
    <row r="49" ht="13.5" customHeight="1">
      <c r="A49" s="44"/>
      <c r="B49" s="40">
        <v>20.0</v>
      </c>
      <c r="C49" s="41">
        <v>1.3333333333333335</v>
      </c>
      <c r="D49" s="42">
        <v>1.08</v>
      </c>
      <c r="E49" s="42">
        <v>3.0</v>
      </c>
      <c r="F49" s="42">
        <v>0.65</v>
      </c>
      <c r="G49" s="42" t="str">
        <f t="shared" si="5"/>
        <v>1.59728</v>
      </c>
      <c r="H49" s="43" t="str">
        <f t="shared" si="6"/>
        <v>  7.66 </v>
      </c>
    </row>
    <row r="50" ht="12.75" customHeight="1">
      <c r="A50" s="29"/>
    </row>
    <row r="51" ht="12.75" customHeight="1">
      <c r="A51" s="29"/>
    </row>
    <row r="52" ht="12.75" customHeight="1">
      <c r="A52" s="29"/>
    </row>
    <row r="53" ht="12.75" customHeight="1">
      <c r="A53" s="29"/>
    </row>
    <row r="54" ht="12.75" customHeight="1">
      <c r="A54" s="29"/>
    </row>
    <row r="55" ht="12.75" customHeight="1">
      <c r="A55" s="29"/>
    </row>
    <row r="56" ht="12.75" customHeight="1">
      <c r="A56" s="31"/>
    </row>
    <row r="57" ht="12.75" customHeight="1">
      <c r="A57" s="30"/>
    </row>
    <row r="58" ht="13.5" customHeight="1">
      <c r="A58" s="36"/>
    </row>
    <row r="59" ht="12.75" customHeight="1">
      <c r="A59" s="29"/>
    </row>
    <row r="60" ht="12.75" customHeight="1">
      <c r="A60" s="29"/>
    </row>
    <row r="61" ht="12.75" customHeight="1">
      <c r="A61" s="29"/>
    </row>
    <row r="62" ht="12.75" customHeight="1">
      <c r="A62" s="29"/>
    </row>
    <row r="63" ht="12.75" customHeight="1">
      <c r="A63" s="29"/>
    </row>
    <row r="64" ht="12.75" customHeight="1">
      <c r="A64" s="29"/>
    </row>
    <row r="65" ht="12.75" customHeight="1">
      <c r="A65" s="29"/>
    </row>
    <row r="66" ht="12.75" customHeight="1">
      <c r="A66" s="31"/>
    </row>
    <row r="67" ht="12.75" customHeight="1">
      <c r="A67" s="30"/>
    </row>
    <row r="68" ht="13.5" customHeight="1">
      <c r="A68" s="36"/>
    </row>
    <row r="69" ht="12.75" customHeight="1">
      <c r="A69" s="29"/>
    </row>
    <row r="70" ht="12.75" customHeight="1">
      <c r="A70" s="29"/>
    </row>
    <row r="71" ht="12.75" customHeight="1">
      <c r="A71" s="29"/>
    </row>
    <row r="72" ht="12.75" customHeight="1">
      <c r="A72" s="29"/>
    </row>
    <row r="73" ht="12.75" customHeight="1">
      <c r="A73" s="29"/>
    </row>
    <row r="74" ht="12.75" customHeight="1">
      <c r="A74" s="29"/>
    </row>
    <row r="75" ht="12.75" customHeight="1">
      <c r="A75" s="29"/>
    </row>
    <row r="76" ht="12.75" customHeight="1">
      <c r="A76" s="31"/>
    </row>
    <row r="77" ht="12.75" customHeight="1">
      <c r="A77" s="30"/>
    </row>
    <row r="78" ht="13.5" customHeight="1">
      <c r="A78" s="36"/>
    </row>
    <row r="79" ht="12.75" customHeight="1">
      <c r="A79" s="29"/>
    </row>
    <row r="80" ht="12.75" customHeight="1">
      <c r="A80" s="29"/>
    </row>
    <row r="81" ht="12.75" customHeight="1">
      <c r="A81" s="29"/>
    </row>
    <row r="82" ht="12.75" customHeight="1">
      <c r="A82" s="29"/>
    </row>
    <row r="83" ht="12.75" customHeight="1">
      <c r="A83" s="29"/>
    </row>
    <row r="84" ht="12.75" customHeight="1">
      <c r="A84" s="29"/>
    </row>
    <row r="85" ht="12.75" customHeight="1">
      <c r="A85" s="29"/>
    </row>
    <row r="86" ht="12.75" customHeight="1">
      <c r="A86" s="31"/>
    </row>
    <row r="87" ht="12.75" customHeight="1">
      <c r="A87" s="30"/>
    </row>
    <row r="88" ht="13.5" customHeight="1">
      <c r="A88" s="36"/>
    </row>
    <row r="89" ht="12.75" customHeight="1">
      <c r="A89" s="29"/>
    </row>
    <row r="90" ht="12.75" customHeight="1">
      <c r="A90" s="29"/>
    </row>
    <row r="91" ht="12.75" customHeight="1">
      <c r="A91" s="29"/>
    </row>
    <row r="92" ht="12.75" customHeight="1">
      <c r="A92" s="29"/>
    </row>
    <row r="93" ht="12.75" customHeight="1">
      <c r="A93" s="29"/>
    </row>
    <row r="94" ht="12.75" customHeight="1">
      <c r="A94" s="29"/>
    </row>
    <row r="95" ht="12.75" customHeight="1">
      <c r="A95" s="29"/>
    </row>
    <row r="96" ht="12.75" customHeight="1">
      <c r="A96" s="31"/>
    </row>
    <row r="97" ht="12.75" customHeight="1">
      <c r="A97" s="30"/>
    </row>
    <row r="98" ht="13.5" customHeight="1">
      <c r="A98" s="36"/>
    </row>
    <row r="99" ht="12.75" customHeight="1">
      <c r="A99" s="29"/>
    </row>
    <row r="100" ht="12.75" customHeight="1">
      <c r="A100" s="29"/>
    </row>
    <row r="101" ht="12.75" customHeight="1">
      <c r="A101" s="29"/>
    </row>
    <row r="102" ht="12.75" customHeight="1">
      <c r="A102" s="29"/>
    </row>
    <row r="103" ht="12.75" customHeight="1">
      <c r="A103" s="29"/>
    </row>
    <row r="104" ht="12.75" customHeight="1">
      <c r="A104" s="29"/>
    </row>
    <row r="105" ht="12.75" customHeight="1">
      <c r="A105" s="29"/>
    </row>
    <row r="106" ht="12.75" customHeight="1">
      <c r="A106" s="31"/>
    </row>
    <row r="107" ht="12.75" customHeight="1">
      <c r="A107" s="30"/>
    </row>
    <row r="108" ht="13.5" customHeight="1">
      <c r="A108" s="36"/>
    </row>
    <row r="109" ht="12.75" customHeight="1">
      <c r="A109" s="29"/>
    </row>
    <row r="110" ht="12.75" customHeight="1">
      <c r="A110" s="29"/>
    </row>
    <row r="111" ht="12.75" customHeight="1">
      <c r="A111" s="29"/>
    </row>
    <row r="112" ht="12.75" customHeight="1">
      <c r="A112" s="29"/>
    </row>
    <row r="113" ht="12.75" customHeight="1">
      <c r="A113" s="29"/>
    </row>
    <row r="114" ht="12.75" customHeight="1">
      <c r="A114" s="29"/>
    </row>
    <row r="115" ht="12.75" customHeight="1">
      <c r="A115" s="29"/>
    </row>
    <row r="116" ht="12.75" customHeight="1">
      <c r="A116" s="31"/>
    </row>
    <row r="117" ht="12.75" customHeight="1">
      <c r="A117" s="30"/>
    </row>
    <row r="118" ht="13.5" customHeight="1">
      <c r="A118" s="36"/>
    </row>
    <row r="119" ht="12.75" customHeight="1">
      <c r="A119" s="29"/>
    </row>
    <row r="120" ht="12.75" customHeight="1">
      <c r="A120" s="29"/>
    </row>
    <row r="121" ht="12.75" customHeight="1">
      <c r="A121" s="29"/>
    </row>
    <row r="122" ht="12.75" customHeight="1">
      <c r="A122" s="29"/>
    </row>
    <row r="123" ht="12.75" customHeight="1">
      <c r="A123" s="29"/>
    </row>
    <row r="124" ht="12.75" customHeight="1">
      <c r="A124" s="29"/>
    </row>
    <row r="125" ht="12.75" customHeight="1">
      <c r="A125" s="29"/>
    </row>
    <row r="126" ht="12.75" customHeight="1">
      <c r="A126" s="31"/>
    </row>
    <row r="127" ht="12.75" customHeight="1">
      <c r="A127" s="30"/>
    </row>
    <row r="128" ht="13.5" customHeight="1">
      <c r="A128" s="36"/>
    </row>
    <row r="129" ht="12.75" customHeight="1">
      <c r="A129" s="29"/>
    </row>
    <row r="130" ht="12.75" customHeight="1">
      <c r="A130" s="29"/>
    </row>
    <row r="131" ht="12.75" customHeight="1">
      <c r="A131" s="29"/>
    </row>
    <row r="132" ht="12.75" customHeight="1">
      <c r="A132" s="29"/>
    </row>
    <row r="133" ht="12.75" customHeight="1">
      <c r="A133" s="29"/>
    </row>
    <row r="134" ht="12.75" customHeight="1">
      <c r="A134" s="29"/>
    </row>
    <row r="135" ht="12.75" customHeight="1">
      <c r="A135" s="29"/>
    </row>
    <row r="136" ht="12.75" customHeight="1">
      <c r="A136" s="31"/>
    </row>
    <row r="137" ht="12.75" customHeight="1">
      <c r="A137" s="30"/>
    </row>
    <row r="138" ht="13.5" customHeight="1">
      <c r="A138" s="36"/>
    </row>
    <row r="139" ht="12.75" customHeight="1">
      <c r="A139" s="29"/>
    </row>
    <row r="140" ht="12.75" customHeight="1">
      <c r="A140" s="29"/>
    </row>
    <row r="141" ht="12.75" customHeight="1">
      <c r="A141" s="29"/>
    </row>
    <row r="142" ht="12.75" customHeight="1">
      <c r="A142" s="29"/>
    </row>
    <row r="143" ht="12.75" customHeight="1">
      <c r="A143" s="29"/>
    </row>
    <row r="144" ht="12.75" customHeight="1">
      <c r="A144" s="29"/>
    </row>
    <row r="145" ht="12.75" customHeight="1">
      <c r="A145" s="29"/>
    </row>
    <row r="146" ht="12.75" customHeight="1">
      <c r="A146" s="31"/>
    </row>
    <row r="147" ht="12.75" customHeight="1">
      <c r="A147" s="30"/>
    </row>
  </sheetData>
  <mergeCells count="4">
    <mergeCell ref="A29:A49"/>
    <mergeCell ref="A3:A23"/>
    <mergeCell ref="A1:L1"/>
    <mergeCell ref="A2:J2"/>
  </mergeCells>
  <conditionalFormatting sqref="K4:K23">
    <cfRule type="cellIs" dxfId="0" priority="1" operator="greaterThanOrEqual">
      <formula>0</formula>
    </cfRule>
  </conditionalFormatting>
  <conditionalFormatting sqref="K4:K23">
    <cfRule type="cellIs" dxfId="1" priority="2" operator="lessThan">
      <formula>0</formula>
    </cfRule>
  </conditionalFormatting>
  <conditionalFormatting sqref="L4:L23">
    <cfRule type="cellIs" dxfId="0" priority="3" operator="greaterThanOrEqual">
      <formula>0</formula>
    </cfRule>
  </conditionalFormatting>
  <conditionalFormatting sqref="L4:L23">
    <cfRule type="cellIs" dxfId="1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0.38"/>
    <col customWidth="1" hidden="1" min="3" max="4" width="7.5"/>
    <col customWidth="1" hidden="1" min="5" max="5" width="8.0"/>
    <col customWidth="1" hidden="1" min="6" max="6" width="11.0"/>
    <col customWidth="1" hidden="1" min="7" max="7" width="9.63"/>
    <col customWidth="1" hidden="1" min="8" max="8" width="11.63"/>
    <col customWidth="1" min="9" max="9" width="13.63"/>
    <col customWidth="1" min="10" max="10" width="1.5"/>
    <col customWidth="1" min="11" max="11" width="16.38"/>
    <col customWidth="1" min="12" max="12" width="14.63"/>
    <col customWidth="1" min="13" max="13" width="14.13"/>
  </cols>
  <sheetData>
    <row r="1" ht="41.25" customHeight="1">
      <c r="A1" s="4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38.25" customHeight="1">
      <c r="A2" s="45" t="s">
        <v>19</v>
      </c>
      <c r="B2" s="46"/>
      <c r="C2" s="46"/>
      <c r="D2" s="46"/>
      <c r="E2" s="46"/>
      <c r="F2" s="46"/>
      <c r="G2" s="46"/>
      <c r="H2" s="46"/>
      <c r="I2" s="46"/>
      <c r="J2" s="46"/>
      <c r="K2" s="47"/>
      <c r="L2" s="48" t="s">
        <v>2</v>
      </c>
      <c r="M2" s="49" t="str">
        <f>B26</f>
        <v>4.54%</v>
      </c>
    </row>
    <row r="3" ht="76.5" customHeight="1">
      <c r="A3" s="10" t="s">
        <v>3</v>
      </c>
      <c r="B3" s="50" t="s">
        <v>4</v>
      </c>
      <c r="C3" s="50" t="s">
        <v>5</v>
      </c>
      <c r="D3" s="50" t="s">
        <v>6</v>
      </c>
      <c r="E3" s="50" t="s">
        <v>7</v>
      </c>
      <c r="F3" s="50" t="s">
        <v>8</v>
      </c>
      <c r="G3" s="50" t="s">
        <v>9</v>
      </c>
      <c r="H3" s="50" t="s">
        <v>20</v>
      </c>
      <c r="I3" s="51" t="s">
        <v>10</v>
      </c>
      <c r="J3" s="52"/>
      <c r="K3" s="53" t="s">
        <v>11</v>
      </c>
      <c r="L3" s="50" t="s">
        <v>12</v>
      </c>
      <c r="M3" s="51" t="s">
        <v>13</v>
      </c>
    </row>
    <row r="4" ht="14.25" customHeight="1">
      <c r="A4" s="15"/>
      <c r="B4" s="16">
        <v>1.0</v>
      </c>
      <c r="C4" s="17">
        <v>0.0</v>
      </c>
      <c r="D4" s="17">
        <v>0.0</v>
      </c>
      <c r="E4" s="17">
        <v>0.0</v>
      </c>
      <c r="F4" s="17">
        <v>0.0</v>
      </c>
      <c r="G4" s="17">
        <v>2.75</v>
      </c>
      <c r="H4" s="17">
        <v>0.5</v>
      </c>
      <c r="I4" s="54" t="str">
        <f t="shared" ref="I4:I23" si="1">SUM(C4:H4)</f>
        <v>3.25</v>
      </c>
      <c r="J4" s="13"/>
      <c r="K4" s="19" t="str">
        <f t="shared" ref="K4:K23" si="2">I32</f>
        <v>  8.03 </v>
      </c>
      <c r="L4" s="20" t="str">
        <f t="shared" ref="L4:L23" si="3">K4-I4</f>
        <v>  4.78 </v>
      </c>
      <c r="M4" s="21" t="str">
        <f t="shared" ref="M4:M23" si="4">L4/K4</f>
        <v>59.51%</v>
      </c>
    </row>
    <row r="5" ht="15.75" customHeight="1">
      <c r="A5" s="15"/>
      <c r="B5" s="16">
        <v>2.0</v>
      </c>
      <c r="C5" s="17">
        <v>0.0</v>
      </c>
      <c r="D5" s="17">
        <v>0.0</v>
      </c>
      <c r="E5" s="17">
        <v>0.86</v>
      </c>
      <c r="F5" s="17">
        <v>0.0</v>
      </c>
      <c r="G5" s="17">
        <v>2.75</v>
      </c>
      <c r="H5" s="17">
        <v>0.5</v>
      </c>
      <c r="I5" s="54" t="str">
        <f t="shared" si="1"/>
        <v>4.11</v>
      </c>
      <c r="J5" s="13"/>
      <c r="K5" s="19" t="str">
        <f t="shared" si="2"/>
        <v>  8.03 </v>
      </c>
      <c r="L5" s="20" t="str">
        <f t="shared" si="3"/>
        <v>  3.92 </v>
      </c>
      <c r="M5" s="21" t="str">
        <f t="shared" si="4"/>
        <v>48.80%</v>
      </c>
    </row>
    <row r="6" ht="15.75" customHeight="1">
      <c r="A6" s="15"/>
      <c r="B6" s="16">
        <v>3.0</v>
      </c>
      <c r="C6" s="17">
        <v>0.27</v>
      </c>
      <c r="D6" s="17">
        <v>0.31</v>
      </c>
      <c r="E6" s="17">
        <v>0.95</v>
      </c>
      <c r="F6" s="17">
        <v>0.23</v>
      </c>
      <c r="G6" s="17">
        <v>2.75</v>
      </c>
      <c r="H6" s="17">
        <v>0.5</v>
      </c>
      <c r="I6" s="54" t="str">
        <f t="shared" si="1"/>
        <v>5.01</v>
      </c>
      <c r="J6" s="13"/>
      <c r="K6" s="19" t="str">
        <f t="shared" si="2"/>
        <v>  8.03 </v>
      </c>
      <c r="L6" s="20" t="str">
        <f t="shared" si="3"/>
        <v>  3.02 </v>
      </c>
      <c r="M6" s="21" t="str">
        <f t="shared" si="4"/>
        <v>37.59%</v>
      </c>
    </row>
    <row r="7" ht="15.75" customHeight="1">
      <c r="A7" s="15"/>
      <c r="B7" s="16">
        <v>4.0</v>
      </c>
      <c r="C7" s="17">
        <v>0.35</v>
      </c>
      <c r="D7" s="17">
        <v>0.35</v>
      </c>
      <c r="E7" s="17">
        <v>1.04</v>
      </c>
      <c r="F7" s="17">
        <v>0.25</v>
      </c>
      <c r="G7" s="17">
        <v>2.99</v>
      </c>
      <c r="H7" s="17">
        <v>0.5</v>
      </c>
      <c r="I7" s="54" t="str">
        <f t="shared" si="1"/>
        <v>5.48</v>
      </c>
      <c r="J7" s="13"/>
      <c r="K7" s="19" t="str">
        <f t="shared" si="2"/>
        <v>  8.03 </v>
      </c>
      <c r="L7" s="20" t="str">
        <f t="shared" si="3"/>
        <v>  2.55 </v>
      </c>
      <c r="M7" s="21" t="str">
        <f t="shared" si="4"/>
        <v>31.73%</v>
      </c>
    </row>
    <row r="8" ht="15.75" customHeight="1">
      <c r="A8" s="15"/>
      <c r="B8" s="16">
        <v>5.0</v>
      </c>
      <c r="C8" s="17">
        <v>0.35</v>
      </c>
      <c r="D8" s="17">
        <v>0.35</v>
      </c>
      <c r="E8" s="17">
        <v>1.05</v>
      </c>
      <c r="F8" s="17">
        <v>0.25</v>
      </c>
      <c r="G8" s="17">
        <v>3.02</v>
      </c>
      <c r="H8" s="17">
        <v>0.5</v>
      </c>
      <c r="I8" s="54" t="str">
        <f t="shared" si="1"/>
        <v>5.52</v>
      </c>
      <c r="J8" s="13"/>
      <c r="K8" s="19" t="str">
        <f t="shared" si="2"/>
        <v>  8.03 </v>
      </c>
      <c r="L8" s="20" t="str">
        <f t="shared" si="3"/>
        <v>  2.51 </v>
      </c>
      <c r="M8" s="21" t="str">
        <f t="shared" si="4"/>
        <v>31.24%</v>
      </c>
    </row>
    <row r="9" ht="15.75" customHeight="1">
      <c r="A9" s="15"/>
      <c r="B9" s="16">
        <v>6.0</v>
      </c>
      <c r="C9" s="17">
        <v>0.38</v>
      </c>
      <c r="D9" s="17">
        <v>0.38</v>
      </c>
      <c r="E9" s="17">
        <v>1.15</v>
      </c>
      <c r="F9" s="17">
        <v>0.27</v>
      </c>
      <c r="G9" s="17">
        <v>3.28</v>
      </c>
      <c r="H9" s="17">
        <v>0.5</v>
      </c>
      <c r="I9" s="54" t="str">
        <f t="shared" si="1"/>
        <v>5.96</v>
      </c>
      <c r="J9" s="13"/>
      <c r="K9" s="19" t="str">
        <f t="shared" si="2"/>
        <v>  8.03 </v>
      </c>
      <c r="L9" s="20" t="str">
        <f t="shared" si="3"/>
        <v>  2.07 </v>
      </c>
      <c r="M9" s="21" t="str">
        <f t="shared" si="4"/>
        <v>25.76%</v>
      </c>
    </row>
    <row r="10" ht="15.75" customHeight="1">
      <c r="A10" s="15"/>
      <c r="B10" s="16">
        <v>7.0</v>
      </c>
      <c r="C10" s="17">
        <v>0.39</v>
      </c>
      <c r="D10" s="17">
        <v>0.39</v>
      </c>
      <c r="E10" s="17">
        <v>1.16</v>
      </c>
      <c r="F10" s="17">
        <v>0.28</v>
      </c>
      <c r="G10" s="17">
        <v>3.3</v>
      </c>
      <c r="H10" s="17">
        <v>0.5</v>
      </c>
      <c r="I10" s="54" t="str">
        <f t="shared" si="1"/>
        <v>6.02</v>
      </c>
      <c r="J10" s="13"/>
      <c r="K10" s="19" t="str">
        <f t="shared" si="2"/>
        <v>  8.03 </v>
      </c>
      <c r="L10" s="20" t="str">
        <f t="shared" si="3"/>
        <v>  2.01 </v>
      </c>
      <c r="M10" s="21" t="str">
        <f t="shared" si="4"/>
        <v>25.01%</v>
      </c>
    </row>
    <row r="11" ht="15.75" customHeight="1">
      <c r="A11" s="15"/>
      <c r="B11" s="16">
        <v>8.0</v>
      </c>
      <c r="C11" s="17">
        <v>0.39</v>
      </c>
      <c r="D11" s="17">
        <v>0.39</v>
      </c>
      <c r="E11" s="17">
        <v>1.17</v>
      </c>
      <c r="F11" s="17">
        <v>0.28</v>
      </c>
      <c r="G11" s="17">
        <v>3.35</v>
      </c>
      <c r="H11" s="17">
        <v>0.5</v>
      </c>
      <c r="I11" s="54" t="str">
        <f t="shared" si="1"/>
        <v>6.08</v>
      </c>
      <c r="J11" s="13"/>
      <c r="K11" s="19" t="str">
        <f t="shared" si="2"/>
        <v>  8.03 </v>
      </c>
      <c r="L11" s="20" t="str">
        <f t="shared" si="3"/>
        <v>  1.95 </v>
      </c>
      <c r="M11" s="21" t="str">
        <f t="shared" si="4"/>
        <v>24.26%</v>
      </c>
    </row>
    <row r="12" ht="15.75" customHeight="1">
      <c r="A12" s="15"/>
      <c r="B12" s="16">
        <v>9.0</v>
      </c>
      <c r="C12" s="17">
        <v>0.42</v>
      </c>
      <c r="D12" s="17">
        <v>0.42</v>
      </c>
      <c r="E12" s="17">
        <v>1.25</v>
      </c>
      <c r="F12" s="17">
        <v>0.3</v>
      </c>
      <c r="G12" s="17">
        <v>3.57</v>
      </c>
      <c r="H12" s="17">
        <v>0.5</v>
      </c>
      <c r="I12" s="54" t="str">
        <f t="shared" si="1"/>
        <v>6.46</v>
      </c>
      <c r="J12" s="13"/>
      <c r="K12" s="19" t="str">
        <f t="shared" si="2"/>
        <v>  8.03 </v>
      </c>
      <c r="L12" s="20" t="str">
        <f t="shared" si="3"/>
        <v>  1.57 </v>
      </c>
      <c r="M12" s="21" t="str">
        <f t="shared" si="4"/>
        <v>19.53%</v>
      </c>
    </row>
    <row r="13" ht="15.75" customHeight="1">
      <c r="A13" s="15"/>
      <c r="B13" s="16">
        <v>10.0</v>
      </c>
      <c r="C13" s="17">
        <v>0.43</v>
      </c>
      <c r="D13" s="17">
        <v>0.43</v>
      </c>
      <c r="E13" s="17">
        <v>1.26</v>
      </c>
      <c r="F13" s="17">
        <v>0.3</v>
      </c>
      <c r="G13" s="17">
        <v>3.6</v>
      </c>
      <c r="H13" s="17">
        <v>0.5</v>
      </c>
      <c r="I13" s="54" t="str">
        <f t="shared" si="1"/>
        <v>6.52</v>
      </c>
      <c r="J13" s="13"/>
      <c r="K13" s="19" t="str">
        <f t="shared" si="2"/>
        <v>  8.03 </v>
      </c>
      <c r="L13" s="20" t="str">
        <f t="shared" si="3"/>
        <v>  1.51 </v>
      </c>
      <c r="M13" s="21" t="str">
        <f t="shared" si="4"/>
        <v>18.78%</v>
      </c>
    </row>
    <row r="14" ht="15.75" customHeight="1">
      <c r="A14" s="15"/>
      <c r="B14" s="16">
        <v>11.0</v>
      </c>
      <c r="C14" s="17">
        <v>0.46</v>
      </c>
      <c r="D14" s="17">
        <v>0.46</v>
      </c>
      <c r="E14" s="17">
        <v>1.38</v>
      </c>
      <c r="F14" s="17">
        <v>0.33</v>
      </c>
      <c r="G14" s="17">
        <v>3.94</v>
      </c>
      <c r="H14" s="17">
        <v>0.5</v>
      </c>
      <c r="I14" s="54" t="str">
        <f t="shared" si="1"/>
        <v>7.07</v>
      </c>
      <c r="J14" s="13"/>
      <c r="K14" s="19" t="str">
        <f t="shared" si="2"/>
        <v>  8.03 </v>
      </c>
      <c r="L14" s="20" t="str">
        <f t="shared" si="3"/>
        <v>  0.96 </v>
      </c>
      <c r="M14" s="21" t="str">
        <f t="shared" si="4"/>
        <v>11.93%</v>
      </c>
    </row>
    <row r="15" ht="15.75" customHeight="1">
      <c r="A15" s="15"/>
      <c r="B15" s="16">
        <v>12.0</v>
      </c>
      <c r="C15" s="17">
        <v>0.46</v>
      </c>
      <c r="D15" s="17">
        <v>0.46</v>
      </c>
      <c r="E15" s="17">
        <v>1.39</v>
      </c>
      <c r="F15" s="17">
        <v>0.33</v>
      </c>
      <c r="G15" s="17">
        <v>3.99</v>
      </c>
      <c r="H15" s="17">
        <v>0.5</v>
      </c>
      <c r="I15" s="54" t="str">
        <f t="shared" si="1"/>
        <v>7.13</v>
      </c>
      <c r="J15" s="13"/>
      <c r="K15" s="19" t="str">
        <f t="shared" si="2"/>
        <v>  8.03 </v>
      </c>
      <c r="L15" s="20" t="str">
        <f t="shared" si="3"/>
        <v>  0.90 </v>
      </c>
      <c r="M15" s="21" t="str">
        <f t="shared" si="4"/>
        <v>11.18%</v>
      </c>
    </row>
    <row r="16" ht="15.75" customHeight="1">
      <c r="A16" s="15"/>
      <c r="B16" s="16">
        <v>13.0</v>
      </c>
      <c r="C16" s="17">
        <v>0.47</v>
      </c>
      <c r="D16" s="17">
        <v>0.47</v>
      </c>
      <c r="E16" s="17">
        <v>1.4</v>
      </c>
      <c r="F16" s="17">
        <v>0.33</v>
      </c>
      <c r="G16" s="17">
        <v>4.01</v>
      </c>
      <c r="H16" s="17">
        <v>0.5</v>
      </c>
      <c r="I16" s="54" t="str">
        <f t="shared" si="1"/>
        <v>7.18</v>
      </c>
      <c r="J16" s="13"/>
      <c r="K16" s="19" t="str">
        <f t="shared" si="2"/>
        <v>  8.03 </v>
      </c>
      <c r="L16" s="20" t="str">
        <f t="shared" si="3"/>
        <v>  0.85 </v>
      </c>
      <c r="M16" s="21" t="str">
        <f t="shared" si="4"/>
        <v>10.56%</v>
      </c>
    </row>
    <row r="17" ht="15.75" customHeight="1">
      <c r="A17" s="15"/>
      <c r="B17" s="16">
        <v>14.0</v>
      </c>
      <c r="C17" s="17">
        <v>0.47</v>
      </c>
      <c r="D17" s="17">
        <v>0.47</v>
      </c>
      <c r="E17" s="17">
        <v>1.42</v>
      </c>
      <c r="F17" s="17">
        <v>0.34</v>
      </c>
      <c r="G17" s="17">
        <v>4.05</v>
      </c>
      <c r="H17" s="17">
        <v>0.5</v>
      </c>
      <c r="I17" s="54" t="str">
        <f t="shared" si="1"/>
        <v>7.25</v>
      </c>
      <c r="J17" s="13"/>
      <c r="K17" s="19" t="str">
        <f t="shared" si="2"/>
        <v>  8.03 </v>
      </c>
      <c r="L17" s="20" t="str">
        <f t="shared" si="3"/>
        <v>  0.78 </v>
      </c>
      <c r="M17" s="21" t="str">
        <f t="shared" si="4"/>
        <v>9.69%</v>
      </c>
    </row>
    <row r="18" ht="15.75" customHeight="1">
      <c r="A18" s="15"/>
      <c r="B18" s="16">
        <v>15.0</v>
      </c>
      <c r="C18" s="17">
        <v>0.48</v>
      </c>
      <c r="D18" s="17">
        <v>0.48</v>
      </c>
      <c r="E18" s="17">
        <v>1.43</v>
      </c>
      <c r="F18" s="17">
        <v>0.34</v>
      </c>
      <c r="G18" s="17">
        <v>4.08</v>
      </c>
      <c r="H18" s="17">
        <v>0.5</v>
      </c>
      <c r="I18" s="54" t="str">
        <f t="shared" si="1"/>
        <v>7.31</v>
      </c>
      <c r="J18" s="13"/>
      <c r="K18" s="19" t="str">
        <f t="shared" si="2"/>
        <v>  8.03 </v>
      </c>
      <c r="L18" s="20" t="str">
        <f t="shared" si="3"/>
        <v>  0.72 </v>
      </c>
      <c r="M18" s="21" t="str">
        <f t="shared" si="4"/>
        <v>8.94%</v>
      </c>
    </row>
    <row r="19" ht="15.75" customHeight="1">
      <c r="A19" s="15"/>
      <c r="B19" s="16">
        <v>16.0</v>
      </c>
      <c r="C19" s="17">
        <v>0.52</v>
      </c>
      <c r="D19" s="17">
        <v>0.52</v>
      </c>
      <c r="E19" s="17">
        <v>1.56</v>
      </c>
      <c r="F19" s="17">
        <v>0.37</v>
      </c>
      <c r="G19" s="17">
        <v>4.44</v>
      </c>
      <c r="H19" s="17">
        <v>0.5</v>
      </c>
      <c r="I19" s="54" t="str">
        <f t="shared" si="1"/>
        <v>7.91</v>
      </c>
      <c r="J19" s="13"/>
      <c r="K19" s="19" t="str">
        <f t="shared" si="2"/>
        <v>  8.03 </v>
      </c>
      <c r="L19" s="20" t="str">
        <f t="shared" si="3"/>
        <v>  0.12 </v>
      </c>
      <c r="M19" s="21" t="str">
        <f t="shared" si="4"/>
        <v>1.46%</v>
      </c>
    </row>
    <row r="20" ht="15.75" customHeight="1">
      <c r="A20" s="15"/>
      <c r="B20" s="16">
        <v>17.0</v>
      </c>
      <c r="C20" s="17">
        <v>0.52</v>
      </c>
      <c r="D20" s="17">
        <v>0.52</v>
      </c>
      <c r="E20" s="17">
        <v>1.57</v>
      </c>
      <c r="F20" s="17">
        <v>0.37</v>
      </c>
      <c r="G20" s="17">
        <v>4.49</v>
      </c>
      <c r="H20" s="17">
        <v>0.5</v>
      </c>
      <c r="I20" s="54" t="str">
        <f t="shared" si="1"/>
        <v>7.97</v>
      </c>
      <c r="J20" s="13"/>
      <c r="K20" s="19" t="str">
        <f t="shared" si="2"/>
        <v>  8.04 </v>
      </c>
      <c r="L20" s="20" t="str">
        <f t="shared" si="3"/>
        <v>  0.07 </v>
      </c>
      <c r="M20" s="21" t="str">
        <f t="shared" si="4"/>
        <v>0.91%</v>
      </c>
    </row>
    <row r="21" ht="15.75" customHeight="1">
      <c r="A21" s="15"/>
      <c r="B21" s="16">
        <v>18.0</v>
      </c>
      <c r="C21" s="17">
        <v>0.53</v>
      </c>
      <c r="D21" s="17">
        <v>0.53</v>
      </c>
      <c r="E21" s="17">
        <v>1.58</v>
      </c>
      <c r="F21" s="17">
        <v>0.38</v>
      </c>
      <c r="G21" s="17">
        <v>4.52</v>
      </c>
      <c r="H21" s="17">
        <v>0.5</v>
      </c>
      <c r="I21" s="54" t="str">
        <f t="shared" si="1"/>
        <v>8.04</v>
      </c>
      <c r="J21" s="13"/>
      <c r="K21" s="19" t="str">
        <f t="shared" si="2"/>
        <v>  8.09 </v>
      </c>
      <c r="L21" s="20" t="str">
        <f t="shared" si="3"/>
        <v>  0.05 </v>
      </c>
      <c r="M21" s="21" t="str">
        <f t="shared" si="4"/>
        <v>0.58%</v>
      </c>
    </row>
    <row r="22" ht="15.75" customHeight="1">
      <c r="A22" s="15"/>
      <c r="B22" s="16">
        <v>19.0</v>
      </c>
      <c r="C22" s="17">
        <v>0.53</v>
      </c>
      <c r="D22" s="17">
        <v>0.53</v>
      </c>
      <c r="E22" s="17">
        <v>1.6</v>
      </c>
      <c r="F22" s="17">
        <v>0.38</v>
      </c>
      <c r="G22" s="17">
        <v>4.56</v>
      </c>
      <c r="H22" s="17">
        <v>0.5</v>
      </c>
      <c r="I22" s="54" t="str">
        <f t="shared" si="1"/>
        <v>8.1</v>
      </c>
      <c r="J22" s="13"/>
      <c r="K22" s="19" t="str">
        <f t="shared" si="2"/>
        <v>  8.13 </v>
      </c>
      <c r="L22" s="20" t="str">
        <f t="shared" si="3"/>
        <v>  0.03 </v>
      </c>
      <c r="M22" s="21" t="str">
        <f t="shared" si="4"/>
        <v>0.32%</v>
      </c>
    </row>
    <row r="23" ht="16.5" customHeight="1">
      <c r="A23" s="22"/>
      <c r="B23" s="23">
        <v>20.0</v>
      </c>
      <c r="C23" s="24">
        <v>0.54</v>
      </c>
      <c r="D23" s="24">
        <v>0.54</v>
      </c>
      <c r="E23" s="24">
        <v>1.6</v>
      </c>
      <c r="F23" s="24">
        <v>0.38</v>
      </c>
      <c r="G23" s="24">
        <v>4.6</v>
      </c>
      <c r="H23" s="24">
        <v>0.5</v>
      </c>
      <c r="I23" s="55" t="str">
        <f t="shared" si="1"/>
        <v>8.16</v>
      </c>
      <c r="J23" s="13"/>
      <c r="K23" s="26" t="str">
        <f t="shared" si="2"/>
        <v>  8.16 </v>
      </c>
      <c r="L23" s="27" t="str">
        <f t="shared" si="3"/>
        <v>  0.00 </v>
      </c>
      <c r="M23" s="28" t="str">
        <f t="shared" si="4"/>
        <v>0.01%</v>
      </c>
    </row>
    <row r="24" ht="12.75" customHeight="1">
      <c r="A24" s="29"/>
    </row>
    <row r="25" ht="12.75" customHeight="1">
      <c r="A25" s="30"/>
      <c r="B25" s="29"/>
    </row>
    <row r="26" ht="18.0" customHeight="1">
      <c r="A26" s="31" t="s">
        <v>14</v>
      </c>
      <c r="B26" s="32">
        <v>0.0454</v>
      </c>
      <c r="C26" s="33" t="s">
        <v>15</v>
      </c>
      <c r="D26" s="33"/>
      <c r="E26" s="33"/>
      <c r="F26" s="33"/>
      <c r="G26" s="34"/>
      <c r="H26" s="33"/>
      <c r="I26" s="33"/>
      <c r="J26" s="33"/>
      <c r="K26" s="33"/>
    </row>
    <row r="27" ht="45.75" customHeight="1">
      <c r="A27" s="31" t="s">
        <v>16</v>
      </c>
      <c r="B27" s="35">
        <v>0.288</v>
      </c>
    </row>
    <row r="28" ht="63.75" customHeight="1">
      <c r="A28" s="31" t="s">
        <v>21</v>
      </c>
      <c r="B28" s="32">
        <v>0.0079</v>
      </c>
      <c r="C28" s="33" t="s">
        <v>22</v>
      </c>
      <c r="D28" s="33"/>
      <c r="E28" s="33"/>
      <c r="F28" s="33"/>
      <c r="G28" s="33"/>
    </row>
    <row r="29" ht="12.75" customHeight="1">
      <c r="A29" s="29"/>
      <c r="C29" s="29"/>
    </row>
    <row r="30" ht="12.75" customHeight="1">
      <c r="A30" s="29"/>
      <c r="C30" s="29"/>
    </row>
    <row r="31" ht="12.75" customHeight="1">
      <c r="A31" s="37" t="s">
        <v>11</v>
      </c>
      <c r="B31" s="38" t="s">
        <v>4</v>
      </c>
      <c r="C31" s="38" t="s">
        <v>5</v>
      </c>
      <c r="D31" s="38" t="s">
        <v>6</v>
      </c>
      <c r="E31" s="38" t="s">
        <v>7</v>
      </c>
      <c r="F31" s="38" t="s">
        <v>8</v>
      </c>
      <c r="G31" s="38" t="s">
        <v>9</v>
      </c>
      <c r="H31" s="38" t="s">
        <v>20</v>
      </c>
      <c r="I31" s="38" t="s">
        <v>17</v>
      </c>
    </row>
    <row r="32" ht="13.5" customHeight="1">
      <c r="A32" s="39"/>
      <c r="B32" s="40">
        <v>1.0</v>
      </c>
      <c r="C32" s="41">
        <v>1.2</v>
      </c>
      <c r="D32" s="42">
        <v>1.08</v>
      </c>
      <c r="E32" s="42">
        <v>3.0</v>
      </c>
      <c r="F32" s="42">
        <v>0.65</v>
      </c>
      <c r="G32" s="42" t="str">
        <f t="shared" ref="G32:G51" si="5">$B$26*$B$27*100</f>
        <v>1.30752</v>
      </c>
      <c r="H32" s="41" t="str">
        <f t="shared" ref="H32:H51" si="6">$B$28*100</f>
        <v>  0.79 </v>
      </c>
      <c r="I32" s="43" t="str">
        <f t="shared" ref="I32:I51" si="7">SUM(C32:H32)</f>
        <v>  8.03 </v>
      </c>
    </row>
    <row r="33" ht="13.5" customHeight="1">
      <c r="A33" s="39"/>
      <c r="B33" s="40">
        <v>2.0</v>
      </c>
      <c r="C33" s="41">
        <v>1.2</v>
      </c>
      <c r="D33" s="42">
        <v>1.08</v>
      </c>
      <c r="E33" s="42">
        <v>3.0</v>
      </c>
      <c r="F33" s="42">
        <v>0.65</v>
      </c>
      <c r="G33" s="42" t="str">
        <f t="shared" si="5"/>
        <v>1.30752</v>
      </c>
      <c r="H33" s="41" t="str">
        <f t="shared" si="6"/>
        <v>  0.79 </v>
      </c>
      <c r="I33" s="43" t="str">
        <f t="shared" si="7"/>
        <v>  8.03 </v>
      </c>
    </row>
    <row r="34" ht="13.5" customHeight="1">
      <c r="A34" s="39"/>
      <c r="B34" s="40">
        <v>3.0</v>
      </c>
      <c r="C34" s="41">
        <v>1.2</v>
      </c>
      <c r="D34" s="42">
        <v>1.08</v>
      </c>
      <c r="E34" s="42">
        <v>3.0</v>
      </c>
      <c r="F34" s="42">
        <v>0.65</v>
      </c>
      <c r="G34" s="42" t="str">
        <f t="shared" si="5"/>
        <v>1.30752</v>
      </c>
      <c r="H34" s="41" t="str">
        <f t="shared" si="6"/>
        <v>  0.79 </v>
      </c>
      <c r="I34" s="43" t="str">
        <f t="shared" si="7"/>
        <v>  8.03 </v>
      </c>
    </row>
    <row r="35" ht="13.5" customHeight="1">
      <c r="A35" s="39"/>
      <c r="B35" s="40">
        <v>4.0</v>
      </c>
      <c r="C35" s="41">
        <v>1.2</v>
      </c>
      <c r="D35" s="42">
        <v>1.08</v>
      </c>
      <c r="E35" s="42">
        <v>3.0</v>
      </c>
      <c r="F35" s="42">
        <v>0.65</v>
      </c>
      <c r="G35" s="42" t="str">
        <f t="shared" si="5"/>
        <v>1.30752</v>
      </c>
      <c r="H35" s="41" t="str">
        <f t="shared" si="6"/>
        <v>  0.79 </v>
      </c>
      <c r="I35" s="43" t="str">
        <f t="shared" si="7"/>
        <v>  8.03 </v>
      </c>
    </row>
    <row r="36" ht="13.5" customHeight="1">
      <c r="A36" s="39"/>
      <c r="B36" s="40">
        <v>5.0</v>
      </c>
      <c r="C36" s="41">
        <v>1.2</v>
      </c>
      <c r="D36" s="42">
        <v>1.08</v>
      </c>
      <c r="E36" s="42">
        <v>3.0</v>
      </c>
      <c r="F36" s="42">
        <v>0.65</v>
      </c>
      <c r="G36" s="42" t="str">
        <f t="shared" si="5"/>
        <v>1.30752</v>
      </c>
      <c r="H36" s="41" t="str">
        <f t="shared" si="6"/>
        <v>  0.79 </v>
      </c>
      <c r="I36" s="43" t="str">
        <f t="shared" si="7"/>
        <v>  8.03 </v>
      </c>
    </row>
    <row r="37" ht="13.5" customHeight="1">
      <c r="A37" s="39"/>
      <c r="B37" s="40">
        <v>6.0</v>
      </c>
      <c r="C37" s="41">
        <v>1.2</v>
      </c>
      <c r="D37" s="42">
        <v>1.08</v>
      </c>
      <c r="E37" s="42">
        <v>3.0</v>
      </c>
      <c r="F37" s="42">
        <v>0.65</v>
      </c>
      <c r="G37" s="42" t="str">
        <f t="shared" si="5"/>
        <v>1.30752</v>
      </c>
      <c r="H37" s="41" t="str">
        <f t="shared" si="6"/>
        <v>  0.79 </v>
      </c>
      <c r="I37" s="43" t="str">
        <f t="shared" si="7"/>
        <v>  8.03 </v>
      </c>
    </row>
    <row r="38" ht="13.5" customHeight="1">
      <c r="A38" s="39"/>
      <c r="B38" s="40">
        <v>7.0</v>
      </c>
      <c r="C38" s="41">
        <v>1.2</v>
      </c>
      <c r="D38" s="42">
        <v>1.08</v>
      </c>
      <c r="E38" s="42">
        <v>3.0</v>
      </c>
      <c r="F38" s="42">
        <v>0.65</v>
      </c>
      <c r="G38" s="42" t="str">
        <f t="shared" si="5"/>
        <v>1.30752</v>
      </c>
      <c r="H38" s="41" t="str">
        <f t="shared" si="6"/>
        <v>  0.79 </v>
      </c>
      <c r="I38" s="43" t="str">
        <f t="shared" si="7"/>
        <v>  8.03 </v>
      </c>
    </row>
    <row r="39" ht="13.5" customHeight="1">
      <c r="A39" s="39"/>
      <c r="B39" s="40">
        <v>8.0</v>
      </c>
      <c r="C39" s="41">
        <v>1.2</v>
      </c>
      <c r="D39" s="42">
        <v>1.08</v>
      </c>
      <c r="E39" s="42">
        <v>3.0</v>
      </c>
      <c r="F39" s="42">
        <v>0.65</v>
      </c>
      <c r="G39" s="42" t="str">
        <f t="shared" si="5"/>
        <v>1.30752</v>
      </c>
      <c r="H39" s="41" t="str">
        <f t="shared" si="6"/>
        <v>  0.79 </v>
      </c>
      <c r="I39" s="43" t="str">
        <f t="shared" si="7"/>
        <v>  8.03 </v>
      </c>
    </row>
    <row r="40" ht="13.5" customHeight="1">
      <c r="A40" s="39"/>
      <c r="B40" s="40">
        <v>9.0</v>
      </c>
      <c r="C40" s="41">
        <v>1.2</v>
      </c>
      <c r="D40" s="42">
        <v>1.08</v>
      </c>
      <c r="E40" s="42">
        <v>3.0</v>
      </c>
      <c r="F40" s="42">
        <v>0.65</v>
      </c>
      <c r="G40" s="42" t="str">
        <f t="shared" si="5"/>
        <v>1.30752</v>
      </c>
      <c r="H40" s="41" t="str">
        <f t="shared" si="6"/>
        <v>  0.79 </v>
      </c>
      <c r="I40" s="43" t="str">
        <f t="shared" si="7"/>
        <v>  8.03 </v>
      </c>
    </row>
    <row r="41" ht="13.5" customHeight="1">
      <c r="A41" s="39"/>
      <c r="B41" s="40">
        <v>10.0</v>
      </c>
      <c r="C41" s="41">
        <v>1.2</v>
      </c>
      <c r="D41" s="42">
        <v>1.08</v>
      </c>
      <c r="E41" s="42">
        <v>3.0</v>
      </c>
      <c r="F41" s="42">
        <v>0.65</v>
      </c>
      <c r="G41" s="42" t="str">
        <f t="shared" si="5"/>
        <v>1.30752</v>
      </c>
      <c r="H41" s="41" t="str">
        <f t="shared" si="6"/>
        <v>  0.79 </v>
      </c>
      <c r="I41" s="43" t="str">
        <f t="shared" si="7"/>
        <v>  8.03 </v>
      </c>
    </row>
    <row r="42" ht="13.5" customHeight="1">
      <c r="A42" s="39"/>
      <c r="B42" s="40">
        <v>11.0</v>
      </c>
      <c r="C42" s="41">
        <v>1.2</v>
      </c>
      <c r="D42" s="42">
        <v>1.08</v>
      </c>
      <c r="E42" s="42">
        <v>3.0</v>
      </c>
      <c r="F42" s="42">
        <v>0.65</v>
      </c>
      <c r="G42" s="42" t="str">
        <f t="shared" si="5"/>
        <v>1.30752</v>
      </c>
      <c r="H42" s="41" t="str">
        <f t="shared" si="6"/>
        <v>  0.79 </v>
      </c>
      <c r="I42" s="43" t="str">
        <f t="shared" si="7"/>
        <v>  8.03 </v>
      </c>
    </row>
    <row r="43" ht="13.5" customHeight="1">
      <c r="A43" s="39"/>
      <c r="B43" s="40">
        <v>12.0</v>
      </c>
      <c r="C43" s="41">
        <v>1.2</v>
      </c>
      <c r="D43" s="42">
        <v>1.08</v>
      </c>
      <c r="E43" s="42">
        <v>3.0</v>
      </c>
      <c r="F43" s="42">
        <v>0.65</v>
      </c>
      <c r="G43" s="42" t="str">
        <f t="shared" si="5"/>
        <v>1.30752</v>
      </c>
      <c r="H43" s="41" t="str">
        <f t="shared" si="6"/>
        <v>  0.79 </v>
      </c>
      <c r="I43" s="43" t="str">
        <f t="shared" si="7"/>
        <v>  8.03 </v>
      </c>
    </row>
    <row r="44" ht="13.5" customHeight="1">
      <c r="A44" s="39"/>
      <c r="B44" s="40">
        <v>13.0</v>
      </c>
      <c r="C44" s="41">
        <v>1.2</v>
      </c>
      <c r="D44" s="42">
        <v>1.08</v>
      </c>
      <c r="E44" s="42">
        <v>3.0</v>
      </c>
      <c r="F44" s="42">
        <v>0.65</v>
      </c>
      <c r="G44" s="42" t="str">
        <f t="shared" si="5"/>
        <v>1.30752</v>
      </c>
      <c r="H44" s="41" t="str">
        <f t="shared" si="6"/>
        <v>  0.79 </v>
      </c>
      <c r="I44" s="43" t="str">
        <f t="shared" si="7"/>
        <v>  8.03 </v>
      </c>
    </row>
    <row r="45" ht="13.5" customHeight="1">
      <c r="A45" s="39"/>
      <c r="B45" s="40">
        <v>14.0</v>
      </c>
      <c r="C45" s="41">
        <v>1.2</v>
      </c>
      <c r="D45" s="42">
        <v>1.08</v>
      </c>
      <c r="E45" s="42">
        <v>3.0</v>
      </c>
      <c r="F45" s="42">
        <v>0.65</v>
      </c>
      <c r="G45" s="42" t="str">
        <f t="shared" si="5"/>
        <v>1.30752</v>
      </c>
      <c r="H45" s="41" t="str">
        <f t="shared" si="6"/>
        <v>  0.79 </v>
      </c>
      <c r="I45" s="43" t="str">
        <f t="shared" si="7"/>
        <v>  8.03 </v>
      </c>
    </row>
    <row r="46" ht="13.5" customHeight="1">
      <c r="A46" s="39"/>
      <c r="B46" s="40">
        <v>15.0</v>
      </c>
      <c r="C46" s="41">
        <v>1.2</v>
      </c>
      <c r="D46" s="42">
        <v>1.08</v>
      </c>
      <c r="E46" s="42">
        <v>3.0</v>
      </c>
      <c r="F46" s="42">
        <v>0.65</v>
      </c>
      <c r="G46" s="42" t="str">
        <f t="shared" si="5"/>
        <v>1.30752</v>
      </c>
      <c r="H46" s="41" t="str">
        <f t="shared" si="6"/>
        <v>  0.79 </v>
      </c>
      <c r="I46" s="43" t="str">
        <f t="shared" si="7"/>
        <v>  8.03 </v>
      </c>
    </row>
    <row r="47" ht="13.5" customHeight="1">
      <c r="A47" s="39"/>
      <c r="B47" s="40">
        <v>16.0</v>
      </c>
      <c r="C47" s="41">
        <v>1.2</v>
      </c>
      <c r="D47" s="42">
        <v>1.08</v>
      </c>
      <c r="E47" s="42">
        <v>3.0</v>
      </c>
      <c r="F47" s="42">
        <v>0.65</v>
      </c>
      <c r="G47" s="42" t="str">
        <f t="shared" si="5"/>
        <v>1.30752</v>
      </c>
      <c r="H47" s="41" t="str">
        <f t="shared" si="6"/>
        <v>  0.79 </v>
      </c>
      <c r="I47" s="43" t="str">
        <f t="shared" si="7"/>
        <v>  8.03 </v>
      </c>
    </row>
    <row r="48" ht="13.5" customHeight="1">
      <c r="A48" s="39"/>
      <c r="B48" s="40">
        <v>17.0</v>
      </c>
      <c r="C48" s="41">
        <v>1.215686274509804</v>
      </c>
      <c r="D48" s="42">
        <v>1.08</v>
      </c>
      <c r="E48" s="42">
        <v>3.0</v>
      </c>
      <c r="F48" s="42">
        <v>0.65</v>
      </c>
      <c r="G48" s="42" t="str">
        <f t="shared" si="5"/>
        <v>1.30752</v>
      </c>
      <c r="H48" s="41" t="str">
        <f t="shared" si="6"/>
        <v>  0.79 </v>
      </c>
      <c r="I48" s="43" t="str">
        <f t="shared" si="7"/>
        <v>  8.04 </v>
      </c>
    </row>
    <row r="49" ht="13.5" customHeight="1">
      <c r="A49" s="39"/>
      <c r="B49" s="40">
        <v>18.0</v>
      </c>
      <c r="C49" s="41">
        <v>1.2592592592592593</v>
      </c>
      <c r="D49" s="42">
        <v>1.08</v>
      </c>
      <c r="E49" s="42">
        <v>3.0</v>
      </c>
      <c r="F49" s="42">
        <v>0.65</v>
      </c>
      <c r="G49" s="42" t="str">
        <f t="shared" si="5"/>
        <v>1.30752</v>
      </c>
      <c r="H49" s="41" t="str">
        <f t="shared" si="6"/>
        <v>  0.79 </v>
      </c>
      <c r="I49" s="43" t="str">
        <f t="shared" si="7"/>
        <v>  8.09 </v>
      </c>
    </row>
    <row r="50" ht="13.5" customHeight="1">
      <c r="A50" s="39"/>
      <c r="B50" s="40">
        <v>19.0</v>
      </c>
      <c r="C50" s="41">
        <v>1.2982456140350878</v>
      </c>
      <c r="D50" s="42">
        <v>1.08</v>
      </c>
      <c r="E50" s="42">
        <v>3.0</v>
      </c>
      <c r="F50" s="42">
        <v>0.65</v>
      </c>
      <c r="G50" s="42" t="str">
        <f t="shared" si="5"/>
        <v>1.30752</v>
      </c>
      <c r="H50" s="41" t="str">
        <f t="shared" si="6"/>
        <v>  0.79 </v>
      </c>
      <c r="I50" s="43" t="str">
        <f t="shared" si="7"/>
        <v>  8.13 </v>
      </c>
    </row>
    <row r="51" ht="13.5" customHeight="1">
      <c r="A51" s="44"/>
      <c r="B51" s="40">
        <v>20.0</v>
      </c>
      <c r="C51" s="41">
        <v>1.3333333333333335</v>
      </c>
      <c r="D51" s="42">
        <v>1.08</v>
      </c>
      <c r="E51" s="42">
        <v>3.0</v>
      </c>
      <c r="F51" s="42">
        <v>0.65</v>
      </c>
      <c r="G51" s="42" t="str">
        <f t="shared" si="5"/>
        <v>1.30752</v>
      </c>
      <c r="H51" s="41" t="str">
        <f t="shared" si="6"/>
        <v>  0.79 </v>
      </c>
      <c r="I51" s="43" t="str">
        <f t="shared" si="7"/>
        <v>  8.16 </v>
      </c>
    </row>
    <row r="52" ht="12.75" customHeight="1">
      <c r="A52" s="29"/>
    </row>
    <row r="53" ht="12.75" customHeight="1">
      <c r="A53" s="29"/>
    </row>
    <row r="54" ht="12.75" customHeight="1">
      <c r="A54" s="31"/>
    </row>
    <row r="55" ht="12.75" customHeight="1">
      <c r="A55" s="30"/>
    </row>
    <row r="56" ht="13.5" customHeight="1">
      <c r="A56" s="36"/>
    </row>
    <row r="57" ht="12.75" customHeight="1">
      <c r="A57" s="29"/>
    </row>
    <row r="58" ht="12.75" customHeight="1">
      <c r="A58" s="29"/>
    </row>
    <row r="59" ht="12.75" customHeight="1">
      <c r="A59" s="29"/>
    </row>
    <row r="60" ht="12.75" customHeight="1">
      <c r="A60" s="29"/>
    </row>
    <row r="61" ht="12.75" customHeight="1">
      <c r="A61" s="29"/>
    </row>
    <row r="62" ht="12.75" customHeight="1">
      <c r="A62" s="29"/>
    </row>
    <row r="63" ht="12.75" customHeight="1">
      <c r="A63" s="29"/>
    </row>
    <row r="64" ht="12.75" customHeight="1">
      <c r="A64" s="31"/>
    </row>
    <row r="65" ht="12.75" customHeight="1">
      <c r="A65" s="30"/>
    </row>
    <row r="66" ht="13.5" customHeight="1">
      <c r="A66" s="36"/>
    </row>
    <row r="67" ht="12.75" customHeight="1">
      <c r="A67" s="29"/>
    </row>
    <row r="68" ht="12.75" customHeight="1">
      <c r="A68" s="29"/>
    </row>
    <row r="69" ht="12.75" customHeight="1">
      <c r="A69" s="29"/>
    </row>
    <row r="70" ht="12.75" customHeight="1">
      <c r="A70" s="29"/>
    </row>
    <row r="71" ht="12.75" customHeight="1">
      <c r="A71" s="29"/>
    </row>
    <row r="72" ht="12.75" customHeight="1">
      <c r="A72" s="29"/>
    </row>
    <row r="73" ht="12.75" customHeight="1">
      <c r="A73" s="29"/>
    </row>
    <row r="74" ht="12.75" customHeight="1">
      <c r="A74" s="31"/>
    </row>
    <row r="75" ht="12.75" customHeight="1">
      <c r="A75" s="30"/>
    </row>
    <row r="76" ht="13.5" customHeight="1">
      <c r="A76" s="36"/>
    </row>
    <row r="77" ht="12.75" customHeight="1">
      <c r="A77" s="29"/>
    </row>
    <row r="78" ht="12.75" customHeight="1">
      <c r="A78" s="29"/>
    </row>
    <row r="79" ht="12.75" customHeight="1">
      <c r="A79" s="29"/>
    </row>
    <row r="80" ht="12.75" customHeight="1">
      <c r="A80" s="29"/>
    </row>
    <row r="81" ht="12.75" customHeight="1">
      <c r="A81" s="29"/>
    </row>
    <row r="82" ht="12.75" customHeight="1">
      <c r="A82" s="29"/>
    </row>
    <row r="83" ht="12.75" customHeight="1">
      <c r="A83" s="29"/>
    </row>
    <row r="84" ht="12.75" customHeight="1">
      <c r="A84" s="31"/>
    </row>
    <row r="85" ht="12.75" customHeight="1">
      <c r="A85" s="30"/>
    </row>
    <row r="86" ht="13.5" customHeight="1">
      <c r="A86" s="36"/>
    </row>
    <row r="87" ht="12.75" customHeight="1">
      <c r="A87" s="29"/>
    </row>
    <row r="88" ht="12.75" customHeight="1">
      <c r="A88" s="29"/>
    </row>
    <row r="89" ht="12.75" customHeight="1">
      <c r="A89" s="29"/>
    </row>
    <row r="90" ht="12.75" customHeight="1">
      <c r="A90" s="29"/>
    </row>
    <row r="91" ht="12.75" customHeight="1">
      <c r="A91" s="29"/>
    </row>
    <row r="92" ht="12.75" customHeight="1">
      <c r="A92" s="29"/>
    </row>
    <row r="93" ht="12.75" customHeight="1">
      <c r="A93" s="29"/>
    </row>
    <row r="94" ht="12.75" customHeight="1">
      <c r="A94" s="31"/>
    </row>
    <row r="95" ht="12.75" customHeight="1">
      <c r="A95" s="30"/>
    </row>
    <row r="96" ht="13.5" customHeight="1">
      <c r="A96" s="36"/>
    </row>
    <row r="97" ht="12.75" customHeight="1">
      <c r="A97" s="29"/>
    </row>
    <row r="98" ht="12.75" customHeight="1">
      <c r="A98" s="29"/>
    </row>
    <row r="99" ht="12.75" customHeight="1">
      <c r="A99" s="29"/>
    </row>
    <row r="100" ht="12.75" customHeight="1">
      <c r="A100" s="29"/>
    </row>
    <row r="101" ht="12.75" customHeight="1">
      <c r="A101" s="29"/>
    </row>
    <row r="102" ht="12.75" customHeight="1">
      <c r="A102" s="29"/>
    </row>
    <row r="103" ht="12.75" customHeight="1">
      <c r="A103" s="29"/>
    </row>
    <row r="104" ht="12.75" customHeight="1">
      <c r="A104" s="31"/>
    </row>
    <row r="105" ht="12.75" customHeight="1">
      <c r="A105" s="30"/>
    </row>
    <row r="106" ht="13.5" customHeight="1">
      <c r="A106" s="36"/>
    </row>
    <row r="107" ht="12.75" customHeight="1">
      <c r="A107" s="29"/>
    </row>
    <row r="108" ht="12.75" customHeight="1">
      <c r="A108" s="29"/>
    </row>
    <row r="109" ht="12.75" customHeight="1">
      <c r="A109" s="29"/>
    </row>
    <row r="110" ht="12.75" customHeight="1">
      <c r="A110" s="29"/>
    </row>
    <row r="111" ht="12.75" customHeight="1">
      <c r="A111" s="29"/>
    </row>
    <row r="112" ht="12.75" customHeight="1">
      <c r="A112" s="29"/>
    </row>
    <row r="113" ht="12.75" customHeight="1">
      <c r="A113" s="29"/>
    </row>
    <row r="114" ht="12.75" customHeight="1">
      <c r="A114" s="31"/>
    </row>
    <row r="115" ht="12.75" customHeight="1">
      <c r="A115" s="30"/>
    </row>
    <row r="116" ht="13.5" customHeight="1">
      <c r="A116" s="36"/>
    </row>
    <row r="117" ht="12.75" customHeight="1">
      <c r="A117" s="29"/>
    </row>
    <row r="118" ht="12.75" customHeight="1">
      <c r="A118" s="29"/>
    </row>
    <row r="119" ht="12.75" customHeight="1">
      <c r="A119" s="29"/>
    </row>
    <row r="120" ht="12.75" customHeight="1">
      <c r="A120" s="29"/>
    </row>
    <row r="121" ht="12.75" customHeight="1">
      <c r="A121" s="29"/>
    </row>
    <row r="122" ht="12.75" customHeight="1">
      <c r="A122" s="29"/>
    </row>
    <row r="123" ht="12.75" customHeight="1">
      <c r="A123" s="29"/>
    </row>
    <row r="124" ht="12.75" customHeight="1">
      <c r="A124" s="31"/>
    </row>
    <row r="125" ht="12.75" customHeight="1">
      <c r="A125" s="30"/>
    </row>
    <row r="126" ht="13.5" customHeight="1">
      <c r="A126" s="36"/>
    </row>
    <row r="127" ht="12.75" customHeight="1">
      <c r="A127" s="29"/>
    </row>
    <row r="128" ht="12.75" customHeight="1">
      <c r="A128" s="29"/>
    </row>
    <row r="129" ht="12.75" customHeight="1">
      <c r="A129" s="29"/>
    </row>
    <row r="130" ht="12.75" customHeight="1">
      <c r="A130" s="29"/>
    </row>
    <row r="131" ht="12.75" customHeight="1">
      <c r="A131" s="29"/>
    </row>
    <row r="132" ht="12.75" customHeight="1">
      <c r="A132" s="29"/>
    </row>
    <row r="133" ht="12.75" customHeight="1">
      <c r="A133" s="29"/>
    </row>
    <row r="134" ht="12.75" customHeight="1">
      <c r="A134" s="31"/>
    </row>
    <row r="135" ht="12.75" customHeight="1">
      <c r="A135" s="30"/>
    </row>
    <row r="136" ht="13.5" customHeight="1">
      <c r="A136" s="36"/>
    </row>
    <row r="137" ht="12.75" customHeight="1">
      <c r="A137" s="29"/>
    </row>
    <row r="138" ht="12.75" customHeight="1">
      <c r="A138" s="29"/>
    </row>
    <row r="139" ht="12.75" customHeight="1">
      <c r="A139" s="29"/>
    </row>
    <row r="140" ht="12.75" customHeight="1">
      <c r="A140" s="29"/>
    </row>
    <row r="141" ht="12.75" customHeight="1">
      <c r="A141" s="29"/>
    </row>
    <row r="142" ht="12.75" customHeight="1">
      <c r="A142" s="29"/>
    </row>
    <row r="143" ht="12.75" customHeight="1">
      <c r="A143" s="29"/>
    </row>
    <row r="144" ht="12.75" customHeight="1">
      <c r="A144" s="31"/>
    </row>
    <row r="145" ht="12.75" customHeight="1">
      <c r="A145" s="30"/>
    </row>
  </sheetData>
  <mergeCells count="4">
    <mergeCell ref="A31:A51"/>
    <mergeCell ref="A3:A23"/>
    <mergeCell ref="A1:M1"/>
    <mergeCell ref="A2:K2"/>
  </mergeCells>
  <conditionalFormatting sqref="L4:L23">
    <cfRule type="cellIs" dxfId="0" priority="1" operator="greaterThanOrEqual">
      <formula>0</formula>
    </cfRule>
  </conditionalFormatting>
  <conditionalFormatting sqref="L4:L23">
    <cfRule type="cellIs" dxfId="1" priority="2" operator="lessThan">
      <formula>0</formula>
    </cfRule>
  </conditionalFormatting>
  <conditionalFormatting sqref="M4:M23">
    <cfRule type="cellIs" dxfId="0" priority="3" operator="greaterThanOrEqual">
      <formula>0</formula>
    </cfRule>
  </conditionalFormatting>
  <conditionalFormatting sqref="M4:M23">
    <cfRule type="cellIs" dxfId="1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3.5"/>
    <col customWidth="1" min="3" max="5" width="9.13"/>
    <col customWidth="1" min="6" max="7" width="11.0"/>
    <col customWidth="1" min="8" max="8" width="9.13"/>
    <col customWidth="1" min="9" max="9" width="21.5"/>
    <col customWidth="1" min="10" max="10" width="2.5"/>
    <col customWidth="1" min="11" max="11" width="19.88"/>
    <col customWidth="1" min="12" max="12" width="12.88"/>
    <col customWidth="1" min="13" max="13" width="13.5"/>
  </cols>
  <sheetData>
    <row r="1" ht="21.0" customHeight="1">
      <c r="A1" s="56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ht="72.0" customHeight="1">
      <c r="A2" s="4" t="s">
        <v>24</v>
      </c>
      <c r="B2" s="5"/>
      <c r="C2" s="5"/>
      <c r="D2" s="5"/>
      <c r="E2" s="5"/>
      <c r="F2" s="5"/>
      <c r="G2" s="5"/>
      <c r="H2" s="5"/>
      <c r="I2" s="5"/>
      <c r="J2" s="6"/>
      <c r="K2" s="57" t="s">
        <v>25</v>
      </c>
      <c r="L2" s="58" t="s">
        <v>14</v>
      </c>
      <c r="M2" s="59" t="str">
        <f>B26</f>
        <v>0.001%</v>
      </c>
    </row>
    <row r="3" ht="87.0" customHeight="1">
      <c r="A3" s="10" t="s">
        <v>3</v>
      </c>
      <c r="B3" s="60" t="s">
        <v>4</v>
      </c>
      <c r="C3" s="60" t="s">
        <v>5</v>
      </c>
      <c r="D3" s="60" t="s">
        <v>6</v>
      </c>
      <c r="E3" s="60" t="s">
        <v>7</v>
      </c>
      <c r="F3" s="60" t="s">
        <v>8</v>
      </c>
      <c r="G3" s="60" t="s">
        <v>9</v>
      </c>
      <c r="H3" s="60" t="s">
        <v>26</v>
      </c>
      <c r="I3" s="12" t="s">
        <v>27</v>
      </c>
      <c r="J3" s="61"/>
      <c r="K3" s="62" t="s">
        <v>11</v>
      </c>
      <c r="L3" s="60" t="s">
        <v>12</v>
      </c>
      <c r="M3" s="63" t="s">
        <v>13</v>
      </c>
    </row>
    <row r="4" ht="14.25" customHeight="1">
      <c r="A4" s="15"/>
      <c r="B4" s="16">
        <v>1.0</v>
      </c>
      <c r="C4" s="17">
        <v>0.0</v>
      </c>
      <c r="D4" s="17">
        <v>0.0</v>
      </c>
      <c r="E4" s="17">
        <v>0.0</v>
      </c>
      <c r="F4" s="17">
        <v>0.0</v>
      </c>
      <c r="G4" s="17">
        <v>4.0</v>
      </c>
      <c r="H4" s="17">
        <v>2.0</v>
      </c>
      <c r="I4" s="64" t="str">
        <f t="shared" ref="I4:I23" si="1">SUM(C4:H4)</f>
        <v>  6.00 </v>
      </c>
      <c r="J4" s="13"/>
      <c r="K4" s="19" t="str">
        <f t="shared" ref="K4:K23" si="2">I32</f>
        <v>  16.33 </v>
      </c>
      <c r="L4" s="20" t="str">
        <f t="shared" ref="L4:L23" si="3">K4-I4</f>
        <v>  10.33 </v>
      </c>
      <c r="M4" s="21" t="str">
        <f t="shared" ref="M4:M23" si="4">L4/K4</f>
        <v>63.26%</v>
      </c>
    </row>
    <row r="5" ht="15.75" customHeight="1">
      <c r="A5" s="15"/>
      <c r="B5" s="16">
        <v>2.0</v>
      </c>
      <c r="C5" s="17">
        <v>0.0</v>
      </c>
      <c r="D5" s="17">
        <v>0.0</v>
      </c>
      <c r="E5" s="17">
        <v>1.42</v>
      </c>
      <c r="F5" s="17">
        <v>0.0</v>
      </c>
      <c r="G5" s="17">
        <v>4.0</v>
      </c>
      <c r="H5" s="17">
        <v>2.79</v>
      </c>
      <c r="I5" s="64" t="str">
        <f t="shared" si="1"/>
        <v>  8.21 </v>
      </c>
      <c r="J5" s="13"/>
      <c r="K5" s="19" t="str">
        <f t="shared" si="2"/>
        <v>  16.33 </v>
      </c>
      <c r="L5" s="20" t="str">
        <f t="shared" si="3"/>
        <v>  8.12 </v>
      </c>
      <c r="M5" s="21" t="str">
        <f t="shared" si="4"/>
        <v>49.73%</v>
      </c>
    </row>
    <row r="6" ht="15.75" customHeight="1">
      <c r="A6" s="15"/>
      <c r="B6" s="16">
        <v>3.0</v>
      </c>
      <c r="C6" s="17">
        <v>0.48</v>
      </c>
      <c r="D6" s="17">
        <v>0.43</v>
      </c>
      <c r="E6" s="17">
        <v>1.43</v>
      </c>
      <c r="F6" s="17">
        <v>0.35</v>
      </c>
      <c r="G6" s="17">
        <v>4.07</v>
      </c>
      <c r="H6" s="17">
        <v>3.5</v>
      </c>
      <c r="I6" s="64" t="str">
        <f t="shared" si="1"/>
        <v>  10.26 </v>
      </c>
      <c r="J6" s="13"/>
      <c r="K6" s="19" t="str">
        <f t="shared" si="2"/>
        <v>  16.33 </v>
      </c>
      <c r="L6" s="20" t="str">
        <f t="shared" si="3"/>
        <v>  6.07 </v>
      </c>
      <c r="M6" s="21" t="str">
        <f t="shared" si="4"/>
        <v>37.17%</v>
      </c>
    </row>
    <row r="7" ht="15.75" customHeight="1">
      <c r="A7" s="15"/>
      <c r="B7" s="16">
        <v>4.0</v>
      </c>
      <c r="C7" s="17">
        <v>0.53</v>
      </c>
      <c r="D7" s="17">
        <v>0.53</v>
      </c>
      <c r="E7" s="17">
        <v>1.56</v>
      </c>
      <c r="F7" s="17">
        <v>0.38</v>
      </c>
      <c r="G7" s="17">
        <v>4.47</v>
      </c>
      <c r="H7" s="17">
        <v>3.84</v>
      </c>
      <c r="I7" s="64" t="str">
        <f t="shared" si="1"/>
        <v>  11.31 </v>
      </c>
      <c r="J7" s="13"/>
      <c r="K7" s="19" t="str">
        <f t="shared" si="2"/>
        <v>  16.33 </v>
      </c>
      <c r="L7" s="20" t="str">
        <f t="shared" si="3"/>
        <v>  5.02 </v>
      </c>
      <c r="M7" s="21" t="str">
        <f t="shared" si="4"/>
        <v>30.74%</v>
      </c>
    </row>
    <row r="8" ht="15.75" customHeight="1">
      <c r="A8" s="15"/>
      <c r="B8" s="16">
        <v>5.0</v>
      </c>
      <c r="C8" s="17">
        <v>0.53</v>
      </c>
      <c r="D8" s="17">
        <v>0.52</v>
      </c>
      <c r="E8" s="17">
        <v>1.58</v>
      </c>
      <c r="F8" s="17">
        <v>0.38</v>
      </c>
      <c r="G8" s="17">
        <v>4.52</v>
      </c>
      <c r="H8" s="17">
        <v>3.87</v>
      </c>
      <c r="I8" s="64" t="str">
        <f t="shared" si="1"/>
        <v>  11.40 </v>
      </c>
      <c r="J8" s="13"/>
      <c r="K8" s="19" t="str">
        <f t="shared" si="2"/>
        <v>  16.86 </v>
      </c>
      <c r="L8" s="20" t="str">
        <f t="shared" si="3"/>
        <v>  5.46 </v>
      </c>
      <c r="M8" s="21" t="str">
        <f t="shared" si="4"/>
        <v>32.40%</v>
      </c>
    </row>
    <row r="9" ht="15.75" customHeight="1">
      <c r="A9" s="15"/>
      <c r="B9" s="16">
        <v>6.0</v>
      </c>
      <c r="C9" s="17">
        <v>0.57</v>
      </c>
      <c r="D9" s="17">
        <v>0.57</v>
      </c>
      <c r="E9" s="17">
        <v>1.73</v>
      </c>
      <c r="F9" s="17">
        <v>0.4</v>
      </c>
      <c r="G9" s="17">
        <v>4.92</v>
      </c>
      <c r="H9" s="17">
        <v>4.23</v>
      </c>
      <c r="I9" s="64" t="str">
        <f t="shared" si="1"/>
        <v>  12.42 </v>
      </c>
      <c r="J9" s="13"/>
      <c r="K9" s="19" t="str">
        <f t="shared" si="2"/>
        <v>  17.31 </v>
      </c>
      <c r="L9" s="20" t="str">
        <f t="shared" si="3"/>
        <v>  4.89 </v>
      </c>
      <c r="M9" s="21" t="str">
        <f t="shared" si="4"/>
        <v>28.24%</v>
      </c>
    </row>
    <row r="10" ht="15.75" customHeight="1">
      <c r="A10" s="15"/>
      <c r="B10" s="16">
        <v>7.0</v>
      </c>
      <c r="C10" s="17">
        <v>0.59</v>
      </c>
      <c r="D10" s="17">
        <v>0.56</v>
      </c>
      <c r="E10" s="17">
        <v>1.74</v>
      </c>
      <c r="F10" s="17">
        <v>0.42</v>
      </c>
      <c r="G10" s="17">
        <v>4.97</v>
      </c>
      <c r="H10" s="17">
        <v>4.26</v>
      </c>
      <c r="I10" s="64" t="str">
        <f t="shared" si="1"/>
        <v>  12.54 </v>
      </c>
      <c r="J10" s="13"/>
      <c r="K10" s="19" t="str">
        <f t="shared" si="2"/>
        <v>  17.63 </v>
      </c>
      <c r="L10" s="20" t="str">
        <f t="shared" si="3"/>
        <v>  5.09 </v>
      </c>
      <c r="M10" s="21" t="str">
        <f t="shared" si="4"/>
        <v>28.85%</v>
      </c>
    </row>
    <row r="11" ht="15.75" customHeight="1">
      <c r="A11" s="15"/>
      <c r="B11" s="16">
        <v>8.0</v>
      </c>
      <c r="C11" s="17">
        <v>0.59</v>
      </c>
      <c r="D11" s="17">
        <v>0.57</v>
      </c>
      <c r="E11" s="17">
        <v>1.76</v>
      </c>
      <c r="F11" s="17">
        <v>0.42</v>
      </c>
      <c r="G11" s="17">
        <v>5.03</v>
      </c>
      <c r="H11" s="17">
        <v>4.31</v>
      </c>
      <c r="I11" s="64" t="str">
        <f t="shared" si="1"/>
        <v>  12.68 </v>
      </c>
      <c r="J11" s="13"/>
      <c r="K11" s="19" t="str">
        <f t="shared" si="2"/>
        <v>  17.86 </v>
      </c>
      <c r="L11" s="20" t="str">
        <f t="shared" si="3"/>
        <v>  5.18 </v>
      </c>
      <c r="M11" s="21" t="str">
        <f t="shared" si="4"/>
        <v>29.02%</v>
      </c>
    </row>
    <row r="12" ht="15.75" customHeight="1">
      <c r="A12" s="15"/>
      <c r="B12" s="16">
        <v>9.0</v>
      </c>
      <c r="C12" s="17">
        <v>0.63</v>
      </c>
      <c r="D12" s="17">
        <v>0.61</v>
      </c>
      <c r="E12" s="17">
        <v>1.88</v>
      </c>
      <c r="F12" s="17">
        <v>0.45</v>
      </c>
      <c r="G12" s="17">
        <v>5.37</v>
      </c>
      <c r="H12" s="17">
        <v>4.61</v>
      </c>
      <c r="I12" s="64" t="str">
        <f t="shared" si="1"/>
        <v>  13.55 </v>
      </c>
      <c r="J12" s="13"/>
      <c r="K12" s="19" t="str">
        <f t="shared" si="2"/>
        <v>  18.05 </v>
      </c>
      <c r="L12" s="20" t="str">
        <f t="shared" si="3"/>
        <v>  4.50 </v>
      </c>
      <c r="M12" s="21" t="str">
        <f t="shared" si="4"/>
        <v>24.93%</v>
      </c>
    </row>
    <row r="13" ht="15.75" customHeight="1">
      <c r="A13" s="15"/>
      <c r="B13" s="16">
        <v>10.0</v>
      </c>
      <c r="C13" s="17">
        <v>0.63</v>
      </c>
      <c r="D13" s="17">
        <v>0.64</v>
      </c>
      <c r="E13" s="17">
        <v>1.89</v>
      </c>
      <c r="F13" s="17">
        <v>0.45</v>
      </c>
      <c r="G13" s="17">
        <v>5.42</v>
      </c>
      <c r="H13" s="17">
        <v>4.65</v>
      </c>
      <c r="I13" s="64" t="str">
        <f t="shared" si="1"/>
        <v>  13.68 </v>
      </c>
      <c r="J13" s="13"/>
      <c r="K13" s="19" t="str">
        <f t="shared" si="2"/>
        <v>  18.20 </v>
      </c>
      <c r="L13" s="20" t="str">
        <f t="shared" si="3"/>
        <v>  4.52 </v>
      </c>
      <c r="M13" s="21" t="str">
        <f t="shared" si="4"/>
        <v>24.82%</v>
      </c>
    </row>
    <row r="14" ht="15.75" customHeight="1">
      <c r="A14" s="15"/>
      <c r="B14" s="16">
        <v>11.0</v>
      </c>
      <c r="C14" s="17">
        <v>0.69</v>
      </c>
      <c r="D14" s="17">
        <v>0.69</v>
      </c>
      <c r="E14" s="17">
        <v>2.07</v>
      </c>
      <c r="F14" s="17">
        <v>0.5</v>
      </c>
      <c r="G14" s="17">
        <v>5.98</v>
      </c>
      <c r="H14" s="17">
        <v>5.0</v>
      </c>
      <c r="I14" s="64" t="str">
        <f t="shared" si="1"/>
        <v>  14.93 </v>
      </c>
      <c r="J14" s="13"/>
      <c r="K14" s="19" t="str">
        <f t="shared" si="2"/>
        <v>  18.32 </v>
      </c>
      <c r="L14" s="20" t="str">
        <f t="shared" si="3"/>
        <v>  3.39 </v>
      </c>
      <c r="M14" s="21" t="str">
        <f t="shared" si="4"/>
        <v>18.50%</v>
      </c>
    </row>
    <row r="15" ht="15.75" customHeight="1">
      <c r="A15" s="15"/>
      <c r="B15" s="16">
        <v>12.0</v>
      </c>
      <c r="C15" s="17">
        <v>0.69</v>
      </c>
      <c r="D15" s="17">
        <v>0.69</v>
      </c>
      <c r="E15" s="17">
        <v>2.09</v>
      </c>
      <c r="F15" s="17">
        <v>0.5</v>
      </c>
      <c r="G15" s="17">
        <v>6.09</v>
      </c>
      <c r="H15" s="17">
        <v>5.0</v>
      </c>
      <c r="I15" s="64" t="str">
        <f t="shared" si="1"/>
        <v>  15.06 </v>
      </c>
      <c r="J15" s="13"/>
      <c r="K15" s="19" t="str">
        <f t="shared" si="2"/>
        <v>  18.42 </v>
      </c>
      <c r="L15" s="20" t="str">
        <f t="shared" si="3"/>
        <v>  3.36 </v>
      </c>
      <c r="M15" s="21" t="str">
        <f t="shared" si="4"/>
        <v>18.24%</v>
      </c>
    </row>
    <row r="16" ht="15.75" customHeight="1">
      <c r="A16" s="15"/>
      <c r="B16" s="16">
        <v>13.0</v>
      </c>
      <c r="C16" s="17">
        <v>0.71</v>
      </c>
      <c r="D16" s="17">
        <v>0.7</v>
      </c>
      <c r="E16" s="17">
        <v>2.1</v>
      </c>
      <c r="F16" s="17">
        <v>0.5</v>
      </c>
      <c r="G16" s="17">
        <v>6.19</v>
      </c>
      <c r="H16" s="17">
        <v>5.0</v>
      </c>
      <c r="I16" s="64" t="str">
        <f t="shared" si="1"/>
        <v>  15.20 </v>
      </c>
      <c r="J16" s="13"/>
      <c r="K16" s="19" t="str">
        <f t="shared" si="2"/>
        <v>  18.50 </v>
      </c>
      <c r="L16" s="20" t="str">
        <f t="shared" si="3"/>
        <v>  3.30 </v>
      </c>
      <c r="M16" s="21" t="str">
        <f t="shared" si="4"/>
        <v>17.86%</v>
      </c>
    </row>
    <row r="17" ht="15.75" customHeight="1">
      <c r="A17" s="15"/>
      <c r="B17" s="16">
        <v>14.0</v>
      </c>
      <c r="C17" s="17">
        <v>0.71</v>
      </c>
      <c r="D17" s="17">
        <v>0.7</v>
      </c>
      <c r="E17" s="17">
        <v>2.13</v>
      </c>
      <c r="F17" s="17">
        <v>0.51</v>
      </c>
      <c r="G17" s="17">
        <v>6.3</v>
      </c>
      <c r="H17" s="17">
        <v>5.0</v>
      </c>
      <c r="I17" s="64" t="str">
        <f t="shared" si="1"/>
        <v>  15.35 </v>
      </c>
      <c r="J17" s="13"/>
      <c r="K17" s="19" t="str">
        <f t="shared" si="2"/>
        <v>  18.58 </v>
      </c>
      <c r="L17" s="20" t="str">
        <f t="shared" si="3"/>
        <v>  3.23 </v>
      </c>
      <c r="M17" s="21" t="str">
        <f t="shared" si="4"/>
        <v>17.37%</v>
      </c>
    </row>
    <row r="18" ht="15.75" customHeight="1">
      <c r="A18" s="15"/>
      <c r="B18" s="16">
        <v>15.0</v>
      </c>
      <c r="C18" s="17">
        <v>0.72</v>
      </c>
      <c r="D18" s="17">
        <v>0.7</v>
      </c>
      <c r="E18" s="17">
        <v>2.15</v>
      </c>
      <c r="F18" s="17">
        <v>0.51</v>
      </c>
      <c r="G18" s="17">
        <v>6.4</v>
      </c>
      <c r="H18" s="17">
        <v>5.0</v>
      </c>
      <c r="I18" s="64" t="str">
        <f t="shared" si="1"/>
        <v>  15.48 </v>
      </c>
      <c r="J18" s="13"/>
      <c r="K18" s="19" t="str">
        <f t="shared" si="2"/>
        <v>  18.64 </v>
      </c>
      <c r="L18" s="20" t="str">
        <f t="shared" si="3"/>
        <v>  3.16 </v>
      </c>
      <c r="M18" s="21" t="str">
        <f t="shared" si="4"/>
        <v>16.96%</v>
      </c>
    </row>
    <row r="19" ht="15.75" customHeight="1">
      <c r="A19" s="15"/>
      <c r="B19" s="16">
        <v>16.0</v>
      </c>
      <c r="C19" s="17">
        <v>0.78</v>
      </c>
      <c r="D19" s="17">
        <v>0.76</v>
      </c>
      <c r="E19" s="17">
        <v>2.34</v>
      </c>
      <c r="F19" s="17">
        <v>0.56</v>
      </c>
      <c r="G19" s="17">
        <v>7.41</v>
      </c>
      <c r="H19" s="17">
        <v>5.0</v>
      </c>
      <c r="I19" s="64" t="str">
        <f t="shared" si="1"/>
        <v>  16.85 </v>
      </c>
      <c r="J19" s="13"/>
      <c r="K19" s="19" t="str">
        <f t="shared" si="2"/>
        <v>  18.70 </v>
      </c>
      <c r="L19" s="20" t="str">
        <f t="shared" si="3"/>
        <v>  1.85 </v>
      </c>
      <c r="M19" s="21" t="str">
        <f t="shared" si="4"/>
        <v>9.88%</v>
      </c>
    </row>
    <row r="20" ht="15.75" customHeight="1">
      <c r="A20" s="15"/>
      <c r="B20" s="16">
        <v>17.0</v>
      </c>
      <c r="C20" s="17">
        <v>0.78</v>
      </c>
      <c r="D20" s="17">
        <v>0.78</v>
      </c>
      <c r="E20" s="17">
        <v>2.36</v>
      </c>
      <c r="F20" s="17">
        <v>0.56</v>
      </c>
      <c r="G20" s="17">
        <v>7.5</v>
      </c>
      <c r="H20" s="17">
        <v>5.0</v>
      </c>
      <c r="I20" s="64" t="str">
        <f t="shared" si="1"/>
        <v>  16.98 </v>
      </c>
      <c r="J20" s="13"/>
      <c r="K20" s="19" t="str">
        <f t="shared" si="2"/>
        <v>  18.75 </v>
      </c>
      <c r="L20" s="20" t="str">
        <f t="shared" si="3"/>
        <v>  1.77 </v>
      </c>
      <c r="M20" s="21" t="str">
        <f t="shared" si="4"/>
        <v>9.42%</v>
      </c>
    </row>
    <row r="21" ht="15.75" customHeight="1">
      <c r="A21" s="15"/>
      <c r="B21" s="16">
        <v>18.0</v>
      </c>
      <c r="C21" s="17">
        <v>0.8</v>
      </c>
      <c r="D21" s="17">
        <v>0.79</v>
      </c>
      <c r="E21" s="17">
        <v>2.37</v>
      </c>
      <c r="F21" s="17">
        <v>0.57</v>
      </c>
      <c r="G21" s="17">
        <v>7.6</v>
      </c>
      <c r="H21" s="17">
        <v>5.0</v>
      </c>
      <c r="I21" s="64" t="str">
        <f t="shared" si="1"/>
        <v>  17.13 </v>
      </c>
      <c r="J21" s="13"/>
      <c r="K21" s="19" t="str">
        <f t="shared" si="2"/>
        <v>  18.79 </v>
      </c>
      <c r="L21" s="20" t="str">
        <f t="shared" si="3"/>
        <v>  1.66 </v>
      </c>
      <c r="M21" s="21" t="str">
        <f t="shared" si="4"/>
        <v>8.83%</v>
      </c>
    </row>
    <row r="22" ht="15.75" customHeight="1">
      <c r="A22" s="15"/>
      <c r="B22" s="16">
        <v>19.0</v>
      </c>
      <c r="C22" s="17">
        <v>0.8</v>
      </c>
      <c r="D22" s="17">
        <v>0.79</v>
      </c>
      <c r="E22" s="17">
        <v>2.4</v>
      </c>
      <c r="F22" s="17">
        <v>0.57</v>
      </c>
      <c r="G22" s="17">
        <v>7.71</v>
      </c>
      <c r="H22" s="17">
        <v>5.0</v>
      </c>
      <c r="I22" s="64" t="str">
        <f t="shared" si="1"/>
        <v>  17.27 </v>
      </c>
      <c r="J22" s="13"/>
      <c r="K22" s="19" t="str">
        <f t="shared" si="2"/>
        <v>  18.83 </v>
      </c>
      <c r="L22" s="20" t="str">
        <f t="shared" si="3"/>
        <v>  1.56 </v>
      </c>
      <c r="M22" s="21" t="str">
        <f t="shared" si="4"/>
        <v>8.28%</v>
      </c>
    </row>
    <row r="23" ht="16.5" customHeight="1">
      <c r="A23" s="22"/>
      <c r="B23" s="23">
        <v>20.0</v>
      </c>
      <c r="C23" s="24">
        <v>0.81</v>
      </c>
      <c r="D23" s="24">
        <v>0.79</v>
      </c>
      <c r="E23" s="24">
        <v>2.42</v>
      </c>
      <c r="F23" s="24">
        <v>0.57</v>
      </c>
      <c r="G23" s="24">
        <v>7.83</v>
      </c>
      <c r="H23" s="24">
        <v>5.0</v>
      </c>
      <c r="I23" s="65" t="str">
        <f t="shared" si="1"/>
        <v>  17.42 </v>
      </c>
      <c r="J23" s="13"/>
      <c r="K23" s="26" t="str">
        <f t="shared" si="2"/>
        <v>  18.86 </v>
      </c>
      <c r="L23" s="27" t="str">
        <f t="shared" si="3"/>
        <v>  1.44 </v>
      </c>
      <c r="M23" s="28" t="str">
        <f t="shared" si="4"/>
        <v>7.65%</v>
      </c>
    </row>
    <row r="24" ht="12.75" customHeight="1">
      <c r="A24" s="29"/>
    </row>
    <row r="25" ht="12.75" customHeight="1">
      <c r="A25" s="30"/>
      <c r="B25" s="29"/>
    </row>
    <row r="26" ht="18.0" customHeight="1">
      <c r="A26" s="31" t="s">
        <v>14</v>
      </c>
      <c r="B26" s="66">
        <v>1.0E-5</v>
      </c>
      <c r="C26" s="33" t="s">
        <v>15</v>
      </c>
      <c r="D26" s="33"/>
      <c r="E26" s="33"/>
      <c r="F26" s="33"/>
      <c r="G26" s="34"/>
      <c r="H26" s="33"/>
      <c r="I26" s="33"/>
      <c r="J26" s="33"/>
      <c r="K26" s="33"/>
    </row>
    <row r="27" ht="45.75" customHeight="1">
      <c r="A27" s="31" t="s">
        <v>16</v>
      </c>
      <c r="B27" s="35">
        <v>0.268</v>
      </c>
    </row>
    <row r="28" ht="47.25" customHeight="1">
      <c r="A28" s="31" t="s">
        <v>28</v>
      </c>
      <c r="B28" s="32">
        <v>0.05</v>
      </c>
      <c r="C28" s="33" t="s">
        <v>29</v>
      </c>
      <c r="D28" s="33"/>
      <c r="E28" s="33"/>
      <c r="F28" s="33"/>
      <c r="G28" s="33"/>
      <c r="H28" s="33"/>
    </row>
    <row r="29" ht="12.75" customHeight="1">
      <c r="A29" s="29"/>
      <c r="C29" s="29"/>
    </row>
    <row r="30" ht="12.75" customHeight="1">
      <c r="A30" s="29"/>
      <c r="C30" s="29"/>
    </row>
    <row r="31" ht="12.75" customHeight="1">
      <c r="A31" s="37" t="s">
        <v>11</v>
      </c>
      <c r="B31" s="38" t="s">
        <v>4</v>
      </c>
      <c r="C31" s="38" t="s">
        <v>5</v>
      </c>
      <c r="D31" s="38" t="s">
        <v>6</v>
      </c>
      <c r="E31" s="38" t="s">
        <v>7</v>
      </c>
      <c r="F31" s="38" t="s">
        <v>8</v>
      </c>
      <c r="G31" s="38" t="s">
        <v>9</v>
      </c>
      <c r="H31" s="38" t="s">
        <v>26</v>
      </c>
      <c r="I31" s="38" t="s">
        <v>17</v>
      </c>
    </row>
    <row r="32" ht="13.5" customHeight="1">
      <c r="A32" s="39"/>
      <c r="B32" s="40">
        <v>1.0</v>
      </c>
      <c r="C32" s="41">
        <v>4.8</v>
      </c>
      <c r="D32" s="42">
        <v>2.88</v>
      </c>
      <c r="E32" s="42">
        <v>3.0</v>
      </c>
      <c r="F32" s="42">
        <v>0.65</v>
      </c>
      <c r="G32" s="67" t="str">
        <f t="shared" ref="G32:G51" si="5">$B$26*$B$27*100</f>
        <v>  0.00 </v>
      </c>
      <c r="H32" s="41" t="str">
        <f t="shared" ref="H32:H51" si="6">$B$28*100</f>
        <v>  5.00 </v>
      </c>
      <c r="I32" s="43" t="str">
        <f t="shared" ref="I32:I51" si="7">SUM(C32:H32)</f>
        <v>  16.33 </v>
      </c>
    </row>
    <row r="33" ht="13.5" customHeight="1">
      <c r="A33" s="39"/>
      <c r="B33" s="40">
        <v>2.0</v>
      </c>
      <c r="C33" s="41">
        <v>4.8</v>
      </c>
      <c r="D33" s="42">
        <v>2.88</v>
      </c>
      <c r="E33" s="42">
        <v>3.0</v>
      </c>
      <c r="F33" s="42">
        <v>0.65</v>
      </c>
      <c r="G33" s="67" t="str">
        <f t="shared" si="5"/>
        <v>  0.00 </v>
      </c>
      <c r="H33" s="41" t="str">
        <f t="shared" si="6"/>
        <v>  5.00 </v>
      </c>
      <c r="I33" s="43" t="str">
        <f t="shared" si="7"/>
        <v>  16.33 </v>
      </c>
    </row>
    <row r="34" ht="13.5" customHeight="1">
      <c r="A34" s="39"/>
      <c r="B34" s="40">
        <v>3.0</v>
      </c>
      <c r="C34" s="41">
        <v>4.8</v>
      </c>
      <c r="D34" s="42">
        <v>2.88</v>
      </c>
      <c r="E34" s="42">
        <v>3.0</v>
      </c>
      <c r="F34" s="42">
        <v>0.65</v>
      </c>
      <c r="G34" s="67" t="str">
        <f t="shared" si="5"/>
        <v>  0.00 </v>
      </c>
      <c r="H34" s="41" t="str">
        <f t="shared" si="6"/>
        <v>  5.00 </v>
      </c>
      <c r="I34" s="43" t="str">
        <f t="shared" si="7"/>
        <v>  16.33 </v>
      </c>
    </row>
    <row r="35" ht="13.5" customHeight="1">
      <c r="A35" s="39"/>
      <c r="B35" s="40">
        <v>4.0</v>
      </c>
      <c r="C35" s="41">
        <v>4.8</v>
      </c>
      <c r="D35" s="42">
        <v>2.88</v>
      </c>
      <c r="E35" s="42">
        <v>3.0</v>
      </c>
      <c r="F35" s="42">
        <v>0.65</v>
      </c>
      <c r="G35" s="67" t="str">
        <f t="shared" si="5"/>
        <v>  0.00 </v>
      </c>
      <c r="H35" s="41" t="str">
        <f t="shared" si="6"/>
        <v>  5.00 </v>
      </c>
      <c r="I35" s="43" t="str">
        <f t="shared" si="7"/>
        <v>  16.33 </v>
      </c>
    </row>
    <row r="36" ht="13.5" customHeight="1">
      <c r="A36" s="39"/>
      <c r="B36" s="40">
        <v>5.0</v>
      </c>
      <c r="C36" s="41">
        <v>5.333333333333334</v>
      </c>
      <c r="D36" s="42">
        <v>2.88</v>
      </c>
      <c r="E36" s="42">
        <v>3.0</v>
      </c>
      <c r="F36" s="42">
        <v>0.65</v>
      </c>
      <c r="G36" s="67" t="str">
        <f t="shared" si="5"/>
        <v>  0.00 </v>
      </c>
      <c r="H36" s="41" t="str">
        <f t="shared" si="6"/>
        <v>  5.00 </v>
      </c>
      <c r="I36" s="43" t="str">
        <f t="shared" si="7"/>
        <v>  16.86 </v>
      </c>
    </row>
    <row r="37" ht="13.5" customHeight="1">
      <c r="A37" s="39"/>
      <c r="B37" s="40">
        <v>6.0</v>
      </c>
      <c r="C37" s="41">
        <v>5.777777777777778</v>
      </c>
      <c r="D37" s="42">
        <v>2.88</v>
      </c>
      <c r="E37" s="42">
        <v>3.0</v>
      </c>
      <c r="F37" s="42">
        <v>0.65</v>
      </c>
      <c r="G37" s="67" t="str">
        <f t="shared" si="5"/>
        <v>  0.00 </v>
      </c>
      <c r="H37" s="41" t="str">
        <f t="shared" si="6"/>
        <v>  5.00 </v>
      </c>
      <c r="I37" s="43" t="str">
        <f t="shared" si="7"/>
        <v>  17.31 </v>
      </c>
    </row>
    <row r="38" ht="13.5" customHeight="1">
      <c r="A38" s="39"/>
      <c r="B38" s="40">
        <v>7.0</v>
      </c>
      <c r="C38" s="41">
        <v>6.095238095238095</v>
      </c>
      <c r="D38" s="42">
        <v>2.88</v>
      </c>
      <c r="E38" s="42">
        <v>3.0</v>
      </c>
      <c r="F38" s="42">
        <v>0.65</v>
      </c>
      <c r="G38" s="67" t="str">
        <f t="shared" si="5"/>
        <v>  0.00 </v>
      </c>
      <c r="H38" s="41" t="str">
        <f t="shared" si="6"/>
        <v>  5.00 </v>
      </c>
      <c r="I38" s="43" t="str">
        <f t="shared" si="7"/>
        <v>  17.63 </v>
      </c>
    </row>
    <row r="39" ht="13.5" customHeight="1">
      <c r="A39" s="39"/>
      <c r="B39" s="40">
        <v>8.0</v>
      </c>
      <c r="C39" s="41">
        <v>6.333333333333334</v>
      </c>
      <c r="D39" s="42">
        <v>2.88</v>
      </c>
      <c r="E39" s="42">
        <v>3.0</v>
      </c>
      <c r="F39" s="42">
        <v>0.65</v>
      </c>
      <c r="G39" s="67" t="str">
        <f t="shared" si="5"/>
        <v>  0.00 </v>
      </c>
      <c r="H39" s="41" t="str">
        <f t="shared" si="6"/>
        <v>  5.00 </v>
      </c>
      <c r="I39" s="43" t="str">
        <f t="shared" si="7"/>
        <v>  17.86 </v>
      </c>
    </row>
    <row r="40" ht="13.5" customHeight="1">
      <c r="A40" s="39"/>
      <c r="B40" s="40">
        <v>9.0</v>
      </c>
      <c r="C40" s="41">
        <v>6.518518518518518</v>
      </c>
      <c r="D40" s="42">
        <v>2.88</v>
      </c>
      <c r="E40" s="42">
        <v>3.0</v>
      </c>
      <c r="F40" s="42">
        <v>0.65</v>
      </c>
      <c r="G40" s="67" t="str">
        <f t="shared" si="5"/>
        <v>  0.00 </v>
      </c>
      <c r="H40" s="41" t="str">
        <f t="shared" si="6"/>
        <v>  5.00 </v>
      </c>
      <c r="I40" s="43" t="str">
        <f t="shared" si="7"/>
        <v>  18.05 </v>
      </c>
    </row>
    <row r="41" ht="13.5" customHeight="1">
      <c r="A41" s="39"/>
      <c r="B41" s="40">
        <v>10.0</v>
      </c>
      <c r="C41" s="41">
        <v>6.666666666666667</v>
      </c>
      <c r="D41" s="42">
        <v>2.88</v>
      </c>
      <c r="E41" s="42">
        <v>3.0</v>
      </c>
      <c r="F41" s="42">
        <v>0.65</v>
      </c>
      <c r="G41" s="67" t="str">
        <f t="shared" si="5"/>
        <v>  0.00 </v>
      </c>
      <c r="H41" s="41" t="str">
        <f t="shared" si="6"/>
        <v>  5.00 </v>
      </c>
      <c r="I41" s="43" t="str">
        <f t="shared" si="7"/>
        <v>  18.20 </v>
      </c>
    </row>
    <row r="42" ht="13.5" customHeight="1">
      <c r="A42" s="39"/>
      <c r="B42" s="40">
        <v>11.0</v>
      </c>
      <c r="C42" s="41">
        <v>6.787878787878789</v>
      </c>
      <c r="D42" s="42">
        <v>2.88</v>
      </c>
      <c r="E42" s="42">
        <v>3.0</v>
      </c>
      <c r="F42" s="42">
        <v>0.65</v>
      </c>
      <c r="G42" s="67" t="str">
        <f t="shared" si="5"/>
        <v>  0.00 </v>
      </c>
      <c r="H42" s="41" t="str">
        <f t="shared" si="6"/>
        <v>  5.00 </v>
      </c>
      <c r="I42" s="43" t="str">
        <f t="shared" si="7"/>
        <v>  18.32 </v>
      </c>
    </row>
    <row r="43" ht="13.5" customHeight="1">
      <c r="A43" s="39"/>
      <c r="B43" s="40">
        <v>12.0</v>
      </c>
      <c r="C43" s="41">
        <v>6.888888888888889</v>
      </c>
      <c r="D43" s="42">
        <v>2.88</v>
      </c>
      <c r="E43" s="42">
        <v>3.0</v>
      </c>
      <c r="F43" s="42">
        <v>0.65</v>
      </c>
      <c r="G43" s="67" t="str">
        <f t="shared" si="5"/>
        <v>  0.00 </v>
      </c>
      <c r="H43" s="41" t="str">
        <f t="shared" si="6"/>
        <v>  5.00 </v>
      </c>
      <c r="I43" s="43" t="str">
        <f t="shared" si="7"/>
        <v>  18.42 </v>
      </c>
    </row>
    <row r="44" ht="13.5" customHeight="1">
      <c r="A44" s="39"/>
      <c r="B44" s="40">
        <v>13.0</v>
      </c>
      <c r="C44" s="41">
        <v>6.9743589743589745</v>
      </c>
      <c r="D44" s="42">
        <v>2.88</v>
      </c>
      <c r="E44" s="42">
        <v>3.0</v>
      </c>
      <c r="F44" s="42">
        <v>0.65</v>
      </c>
      <c r="G44" s="67" t="str">
        <f t="shared" si="5"/>
        <v>  0.00 </v>
      </c>
      <c r="H44" s="41" t="str">
        <f t="shared" si="6"/>
        <v>  5.00 </v>
      </c>
      <c r="I44" s="43" t="str">
        <f t="shared" si="7"/>
        <v>  18.50 </v>
      </c>
    </row>
    <row r="45" ht="13.5" customHeight="1">
      <c r="A45" s="39"/>
      <c r="B45" s="40">
        <v>14.0</v>
      </c>
      <c r="C45" s="41">
        <v>7.0476190476190474</v>
      </c>
      <c r="D45" s="42">
        <v>2.88</v>
      </c>
      <c r="E45" s="42">
        <v>3.0</v>
      </c>
      <c r="F45" s="42">
        <v>0.65</v>
      </c>
      <c r="G45" s="67" t="str">
        <f t="shared" si="5"/>
        <v>  0.00 </v>
      </c>
      <c r="H45" s="41" t="str">
        <f t="shared" si="6"/>
        <v>  5.00 </v>
      </c>
      <c r="I45" s="43" t="str">
        <f t="shared" si="7"/>
        <v>  18.58 </v>
      </c>
    </row>
    <row r="46" ht="13.5" customHeight="1">
      <c r="A46" s="39"/>
      <c r="B46" s="40">
        <v>15.0</v>
      </c>
      <c r="C46" s="41">
        <v>7.111111111111111</v>
      </c>
      <c r="D46" s="42">
        <v>2.88</v>
      </c>
      <c r="E46" s="42">
        <v>3.0</v>
      </c>
      <c r="F46" s="42">
        <v>0.65</v>
      </c>
      <c r="G46" s="67" t="str">
        <f t="shared" si="5"/>
        <v>  0.00 </v>
      </c>
      <c r="H46" s="41" t="str">
        <f t="shared" si="6"/>
        <v>  5.00 </v>
      </c>
      <c r="I46" s="43" t="str">
        <f t="shared" si="7"/>
        <v>  18.64 </v>
      </c>
    </row>
    <row r="47" ht="13.5" customHeight="1">
      <c r="A47" s="39"/>
      <c r="B47" s="40">
        <v>16.0</v>
      </c>
      <c r="C47" s="41">
        <v>7.166666666666667</v>
      </c>
      <c r="D47" s="42">
        <v>2.88</v>
      </c>
      <c r="E47" s="42">
        <v>3.0</v>
      </c>
      <c r="F47" s="42">
        <v>0.65</v>
      </c>
      <c r="G47" s="67" t="str">
        <f t="shared" si="5"/>
        <v>  0.00 </v>
      </c>
      <c r="H47" s="41" t="str">
        <f t="shared" si="6"/>
        <v>  5.00 </v>
      </c>
      <c r="I47" s="43" t="str">
        <f t="shared" si="7"/>
        <v>  18.70 </v>
      </c>
    </row>
    <row r="48" ht="13.5" customHeight="1">
      <c r="A48" s="39"/>
      <c r="B48" s="40">
        <v>17.0</v>
      </c>
      <c r="C48" s="41">
        <v>7.215686274509804</v>
      </c>
      <c r="D48" s="42">
        <v>2.88</v>
      </c>
      <c r="E48" s="42">
        <v>3.0</v>
      </c>
      <c r="F48" s="42">
        <v>0.65</v>
      </c>
      <c r="G48" s="67" t="str">
        <f t="shared" si="5"/>
        <v>  0.00 </v>
      </c>
      <c r="H48" s="41" t="str">
        <f t="shared" si="6"/>
        <v>  5.00 </v>
      </c>
      <c r="I48" s="43" t="str">
        <f t="shared" si="7"/>
        <v>  18.75 </v>
      </c>
    </row>
    <row r="49" ht="13.5" customHeight="1">
      <c r="A49" s="39"/>
      <c r="B49" s="40">
        <v>18.0</v>
      </c>
      <c r="C49" s="41">
        <v>7.2592592592592595</v>
      </c>
      <c r="D49" s="42">
        <v>2.88</v>
      </c>
      <c r="E49" s="42">
        <v>3.0</v>
      </c>
      <c r="F49" s="42">
        <v>0.65</v>
      </c>
      <c r="G49" s="67" t="str">
        <f t="shared" si="5"/>
        <v>  0.00 </v>
      </c>
      <c r="H49" s="41" t="str">
        <f t="shared" si="6"/>
        <v>  5.00 </v>
      </c>
      <c r="I49" s="43" t="str">
        <f t="shared" si="7"/>
        <v>  18.79 </v>
      </c>
    </row>
    <row r="50" ht="13.5" customHeight="1">
      <c r="A50" s="39"/>
      <c r="B50" s="40">
        <v>19.0</v>
      </c>
      <c r="C50" s="41">
        <v>7.298245614035087</v>
      </c>
      <c r="D50" s="42">
        <v>2.88</v>
      </c>
      <c r="E50" s="42">
        <v>3.0</v>
      </c>
      <c r="F50" s="42">
        <v>0.65</v>
      </c>
      <c r="G50" s="67" t="str">
        <f t="shared" si="5"/>
        <v>  0.00 </v>
      </c>
      <c r="H50" s="41" t="str">
        <f t="shared" si="6"/>
        <v>  5.00 </v>
      </c>
      <c r="I50" s="43" t="str">
        <f t="shared" si="7"/>
        <v>  18.83 </v>
      </c>
    </row>
    <row r="51" ht="13.5" customHeight="1">
      <c r="A51" s="44"/>
      <c r="B51" s="40">
        <v>20.0</v>
      </c>
      <c r="C51" s="41">
        <v>7.333333333333333</v>
      </c>
      <c r="D51" s="42">
        <v>2.88</v>
      </c>
      <c r="E51" s="42">
        <v>3.0</v>
      </c>
      <c r="F51" s="42">
        <v>0.65</v>
      </c>
      <c r="G51" s="67" t="str">
        <f t="shared" si="5"/>
        <v>  0.00 </v>
      </c>
      <c r="H51" s="41" t="str">
        <f t="shared" si="6"/>
        <v>  5.00 </v>
      </c>
      <c r="I51" s="43" t="str">
        <f t="shared" si="7"/>
        <v>  18.86 </v>
      </c>
    </row>
    <row r="52" ht="12.75" customHeight="1">
      <c r="A52" s="29"/>
    </row>
    <row r="53" ht="12.75" customHeight="1">
      <c r="A53" s="29"/>
    </row>
    <row r="54" ht="12.75" customHeight="1">
      <c r="A54" s="31"/>
    </row>
    <row r="55" ht="12.75" customHeight="1">
      <c r="A55" s="30"/>
    </row>
    <row r="56" ht="13.5" customHeight="1">
      <c r="A56" s="36"/>
    </row>
    <row r="57" ht="12.75" customHeight="1">
      <c r="A57" s="29"/>
    </row>
    <row r="58" ht="12.75" customHeight="1">
      <c r="A58" s="29"/>
    </row>
    <row r="59" ht="12.75" customHeight="1">
      <c r="A59" s="29"/>
    </row>
    <row r="60" ht="12.75" customHeight="1">
      <c r="A60" s="29"/>
    </row>
    <row r="61" ht="12.75" customHeight="1">
      <c r="A61" s="29"/>
    </row>
    <row r="62" ht="12.75" customHeight="1">
      <c r="A62" s="29"/>
    </row>
    <row r="63" ht="12.75" customHeight="1">
      <c r="A63" s="29"/>
    </row>
    <row r="64" ht="12.75" customHeight="1">
      <c r="A64" s="31"/>
    </row>
    <row r="65" ht="12.75" customHeight="1">
      <c r="A65" s="30"/>
    </row>
    <row r="66" ht="13.5" customHeight="1">
      <c r="A66" s="36"/>
    </row>
    <row r="67" ht="12.75" customHeight="1">
      <c r="A67" s="29"/>
    </row>
    <row r="68" ht="12.75" customHeight="1">
      <c r="A68" s="29"/>
    </row>
    <row r="69" ht="12.75" customHeight="1">
      <c r="A69" s="29"/>
    </row>
    <row r="70" ht="12.75" customHeight="1">
      <c r="A70" s="29"/>
    </row>
    <row r="71" ht="12.75" customHeight="1">
      <c r="A71" s="29"/>
    </row>
    <row r="72" ht="12.75" customHeight="1">
      <c r="A72" s="29"/>
    </row>
    <row r="73" ht="12.75" customHeight="1">
      <c r="A73" s="29"/>
    </row>
    <row r="74" ht="12.75" customHeight="1">
      <c r="A74" s="31"/>
    </row>
    <row r="75" ht="12.75" customHeight="1">
      <c r="A75" s="30"/>
    </row>
    <row r="76" ht="13.5" customHeight="1">
      <c r="A76" s="36"/>
    </row>
    <row r="77" ht="12.75" customHeight="1">
      <c r="A77" s="29"/>
    </row>
    <row r="78" ht="12.75" customHeight="1">
      <c r="A78" s="29"/>
    </row>
    <row r="79" ht="12.75" customHeight="1">
      <c r="A79" s="29"/>
    </row>
    <row r="80" ht="12.75" customHeight="1">
      <c r="A80" s="29"/>
    </row>
    <row r="81" ht="12.75" customHeight="1">
      <c r="A81" s="29"/>
    </row>
    <row r="82" ht="12.75" customHeight="1">
      <c r="A82" s="29"/>
    </row>
    <row r="83" ht="12.75" customHeight="1">
      <c r="A83" s="29"/>
    </row>
    <row r="84" ht="12.75" customHeight="1">
      <c r="A84" s="31"/>
    </row>
    <row r="85" ht="12.75" customHeight="1">
      <c r="A85" s="30"/>
    </row>
    <row r="86" ht="13.5" customHeight="1">
      <c r="A86" s="36"/>
    </row>
    <row r="87" ht="12.75" customHeight="1">
      <c r="A87" s="29"/>
    </row>
    <row r="88" ht="12.75" customHeight="1">
      <c r="A88" s="29"/>
    </row>
    <row r="89" ht="12.75" customHeight="1">
      <c r="A89" s="29"/>
    </row>
    <row r="90" ht="12.75" customHeight="1">
      <c r="A90" s="29"/>
    </row>
    <row r="91" ht="12.75" customHeight="1">
      <c r="A91" s="29"/>
    </row>
    <row r="92" ht="12.75" customHeight="1">
      <c r="A92" s="29"/>
    </row>
    <row r="93" ht="12.75" customHeight="1">
      <c r="A93" s="29"/>
    </row>
    <row r="94" ht="12.75" customHeight="1">
      <c r="A94" s="31"/>
    </row>
    <row r="95" ht="12.75" customHeight="1">
      <c r="A95" s="30"/>
    </row>
    <row r="96" ht="13.5" customHeight="1">
      <c r="A96" s="36"/>
    </row>
    <row r="97" ht="12.75" customHeight="1">
      <c r="A97" s="29"/>
    </row>
    <row r="98" ht="12.75" customHeight="1">
      <c r="A98" s="29"/>
    </row>
    <row r="99" ht="12.75" customHeight="1">
      <c r="A99" s="29"/>
    </row>
    <row r="100" ht="12.75" customHeight="1">
      <c r="A100" s="29"/>
    </row>
    <row r="101" ht="12.75" customHeight="1">
      <c r="A101" s="29"/>
    </row>
    <row r="102" ht="12.75" customHeight="1">
      <c r="A102" s="29"/>
    </row>
    <row r="103" ht="12.75" customHeight="1">
      <c r="A103" s="29"/>
    </row>
    <row r="104" ht="12.75" customHeight="1">
      <c r="A104" s="31"/>
    </row>
    <row r="105" ht="12.75" customHeight="1">
      <c r="A105" s="30"/>
    </row>
    <row r="106" ht="13.5" customHeight="1">
      <c r="A106" s="36"/>
    </row>
    <row r="107" ht="12.75" customHeight="1">
      <c r="A107" s="29"/>
    </row>
    <row r="108" ht="12.75" customHeight="1">
      <c r="A108" s="29"/>
    </row>
    <row r="109" ht="12.75" customHeight="1">
      <c r="A109" s="29"/>
    </row>
    <row r="110" ht="12.75" customHeight="1">
      <c r="A110" s="29"/>
    </row>
    <row r="111" ht="12.75" customHeight="1">
      <c r="A111" s="29"/>
    </row>
    <row r="112" ht="12.75" customHeight="1">
      <c r="A112" s="29"/>
    </row>
    <row r="113" ht="12.75" customHeight="1">
      <c r="A113" s="29"/>
    </row>
    <row r="114" ht="12.75" customHeight="1">
      <c r="A114" s="31"/>
    </row>
    <row r="115" ht="12.75" customHeight="1">
      <c r="A115" s="30"/>
    </row>
    <row r="116" ht="13.5" customHeight="1">
      <c r="A116" s="36"/>
    </row>
    <row r="117" ht="12.75" customHeight="1">
      <c r="A117" s="29"/>
    </row>
    <row r="118" ht="12.75" customHeight="1">
      <c r="A118" s="29"/>
    </row>
    <row r="119" ht="12.75" customHeight="1">
      <c r="A119" s="29"/>
    </row>
    <row r="120" ht="12.75" customHeight="1">
      <c r="A120" s="29"/>
    </row>
    <row r="121" ht="12.75" customHeight="1">
      <c r="A121" s="29"/>
    </row>
    <row r="122" ht="12.75" customHeight="1">
      <c r="A122" s="29"/>
    </row>
    <row r="123" ht="12.75" customHeight="1">
      <c r="A123" s="29"/>
    </row>
    <row r="124" ht="12.75" customHeight="1">
      <c r="A124" s="31"/>
    </row>
    <row r="125" ht="12.75" customHeight="1">
      <c r="A125" s="30"/>
    </row>
    <row r="126" ht="13.5" customHeight="1">
      <c r="A126" s="36"/>
    </row>
    <row r="127" ht="12.75" customHeight="1">
      <c r="A127" s="29"/>
    </row>
    <row r="128" ht="12.75" customHeight="1">
      <c r="A128" s="29"/>
    </row>
    <row r="129" ht="12.75" customHeight="1">
      <c r="A129" s="29"/>
    </row>
    <row r="130" ht="12.75" customHeight="1">
      <c r="A130" s="29"/>
    </row>
    <row r="131" ht="12.75" customHeight="1">
      <c r="A131" s="29"/>
    </row>
    <row r="132" ht="12.75" customHeight="1">
      <c r="A132" s="29"/>
    </row>
    <row r="133" ht="12.75" customHeight="1">
      <c r="A133" s="29"/>
    </row>
    <row r="134" ht="12.75" customHeight="1">
      <c r="A134" s="31"/>
    </row>
    <row r="135" ht="12.75" customHeight="1">
      <c r="A135" s="30"/>
    </row>
    <row r="136" ht="13.5" customHeight="1">
      <c r="A136" s="36"/>
    </row>
    <row r="137" ht="12.75" customHeight="1">
      <c r="A137" s="29"/>
    </row>
    <row r="138" ht="12.75" customHeight="1">
      <c r="A138" s="29"/>
    </row>
    <row r="139" ht="12.75" customHeight="1">
      <c r="A139" s="29"/>
    </row>
    <row r="140" ht="12.75" customHeight="1">
      <c r="A140" s="29"/>
    </row>
    <row r="141" ht="12.75" customHeight="1">
      <c r="A141" s="29"/>
    </row>
    <row r="142" ht="12.75" customHeight="1">
      <c r="A142" s="29"/>
    </row>
    <row r="143" ht="12.75" customHeight="1">
      <c r="A143" s="29"/>
    </row>
    <row r="144" ht="12.75" customHeight="1">
      <c r="A144" s="31"/>
    </row>
    <row r="145" ht="12.75" customHeight="1">
      <c r="A145" s="30"/>
    </row>
  </sheetData>
  <mergeCells count="4">
    <mergeCell ref="A31:A51"/>
    <mergeCell ref="A3:A23"/>
    <mergeCell ref="A1:M1"/>
    <mergeCell ref="A2:J2"/>
  </mergeCells>
  <conditionalFormatting sqref="L4:L23">
    <cfRule type="cellIs" dxfId="0" priority="1" operator="greaterThanOrEqual">
      <formula>0</formula>
    </cfRule>
  </conditionalFormatting>
  <conditionalFormatting sqref="L4:L23">
    <cfRule type="cellIs" dxfId="1" priority="2" operator="lessThan">
      <formula>0</formula>
    </cfRule>
  </conditionalFormatting>
  <conditionalFormatting sqref="M4:M23">
    <cfRule type="cellIs" dxfId="0" priority="3" operator="greaterThanOrEqual">
      <formula>0</formula>
    </cfRule>
  </conditionalFormatting>
  <conditionalFormatting sqref="M4:M23">
    <cfRule type="cellIs" dxfId="1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2.0"/>
    <col customWidth="1" hidden="1" min="3" max="5" width="9.5"/>
    <col customWidth="1" hidden="1" min="6" max="6" width="10.13"/>
    <col customWidth="1" hidden="1" min="7" max="7" width="1.5"/>
    <col customWidth="1" min="8" max="8" width="12.38"/>
    <col customWidth="1" min="9" max="9" width="15.13"/>
    <col customWidth="1" min="10" max="10" width="14.63"/>
    <col customWidth="1" min="11" max="11" width="2.38"/>
    <col customWidth="1" min="12" max="12" width="16.63"/>
    <col customWidth="1" min="13" max="13" width="17.88"/>
    <col customWidth="1" min="14" max="14" width="16.88"/>
  </cols>
  <sheetData>
    <row r="1" ht="27.0" customHeight="1">
      <c r="A1" s="56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ht="63.0" customHeight="1">
      <c r="A2" s="68" t="s">
        <v>30</v>
      </c>
      <c r="B2" s="5"/>
      <c r="C2" s="5"/>
      <c r="D2" s="5"/>
      <c r="E2" s="5"/>
      <c r="F2" s="5"/>
      <c r="G2" s="5"/>
      <c r="H2" s="5"/>
      <c r="I2" s="5"/>
      <c r="J2" s="5"/>
      <c r="K2" s="6"/>
      <c r="L2" s="69" t="s">
        <v>25</v>
      </c>
      <c r="M2" s="70" t="s">
        <v>31</v>
      </c>
      <c r="N2" s="71" t="str">
        <f>B27</f>
        <v>0.001%</v>
      </c>
    </row>
    <row r="3" ht="22.5" customHeight="1">
      <c r="A3" s="72" t="s">
        <v>32</v>
      </c>
      <c r="B3" s="5"/>
      <c r="C3" s="5"/>
      <c r="D3" s="5"/>
      <c r="E3" s="5"/>
      <c r="F3" s="5"/>
      <c r="G3" s="5"/>
      <c r="H3" s="5"/>
      <c r="I3" s="5"/>
      <c r="J3" s="5"/>
      <c r="K3" s="6"/>
      <c r="L3" s="73"/>
      <c r="M3" s="2"/>
      <c r="N3" s="3"/>
    </row>
    <row r="4" ht="124.5" customHeight="1">
      <c r="A4" s="10" t="s">
        <v>3</v>
      </c>
      <c r="B4" s="60" t="s">
        <v>4</v>
      </c>
      <c r="C4" s="60" t="s">
        <v>5</v>
      </c>
      <c r="D4" s="60" t="s">
        <v>6</v>
      </c>
      <c r="E4" s="60" t="s">
        <v>7</v>
      </c>
      <c r="F4" s="60" t="s">
        <v>8</v>
      </c>
      <c r="G4" s="60" t="s">
        <v>26</v>
      </c>
      <c r="H4" s="11" t="s">
        <v>27</v>
      </c>
      <c r="I4" s="11" t="s">
        <v>33</v>
      </c>
      <c r="J4" s="12" t="s">
        <v>34</v>
      </c>
      <c r="K4" s="13"/>
      <c r="L4" s="14" t="s">
        <v>35</v>
      </c>
      <c r="M4" s="11" t="s">
        <v>12</v>
      </c>
      <c r="N4" s="12" t="s">
        <v>13</v>
      </c>
    </row>
    <row r="5" ht="20.25" customHeight="1">
      <c r="A5" s="15"/>
      <c r="B5" s="74">
        <v>1.0</v>
      </c>
      <c r="C5" s="75">
        <v>0.0</v>
      </c>
      <c r="D5" s="75">
        <v>1.22</v>
      </c>
      <c r="E5" s="75">
        <v>1.28</v>
      </c>
      <c r="F5" s="75">
        <v>0.0</v>
      </c>
      <c r="G5" s="75">
        <v>2.0</v>
      </c>
      <c r="H5" s="75" t="str">
        <f t="shared" ref="H5:H24" si="1">SUM(C5:G5)</f>
        <v>  4.50 </v>
      </c>
      <c r="I5" s="75" t="str">
        <f t="shared" ref="I5:I24" si="2">($B$27*$B$28*100)</f>
        <v>  0.00 </v>
      </c>
      <c r="J5" s="76" t="str">
        <f t="shared" ref="J5:J24" si="3">SUM(H5:I5)</f>
        <v>  4.50 </v>
      </c>
      <c r="K5" s="77"/>
      <c r="L5" s="78" t="str">
        <f t="shared" ref="L5:L24" si="4">I34</f>
        <v>  16.33 </v>
      </c>
      <c r="M5" s="79" t="str">
        <f t="shared" ref="M5:M24" si="5">L5-J5</f>
        <v>  11.83 </v>
      </c>
      <c r="N5" s="80" t="str">
        <f t="shared" ref="N5:N24" si="6">M5/L5</f>
        <v>72.44%</v>
      </c>
    </row>
    <row r="6" ht="20.25" customHeight="1">
      <c r="A6" s="15"/>
      <c r="B6" s="74">
        <v>2.0</v>
      </c>
      <c r="C6" s="75">
        <v>0.0</v>
      </c>
      <c r="D6" s="75">
        <v>1.84</v>
      </c>
      <c r="E6" s="75">
        <v>1.91</v>
      </c>
      <c r="F6" s="75">
        <v>0.0</v>
      </c>
      <c r="G6" s="75">
        <v>2.79</v>
      </c>
      <c r="H6" s="75" t="str">
        <f t="shared" si="1"/>
        <v>  6.54 </v>
      </c>
      <c r="I6" s="75" t="str">
        <f t="shared" si="2"/>
        <v>  0.00 </v>
      </c>
      <c r="J6" s="76" t="str">
        <f t="shared" si="3"/>
        <v>  6.54 </v>
      </c>
      <c r="K6" s="77"/>
      <c r="L6" s="78" t="str">
        <f t="shared" si="4"/>
        <v>  16.33 </v>
      </c>
      <c r="M6" s="79" t="str">
        <f t="shared" si="5"/>
        <v>  9.79 </v>
      </c>
      <c r="N6" s="80" t="str">
        <f t="shared" si="6"/>
        <v>59.95%</v>
      </c>
    </row>
    <row r="7" ht="20.25" customHeight="1">
      <c r="A7" s="15"/>
      <c r="B7" s="74">
        <v>3.0</v>
      </c>
      <c r="C7" s="75">
        <v>0.16</v>
      </c>
      <c r="D7" s="75">
        <v>1.85</v>
      </c>
      <c r="E7" s="75">
        <v>1.95</v>
      </c>
      <c r="F7" s="75">
        <v>0.24</v>
      </c>
      <c r="G7" s="75">
        <v>3.5</v>
      </c>
      <c r="H7" s="75" t="str">
        <f t="shared" si="1"/>
        <v>  7.70 </v>
      </c>
      <c r="I7" s="75" t="str">
        <f t="shared" si="2"/>
        <v>  0.00 </v>
      </c>
      <c r="J7" s="76" t="str">
        <f t="shared" si="3"/>
        <v>  7.70 </v>
      </c>
      <c r="K7" s="77"/>
      <c r="L7" s="78" t="str">
        <f t="shared" si="4"/>
        <v>  16.33 </v>
      </c>
      <c r="M7" s="79" t="str">
        <f t="shared" si="5"/>
        <v>  8.63 </v>
      </c>
      <c r="N7" s="80" t="str">
        <f t="shared" si="6"/>
        <v>52.85%</v>
      </c>
    </row>
    <row r="8" ht="20.25" customHeight="1">
      <c r="A8" s="15"/>
      <c r="B8" s="74">
        <v>4.0</v>
      </c>
      <c r="C8" s="75">
        <v>0.52</v>
      </c>
      <c r="D8" s="75">
        <v>1.87</v>
      </c>
      <c r="E8" s="75">
        <v>1.99</v>
      </c>
      <c r="F8" s="75">
        <v>0.27</v>
      </c>
      <c r="G8" s="75">
        <v>3.84</v>
      </c>
      <c r="H8" s="75" t="str">
        <f t="shared" si="1"/>
        <v>  8.49 </v>
      </c>
      <c r="I8" s="75" t="str">
        <f t="shared" si="2"/>
        <v>  0.00 </v>
      </c>
      <c r="J8" s="76" t="str">
        <f t="shared" si="3"/>
        <v>  8.49 </v>
      </c>
      <c r="K8" s="77"/>
      <c r="L8" s="78" t="str">
        <f t="shared" si="4"/>
        <v>  16.33 </v>
      </c>
      <c r="M8" s="79" t="str">
        <f t="shared" si="5"/>
        <v>  7.84 </v>
      </c>
      <c r="N8" s="80" t="str">
        <f t="shared" si="6"/>
        <v>48.01%</v>
      </c>
    </row>
    <row r="9" ht="20.25" customHeight="1">
      <c r="A9" s="15"/>
      <c r="B9" s="74">
        <v>5.0</v>
      </c>
      <c r="C9" s="75">
        <v>0.89</v>
      </c>
      <c r="D9" s="75">
        <v>1.89</v>
      </c>
      <c r="E9" s="75">
        <v>2.03</v>
      </c>
      <c r="F9" s="75">
        <v>0.29</v>
      </c>
      <c r="G9" s="75">
        <v>3.87</v>
      </c>
      <c r="H9" s="75" t="str">
        <f t="shared" si="1"/>
        <v>  8.97 </v>
      </c>
      <c r="I9" s="75" t="str">
        <f t="shared" si="2"/>
        <v>  0.00 </v>
      </c>
      <c r="J9" s="76" t="str">
        <f t="shared" si="3"/>
        <v>  8.97 </v>
      </c>
      <c r="K9" s="77"/>
      <c r="L9" s="78" t="str">
        <f t="shared" si="4"/>
        <v>  16.86 </v>
      </c>
      <c r="M9" s="79" t="str">
        <f t="shared" si="5"/>
        <v>  7.89 </v>
      </c>
      <c r="N9" s="80" t="str">
        <f t="shared" si="6"/>
        <v>46.81%</v>
      </c>
    </row>
    <row r="10" ht="20.25" customHeight="1">
      <c r="A10" s="15"/>
      <c r="B10" s="74">
        <v>6.0</v>
      </c>
      <c r="C10" s="75">
        <v>1.25</v>
      </c>
      <c r="D10" s="75">
        <v>1.91</v>
      </c>
      <c r="E10" s="75">
        <v>2.07</v>
      </c>
      <c r="F10" s="75">
        <v>0.32</v>
      </c>
      <c r="G10" s="75">
        <v>4.23</v>
      </c>
      <c r="H10" s="75" t="str">
        <f t="shared" si="1"/>
        <v>  9.78 </v>
      </c>
      <c r="I10" s="75" t="str">
        <f t="shared" si="2"/>
        <v>  0.00 </v>
      </c>
      <c r="J10" s="76" t="str">
        <f t="shared" si="3"/>
        <v>  9.78 </v>
      </c>
      <c r="K10" s="77"/>
      <c r="L10" s="78" t="str">
        <f t="shared" si="4"/>
        <v>  17.31 </v>
      </c>
      <c r="M10" s="79" t="str">
        <f t="shared" si="5"/>
        <v>  7.53 </v>
      </c>
      <c r="N10" s="80" t="str">
        <f t="shared" si="6"/>
        <v>43.49%</v>
      </c>
    </row>
    <row r="11" ht="20.25" customHeight="1">
      <c r="A11" s="15"/>
      <c r="B11" s="74">
        <v>7.0</v>
      </c>
      <c r="C11" s="75">
        <v>1.62</v>
      </c>
      <c r="D11" s="75">
        <v>1.93</v>
      </c>
      <c r="E11" s="75">
        <v>2.11</v>
      </c>
      <c r="F11" s="75">
        <v>0.34</v>
      </c>
      <c r="G11" s="75">
        <v>4.26</v>
      </c>
      <c r="H11" s="75" t="str">
        <f t="shared" si="1"/>
        <v>  10.26 </v>
      </c>
      <c r="I11" s="75" t="str">
        <f t="shared" si="2"/>
        <v>  0.00 </v>
      </c>
      <c r="J11" s="76" t="str">
        <f t="shared" si="3"/>
        <v>  10.26 </v>
      </c>
      <c r="K11" s="77"/>
      <c r="L11" s="78" t="str">
        <f t="shared" si="4"/>
        <v>  17.63 </v>
      </c>
      <c r="M11" s="79" t="str">
        <f t="shared" si="5"/>
        <v>  7.37 </v>
      </c>
      <c r="N11" s="80" t="str">
        <f t="shared" si="6"/>
        <v>41.79%</v>
      </c>
    </row>
    <row r="12" ht="20.25" customHeight="1">
      <c r="A12" s="15"/>
      <c r="B12" s="74">
        <v>8.0</v>
      </c>
      <c r="C12" s="75">
        <v>2.0</v>
      </c>
      <c r="D12" s="75">
        <v>1.95</v>
      </c>
      <c r="E12" s="75">
        <v>2.15</v>
      </c>
      <c r="F12" s="75">
        <v>0.35</v>
      </c>
      <c r="G12" s="75">
        <v>4.31</v>
      </c>
      <c r="H12" s="75" t="str">
        <f t="shared" si="1"/>
        <v>  10.76 </v>
      </c>
      <c r="I12" s="75" t="str">
        <f t="shared" si="2"/>
        <v>  0.00 </v>
      </c>
      <c r="J12" s="76" t="str">
        <f t="shared" si="3"/>
        <v>  10.76 </v>
      </c>
      <c r="K12" s="77"/>
      <c r="L12" s="78" t="str">
        <f t="shared" si="4"/>
        <v>  17.86 </v>
      </c>
      <c r="M12" s="79" t="str">
        <f t="shared" si="5"/>
        <v>  7.10 </v>
      </c>
      <c r="N12" s="80" t="str">
        <f t="shared" si="6"/>
        <v>39.76%</v>
      </c>
    </row>
    <row r="13" ht="20.25" customHeight="1">
      <c r="A13" s="15"/>
      <c r="B13" s="74">
        <v>9.0</v>
      </c>
      <c r="C13" s="75">
        <v>2.37</v>
      </c>
      <c r="D13" s="75">
        <v>1.97</v>
      </c>
      <c r="E13" s="75">
        <v>2.19</v>
      </c>
      <c r="F13" s="75">
        <v>0.37</v>
      </c>
      <c r="G13" s="75">
        <v>4.61</v>
      </c>
      <c r="H13" s="75" t="str">
        <f t="shared" si="1"/>
        <v>  11.51 </v>
      </c>
      <c r="I13" s="75" t="str">
        <f t="shared" si="2"/>
        <v>  0.00 </v>
      </c>
      <c r="J13" s="76" t="str">
        <f t="shared" si="3"/>
        <v>  11.51 </v>
      </c>
      <c r="K13" s="77"/>
      <c r="L13" s="78" t="str">
        <f t="shared" si="4"/>
        <v>  18.05 </v>
      </c>
      <c r="M13" s="79" t="str">
        <f t="shared" si="5"/>
        <v>  6.54 </v>
      </c>
      <c r="N13" s="80" t="str">
        <f t="shared" si="6"/>
        <v>36.23%</v>
      </c>
    </row>
    <row r="14" ht="20.25" customHeight="1">
      <c r="A14" s="15"/>
      <c r="B14" s="74">
        <v>10.0</v>
      </c>
      <c r="C14" s="75">
        <v>2.74</v>
      </c>
      <c r="D14" s="75">
        <v>2.0</v>
      </c>
      <c r="E14" s="75">
        <v>2.23</v>
      </c>
      <c r="F14" s="75">
        <v>0.38</v>
      </c>
      <c r="G14" s="75">
        <v>4.65</v>
      </c>
      <c r="H14" s="75" t="str">
        <f t="shared" si="1"/>
        <v>  12.00 </v>
      </c>
      <c r="I14" s="75" t="str">
        <f t="shared" si="2"/>
        <v>  0.00 </v>
      </c>
      <c r="J14" s="76" t="str">
        <f t="shared" si="3"/>
        <v>  12.00 </v>
      </c>
      <c r="K14" s="77"/>
      <c r="L14" s="78" t="str">
        <f t="shared" si="4"/>
        <v>  18.20 </v>
      </c>
      <c r="M14" s="79" t="str">
        <f t="shared" si="5"/>
        <v>  6.20 </v>
      </c>
      <c r="N14" s="80" t="str">
        <f t="shared" si="6"/>
        <v>34.05%</v>
      </c>
    </row>
    <row r="15" ht="20.25" customHeight="1">
      <c r="A15" s="15"/>
      <c r="B15" s="74">
        <v>11.0</v>
      </c>
      <c r="C15" s="75">
        <v>3.12</v>
      </c>
      <c r="D15" s="75">
        <v>2.01</v>
      </c>
      <c r="E15" s="75">
        <v>2.27</v>
      </c>
      <c r="F15" s="75">
        <v>0.4</v>
      </c>
      <c r="G15" s="75">
        <v>5.0</v>
      </c>
      <c r="H15" s="75" t="str">
        <f t="shared" si="1"/>
        <v>  12.80 </v>
      </c>
      <c r="I15" s="75" t="str">
        <f t="shared" si="2"/>
        <v>  0.00 </v>
      </c>
      <c r="J15" s="76" t="str">
        <f t="shared" si="3"/>
        <v>  12.80 </v>
      </c>
      <c r="K15" s="77"/>
      <c r="L15" s="78" t="str">
        <f t="shared" si="4"/>
        <v>  18.32 </v>
      </c>
      <c r="M15" s="79" t="str">
        <f t="shared" si="5"/>
        <v>  5.52 </v>
      </c>
      <c r="N15" s="80" t="str">
        <f t="shared" si="6"/>
        <v>30.12%</v>
      </c>
    </row>
    <row r="16" ht="20.25" customHeight="1">
      <c r="A16" s="15"/>
      <c r="B16" s="74">
        <v>12.0</v>
      </c>
      <c r="C16" s="75">
        <v>3.49</v>
      </c>
      <c r="D16" s="75">
        <v>2.03</v>
      </c>
      <c r="E16" s="75">
        <v>2.31</v>
      </c>
      <c r="F16" s="75">
        <v>0.42</v>
      </c>
      <c r="G16" s="75">
        <v>5.0</v>
      </c>
      <c r="H16" s="75" t="str">
        <f t="shared" si="1"/>
        <v>  13.25 </v>
      </c>
      <c r="I16" s="75" t="str">
        <f t="shared" si="2"/>
        <v>  0.00 </v>
      </c>
      <c r="J16" s="76" t="str">
        <f t="shared" si="3"/>
        <v>  13.25 </v>
      </c>
      <c r="K16" s="77"/>
      <c r="L16" s="78" t="str">
        <f t="shared" si="4"/>
        <v>  18.42 </v>
      </c>
      <c r="M16" s="79" t="str">
        <f t="shared" si="5"/>
        <v>  5.17 </v>
      </c>
      <c r="N16" s="80" t="str">
        <f t="shared" si="6"/>
        <v>28.06%</v>
      </c>
    </row>
    <row r="17" ht="20.25" customHeight="1">
      <c r="A17" s="15"/>
      <c r="B17" s="74">
        <v>13.0</v>
      </c>
      <c r="C17" s="75">
        <v>3.86</v>
      </c>
      <c r="D17" s="75">
        <v>2.05</v>
      </c>
      <c r="E17" s="75">
        <v>2.35</v>
      </c>
      <c r="F17" s="75">
        <v>0.44</v>
      </c>
      <c r="G17" s="75">
        <v>5.0</v>
      </c>
      <c r="H17" s="75" t="str">
        <f t="shared" si="1"/>
        <v>  13.70 </v>
      </c>
      <c r="I17" s="75" t="str">
        <f t="shared" si="2"/>
        <v>  0.00 </v>
      </c>
      <c r="J17" s="76" t="str">
        <f t="shared" si="3"/>
        <v>  13.70 </v>
      </c>
      <c r="K17" s="77"/>
      <c r="L17" s="78" t="str">
        <f t="shared" si="4"/>
        <v>  18.50 </v>
      </c>
      <c r="M17" s="79" t="str">
        <f t="shared" si="5"/>
        <v>  4.80 </v>
      </c>
      <c r="N17" s="80" t="str">
        <f t="shared" si="6"/>
        <v>25.96%</v>
      </c>
    </row>
    <row r="18" ht="20.25" customHeight="1">
      <c r="A18" s="15"/>
      <c r="B18" s="74">
        <v>14.0</v>
      </c>
      <c r="C18" s="75">
        <v>4.23</v>
      </c>
      <c r="D18" s="75">
        <v>2.07</v>
      </c>
      <c r="E18" s="75">
        <v>2.39</v>
      </c>
      <c r="F18" s="75">
        <v>0.46</v>
      </c>
      <c r="G18" s="75">
        <v>5.0</v>
      </c>
      <c r="H18" s="75" t="str">
        <f t="shared" si="1"/>
        <v>  14.15 </v>
      </c>
      <c r="I18" s="75" t="str">
        <f t="shared" si="2"/>
        <v>  0.00 </v>
      </c>
      <c r="J18" s="76" t="str">
        <f t="shared" si="3"/>
        <v>  14.15 </v>
      </c>
      <c r="K18" s="77"/>
      <c r="L18" s="78" t="str">
        <f t="shared" si="4"/>
        <v>  18.58 </v>
      </c>
      <c r="M18" s="79" t="str">
        <f t="shared" si="5"/>
        <v>  4.43 </v>
      </c>
      <c r="N18" s="80" t="str">
        <f t="shared" si="6"/>
        <v>23.83%</v>
      </c>
    </row>
    <row r="19" ht="20.25" customHeight="1">
      <c r="A19" s="15"/>
      <c r="B19" s="74">
        <v>15.0</v>
      </c>
      <c r="C19" s="75">
        <v>4.6</v>
      </c>
      <c r="D19" s="75">
        <v>2.1</v>
      </c>
      <c r="E19" s="75">
        <v>2.43</v>
      </c>
      <c r="F19" s="75">
        <v>0.47</v>
      </c>
      <c r="G19" s="75">
        <v>5.0</v>
      </c>
      <c r="H19" s="75" t="str">
        <f t="shared" si="1"/>
        <v>  14.60 </v>
      </c>
      <c r="I19" s="75" t="str">
        <f t="shared" si="2"/>
        <v>  0.00 </v>
      </c>
      <c r="J19" s="76" t="str">
        <f t="shared" si="3"/>
        <v>  14.60 </v>
      </c>
      <c r="K19" s="77"/>
      <c r="L19" s="78" t="str">
        <f t="shared" si="4"/>
        <v>  18.64 </v>
      </c>
      <c r="M19" s="79" t="str">
        <f t="shared" si="5"/>
        <v>  4.04 </v>
      </c>
      <c r="N19" s="80" t="str">
        <f t="shared" si="6"/>
        <v>21.68%</v>
      </c>
    </row>
    <row r="20" ht="20.25" customHeight="1">
      <c r="A20" s="15"/>
      <c r="B20" s="74">
        <v>16.0</v>
      </c>
      <c r="C20" s="75">
        <v>4.9</v>
      </c>
      <c r="D20" s="75">
        <v>2.19</v>
      </c>
      <c r="E20" s="75">
        <v>2.47</v>
      </c>
      <c r="F20" s="75">
        <v>0.49</v>
      </c>
      <c r="G20" s="75">
        <v>5.0</v>
      </c>
      <c r="H20" s="75" t="str">
        <f t="shared" si="1"/>
        <v>  15.05 </v>
      </c>
      <c r="I20" s="75" t="str">
        <f t="shared" si="2"/>
        <v>  0.00 </v>
      </c>
      <c r="J20" s="76" t="str">
        <f t="shared" si="3"/>
        <v>  15.05 </v>
      </c>
      <c r="K20" s="77"/>
      <c r="L20" s="78" t="str">
        <f t="shared" si="4"/>
        <v>  18.70 </v>
      </c>
      <c r="M20" s="79" t="str">
        <f t="shared" si="5"/>
        <v>  3.65 </v>
      </c>
      <c r="N20" s="80" t="str">
        <f t="shared" si="6"/>
        <v>19.50%</v>
      </c>
    </row>
    <row r="21" ht="20.25" customHeight="1">
      <c r="A21" s="15"/>
      <c r="B21" s="74">
        <v>17.0</v>
      </c>
      <c r="C21" s="75">
        <v>5.21</v>
      </c>
      <c r="D21" s="75">
        <v>2.27</v>
      </c>
      <c r="E21" s="75">
        <v>2.51</v>
      </c>
      <c r="F21" s="75">
        <v>0.51</v>
      </c>
      <c r="G21" s="75">
        <v>5.0</v>
      </c>
      <c r="H21" s="75" t="str">
        <f t="shared" si="1"/>
        <v>  15.50 </v>
      </c>
      <c r="I21" s="75" t="str">
        <f t="shared" si="2"/>
        <v>  0.00 </v>
      </c>
      <c r="J21" s="76" t="str">
        <f t="shared" si="3"/>
        <v>  15.50 </v>
      </c>
      <c r="K21" s="77"/>
      <c r="L21" s="78" t="str">
        <f t="shared" si="4"/>
        <v>  18.75 </v>
      </c>
      <c r="M21" s="79" t="str">
        <f t="shared" si="5"/>
        <v>  3.25 </v>
      </c>
      <c r="N21" s="80" t="str">
        <f t="shared" si="6"/>
        <v>17.31%</v>
      </c>
    </row>
    <row r="22" ht="20.25" customHeight="1">
      <c r="A22" s="15"/>
      <c r="B22" s="74">
        <v>18.0</v>
      </c>
      <c r="C22" s="75">
        <v>5.51</v>
      </c>
      <c r="D22" s="75">
        <v>2.36</v>
      </c>
      <c r="E22" s="75">
        <v>2.55</v>
      </c>
      <c r="F22" s="75">
        <v>0.53</v>
      </c>
      <c r="G22" s="75">
        <v>5.0</v>
      </c>
      <c r="H22" s="75" t="str">
        <f t="shared" si="1"/>
        <v>  15.95 </v>
      </c>
      <c r="I22" s="75" t="str">
        <f t="shared" si="2"/>
        <v>  0.00 </v>
      </c>
      <c r="J22" s="76" t="str">
        <f t="shared" si="3"/>
        <v>  15.95 </v>
      </c>
      <c r="K22" s="77"/>
      <c r="L22" s="78" t="str">
        <f t="shared" si="4"/>
        <v>  18.79 </v>
      </c>
      <c r="M22" s="79" t="str">
        <f t="shared" si="5"/>
        <v>  2.84 </v>
      </c>
      <c r="N22" s="80" t="str">
        <f t="shared" si="6"/>
        <v>15.11%</v>
      </c>
    </row>
    <row r="23" ht="20.25" customHeight="1">
      <c r="A23" s="15"/>
      <c r="B23" s="74">
        <v>19.0</v>
      </c>
      <c r="C23" s="75">
        <v>5.81</v>
      </c>
      <c r="D23" s="75">
        <v>2.45</v>
      </c>
      <c r="E23" s="75">
        <v>2.59</v>
      </c>
      <c r="F23" s="75">
        <v>0.55</v>
      </c>
      <c r="G23" s="75">
        <v>5.0</v>
      </c>
      <c r="H23" s="75" t="str">
        <f t="shared" si="1"/>
        <v>  16.40 </v>
      </c>
      <c r="I23" s="75" t="str">
        <f t="shared" si="2"/>
        <v>  0.00 </v>
      </c>
      <c r="J23" s="76" t="str">
        <f t="shared" si="3"/>
        <v>  16.40 </v>
      </c>
      <c r="K23" s="77"/>
      <c r="L23" s="78" t="str">
        <f t="shared" si="4"/>
        <v>  18.83 </v>
      </c>
      <c r="M23" s="79" t="str">
        <f t="shared" si="5"/>
        <v>  2.43 </v>
      </c>
      <c r="N23" s="80" t="str">
        <f t="shared" si="6"/>
        <v>12.90%</v>
      </c>
    </row>
    <row r="24" ht="21.0" customHeight="1">
      <c r="A24" s="22"/>
      <c r="B24" s="81">
        <v>20.0</v>
      </c>
      <c r="C24" s="82">
        <v>6.12</v>
      </c>
      <c r="D24" s="82">
        <v>2.53</v>
      </c>
      <c r="E24" s="82">
        <v>2.63</v>
      </c>
      <c r="F24" s="82">
        <v>0.57</v>
      </c>
      <c r="G24" s="82">
        <v>5.0</v>
      </c>
      <c r="H24" s="82" t="str">
        <f t="shared" si="1"/>
        <v>  16.85 </v>
      </c>
      <c r="I24" s="82" t="str">
        <f t="shared" si="2"/>
        <v>  0.00 </v>
      </c>
      <c r="J24" s="83" t="str">
        <f t="shared" si="3"/>
        <v>  16.85 </v>
      </c>
      <c r="K24" s="77"/>
      <c r="L24" s="84" t="str">
        <f t="shared" si="4"/>
        <v>  18.86 </v>
      </c>
      <c r="M24" s="85" t="str">
        <f t="shared" si="5"/>
        <v>  2.01 </v>
      </c>
      <c r="N24" s="86" t="str">
        <f t="shared" si="6"/>
        <v>10.67%</v>
      </c>
    </row>
    <row r="25" ht="12.75" customHeight="1">
      <c r="A25" s="29"/>
    </row>
    <row r="26" ht="13.5" customHeight="1">
      <c r="A26" s="30"/>
      <c r="B26" s="29"/>
    </row>
    <row r="27" ht="18.0" customHeight="1">
      <c r="A27" s="31" t="s">
        <v>14</v>
      </c>
      <c r="B27" s="87">
        <v>1.0E-5</v>
      </c>
      <c r="C27" s="33" t="s">
        <v>15</v>
      </c>
      <c r="D27" s="33"/>
      <c r="E27" s="33"/>
      <c r="F27" s="33"/>
      <c r="G27" s="34"/>
      <c r="H27" s="33"/>
      <c r="I27" s="33"/>
      <c r="J27" s="33"/>
      <c r="K27" s="33"/>
    </row>
    <row r="28" ht="23.25" customHeight="1">
      <c r="A28" s="31" t="s">
        <v>36</v>
      </c>
      <c r="B28" s="35">
        <v>0.23</v>
      </c>
    </row>
    <row r="29" ht="46.5" customHeight="1">
      <c r="A29" s="31" t="s">
        <v>37</v>
      </c>
      <c r="B29" s="35">
        <v>0.288</v>
      </c>
    </row>
    <row r="30" ht="47.25" customHeight="1">
      <c r="A30" s="31" t="s">
        <v>28</v>
      </c>
      <c r="B30" s="88">
        <v>0.05</v>
      </c>
      <c r="C30" s="33" t="s">
        <v>29</v>
      </c>
      <c r="D30" s="33"/>
      <c r="E30" s="33"/>
      <c r="F30" s="33"/>
      <c r="G30" s="33"/>
      <c r="H30" s="33"/>
    </row>
    <row r="31" ht="12.75" customHeight="1">
      <c r="A31" s="29"/>
      <c r="C31" s="29"/>
    </row>
    <row r="32" ht="12.75" customHeight="1">
      <c r="A32" s="29"/>
      <c r="C32" s="29"/>
    </row>
    <row r="33" ht="12.75" customHeight="1">
      <c r="A33" s="37" t="s">
        <v>38</v>
      </c>
      <c r="B33" s="38" t="s">
        <v>4</v>
      </c>
      <c r="C33" s="38" t="s">
        <v>5</v>
      </c>
      <c r="D33" s="38" t="s">
        <v>6</v>
      </c>
      <c r="E33" s="38" t="s">
        <v>7</v>
      </c>
      <c r="F33" s="38" t="s">
        <v>8</v>
      </c>
      <c r="G33" s="38" t="s">
        <v>9</v>
      </c>
      <c r="H33" s="38" t="s">
        <v>26</v>
      </c>
      <c r="I33" s="38" t="s">
        <v>17</v>
      </c>
    </row>
    <row r="34" ht="14.25" customHeight="1">
      <c r="A34" s="39"/>
      <c r="B34" s="40">
        <v>1.0</v>
      </c>
      <c r="C34" s="41">
        <v>4.8</v>
      </c>
      <c r="D34" s="42">
        <v>2.88</v>
      </c>
      <c r="E34" s="42">
        <v>3.0</v>
      </c>
      <c r="F34" s="42">
        <v>0.65</v>
      </c>
      <c r="G34" s="42" t="str">
        <f t="shared" ref="G34:G53" si="7">($B$27*$B$29*100)</f>
        <v>0.000288</v>
      </c>
      <c r="H34" s="41" t="str">
        <f t="shared" ref="H34:H53" si="8">$B$30*100</f>
        <v>  5.00 </v>
      </c>
      <c r="I34" s="43" t="str">
        <f t="shared" ref="I34:I53" si="9">SUM(C34:H34)</f>
        <v>  16.33 </v>
      </c>
    </row>
    <row r="35" ht="14.25" customHeight="1">
      <c r="A35" s="39"/>
      <c r="B35" s="40">
        <v>2.0</v>
      </c>
      <c r="C35" s="41">
        <v>4.8</v>
      </c>
      <c r="D35" s="42">
        <v>2.88</v>
      </c>
      <c r="E35" s="42">
        <v>3.0</v>
      </c>
      <c r="F35" s="42">
        <v>0.65</v>
      </c>
      <c r="G35" s="42" t="str">
        <f t="shared" si="7"/>
        <v>0.000288</v>
      </c>
      <c r="H35" s="41" t="str">
        <f t="shared" si="8"/>
        <v>  5.00 </v>
      </c>
      <c r="I35" s="43" t="str">
        <f t="shared" si="9"/>
        <v>  16.33 </v>
      </c>
    </row>
    <row r="36" ht="14.25" customHeight="1">
      <c r="A36" s="39"/>
      <c r="B36" s="40">
        <v>3.0</v>
      </c>
      <c r="C36" s="41">
        <v>4.8</v>
      </c>
      <c r="D36" s="42">
        <v>2.88</v>
      </c>
      <c r="E36" s="42">
        <v>3.0</v>
      </c>
      <c r="F36" s="42">
        <v>0.65</v>
      </c>
      <c r="G36" s="42" t="str">
        <f t="shared" si="7"/>
        <v>0.000288</v>
      </c>
      <c r="H36" s="41" t="str">
        <f t="shared" si="8"/>
        <v>  5.00 </v>
      </c>
      <c r="I36" s="43" t="str">
        <f t="shared" si="9"/>
        <v>  16.33 </v>
      </c>
    </row>
    <row r="37" ht="14.25" customHeight="1">
      <c r="A37" s="39"/>
      <c r="B37" s="40">
        <v>4.0</v>
      </c>
      <c r="C37" s="41">
        <v>4.8</v>
      </c>
      <c r="D37" s="42">
        <v>2.88</v>
      </c>
      <c r="E37" s="42">
        <v>3.0</v>
      </c>
      <c r="F37" s="42">
        <v>0.65</v>
      </c>
      <c r="G37" s="42" t="str">
        <f t="shared" si="7"/>
        <v>0.000288</v>
      </c>
      <c r="H37" s="41" t="str">
        <f t="shared" si="8"/>
        <v>  5.00 </v>
      </c>
      <c r="I37" s="43" t="str">
        <f t="shared" si="9"/>
        <v>  16.33 </v>
      </c>
    </row>
    <row r="38" ht="14.25" customHeight="1">
      <c r="A38" s="39"/>
      <c r="B38" s="40">
        <v>5.0</v>
      </c>
      <c r="C38" s="41">
        <v>5.333333333333334</v>
      </c>
      <c r="D38" s="42">
        <v>2.88</v>
      </c>
      <c r="E38" s="42">
        <v>3.0</v>
      </c>
      <c r="F38" s="42">
        <v>0.65</v>
      </c>
      <c r="G38" s="42" t="str">
        <f t="shared" si="7"/>
        <v>0.000288</v>
      </c>
      <c r="H38" s="41" t="str">
        <f t="shared" si="8"/>
        <v>  5.00 </v>
      </c>
      <c r="I38" s="43" t="str">
        <f t="shared" si="9"/>
        <v>  16.86 </v>
      </c>
    </row>
    <row r="39" ht="14.25" customHeight="1">
      <c r="A39" s="39"/>
      <c r="B39" s="40">
        <v>6.0</v>
      </c>
      <c r="C39" s="41">
        <v>5.777777777777778</v>
      </c>
      <c r="D39" s="42">
        <v>2.88</v>
      </c>
      <c r="E39" s="42">
        <v>3.0</v>
      </c>
      <c r="F39" s="42">
        <v>0.65</v>
      </c>
      <c r="G39" s="42" t="str">
        <f t="shared" si="7"/>
        <v>0.000288</v>
      </c>
      <c r="H39" s="41" t="str">
        <f t="shared" si="8"/>
        <v>  5.00 </v>
      </c>
      <c r="I39" s="43" t="str">
        <f t="shared" si="9"/>
        <v>  17.31 </v>
      </c>
    </row>
    <row r="40" ht="14.25" customHeight="1">
      <c r="A40" s="39"/>
      <c r="B40" s="40">
        <v>7.0</v>
      </c>
      <c r="C40" s="41">
        <v>6.095238095238095</v>
      </c>
      <c r="D40" s="42">
        <v>2.88</v>
      </c>
      <c r="E40" s="42">
        <v>3.0</v>
      </c>
      <c r="F40" s="42">
        <v>0.65</v>
      </c>
      <c r="G40" s="42" t="str">
        <f t="shared" si="7"/>
        <v>0.000288</v>
      </c>
      <c r="H40" s="41" t="str">
        <f t="shared" si="8"/>
        <v>  5.00 </v>
      </c>
      <c r="I40" s="43" t="str">
        <f t="shared" si="9"/>
        <v>  17.63 </v>
      </c>
    </row>
    <row r="41" ht="14.25" customHeight="1">
      <c r="A41" s="39"/>
      <c r="B41" s="40">
        <v>8.0</v>
      </c>
      <c r="C41" s="41">
        <v>6.333333333333334</v>
      </c>
      <c r="D41" s="42">
        <v>2.88</v>
      </c>
      <c r="E41" s="42">
        <v>3.0</v>
      </c>
      <c r="F41" s="42">
        <v>0.65</v>
      </c>
      <c r="G41" s="42" t="str">
        <f t="shared" si="7"/>
        <v>0.000288</v>
      </c>
      <c r="H41" s="41" t="str">
        <f t="shared" si="8"/>
        <v>  5.00 </v>
      </c>
      <c r="I41" s="43" t="str">
        <f t="shared" si="9"/>
        <v>  17.86 </v>
      </c>
    </row>
    <row r="42" ht="14.25" customHeight="1">
      <c r="A42" s="39"/>
      <c r="B42" s="40">
        <v>9.0</v>
      </c>
      <c r="C42" s="41">
        <v>6.518518518518518</v>
      </c>
      <c r="D42" s="42">
        <v>2.88</v>
      </c>
      <c r="E42" s="42">
        <v>3.0</v>
      </c>
      <c r="F42" s="42">
        <v>0.65</v>
      </c>
      <c r="G42" s="42" t="str">
        <f t="shared" si="7"/>
        <v>0.000288</v>
      </c>
      <c r="H42" s="41" t="str">
        <f t="shared" si="8"/>
        <v>  5.00 </v>
      </c>
      <c r="I42" s="43" t="str">
        <f t="shared" si="9"/>
        <v>  18.05 </v>
      </c>
    </row>
    <row r="43" ht="14.25" customHeight="1">
      <c r="A43" s="39"/>
      <c r="B43" s="40">
        <v>10.0</v>
      </c>
      <c r="C43" s="41">
        <v>6.666666666666667</v>
      </c>
      <c r="D43" s="42">
        <v>2.88</v>
      </c>
      <c r="E43" s="42">
        <v>3.0</v>
      </c>
      <c r="F43" s="42">
        <v>0.65</v>
      </c>
      <c r="G43" s="42" t="str">
        <f t="shared" si="7"/>
        <v>0.000288</v>
      </c>
      <c r="H43" s="41" t="str">
        <f t="shared" si="8"/>
        <v>  5.00 </v>
      </c>
      <c r="I43" s="43" t="str">
        <f t="shared" si="9"/>
        <v>  18.20 </v>
      </c>
    </row>
    <row r="44" ht="14.25" customHeight="1">
      <c r="A44" s="39"/>
      <c r="B44" s="40">
        <v>11.0</v>
      </c>
      <c r="C44" s="41">
        <v>6.787878787878789</v>
      </c>
      <c r="D44" s="42">
        <v>2.88</v>
      </c>
      <c r="E44" s="42">
        <v>3.0</v>
      </c>
      <c r="F44" s="42">
        <v>0.65</v>
      </c>
      <c r="G44" s="42" t="str">
        <f t="shared" si="7"/>
        <v>0.000288</v>
      </c>
      <c r="H44" s="41" t="str">
        <f t="shared" si="8"/>
        <v>  5.00 </v>
      </c>
      <c r="I44" s="43" t="str">
        <f t="shared" si="9"/>
        <v>  18.32 </v>
      </c>
    </row>
    <row r="45" ht="14.25" customHeight="1">
      <c r="A45" s="39"/>
      <c r="B45" s="40">
        <v>12.0</v>
      </c>
      <c r="C45" s="41">
        <v>6.888888888888889</v>
      </c>
      <c r="D45" s="42">
        <v>2.88</v>
      </c>
      <c r="E45" s="42">
        <v>3.0</v>
      </c>
      <c r="F45" s="42">
        <v>0.65</v>
      </c>
      <c r="G45" s="42" t="str">
        <f t="shared" si="7"/>
        <v>0.000288</v>
      </c>
      <c r="H45" s="41" t="str">
        <f t="shared" si="8"/>
        <v>  5.00 </v>
      </c>
      <c r="I45" s="43" t="str">
        <f t="shared" si="9"/>
        <v>  18.42 </v>
      </c>
    </row>
    <row r="46" ht="14.25" customHeight="1">
      <c r="A46" s="39"/>
      <c r="B46" s="40">
        <v>13.0</v>
      </c>
      <c r="C46" s="41">
        <v>6.9743589743589745</v>
      </c>
      <c r="D46" s="42">
        <v>2.88</v>
      </c>
      <c r="E46" s="42">
        <v>3.0</v>
      </c>
      <c r="F46" s="42">
        <v>0.65</v>
      </c>
      <c r="G46" s="42" t="str">
        <f t="shared" si="7"/>
        <v>0.000288</v>
      </c>
      <c r="H46" s="41" t="str">
        <f t="shared" si="8"/>
        <v>  5.00 </v>
      </c>
      <c r="I46" s="43" t="str">
        <f t="shared" si="9"/>
        <v>  18.50 </v>
      </c>
    </row>
    <row r="47" ht="14.25" customHeight="1">
      <c r="A47" s="39"/>
      <c r="B47" s="40">
        <v>14.0</v>
      </c>
      <c r="C47" s="41">
        <v>7.0476190476190474</v>
      </c>
      <c r="D47" s="42">
        <v>2.88</v>
      </c>
      <c r="E47" s="42">
        <v>3.0</v>
      </c>
      <c r="F47" s="42">
        <v>0.65</v>
      </c>
      <c r="G47" s="42" t="str">
        <f t="shared" si="7"/>
        <v>0.000288</v>
      </c>
      <c r="H47" s="41" t="str">
        <f t="shared" si="8"/>
        <v>  5.00 </v>
      </c>
      <c r="I47" s="43" t="str">
        <f t="shared" si="9"/>
        <v>  18.58 </v>
      </c>
    </row>
    <row r="48" ht="14.25" customHeight="1">
      <c r="A48" s="39"/>
      <c r="B48" s="40">
        <v>15.0</v>
      </c>
      <c r="C48" s="41">
        <v>7.111111111111111</v>
      </c>
      <c r="D48" s="42">
        <v>2.88</v>
      </c>
      <c r="E48" s="42">
        <v>3.0</v>
      </c>
      <c r="F48" s="42">
        <v>0.65</v>
      </c>
      <c r="G48" s="42" t="str">
        <f t="shared" si="7"/>
        <v>0.000288</v>
      </c>
      <c r="H48" s="41" t="str">
        <f t="shared" si="8"/>
        <v>  5.00 </v>
      </c>
      <c r="I48" s="43" t="str">
        <f t="shared" si="9"/>
        <v>  18.64 </v>
      </c>
    </row>
    <row r="49" ht="14.25" customHeight="1">
      <c r="A49" s="39"/>
      <c r="B49" s="40">
        <v>16.0</v>
      </c>
      <c r="C49" s="41">
        <v>7.166666666666667</v>
      </c>
      <c r="D49" s="42">
        <v>2.88</v>
      </c>
      <c r="E49" s="42">
        <v>3.0</v>
      </c>
      <c r="F49" s="42">
        <v>0.65</v>
      </c>
      <c r="G49" s="42" t="str">
        <f t="shared" si="7"/>
        <v>0.000288</v>
      </c>
      <c r="H49" s="41" t="str">
        <f t="shared" si="8"/>
        <v>  5.00 </v>
      </c>
      <c r="I49" s="43" t="str">
        <f t="shared" si="9"/>
        <v>  18.70 </v>
      </c>
    </row>
    <row r="50" ht="14.25" customHeight="1">
      <c r="A50" s="39"/>
      <c r="B50" s="40">
        <v>17.0</v>
      </c>
      <c r="C50" s="41">
        <v>7.215686274509804</v>
      </c>
      <c r="D50" s="42">
        <v>2.88</v>
      </c>
      <c r="E50" s="42">
        <v>3.0</v>
      </c>
      <c r="F50" s="42">
        <v>0.65</v>
      </c>
      <c r="G50" s="42" t="str">
        <f t="shared" si="7"/>
        <v>0.000288</v>
      </c>
      <c r="H50" s="41" t="str">
        <f t="shared" si="8"/>
        <v>  5.00 </v>
      </c>
      <c r="I50" s="43" t="str">
        <f t="shared" si="9"/>
        <v>  18.75 </v>
      </c>
    </row>
    <row r="51" ht="14.25" customHeight="1">
      <c r="A51" s="39"/>
      <c r="B51" s="40">
        <v>18.0</v>
      </c>
      <c r="C51" s="41">
        <v>7.2592592592592595</v>
      </c>
      <c r="D51" s="42">
        <v>2.88</v>
      </c>
      <c r="E51" s="42">
        <v>3.0</v>
      </c>
      <c r="F51" s="42">
        <v>0.65</v>
      </c>
      <c r="G51" s="42" t="str">
        <f t="shared" si="7"/>
        <v>0.000288</v>
      </c>
      <c r="H51" s="41" t="str">
        <f t="shared" si="8"/>
        <v>  5.00 </v>
      </c>
      <c r="I51" s="43" t="str">
        <f t="shared" si="9"/>
        <v>  18.79 </v>
      </c>
    </row>
    <row r="52" ht="14.25" customHeight="1">
      <c r="A52" s="39"/>
      <c r="B52" s="40">
        <v>19.0</v>
      </c>
      <c r="C52" s="41">
        <v>7.298245614035087</v>
      </c>
      <c r="D52" s="42">
        <v>2.88</v>
      </c>
      <c r="E52" s="42">
        <v>3.0</v>
      </c>
      <c r="F52" s="42">
        <v>0.65</v>
      </c>
      <c r="G52" s="42" t="str">
        <f t="shared" si="7"/>
        <v>0.000288</v>
      </c>
      <c r="H52" s="41" t="str">
        <f t="shared" si="8"/>
        <v>  5.00 </v>
      </c>
      <c r="I52" s="43" t="str">
        <f t="shared" si="9"/>
        <v>  18.83 </v>
      </c>
    </row>
    <row r="53" ht="14.25" customHeight="1">
      <c r="A53" s="44"/>
      <c r="B53" s="40">
        <v>20.0</v>
      </c>
      <c r="C53" s="41">
        <v>7.333333333333333</v>
      </c>
      <c r="D53" s="42">
        <v>2.88</v>
      </c>
      <c r="E53" s="42">
        <v>3.0</v>
      </c>
      <c r="F53" s="42">
        <v>0.65</v>
      </c>
      <c r="G53" s="42" t="str">
        <f t="shared" si="7"/>
        <v>0.000288</v>
      </c>
      <c r="H53" s="41" t="str">
        <f t="shared" si="8"/>
        <v>  5.00 </v>
      </c>
      <c r="I53" s="43" t="str">
        <f t="shared" si="9"/>
        <v>  18.86 </v>
      </c>
    </row>
    <row r="54" ht="12.75" customHeight="1">
      <c r="A54" s="29"/>
    </row>
    <row r="55" ht="12.75" customHeight="1">
      <c r="A55" s="29"/>
    </row>
    <row r="56" ht="12.75" customHeight="1">
      <c r="A56" s="31"/>
    </row>
    <row r="57" ht="12.75" customHeight="1">
      <c r="A57" s="30"/>
    </row>
    <row r="58" ht="13.5" customHeight="1">
      <c r="A58" s="36"/>
    </row>
    <row r="59" ht="12.75" customHeight="1">
      <c r="A59" s="29"/>
    </row>
    <row r="60" ht="12.75" customHeight="1">
      <c r="A60" s="29"/>
    </row>
    <row r="61" ht="12.75" customHeight="1">
      <c r="A61" s="29"/>
    </row>
    <row r="62" ht="12.75" customHeight="1">
      <c r="A62" s="29"/>
    </row>
    <row r="63" ht="12.75" customHeight="1">
      <c r="A63" s="29"/>
    </row>
    <row r="64" ht="12.75" customHeight="1">
      <c r="A64" s="29"/>
    </row>
    <row r="65" ht="12.75" customHeight="1">
      <c r="A65" s="29"/>
    </row>
    <row r="66" ht="12.75" customHeight="1">
      <c r="A66" s="31"/>
    </row>
    <row r="67" ht="12.75" customHeight="1">
      <c r="A67" s="30"/>
    </row>
    <row r="68" ht="13.5" customHeight="1">
      <c r="A68" s="36"/>
    </row>
    <row r="69" ht="12.75" customHeight="1">
      <c r="A69" s="29"/>
    </row>
    <row r="70" ht="12.75" customHeight="1">
      <c r="A70" s="29"/>
    </row>
    <row r="71" ht="12.75" customHeight="1">
      <c r="A71" s="29"/>
    </row>
    <row r="72" ht="12.75" customHeight="1">
      <c r="A72" s="29"/>
    </row>
    <row r="73" ht="12.75" customHeight="1">
      <c r="A73" s="29"/>
    </row>
    <row r="74" ht="12.75" customHeight="1">
      <c r="A74" s="29"/>
    </row>
    <row r="75" ht="12.75" customHeight="1">
      <c r="A75" s="29"/>
    </row>
    <row r="76" ht="12.75" customHeight="1">
      <c r="A76" s="31"/>
    </row>
    <row r="77" ht="12.75" customHeight="1">
      <c r="A77" s="30"/>
    </row>
    <row r="78" ht="13.5" customHeight="1">
      <c r="A78" s="36"/>
    </row>
    <row r="79" ht="12.75" customHeight="1">
      <c r="A79" s="29"/>
    </row>
    <row r="80" ht="12.75" customHeight="1">
      <c r="A80" s="29"/>
    </row>
    <row r="81" ht="12.75" customHeight="1">
      <c r="A81" s="29"/>
    </row>
    <row r="82" ht="12.75" customHeight="1">
      <c r="A82" s="29"/>
    </row>
    <row r="83" ht="12.75" customHeight="1">
      <c r="A83" s="29"/>
    </row>
    <row r="84" ht="12.75" customHeight="1">
      <c r="A84" s="29"/>
    </row>
    <row r="85" ht="12.75" customHeight="1">
      <c r="A85" s="29"/>
    </row>
    <row r="86" ht="12.75" customHeight="1">
      <c r="A86" s="31"/>
    </row>
    <row r="87" ht="12.75" customHeight="1">
      <c r="A87" s="30"/>
    </row>
    <row r="88" ht="13.5" customHeight="1">
      <c r="A88" s="36"/>
    </row>
    <row r="89" ht="12.75" customHeight="1">
      <c r="A89" s="29"/>
    </row>
    <row r="90" ht="12.75" customHeight="1">
      <c r="A90" s="29"/>
    </row>
    <row r="91" ht="12.75" customHeight="1">
      <c r="A91" s="29"/>
    </row>
    <row r="92" ht="12.75" customHeight="1">
      <c r="A92" s="29"/>
    </row>
    <row r="93" ht="12.75" customHeight="1">
      <c r="A93" s="29"/>
    </row>
    <row r="94" ht="12.75" customHeight="1">
      <c r="A94" s="29"/>
    </row>
    <row r="95" ht="12.75" customHeight="1">
      <c r="A95" s="29"/>
    </row>
    <row r="96" ht="12.75" customHeight="1">
      <c r="A96" s="31"/>
    </row>
    <row r="97" ht="12.75" customHeight="1">
      <c r="A97" s="30"/>
    </row>
    <row r="98" ht="13.5" customHeight="1">
      <c r="A98" s="36"/>
    </row>
    <row r="99" ht="12.75" customHeight="1">
      <c r="A99" s="29"/>
    </row>
    <row r="100" ht="12.75" customHeight="1">
      <c r="A100" s="29"/>
    </row>
    <row r="101" ht="12.75" customHeight="1">
      <c r="A101" s="29"/>
    </row>
    <row r="102" ht="12.75" customHeight="1">
      <c r="A102" s="29"/>
    </row>
    <row r="103" ht="12.75" customHeight="1">
      <c r="A103" s="29"/>
    </row>
    <row r="104" ht="12.75" customHeight="1">
      <c r="A104" s="29"/>
    </row>
    <row r="105" ht="12.75" customHeight="1">
      <c r="A105" s="29"/>
    </row>
    <row r="106" ht="12.75" customHeight="1">
      <c r="A106" s="31"/>
    </row>
    <row r="107" ht="12.75" customHeight="1">
      <c r="A107" s="30"/>
    </row>
    <row r="108" ht="13.5" customHeight="1">
      <c r="A108" s="36"/>
    </row>
    <row r="109" ht="12.75" customHeight="1">
      <c r="A109" s="29"/>
    </row>
    <row r="110" ht="12.75" customHeight="1">
      <c r="A110" s="29"/>
    </row>
    <row r="111" ht="12.75" customHeight="1">
      <c r="A111" s="29"/>
    </row>
    <row r="112" ht="12.75" customHeight="1">
      <c r="A112" s="29"/>
    </row>
    <row r="113" ht="12.75" customHeight="1">
      <c r="A113" s="29"/>
    </row>
    <row r="114" ht="12.75" customHeight="1">
      <c r="A114" s="29"/>
    </row>
    <row r="115" ht="12.75" customHeight="1">
      <c r="A115" s="29"/>
    </row>
    <row r="116" ht="12.75" customHeight="1">
      <c r="A116" s="31"/>
    </row>
    <row r="117" ht="12.75" customHeight="1">
      <c r="A117" s="30"/>
    </row>
    <row r="118" ht="13.5" customHeight="1">
      <c r="A118" s="36"/>
    </row>
    <row r="119" ht="12.75" customHeight="1">
      <c r="A119" s="29"/>
    </row>
    <row r="120" ht="12.75" customHeight="1">
      <c r="A120" s="29"/>
    </row>
    <row r="121" ht="12.75" customHeight="1">
      <c r="A121" s="29"/>
    </row>
    <row r="122" ht="12.75" customHeight="1">
      <c r="A122" s="29"/>
    </row>
    <row r="123" ht="12.75" customHeight="1">
      <c r="A123" s="29"/>
    </row>
    <row r="124" ht="12.75" customHeight="1">
      <c r="A124" s="29"/>
    </row>
    <row r="125" ht="12.75" customHeight="1">
      <c r="A125" s="29"/>
    </row>
    <row r="126" ht="12.75" customHeight="1">
      <c r="A126" s="31"/>
    </row>
    <row r="127" ht="12.75" customHeight="1">
      <c r="A127" s="30"/>
    </row>
    <row r="128" ht="13.5" customHeight="1">
      <c r="A128" s="36"/>
    </row>
    <row r="129" ht="12.75" customHeight="1">
      <c r="A129" s="29"/>
    </row>
    <row r="130" ht="12.75" customHeight="1">
      <c r="A130" s="29"/>
    </row>
    <row r="131" ht="12.75" customHeight="1">
      <c r="A131" s="29"/>
    </row>
    <row r="132" ht="12.75" customHeight="1">
      <c r="A132" s="29"/>
    </row>
    <row r="133" ht="12.75" customHeight="1">
      <c r="A133" s="29"/>
    </row>
    <row r="134" ht="12.75" customHeight="1">
      <c r="A134" s="29"/>
    </row>
    <row r="135" ht="12.75" customHeight="1">
      <c r="A135" s="29"/>
    </row>
    <row r="136" ht="12.75" customHeight="1">
      <c r="A136" s="31"/>
    </row>
    <row r="137" ht="12.75" customHeight="1">
      <c r="A137" s="30"/>
    </row>
    <row r="138" ht="13.5" customHeight="1">
      <c r="A138" s="36"/>
    </row>
    <row r="139" ht="12.75" customHeight="1">
      <c r="A139" s="29"/>
    </row>
    <row r="140" ht="12.75" customHeight="1">
      <c r="A140" s="29"/>
    </row>
    <row r="141" ht="12.75" customHeight="1">
      <c r="A141" s="29"/>
    </row>
    <row r="142" ht="12.75" customHeight="1">
      <c r="A142" s="29"/>
    </row>
    <row r="143" ht="12.75" customHeight="1">
      <c r="A143" s="29"/>
    </row>
    <row r="144" ht="12.75" customHeight="1">
      <c r="A144" s="29"/>
    </row>
    <row r="145" ht="12.75" customHeight="1">
      <c r="A145" s="29"/>
    </row>
    <row r="146" ht="12.75" customHeight="1">
      <c r="A146" s="31"/>
    </row>
    <row r="147" ht="12.75" customHeight="1">
      <c r="A147" s="30"/>
    </row>
  </sheetData>
  <mergeCells count="6">
    <mergeCell ref="L3:N3"/>
    <mergeCell ref="A33:A53"/>
    <mergeCell ref="A4:A24"/>
    <mergeCell ref="A1:N1"/>
    <mergeCell ref="A2:K2"/>
    <mergeCell ref="A3:K3"/>
  </mergeCells>
  <conditionalFormatting sqref="M5:M24">
    <cfRule type="cellIs" dxfId="0" priority="1" operator="greaterThanOrEqual">
      <formula>0</formula>
    </cfRule>
  </conditionalFormatting>
  <conditionalFormatting sqref="M5:M24">
    <cfRule type="cellIs" dxfId="1" priority="2" operator="lessThan">
      <formula>0</formula>
    </cfRule>
  </conditionalFormatting>
  <conditionalFormatting sqref="N5:N24">
    <cfRule type="cellIs" dxfId="0" priority="3" operator="greaterThanOrEqual">
      <formula>0</formula>
    </cfRule>
  </conditionalFormatting>
  <conditionalFormatting sqref="N5:N24">
    <cfRule type="cellIs" dxfId="1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9.38"/>
    <col customWidth="1" min="3" max="3" width="14.0"/>
    <col customWidth="1" min="4" max="4" width="9.5"/>
    <col customWidth="1" min="5" max="5" width="16.5"/>
    <col customWidth="1" min="6" max="6" width="2.38"/>
    <col customWidth="1" min="7" max="7" width="16.88"/>
    <col customWidth="1" min="8" max="8" width="14.13"/>
    <col customWidth="1" min="9" max="9" width="15.38"/>
    <col customWidth="1" min="10" max="10" width="12.63"/>
    <col customWidth="1" min="11" max="11" width="13.5"/>
    <col customWidth="1" min="12" max="12" width="11.5"/>
    <col customWidth="1" min="13" max="13" width="8.0"/>
  </cols>
  <sheetData>
    <row r="1" ht="21.0" customHeight="1">
      <c r="A1" s="56" t="s">
        <v>23</v>
      </c>
      <c r="B1" s="5"/>
      <c r="C1" s="5"/>
      <c r="D1" s="5"/>
      <c r="E1" s="5"/>
      <c r="F1" s="5"/>
      <c r="G1" s="5"/>
      <c r="H1" s="5"/>
      <c r="I1" s="6"/>
    </row>
    <row r="2" ht="69.75" customHeight="1">
      <c r="A2" s="4" t="s">
        <v>39</v>
      </c>
      <c r="B2" s="5"/>
      <c r="C2" s="5"/>
      <c r="D2" s="5"/>
      <c r="E2" s="5"/>
      <c r="F2" s="6"/>
      <c r="G2" s="89" t="s">
        <v>25</v>
      </c>
      <c r="H2" s="90" t="s">
        <v>14</v>
      </c>
      <c r="I2" s="91">
        <v>20.01</v>
      </c>
    </row>
    <row r="3" ht="87.0" customHeight="1">
      <c r="A3" s="10" t="s">
        <v>3</v>
      </c>
      <c r="B3" s="92" t="s">
        <v>4</v>
      </c>
      <c r="C3" s="92" t="s">
        <v>40</v>
      </c>
      <c r="D3" s="92" t="s">
        <v>26</v>
      </c>
      <c r="E3" s="92" t="s">
        <v>41</v>
      </c>
      <c r="F3" s="93"/>
      <c r="G3" s="62" t="s">
        <v>11</v>
      </c>
      <c r="H3" s="60" t="s">
        <v>12</v>
      </c>
      <c r="I3" s="63" t="s">
        <v>13</v>
      </c>
      <c r="M3" s="94"/>
    </row>
    <row r="4" ht="18.0" customHeight="1">
      <c r="A4" s="15"/>
      <c r="B4" s="95">
        <v>1.0</v>
      </c>
      <c r="C4" s="96" t="str">
        <f t="shared" ref="C4:C23" si="1">IF($B$26&lt;=10,B56,IF(AND($B$26&gt;10,$B$26&lt;=15),C56,IF(AND($B$26&gt;15,$B$26&lt;=20),D56,IF(AND($B$26&gt;20,$B$26&lt;=25),E56,IF(AND($B$26&gt;25,$B$26&lt;=30),F56,IF(AND($B$26&gt;30,$B$26&lt;=35),G56,IF(AND($B$26&gt;35,$B$26&lt;=40),H56,IF($B$26&gt;40,I56))))))))</f>
        <v>  11.82 </v>
      </c>
      <c r="D4" s="97">
        <v>2.0</v>
      </c>
      <c r="E4" s="98" t="str">
        <f t="shared" ref="E4:E23" si="2">C4+D4</f>
        <v>  13.82 </v>
      </c>
      <c r="F4" s="93"/>
      <c r="G4" s="99" t="str">
        <f t="shared" ref="G4:G23" si="3">I32</f>
        <v>  21.89 </v>
      </c>
      <c r="H4" s="100" t="str">
        <f t="shared" ref="H4:H23" si="4">G4-E4</f>
        <v>  8.07 </v>
      </c>
      <c r="I4" s="101" t="str">
        <f t="shared" ref="I4:I23" si="5">H4/G4</f>
        <v>36.87%</v>
      </c>
      <c r="M4" s="102"/>
    </row>
    <row r="5" ht="17.25" customHeight="1">
      <c r="A5" s="15"/>
      <c r="B5" s="95">
        <v>2.0</v>
      </c>
      <c r="C5" s="96" t="str">
        <f t="shared" si="1"/>
        <v>  12.60 </v>
      </c>
      <c r="D5" s="97">
        <v>2.79</v>
      </c>
      <c r="E5" s="98" t="str">
        <f t="shared" si="2"/>
        <v>  15.39 </v>
      </c>
      <c r="F5" s="93"/>
      <c r="G5" s="99" t="str">
        <f t="shared" si="3"/>
        <v>  21.89 </v>
      </c>
      <c r="H5" s="100" t="str">
        <f t="shared" si="4"/>
        <v>  6.50 </v>
      </c>
      <c r="I5" s="101" t="str">
        <f t="shared" si="5"/>
        <v>29.70%</v>
      </c>
    </row>
    <row r="6" ht="17.25" customHeight="1">
      <c r="A6" s="15"/>
      <c r="B6" s="95">
        <v>3.0</v>
      </c>
      <c r="C6" s="96" t="str">
        <f t="shared" si="1"/>
        <v>  12.90 </v>
      </c>
      <c r="D6" s="97">
        <v>3.5</v>
      </c>
      <c r="E6" s="98" t="str">
        <f t="shared" si="2"/>
        <v>  16.40 </v>
      </c>
      <c r="F6" s="93"/>
      <c r="G6" s="99" t="str">
        <f t="shared" si="3"/>
        <v>  21.89 </v>
      </c>
      <c r="H6" s="100" t="str">
        <f t="shared" si="4"/>
        <v>  5.49 </v>
      </c>
      <c r="I6" s="101" t="str">
        <f t="shared" si="5"/>
        <v>25.09%</v>
      </c>
    </row>
    <row r="7" ht="17.25" customHeight="1">
      <c r="A7" s="15"/>
      <c r="B7" s="95">
        <v>4.0</v>
      </c>
      <c r="C7" s="96" t="str">
        <f t="shared" si="1"/>
        <v>  13.70 </v>
      </c>
      <c r="D7" s="97">
        <v>3.84</v>
      </c>
      <c r="E7" s="98" t="str">
        <f t="shared" si="2"/>
        <v>  17.54 </v>
      </c>
      <c r="F7" s="93"/>
      <c r="G7" s="99" t="str">
        <f t="shared" si="3"/>
        <v>  21.89 </v>
      </c>
      <c r="H7" s="100" t="str">
        <f t="shared" si="4"/>
        <v>  4.35 </v>
      </c>
      <c r="I7" s="101" t="str">
        <f t="shared" si="5"/>
        <v>19.88%</v>
      </c>
    </row>
    <row r="8" ht="17.25" customHeight="1">
      <c r="A8" s="15"/>
      <c r="B8" s="95">
        <v>5.0</v>
      </c>
      <c r="C8" s="96" t="str">
        <f t="shared" si="1"/>
        <v>  14.03 </v>
      </c>
      <c r="D8" s="97">
        <v>3.87</v>
      </c>
      <c r="E8" s="98" t="str">
        <f t="shared" si="2"/>
        <v>  17.90 </v>
      </c>
      <c r="F8" s="93"/>
      <c r="G8" s="99" t="str">
        <f t="shared" si="3"/>
        <v>  22.43 </v>
      </c>
      <c r="H8" s="100" t="str">
        <f t="shared" si="4"/>
        <v>  4.53 </v>
      </c>
      <c r="I8" s="101" t="str">
        <f t="shared" si="5"/>
        <v>20.18%</v>
      </c>
    </row>
    <row r="9" ht="17.25" customHeight="1">
      <c r="A9" s="15"/>
      <c r="B9" s="95">
        <v>6.0</v>
      </c>
      <c r="C9" s="96" t="str">
        <f t="shared" si="1"/>
        <v>  14.10 </v>
      </c>
      <c r="D9" s="97">
        <v>4.23</v>
      </c>
      <c r="E9" s="98" t="str">
        <f t="shared" si="2"/>
        <v>  18.33 </v>
      </c>
      <c r="F9" s="93"/>
      <c r="G9" s="99" t="str">
        <f t="shared" si="3"/>
        <v>  22.87 </v>
      </c>
      <c r="H9" s="100" t="str">
        <f t="shared" si="4"/>
        <v>  4.54 </v>
      </c>
      <c r="I9" s="101" t="str">
        <f t="shared" si="5"/>
        <v>19.85%</v>
      </c>
    </row>
    <row r="10" ht="17.25" customHeight="1">
      <c r="A10" s="15"/>
      <c r="B10" s="95">
        <v>7.0</v>
      </c>
      <c r="C10" s="96" t="str">
        <f t="shared" si="1"/>
        <v>  14.11 </v>
      </c>
      <c r="D10" s="97">
        <v>4.26</v>
      </c>
      <c r="E10" s="98" t="str">
        <f t="shared" si="2"/>
        <v>  18.37 </v>
      </c>
      <c r="F10" s="93"/>
      <c r="G10" s="99" t="str">
        <f t="shared" si="3"/>
        <v>  23.19 </v>
      </c>
      <c r="H10" s="100" t="str">
        <f t="shared" si="4"/>
        <v>  4.82 </v>
      </c>
      <c r="I10" s="101" t="str">
        <f t="shared" si="5"/>
        <v>20.78%</v>
      </c>
    </row>
    <row r="11" ht="17.25" customHeight="1">
      <c r="A11" s="15"/>
      <c r="B11" s="95">
        <v>8.0</v>
      </c>
      <c r="C11" s="96" t="str">
        <f t="shared" si="1"/>
        <v>  14.12 </v>
      </c>
      <c r="D11" s="97">
        <v>4.31</v>
      </c>
      <c r="E11" s="98" t="str">
        <f t="shared" si="2"/>
        <v>  18.43 </v>
      </c>
      <c r="F11" s="93"/>
      <c r="G11" s="99" t="str">
        <f t="shared" si="3"/>
        <v>  23.43 </v>
      </c>
      <c r="H11" s="100" t="str">
        <f t="shared" si="4"/>
        <v>  5.00 </v>
      </c>
      <c r="I11" s="101" t="str">
        <f t="shared" si="5"/>
        <v>21.33%</v>
      </c>
    </row>
    <row r="12" ht="17.25" customHeight="1">
      <c r="A12" s="15"/>
      <c r="B12" s="95">
        <v>9.0</v>
      </c>
      <c r="C12" s="96" t="str">
        <f t="shared" si="1"/>
        <v>  14.13 </v>
      </c>
      <c r="D12" s="97">
        <v>4.61</v>
      </c>
      <c r="E12" s="98" t="str">
        <f t="shared" si="2"/>
        <v>  18.74 </v>
      </c>
      <c r="F12" s="93"/>
      <c r="G12" s="99" t="str">
        <f t="shared" si="3"/>
        <v>  23.61 </v>
      </c>
      <c r="H12" s="100" t="str">
        <f t="shared" si="4"/>
        <v>  4.87 </v>
      </c>
      <c r="I12" s="101" t="str">
        <f t="shared" si="5"/>
        <v>20.63%</v>
      </c>
    </row>
    <row r="13" ht="17.25" customHeight="1">
      <c r="A13" s="15"/>
      <c r="B13" s="95">
        <v>10.0</v>
      </c>
      <c r="C13" s="96" t="str">
        <f t="shared" si="1"/>
        <v>  14.14 </v>
      </c>
      <c r="D13" s="97">
        <v>4.65</v>
      </c>
      <c r="E13" s="98" t="str">
        <f t="shared" si="2"/>
        <v>  18.79 </v>
      </c>
      <c r="F13" s="93"/>
      <c r="G13" s="99" t="str">
        <f t="shared" si="3"/>
        <v>  23.76 </v>
      </c>
      <c r="H13" s="100" t="str">
        <f t="shared" si="4"/>
        <v>  4.97 </v>
      </c>
      <c r="I13" s="101" t="str">
        <f t="shared" si="5"/>
        <v>20.92%</v>
      </c>
    </row>
    <row r="14" ht="17.25" customHeight="1">
      <c r="A14" s="15"/>
      <c r="B14" s="95">
        <v>11.0</v>
      </c>
      <c r="C14" s="96" t="str">
        <f t="shared" si="1"/>
        <v>  14.49 </v>
      </c>
      <c r="D14" s="97">
        <v>5.0</v>
      </c>
      <c r="E14" s="98" t="str">
        <f t="shared" si="2"/>
        <v>  19.49 </v>
      </c>
      <c r="F14" s="93"/>
      <c r="G14" s="99" t="str">
        <f t="shared" si="3"/>
        <v>  23.88 </v>
      </c>
      <c r="H14" s="100" t="str">
        <f t="shared" si="4"/>
        <v>  4.39 </v>
      </c>
      <c r="I14" s="101" t="str">
        <f t="shared" si="5"/>
        <v>18.39%</v>
      </c>
    </row>
    <row r="15" ht="17.25" customHeight="1">
      <c r="A15" s="15"/>
      <c r="B15" s="95">
        <v>12.0</v>
      </c>
      <c r="C15" s="96" t="str">
        <f t="shared" si="1"/>
        <v>  14.67 </v>
      </c>
      <c r="D15" s="97">
        <v>5.0</v>
      </c>
      <c r="E15" s="98" t="str">
        <f t="shared" si="2"/>
        <v>  19.67 </v>
      </c>
      <c r="F15" s="93"/>
      <c r="G15" s="99" t="str">
        <f t="shared" si="3"/>
        <v>  23.98 </v>
      </c>
      <c r="H15" s="100" t="str">
        <f t="shared" si="4"/>
        <v>  4.31 </v>
      </c>
      <c r="I15" s="101" t="str">
        <f t="shared" si="5"/>
        <v>17.98%</v>
      </c>
    </row>
    <row r="16" ht="17.25" customHeight="1">
      <c r="A16" s="15"/>
      <c r="B16" s="95">
        <v>13.0</v>
      </c>
      <c r="C16" s="96" t="str">
        <f t="shared" si="1"/>
        <v>  14.86 </v>
      </c>
      <c r="D16" s="97">
        <v>5.0</v>
      </c>
      <c r="E16" s="98" t="str">
        <f t="shared" si="2"/>
        <v>  19.86 </v>
      </c>
      <c r="F16" s="93"/>
      <c r="G16" s="99" t="str">
        <f t="shared" si="3"/>
        <v>  24.07 </v>
      </c>
      <c r="H16" s="100" t="str">
        <f t="shared" si="4"/>
        <v>  4.21 </v>
      </c>
      <c r="I16" s="101" t="str">
        <f t="shared" si="5"/>
        <v>17.48%</v>
      </c>
    </row>
    <row r="17" ht="17.25" customHeight="1">
      <c r="A17" s="15"/>
      <c r="B17" s="95">
        <v>14.0</v>
      </c>
      <c r="C17" s="96" t="str">
        <f t="shared" si="1"/>
        <v>  15.46 </v>
      </c>
      <c r="D17" s="97">
        <v>5.0</v>
      </c>
      <c r="E17" s="98" t="str">
        <f t="shared" si="2"/>
        <v>  20.46 </v>
      </c>
      <c r="F17" s="93"/>
      <c r="G17" s="99" t="str">
        <f t="shared" si="3"/>
        <v>  24.14 </v>
      </c>
      <c r="H17" s="100" t="str">
        <f t="shared" si="4"/>
        <v>  3.68 </v>
      </c>
      <c r="I17" s="101" t="str">
        <f t="shared" si="5"/>
        <v>15.25%</v>
      </c>
    </row>
    <row r="18" ht="17.25" customHeight="1">
      <c r="A18" s="15"/>
      <c r="B18" s="95">
        <v>15.0</v>
      </c>
      <c r="C18" s="96" t="str">
        <f t="shared" si="1"/>
        <v>  16.24 </v>
      </c>
      <c r="D18" s="97">
        <v>5.0</v>
      </c>
      <c r="E18" s="98" t="str">
        <f t="shared" si="2"/>
        <v>  21.24 </v>
      </c>
      <c r="F18" s="93"/>
      <c r="G18" s="99" t="str">
        <f t="shared" si="3"/>
        <v>  24.20 </v>
      </c>
      <c r="H18" s="100" t="str">
        <f t="shared" si="4"/>
        <v>  2.96 </v>
      </c>
      <c r="I18" s="101" t="str">
        <f t="shared" si="5"/>
        <v>12.25%</v>
      </c>
    </row>
    <row r="19" ht="17.25" customHeight="1">
      <c r="A19" s="15"/>
      <c r="B19" s="95">
        <v>16.0</v>
      </c>
      <c r="C19" s="96" t="str">
        <f t="shared" si="1"/>
        <v>  16.91 </v>
      </c>
      <c r="D19" s="97">
        <v>5.0</v>
      </c>
      <c r="E19" s="98" t="str">
        <f t="shared" si="2"/>
        <v>  21.91 </v>
      </c>
      <c r="F19" s="93"/>
      <c r="G19" s="99" t="str">
        <f t="shared" si="3"/>
        <v>  24.26 </v>
      </c>
      <c r="H19" s="100" t="str">
        <f t="shared" si="4"/>
        <v>  2.35 </v>
      </c>
      <c r="I19" s="101" t="str">
        <f t="shared" si="5"/>
        <v>9.68%</v>
      </c>
    </row>
    <row r="20" ht="17.25" customHeight="1">
      <c r="A20" s="15"/>
      <c r="B20" s="95">
        <v>17.0</v>
      </c>
      <c r="C20" s="96" t="str">
        <f t="shared" si="1"/>
        <v>  17.40 </v>
      </c>
      <c r="D20" s="97">
        <v>5.0</v>
      </c>
      <c r="E20" s="98" t="str">
        <f t="shared" si="2"/>
        <v>  22.40 </v>
      </c>
      <c r="F20" s="93"/>
      <c r="G20" s="99" t="str">
        <f t="shared" si="3"/>
        <v>  24.31 </v>
      </c>
      <c r="H20" s="100" t="str">
        <f t="shared" si="4"/>
        <v>  1.91 </v>
      </c>
      <c r="I20" s="101" t="str">
        <f t="shared" si="5"/>
        <v>7.85%</v>
      </c>
    </row>
    <row r="21" ht="17.25" customHeight="1">
      <c r="A21" s="15"/>
      <c r="B21" s="95">
        <v>18.0</v>
      </c>
      <c r="C21" s="96" t="str">
        <f t="shared" si="1"/>
        <v>  17.80 </v>
      </c>
      <c r="D21" s="97">
        <v>5.0</v>
      </c>
      <c r="E21" s="98" t="str">
        <f t="shared" si="2"/>
        <v>  22.80 </v>
      </c>
      <c r="F21" s="93"/>
      <c r="G21" s="99" t="str">
        <f t="shared" si="3"/>
        <v>  24.35 </v>
      </c>
      <c r="H21" s="100" t="str">
        <f t="shared" si="4"/>
        <v>  1.55 </v>
      </c>
      <c r="I21" s="101" t="str">
        <f t="shared" si="5"/>
        <v>6.37%</v>
      </c>
    </row>
    <row r="22" ht="17.25" customHeight="1">
      <c r="A22" s="15"/>
      <c r="B22" s="95">
        <v>19.0</v>
      </c>
      <c r="C22" s="96" t="str">
        <f t="shared" si="1"/>
        <v>  18.20 </v>
      </c>
      <c r="D22" s="97">
        <v>5.0</v>
      </c>
      <c r="E22" s="98" t="str">
        <f t="shared" si="2"/>
        <v>  23.20 </v>
      </c>
      <c r="F22" s="93"/>
      <c r="G22" s="99" t="str">
        <f t="shared" si="3"/>
        <v>  24.39 </v>
      </c>
      <c r="H22" s="100" t="str">
        <f t="shared" si="4"/>
        <v>  1.19 </v>
      </c>
      <c r="I22" s="101" t="str">
        <f t="shared" si="5"/>
        <v>4.88%</v>
      </c>
    </row>
    <row r="23" ht="18.0" customHeight="1">
      <c r="A23" s="22"/>
      <c r="B23" s="103">
        <v>20.0</v>
      </c>
      <c r="C23" s="104" t="str">
        <f t="shared" si="1"/>
        <v>  18.60 </v>
      </c>
      <c r="D23" s="105">
        <v>5.0</v>
      </c>
      <c r="E23" s="106" t="str">
        <f t="shared" si="2"/>
        <v>  23.60 </v>
      </c>
      <c r="F23" s="93"/>
      <c r="G23" s="107" t="str">
        <f t="shared" si="3"/>
        <v>  24.43 </v>
      </c>
      <c r="H23" s="108" t="str">
        <f t="shared" si="4"/>
        <v>  0.83 </v>
      </c>
      <c r="I23" s="109" t="str">
        <f t="shared" si="5"/>
        <v>3.38%</v>
      </c>
    </row>
    <row r="24" ht="12.75" customHeight="1">
      <c r="A24" s="29"/>
    </row>
    <row r="25" ht="13.5" customHeight="1">
      <c r="A25" s="30"/>
      <c r="B25" s="29"/>
    </row>
    <row r="26" ht="32.25" customHeight="1">
      <c r="A26" s="31" t="s">
        <v>14</v>
      </c>
      <c r="B26" s="110">
        <v>20.01</v>
      </c>
      <c r="C26" s="111" t="s">
        <v>42</v>
      </c>
      <c r="D26" s="5"/>
      <c r="E26" s="5"/>
      <c r="F26" s="5"/>
      <c r="G26" s="5"/>
      <c r="H26" s="6"/>
      <c r="I26" s="112"/>
      <c r="J26" s="112"/>
      <c r="K26" s="112"/>
      <c r="L26" s="112"/>
    </row>
    <row r="27" ht="51.75" customHeight="1">
      <c r="A27" s="31" t="s">
        <v>43</v>
      </c>
      <c r="B27" s="32">
        <v>0.278</v>
      </c>
    </row>
    <row r="28" ht="47.25" customHeight="1">
      <c r="A28" s="31" t="s">
        <v>28</v>
      </c>
      <c r="B28" s="113">
        <v>0.05</v>
      </c>
      <c r="C28" s="33" t="s">
        <v>29</v>
      </c>
      <c r="D28" s="33"/>
      <c r="E28" s="33"/>
      <c r="F28" s="33"/>
      <c r="G28" s="33"/>
      <c r="H28" s="33"/>
    </row>
    <row r="29" ht="12.75" customHeight="1">
      <c r="A29" s="29"/>
      <c r="C29" s="29"/>
    </row>
    <row r="30" ht="12.75" customHeight="1">
      <c r="A30" s="29"/>
      <c r="C30" s="29"/>
    </row>
    <row r="31" ht="118.5" customHeight="1">
      <c r="A31" s="37" t="s">
        <v>11</v>
      </c>
      <c r="B31" s="38" t="s">
        <v>4</v>
      </c>
      <c r="C31" s="38" t="s">
        <v>5</v>
      </c>
      <c r="D31" s="38" t="s">
        <v>6</v>
      </c>
      <c r="E31" s="38" t="s">
        <v>7</v>
      </c>
      <c r="F31" s="38" t="s">
        <v>8</v>
      </c>
      <c r="G31" s="38" t="s">
        <v>9</v>
      </c>
      <c r="H31" s="38" t="s">
        <v>26</v>
      </c>
      <c r="I31" s="38" t="s">
        <v>17</v>
      </c>
    </row>
    <row r="32" ht="13.5" customHeight="1">
      <c r="A32" s="39"/>
      <c r="B32" s="40">
        <v>1.0</v>
      </c>
      <c r="C32" s="41">
        <v>4.8</v>
      </c>
      <c r="D32" s="42">
        <v>2.88</v>
      </c>
      <c r="E32" s="42">
        <v>3.0</v>
      </c>
      <c r="F32" s="42">
        <v>0.65</v>
      </c>
      <c r="G32" s="67" t="str">
        <f t="shared" ref="G32:G51" si="6">$B$26*$B$27</f>
        <v>  5.56 </v>
      </c>
      <c r="H32" s="41" t="str">
        <f t="shared" ref="H32:H51" si="7">$B$28*100</f>
        <v>  5.00 </v>
      </c>
      <c r="I32" s="43" t="str">
        <f t="shared" ref="I32:I51" si="8">SUM(C32:H32)</f>
        <v>  21.89 </v>
      </c>
    </row>
    <row r="33" ht="13.5" customHeight="1">
      <c r="A33" s="39"/>
      <c r="B33" s="40">
        <v>2.0</v>
      </c>
      <c r="C33" s="41">
        <v>4.8</v>
      </c>
      <c r="D33" s="42">
        <v>2.88</v>
      </c>
      <c r="E33" s="42">
        <v>3.0</v>
      </c>
      <c r="F33" s="42">
        <v>0.65</v>
      </c>
      <c r="G33" s="67" t="str">
        <f t="shared" si="6"/>
        <v>  5.56 </v>
      </c>
      <c r="H33" s="41" t="str">
        <f t="shared" si="7"/>
        <v>  5.00 </v>
      </c>
      <c r="I33" s="43" t="str">
        <f t="shared" si="8"/>
        <v>  21.89 </v>
      </c>
    </row>
    <row r="34" ht="13.5" customHeight="1">
      <c r="A34" s="39"/>
      <c r="B34" s="40">
        <v>3.0</v>
      </c>
      <c r="C34" s="41">
        <v>4.8</v>
      </c>
      <c r="D34" s="42">
        <v>2.88</v>
      </c>
      <c r="E34" s="42">
        <v>3.0</v>
      </c>
      <c r="F34" s="42">
        <v>0.65</v>
      </c>
      <c r="G34" s="67" t="str">
        <f t="shared" si="6"/>
        <v>  5.56 </v>
      </c>
      <c r="H34" s="41" t="str">
        <f t="shared" si="7"/>
        <v>  5.00 </v>
      </c>
      <c r="I34" s="43" t="str">
        <f t="shared" si="8"/>
        <v>  21.89 </v>
      </c>
    </row>
    <row r="35" ht="13.5" customHeight="1">
      <c r="A35" s="39"/>
      <c r="B35" s="40">
        <v>4.0</v>
      </c>
      <c r="C35" s="41">
        <v>4.8</v>
      </c>
      <c r="D35" s="42">
        <v>2.88</v>
      </c>
      <c r="E35" s="42">
        <v>3.0</v>
      </c>
      <c r="F35" s="42">
        <v>0.65</v>
      </c>
      <c r="G35" s="67" t="str">
        <f t="shared" si="6"/>
        <v>  5.56 </v>
      </c>
      <c r="H35" s="41" t="str">
        <f t="shared" si="7"/>
        <v>  5.00 </v>
      </c>
      <c r="I35" s="43" t="str">
        <f t="shared" si="8"/>
        <v>  21.89 </v>
      </c>
    </row>
    <row r="36" ht="13.5" customHeight="1">
      <c r="A36" s="39"/>
      <c r="B36" s="40">
        <v>5.0</v>
      </c>
      <c r="C36" s="41">
        <v>5.333333333333334</v>
      </c>
      <c r="D36" s="42">
        <v>2.88</v>
      </c>
      <c r="E36" s="42">
        <v>3.0</v>
      </c>
      <c r="F36" s="42">
        <v>0.65</v>
      </c>
      <c r="G36" s="67" t="str">
        <f t="shared" si="6"/>
        <v>  5.56 </v>
      </c>
      <c r="H36" s="41" t="str">
        <f t="shared" si="7"/>
        <v>  5.00 </v>
      </c>
      <c r="I36" s="43" t="str">
        <f t="shared" si="8"/>
        <v>  22.43 </v>
      </c>
    </row>
    <row r="37" ht="13.5" customHeight="1">
      <c r="A37" s="39"/>
      <c r="B37" s="40">
        <v>6.0</v>
      </c>
      <c r="C37" s="41">
        <v>5.777777777777778</v>
      </c>
      <c r="D37" s="42">
        <v>2.88</v>
      </c>
      <c r="E37" s="42">
        <v>3.0</v>
      </c>
      <c r="F37" s="42">
        <v>0.65</v>
      </c>
      <c r="G37" s="67" t="str">
        <f t="shared" si="6"/>
        <v>  5.56 </v>
      </c>
      <c r="H37" s="41" t="str">
        <f t="shared" si="7"/>
        <v>  5.00 </v>
      </c>
      <c r="I37" s="43" t="str">
        <f t="shared" si="8"/>
        <v>  22.87 </v>
      </c>
    </row>
    <row r="38" ht="13.5" customHeight="1">
      <c r="A38" s="39"/>
      <c r="B38" s="40">
        <v>7.0</v>
      </c>
      <c r="C38" s="41">
        <v>6.095238095238095</v>
      </c>
      <c r="D38" s="42">
        <v>2.88</v>
      </c>
      <c r="E38" s="42">
        <v>3.0</v>
      </c>
      <c r="F38" s="42">
        <v>0.65</v>
      </c>
      <c r="G38" s="67" t="str">
        <f t="shared" si="6"/>
        <v>  5.56 </v>
      </c>
      <c r="H38" s="41" t="str">
        <f t="shared" si="7"/>
        <v>  5.00 </v>
      </c>
      <c r="I38" s="43" t="str">
        <f t="shared" si="8"/>
        <v>  23.19 </v>
      </c>
    </row>
    <row r="39" ht="13.5" customHeight="1">
      <c r="A39" s="39"/>
      <c r="B39" s="40">
        <v>8.0</v>
      </c>
      <c r="C39" s="41">
        <v>6.333333333333334</v>
      </c>
      <c r="D39" s="42">
        <v>2.88</v>
      </c>
      <c r="E39" s="42">
        <v>3.0</v>
      </c>
      <c r="F39" s="42">
        <v>0.65</v>
      </c>
      <c r="G39" s="67" t="str">
        <f t="shared" si="6"/>
        <v>  5.56 </v>
      </c>
      <c r="H39" s="41" t="str">
        <f t="shared" si="7"/>
        <v>  5.00 </v>
      </c>
      <c r="I39" s="43" t="str">
        <f t="shared" si="8"/>
        <v>  23.43 </v>
      </c>
    </row>
    <row r="40" ht="13.5" customHeight="1">
      <c r="A40" s="39"/>
      <c r="B40" s="40">
        <v>9.0</v>
      </c>
      <c r="C40" s="41">
        <v>6.518518518518518</v>
      </c>
      <c r="D40" s="42">
        <v>2.88</v>
      </c>
      <c r="E40" s="42">
        <v>3.0</v>
      </c>
      <c r="F40" s="42">
        <v>0.65</v>
      </c>
      <c r="G40" s="67" t="str">
        <f t="shared" si="6"/>
        <v>  5.56 </v>
      </c>
      <c r="H40" s="41" t="str">
        <f t="shared" si="7"/>
        <v>  5.00 </v>
      </c>
      <c r="I40" s="43" t="str">
        <f t="shared" si="8"/>
        <v>  23.61 </v>
      </c>
    </row>
    <row r="41" ht="13.5" customHeight="1">
      <c r="A41" s="39"/>
      <c r="B41" s="40">
        <v>10.0</v>
      </c>
      <c r="C41" s="41">
        <v>6.666666666666667</v>
      </c>
      <c r="D41" s="42">
        <v>2.88</v>
      </c>
      <c r="E41" s="42">
        <v>3.0</v>
      </c>
      <c r="F41" s="42">
        <v>0.65</v>
      </c>
      <c r="G41" s="67" t="str">
        <f t="shared" si="6"/>
        <v>  5.56 </v>
      </c>
      <c r="H41" s="41" t="str">
        <f t="shared" si="7"/>
        <v>  5.00 </v>
      </c>
      <c r="I41" s="43" t="str">
        <f t="shared" si="8"/>
        <v>  23.76 </v>
      </c>
    </row>
    <row r="42" ht="13.5" customHeight="1">
      <c r="A42" s="39"/>
      <c r="B42" s="40">
        <v>11.0</v>
      </c>
      <c r="C42" s="41">
        <v>6.787878787878789</v>
      </c>
      <c r="D42" s="42">
        <v>2.88</v>
      </c>
      <c r="E42" s="42">
        <v>3.0</v>
      </c>
      <c r="F42" s="42">
        <v>0.65</v>
      </c>
      <c r="G42" s="67" t="str">
        <f t="shared" si="6"/>
        <v>  5.56 </v>
      </c>
      <c r="H42" s="41" t="str">
        <f t="shared" si="7"/>
        <v>  5.00 </v>
      </c>
      <c r="I42" s="43" t="str">
        <f t="shared" si="8"/>
        <v>  23.88 </v>
      </c>
    </row>
    <row r="43" ht="13.5" customHeight="1">
      <c r="A43" s="39"/>
      <c r="B43" s="40">
        <v>12.0</v>
      </c>
      <c r="C43" s="41">
        <v>6.888888888888889</v>
      </c>
      <c r="D43" s="42">
        <v>2.88</v>
      </c>
      <c r="E43" s="42">
        <v>3.0</v>
      </c>
      <c r="F43" s="42">
        <v>0.65</v>
      </c>
      <c r="G43" s="67" t="str">
        <f t="shared" si="6"/>
        <v>  5.56 </v>
      </c>
      <c r="H43" s="41" t="str">
        <f t="shared" si="7"/>
        <v>  5.00 </v>
      </c>
      <c r="I43" s="43" t="str">
        <f t="shared" si="8"/>
        <v>  23.98 </v>
      </c>
    </row>
    <row r="44" ht="13.5" customHeight="1">
      <c r="A44" s="39"/>
      <c r="B44" s="40">
        <v>13.0</v>
      </c>
      <c r="C44" s="41">
        <v>6.9743589743589745</v>
      </c>
      <c r="D44" s="42">
        <v>2.88</v>
      </c>
      <c r="E44" s="42">
        <v>3.0</v>
      </c>
      <c r="F44" s="42">
        <v>0.65</v>
      </c>
      <c r="G44" s="67" t="str">
        <f t="shared" si="6"/>
        <v>  5.56 </v>
      </c>
      <c r="H44" s="41" t="str">
        <f t="shared" si="7"/>
        <v>  5.00 </v>
      </c>
      <c r="I44" s="43" t="str">
        <f t="shared" si="8"/>
        <v>  24.07 </v>
      </c>
    </row>
    <row r="45" ht="13.5" customHeight="1">
      <c r="A45" s="39"/>
      <c r="B45" s="40">
        <v>14.0</v>
      </c>
      <c r="C45" s="41">
        <v>7.0476190476190474</v>
      </c>
      <c r="D45" s="42">
        <v>2.88</v>
      </c>
      <c r="E45" s="42">
        <v>3.0</v>
      </c>
      <c r="F45" s="42">
        <v>0.65</v>
      </c>
      <c r="G45" s="67" t="str">
        <f t="shared" si="6"/>
        <v>  5.56 </v>
      </c>
      <c r="H45" s="41" t="str">
        <f t="shared" si="7"/>
        <v>  5.00 </v>
      </c>
      <c r="I45" s="43" t="str">
        <f t="shared" si="8"/>
        <v>  24.14 </v>
      </c>
    </row>
    <row r="46" ht="13.5" customHeight="1">
      <c r="A46" s="39"/>
      <c r="B46" s="40">
        <v>15.0</v>
      </c>
      <c r="C46" s="41">
        <v>7.111111111111111</v>
      </c>
      <c r="D46" s="42">
        <v>2.88</v>
      </c>
      <c r="E46" s="42">
        <v>3.0</v>
      </c>
      <c r="F46" s="42">
        <v>0.65</v>
      </c>
      <c r="G46" s="67" t="str">
        <f t="shared" si="6"/>
        <v>  5.56 </v>
      </c>
      <c r="H46" s="41" t="str">
        <f t="shared" si="7"/>
        <v>  5.00 </v>
      </c>
      <c r="I46" s="43" t="str">
        <f t="shared" si="8"/>
        <v>  24.20 </v>
      </c>
    </row>
    <row r="47" ht="13.5" customHeight="1">
      <c r="A47" s="39"/>
      <c r="B47" s="40">
        <v>16.0</v>
      </c>
      <c r="C47" s="41">
        <v>7.166666666666667</v>
      </c>
      <c r="D47" s="42">
        <v>2.88</v>
      </c>
      <c r="E47" s="42">
        <v>3.0</v>
      </c>
      <c r="F47" s="42">
        <v>0.65</v>
      </c>
      <c r="G47" s="67" t="str">
        <f t="shared" si="6"/>
        <v>  5.56 </v>
      </c>
      <c r="H47" s="41" t="str">
        <f t="shared" si="7"/>
        <v>  5.00 </v>
      </c>
      <c r="I47" s="43" t="str">
        <f t="shared" si="8"/>
        <v>  24.26 </v>
      </c>
    </row>
    <row r="48" ht="13.5" customHeight="1">
      <c r="A48" s="39"/>
      <c r="B48" s="40">
        <v>17.0</v>
      </c>
      <c r="C48" s="41">
        <v>7.215686274509804</v>
      </c>
      <c r="D48" s="42">
        <v>2.88</v>
      </c>
      <c r="E48" s="42">
        <v>3.0</v>
      </c>
      <c r="F48" s="42">
        <v>0.65</v>
      </c>
      <c r="G48" s="67" t="str">
        <f t="shared" si="6"/>
        <v>  5.56 </v>
      </c>
      <c r="H48" s="41" t="str">
        <f t="shared" si="7"/>
        <v>  5.00 </v>
      </c>
      <c r="I48" s="43" t="str">
        <f t="shared" si="8"/>
        <v>  24.31 </v>
      </c>
    </row>
    <row r="49" ht="13.5" customHeight="1">
      <c r="A49" s="39"/>
      <c r="B49" s="40">
        <v>18.0</v>
      </c>
      <c r="C49" s="41">
        <v>7.2592592592592595</v>
      </c>
      <c r="D49" s="42">
        <v>2.88</v>
      </c>
      <c r="E49" s="42">
        <v>3.0</v>
      </c>
      <c r="F49" s="42">
        <v>0.65</v>
      </c>
      <c r="G49" s="67" t="str">
        <f t="shared" si="6"/>
        <v>  5.56 </v>
      </c>
      <c r="H49" s="41" t="str">
        <f t="shared" si="7"/>
        <v>  5.00 </v>
      </c>
      <c r="I49" s="43" t="str">
        <f t="shared" si="8"/>
        <v>  24.35 </v>
      </c>
    </row>
    <row r="50" ht="13.5" customHeight="1">
      <c r="A50" s="39"/>
      <c r="B50" s="40">
        <v>19.0</v>
      </c>
      <c r="C50" s="41">
        <v>7.298245614035087</v>
      </c>
      <c r="D50" s="42">
        <v>2.88</v>
      </c>
      <c r="E50" s="42">
        <v>3.0</v>
      </c>
      <c r="F50" s="42">
        <v>0.65</v>
      </c>
      <c r="G50" s="67" t="str">
        <f t="shared" si="6"/>
        <v>  5.56 </v>
      </c>
      <c r="H50" s="41" t="str">
        <f t="shared" si="7"/>
        <v>  5.00 </v>
      </c>
      <c r="I50" s="43" t="str">
        <f t="shared" si="8"/>
        <v>  24.39 </v>
      </c>
    </row>
    <row r="51" ht="13.5" customHeight="1">
      <c r="A51" s="44"/>
      <c r="B51" s="40">
        <v>20.0</v>
      </c>
      <c r="C51" s="41">
        <v>7.333333333333333</v>
      </c>
      <c r="D51" s="42">
        <v>2.88</v>
      </c>
      <c r="E51" s="42">
        <v>3.0</v>
      </c>
      <c r="F51" s="42">
        <v>0.65</v>
      </c>
      <c r="G51" s="67" t="str">
        <f t="shared" si="6"/>
        <v>  5.56 </v>
      </c>
      <c r="H51" s="41" t="str">
        <f t="shared" si="7"/>
        <v>  5.00 </v>
      </c>
      <c r="I51" s="43" t="str">
        <f t="shared" si="8"/>
        <v>  24.43 </v>
      </c>
    </row>
    <row r="52" ht="12.75" customHeight="1">
      <c r="A52" s="29"/>
    </row>
    <row r="53" ht="12.75" customHeight="1">
      <c r="A53" s="29"/>
    </row>
    <row r="54" ht="12.75" customHeight="1">
      <c r="A54" s="31"/>
    </row>
    <row r="55" ht="12.75" customHeight="1">
      <c r="A55" s="30"/>
      <c r="B55">
        <v>10.0</v>
      </c>
      <c r="C55">
        <v>15.0</v>
      </c>
      <c r="D55">
        <v>20.0</v>
      </c>
      <c r="E55">
        <v>25.0</v>
      </c>
      <c r="F55">
        <v>30.0</v>
      </c>
      <c r="G55">
        <v>35.0</v>
      </c>
      <c r="H55">
        <v>40.0</v>
      </c>
      <c r="I55">
        <v>45.0</v>
      </c>
    </row>
    <row r="56" ht="13.5" customHeight="1">
      <c r="A56" s="36"/>
      <c r="B56">
        <v>17.5</v>
      </c>
      <c r="C56">
        <v>15.7</v>
      </c>
      <c r="D56">
        <v>13.7</v>
      </c>
      <c r="E56">
        <v>11.82</v>
      </c>
      <c r="F56">
        <v>10.47</v>
      </c>
      <c r="G56">
        <v>9.97</v>
      </c>
      <c r="H56">
        <v>8.8</v>
      </c>
      <c r="I56">
        <v>8.0</v>
      </c>
    </row>
    <row r="57" ht="12.75" customHeight="1">
      <c r="A57" s="29"/>
      <c r="B57">
        <v>17.52</v>
      </c>
      <c r="C57">
        <v>15.75</v>
      </c>
      <c r="D57">
        <v>13.9</v>
      </c>
      <c r="E57">
        <v>12.6</v>
      </c>
      <c r="F57">
        <v>12.33</v>
      </c>
      <c r="G57">
        <v>10.72</v>
      </c>
      <c r="H57">
        <v>9.1</v>
      </c>
      <c r="I57">
        <v>8.48</v>
      </c>
    </row>
    <row r="58" ht="12.75" customHeight="1">
      <c r="A58" s="29"/>
      <c r="B58">
        <v>17.55</v>
      </c>
      <c r="C58">
        <v>15.95</v>
      </c>
      <c r="D58">
        <v>14.2</v>
      </c>
      <c r="E58">
        <v>12.9</v>
      </c>
      <c r="F58">
        <v>12.64</v>
      </c>
      <c r="G58">
        <v>11.11</v>
      </c>
      <c r="H58">
        <v>9.58</v>
      </c>
      <c r="I58">
        <v>9.03</v>
      </c>
    </row>
    <row r="59" ht="12.75" customHeight="1">
      <c r="A59" s="29"/>
      <c r="B59">
        <v>17.95</v>
      </c>
      <c r="C59">
        <v>16.7</v>
      </c>
      <c r="D59">
        <v>15.0</v>
      </c>
      <c r="E59">
        <v>13.7</v>
      </c>
      <c r="F59">
        <v>13.45</v>
      </c>
      <c r="G59">
        <v>12.0</v>
      </c>
      <c r="H59">
        <v>10.56</v>
      </c>
      <c r="I59">
        <v>9.34</v>
      </c>
    </row>
    <row r="60" ht="12.75" customHeight="1">
      <c r="A60" s="29"/>
      <c r="B60">
        <v>18.15</v>
      </c>
      <c r="C60">
        <v>16.95</v>
      </c>
      <c r="D60">
        <v>15.3</v>
      </c>
      <c r="E60">
        <v>14.03</v>
      </c>
      <c r="F60">
        <v>13.53</v>
      </c>
      <c r="G60">
        <v>12.4</v>
      </c>
      <c r="H60">
        <v>11.04</v>
      </c>
      <c r="I60">
        <v>10.06</v>
      </c>
    </row>
    <row r="61" ht="12.75" customHeight="1">
      <c r="A61" s="29"/>
      <c r="B61">
        <v>18.45</v>
      </c>
      <c r="C61">
        <v>17.2</v>
      </c>
      <c r="D61">
        <v>15.4</v>
      </c>
      <c r="E61">
        <v>14.1</v>
      </c>
      <c r="F61">
        <v>13.6</v>
      </c>
      <c r="G61">
        <v>12.6</v>
      </c>
      <c r="H61">
        <v>11.6</v>
      </c>
      <c r="I61">
        <v>10.6</v>
      </c>
    </row>
    <row r="62" ht="12.75" customHeight="1">
      <c r="A62" s="29"/>
      <c r="B62">
        <v>18.55</v>
      </c>
      <c r="C62">
        <v>17.3</v>
      </c>
      <c r="D62">
        <v>15.5</v>
      </c>
      <c r="E62">
        <v>14.11</v>
      </c>
      <c r="F62">
        <v>13.68</v>
      </c>
      <c r="G62">
        <v>12.68</v>
      </c>
      <c r="H62">
        <v>11.68</v>
      </c>
      <c r="I62">
        <v>10.68</v>
      </c>
    </row>
    <row r="63" ht="12.75" customHeight="1">
      <c r="A63" s="29"/>
      <c r="B63">
        <v>18.62</v>
      </c>
      <c r="C63">
        <v>17.32</v>
      </c>
      <c r="D63">
        <v>15.6</v>
      </c>
      <c r="E63">
        <v>14.12</v>
      </c>
      <c r="F63">
        <v>13.69</v>
      </c>
      <c r="G63">
        <v>12.69</v>
      </c>
      <c r="H63">
        <v>11.69</v>
      </c>
      <c r="I63">
        <v>10.69</v>
      </c>
    </row>
    <row r="64" ht="12.75" customHeight="1">
      <c r="A64" s="31"/>
      <c r="B64">
        <v>18.72</v>
      </c>
      <c r="C64">
        <v>17.42</v>
      </c>
      <c r="D64">
        <v>15.7</v>
      </c>
      <c r="E64">
        <v>14.13</v>
      </c>
      <c r="F64">
        <v>14.08</v>
      </c>
      <c r="G64">
        <v>13.08</v>
      </c>
      <c r="H64">
        <v>12.08</v>
      </c>
      <c r="I64">
        <v>11.08</v>
      </c>
    </row>
    <row r="65" ht="12.75" customHeight="1">
      <c r="A65" s="30"/>
      <c r="B65">
        <v>18.86</v>
      </c>
      <c r="C65">
        <v>17.56</v>
      </c>
      <c r="D65">
        <v>15.8</v>
      </c>
      <c r="E65">
        <v>14.14</v>
      </c>
      <c r="F65">
        <v>14.09</v>
      </c>
      <c r="G65">
        <v>13.09</v>
      </c>
      <c r="H65">
        <v>12.09</v>
      </c>
      <c r="I65">
        <v>11.09</v>
      </c>
    </row>
    <row r="66" ht="13.5" customHeight="1">
      <c r="A66" s="36"/>
      <c r="B66">
        <v>18.96</v>
      </c>
      <c r="C66">
        <v>17.66</v>
      </c>
      <c r="D66">
        <v>15.9</v>
      </c>
      <c r="E66">
        <v>14.49</v>
      </c>
      <c r="F66">
        <v>14.45</v>
      </c>
      <c r="G66">
        <v>13.61</v>
      </c>
      <c r="H66">
        <v>12.78</v>
      </c>
      <c r="I66">
        <v>11.87</v>
      </c>
    </row>
    <row r="67" ht="12.75" customHeight="1">
      <c r="A67" s="29"/>
      <c r="B67">
        <v>19.06</v>
      </c>
      <c r="C67">
        <v>17.76</v>
      </c>
      <c r="D67">
        <v>16.0</v>
      </c>
      <c r="E67">
        <v>14.67</v>
      </c>
      <c r="F67">
        <v>14.64</v>
      </c>
      <c r="G67">
        <v>13.89</v>
      </c>
      <c r="H67">
        <v>13.15</v>
      </c>
      <c r="I67">
        <v>12.28</v>
      </c>
    </row>
    <row r="68" ht="12.75" customHeight="1">
      <c r="A68" s="29"/>
      <c r="B68">
        <v>19.26</v>
      </c>
      <c r="C68">
        <v>17.96</v>
      </c>
      <c r="D68">
        <v>16.2</v>
      </c>
      <c r="E68">
        <v>14.86</v>
      </c>
      <c r="F68">
        <v>14.82</v>
      </c>
      <c r="G68">
        <v>14.17</v>
      </c>
      <c r="H68">
        <v>13.51</v>
      </c>
      <c r="I68">
        <v>12.68</v>
      </c>
    </row>
    <row r="69" ht="12.75" customHeight="1">
      <c r="A69" s="29"/>
      <c r="B69">
        <v>19.56</v>
      </c>
      <c r="C69">
        <v>18.3</v>
      </c>
      <c r="D69">
        <v>16.5</v>
      </c>
      <c r="E69">
        <v>15.46</v>
      </c>
      <c r="F69">
        <v>15.18</v>
      </c>
      <c r="G69">
        <v>14.61</v>
      </c>
      <c r="H69">
        <v>14.04</v>
      </c>
      <c r="I69">
        <v>13.26</v>
      </c>
    </row>
    <row r="70" ht="12.75" customHeight="1">
      <c r="A70" s="29"/>
      <c r="B70">
        <v>20.7</v>
      </c>
      <c r="C70">
        <v>19.3</v>
      </c>
      <c r="D70">
        <v>17.45</v>
      </c>
      <c r="E70">
        <v>16.24</v>
      </c>
      <c r="F70">
        <v>16.0</v>
      </c>
      <c r="G70">
        <v>15.52</v>
      </c>
      <c r="H70">
        <v>15.03</v>
      </c>
      <c r="I70">
        <v>14.29</v>
      </c>
    </row>
    <row r="71" ht="12.75" customHeight="1">
      <c r="A71" s="29"/>
      <c r="B71">
        <v>21.2</v>
      </c>
      <c r="C71">
        <v>20.0</v>
      </c>
      <c r="D71">
        <v>18.2</v>
      </c>
      <c r="E71">
        <v>16.91</v>
      </c>
      <c r="F71">
        <v>16.72</v>
      </c>
      <c r="G71">
        <v>16.32</v>
      </c>
      <c r="H71">
        <v>15.93</v>
      </c>
      <c r="I71">
        <v>15.23</v>
      </c>
    </row>
    <row r="72" ht="12.75" customHeight="1">
      <c r="A72" s="29"/>
      <c r="B72">
        <v>21.7</v>
      </c>
      <c r="C72">
        <v>20.5</v>
      </c>
      <c r="D72">
        <v>18.7</v>
      </c>
      <c r="E72">
        <v>17.4</v>
      </c>
      <c r="F72">
        <v>17.13</v>
      </c>
      <c r="G72">
        <v>16.82</v>
      </c>
      <c r="H72">
        <v>16.38</v>
      </c>
      <c r="I72">
        <v>16.17</v>
      </c>
    </row>
    <row r="73" ht="12.75" customHeight="1">
      <c r="A73" s="29"/>
      <c r="B73">
        <v>22.2</v>
      </c>
      <c r="C73">
        <v>20.9</v>
      </c>
      <c r="D73">
        <v>19.1</v>
      </c>
      <c r="E73">
        <v>17.8</v>
      </c>
      <c r="F73">
        <v>17.55</v>
      </c>
      <c r="G73">
        <v>17.22</v>
      </c>
      <c r="H73">
        <v>16.82</v>
      </c>
      <c r="I73">
        <v>16.51</v>
      </c>
    </row>
    <row r="74" ht="12.75" customHeight="1">
      <c r="A74" s="31"/>
      <c r="B74">
        <v>22.5</v>
      </c>
      <c r="C74">
        <v>21.3</v>
      </c>
      <c r="D74">
        <v>19.5</v>
      </c>
      <c r="E74">
        <v>18.2</v>
      </c>
      <c r="F74">
        <v>17.97</v>
      </c>
      <c r="G74">
        <v>17.44</v>
      </c>
      <c r="H74">
        <v>17.21</v>
      </c>
      <c r="I74">
        <v>16.94</v>
      </c>
    </row>
    <row r="75" ht="12.75" customHeight="1">
      <c r="A75" s="30"/>
      <c r="B75">
        <v>22.9</v>
      </c>
      <c r="C75">
        <v>21.8</v>
      </c>
      <c r="D75">
        <v>20.0</v>
      </c>
      <c r="E75">
        <v>18.6</v>
      </c>
      <c r="F75">
        <v>18.4</v>
      </c>
      <c r="G75">
        <v>17.85</v>
      </c>
      <c r="H75">
        <v>17.6</v>
      </c>
      <c r="I75">
        <v>17.18</v>
      </c>
    </row>
    <row r="76" ht="13.5" customHeight="1">
      <c r="A76" s="36"/>
    </row>
    <row r="77" ht="12.75" customHeight="1">
      <c r="A77" s="29"/>
    </row>
    <row r="78" ht="12.75" customHeight="1">
      <c r="A78" s="29"/>
    </row>
    <row r="79" ht="12.75" customHeight="1">
      <c r="A79" s="29"/>
    </row>
    <row r="80" ht="12.75" customHeight="1">
      <c r="A80" s="29"/>
    </row>
    <row r="81" ht="12.75" customHeight="1">
      <c r="A81" s="29"/>
    </row>
    <row r="82" ht="12.75" customHeight="1">
      <c r="A82" s="29"/>
    </row>
    <row r="83" ht="12.75" customHeight="1">
      <c r="A83" s="29"/>
    </row>
    <row r="84" ht="12.75" customHeight="1">
      <c r="A84" s="31"/>
    </row>
    <row r="85" ht="12.75" customHeight="1">
      <c r="A85" s="30"/>
    </row>
    <row r="86" ht="13.5" customHeight="1">
      <c r="A86" s="36"/>
    </row>
    <row r="87" ht="12.75" customHeight="1">
      <c r="A87" s="29"/>
    </row>
    <row r="88" ht="12.75" customHeight="1">
      <c r="A88" s="29"/>
    </row>
    <row r="89" ht="12.75" customHeight="1">
      <c r="A89" s="29"/>
    </row>
    <row r="90" ht="12.75" customHeight="1">
      <c r="A90" s="29"/>
    </row>
    <row r="91" ht="12.75" customHeight="1">
      <c r="A91" s="29"/>
    </row>
    <row r="92" ht="12.75" customHeight="1">
      <c r="A92" s="29"/>
    </row>
    <row r="93" ht="12.75" customHeight="1">
      <c r="A93" s="29"/>
    </row>
    <row r="94" ht="12.75" customHeight="1">
      <c r="A94" s="31"/>
    </row>
    <row r="95" ht="12.75" customHeight="1">
      <c r="A95" s="30"/>
    </row>
    <row r="96" ht="13.5" customHeight="1">
      <c r="A96" s="36"/>
    </row>
    <row r="97" ht="12.75" customHeight="1">
      <c r="A97" s="29"/>
    </row>
    <row r="98" ht="12.75" customHeight="1">
      <c r="A98" s="29"/>
    </row>
    <row r="99" ht="12.75" customHeight="1">
      <c r="A99" s="29"/>
    </row>
    <row r="100" ht="12.75" customHeight="1">
      <c r="A100" s="29"/>
    </row>
    <row r="101" ht="12.75" customHeight="1">
      <c r="A101" s="29"/>
    </row>
    <row r="102" ht="12.75" customHeight="1">
      <c r="A102" s="29"/>
    </row>
    <row r="103" ht="12.75" customHeight="1">
      <c r="A103" s="29"/>
    </row>
    <row r="104" ht="12.75" customHeight="1">
      <c r="A104" s="31"/>
    </row>
    <row r="105" ht="12.75" customHeight="1">
      <c r="A105" s="30"/>
    </row>
    <row r="106" ht="13.5" customHeight="1">
      <c r="A106" s="36"/>
    </row>
    <row r="107" ht="12.75" customHeight="1">
      <c r="A107" s="29"/>
    </row>
    <row r="108" ht="12.75" customHeight="1">
      <c r="A108" s="29"/>
    </row>
    <row r="109" ht="12.75" customHeight="1">
      <c r="A109" s="29"/>
    </row>
    <row r="110" ht="12.75" customHeight="1">
      <c r="A110" s="29"/>
    </row>
    <row r="111" ht="12.75" customHeight="1">
      <c r="A111" s="29"/>
    </row>
    <row r="112" ht="12.75" customHeight="1">
      <c r="A112" s="29"/>
    </row>
    <row r="113" ht="12.75" customHeight="1">
      <c r="A113" s="29"/>
    </row>
    <row r="114" ht="12.75" customHeight="1">
      <c r="A114" s="31"/>
    </row>
    <row r="115" ht="12.75" customHeight="1">
      <c r="A115" s="30"/>
    </row>
    <row r="116" ht="13.5" customHeight="1">
      <c r="A116" s="36"/>
    </row>
    <row r="117" ht="12.75" customHeight="1">
      <c r="A117" s="29"/>
    </row>
    <row r="118" ht="12.75" customHeight="1">
      <c r="A118" s="29"/>
    </row>
    <row r="119" ht="12.75" customHeight="1">
      <c r="A119" s="29"/>
    </row>
    <row r="120" ht="12.75" customHeight="1">
      <c r="A120" s="29"/>
    </row>
    <row r="121" ht="12.75" customHeight="1">
      <c r="A121" s="29"/>
    </row>
    <row r="122" ht="12.75" customHeight="1">
      <c r="A122" s="29"/>
    </row>
    <row r="123" ht="12.75" customHeight="1">
      <c r="A123" s="29"/>
    </row>
    <row r="124" ht="12.75" customHeight="1">
      <c r="A124" s="31"/>
    </row>
    <row r="125" ht="12.75" customHeight="1">
      <c r="A125" s="30"/>
    </row>
    <row r="126" ht="13.5" customHeight="1">
      <c r="A126" s="36"/>
    </row>
    <row r="127" ht="12.75" customHeight="1">
      <c r="A127" s="29"/>
    </row>
    <row r="128" ht="12.75" customHeight="1">
      <c r="A128" s="29"/>
    </row>
    <row r="129" ht="12.75" customHeight="1">
      <c r="A129" s="29"/>
    </row>
    <row r="130" ht="12.75" customHeight="1">
      <c r="A130" s="29"/>
    </row>
    <row r="131" ht="12.75" customHeight="1">
      <c r="A131" s="29"/>
    </row>
    <row r="132" ht="12.75" customHeight="1">
      <c r="A132" s="29"/>
    </row>
    <row r="133" ht="12.75" customHeight="1">
      <c r="A133" s="29"/>
    </row>
    <row r="134" ht="12.75" customHeight="1">
      <c r="A134" s="31"/>
    </row>
    <row r="135" ht="12.75" customHeight="1">
      <c r="A135" s="30"/>
    </row>
    <row r="136" ht="13.5" customHeight="1">
      <c r="A136" s="36"/>
    </row>
    <row r="137" ht="12.75" customHeight="1">
      <c r="A137" s="29"/>
    </row>
    <row r="138" ht="12.75" customHeight="1">
      <c r="A138" s="29"/>
    </row>
    <row r="139" ht="12.75" customHeight="1">
      <c r="A139" s="29"/>
    </row>
    <row r="140" ht="12.75" customHeight="1">
      <c r="A140" s="29"/>
    </row>
    <row r="141" ht="12.75" customHeight="1">
      <c r="A141" s="29"/>
    </row>
    <row r="142" ht="12.75" customHeight="1">
      <c r="A142" s="29"/>
    </row>
    <row r="143" ht="12.75" customHeight="1">
      <c r="A143" s="29"/>
    </row>
    <row r="144" ht="12.75" customHeight="1">
      <c r="A144" s="31"/>
    </row>
    <row r="145" ht="12.75" customHeight="1">
      <c r="A145" s="30"/>
    </row>
  </sheetData>
  <mergeCells count="5">
    <mergeCell ref="A31:A51"/>
    <mergeCell ref="C26:H26"/>
    <mergeCell ref="A3:A23"/>
    <mergeCell ref="A1:I1"/>
    <mergeCell ref="A2:F2"/>
  </mergeCells>
  <conditionalFormatting sqref="H4:H23">
    <cfRule type="cellIs" dxfId="0" priority="1" operator="greaterThanOrEqual">
      <formula>0</formula>
    </cfRule>
  </conditionalFormatting>
  <conditionalFormatting sqref="H4:H23">
    <cfRule type="cellIs" dxfId="1" priority="2" operator="lessThan">
      <formula>0</formula>
    </cfRule>
  </conditionalFormatting>
  <conditionalFormatting sqref="I4:I23">
    <cfRule type="cellIs" dxfId="0" priority="3" operator="greaterThanOrEqual">
      <formula>0</formula>
    </cfRule>
  </conditionalFormatting>
  <conditionalFormatting sqref="I4:I23">
    <cfRule type="cellIs" dxfId="1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3.13"/>
    <col customWidth="1" min="3" max="3" width="14.0"/>
    <col customWidth="1" min="4" max="4" width="9.5"/>
    <col customWidth="1" min="5" max="5" width="11.63"/>
    <col customWidth="1" min="6" max="6" width="2.13"/>
    <col customWidth="1" min="7" max="7" width="18.88"/>
    <col customWidth="1" min="8" max="8" width="14.13"/>
    <col customWidth="1" min="9" max="9" width="15.38"/>
    <col customWidth="1" min="10" max="10" width="12.63"/>
    <col customWidth="1" min="11" max="11" width="13.5"/>
    <col customWidth="1" min="12" max="12" width="11.5"/>
    <col customWidth="1" min="13" max="14" width="8.0"/>
  </cols>
  <sheetData>
    <row r="1" ht="18.0" customHeight="1">
      <c r="A1" s="114" t="s">
        <v>23</v>
      </c>
      <c r="B1" s="115"/>
      <c r="C1" s="115"/>
      <c r="D1" s="115"/>
      <c r="E1" s="115"/>
      <c r="F1" s="115"/>
      <c r="G1" s="115"/>
      <c r="H1" s="115"/>
      <c r="I1" s="116"/>
      <c r="J1" s="117"/>
      <c r="K1" s="117"/>
      <c r="L1" s="117"/>
      <c r="M1" s="117"/>
      <c r="N1" s="118"/>
    </row>
    <row r="2" ht="69.0" customHeight="1">
      <c r="A2" s="114" t="s">
        <v>44</v>
      </c>
      <c r="B2" s="115"/>
      <c r="C2" s="115"/>
      <c r="D2" s="115"/>
      <c r="E2" s="116"/>
      <c r="F2" s="119"/>
      <c r="G2" s="120" t="s">
        <v>25</v>
      </c>
      <c r="H2" s="121" t="s">
        <v>45</v>
      </c>
      <c r="I2" s="122" t="str">
        <f>B26</f>
        <v>  13.00 </v>
      </c>
    </row>
    <row r="3" ht="104.25" customHeight="1">
      <c r="A3" s="123" t="s">
        <v>3</v>
      </c>
      <c r="B3" s="124" t="s">
        <v>4</v>
      </c>
      <c r="C3" s="124" t="s">
        <v>40</v>
      </c>
      <c r="D3" s="124" t="s">
        <v>26</v>
      </c>
      <c r="E3" s="124" t="s">
        <v>41</v>
      </c>
      <c r="F3" s="125"/>
      <c r="G3" s="124" t="s">
        <v>11</v>
      </c>
      <c r="H3" s="124" t="s">
        <v>12</v>
      </c>
      <c r="I3" s="124" t="s">
        <v>13</v>
      </c>
      <c r="M3" s="94"/>
    </row>
    <row r="4" ht="18.0" customHeight="1">
      <c r="A4" s="39"/>
      <c r="B4" s="95">
        <v>1.0</v>
      </c>
      <c r="C4" s="97">
        <v>14.93</v>
      </c>
      <c r="D4" s="97">
        <v>2.0</v>
      </c>
      <c r="E4" s="97" t="str">
        <f t="shared" ref="E4:E23" si="1">C4+D4</f>
        <v>  16.93 </v>
      </c>
      <c r="F4" s="125"/>
      <c r="G4" s="126" t="str">
        <f t="shared" ref="G4:G23" si="2">I32</f>
        <v>  19.94 </v>
      </c>
      <c r="H4" s="100" t="str">
        <f t="shared" ref="H4:H23" si="3">G4-E4</f>
        <v>  3.01 </v>
      </c>
      <c r="I4" s="127" t="str">
        <f t="shared" ref="I4:I23" si="4">H4/G4</f>
        <v>15.11%</v>
      </c>
      <c r="M4" s="102"/>
    </row>
    <row r="5" ht="17.25" customHeight="1">
      <c r="A5" s="39"/>
      <c r="B5" s="95">
        <v>2.0</v>
      </c>
      <c r="C5" s="97">
        <v>14.93</v>
      </c>
      <c r="D5" s="97">
        <v>2.79</v>
      </c>
      <c r="E5" s="97" t="str">
        <f t="shared" si="1"/>
        <v>  17.72 </v>
      </c>
      <c r="F5" s="125"/>
      <c r="G5" s="126" t="str">
        <f t="shared" si="2"/>
        <v>  19.94 </v>
      </c>
      <c r="H5" s="100" t="str">
        <f t="shared" si="3"/>
        <v>  2.22 </v>
      </c>
      <c r="I5" s="127" t="str">
        <f t="shared" si="4"/>
        <v>11.15%</v>
      </c>
    </row>
    <row r="6" ht="17.25" customHeight="1">
      <c r="A6" s="39"/>
      <c r="B6" s="95">
        <v>3.0</v>
      </c>
      <c r="C6" s="97">
        <v>14.93</v>
      </c>
      <c r="D6" s="97">
        <v>3.5</v>
      </c>
      <c r="E6" s="97" t="str">
        <f t="shared" si="1"/>
        <v>  18.43 </v>
      </c>
      <c r="F6" s="125"/>
      <c r="G6" s="126" t="str">
        <f t="shared" si="2"/>
        <v>  19.94 </v>
      </c>
      <c r="H6" s="100" t="str">
        <f t="shared" si="3"/>
        <v>  1.51 </v>
      </c>
      <c r="I6" s="127" t="str">
        <f t="shared" si="4"/>
        <v>7.59%</v>
      </c>
    </row>
    <row r="7" ht="17.25" customHeight="1">
      <c r="A7" s="39"/>
      <c r="B7" s="95">
        <v>4.0</v>
      </c>
      <c r="C7" s="97">
        <v>14.93</v>
      </c>
      <c r="D7" s="97">
        <v>3.84</v>
      </c>
      <c r="E7" s="97" t="str">
        <f t="shared" si="1"/>
        <v>  18.77 </v>
      </c>
      <c r="F7" s="125"/>
      <c r="G7" s="126" t="str">
        <f t="shared" si="2"/>
        <v>  19.94 </v>
      </c>
      <c r="H7" s="100" t="str">
        <f t="shared" si="3"/>
        <v>  1.17 </v>
      </c>
      <c r="I7" s="127" t="str">
        <f t="shared" si="4"/>
        <v>5.89%</v>
      </c>
    </row>
    <row r="8" ht="17.25" customHeight="1">
      <c r="A8" s="39"/>
      <c r="B8" s="95">
        <v>5.0</v>
      </c>
      <c r="C8" s="97">
        <v>15.17</v>
      </c>
      <c r="D8" s="97">
        <v>3.87</v>
      </c>
      <c r="E8" s="97" t="str">
        <f t="shared" si="1"/>
        <v>  19.04 </v>
      </c>
      <c r="F8" s="125"/>
      <c r="G8" s="126" t="str">
        <f t="shared" si="2"/>
        <v>  20.48 </v>
      </c>
      <c r="H8" s="100" t="str">
        <f t="shared" si="3"/>
        <v>  1.44 </v>
      </c>
      <c r="I8" s="127" t="str">
        <f t="shared" si="4"/>
        <v>7.02%</v>
      </c>
    </row>
    <row r="9" ht="17.25" customHeight="1">
      <c r="A9" s="39"/>
      <c r="B9" s="95">
        <v>6.0</v>
      </c>
      <c r="C9" s="97">
        <v>15.709999999999999</v>
      </c>
      <c r="D9" s="97">
        <v>4.23</v>
      </c>
      <c r="E9" s="97" t="str">
        <f t="shared" si="1"/>
        <v>  19.94 </v>
      </c>
      <c r="F9" s="125"/>
      <c r="G9" s="126" t="str">
        <f t="shared" si="2"/>
        <v>  20.92 </v>
      </c>
      <c r="H9" s="100" t="str">
        <f t="shared" si="3"/>
        <v>  0.98 </v>
      </c>
      <c r="I9" s="127" t="str">
        <f t="shared" si="4"/>
        <v>4.69%</v>
      </c>
    </row>
    <row r="10" ht="17.25" customHeight="1">
      <c r="A10" s="39"/>
      <c r="B10" s="95">
        <v>7.0</v>
      </c>
      <c r="C10" s="97">
        <v>16.08</v>
      </c>
      <c r="D10" s="97">
        <v>4.26</v>
      </c>
      <c r="E10" s="97" t="str">
        <f t="shared" si="1"/>
        <v>  20.34 </v>
      </c>
      <c r="F10" s="125"/>
      <c r="G10" s="126" t="str">
        <f t="shared" si="2"/>
        <v>  21.24 </v>
      </c>
      <c r="H10" s="100" t="str">
        <f t="shared" si="3"/>
        <v>  0.90 </v>
      </c>
      <c r="I10" s="127" t="str">
        <f t="shared" si="4"/>
        <v>4.23%</v>
      </c>
    </row>
    <row r="11" ht="17.25" customHeight="1">
      <c r="A11" s="39"/>
      <c r="B11" s="95">
        <v>8.0</v>
      </c>
      <c r="C11" s="97">
        <v>16.35</v>
      </c>
      <c r="D11" s="97">
        <v>4.31</v>
      </c>
      <c r="E11" s="97" t="str">
        <f t="shared" si="1"/>
        <v>  20.66 </v>
      </c>
      <c r="F11" s="125"/>
      <c r="G11" s="126" t="str">
        <f t="shared" si="2"/>
        <v>  21.48 </v>
      </c>
      <c r="H11" s="100" t="str">
        <f t="shared" si="3"/>
        <v>  0.82 </v>
      </c>
      <c r="I11" s="127" t="str">
        <f t="shared" si="4"/>
        <v>3.81%</v>
      </c>
    </row>
    <row r="12" ht="17.25" customHeight="1">
      <c r="A12" s="39"/>
      <c r="B12" s="95">
        <v>9.0</v>
      </c>
      <c r="C12" s="97">
        <v>16.56</v>
      </c>
      <c r="D12" s="97">
        <v>4.61</v>
      </c>
      <c r="E12" s="97" t="str">
        <f t="shared" si="1"/>
        <v>  21.17 </v>
      </c>
      <c r="F12" s="125"/>
      <c r="G12" s="126" t="str">
        <f t="shared" si="2"/>
        <v>  21.66 </v>
      </c>
      <c r="H12" s="100" t="str">
        <f t="shared" si="3"/>
        <v>  0.49 </v>
      </c>
      <c r="I12" s="127" t="str">
        <f t="shared" si="4"/>
        <v>2.27%</v>
      </c>
    </row>
    <row r="13" ht="17.25" customHeight="1">
      <c r="A13" s="39"/>
      <c r="B13" s="95">
        <v>10.0</v>
      </c>
      <c r="C13" s="97">
        <v>16.73</v>
      </c>
      <c r="D13" s="97">
        <v>4.65</v>
      </c>
      <c r="E13" s="97" t="str">
        <f t="shared" si="1"/>
        <v>  21.38 </v>
      </c>
      <c r="F13" s="125"/>
      <c r="G13" s="126" t="str">
        <f t="shared" si="2"/>
        <v>  21.81 </v>
      </c>
      <c r="H13" s="100" t="str">
        <f t="shared" si="3"/>
        <v>  0.43 </v>
      </c>
      <c r="I13" s="127" t="str">
        <f t="shared" si="4"/>
        <v>1.97%</v>
      </c>
    </row>
    <row r="14" ht="17.25" customHeight="1">
      <c r="A14" s="39"/>
      <c r="B14" s="95">
        <v>11.0</v>
      </c>
      <c r="C14" s="97">
        <v>16.86</v>
      </c>
      <c r="D14" s="97">
        <v>5.0</v>
      </c>
      <c r="E14" s="97" t="str">
        <f t="shared" si="1"/>
        <v>  21.86 </v>
      </c>
      <c r="F14" s="125"/>
      <c r="G14" s="126" t="str">
        <f t="shared" si="2"/>
        <v>  21.93 </v>
      </c>
      <c r="H14" s="100" t="str">
        <f t="shared" si="3"/>
        <v>  0.07 </v>
      </c>
      <c r="I14" s="127" t="str">
        <f t="shared" si="4"/>
        <v>0.33%</v>
      </c>
    </row>
    <row r="15" ht="17.25" customHeight="1">
      <c r="A15" s="39"/>
      <c r="B15" s="95">
        <v>12.0</v>
      </c>
      <c r="C15" s="97">
        <v>16.97</v>
      </c>
      <c r="D15" s="97">
        <v>5.0</v>
      </c>
      <c r="E15" s="97" t="str">
        <f t="shared" si="1"/>
        <v>  21.97 </v>
      </c>
      <c r="F15" s="125"/>
      <c r="G15" s="126" t="str">
        <f t="shared" si="2"/>
        <v>  22.03 </v>
      </c>
      <c r="H15" s="100" t="str">
        <f t="shared" si="3"/>
        <v>  0.06 </v>
      </c>
      <c r="I15" s="127" t="str">
        <f t="shared" si="4"/>
        <v>0.29%</v>
      </c>
    </row>
    <row r="16" ht="17.25" customHeight="1">
      <c r="A16" s="39"/>
      <c r="B16" s="95">
        <v>13.0</v>
      </c>
      <c r="C16" s="97">
        <v>17.06</v>
      </c>
      <c r="D16" s="97">
        <v>5.0</v>
      </c>
      <c r="E16" s="97" t="str">
        <f t="shared" si="1"/>
        <v>  22.06 </v>
      </c>
      <c r="F16" s="125"/>
      <c r="G16" s="126" t="str">
        <f t="shared" si="2"/>
        <v>  22.12 </v>
      </c>
      <c r="H16" s="100" t="str">
        <f t="shared" si="3"/>
        <v>  0.06 </v>
      </c>
      <c r="I16" s="127" t="str">
        <f t="shared" si="4"/>
        <v>0.26%</v>
      </c>
    </row>
    <row r="17" ht="17.25" customHeight="1">
      <c r="A17" s="39"/>
      <c r="B17" s="95">
        <v>14.0</v>
      </c>
      <c r="C17" s="97">
        <v>17.14</v>
      </c>
      <c r="D17" s="97">
        <v>5.0</v>
      </c>
      <c r="E17" s="97" t="str">
        <f t="shared" si="1"/>
        <v>  22.14 </v>
      </c>
      <c r="F17" s="125"/>
      <c r="G17" s="126" t="str">
        <f t="shared" si="2"/>
        <v>  22.19 </v>
      </c>
      <c r="H17" s="100" t="str">
        <f t="shared" si="3"/>
        <v>  0.05 </v>
      </c>
      <c r="I17" s="127" t="str">
        <f t="shared" si="4"/>
        <v>0.23%</v>
      </c>
    </row>
    <row r="18" ht="17.25" customHeight="1">
      <c r="A18" s="39"/>
      <c r="B18" s="95">
        <v>15.0</v>
      </c>
      <c r="C18" s="97">
        <v>17.21</v>
      </c>
      <c r="D18" s="97">
        <v>5.0</v>
      </c>
      <c r="E18" s="97" t="str">
        <f t="shared" si="1"/>
        <v>  22.21 </v>
      </c>
      <c r="F18" s="125"/>
      <c r="G18" s="126" t="str">
        <f t="shared" si="2"/>
        <v>  22.26 </v>
      </c>
      <c r="H18" s="100" t="str">
        <f t="shared" si="3"/>
        <v>  0.05 </v>
      </c>
      <c r="I18" s="127" t="str">
        <f t="shared" si="4"/>
        <v>0.20%</v>
      </c>
    </row>
    <row r="19" ht="17.25" customHeight="1">
      <c r="A19" s="39"/>
      <c r="B19" s="95">
        <v>16.0</v>
      </c>
      <c r="C19" s="97">
        <v>17.21</v>
      </c>
      <c r="D19" s="97">
        <v>5.0</v>
      </c>
      <c r="E19" s="97" t="str">
        <f t="shared" si="1"/>
        <v>  22.21 </v>
      </c>
      <c r="F19" s="125"/>
      <c r="G19" s="126" t="str">
        <f t="shared" si="2"/>
        <v>  22.31 </v>
      </c>
      <c r="H19" s="100" t="str">
        <f t="shared" si="3"/>
        <v>  0.10 </v>
      </c>
      <c r="I19" s="127" t="str">
        <f t="shared" si="4"/>
        <v>0.45%</v>
      </c>
    </row>
    <row r="20" ht="17.25" customHeight="1">
      <c r="A20" s="39"/>
      <c r="B20" s="95">
        <v>17.0</v>
      </c>
      <c r="C20" s="97">
        <v>17.32</v>
      </c>
      <c r="D20" s="97">
        <v>5.0</v>
      </c>
      <c r="E20" s="97" t="str">
        <f t="shared" si="1"/>
        <v>  22.32 </v>
      </c>
      <c r="F20" s="125"/>
      <c r="G20" s="126" t="str">
        <f t="shared" si="2"/>
        <v>  22.36 </v>
      </c>
      <c r="H20" s="100" t="str">
        <f t="shared" si="3"/>
        <v>  0.04 </v>
      </c>
      <c r="I20" s="127" t="str">
        <f t="shared" si="4"/>
        <v>0.18%</v>
      </c>
    </row>
    <row r="21" ht="17.25" customHeight="1">
      <c r="A21" s="39"/>
      <c r="B21" s="95">
        <v>18.0</v>
      </c>
      <c r="C21" s="97">
        <v>17.37</v>
      </c>
      <c r="D21" s="97">
        <v>5.0</v>
      </c>
      <c r="E21" s="97" t="str">
        <f t="shared" si="1"/>
        <v>  22.37 </v>
      </c>
      <c r="F21" s="125"/>
      <c r="G21" s="126" t="str">
        <f t="shared" si="2"/>
        <v>  22.40 </v>
      </c>
      <c r="H21" s="100" t="str">
        <f t="shared" si="3"/>
        <v>  0.03 </v>
      </c>
      <c r="I21" s="127" t="str">
        <f t="shared" si="4"/>
        <v>0.15%</v>
      </c>
    </row>
    <row r="22" ht="17.25" customHeight="1">
      <c r="A22" s="39"/>
      <c r="B22" s="95">
        <v>19.0</v>
      </c>
      <c r="C22" s="97">
        <v>17.41</v>
      </c>
      <c r="D22" s="97">
        <v>5.0</v>
      </c>
      <c r="E22" s="97" t="str">
        <f t="shared" si="1"/>
        <v>  22.41 </v>
      </c>
      <c r="F22" s="125"/>
      <c r="G22" s="126" t="str">
        <f t="shared" si="2"/>
        <v>  22.44 </v>
      </c>
      <c r="H22" s="100" t="str">
        <f t="shared" si="3"/>
        <v>  0.03 </v>
      </c>
      <c r="I22" s="127" t="str">
        <f t="shared" si="4"/>
        <v>0.14%</v>
      </c>
    </row>
    <row r="23" ht="17.25" customHeight="1">
      <c r="A23" s="44"/>
      <c r="B23" s="95">
        <v>20.0</v>
      </c>
      <c r="C23" s="97">
        <v>17.45</v>
      </c>
      <c r="D23" s="97">
        <v>5.0</v>
      </c>
      <c r="E23" s="97" t="str">
        <f t="shared" si="1"/>
        <v>  22.45 </v>
      </c>
      <c r="F23" s="125"/>
      <c r="G23" s="126" t="str">
        <f t="shared" si="2"/>
        <v>  22.48 </v>
      </c>
      <c r="H23" s="100" t="str">
        <f t="shared" si="3"/>
        <v>  0.03 </v>
      </c>
      <c r="I23" s="127" t="str">
        <f t="shared" si="4"/>
        <v>0.12%</v>
      </c>
    </row>
    <row r="24" ht="12.75" customHeight="1">
      <c r="A24" s="29"/>
    </row>
    <row r="25" ht="13.5" customHeight="1">
      <c r="A25" s="30"/>
      <c r="B25" s="29"/>
    </row>
    <row r="26" ht="32.25" customHeight="1">
      <c r="A26" s="31" t="s">
        <v>14</v>
      </c>
      <c r="B26" s="110">
        <v>13.0</v>
      </c>
      <c r="C26" s="111" t="s">
        <v>42</v>
      </c>
      <c r="D26" s="5"/>
      <c r="E26" s="5"/>
      <c r="F26" s="5"/>
      <c r="G26" s="5"/>
      <c r="H26" s="6"/>
      <c r="I26" s="112"/>
      <c r="J26" s="112"/>
      <c r="K26" s="112"/>
      <c r="L26" s="112"/>
    </row>
    <row r="27" ht="51.75" customHeight="1">
      <c r="A27" s="31" t="s">
        <v>43</v>
      </c>
      <c r="B27" s="32">
        <v>0.278</v>
      </c>
    </row>
    <row r="28" ht="47.25" customHeight="1">
      <c r="A28" s="31" t="s">
        <v>28</v>
      </c>
      <c r="B28" s="113">
        <v>0.05</v>
      </c>
      <c r="C28" s="33" t="s">
        <v>29</v>
      </c>
      <c r="D28" s="33"/>
      <c r="E28" s="33"/>
      <c r="F28" s="33"/>
      <c r="G28" s="33"/>
      <c r="H28" s="33"/>
    </row>
    <row r="29" ht="12.75" customHeight="1">
      <c r="A29" s="29"/>
      <c r="C29" s="29"/>
    </row>
    <row r="30" ht="12.75" customHeight="1">
      <c r="A30" s="29"/>
      <c r="C30" s="29"/>
    </row>
    <row r="31" ht="118.5" customHeight="1">
      <c r="A31" s="37" t="s">
        <v>11</v>
      </c>
      <c r="B31" s="38" t="s">
        <v>4</v>
      </c>
      <c r="C31" s="38" t="s">
        <v>5</v>
      </c>
      <c r="D31" s="38" t="s">
        <v>6</v>
      </c>
      <c r="E31" s="38" t="s">
        <v>7</v>
      </c>
      <c r="F31" s="38" t="s">
        <v>8</v>
      </c>
      <c r="G31" s="38" t="s">
        <v>9</v>
      </c>
      <c r="H31" s="38" t="s">
        <v>26</v>
      </c>
      <c r="I31" s="38" t="s">
        <v>17</v>
      </c>
    </row>
    <row r="32" ht="13.5" customHeight="1">
      <c r="A32" s="39"/>
      <c r="B32" s="40">
        <v>1.0</v>
      </c>
      <c r="C32" s="41">
        <v>4.8</v>
      </c>
      <c r="D32" s="42">
        <v>2.88</v>
      </c>
      <c r="E32" s="42">
        <v>3.0</v>
      </c>
      <c r="F32" s="42">
        <v>0.65</v>
      </c>
      <c r="G32" s="67" t="str">
        <f t="shared" ref="G32:G51" si="5">$B$26*$B$27</f>
        <v>  3.61 </v>
      </c>
      <c r="H32" s="41" t="str">
        <f t="shared" ref="H32:H51" si="6">$B$28*100</f>
        <v>  5.00 </v>
      </c>
      <c r="I32" s="43" t="str">
        <f t="shared" ref="I32:I51" si="7">SUM(C32:H32)</f>
        <v>  19.94 </v>
      </c>
    </row>
    <row r="33" ht="13.5" customHeight="1">
      <c r="A33" s="39"/>
      <c r="B33" s="40">
        <v>2.0</v>
      </c>
      <c r="C33" s="41">
        <v>4.8</v>
      </c>
      <c r="D33" s="42">
        <v>2.88</v>
      </c>
      <c r="E33" s="42">
        <v>3.0</v>
      </c>
      <c r="F33" s="42">
        <v>0.65</v>
      </c>
      <c r="G33" s="67" t="str">
        <f t="shared" si="5"/>
        <v>  3.61 </v>
      </c>
      <c r="H33" s="41" t="str">
        <f t="shared" si="6"/>
        <v>  5.00 </v>
      </c>
      <c r="I33" s="43" t="str">
        <f t="shared" si="7"/>
        <v>  19.94 </v>
      </c>
    </row>
    <row r="34" ht="13.5" customHeight="1">
      <c r="A34" s="39"/>
      <c r="B34" s="40">
        <v>3.0</v>
      </c>
      <c r="C34" s="41">
        <v>4.8</v>
      </c>
      <c r="D34" s="42">
        <v>2.88</v>
      </c>
      <c r="E34" s="42">
        <v>3.0</v>
      </c>
      <c r="F34" s="42">
        <v>0.65</v>
      </c>
      <c r="G34" s="67" t="str">
        <f t="shared" si="5"/>
        <v>  3.61 </v>
      </c>
      <c r="H34" s="41" t="str">
        <f t="shared" si="6"/>
        <v>  5.00 </v>
      </c>
      <c r="I34" s="43" t="str">
        <f t="shared" si="7"/>
        <v>  19.94 </v>
      </c>
    </row>
    <row r="35" ht="13.5" customHeight="1">
      <c r="A35" s="39"/>
      <c r="B35" s="40">
        <v>4.0</v>
      </c>
      <c r="C35" s="41">
        <v>4.8</v>
      </c>
      <c r="D35" s="42">
        <v>2.88</v>
      </c>
      <c r="E35" s="42">
        <v>3.0</v>
      </c>
      <c r="F35" s="42">
        <v>0.65</v>
      </c>
      <c r="G35" s="67" t="str">
        <f t="shared" si="5"/>
        <v>  3.61 </v>
      </c>
      <c r="H35" s="41" t="str">
        <f t="shared" si="6"/>
        <v>  5.00 </v>
      </c>
      <c r="I35" s="43" t="str">
        <f t="shared" si="7"/>
        <v>  19.94 </v>
      </c>
    </row>
    <row r="36" ht="13.5" customHeight="1">
      <c r="A36" s="39"/>
      <c r="B36" s="40">
        <v>5.0</v>
      </c>
      <c r="C36" s="41">
        <v>5.333333333333334</v>
      </c>
      <c r="D36" s="42">
        <v>2.88</v>
      </c>
      <c r="E36" s="42">
        <v>3.0</v>
      </c>
      <c r="F36" s="42">
        <v>0.65</v>
      </c>
      <c r="G36" s="67" t="str">
        <f t="shared" si="5"/>
        <v>  3.61 </v>
      </c>
      <c r="H36" s="41" t="str">
        <f t="shared" si="6"/>
        <v>  5.00 </v>
      </c>
      <c r="I36" s="43" t="str">
        <f t="shared" si="7"/>
        <v>  20.48 </v>
      </c>
    </row>
    <row r="37" ht="13.5" customHeight="1">
      <c r="A37" s="39"/>
      <c r="B37" s="40">
        <v>6.0</v>
      </c>
      <c r="C37" s="41">
        <v>5.777777777777778</v>
      </c>
      <c r="D37" s="42">
        <v>2.88</v>
      </c>
      <c r="E37" s="42">
        <v>3.0</v>
      </c>
      <c r="F37" s="42">
        <v>0.65</v>
      </c>
      <c r="G37" s="67" t="str">
        <f t="shared" si="5"/>
        <v>  3.61 </v>
      </c>
      <c r="H37" s="41" t="str">
        <f t="shared" si="6"/>
        <v>  5.00 </v>
      </c>
      <c r="I37" s="43" t="str">
        <f t="shared" si="7"/>
        <v>  20.92 </v>
      </c>
    </row>
    <row r="38" ht="13.5" customHeight="1">
      <c r="A38" s="39"/>
      <c r="B38" s="40">
        <v>7.0</v>
      </c>
      <c r="C38" s="41">
        <v>6.095238095238095</v>
      </c>
      <c r="D38" s="42">
        <v>2.88</v>
      </c>
      <c r="E38" s="42">
        <v>3.0</v>
      </c>
      <c r="F38" s="42">
        <v>0.65</v>
      </c>
      <c r="G38" s="67" t="str">
        <f t="shared" si="5"/>
        <v>  3.61 </v>
      </c>
      <c r="H38" s="41" t="str">
        <f t="shared" si="6"/>
        <v>  5.00 </v>
      </c>
      <c r="I38" s="43" t="str">
        <f t="shared" si="7"/>
        <v>  21.24 </v>
      </c>
    </row>
    <row r="39" ht="13.5" customHeight="1">
      <c r="A39" s="39"/>
      <c r="B39" s="40">
        <v>8.0</v>
      </c>
      <c r="C39" s="41">
        <v>6.333333333333334</v>
      </c>
      <c r="D39" s="42">
        <v>2.88</v>
      </c>
      <c r="E39" s="42">
        <v>3.0</v>
      </c>
      <c r="F39" s="42">
        <v>0.65</v>
      </c>
      <c r="G39" s="67" t="str">
        <f t="shared" si="5"/>
        <v>  3.61 </v>
      </c>
      <c r="H39" s="41" t="str">
        <f t="shared" si="6"/>
        <v>  5.00 </v>
      </c>
      <c r="I39" s="43" t="str">
        <f t="shared" si="7"/>
        <v>  21.48 </v>
      </c>
    </row>
    <row r="40" ht="13.5" customHeight="1">
      <c r="A40" s="39"/>
      <c r="B40" s="40">
        <v>9.0</v>
      </c>
      <c r="C40" s="41">
        <v>6.518518518518518</v>
      </c>
      <c r="D40" s="42">
        <v>2.88</v>
      </c>
      <c r="E40" s="42">
        <v>3.0</v>
      </c>
      <c r="F40" s="42">
        <v>0.65</v>
      </c>
      <c r="G40" s="67" t="str">
        <f t="shared" si="5"/>
        <v>  3.61 </v>
      </c>
      <c r="H40" s="41" t="str">
        <f t="shared" si="6"/>
        <v>  5.00 </v>
      </c>
      <c r="I40" s="43" t="str">
        <f t="shared" si="7"/>
        <v>  21.66 </v>
      </c>
    </row>
    <row r="41" ht="13.5" customHeight="1">
      <c r="A41" s="39"/>
      <c r="B41" s="40">
        <v>10.0</v>
      </c>
      <c r="C41" s="41">
        <v>6.666666666666667</v>
      </c>
      <c r="D41" s="42">
        <v>2.88</v>
      </c>
      <c r="E41" s="42">
        <v>3.0</v>
      </c>
      <c r="F41" s="42">
        <v>0.65</v>
      </c>
      <c r="G41" s="67" t="str">
        <f t="shared" si="5"/>
        <v>  3.61 </v>
      </c>
      <c r="H41" s="41" t="str">
        <f t="shared" si="6"/>
        <v>  5.00 </v>
      </c>
      <c r="I41" s="43" t="str">
        <f t="shared" si="7"/>
        <v>  21.81 </v>
      </c>
    </row>
    <row r="42" ht="13.5" customHeight="1">
      <c r="A42" s="39"/>
      <c r="B42" s="40">
        <v>11.0</v>
      </c>
      <c r="C42" s="41">
        <v>6.787878787878789</v>
      </c>
      <c r="D42" s="42">
        <v>2.88</v>
      </c>
      <c r="E42" s="42">
        <v>3.0</v>
      </c>
      <c r="F42" s="42">
        <v>0.65</v>
      </c>
      <c r="G42" s="67" t="str">
        <f t="shared" si="5"/>
        <v>  3.61 </v>
      </c>
      <c r="H42" s="41" t="str">
        <f t="shared" si="6"/>
        <v>  5.00 </v>
      </c>
      <c r="I42" s="43" t="str">
        <f t="shared" si="7"/>
        <v>  21.93 </v>
      </c>
    </row>
    <row r="43" ht="13.5" customHeight="1">
      <c r="A43" s="39"/>
      <c r="B43" s="40">
        <v>12.0</v>
      </c>
      <c r="C43" s="41">
        <v>6.888888888888889</v>
      </c>
      <c r="D43" s="42">
        <v>2.88</v>
      </c>
      <c r="E43" s="42">
        <v>3.0</v>
      </c>
      <c r="F43" s="42">
        <v>0.65</v>
      </c>
      <c r="G43" s="67" t="str">
        <f t="shared" si="5"/>
        <v>  3.61 </v>
      </c>
      <c r="H43" s="41" t="str">
        <f t="shared" si="6"/>
        <v>  5.00 </v>
      </c>
      <c r="I43" s="43" t="str">
        <f t="shared" si="7"/>
        <v>  22.03 </v>
      </c>
    </row>
    <row r="44" ht="13.5" customHeight="1">
      <c r="A44" s="39"/>
      <c r="B44" s="40">
        <v>13.0</v>
      </c>
      <c r="C44" s="41">
        <v>6.9743589743589745</v>
      </c>
      <c r="D44" s="42">
        <v>2.88</v>
      </c>
      <c r="E44" s="42">
        <v>3.0</v>
      </c>
      <c r="F44" s="42">
        <v>0.65</v>
      </c>
      <c r="G44" s="67" t="str">
        <f t="shared" si="5"/>
        <v>  3.61 </v>
      </c>
      <c r="H44" s="41" t="str">
        <f t="shared" si="6"/>
        <v>  5.00 </v>
      </c>
      <c r="I44" s="43" t="str">
        <f t="shared" si="7"/>
        <v>  22.12 </v>
      </c>
    </row>
    <row r="45" ht="13.5" customHeight="1">
      <c r="A45" s="39"/>
      <c r="B45" s="40">
        <v>14.0</v>
      </c>
      <c r="C45" s="41">
        <v>7.0476190476190474</v>
      </c>
      <c r="D45" s="42">
        <v>2.88</v>
      </c>
      <c r="E45" s="42">
        <v>3.0</v>
      </c>
      <c r="F45" s="42">
        <v>0.65</v>
      </c>
      <c r="G45" s="67" t="str">
        <f t="shared" si="5"/>
        <v>  3.61 </v>
      </c>
      <c r="H45" s="41" t="str">
        <f t="shared" si="6"/>
        <v>  5.00 </v>
      </c>
      <c r="I45" s="43" t="str">
        <f t="shared" si="7"/>
        <v>  22.19 </v>
      </c>
    </row>
    <row r="46" ht="13.5" customHeight="1">
      <c r="A46" s="39"/>
      <c r="B46" s="40">
        <v>15.0</v>
      </c>
      <c r="C46" s="41">
        <v>7.111111111111111</v>
      </c>
      <c r="D46" s="42">
        <v>2.88</v>
      </c>
      <c r="E46" s="42">
        <v>3.0</v>
      </c>
      <c r="F46" s="42">
        <v>0.65</v>
      </c>
      <c r="G46" s="67" t="str">
        <f t="shared" si="5"/>
        <v>  3.61 </v>
      </c>
      <c r="H46" s="41" t="str">
        <f t="shared" si="6"/>
        <v>  5.00 </v>
      </c>
      <c r="I46" s="43" t="str">
        <f t="shared" si="7"/>
        <v>  22.26 </v>
      </c>
    </row>
    <row r="47" ht="13.5" customHeight="1">
      <c r="A47" s="39"/>
      <c r="B47" s="40">
        <v>16.0</v>
      </c>
      <c r="C47" s="41">
        <v>7.166666666666667</v>
      </c>
      <c r="D47" s="42">
        <v>2.88</v>
      </c>
      <c r="E47" s="42">
        <v>3.0</v>
      </c>
      <c r="F47" s="42">
        <v>0.65</v>
      </c>
      <c r="G47" s="67" t="str">
        <f t="shared" si="5"/>
        <v>  3.61 </v>
      </c>
      <c r="H47" s="41" t="str">
        <f t="shared" si="6"/>
        <v>  5.00 </v>
      </c>
      <c r="I47" s="43" t="str">
        <f t="shared" si="7"/>
        <v>  22.31 </v>
      </c>
    </row>
    <row r="48" ht="13.5" customHeight="1">
      <c r="A48" s="39"/>
      <c r="B48" s="40">
        <v>17.0</v>
      </c>
      <c r="C48" s="41">
        <v>7.215686274509804</v>
      </c>
      <c r="D48" s="42">
        <v>2.88</v>
      </c>
      <c r="E48" s="42">
        <v>3.0</v>
      </c>
      <c r="F48" s="42">
        <v>0.65</v>
      </c>
      <c r="G48" s="67" t="str">
        <f t="shared" si="5"/>
        <v>  3.61 </v>
      </c>
      <c r="H48" s="41" t="str">
        <f t="shared" si="6"/>
        <v>  5.00 </v>
      </c>
      <c r="I48" s="43" t="str">
        <f t="shared" si="7"/>
        <v>  22.36 </v>
      </c>
    </row>
    <row r="49" ht="13.5" customHeight="1">
      <c r="A49" s="39"/>
      <c r="B49" s="40">
        <v>18.0</v>
      </c>
      <c r="C49" s="41">
        <v>7.2592592592592595</v>
      </c>
      <c r="D49" s="42">
        <v>2.88</v>
      </c>
      <c r="E49" s="42">
        <v>3.0</v>
      </c>
      <c r="F49" s="42">
        <v>0.65</v>
      </c>
      <c r="G49" s="67" t="str">
        <f t="shared" si="5"/>
        <v>  3.61 </v>
      </c>
      <c r="H49" s="41" t="str">
        <f t="shared" si="6"/>
        <v>  5.00 </v>
      </c>
      <c r="I49" s="43" t="str">
        <f t="shared" si="7"/>
        <v>  22.40 </v>
      </c>
    </row>
    <row r="50" ht="13.5" customHeight="1">
      <c r="A50" s="39"/>
      <c r="B50" s="40">
        <v>19.0</v>
      </c>
      <c r="C50" s="41">
        <v>7.298245614035087</v>
      </c>
      <c r="D50" s="42">
        <v>2.88</v>
      </c>
      <c r="E50" s="42">
        <v>3.0</v>
      </c>
      <c r="F50" s="42">
        <v>0.65</v>
      </c>
      <c r="G50" s="67" t="str">
        <f t="shared" si="5"/>
        <v>  3.61 </v>
      </c>
      <c r="H50" s="41" t="str">
        <f t="shared" si="6"/>
        <v>  5.00 </v>
      </c>
      <c r="I50" s="43" t="str">
        <f t="shared" si="7"/>
        <v>  22.44 </v>
      </c>
    </row>
    <row r="51" ht="13.5" customHeight="1">
      <c r="A51" s="44"/>
      <c r="B51" s="40">
        <v>20.0</v>
      </c>
      <c r="C51" s="41">
        <v>7.333333333333333</v>
      </c>
      <c r="D51" s="42">
        <v>2.88</v>
      </c>
      <c r="E51" s="42">
        <v>3.0</v>
      </c>
      <c r="F51" s="42">
        <v>0.65</v>
      </c>
      <c r="G51" s="67" t="str">
        <f t="shared" si="5"/>
        <v>  3.61 </v>
      </c>
      <c r="H51" s="41" t="str">
        <f t="shared" si="6"/>
        <v>  5.00 </v>
      </c>
      <c r="I51" s="43" t="str">
        <f t="shared" si="7"/>
        <v>  22.48 </v>
      </c>
    </row>
    <row r="52" ht="12.75" customHeight="1">
      <c r="A52" s="29"/>
    </row>
    <row r="53" ht="12.75" customHeight="1">
      <c r="A53" s="29"/>
    </row>
    <row r="54" ht="12.75" customHeight="1">
      <c r="A54" s="31"/>
    </row>
    <row r="55" ht="12.75" customHeight="1">
      <c r="A55" s="30"/>
      <c r="B55">
        <v>10.0</v>
      </c>
      <c r="C55">
        <v>15.0</v>
      </c>
      <c r="D55">
        <v>20.0</v>
      </c>
      <c r="E55">
        <v>25.0</v>
      </c>
      <c r="F55">
        <v>30.0</v>
      </c>
      <c r="G55">
        <v>35.0</v>
      </c>
      <c r="H55">
        <v>40.0</v>
      </c>
      <c r="I55">
        <v>45.0</v>
      </c>
    </row>
    <row r="56" ht="13.5" customHeight="1">
      <c r="A56" s="36"/>
      <c r="B56">
        <v>17.5</v>
      </c>
      <c r="C56">
        <v>15.7</v>
      </c>
      <c r="D56">
        <v>13.7</v>
      </c>
      <c r="E56">
        <v>11.82</v>
      </c>
      <c r="F56">
        <v>10.47</v>
      </c>
      <c r="G56">
        <v>9.97</v>
      </c>
      <c r="H56">
        <v>8.8</v>
      </c>
      <c r="I56">
        <v>8.0</v>
      </c>
    </row>
    <row r="57" ht="12.75" customHeight="1">
      <c r="A57" s="29"/>
      <c r="B57">
        <v>17.52</v>
      </c>
      <c r="C57">
        <v>15.75</v>
      </c>
      <c r="D57">
        <v>13.9</v>
      </c>
      <c r="E57">
        <v>12.6</v>
      </c>
      <c r="F57">
        <v>12.33</v>
      </c>
      <c r="G57">
        <v>10.72</v>
      </c>
      <c r="H57">
        <v>9.1</v>
      </c>
      <c r="I57">
        <v>8.48</v>
      </c>
    </row>
    <row r="58" ht="12.75" customHeight="1">
      <c r="A58" s="29"/>
      <c r="B58">
        <v>17.55</v>
      </c>
      <c r="C58">
        <v>15.95</v>
      </c>
      <c r="D58">
        <v>14.2</v>
      </c>
      <c r="E58">
        <v>12.9</v>
      </c>
      <c r="F58">
        <v>12.64</v>
      </c>
      <c r="G58">
        <v>11.11</v>
      </c>
      <c r="H58">
        <v>9.58</v>
      </c>
      <c r="I58">
        <v>9.03</v>
      </c>
    </row>
    <row r="59" ht="12.75" customHeight="1">
      <c r="A59" s="29"/>
      <c r="B59">
        <v>17.95</v>
      </c>
      <c r="C59">
        <v>16.7</v>
      </c>
      <c r="D59">
        <v>15.0</v>
      </c>
      <c r="E59">
        <v>13.7</v>
      </c>
      <c r="F59">
        <v>13.45</v>
      </c>
      <c r="G59">
        <v>12.0</v>
      </c>
      <c r="H59">
        <v>10.56</v>
      </c>
      <c r="I59">
        <v>9.34</v>
      </c>
    </row>
    <row r="60" ht="12.75" customHeight="1">
      <c r="A60" s="29"/>
      <c r="B60">
        <v>18.15</v>
      </c>
      <c r="C60">
        <v>16.95</v>
      </c>
      <c r="D60">
        <v>15.3</v>
      </c>
      <c r="E60">
        <v>14.03</v>
      </c>
      <c r="F60">
        <v>13.53</v>
      </c>
      <c r="G60">
        <v>12.4</v>
      </c>
      <c r="H60">
        <v>11.04</v>
      </c>
      <c r="I60">
        <v>10.06</v>
      </c>
    </row>
    <row r="61" ht="12.75" customHeight="1">
      <c r="A61" s="29"/>
      <c r="B61">
        <v>18.45</v>
      </c>
      <c r="C61">
        <v>17.2</v>
      </c>
      <c r="D61">
        <v>15.4</v>
      </c>
      <c r="E61">
        <v>14.1</v>
      </c>
      <c r="F61">
        <v>13.6</v>
      </c>
      <c r="G61">
        <v>12.6</v>
      </c>
      <c r="H61">
        <v>11.6</v>
      </c>
      <c r="I61">
        <v>10.6</v>
      </c>
    </row>
    <row r="62" ht="12.75" customHeight="1">
      <c r="A62" s="29"/>
      <c r="B62">
        <v>18.55</v>
      </c>
      <c r="C62">
        <v>17.3</v>
      </c>
      <c r="D62">
        <v>15.5</v>
      </c>
      <c r="E62">
        <v>14.11</v>
      </c>
      <c r="F62">
        <v>13.68</v>
      </c>
      <c r="G62">
        <v>12.68</v>
      </c>
      <c r="H62">
        <v>11.68</v>
      </c>
      <c r="I62">
        <v>10.68</v>
      </c>
    </row>
    <row r="63" ht="12.75" customHeight="1">
      <c r="A63" s="29"/>
      <c r="B63">
        <v>18.62</v>
      </c>
      <c r="C63">
        <v>17.32</v>
      </c>
      <c r="D63">
        <v>15.6</v>
      </c>
      <c r="E63">
        <v>14.12</v>
      </c>
      <c r="F63">
        <v>13.69</v>
      </c>
      <c r="G63">
        <v>12.69</v>
      </c>
      <c r="H63">
        <v>11.69</v>
      </c>
      <c r="I63">
        <v>10.69</v>
      </c>
    </row>
    <row r="64" ht="12.75" customHeight="1">
      <c r="A64" s="31"/>
      <c r="B64">
        <v>18.72</v>
      </c>
      <c r="C64">
        <v>17.42</v>
      </c>
      <c r="D64">
        <v>15.7</v>
      </c>
      <c r="E64">
        <v>14.13</v>
      </c>
      <c r="F64">
        <v>14.08</v>
      </c>
      <c r="G64">
        <v>13.08</v>
      </c>
      <c r="H64">
        <v>12.08</v>
      </c>
      <c r="I64">
        <v>11.08</v>
      </c>
    </row>
    <row r="65" ht="12.75" customHeight="1">
      <c r="A65" s="30"/>
      <c r="B65">
        <v>18.86</v>
      </c>
      <c r="C65">
        <v>17.56</v>
      </c>
      <c r="D65">
        <v>15.8</v>
      </c>
      <c r="E65">
        <v>14.14</v>
      </c>
      <c r="F65">
        <v>14.09</v>
      </c>
      <c r="G65">
        <v>13.09</v>
      </c>
      <c r="H65">
        <v>12.09</v>
      </c>
      <c r="I65">
        <v>11.09</v>
      </c>
    </row>
    <row r="66" ht="13.5" customHeight="1">
      <c r="A66" s="36"/>
      <c r="B66">
        <v>18.96</v>
      </c>
      <c r="C66">
        <v>17.66</v>
      </c>
      <c r="D66">
        <v>15.9</v>
      </c>
      <c r="E66">
        <v>14.49</v>
      </c>
      <c r="F66">
        <v>14.45</v>
      </c>
      <c r="G66">
        <v>13.61</v>
      </c>
      <c r="H66">
        <v>12.78</v>
      </c>
      <c r="I66">
        <v>11.87</v>
      </c>
    </row>
    <row r="67" ht="12.75" customHeight="1">
      <c r="A67" s="29"/>
      <c r="B67">
        <v>19.06</v>
      </c>
      <c r="C67">
        <v>17.76</v>
      </c>
      <c r="D67">
        <v>16.0</v>
      </c>
      <c r="E67">
        <v>14.67</v>
      </c>
      <c r="F67">
        <v>14.64</v>
      </c>
      <c r="G67">
        <v>13.89</v>
      </c>
      <c r="H67">
        <v>13.15</v>
      </c>
      <c r="I67">
        <v>12.28</v>
      </c>
    </row>
    <row r="68" ht="12.75" customHeight="1">
      <c r="A68" s="29"/>
      <c r="B68">
        <v>19.26</v>
      </c>
      <c r="C68">
        <v>17.96</v>
      </c>
      <c r="D68">
        <v>16.2</v>
      </c>
      <c r="E68">
        <v>14.86</v>
      </c>
      <c r="F68">
        <v>14.82</v>
      </c>
      <c r="G68">
        <v>14.17</v>
      </c>
      <c r="H68">
        <v>13.51</v>
      </c>
      <c r="I68">
        <v>12.68</v>
      </c>
    </row>
    <row r="69" ht="12.75" customHeight="1">
      <c r="A69" s="29"/>
      <c r="B69">
        <v>19.56</v>
      </c>
      <c r="C69">
        <v>18.3</v>
      </c>
      <c r="D69">
        <v>16.5</v>
      </c>
      <c r="E69">
        <v>15.46</v>
      </c>
      <c r="F69">
        <v>15.18</v>
      </c>
      <c r="G69">
        <v>14.61</v>
      </c>
      <c r="H69">
        <v>14.04</v>
      </c>
      <c r="I69">
        <v>13.26</v>
      </c>
    </row>
    <row r="70" ht="12.75" customHeight="1">
      <c r="A70" s="29"/>
      <c r="B70">
        <v>20.7</v>
      </c>
      <c r="C70">
        <v>19.3</v>
      </c>
      <c r="D70">
        <v>17.45</v>
      </c>
      <c r="E70">
        <v>16.24</v>
      </c>
      <c r="F70">
        <v>16.0</v>
      </c>
      <c r="G70">
        <v>15.52</v>
      </c>
      <c r="H70">
        <v>15.03</v>
      </c>
      <c r="I70">
        <v>14.29</v>
      </c>
    </row>
    <row r="71" ht="12.75" customHeight="1">
      <c r="A71" s="29"/>
      <c r="B71">
        <v>21.2</v>
      </c>
      <c r="C71">
        <v>20.0</v>
      </c>
      <c r="D71">
        <v>18.2</v>
      </c>
      <c r="E71">
        <v>16.91</v>
      </c>
      <c r="F71">
        <v>16.72</v>
      </c>
      <c r="G71">
        <v>16.32</v>
      </c>
      <c r="H71">
        <v>15.93</v>
      </c>
      <c r="I71">
        <v>15.23</v>
      </c>
    </row>
    <row r="72" ht="12.75" customHeight="1">
      <c r="A72" s="29"/>
      <c r="B72">
        <v>21.7</v>
      </c>
      <c r="C72">
        <v>20.5</v>
      </c>
      <c r="D72">
        <v>18.7</v>
      </c>
      <c r="E72">
        <v>17.4</v>
      </c>
      <c r="F72">
        <v>17.13</v>
      </c>
      <c r="G72">
        <v>16.82</v>
      </c>
      <c r="H72">
        <v>16.38</v>
      </c>
      <c r="I72">
        <v>16.17</v>
      </c>
    </row>
    <row r="73" ht="12.75" customHeight="1">
      <c r="A73" s="29"/>
      <c r="B73">
        <v>22.2</v>
      </c>
      <c r="C73">
        <v>20.9</v>
      </c>
      <c r="D73">
        <v>19.1</v>
      </c>
      <c r="E73">
        <v>17.8</v>
      </c>
      <c r="F73">
        <v>17.55</v>
      </c>
      <c r="G73">
        <v>17.22</v>
      </c>
      <c r="H73">
        <v>16.82</v>
      </c>
      <c r="I73">
        <v>16.51</v>
      </c>
    </row>
    <row r="74" ht="12.75" customHeight="1">
      <c r="A74" s="31"/>
      <c r="B74">
        <v>22.5</v>
      </c>
      <c r="C74">
        <v>21.3</v>
      </c>
      <c r="D74">
        <v>19.5</v>
      </c>
      <c r="E74">
        <v>18.2</v>
      </c>
      <c r="F74">
        <v>17.97</v>
      </c>
      <c r="G74">
        <v>17.44</v>
      </c>
      <c r="H74">
        <v>17.21</v>
      </c>
      <c r="I74">
        <v>16.94</v>
      </c>
    </row>
    <row r="75" ht="12.75" customHeight="1">
      <c r="A75" s="30"/>
      <c r="B75">
        <v>22.9</v>
      </c>
      <c r="C75">
        <v>21.8</v>
      </c>
      <c r="D75">
        <v>20.0</v>
      </c>
      <c r="E75">
        <v>18.6</v>
      </c>
      <c r="F75">
        <v>18.4</v>
      </c>
      <c r="G75">
        <v>17.85</v>
      </c>
      <c r="H75">
        <v>17.6</v>
      </c>
      <c r="I75">
        <v>17.18</v>
      </c>
    </row>
    <row r="76" ht="13.5" customHeight="1">
      <c r="A76" s="36"/>
    </row>
    <row r="77" ht="12.75" customHeight="1">
      <c r="A77" s="29"/>
    </row>
    <row r="78" ht="12.75" customHeight="1">
      <c r="A78" s="29"/>
    </row>
    <row r="79" ht="12.75" customHeight="1">
      <c r="A79" s="29"/>
    </row>
    <row r="80" ht="12.75" customHeight="1">
      <c r="A80" s="29"/>
    </row>
    <row r="81" ht="12.75" customHeight="1">
      <c r="A81" s="29"/>
    </row>
    <row r="82" ht="12.75" customHeight="1">
      <c r="A82" s="29"/>
    </row>
    <row r="83" ht="12.75" customHeight="1">
      <c r="A83" s="29"/>
    </row>
    <row r="84" ht="12.75" customHeight="1">
      <c r="A84" s="31"/>
    </row>
    <row r="85" ht="12.75" customHeight="1">
      <c r="A85" s="30"/>
    </row>
    <row r="86" ht="13.5" customHeight="1">
      <c r="A86" s="36"/>
    </row>
    <row r="87" ht="12.75" customHeight="1">
      <c r="A87" s="29"/>
    </row>
    <row r="88" ht="12.75" customHeight="1">
      <c r="A88" s="29"/>
    </row>
    <row r="89" ht="12.75" customHeight="1">
      <c r="A89" s="29"/>
    </row>
    <row r="90" ht="12.75" customHeight="1">
      <c r="A90" s="29"/>
    </row>
    <row r="91" ht="12.75" customHeight="1">
      <c r="A91" s="29"/>
    </row>
    <row r="92" ht="12.75" customHeight="1">
      <c r="A92" s="29"/>
    </row>
    <row r="93" ht="12.75" customHeight="1">
      <c r="A93" s="29"/>
    </row>
    <row r="94" ht="12.75" customHeight="1">
      <c r="A94" s="31"/>
    </row>
    <row r="95" ht="12.75" customHeight="1">
      <c r="A95" s="30"/>
    </row>
    <row r="96" ht="13.5" customHeight="1">
      <c r="A96" s="36"/>
    </row>
    <row r="97" ht="12.75" customHeight="1">
      <c r="A97" s="29"/>
    </row>
    <row r="98" ht="12.75" customHeight="1">
      <c r="A98" s="29"/>
    </row>
    <row r="99" ht="12.75" customHeight="1">
      <c r="A99" s="29"/>
    </row>
    <row r="100" ht="12.75" customHeight="1">
      <c r="A100" s="29"/>
    </row>
    <row r="101" ht="12.75" customHeight="1">
      <c r="A101" s="29"/>
    </row>
    <row r="102" ht="12.75" customHeight="1">
      <c r="A102" s="29"/>
    </row>
    <row r="103" ht="12.75" customHeight="1">
      <c r="A103" s="29"/>
    </row>
    <row r="104" ht="12.75" customHeight="1">
      <c r="A104" s="31"/>
    </row>
    <row r="105" ht="12.75" customHeight="1">
      <c r="A105" s="30"/>
    </row>
    <row r="106" ht="13.5" customHeight="1">
      <c r="A106" s="36"/>
    </row>
    <row r="107" ht="12.75" customHeight="1">
      <c r="A107" s="29"/>
    </row>
    <row r="108" ht="12.75" customHeight="1">
      <c r="A108" s="29"/>
    </row>
    <row r="109" ht="12.75" customHeight="1">
      <c r="A109" s="29"/>
    </row>
    <row r="110" ht="12.75" customHeight="1">
      <c r="A110" s="29"/>
    </row>
    <row r="111" ht="12.75" customHeight="1">
      <c r="A111" s="29"/>
    </row>
    <row r="112" ht="12.75" customHeight="1">
      <c r="A112" s="29"/>
    </row>
    <row r="113" ht="12.75" customHeight="1">
      <c r="A113" s="29"/>
    </row>
    <row r="114" ht="12.75" customHeight="1">
      <c r="A114" s="31"/>
    </row>
    <row r="115" ht="12.75" customHeight="1">
      <c r="A115" s="30"/>
    </row>
    <row r="116" ht="13.5" customHeight="1">
      <c r="A116" s="36"/>
    </row>
    <row r="117" ht="12.75" customHeight="1">
      <c r="A117" s="29"/>
    </row>
    <row r="118" ht="12.75" customHeight="1">
      <c r="A118" s="29"/>
    </row>
    <row r="119" ht="12.75" customHeight="1">
      <c r="A119" s="29"/>
    </row>
    <row r="120" ht="12.75" customHeight="1">
      <c r="A120" s="29"/>
    </row>
    <row r="121" ht="12.75" customHeight="1">
      <c r="A121" s="29"/>
    </row>
    <row r="122" ht="12.75" customHeight="1">
      <c r="A122" s="29"/>
    </row>
    <row r="123" ht="12.75" customHeight="1">
      <c r="A123" s="29"/>
    </row>
    <row r="124" ht="12.75" customHeight="1">
      <c r="A124" s="31"/>
    </row>
    <row r="125" ht="12.75" customHeight="1">
      <c r="A125" s="30"/>
    </row>
    <row r="126" ht="13.5" customHeight="1">
      <c r="A126" s="36"/>
    </row>
    <row r="127" ht="12.75" customHeight="1">
      <c r="A127" s="29"/>
    </row>
    <row r="128" ht="12.75" customHeight="1">
      <c r="A128" s="29"/>
    </row>
    <row r="129" ht="12.75" customHeight="1">
      <c r="A129" s="29"/>
    </row>
    <row r="130" ht="12.75" customHeight="1">
      <c r="A130" s="29"/>
    </row>
    <row r="131" ht="12.75" customHeight="1">
      <c r="A131" s="29"/>
    </row>
    <row r="132" ht="12.75" customHeight="1">
      <c r="A132" s="29"/>
    </row>
    <row r="133" ht="12.75" customHeight="1">
      <c r="A133" s="29"/>
    </row>
    <row r="134" ht="12.75" customHeight="1">
      <c r="A134" s="31"/>
    </row>
    <row r="135" ht="12.75" customHeight="1">
      <c r="A135" s="30"/>
    </row>
    <row r="136" ht="13.5" customHeight="1">
      <c r="A136" s="36"/>
    </row>
    <row r="137" ht="12.75" customHeight="1">
      <c r="A137" s="29"/>
    </row>
    <row r="138" ht="12.75" customHeight="1">
      <c r="A138" s="29"/>
    </row>
    <row r="139" ht="12.75" customHeight="1">
      <c r="A139" s="29"/>
    </row>
    <row r="140" ht="12.75" customHeight="1">
      <c r="A140" s="29"/>
    </row>
    <row r="141" ht="12.75" customHeight="1">
      <c r="A141" s="29"/>
    </row>
    <row r="142" ht="12.75" customHeight="1">
      <c r="A142" s="29"/>
    </row>
    <row r="143" ht="12.75" customHeight="1">
      <c r="A143" s="29"/>
    </row>
    <row r="144" ht="12.75" customHeight="1">
      <c r="A144" s="31"/>
    </row>
    <row r="145" ht="12.75" customHeight="1">
      <c r="A145" s="30"/>
    </row>
  </sheetData>
  <mergeCells count="5">
    <mergeCell ref="A3:A23"/>
    <mergeCell ref="C26:H26"/>
    <mergeCell ref="A31:A51"/>
    <mergeCell ref="A1:I1"/>
    <mergeCell ref="A2:E2"/>
  </mergeCells>
  <conditionalFormatting sqref="H4:H23">
    <cfRule type="cellIs" dxfId="0" priority="1" operator="greaterThanOrEqual">
      <formula>0</formula>
    </cfRule>
  </conditionalFormatting>
  <conditionalFormatting sqref="H4:H23">
    <cfRule type="cellIs" dxfId="1" priority="2" operator="lessThan">
      <formula>0</formula>
    </cfRule>
  </conditionalFormatting>
  <conditionalFormatting sqref="I4:I23">
    <cfRule type="cellIs" dxfId="0" priority="3" operator="greaterThanOrEqual">
      <formula>0</formula>
    </cfRule>
  </conditionalFormatting>
  <conditionalFormatting sqref="I4:I23">
    <cfRule type="cellIs" dxfId="1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3.13"/>
    <col customWidth="1" min="3" max="3" width="14.0"/>
    <col customWidth="1" min="4" max="4" width="9.5"/>
    <col customWidth="1" min="5" max="5" width="11.63"/>
    <col customWidth="1" min="6" max="6" width="2.13"/>
    <col customWidth="1" min="7" max="7" width="18.88"/>
    <col customWidth="1" min="8" max="8" width="14.13"/>
    <col customWidth="1" min="9" max="9" width="15.38"/>
    <col customWidth="1" min="10" max="10" width="12.63"/>
    <col customWidth="1" min="11" max="11" width="13.5"/>
    <col customWidth="1" min="12" max="12" width="11.5"/>
    <col customWidth="1" min="13" max="14" width="8.0"/>
  </cols>
  <sheetData>
    <row r="1" ht="18.0" customHeight="1">
      <c r="A1" s="114" t="s">
        <v>23</v>
      </c>
      <c r="B1" s="115"/>
      <c r="C1" s="115"/>
      <c r="D1" s="115"/>
      <c r="E1" s="115"/>
      <c r="F1" s="115"/>
      <c r="G1" s="115"/>
      <c r="H1" s="115"/>
      <c r="I1" s="116"/>
      <c r="J1" s="117"/>
      <c r="K1" s="117"/>
      <c r="L1" s="117"/>
      <c r="M1" s="117"/>
      <c r="N1" s="118"/>
    </row>
    <row r="2" ht="69.0" customHeight="1">
      <c r="A2" s="114" t="s">
        <v>44</v>
      </c>
      <c r="B2" s="115"/>
      <c r="C2" s="115"/>
      <c r="D2" s="115"/>
      <c r="E2" s="116"/>
      <c r="F2" s="119"/>
      <c r="G2" s="120" t="s">
        <v>46</v>
      </c>
      <c r="H2" s="121" t="s">
        <v>45</v>
      </c>
      <c r="I2" s="122" t="str">
        <f>B26</f>
        <v>  28.00 </v>
      </c>
    </row>
    <row r="3" ht="104.25" customHeight="1">
      <c r="A3" s="123" t="s">
        <v>3</v>
      </c>
      <c r="B3" s="124" t="s">
        <v>4</v>
      </c>
      <c r="C3" s="124" t="s">
        <v>40</v>
      </c>
      <c r="D3" s="124" t="s">
        <v>26</v>
      </c>
      <c r="E3" s="124" t="s">
        <v>41</v>
      </c>
      <c r="F3" s="125"/>
      <c r="G3" s="124" t="s">
        <v>11</v>
      </c>
      <c r="H3" s="124" t="s">
        <v>12</v>
      </c>
      <c r="I3" s="124" t="s">
        <v>13</v>
      </c>
      <c r="M3" s="94"/>
    </row>
    <row r="4" ht="18.0" customHeight="1">
      <c r="A4" s="39"/>
      <c r="B4" s="95">
        <v>1.0</v>
      </c>
      <c r="C4" s="97">
        <v>14.93</v>
      </c>
      <c r="D4" s="97">
        <v>2.0</v>
      </c>
      <c r="E4" s="97" t="str">
        <f t="shared" ref="E4:E23" si="1">C4+D4</f>
        <v>  16.93 </v>
      </c>
      <c r="F4" s="125"/>
      <c r="G4" s="126" t="str">
        <f t="shared" ref="G4:G23" si="2">I32</f>
        <v>  20.11 </v>
      </c>
      <c r="H4" s="100" t="str">
        <f t="shared" ref="H4:H23" si="3">G4-E4</f>
        <v>  3.18 </v>
      </c>
      <c r="I4" s="127" t="str">
        <f t="shared" ref="I4:I23" si="4">H4/G4</f>
        <v>15.83%</v>
      </c>
      <c r="M4" s="102"/>
    </row>
    <row r="5" ht="17.25" customHeight="1">
      <c r="A5" s="39"/>
      <c r="B5" s="95">
        <v>2.0</v>
      </c>
      <c r="C5" s="97">
        <v>14.93</v>
      </c>
      <c r="D5" s="97">
        <v>2.79</v>
      </c>
      <c r="E5" s="97" t="str">
        <f t="shared" si="1"/>
        <v>  17.72 </v>
      </c>
      <c r="F5" s="125"/>
      <c r="G5" s="126" t="str">
        <f t="shared" si="2"/>
        <v>  20.11 </v>
      </c>
      <c r="H5" s="100" t="str">
        <f t="shared" si="3"/>
        <v>  2.39 </v>
      </c>
      <c r="I5" s="127" t="str">
        <f t="shared" si="4"/>
        <v>11.90%</v>
      </c>
    </row>
    <row r="6" ht="17.25" customHeight="1">
      <c r="A6" s="39"/>
      <c r="B6" s="95">
        <v>3.0</v>
      </c>
      <c r="C6" s="97">
        <v>14.93</v>
      </c>
      <c r="D6" s="97">
        <v>3.5</v>
      </c>
      <c r="E6" s="97" t="str">
        <f t="shared" si="1"/>
        <v>  18.43 </v>
      </c>
      <c r="F6" s="125"/>
      <c r="G6" s="126" t="str">
        <f t="shared" si="2"/>
        <v>  20.11 </v>
      </c>
      <c r="H6" s="100" t="str">
        <f t="shared" si="3"/>
        <v>  1.68 </v>
      </c>
      <c r="I6" s="127" t="str">
        <f t="shared" si="4"/>
        <v>8.37%</v>
      </c>
    </row>
    <row r="7" ht="17.25" customHeight="1">
      <c r="A7" s="39"/>
      <c r="B7" s="95">
        <v>4.0</v>
      </c>
      <c r="C7" s="97">
        <v>14.93</v>
      </c>
      <c r="D7" s="97">
        <v>3.84</v>
      </c>
      <c r="E7" s="97" t="str">
        <f t="shared" si="1"/>
        <v>  18.77 </v>
      </c>
      <c r="F7" s="125"/>
      <c r="G7" s="126" t="str">
        <f t="shared" si="2"/>
        <v>  20.11 </v>
      </c>
      <c r="H7" s="100" t="str">
        <f t="shared" si="3"/>
        <v>  1.34 </v>
      </c>
      <c r="I7" s="127" t="str">
        <f t="shared" si="4"/>
        <v>6.68%</v>
      </c>
    </row>
    <row r="8" ht="17.25" customHeight="1">
      <c r="A8" s="39"/>
      <c r="B8" s="95">
        <v>5.0</v>
      </c>
      <c r="C8" s="97">
        <v>15.17</v>
      </c>
      <c r="D8" s="97">
        <v>3.87</v>
      </c>
      <c r="E8" s="97" t="str">
        <f t="shared" si="1"/>
        <v>  19.04 </v>
      </c>
      <c r="F8" s="125"/>
      <c r="G8" s="126" t="str">
        <f t="shared" si="2"/>
        <v>  20.65 </v>
      </c>
      <c r="H8" s="100" t="str">
        <f t="shared" si="3"/>
        <v>  1.61 </v>
      </c>
      <c r="I8" s="127" t="str">
        <f t="shared" si="4"/>
        <v>7.78%</v>
      </c>
    </row>
    <row r="9" ht="17.25" customHeight="1">
      <c r="A9" s="39"/>
      <c r="B9" s="95">
        <v>6.0</v>
      </c>
      <c r="C9" s="97">
        <v>15.709999999999999</v>
      </c>
      <c r="D9" s="97">
        <v>4.23</v>
      </c>
      <c r="E9" s="97" t="str">
        <f t="shared" si="1"/>
        <v>  19.94 </v>
      </c>
      <c r="F9" s="125"/>
      <c r="G9" s="126" t="str">
        <f t="shared" si="2"/>
        <v>  21.09 </v>
      </c>
      <c r="H9" s="100" t="str">
        <f t="shared" si="3"/>
        <v>  1.15 </v>
      </c>
      <c r="I9" s="127" t="str">
        <f t="shared" si="4"/>
        <v>5.46%</v>
      </c>
    </row>
    <row r="10" ht="17.25" customHeight="1">
      <c r="A10" s="39"/>
      <c r="B10" s="95">
        <v>7.0</v>
      </c>
      <c r="C10" s="97">
        <v>16.08</v>
      </c>
      <c r="D10" s="97">
        <v>4.26</v>
      </c>
      <c r="E10" s="97" t="str">
        <f t="shared" si="1"/>
        <v>  20.34 </v>
      </c>
      <c r="F10" s="125"/>
      <c r="G10" s="126" t="str">
        <f t="shared" si="2"/>
        <v>  21.41 </v>
      </c>
      <c r="H10" s="100" t="str">
        <f t="shared" si="3"/>
        <v>  1.07 </v>
      </c>
      <c r="I10" s="127" t="str">
        <f t="shared" si="4"/>
        <v>4.99%</v>
      </c>
    </row>
    <row r="11" ht="17.25" customHeight="1">
      <c r="A11" s="39"/>
      <c r="B11" s="95">
        <v>8.0</v>
      </c>
      <c r="C11" s="97">
        <v>16.35</v>
      </c>
      <c r="D11" s="97">
        <v>4.31</v>
      </c>
      <c r="E11" s="97" t="str">
        <f t="shared" si="1"/>
        <v>  20.66 </v>
      </c>
      <c r="F11" s="125"/>
      <c r="G11" s="126" t="str">
        <f t="shared" si="2"/>
        <v>  21.65 </v>
      </c>
      <c r="H11" s="100" t="str">
        <f t="shared" si="3"/>
        <v>  0.99 </v>
      </c>
      <c r="I11" s="127" t="str">
        <f t="shared" si="4"/>
        <v>4.56%</v>
      </c>
    </row>
    <row r="12" ht="17.25" customHeight="1">
      <c r="A12" s="39"/>
      <c r="B12" s="95">
        <v>9.0</v>
      </c>
      <c r="C12" s="97">
        <v>16.56</v>
      </c>
      <c r="D12" s="97">
        <v>4.61</v>
      </c>
      <c r="E12" s="97" t="str">
        <f t="shared" si="1"/>
        <v>  21.17 </v>
      </c>
      <c r="F12" s="125"/>
      <c r="G12" s="126" t="str">
        <f t="shared" si="2"/>
        <v>  21.83 </v>
      </c>
      <c r="H12" s="100" t="str">
        <f t="shared" si="3"/>
        <v>  0.66 </v>
      </c>
      <c r="I12" s="127" t="str">
        <f t="shared" si="4"/>
        <v>3.03%</v>
      </c>
    </row>
    <row r="13" ht="17.25" customHeight="1">
      <c r="A13" s="39"/>
      <c r="B13" s="95">
        <v>10.0</v>
      </c>
      <c r="C13" s="97">
        <v>16.73</v>
      </c>
      <c r="D13" s="97">
        <v>4.65</v>
      </c>
      <c r="E13" s="97" t="str">
        <f t="shared" si="1"/>
        <v>  21.38 </v>
      </c>
      <c r="F13" s="125"/>
      <c r="G13" s="126" t="str">
        <f t="shared" si="2"/>
        <v>  21.98 </v>
      </c>
      <c r="H13" s="100" t="str">
        <f t="shared" si="3"/>
        <v>  0.60 </v>
      </c>
      <c r="I13" s="127" t="str">
        <f t="shared" si="4"/>
        <v>2.73%</v>
      </c>
    </row>
    <row r="14" ht="17.25" customHeight="1">
      <c r="A14" s="39"/>
      <c r="B14" s="95">
        <v>11.0</v>
      </c>
      <c r="C14" s="97">
        <v>16.86</v>
      </c>
      <c r="D14" s="97">
        <v>5.0</v>
      </c>
      <c r="E14" s="97" t="str">
        <f t="shared" si="1"/>
        <v>  21.86 </v>
      </c>
      <c r="F14" s="125"/>
      <c r="G14" s="126" t="str">
        <f t="shared" si="2"/>
        <v>  22.10 </v>
      </c>
      <c r="H14" s="100" t="str">
        <f t="shared" si="3"/>
        <v>  0.24 </v>
      </c>
      <c r="I14" s="127" t="str">
        <f t="shared" si="4"/>
        <v>1.09%</v>
      </c>
    </row>
    <row r="15" ht="17.25" customHeight="1">
      <c r="A15" s="39"/>
      <c r="B15" s="95">
        <v>12.0</v>
      </c>
      <c r="C15" s="97">
        <v>16.97</v>
      </c>
      <c r="D15" s="97">
        <v>5.0</v>
      </c>
      <c r="E15" s="97" t="str">
        <f t="shared" si="1"/>
        <v>  21.97 </v>
      </c>
      <c r="F15" s="125"/>
      <c r="G15" s="126" t="str">
        <f t="shared" si="2"/>
        <v>  22.20 </v>
      </c>
      <c r="H15" s="100" t="str">
        <f t="shared" si="3"/>
        <v>  0.23 </v>
      </c>
      <c r="I15" s="127" t="str">
        <f t="shared" si="4"/>
        <v>1.05%</v>
      </c>
    </row>
    <row r="16" ht="17.25" customHeight="1">
      <c r="A16" s="39"/>
      <c r="B16" s="95">
        <v>13.0</v>
      </c>
      <c r="C16" s="97">
        <v>17.06</v>
      </c>
      <c r="D16" s="97">
        <v>5.0</v>
      </c>
      <c r="E16" s="97" t="str">
        <f t="shared" si="1"/>
        <v>  22.06 </v>
      </c>
      <c r="F16" s="125"/>
      <c r="G16" s="126" t="str">
        <f t="shared" si="2"/>
        <v>  22.29 </v>
      </c>
      <c r="H16" s="100" t="str">
        <f t="shared" si="3"/>
        <v>  0.23 </v>
      </c>
      <c r="I16" s="127" t="str">
        <f t="shared" si="4"/>
        <v>1.02%</v>
      </c>
    </row>
    <row r="17" ht="17.25" customHeight="1">
      <c r="A17" s="39"/>
      <c r="B17" s="95">
        <v>14.0</v>
      </c>
      <c r="C17" s="97">
        <v>17.14</v>
      </c>
      <c r="D17" s="97">
        <v>5.0</v>
      </c>
      <c r="E17" s="97" t="str">
        <f t="shared" si="1"/>
        <v>  22.14 </v>
      </c>
      <c r="F17" s="125"/>
      <c r="G17" s="126" t="str">
        <f t="shared" si="2"/>
        <v>  22.36 </v>
      </c>
      <c r="H17" s="100" t="str">
        <f t="shared" si="3"/>
        <v>  0.22 </v>
      </c>
      <c r="I17" s="127" t="str">
        <f t="shared" si="4"/>
        <v>0.99%</v>
      </c>
    </row>
    <row r="18" ht="17.25" customHeight="1">
      <c r="A18" s="39"/>
      <c r="B18" s="95">
        <v>15.0</v>
      </c>
      <c r="C18" s="97">
        <v>17.21</v>
      </c>
      <c r="D18" s="97">
        <v>5.0</v>
      </c>
      <c r="E18" s="97" t="str">
        <f t="shared" si="1"/>
        <v>  22.21 </v>
      </c>
      <c r="F18" s="125"/>
      <c r="G18" s="126" t="str">
        <f t="shared" si="2"/>
        <v>  22.43 </v>
      </c>
      <c r="H18" s="100" t="str">
        <f t="shared" si="3"/>
        <v>  0.22 </v>
      </c>
      <c r="I18" s="127" t="str">
        <f t="shared" si="4"/>
        <v>0.96%</v>
      </c>
    </row>
    <row r="19" ht="17.25" customHeight="1">
      <c r="A19" s="39"/>
      <c r="B19" s="95">
        <v>16.0</v>
      </c>
      <c r="C19" s="97">
        <v>17.21</v>
      </c>
      <c r="D19" s="97">
        <v>5.0</v>
      </c>
      <c r="E19" s="97" t="str">
        <f t="shared" si="1"/>
        <v>  22.21 </v>
      </c>
      <c r="F19" s="125"/>
      <c r="G19" s="126" t="str">
        <f t="shared" si="2"/>
        <v>  22.48 </v>
      </c>
      <c r="H19" s="100" t="str">
        <f t="shared" si="3"/>
        <v>  0.27 </v>
      </c>
      <c r="I19" s="127" t="str">
        <f t="shared" si="4"/>
        <v>1.20%</v>
      </c>
    </row>
    <row r="20" ht="17.25" customHeight="1">
      <c r="A20" s="39"/>
      <c r="B20" s="95">
        <v>17.0</v>
      </c>
      <c r="C20" s="97">
        <v>17.32</v>
      </c>
      <c r="D20" s="97">
        <v>5.0</v>
      </c>
      <c r="E20" s="97" t="str">
        <f t="shared" si="1"/>
        <v>  22.32 </v>
      </c>
      <c r="F20" s="125"/>
      <c r="G20" s="126" t="str">
        <f t="shared" si="2"/>
        <v>  22.53 </v>
      </c>
      <c r="H20" s="100" t="str">
        <f t="shared" si="3"/>
        <v>  0.21 </v>
      </c>
      <c r="I20" s="127" t="str">
        <f t="shared" si="4"/>
        <v>0.93%</v>
      </c>
    </row>
    <row r="21" ht="17.25" customHeight="1">
      <c r="A21" s="39"/>
      <c r="B21" s="95">
        <v>18.0</v>
      </c>
      <c r="C21" s="97">
        <v>17.37</v>
      </c>
      <c r="D21" s="97">
        <v>5.0</v>
      </c>
      <c r="E21" s="97" t="str">
        <f t="shared" si="1"/>
        <v>  22.37 </v>
      </c>
      <c r="F21" s="125"/>
      <c r="G21" s="126" t="str">
        <f t="shared" si="2"/>
        <v>  22.57 </v>
      </c>
      <c r="H21" s="100" t="str">
        <f t="shared" si="3"/>
        <v>  0.20 </v>
      </c>
      <c r="I21" s="127" t="str">
        <f t="shared" si="4"/>
        <v>0.90%</v>
      </c>
    </row>
    <row r="22" ht="17.25" customHeight="1">
      <c r="A22" s="39"/>
      <c r="B22" s="95">
        <v>19.0</v>
      </c>
      <c r="C22" s="97">
        <v>17.41</v>
      </c>
      <c r="D22" s="97">
        <v>5.0</v>
      </c>
      <c r="E22" s="97" t="str">
        <f t="shared" si="1"/>
        <v>  22.41 </v>
      </c>
      <c r="F22" s="125"/>
      <c r="G22" s="126" t="str">
        <f t="shared" si="2"/>
        <v>  22.61 </v>
      </c>
      <c r="H22" s="100" t="str">
        <f t="shared" si="3"/>
        <v>  0.20 </v>
      </c>
      <c r="I22" s="127" t="str">
        <f t="shared" si="4"/>
        <v>0.89%</v>
      </c>
    </row>
    <row r="23" ht="17.25" customHeight="1">
      <c r="A23" s="44"/>
      <c r="B23" s="95">
        <v>20.0</v>
      </c>
      <c r="C23" s="97">
        <v>17.45</v>
      </c>
      <c r="D23" s="97">
        <v>5.0</v>
      </c>
      <c r="E23" s="97" t="str">
        <f t="shared" si="1"/>
        <v>  22.45 </v>
      </c>
      <c r="F23" s="125"/>
      <c r="G23" s="126" t="str">
        <f t="shared" si="2"/>
        <v>  22.65 </v>
      </c>
      <c r="H23" s="100" t="str">
        <f t="shared" si="3"/>
        <v>  0.20 </v>
      </c>
      <c r="I23" s="127" t="str">
        <f t="shared" si="4"/>
        <v>0.87%</v>
      </c>
    </row>
    <row r="24" ht="12.75" customHeight="1">
      <c r="A24" s="29"/>
    </row>
    <row r="25" ht="13.5" customHeight="1">
      <c r="A25" s="30"/>
      <c r="B25" s="29"/>
    </row>
    <row r="26" ht="32.25" customHeight="1">
      <c r="A26" s="31" t="s">
        <v>14</v>
      </c>
      <c r="B26" s="110">
        <v>28.0</v>
      </c>
      <c r="C26" s="111" t="s">
        <v>42</v>
      </c>
      <c r="D26" s="5"/>
      <c r="E26" s="5"/>
      <c r="F26" s="5"/>
      <c r="G26" s="5"/>
      <c r="H26" s="6"/>
      <c r="I26" s="112"/>
      <c r="J26" s="112"/>
      <c r="K26" s="112"/>
      <c r="L26" s="112"/>
    </row>
    <row r="27" ht="51.75" customHeight="1">
      <c r="A27" s="31" t="s">
        <v>43</v>
      </c>
      <c r="B27" s="32">
        <v>0.278</v>
      </c>
    </row>
    <row r="28" ht="47.25" customHeight="1">
      <c r="A28" s="31" t="s">
        <v>28</v>
      </c>
      <c r="B28" s="113">
        <v>0.01</v>
      </c>
      <c r="C28" s="33" t="s">
        <v>29</v>
      </c>
      <c r="D28" s="33"/>
      <c r="E28" s="33"/>
      <c r="F28" s="33"/>
      <c r="G28" s="33"/>
      <c r="H28" s="33"/>
    </row>
    <row r="29" ht="12.75" customHeight="1">
      <c r="A29" s="29"/>
      <c r="C29" s="29"/>
    </row>
    <row r="30" ht="12.75" customHeight="1">
      <c r="A30" s="29"/>
      <c r="C30" s="29"/>
    </row>
    <row r="31" ht="118.5" customHeight="1">
      <c r="A31" s="37" t="s">
        <v>11</v>
      </c>
      <c r="B31" s="38" t="s">
        <v>4</v>
      </c>
      <c r="C31" s="38" t="s">
        <v>5</v>
      </c>
      <c r="D31" s="38" t="s">
        <v>6</v>
      </c>
      <c r="E31" s="38" t="s">
        <v>7</v>
      </c>
      <c r="F31" s="38" t="s">
        <v>8</v>
      </c>
      <c r="G31" s="38" t="s">
        <v>9</v>
      </c>
      <c r="H31" s="38" t="s">
        <v>26</v>
      </c>
      <c r="I31" s="38" t="s">
        <v>17</v>
      </c>
    </row>
    <row r="32" ht="13.5" customHeight="1">
      <c r="A32" s="39"/>
      <c r="B32" s="40">
        <v>1.0</v>
      </c>
      <c r="C32" s="41">
        <v>4.8</v>
      </c>
      <c r="D32" s="42">
        <v>2.88</v>
      </c>
      <c r="E32" s="42">
        <v>3.0</v>
      </c>
      <c r="F32" s="42">
        <v>0.65</v>
      </c>
      <c r="G32" s="67" t="str">
        <f t="shared" ref="G32:G51" si="5">$B$26*$B$27</f>
        <v>  7.78 </v>
      </c>
      <c r="H32" s="41" t="str">
        <f t="shared" ref="H32:H51" si="6">$B$28*100</f>
        <v>  1.00 </v>
      </c>
      <c r="I32" s="43" t="str">
        <f t="shared" ref="I32:I51" si="7">SUM(C32:H32)</f>
        <v>  20.11 </v>
      </c>
    </row>
    <row r="33" ht="13.5" customHeight="1">
      <c r="A33" s="39"/>
      <c r="B33" s="40">
        <v>2.0</v>
      </c>
      <c r="C33" s="41">
        <v>4.8</v>
      </c>
      <c r="D33" s="42">
        <v>2.88</v>
      </c>
      <c r="E33" s="42">
        <v>3.0</v>
      </c>
      <c r="F33" s="42">
        <v>0.65</v>
      </c>
      <c r="G33" s="67" t="str">
        <f t="shared" si="5"/>
        <v>  7.78 </v>
      </c>
      <c r="H33" s="41" t="str">
        <f t="shared" si="6"/>
        <v>  1.00 </v>
      </c>
      <c r="I33" s="43" t="str">
        <f t="shared" si="7"/>
        <v>  20.11 </v>
      </c>
    </row>
    <row r="34" ht="13.5" customHeight="1">
      <c r="A34" s="39"/>
      <c r="B34" s="40">
        <v>3.0</v>
      </c>
      <c r="C34" s="41">
        <v>4.8</v>
      </c>
      <c r="D34" s="42">
        <v>2.88</v>
      </c>
      <c r="E34" s="42">
        <v>3.0</v>
      </c>
      <c r="F34" s="42">
        <v>0.65</v>
      </c>
      <c r="G34" s="67" t="str">
        <f t="shared" si="5"/>
        <v>  7.78 </v>
      </c>
      <c r="H34" s="41" t="str">
        <f t="shared" si="6"/>
        <v>  1.00 </v>
      </c>
      <c r="I34" s="43" t="str">
        <f t="shared" si="7"/>
        <v>  20.11 </v>
      </c>
    </row>
    <row r="35" ht="13.5" customHeight="1">
      <c r="A35" s="39"/>
      <c r="B35" s="40">
        <v>4.0</v>
      </c>
      <c r="C35" s="41">
        <v>4.8</v>
      </c>
      <c r="D35" s="42">
        <v>2.88</v>
      </c>
      <c r="E35" s="42">
        <v>3.0</v>
      </c>
      <c r="F35" s="42">
        <v>0.65</v>
      </c>
      <c r="G35" s="67" t="str">
        <f t="shared" si="5"/>
        <v>  7.78 </v>
      </c>
      <c r="H35" s="41" t="str">
        <f t="shared" si="6"/>
        <v>  1.00 </v>
      </c>
      <c r="I35" s="43" t="str">
        <f t="shared" si="7"/>
        <v>  20.11 </v>
      </c>
    </row>
    <row r="36" ht="13.5" customHeight="1">
      <c r="A36" s="39"/>
      <c r="B36" s="40">
        <v>5.0</v>
      </c>
      <c r="C36" s="41">
        <v>5.333333333333334</v>
      </c>
      <c r="D36" s="42">
        <v>2.88</v>
      </c>
      <c r="E36" s="42">
        <v>3.0</v>
      </c>
      <c r="F36" s="42">
        <v>0.65</v>
      </c>
      <c r="G36" s="67" t="str">
        <f t="shared" si="5"/>
        <v>  7.78 </v>
      </c>
      <c r="H36" s="41" t="str">
        <f t="shared" si="6"/>
        <v>  1.00 </v>
      </c>
      <c r="I36" s="43" t="str">
        <f t="shared" si="7"/>
        <v>  20.65 </v>
      </c>
    </row>
    <row r="37" ht="13.5" customHeight="1">
      <c r="A37" s="39"/>
      <c r="B37" s="40">
        <v>6.0</v>
      </c>
      <c r="C37" s="41">
        <v>5.777777777777778</v>
      </c>
      <c r="D37" s="42">
        <v>2.88</v>
      </c>
      <c r="E37" s="42">
        <v>3.0</v>
      </c>
      <c r="F37" s="42">
        <v>0.65</v>
      </c>
      <c r="G37" s="67" t="str">
        <f t="shared" si="5"/>
        <v>  7.78 </v>
      </c>
      <c r="H37" s="41" t="str">
        <f t="shared" si="6"/>
        <v>  1.00 </v>
      </c>
      <c r="I37" s="43" t="str">
        <f t="shared" si="7"/>
        <v>  21.09 </v>
      </c>
    </row>
    <row r="38" ht="13.5" customHeight="1">
      <c r="A38" s="39"/>
      <c r="B38" s="40">
        <v>7.0</v>
      </c>
      <c r="C38" s="41">
        <v>6.095238095238095</v>
      </c>
      <c r="D38" s="42">
        <v>2.88</v>
      </c>
      <c r="E38" s="42">
        <v>3.0</v>
      </c>
      <c r="F38" s="42">
        <v>0.65</v>
      </c>
      <c r="G38" s="67" t="str">
        <f t="shared" si="5"/>
        <v>  7.78 </v>
      </c>
      <c r="H38" s="41" t="str">
        <f t="shared" si="6"/>
        <v>  1.00 </v>
      </c>
      <c r="I38" s="43" t="str">
        <f t="shared" si="7"/>
        <v>  21.41 </v>
      </c>
    </row>
    <row r="39" ht="13.5" customHeight="1">
      <c r="A39" s="39"/>
      <c r="B39" s="40">
        <v>8.0</v>
      </c>
      <c r="C39" s="41">
        <v>6.333333333333334</v>
      </c>
      <c r="D39" s="42">
        <v>2.88</v>
      </c>
      <c r="E39" s="42">
        <v>3.0</v>
      </c>
      <c r="F39" s="42">
        <v>0.65</v>
      </c>
      <c r="G39" s="67" t="str">
        <f t="shared" si="5"/>
        <v>  7.78 </v>
      </c>
      <c r="H39" s="41" t="str">
        <f t="shared" si="6"/>
        <v>  1.00 </v>
      </c>
      <c r="I39" s="43" t="str">
        <f t="shared" si="7"/>
        <v>  21.65 </v>
      </c>
    </row>
    <row r="40" ht="13.5" customHeight="1">
      <c r="A40" s="39"/>
      <c r="B40" s="40">
        <v>9.0</v>
      </c>
      <c r="C40" s="41">
        <v>6.518518518518518</v>
      </c>
      <c r="D40" s="42">
        <v>2.88</v>
      </c>
      <c r="E40" s="42">
        <v>3.0</v>
      </c>
      <c r="F40" s="42">
        <v>0.65</v>
      </c>
      <c r="G40" s="67" t="str">
        <f t="shared" si="5"/>
        <v>  7.78 </v>
      </c>
      <c r="H40" s="41" t="str">
        <f t="shared" si="6"/>
        <v>  1.00 </v>
      </c>
      <c r="I40" s="43" t="str">
        <f t="shared" si="7"/>
        <v>  21.83 </v>
      </c>
    </row>
    <row r="41" ht="13.5" customHeight="1">
      <c r="A41" s="39"/>
      <c r="B41" s="40">
        <v>10.0</v>
      </c>
      <c r="C41" s="41">
        <v>6.666666666666667</v>
      </c>
      <c r="D41" s="42">
        <v>2.88</v>
      </c>
      <c r="E41" s="42">
        <v>3.0</v>
      </c>
      <c r="F41" s="42">
        <v>0.65</v>
      </c>
      <c r="G41" s="67" t="str">
        <f t="shared" si="5"/>
        <v>  7.78 </v>
      </c>
      <c r="H41" s="41" t="str">
        <f t="shared" si="6"/>
        <v>  1.00 </v>
      </c>
      <c r="I41" s="43" t="str">
        <f t="shared" si="7"/>
        <v>  21.98 </v>
      </c>
    </row>
    <row r="42" ht="13.5" customHeight="1">
      <c r="A42" s="39"/>
      <c r="B42" s="40">
        <v>11.0</v>
      </c>
      <c r="C42" s="41">
        <v>6.787878787878789</v>
      </c>
      <c r="D42" s="42">
        <v>2.88</v>
      </c>
      <c r="E42" s="42">
        <v>3.0</v>
      </c>
      <c r="F42" s="42">
        <v>0.65</v>
      </c>
      <c r="G42" s="67" t="str">
        <f t="shared" si="5"/>
        <v>  7.78 </v>
      </c>
      <c r="H42" s="41" t="str">
        <f t="shared" si="6"/>
        <v>  1.00 </v>
      </c>
      <c r="I42" s="43" t="str">
        <f t="shared" si="7"/>
        <v>  22.10 </v>
      </c>
    </row>
    <row r="43" ht="13.5" customHeight="1">
      <c r="A43" s="39"/>
      <c r="B43" s="40">
        <v>12.0</v>
      </c>
      <c r="C43" s="41">
        <v>6.888888888888889</v>
      </c>
      <c r="D43" s="42">
        <v>2.88</v>
      </c>
      <c r="E43" s="42">
        <v>3.0</v>
      </c>
      <c r="F43" s="42">
        <v>0.65</v>
      </c>
      <c r="G43" s="67" t="str">
        <f t="shared" si="5"/>
        <v>  7.78 </v>
      </c>
      <c r="H43" s="41" t="str">
        <f t="shared" si="6"/>
        <v>  1.00 </v>
      </c>
      <c r="I43" s="43" t="str">
        <f t="shared" si="7"/>
        <v>  22.20 </v>
      </c>
    </row>
    <row r="44" ht="13.5" customHeight="1">
      <c r="A44" s="39"/>
      <c r="B44" s="40">
        <v>13.0</v>
      </c>
      <c r="C44" s="41">
        <v>6.9743589743589745</v>
      </c>
      <c r="D44" s="42">
        <v>2.88</v>
      </c>
      <c r="E44" s="42">
        <v>3.0</v>
      </c>
      <c r="F44" s="42">
        <v>0.65</v>
      </c>
      <c r="G44" s="67" t="str">
        <f t="shared" si="5"/>
        <v>  7.78 </v>
      </c>
      <c r="H44" s="41" t="str">
        <f t="shared" si="6"/>
        <v>  1.00 </v>
      </c>
      <c r="I44" s="43" t="str">
        <f t="shared" si="7"/>
        <v>  22.29 </v>
      </c>
    </row>
    <row r="45" ht="13.5" customHeight="1">
      <c r="A45" s="39"/>
      <c r="B45" s="40">
        <v>14.0</v>
      </c>
      <c r="C45" s="41">
        <v>7.0476190476190474</v>
      </c>
      <c r="D45" s="42">
        <v>2.88</v>
      </c>
      <c r="E45" s="42">
        <v>3.0</v>
      </c>
      <c r="F45" s="42">
        <v>0.65</v>
      </c>
      <c r="G45" s="67" t="str">
        <f t="shared" si="5"/>
        <v>  7.78 </v>
      </c>
      <c r="H45" s="41" t="str">
        <f t="shared" si="6"/>
        <v>  1.00 </v>
      </c>
      <c r="I45" s="43" t="str">
        <f t="shared" si="7"/>
        <v>  22.36 </v>
      </c>
    </row>
    <row r="46" ht="13.5" customHeight="1">
      <c r="A46" s="39"/>
      <c r="B46" s="40">
        <v>15.0</v>
      </c>
      <c r="C46" s="41">
        <v>7.111111111111111</v>
      </c>
      <c r="D46" s="42">
        <v>2.88</v>
      </c>
      <c r="E46" s="42">
        <v>3.0</v>
      </c>
      <c r="F46" s="42">
        <v>0.65</v>
      </c>
      <c r="G46" s="67" t="str">
        <f t="shared" si="5"/>
        <v>  7.78 </v>
      </c>
      <c r="H46" s="41" t="str">
        <f t="shared" si="6"/>
        <v>  1.00 </v>
      </c>
      <c r="I46" s="43" t="str">
        <f t="shared" si="7"/>
        <v>  22.43 </v>
      </c>
    </row>
    <row r="47" ht="13.5" customHeight="1">
      <c r="A47" s="39"/>
      <c r="B47" s="40">
        <v>16.0</v>
      </c>
      <c r="C47" s="41">
        <v>7.166666666666667</v>
      </c>
      <c r="D47" s="42">
        <v>2.88</v>
      </c>
      <c r="E47" s="42">
        <v>3.0</v>
      </c>
      <c r="F47" s="42">
        <v>0.65</v>
      </c>
      <c r="G47" s="67" t="str">
        <f t="shared" si="5"/>
        <v>  7.78 </v>
      </c>
      <c r="H47" s="41" t="str">
        <f t="shared" si="6"/>
        <v>  1.00 </v>
      </c>
      <c r="I47" s="43" t="str">
        <f t="shared" si="7"/>
        <v>  22.48 </v>
      </c>
    </row>
    <row r="48" ht="13.5" customHeight="1">
      <c r="A48" s="39"/>
      <c r="B48" s="40">
        <v>17.0</v>
      </c>
      <c r="C48" s="41">
        <v>7.215686274509804</v>
      </c>
      <c r="D48" s="42">
        <v>2.88</v>
      </c>
      <c r="E48" s="42">
        <v>3.0</v>
      </c>
      <c r="F48" s="42">
        <v>0.65</v>
      </c>
      <c r="G48" s="67" t="str">
        <f t="shared" si="5"/>
        <v>  7.78 </v>
      </c>
      <c r="H48" s="41" t="str">
        <f t="shared" si="6"/>
        <v>  1.00 </v>
      </c>
      <c r="I48" s="43" t="str">
        <f t="shared" si="7"/>
        <v>  22.53 </v>
      </c>
    </row>
    <row r="49" ht="13.5" customHeight="1">
      <c r="A49" s="39"/>
      <c r="B49" s="40">
        <v>18.0</v>
      </c>
      <c r="C49" s="41">
        <v>7.2592592592592595</v>
      </c>
      <c r="D49" s="42">
        <v>2.88</v>
      </c>
      <c r="E49" s="42">
        <v>3.0</v>
      </c>
      <c r="F49" s="42">
        <v>0.65</v>
      </c>
      <c r="G49" s="67" t="str">
        <f t="shared" si="5"/>
        <v>  7.78 </v>
      </c>
      <c r="H49" s="41" t="str">
        <f t="shared" si="6"/>
        <v>  1.00 </v>
      </c>
      <c r="I49" s="43" t="str">
        <f t="shared" si="7"/>
        <v>  22.57 </v>
      </c>
    </row>
    <row r="50" ht="13.5" customHeight="1">
      <c r="A50" s="39"/>
      <c r="B50" s="40">
        <v>19.0</v>
      </c>
      <c r="C50" s="41">
        <v>7.298245614035087</v>
      </c>
      <c r="D50" s="42">
        <v>2.88</v>
      </c>
      <c r="E50" s="42">
        <v>3.0</v>
      </c>
      <c r="F50" s="42">
        <v>0.65</v>
      </c>
      <c r="G50" s="67" t="str">
        <f t="shared" si="5"/>
        <v>  7.78 </v>
      </c>
      <c r="H50" s="41" t="str">
        <f t="shared" si="6"/>
        <v>  1.00 </v>
      </c>
      <c r="I50" s="43" t="str">
        <f t="shared" si="7"/>
        <v>  22.61 </v>
      </c>
    </row>
    <row r="51" ht="13.5" customHeight="1">
      <c r="A51" s="44"/>
      <c r="B51" s="40">
        <v>20.0</v>
      </c>
      <c r="C51" s="41">
        <v>7.333333333333333</v>
      </c>
      <c r="D51" s="42">
        <v>2.88</v>
      </c>
      <c r="E51" s="42">
        <v>3.0</v>
      </c>
      <c r="F51" s="42">
        <v>0.65</v>
      </c>
      <c r="G51" s="67" t="str">
        <f t="shared" si="5"/>
        <v>  7.78 </v>
      </c>
      <c r="H51" s="41" t="str">
        <f t="shared" si="6"/>
        <v>  1.00 </v>
      </c>
      <c r="I51" s="43" t="str">
        <f t="shared" si="7"/>
        <v>  22.65 </v>
      </c>
    </row>
    <row r="52" ht="12.75" customHeight="1">
      <c r="A52" s="29"/>
    </row>
    <row r="53" ht="12.75" customHeight="1">
      <c r="A53" s="29"/>
    </row>
    <row r="54" ht="12.75" customHeight="1">
      <c r="A54" s="31"/>
    </row>
    <row r="55" ht="12.75" customHeight="1">
      <c r="A55" s="30"/>
      <c r="B55">
        <v>10.0</v>
      </c>
      <c r="C55">
        <v>15.0</v>
      </c>
      <c r="D55">
        <v>20.0</v>
      </c>
      <c r="E55">
        <v>25.0</v>
      </c>
      <c r="F55">
        <v>30.0</v>
      </c>
      <c r="G55">
        <v>35.0</v>
      </c>
      <c r="H55">
        <v>40.0</v>
      </c>
      <c r="I55">
        <v>45.0</v>
      </c>
    </row>
    <row r="56" ht="13.5" customHeight="1">
      <c r="A56" s="36"/>
      <c r="B56">
        <v>17.5</v>
      </c>
      <c r="C56">
        <v>15.7</v>
      </c>
      <c r="D56">
        <v>13.7</v>
      </c>
      <c r="E56">
        <v>11.82</v>
      </c>
      <c r="F56">
        <v>10.47</v>
      </c>
      <c r="G56">
        <v>9.97</v>
      </c>
      <c r="H56">
        <v>8.8</v>
      </c>
      <c r="I56">
        <v>8.0</v>
      </c>
    </row>
    <row r="57" ht="12.75" customHeight="1">
      <c r="A57" s="29"/>
      <c r="B57">
        <v>17.52</v>
      </c>
      <c r="C57">
        <v>15.75</v>
      </c>
      <c r="D57">
        <v>13.9</v>
      </c>
      <c r="E57">
        <v>12.6</v>
      </c>
      <c r="F57">
        <v>12.33</v>
      </c>
      <c r="G57">
        <v>10.72</v>
      </c>
      <c r="H57">
        <v>9.1</v>
      </c>
      <c r="I57">
        <v>8.48</v>
      </c>
    </row>
    <row r="58" ht="12.75" customHeight="1">
      <c r="A58" s="29"/>
      <c r="B58">
        <v>17.55</v>
      </c>
      <c r="C58">
        <v>15.95</v>
      </c>
      <c r="D58">
        <v>14.2</v>
      </c>
      <c r="E58">
        <v>12.9</v>
      </c>
      <c r="F58">
        <v>12.64</v>
      </c>
      <c r="G58">
        <v>11.11</v>
      </c>
      <c r="H58">
        <v>9.58</v>
      </c>
      <c r="I58">
        <v>9.03</v>
      </c>
    </row>
    <row r="59" ht="12.75" customHeight="1">
      <c r="A59" s="29"/>
      <c r="B59">
        <v>17.95</v>
      </c>
      <c r="C59">
        <v>16.7</v>
      </c>
      <c r="D59">
        <v>15.0</v>
      </c>
      <c r="E59">
        <v>13.7</v>
      </c>
      <c r="F59">
        <v>13.45</v>
      </c>
      <c r="G59">
        <v>12.0</v>
      </c>
      <c r="H59">
        <v>10.56</v>
      </c>
      <c r="I59">
        <v>9.34</v>
      </c>
    </row>
    <row r="60" ht="12.75" customHeight="1">
      <c r="A60" s="29"/>
      <c r="B60">
        <v>18.15</v>
      </c>
      <c r="C60">
        <v>16.95</v>
      </c>
      <c r="D60">
        <v>15.3</v>
      </c>
      <c r="E60">
        <v>14.03</v>
      </c>
      <c r="F60">
        <v>13.53</v>
      </c>
      <c r="G60">
        <v>12.4</v>
      </c>
      <c r="H60">
        <v>11.04</v>
      </c>
      <c r="I60">
        <v>10.06</v>
      </c>
    </row>
    <row r="61" ht="12.75" customHeight="1">
      <c r="A61" s="29"/>
      <c r="B61">
        <v>18.45</v>
      </c>
      <c r="C61">
        <v>17.2</v>
      </c>
      <c r="D61">
        <v>15.4</v>
      </c>
      <c r="E61">
        <v>14.1</v>
      </c>
      <c r="F61">
        <v>13.6</v>
      </c>
      <c r="G61">
        <v>12.6</v>
      </c>
      <c r="H61">
        <v>11.6</v>
      </c>
      <c r="I61">
        <v>10.6</v>
      </c>
    </row>
    <row r="62" ht="12.75" customHeight="1">
      <c r="A62" s="29"/>
      <c r="B62">
        <v>18.55</v>
      </c>
      <c r="C62">
        <v>17.3</v>
      </c>
      <c r="D62">
        <v>15.5</v>
      </c>
      <c r="E62">
        <v>14.11</v>
      </c>
      <c r="F62">
        <v>13.68</v>
      </c>
      <c r="G62">
        <v>12.68</v>
      </c>
      <c r="H62">
        <v>11.68</v>
      </c>
      <c r="I62">
        <v>10.68</v>
      </c>
    </row>
    <row r="63" ht="12.75" customHeight="1">
      <c r="A63" s="29"/>
      <c r="B63">
        <v>18.62</v>
      </c>
      <c r="C63">
        <v>17.32</v>
      </c>
      <c r="D63">
        <v>15.6</v>
      </c>
      <c r="E63">
        <v>14.12</v>
      </c>
      <c r="F63">
        <v>13.69</v>
      </c>
      <c r="G63">
        <v>12.69</v>
      </c>
      <c r="H63">
        <v>11.69</v>
      </c>
      <c r="I63">
        <v>10.69</v>
      </c>
    </row>
    <row r="64" ht="12.75" customHeight="1">
      <c r="A64" s="31"/>
      <c r="B64">
        <v>18.72</v>
      </c>
      <c r="C64">
        <v>17.42</v>
      </c>
      <c r="D64">
        <v>15.7</v>
      </c>
      <c r="E64">
        <v>14.13</v>
      </c>
      <c r="F64">
        <v>14.08</v>
      </c>
      <c r="G64">
        <v>13.08</v>
      </c>
      <c r="H64">
        <v>12.08</v>
      </c>
      <c r="I64">
        <v>11.08</v>
      </c>
    </row>
    <row r="65" ht="12.75" customHeight="1">
      <c r="A65" s="30"/>
      <c r="B65">
        <v>18.86</v>
      </c>
      <c r="C65">
        <v>17.56</v>
      </c>
      <c r="D65">
        <v>15.8</v>
      </c>
      <c r="E65">
        <v>14.14</v>
      </c>
      <c r="F65">
        <v>14.09</v>
      </c>
      <c r="G65">
        <v>13.09</v>
      </c>
      <c r="H65">
        <v>12.09</v>
      </c>
      <c r="I65">
        <v>11.09</v>
      </c>
    </row>
    <row r="66" ht="13.5" customHeight="1">
      <c r="A66" s="36"/>
      <c r="B66">
        <v>18.96</v>
      </c>
      <c r="C66">
        <v>17.66</v>
      </c>
      <c r="D66">
        <v>15.9</v>
      </c>
      <c r="E66">
        <v>14.49</v>
      </c>
      <c r="F66">
        <v>14.45</v>
      </c>
      <c r="G66">
        <v>13.61</v>
      </c>
      <c r="H66">
        <v>12.78</v>
      </c>
      <c r="I66">
        <v>11.87</v>
      </c>
    </row>
    <row r="67" ht="12.75" customHeight="1">
      <c r="A67" s="29"/>
      <c r="B67">
        <v>19.06</v>
      </c>
      <c r="C67">
        <v>17.76</v>
      </c>
      <c r="D67">
        <v>16.0</v>
      </c>
      <c r="E67">
        <v>14.67</v>
      </c>
      <c r="F67">
        <v>14.64</v>
      </c>
      <c r="G67">
        <v>13.89</v>
      </c>
      <c r="H67">
        <v>13.15</v>
      </c>
      <c r="I67">
        <v>12.28</v>
      </c>
    </row>
    <row r="68" ht="12.75" customHeight="1">
      <c r="A68" s="29"/>
      <c r="B68">
        <v>19.26</v>
      </c>
      <c r="C68">
        <v>17.96</v>
      </c>
      <c r="D68">
        <v>16.2</v>
      </c>
      <c r="E68">
        <v>14.86</v>
      </c>
      <c r="F68">
        <v>14.82</v>
      </c>
      <c r="G68">
        <v>14.17</v>
      </c>
      <c r="H68">
        <v>13.51</v>
      </c>
      <c r="I68">
        <v>12.68</v>
      </c>
    </row>
    <row r="69" ht="12.75" customHeight="1">
      <c r="A69" s="29"/>
      <c r="B69">
        <v>19.56</v>
      </c>
      <c r="C69">
        <v>18.3</v>
      </c>
      <c r="D69">
        <v>16.5</v>
      </c>
      <c r="E69">
        <v>15.46</v>
      </c>
      <c r="F69">
        <v>15.18</v>
      </c>
      <c r="G69">
        <v>14.61</v>
      </c>
      <c r="H69">
        <v>14.04</v>
      </c>
      <c r="I69">
        <v>13.26</v>
      </c>
    </row>
    <row r="70" ht="12.75" customHeight="1">
      <c r="A70" s="29"/>
      <c r="B70">
        <v>20.7</v>
      </c>
      <c r="C70">
        <v>19.3</v>
      </c>
      <c r="D70">
        <v>17.45</v>
      </c>
      <c r="E70">
        <v>16.24</v>
      </c>
      <c r="F70">
        <v>16.0</v>
      </c>
      <c r="G70">
        <v>15.52</v>
      </c>
      <c r="H70">
        <v>15.03</v>
      </c>
      <c r="I70">
        <v>14.29</v>
      </c>
    </row>
    <row r="71" ht="12.75" customHeight="1">
      <c r="A71" s="29"/>
      <c r="B71">
        <v>21.2</v>
      </c>
      <c r="C71">
        <v>20.0</v>
      </c>
      <c r="D71">
        <v>18.2</v>
      </c>
      <c r="E71">
        <v>16.91</v>
      </c>
      <c r="F71">
        <v>16.72</v>
      </c>
      <c r="G71">
        <v>16.32</v>
      </c>
      <c r="H71">
        <v>15.93</v>
      </c>
      <c r="I71">
        <v>15.23</v>
      </c>
    </row>
    <row r="72" ht="12.75" customHeight="1">
      <c r="A72" s="29"/>
      <c r="B72">
        <v>21.7</v>
      </c>
      <c r="C72">
        <v>20.5</v>
      </c>
      <c r="D72">
        <v>18.7</v>
      </c>
      <c r="E72">
        <v>17.4</v>
      </c>
      <c r="F72">
        <v>17.13</v>
      </c>
      <c r="G72">
        <v>16.82</v>
      </c>
      <c r="H72">
        <v>16.38</v>
      </c>
      <c r="I72">
        <v>16.17</v>
      </c>
    </row>
    <row r="73" ht="12.75" customHeight="1">
      <c r="A73" s="29"/>
      <c r="B73">
        <v>22.2</v>
      </c>
      <c r="C73">
        <v>20.9</v>
      </c>
      <c r="D73">
        <v>19.1</v>
      </c>
      <c r="E73">
        <v>17.8</v>
      </c>
      <c r="F73">
        <v>17.55</v>
      </c>
      <c r="G73">
        <v>17.22</v>
      </c>
      <c r="H73">
        <v>16.82</v>
      </c>
      <c r="I73">
        <v>16.51</v>
      </c>
    </row>
    <row r="74" ht="12.75" customHeight="1">
      <c r="A74" s="31"/>
      <c r="B74">
        <v>22.5</v>
      </c>
      <c r="C74">
        <v>21.3</v>
      </c>
      <c r="D74">
        <v>19.5</v>
      </c>
      <c r="E74">
        <v>18.2</v>
      </c>
      <c r="F74">
        <v>17.97</v>
      </c>
      <c r="G74">
        <v>17.44</v>
      </c>
      <c r="H74">
        <v>17.21</v>
      </c>
      <c r="I74">
        <v>16.94</v>
      </c>
    </row>
    <row r="75" ht="12.75" customHeight="1">
      <c r="A75" s="30"/>
      <c r="B75">
        <v>22.9</v>
      </c>
      <c r="C75">
        <v>21.8</v>
      </c>
      <c r="D75">
        <v>20.0</v>
      </c>
      <c r="E75">
        <v>18.6</v>
      </c>
      <c r="F75">
        <v>18.4</v>
      </c>
      <c r="G75">
        <v>17.85</v>
      </c>
      <c r="H75">
        <v>17.6</v>
      </c>
      <c r="I75">
        <v>17.18</v>
      </c>
    </row>
    <row r="76" ht="13.5" customHeight="1">
      <c r="A76" s="36"/>
    </row>
    <row r="77" ht="12.75" customHeight="1">
      <c r="A77" s="29"/>
    </row>
    <row r="78" ht="12.75" customHeight="1">
      <c r="A78" s="29"/>
    </row>
    <row r="79" ht="12.75" customHeight="1">
      <c r="A79" s="29"/>
    </row>
    <row r="80" ht="12.75" customHeight="1">
      <c r="A80" s="29"/>
    </row>
    <row r="81" ht="12.75" customHeight="1">
      <c r="A81" s="29"/>
    </row>
    <row r="82" ht="12.75" customHeight="1">
      <c r="A82" s="29"/>
    </row>
    <row r="83" ht="12.75" customHeight="1">
      <c r="A83" s="29"/>
    </row>
    <row r="84" ht="12.75" customHeight="1">
      <c r="A84" s="31"/>
    </row>
    <row r="85" ht="12.75" customHeight="1">
      <c r="A85" s="30"/>
    </row>
    <row r="86" ht="13.5" customHeight="1">
      <c r="A86" s="36"/>
    </row>
    <row r="87" ht="12.75" customHeight="1">
      <c r="A87" s="29"/>
    </row>
    <row r="88" ht="12.75" customHeight="1">
      <c r="A88" s="29"/>
    </row>
    <row r="89" ht="12.75" customHeight="1">
      <c r="A89" s="29"/>
    </row>
    <row r="90" ht="12.75" customHeight="1">
      <c r="A90" s="29"/>
    </row>
    <row r="91" ht="12.75" customHeight="1">
      <c r="A91" s="29"/>
    </row>
    <row r="92" ht="12.75" customHeight="1">
      <c r="A92" s="29"/>
    </row>
    <row r="93" ht="12.75" customHeight="1">
      <c r="A93" s="29"/>
    </row>
    <row r="94" ht="12.75" customHeight="1">
      <c r="A94" s="31"/>
    </row>
    <row r="95" ht="12.75" customHeight="1">
      <c r="A95" s="30"/>
    </row>
    <row r="96" ht="13.5" customHeight="1">
      <c r="A96" s="36"/>
    </row>
    <row r="97" ht="12.75" customHeight="1">
      <c r="A97" s="29"/>
    </row>
    <row r="98" ht="12.75" customHeight="1">
      <c r="A98" s="29"/>
    </row>
    <row r="99" ht="12.75" customHeight="1">
      <c r="A99" s="29"/>
    </row>
    <row r="100" ht="12.75" customHeight="1">
      <c r="A100" s="29"/>
    </row>
    <row r="101" ht="12.75" customHeight="1">
      <c r="A101" s="29"/>
    </row>
    <row r="102" ht="12.75" customHeight="1">
      <c r="A102" s="29"/>
    </row>
    <row r="103" ht="12.75" customHeight="1">
      <c r="A103" s="29"/>
    </row>
    <row r="104" ht="12.75" customHeight="1">
      <c r="A104" s="31"/>
    </row>
    <row r="105" ht="12.75" customHeight="1">
      <c r="A105" s="30"/>
    </row>
    <row r="106" ht="13.5" customHeight="1">
      <c r="A106" s="36"/>
    </row>
    <row r="107" ht="12.75" customHeight="1">
      <c r="A107" s="29"/>
    </row>
    <row r="108" ht="12.75" customHeight="1">
      <c r="A108" s="29"/>
    </row>
    <row r="109" ht="12.75" customHeight="1">
      <c r="A109" s="29"/>
    </row>
    <row r="110" ht="12.75" customHeight="1">
      <c r="A110" s="29"/>
    </row>
    <row r="111" ht="12.75" customHeight="1">
      <c r="A111" s="29"/>
    </row>
    <row r="112" ht="12.75" customHeight="1">
      <c r="A112" s="29"/>
    </row>
    <row r="113" ht="12.75" customHeight="1">
      <c r="A113" s="29"/>
    </row>
    <row r="114" ht="12.75" customHeight="1">
      <c r="A114" s="31"/>
    </row>
    <row r="115" ht="12.75" customHeight="1">
      <c r="A115" s="30"/>
    </row>
    <row r="116" ht="13.5" customHeight="1">
      <c r="A116" s="36"/>
    </row>
    <row r="117" ht="12.75" customHeight="1">
      <c r="A117" s="29"/>
    </row>
    <row r="118" ht="12.75" customHeight="1">
      <c r="A118" s="29"/>
    </row>
    <row r="119" ht="12.75" customHeight="1">
      <c r="A119" s="29"/>
    </row>
    <row r="120" ht="12.75" customHeight="1">
      <c r="A120" s="29"/>
    </row>
    <row r="121" ht="12.75" customHeight="1">
      <c r="A121" s="29"/>
    </row>
    <row r="122" ht="12.75" customHeight="1">
      <c r="A122" s="29"/>
    </row>
    <row r="123" ht="12.75" customHeight="1">
      <c r="A123" s="29"/>
    </row>
    <row r="124" ht="12.75" customHeight="1">
      <c r="A124" s="31"/>
    </row>
    <row r="125" ht="12.75" customHeight="1">
      <c r="A125" s="30"/>
    </row>
    <row r="126" ht="13.5" customHeight="1">
      <c r="A126" s="36"/>
    </row>
    <row r="127" ht="12.75" customHeight="1">
      <c r="A127" s="29"/>
    </row>
    <row r="128" ht="12.75" customHeight="1">
      <c r="A128" s="29"/>
    </row>
    <row r="129" ht="12.75" customHeight="1">
      <c r="A129" s="29"/>
    </row>
    <row r="130" ht="12.75" customHeight="1">
      <c r="A130" s="29"/>
    </row>
    <row r="131" ht="12.75" customHeight="1">
      <c r="A131" s="29"/>
    </row>
    <row r="132" ht="12.75" customHeight="1">
      <c r="A132" s="29"/>
    </row>
    <row r="133" ht="12.75" customHeight="1">
      <c r="A133" s="29"/>
    </row>
    <row r="134" ht="12.75" customHeight="1">
      <c r="A134" s="31"/>
    </row>
    <row r="135" ht="12.75" customHeight="1">
      <c r="A135" s="30"/>
    </row>
    <row r="136" ht="13.5" customHeight="1">
      <c r="A136" s="36"/>
    </row>
    <row r="137" ht="12.75" customHeight="1">
      <c r="A137" s="29"/>
    </row>
    <row r="138" ht="12.75" customHeight="1">
      <c r="A138" s="29"/>
    </row>
    <row r="139" ht="12.75" customHeight="1">
      <c r="A139" s="29"/>
    </row>
    <row r="140" ht="12.75" customHeight="1">
      <c r="A140" s="29"/>
    </row>
    <row r="141" ht="12.75" customHeight="1">
      <c r="A141" s="29"/>
    </row>
    <row r="142" ht="12.75" customHeight="1">
      <c r="A142" s="29"/>
    </row>
    <row r="143" ht="12.75" customHeight="1">
      <c r="A143" s="29"/>
    </row>
    <row r="144" ht="12.75" customHeight="1">
      <c r="A144" s="31"/>
    </row>
    <row r="145" ht="12.75" customHeight="1">
      <c r="A145" s="30"/>
    </row>
  </sheetData>
  <mergeCells count="5">
    <mergeCell ref="A1:I1"/>
    <mergeCell ref="A2:E2"/>
    <mergeCell ref="A3:A23"/>
    <mergeCell ref="C26:H26"/>
    <mergeCell ref="A31:A51"/>
  </mergeCells>
  <conditionalFormatting sqref="H4:H23">
    <cfRule type="cellIs" dxfId="0" priority="1" operator="greaterThanOrEqual">
      <formula>0</formula>
    </cfRule>
  </conditionalFormatting>
  <conditionalFormatting sqref="H4:H23">
    <cfRule type="cellIs" dxfId="1" priority="2" operator="lessThan">
      <formula>0</formula>
    </cfRule>
  </conditionalFormatting>
  <conditionalFormatting sqref="I4:I23">
    <cfRule type="cellIs" dxfId="0" priority="3" operator="greaterThanOrEqual">
      <formula>0</formula>
    </cfRule>
  </conditionalFormatting>
  <conditionalFormatting sqref="I4:I23">
    <cfRule type="cellIs" dxfId="1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Receita Federal</Company>
  <ScaleCrop>false</ScaleCrop>
  <HeadingPairs>
    <vt:vector baseType="variant" size="2">
      <vt:variant>
        <vt:lpstr>Planilhas</vt:lpstr>
      </vt:variant>
      <vt:variant>
        <vt:i4>7</vt:i4>
      </vt:variant>
    </vt:vector>
  </HeadingPairs>
  <TitlesOfParts>
    <vt:vector baseType="lpstr" size="7">
      <vt:lpstr>COMÉRCIO</vt:lpstr>
      <vt:lpstr>INDÚSTRIA</vt:lpstr>
      <vt:lpstr>SERVIÇOS ANEXO III</vt:lpstr>
      <vt:lpstr>ANEXO IV</vt:lpstr>
      <vt:lpstr>SERVIÇOS ANEXO V</vt:lpstr>
      <vt:lpstr>SERVIÇOS ANEXO VI</vt:lpstr>
      <vt:lpstr>SERVIÇOS ANEXO VI (2)</vt:lpstr>
    </vt:vector>
  </TitlesOfParts>
  <LinksUpToDate>false</LinksUpToDate>
  <SharedDoc>false</SharedDoc>
  <HyperlinksChanged>false</HyperlinksChanged>
  <Application>Microsoft Excel</Application>
  <AppVersion>15.0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2013-04-15T18:28:38Z</dcterms:created>
  <dc:creator>36654809904</dc:creator>
  <cp:lastModifiedBy>rfb</cp:lastModifiedBy>
  <cp:lastPrinted>2013-04-19T12:14:30Z</cp:lastPrinted>
  <dcterms:modified xsi:type="dcterms:W3CDTF">2014-11-14T19:31:18Z</dcterms:modified>
</cp:coreProperties>
</file>