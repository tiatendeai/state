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.leonetti\Google Drive\Clientes\CLIENTES ATIVOS\Rayner Luid Touron de Sene EIRELI\Consultoria\"/>
    </mc:Choice>
  </mc:AlternateContent>
  <bookViews>
    <workbookView xWindow="0" yWindow="0" windowWidth="20490" windowHeight="74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1" l="1"/>
  <c r="B39" i="1"/>
  <c r="B38" i="1"/>
  <c r="D34" i="1"/>
  <c r="D32" i="1"/>
  <c r="D30" i="1"/>
  <c r="D29" i="1"/>
  <c r="D26" i="1"/>
  <c r="D25" i="1"/>
  <c r="D24" i="1"/>
  <c r="C20" i="1"/>
  <c r="C23" i="1" s="1"/>
  <c r="D23" i="1" s="1"/>
  <c r="B12" i="1"/>
  <c r="C12" i="1"/>
  <c r="C10" i="1"/>
  <c r="B10" i="1"/>
  <c r="B14" i="1" l="1"/>
  <c r="C14" i="1"/>
  <c r="C22" i="1"/>
  <c r="D22" i="1" l="1"/>
</calcChain>
</file>

<file path=xl/sharedStrings.xml><?xml version="1.0" encoding="utf-8"?>
<sst xmlns="http://schemas.openxmlformats.org/spreadsheetml/2006/main" count="40" uniqueCount="39">
  <si>
    <t>Faturamento</t>
  </si>
  <si>
    <t>Alíquota Simples</t>
  </si>
  <si>
    <t>Imposto Mensal</t>
  </si>
  <si>
    <t>INSS Mensal</t>
  </si>
  <si>
    <t>IRRF Mensal</t>
  </si>
  <si>
    <t>Carca Tributária Mensal</t>
  </si>
  <si>
    <t>Pro-Labore Mensal</t>
  </si>
  <si>
    <t>Mensal</t>
  </si>
  <si>
    <t>Com Fator R</t>
  </si>
  <si>
    <t>Sem Fator R</t>
  </si>
  <si>
    <t>Planejamento Tributário</t>
  </si>
  <si>
    <t>Lucro Presumido</t>
  </si>
  <si>
    <t>Alíquotas</t>
  </si>
  <si>
    <t>Faturamento Mensal</t>
  </si>
  <si>
    <t>Faturamento Trimestral</t>
  </si>
  <si>
    <t>IRPJ Trimestral (Presc. 32%)</t>
  </si>
  <si>
    <t>CSLL Trimestral (Presc. 32%)</t>
  </si>
  <si>
    <t>PIS</t>
  </si>
  <si>
    <t>COFINS</t>
  </si>
  <si>
    <t>Trimestral</t>
  </si>
  <si>
    <t>INSS Mensal (Pro-Labore)</t>
  </si>
  <si>
    <t>INSS Patronal (Pro-Labore)</t>
  </si>
  <si>
    <t>ISS</t>
  </si>
  <si>
    <t>Sobre Pro-Labore</t>
  </si>
  <si>
    <t>Comparativo</t>
  </si>
  <si>
    <t>Outras Entidades (Programas S)</t>
  </si>
  <si>
    <t>Simples Sem Fator R</t>
  </si>
  <si>
    <t>Simples com Fator R</t>
  </si>
  <si>
    <t>Atenção</t>
  </si>
  <si>
    <t>Esse planejamento tributário foi calculado em cima de uma prévia de faturamento orçado,</t>
  </si>
  <si>
    <t>cio.</t>
  </si>
  <si>
    <t>necessitando assim de maiores informações para uma melhor aplicabilidade em seu negó-</t>
  </si>
  <si>
    <t>Elaborado pela:</t>
  </si>
  <si>
    <t>b) Lucro Presumido</t>
  </si>
  <si>
    <t>Melhor Opção (1)</t>
  </si>
  <si>
    <t xml:space="preserve">(1) Possui um pró-labore mais elevado para atingir a quota dos 28% e reduzir assim a alíquota do Sim - </t>
  </si>
  <si>
    <t>ples Nacional</t>
  </si>
  <si>
    <t>a) Simples Nacional</t>
  </si>
  <si>
    <t>Dentista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</si>
</sst>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43" fontId="0" fillId="0" borderId="0" xfId="1" applyFont="1"/>
    <xf numFmtId="10" fontId="0" fillId="0" borderId="0" xfId="0" applyNumberFormat="1"/>
    <xf numFmtId="43" fontId="0" fillId="0" borderId="0" xfId="0" applyNumberFormat="1"/>
    <xf numFmtId="0" fontId="0" fillId="0" borderId="1" xfId="0" applyBorder="1"/>
    <xf numFmtId="0" fontId="2" fillId="0" borderId="1" xfId="0" applyFont="1" applyBorder="1"/>
    <xf numFmtId="43" fontId="2" fillId="0" borderId="1" xfId="1" applyFont="1" applyBorder="1"/>
    <xf numFmtId="0" fontId="2" fillId="0" borderId="0" xfId="0" applyFont="1"/>
    <xf numFmtId="0" fontId="2" fillId="0" borderId="2" xfId="0" applyFont="1" applyBorder="1"/>
    <xf numFmtId="0" fontId="2" fillId="2" borderId="2" xfId="0" applyFont="1" applyFill="1" applyBorder="1"/>
    <xf numFmtId="43" fontId="2" fillId="2" borderId="2" xfId="1" applyFont="1" applyFill="1" applyBorder="1"/>
    <xf numFmtId="9" fontId="0" fillId="0" borderId="0" xfId="2" applyFont="1" applyAlignment="1">
      <alignment horizontal="left"/>
    </xf>
    <xf numFmtId="0" fontId="0" fillId="0" borderId="2" xfId="0" applyBorder="1"/>
    <xf numFmtId="0" fontId="0" fillId="0" borderId="0" xfId="0" applyBorder="1"/>
    <xf numFmtId="43" fontId="0" fillId="0" borderId="0" xfId="1" applyFont="1" applyBorder="1"/>
    <xf numFmtId="0" fontId="2" fillId="0" borderId="0" xfId="0" applyFont="1" applyBorder="1"/>
    <xf numFmtId="43" fontId="2" fillId="0" borderId="0" xfId="1" applyFont="1" applyBorder="1"/>
    <xf numFmtId="0" fontId="2" fillId="0" borderId="1" xfId="0" applyFont="1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43" fontId="2" fillId="2" borderId="0" xfId="0" applyNumberFormat="1" applyFont="1" applyFill="1"/>
    <xf numFmtId="43" fontId="0" fillId="0" borderId="1" xfId="0" applyNumberFormat="1" applyBorder="1"/>
    <xf numFmtId="0" fontId="0" fillId="0" borderId="0" xfId="0" applyFill="1" applyBorder="1"/>
    <xf numFmtId="0" fontId="3" fillId="0" borderId="0" xfId="0" applyFont="1" applyFill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504824</xdr:colOff>
      <xdr:row>2</xdr:row>
      <xdr:rowOff>19050</xdr:rowOff>
    </xdr:from>
    <xdr:to>
      <xdr:col>4</xdr:col>
      <xdr:colOff>923925</xdr:colOff>
      <xdr:row>4</xdr:row>
      <xdr:rowOff>85725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13635" r="5002" b="15152"/>
        <a:stretch/>
      </xdr:blipFill>
      <xdr:spPr>
        <a:xfrm>
          <a:off x="3695699" y="400050"/>
          <a:ext cx="1866901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showGridLines="0" tabSelected="1" workbookViewId="0"/>
  </sheetViews>
  <sheetFormatPr defaultRowHeight="15" x14ac:dyDescent="0.25"/>
  <cols>
    <col min="1" max="1" width="36.28515625" bestFit="1" customWidth="1"/>
    <col min="2" max="2" width="11.5703125" bestFit="1" customWidth="1"/>
    <col min="3" max="3" width="11.140625" bestFit="1" customWidth="1"/>
    <col min="4" max="4" width="10.5703125" bestFit="1" customWidth="1"/>
    <col min="5" max="5" width="18.28515625" customWidth="1"/>
  </cols>
  <sheetData>
    <row r="1" spans="1:5" x14ac:dyDescent="0.25">
      <c r="A1" s="7" t="s">
        <v>10</v>
      </c>
      <c r="E1" t="s">
        <v>32</v>
      </c>
    </row>
    <row r="2" spans="1:5" x14ac:dyDescent="0.25">
      <c r="A2" t="s">
        <v>38</v>
      </c>
    </row>
    <row r="5" spans="1:5" x14ac:dyDescent="0.25">
      <c r="A5" s="7" t="s">
        <v>37</v>
      </c>
    </row>
    <row r="7" spans="1:5" x14ac:dyDescent="0.25">
      <c r="A7" s="4"/>
      <c r="B7" s="12" t="s">
        <v>9</v>
      </c>
      <c r="C7" s="12" t="s">
        <v>8</v>
      </c>
    </row>
    <row r="8" spans="1:5" x14ac:dyDescent="0.25">
      <c r="A8" s="5" t="s">
        <v>0</v>
      </c>
      <c r="B8" s="6">
        <v>15000</v>
      </c>
      <c r="C8" s="6">
        <v>15000</v>
      </c>
    </row>
    <row r="9" spans="1:5" x14ac:dyDescent="0.25">
      <c r="A9" t="s">
        <v>1</v>
      </c>
      <c r="B9" s="2">
        <v>0.155</v>
      </c>
      <c r="C9" s="2">
        <v>0.06</v>
      </c>
    </row>
    <row r="10" spans="1:5" x14ac:dyDescent="0.25">
      <c r="A10" t="s">
        <v>2</v>
      </c>
      <c r="B10" s="1">
        <f>B8*B9</f>
        <v>2325</v>
      </c>
      <c r="C10" s="1">
        <f>C8*C9</f>
        <v>900</v>
      </c>
    </row>
    <row r="11" spans="1:5" x14ac:dyDescent="0.25">
      <c r="A11" t="s">
        <v>6</v>
      </c>
      <c r="B11" s="1">
        <v>954</v>
      </c>
      <c r="C11" s="1">
        <v>4200</v>
      </c>
      <c r="D11" s="11"/>
    </row>
    <row r="12" spans="1:5" x14ac:dyDescent="0.25">
      <c r="A12" t="s">
        <v>3</v>
      </c>
      <c r="B12" s="1">
        <f>B11*11%</f>
        <v>104.94</v>
      </c>
      <c r="C12" s="1">
        <f>C11*11%</f>
        <v>462</v>
      </c>
    </row>
    <row r="13" spans="1:5" x14ac:dyDescent="0.25">
      <c r="A13" t="s">
        <v>4</v>
      </c>
      <c r="B13" s="1">
        <v>0</v>
      </c>
      <c r="C13" s="1">
        <v>263.87</v>
      </c>
    </row>
    <row r="14" spans="1:5" x14ac:dyDescent="0.25">
      <c r="A14" s="9" t="s">
        <v>5</v>
      </c>
      <c r="B14" s="10">
        <f>B10+B12+B13</f>
        <v>2429.94</v>
      </c>
      <c r="C14" s="10">
        <f>C10+C12+C13</f>
        <v>1625.87</v>
      </c>
      <c r="D14" s="3"/>
    </row>
    <row r="16" spans="1:5" x14ac:dyDescent="0.25">
      <c r="A16" s="7" t="s">
        <v>33</v>
      </c>
    </row>
    <row r="17" spans="1:4" x14ac:dyDescent="0.25">
      <c r="A17" s="7"/>
    </row>
    <row r="18" spans="1:4" x14ac:dyDescent="0.25">
      <c r="A18" s="4"/>
      <c r="B18" s="5" t="s">
        <v>12</v>
      </c>
      <c r="C18" s="17" t="s">
        <v>19</v>
      </c>
      <c r="D18" s="17" t="s">
        <v>7</v>
      </c>
    </row>
    <row r="19" spans="1:4" x14ac:dyDescent="0.25">
      <c r="A19" s="15" t="s">
        <v>13</v>
      </c>
      <c r="B19" s="16"/>
      <c r="C19" s="7"/>
      <c r="D19" s="16">
        <v>15000</v>
      </c>
    </row>
    <row r="20" spans="1:4" x14ac:dyDescent="0.25">
      <c r="A20" s="5" t="s">
        <v>14</v>
      </c>
      <c r="B20" s="6"/>
      <c r="C20" s="6">
        <f>D19*3</f>
        <v>45000</v>
      </c>
      <c r="D20" s="5"/>
    </row>
    <row r="21" spans="1:4" x14ac:dyDescent="0.25">
      <c r="A21" s="13"/>
      <c r="B21" s="14"/>
      <c r="C21" s="14"/>
    </row>
    <row r="22" spans="1:4" x14ac:dyDescent="0.25">
      <c r="A22" t="s">
        <v>15</v>
      </c>
      <c r="B22" s="2">
        <v>0.15</v>
      </c>
      <c r="C22" s="1">
        <f>(C20*32%)*B22</f>
        <v>2160</v>
      </c>
      <c r="D22" s="3">
        <f>C22/3</f>
        <v>720</v>
      </c>
    </row>
    <row r="23" spans="1:4" x14ac:dyDescent="0.25">
      <c r="A23" t="s">
        <v>16</v>
      </c>
      <c r="B23" s="2">
        <v>0.09</v>
      </c>
      <c r="C23" s="1">
        <f>(C20*32%)*B23</f>
        <v>1296</v>
      </c>
      <c r="D23" s="3">
        <f>C23/3</f>
        <v>432</v>
      </c>
    </row>
    <row r="24" spans="1:4" x14ac:dyDescent="0.25">
      <c r="A24" t="s">
        <v>17</v>
      </c>
      <c r="B24" s="2">
        <v>6.4999999999999997E-3</v>
      </c>
      <c r="C24" s="1"/>
      <c r="D24" s="3">
        <f>D19*B24</f>
        <v>97.5</v>
      </c>
    </row>
    <row r="25" spans="1:4" x14ac:dyDescent="0.25">
      <c r="A25" t="s">
        <v>18</v>
      </c>
      <c r="B25" s="2">
        <v>0.03</v>
      </c>
      <c r="C25" s="1"/>
      <c r="D25" s="3">
        <f>D19*B25</f>
        <v>450</v>
      </c>
    </row>
    <row r="26" spans="1:4" x14ac:dyDescent="0.25">
      <c r="A26" t="s">
        <v>22</v>
      </c>
      <c r="B26" s="2">
        <v>0.02</v>
      </c>
      <c r="C26" s="1"/>
      <c r="D26" s="3">
        <f>D19*B26</f>
        <v>300</v>
      </c>
    </row>
    <row r="27" spans="1:4" x14ac:dyDescent="0.25">
      <c r="B27" s="2"/>
      <c r="C27" s="1"/>
      <c r="D27" s="3"/>
    </row>
    <row r="28" spans="1:4" x14ac:dyDescent="0.25">
      <c r="A28" s="7" t="s">
        <v>23</v>
      </c>
      <c r="B28" s="2"/>
      <c r="C28" s="1"/>
      <c r="D28" s="3">
        <v>1900</v>
      </c>
    </row>
    <row r="29" spans="1:4" x14ac:dyDescent="0.25">
      <c r="A29" t="s">
        <v>20</v>
      </c>
      <c r="B29" s="2">
        <v>0.11</v>
      </c>
      <c r="C29" s="1"/>
      <c r="D29" s="3">
        <f>D28*B29</f>
        <v>209</v>
      </c>
    </row>
    <row r="30" spans="1:4" x14ac:dyDescent="0.25">
      <c r="A30" t="s">
        <v>21</v>
      </c>
      <c r="B30" s="2">
        <v>0.2</v>
      </c>
      <c r="C30" s="1"/>
      <c r="D30" s="3">
        <f>D28*B30</f>
        <v>380</v>
      </c>
    </row>
    <row r="31" spans="1:4" x14ac:dyDescent="0.25">
      <c r="B31" s="2"/>
      <c r="C31" s="1"/>
      <c r="D31" s="3"/>
    </row>
    <row r="32" spans="1:4" x14ac:dyDescent="0.25">
      <c r="A32" t="s">
        <v>25</v>
      </c>
      <c r="B32" s="2">
        <v>5.8000000000000003E-2</v>
      </c>
      <c r="C32" s="1"/>
      <c r="D32" s="3">
        <f>D28*B32</f>
        <v>110.2</v>
      </c>
    </row>
    <row r="33" spans="1:4" x14ac:dyDescent="0.25">
      <c r="B33" s="2"/>
      <c r="C33" s="1"/>
      <c r="D33" s="3"/>
    </row>
    <row r="34" spans="1:4" x14ac:dyDescent="0.25">
      <c r="A34" s="9" t="s">
        <v>5</v>
      </c>
      <c r="B34" s="10"/>
      <c r="C34" s="10"/>
      <c r="D34" s="10">
        <f>D22+D23+D24+D25+D26+D29+D30+D32</f>
        <v>2698.7</v>
      </c>
    </row>
    <row r="36" spans="1:4" x14ac:dyDescent="0.25">
      <c r="A36" s="8" t="s">
        <v>24</v>
      </c>
      <c r="B36" s="12"/>
      <c r="C36" s="12"/>
      <c r="D36" s="12"/>
    </row>
    <row r="38" spans="1:4" x14ac:dyDescent="0.25">
      <c r="A38" t="s">
        <v>26</v>
      </c>
      <c r="B38" s="3">
        <f>B14</f>
        <v>2429.94</v>
      </c>
    </row>
    <row r="39" spans="1:4" x14ac:dyDescent="0.25">
      <c r="A39" s="19" t="s">
        <v>27</v>
      </c>
      <c r="B39" s="20">
        <f>C14</f>
        <v>1625.87</v>
      </c>
      <c r="C39" s="19" t="s">
        <v>34</v>
      </c>
      <c r="D39" s="18"/>
    </row>
    <row r="40" spans="1:4" x14ac:dyDescent="0.25">
      <c r="A40" s="4" t="s">
        <v>11</v>
      </c>
      <c r="B40" s="21">
        <f>D34</f>
        <v>2698.7</v>
      </c>
      <c r="C40" s="4"/>
      <c r="D40" s="4"/>
    </row>
    <row r="41" spans="1:4" x14ac:dyDescent="0.25">
      <c r="A41" s="23" t="s">
        <v>35</v>
      </c>
    </row>
    <row r="42" spans="1:4" x14ac:dyDescent="0.25">
      <c r="A42" s="23" t="s">
        <v>36</v>
      </c>
    </row>
    <row r="43" spans="1:4" x14ac:dyDescent="0.25">
      <c r="A43" s="22"/>
    </row>
    <row r="44" spans="1:4" x14ac:dyDescent="0.25">
      <c r="A44" s="22"/>
    </row>
    <row r="45" spans="1:4" x14ac:dyDescent="0.25">
      <c r="A45" s="7" t="s">
        <v>28</v>
      </c>
    </row>
    <row r="47" spans="1:4" x14ac:dyDescent="0.25">
      <c r="A47" t="s">
        <v>29</v>
      </c>
    </row>
    <row r="48" spans="1:4" x14ac:dyDescent="0.25">
      <c r="A48" t="s">
        <v>31</v>
      </c>
    </row>
    <row r="49" spans="1:1" x14ac:dyDescent="0.25">
      <c r="A49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Pereira Simões Leonetti</dc:creator>
  <cp:lastModifiedBy>Daniel Pereira Simões Leonetti</cp:lastModifiedBy>
  <cp:lastPrinted>2018-08-17T21:18:49Z</cp:lastPrinted>
  <dcterms:created xsi:type="dcterms:W3CDTF">2018-08-17T20:28:45Z</dcterms:created>
  <dcterms:modified xsi:type="dcterms:W3CDTF">2018-09-24T12:49:34Z</dcterms:modified>
</cp:coreProperties>
</file>