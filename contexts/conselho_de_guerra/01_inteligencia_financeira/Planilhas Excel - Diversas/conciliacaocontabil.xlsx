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esktop\Analise Clientes x Razao\"/>
    </mc:Choice>
  </mc:AlternateContent>
  <xr:revisionPtr revIDLastSave="0" documentId="13_ncr:1_{C0255128-197A-4DB8-98CE-2EEB0C43F573}" xr6:coauthVersionLast="40" xr6:coauthVersionMax="40" xr10:uidLastSave="{00000000-0000-0000-0000-000000000000}"/>
  <bookViews>
    <workbookView xWindow="-120" yWindow="-120" windowWidth="29040" windowHeight="15840" activeTab="1" xr2:uid="{3C71FE8D-DAA8-4C48-A9AF-F819DDFD47BA}"/>
  </bookViews>
  <sheets>
    <sheet name="Objetivo" sheetId="4" r:id="rId1"/>
    <sheet name="Base de Clientes Atual" sheetId="1" r:id="rId2"/>
    <sheet name="Base de Clientes Dia Anterior" sheetId="2" r:id="rId3"/>
    <sheet name="Lancamentos Contabeis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" i="1"/>
  <c r="F2" i="1"/>
  <c r="E2" i="1"/>
</calcChain>
</file>

<file path=xl/sharedStrings.xml><?xml version="1.0" encoding="utf-8"?>
<sst xmlns="http://schemas.openxmlformats.org/spreadsheetml/2006/main" count="27" uniqueCount="14">
  <si>
    <t>Data</t>
  </si>
  <si>
    <t>Titulos</t>
  </si>
  <si>
    <t>Numero do Cliente</t>
  </si>
  <si>
    <t>Valor</t>
  </si>
  <si>
    <t>Conta Contabil</t>
  </si>
  <si>
    <t xml:space="preserve">Numero Cliente </t>
  </si>
  <si>
    <t xml:space="preserve">Titulos </t>
  </si>
  <si>
    <t>Dia Anterior Procv</t>
  </si>
  <si>
    <t>Nao Encontrado</t>
  </si>
  <si>
    <t>Saldo dia anterior</t>
  </si>
  <si>
    <t>Lancamento Contabeis</t>
  </si>
  <si>
    <t>Sem Movimento</t>
  </si>
  <si>
    <t>Movimento Contabil</t>
  </si>
  <si>
    <t>Analise do 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</si>
</sst>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right"/>
    </xf>
    <xf numFmtId="14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5</xdr:row>
      <xdr:rowOff>57150</xdr:rowOff>
    </xdr:from>
    <xdr:to>
      <xdr:col>11</xdr:col>
      <xdr:colOff>323087</xdr:colOff>
      <xdr:row>14</xdr:row>
      <xdr:rowOff>18840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95114D-D435-43BD-A350-821A91109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1009650"/>
          <a:ext cx="6104762" cy="16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E54F-2A87-4591-B41B-41F7437683FF}">
  <dimension ref="A1"/>
  <sheetViews>
    <sheetView workbookViewId="0">
      <selection activeCell="D24" sqref="D2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A32A-468A-4AE2-8461-0965AC023458}">
  <dimension ref="A1:I22"/>
  <sheetViews>
    <sheetView tabSelected="1" workbookViewId="0">
      <selection activeCell="L11" sqref="L11"/>
    </sheetView>
  </sheetViews>
  <sheetFormatPr defaultRowHeight="15" x14ac:dyDescent="0.25"/>
  <cols>
    <col min="1" max="1" width="9.7109375" style="7" bestFit="1" customWidth="1"/>
    <col min="2" max="2" width="12.7109375" style="7" bestFit="1" customWidth="1"/>
    <col min="3" max="3" width="18.140625" style="7" bestFit="1" customWidth="1"/>
    <col min="4" max="4" width="9.140625" style="7"/>
    <col min="5" max="5" width="17.28515625" style="7" bestFit="1" customWidth="1"/>
    <col min="6" max="6" width="19.140625" style="7" bestFit="1" customWidth="1"/>
    <col min="7" max="7" width="27.7109375" style="7" bestFit="1" customWidth="1"/>
    <col min="8" max="8" width="20" style="7" bestFit="1" customWidth="1"/>
    <col min="9" max="9" width="15.7109375" style="7" bestFit="1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7</v>
      </c>
      <c r="F1" s="7" t="s">
        <v>9</v>
      </c>
      <c r="G1" s="7" t="s">
        <v>10</v>
      </c>
      <c r="H1" s="7" t="s">
        <v>12</v>
      </c>
      <c r="I1" s="7" t="s">
        <v>13</v>
      </c>
    </row>
    <row r="2" spans="1:9" s="7" customFormat="1" x14ac:dyDescent="0.25">
      <c r="A2" s="6">
        <v>43519</v>
      </c>
      <c r="B2" s="7">
        <v>15978583749</v>
      </c>
      <c r="C2" s="7">
        <v>58</v>
      </c>
      <c r="D2" s="8">
        <v>413.03</v>
      </c>
      <c r="E2" s="7">
        <f>IFERROR(VLOOKUP(B2,'Base de Clientes Dia Anterior'!$B:$B,1,0),"Nao Encontrado")</f>
        <v>15978583749</v>
      </c>
      <c r="F2" s="7">
        <f>SUMIFS('Base de Clientes Dia Anterior'!$D$2:$D$21,'Base de Clientes Dia Anterior'!$B$2:$B$21,'Base de Clientes Atual'!B2)</f>
        <v>373.28</v>
      </c>
      <c r="G2" s="8">
        <f>IFERROR(VLOOKUP(B2,'Lancamentos Contabeis'!$D$2:$D$13,1,0),"Sem Movimento")</f>
        <v>15978583749</v>
      </c>
      <c r="H2" s="7">
        <f>SUMIFS('Lancamentos Contabeis'!$E$2:$E$13,'Lancamentos Contabeis'!$D$2:$D$13,'Base de Clientes Atual'!B2)</f>
        <v>39.75</v>
      </c>
      <c r="I2" s="7">
        <f>D2-F2-H2</f>
        <v>0</v>
      </c>
    </row>
    <row r="3" spans="1:9" s="7" customFormat="1" x14ac:dyDescent="0.25">
      <c r="A3" s="6">
        <v>43519</v>
      </c>
      <c r="B3" s="7">
        <v>78346320191</v>
      </c>
      <c r="C3" s="7">
        <v>60</v>
      </c>
      <c r="D3" s="8">
        <v>412.92</v>
      </c>
      <c r="E3" s="7">
        <v>78346320191</v>
      </c>
      <c r="F3" s="7">
        <v>372.95</v>
      </c>
      <c r="G3" s="8">
        <v>78346320191</v>
      </c>
      <c r="H3" s="7">
        <f>SUMIFS('Lancamentos Contabeis'!$E$2:$E$13,'Lancamentos Contabeis'!$D$2:$D$13,'Base de Clientes Atual'!B3)</f>
        <v>39.970000000000027</v>
      </c>
      <c r="I3" s="7">
        <f t="shared" ref="I3:I22" si="0">D3-F3-H3</f>
        <v>0</v>
      </c>
    </row>
    <row r="4" spans="1:9" s="7" customFormat="1" x14ac:dyDescent="0.25">
      <c r="A4" s="3">
        <v>43519</v>
      </c>
      <c r="B4" s="4">
        <v>34300260168</v>
      </c>
      <c r="C4" s="4">
        <v>58</v>
      </c>
      <c r="D4" s="5">
        <v>412.3</v>
      </c>
      <c r="E4" s="4">
        <v>34300260168</v>
      </c>
      <c r="F4" s="4">
        <v>719.52</v>
      </c>
      <c r="G4" s="5" t="s">
        <v>11</v>
      </c>
      <c r="H4" s="4">
        <f>SUMIFS('Lancamentos Contabeis'!$E$2:$E$13,'Lancamentos Contabeis'!$D$2:$D$13,'Base de Clientes Atual'!B4)</f>
        <v>0</v>
      </c>
      <c r="I4" s="4">
        <f t="shared" si="0"/>
        <v>-307.21999999999997</v>
      </c>
    </row>
    <row r="5" spans="1:9" s="7" customFormat="1" x14ac:dyDescent="0.25">
      <c r="A5" s="6">
        <v>43519</v>
      </c>
      <c r="B5" s="7">
        <v>17941024187</v>
      </c>
      <c r="C5" s="7">
        <v>58</v>
      </c>
      <c r="D5" s="8">
        <v>405.91</v>
      </c>
      <c r="E5" s="7">
        <v>17941024187</v>
      </c>
      <c r="F5" s="7">
        <v>368.02</v>
      </c>
      <c r="G5" s="8">
        <v>17941024187</v>
      </c>
      <c r="H5" s="7">
        <f>SUMIFS('Lancamentos Contabeis'!$E$2:$E$13,'Lancamentos Contabeis'!$D$2:$D$13,'Base de Clientes Atual'!B5)</f>
        <v>37.890000000000043</v>
      </c>
      <c r="I5" s="7">
        <f t="shared" si="0"/>
        <v>0</v>
      </c>
    </row>
    <row r="6" spans="1:9" s="7" customFormat="1" x14ac:dyDescent="0.25">
      <c r="A6" s="6">
        <v>43519</v>
      </c>
      <c r="B6" s="7">
        <v>9215890777</v>
      </c>
      <c r="C6" s="7">
        <v>60</v>
      </c>
      <c r="D6" s="8">
        <v>405.28</v>
      </c>
      <c r="E6" s="7">
        <v>9215890777</v>
      </c>
      <c r="F6" s="7">
        <v>365.91</v>
      </c>
      <c r="G6" s="8">
        <v>9215890777</v>
      </c>
      <c r="H6" s="7">
        <f>SUMIFS('Lancamentos Contabeis'!$E$2:$E$13,'Lancamentos Contabeis'!$D$2:$D$13,'Base de Clientes Atual'!B6)</f>
        <v>39.369999999999948</v>
      </c>
      <c r="I6" s="7">
        <f t="shared" si="0"/>
        <v>0</v>
      </c>
    </row>
    <row r="7" spans="1:9" s="7" customFormat="1" x14ac:dyDescent="0.25">
      <c r="A7" s="6">
        <v>43519</v>
      </c>
      <c r="B7" s="7">
        <v>42583632272</v>
      </c>
      <c r="C7" s="7">
        <v>58</v>
      </c>
      <c r="D7" s="8">
        <v>404.65</v>
      </c>
      <c r="E7" s="7">
        <v>42583632272</v>
      </c>
      <c r="F7" s="7">
        <v>365.83</v>
      </c>
      <c r="G7" s="8">
        <v>42583632272</v>
      </c>
      <c r="H7" s="7">
        <f>SUMIFS('Lancamentos Contabeis'!$E$2:$E$13,'Lancamentos Contabeis'!$D$2:$D$13,'Base de Clientes Atual'!B7)</f>
        <v>38.819999999999993</v>
      </c>
      <c r="I7" s="7">
        <f t="shared" si="0"/>
        <v>0</v>
      </c>
    </row>
    <row r="8" spans="1:9" s="7" customFormat="1" x14ac:dyDescent="0.25">
      <c r="A8" s="6">
        <v>43519</v>
      </c>
      <c r="B8" s="7">
        <v>15683109787</v>
      </c>
      <c r="C8" s="7">
        <v>60</v>
      </c>
      <c r="D8" s="8">
        <v>399.67</v>
      </c>
      <c r="E8" s="7">
        <v>15683109787</v>
      </c>
      <c r="F8" s="7">
        <v>364.82</v>
      </c>
      <c r="G8" s="8">
        <v>15683109787</v>
      </c>
      <c r="H8" s="7">
        <f>SUMIFS('Lancamentos Contabeis'!$E$2:$E$13,'Lancamentos Contabeis'!$D$2:$D$13,'Base de Clientes Atual'!B8)</f>
        <v>34.850000000000023</v>
      </c>
      <c r="I8" s="7">
        <f t="shared" si="0"/>
        <v>0</v>
      </c>
    </row>
    <row r="9" spans="1:9" s="7" customFormat="1" x14ac:dyDescent="0.25">
      <c r="A9" s="6">
        <v>43519</v>
      </c>
      <c r="B9" s="7">
        <v>63562561172</v>
      </c>
      <c r="C9" s="7">
        <v>58</v>
      </c>
      <c r="D9" s="8">
        <v>399.14</v>
      </c>
      <c r="E9" s="7">
        <v>63562561172</v>
      </c>
      <c r="F9" s="7">
        <v>399.14</v>
      </c>
      <c r="G9" s="8" t="s">
        <v>11</v>
      </c>
      <c r="H9" s="7">
        <f>SUMIFS('Lancamentos Contabeis'!$E$2:$E$13,'Lancamentos Contabeis'!$D$2:$D$13,'Base de Clientes Atual'!B9)</f>
        <v>0</v>
      </c>
      <c r="I9" s="7">
        <f t="shared" si="0"/>
        <v>0</v>
      </c>
    </row>
    <row r="10" spans="1:9" s="7" customFormat="1" x14ac:dyDescent="0.25">
      <c r="A10" s="6">
        <v>43519</v>
      </c>
      <c r="B10" s="7">
        <v>27382710149</v>
      </c>
      <c r="C10" s="7">
        <v>58</v>
      </c>
      <c r="D10" s="8">
        <v>398</v>
      </c>
      <c r="E10" s="7">
        <v>27382710149</v>
      </c>
      <c r="F10" s="7">
        <v>398</v>
      </c>
      <c r="G10" s="8" t="s">
        <v>11</v>
      </c>
      <c r="H10" s="7">
        <f>SUMIFS('Lancamentos Contabeis'!$E$2:$E$13,'Lancamentos Contabeis'!$D$2:$D$13,'Base de Clientes Atual'!B10)</f>
        <v>0</v>
      </c>
      <c r="I10" s="7">
        <f t="shared" si="0"/>
        <v>0</v>
      </c>
    </row>
    <row r="11" spans="1:9" s="7" customFormat="1" x14ac:dyDescent="0.25">
      <c r="A11" s="6">
        <v>43519</v>
      </c>
      <c r="B11" s="7">
        <v>21925769860</v>
      </c>
      <c r="C11" s="7">
        <v>58</v>
      </c>
      <c r="D11" s="8">
        <v>395.07</v>
      </c>
      <c r="E11" s="7">
        <v>21925769860</v>
      </c>
      <c r="F11" s="7">
        <v>395.07</v>
      </c>
      <c r="G11" s="8" t="s">
        <v>11</v>
      </c>
      <c r="H11" s="7">
        <f>SUMIFS('Lancamentos Contabeis'!$E$2:$E$13,'Lancamentos Contabeis'!$D$2:$D$13,'Base de Clientes Atual'!B11)</f>
        <v>0</v>
      </c>
      <c r="I11" s="7">
        <f t="shared" si="0"/>
        <v>0</v>
      </c>
    </row>
    <row r="12" spans="1:9" s="7" customFormat="1" x14ac:dyDescent="0.25">
      <c r="A12" s="6">
        <v>43519</v>
      </c>
      <c r="B12" s="7">
        <v>80438156153</v>
      </c>
      <c r="C12" s="7">
        <v>58</v>
      </c>
      <c r="D12" s="8">
        <v>393.24</v>
      </c>
      <c r="E12" s="7">
        <v>80438156153</v>
      </c>
      <c r="F12" s="7">
        <v>393.24</v>
      </c>
      <c r="G12" s="8" t="s">
        <v>11</v>
      </c>
      <c r="H12" s="7">
        <f>SUMIFS('Lancamentos Contabeis'!$E$2:$E$13,'Lancamentos Contabeis'!$D$2:$D$13,'Base de Clientes Atual'!B12)</f>
        <v>0</v>
      </c>
      <c r="I12" s="7">
        <f t="shared" si="0"/>
        <v>0</v>
      </c>
    </row>
    <row r="13" spans="1:9" s="7" customFormat="1" x14ac:dyDescent="0.25">
      <c r="A13" s="6">
        <v>43519</v>
      </c>
      <c r="B13" s="7">
        <v>24497860159</v>
      </c>
      <c r="C13" s="7">
        <v>60</v>
      </c>
      <c r="D13" s="8">
        <v>391.76</v>
      </c>
      <c r="E13" s="7">
        <v>24497860159</v>
      </c>
      <c r="F13" s="7">
        <v>391.76</v>
      </c>
      <c r="G13" s="8" t="s">
        <v>11</v>
      </c>
      <c r="H13" s="7">
        <f>SUMIFS('Lancamentos Contabeis'!$E$2:$E$13,'Lancamentos Contabeis'!$D$2:$D$13,'Base de Clientes Atual'!B13)</f>
        <v>0</v>
      </c>
      <c r="I13" s="7">
        <f t="shared" si="0"/>
        <v>0</v>
      </c>
    </row>
    <row r="14" spans="1:9" s="7" customFormat="1" x14ac:dyDescent="0.25">
      <c r="A14" s="3">
        <v>43519</v>
      </c>
      <c r="B14" s="4">
        <v>14386020144</v>
      </c>
      <c r="C14" s="4">
        <v>58</v>
      </c>
      <c r="D14" s="5">
        <v>390.34</v>
      </c>
      <c r="E14" s="4">
        <v>14386020144</v>
      </c>
      <c r="F14" s="4">
        <v>358.84</v>
      </c>
      <c r="G14" s="5">
        <v>14386020144</v>
      </c>
      <c r="H14" s="4">
        <f>SUMIFS('Lancamentos Contabeis'!$E$2:$E$13,'Lancamentos Contabeis'!$D$2:$D$13,'Base de Clientes Atual'!B14)</f>
        <v>47.660000000000025</v>
      </c>
      <c r="I14" s="4">
        <f t="shared" si="0"/>
        <v>-16.160000000000025</v>
      </c>
    </row>
    <row r="15" spans="1:9" s="7" customFormat="1" x14ac:dyDescent="0.25">
      <c r="A15" s="6">
        <v>43519</v>
      </c>
      <c r="B15" s="7">
        <v>47319305100</v>
      </c>
      <c r="C15" s="7">
        <v>60</v>
      </c>
      <c r="D15" s="8">
        <v>383.18</v>
      </c>
      <c r="E15" s="7">
        <v>47319305100</v>
      </c>
      <c r="F15" s="7">
        <v>383.18</v>
      </c>
      <c r="G15" s="8" t="s">
        <v>11</v>
      </c>
      <c r="H15" s="7">
        <f>SUMIFS('Lancamentos Contabeis'!$E$2:$E$13,'Lancamentos Contabeis'!$D$2:$D$13,'Base de Clientes Atual'!B15)</f>
        <v>0</v>
      </c>
      <c r="I15" s="7">
        <f t="shared" si="0"/>
        <v>0</v>
      </c>
    </row>
    <row r="16" spans="1:9" s="7" customFormat="1" x14ac:dyDescent="0.25">
      <c r="A16" s="3">
        <v>43519</v>
      </c>
      <c r="B16" s="4">
        <v>18248977153</v>
      </c>
      <c r="C16" s="4">
        <v>58</v>
      </c>
      <c r="D16" s="5">
        <v>383.1</v>
      </c>
      <c r="E16" s="4" t="s">
        <v>8</v>
      </c>
      <c r="F16" s="4">
        <v>0</v>
      </c>
      <c r="G16" s="5" t="s">
        <v>11</v>
      </c>
      <c r="H16" s="4">
        <f>SUMIFS('Lancamentos Contabeis'!$E$2:$E$13,'Lancamentos Contabeis'!$D$2:$D$13,'Base de Clientes Atual'!B16)</f>
        <v>0</v>
      </c>
      <c r="I16" s="4">
        <f t="shared" si="0"/>
        <v>383.1</v>
      </c>
    </row>
    <row r="17" spans="1:9" s="7" customFormat="1" x14ac:dyDescent="0.25">
      <c r="A17" s="3">
        <v>43519</v>
      </c>
      <c r="B17" s="4">
        <v>15057887149</v>
      </c>
      <c r="C17" s="4">
        <v>60</v>
      </c>
      <c r="D17" s="5">
        <v>382.61</v>
      </c>
      <c r="E17" s="4">
        <v>15057887149</v>
      </c>
      <c r="F17" s="4">
        <v>356.08</v>
      </c>
      <c r="G17" s="5" t="s">
        <v>11</v>
      </c>
      <c r="H17" s="4">
        <f>SUMIFS('Lancamentos Contabeis'!$E$2:$E$13,'Lancamentos Contabeis'!$D$2:$D$13,'Base de Clientes Atual'!B17)</f>
        <v>0</v>
      </c>
      <c r="I17" s="4">
        <f t="shared" si="0"/>
        <v>26.53000000000003</v>
      </c>
    </row>
    <row r="18" spans="1:9" s="7" customFormat="1" x14ac:dyDescent="0.25">
      <c r="A18" s="6">
        <v>43519</v>
      </c>
      <c r="B18" s="7">
        <v>83464794172</v>
      </c>
      <c r="C18" s="7">
        <v>58</v>
      </c>
      <c r="D18" s="8">
        <v>379.5</v>
      </c>
      <c r="E18" s="7">
        <v>83464794172</v>
      </c>
      <c r="F18" s="7">
        <v>355</v>
      </c>
      <c r="G18" s="8">
        <v>83464794172</v>
      </c>
      <c r="H18" s="7">
        <f>SUMIFS('Lancamentos Contabeis'!$E$2:$E$13,'Lancamentos Contabeis'!$D$2:$D$13,'Base de Clientes Atual'!B18)</f>
        <v>24.5</v>
      </c>
      <c r="I18" s="7">
        <f t="shared" si="0"/>
        <v>0</v>
      </c>
    </row>
    <row r="19" spans="1:9" s="7" customFormat="1" x14ac:dyDescent="0.25">
      <c r="A19" s="6">
        <v>43519</v>
      </c>
      <c r="B19" s="7">
        <v>49468693104</v>
      </c>
      <c r="C19" s="7">
        <v>58</v>
      </c>
      <c r="D19" s="8">
        <v>378.54</v>
      </c>
      <c r="E19" s="7">
        <v>49468693104</v>
      </c>
      <c r="F19" s="7">
        <v>350</v>
      </c>
      <c r="G19" s="8">
        <v>49468693104</v>
      </c>
      <c r="H19" s="7">
        <f>SUMIFS('Lancamentos Contabeis'!$E$2:$E$13,'Lancamentos Contabeis'!$D$2:$D$13,'Base de Clientes Atual'!B19)</f>
        <v>28.54000000000002</v>
      </c>
      <c r="I19" s="7">
        <f t="shared" si="0"/>
        <v>0</v>
      </c>
    </row>
    <row r="20" spans="1:9" s="7" customFormat="1" x14ac:dyDescent="0.25">
      <c r="A20" s="6">
        <v>43519</v>
      </c>
      <c r="B20" s="7">
        <v>60251107191</v>
      </c>
      <c r="C20" s="7">
        <v>58</v>
      </c>
      <c r="D20" s="8">
        <v>377.59</v>
      </c>
      <c r="E20" s="7">
        <v>60251107191</v>
      </c>
      <c r="F20" s="7">
        <v>349.75</v>
      </c>
      <c r="G20" s="8">
        <v>60251107191</v>
      </c>
      <c r="H20" s="7">
        <f>SUMIFS('Lancamentos Contabeis'!$E$2:$E$13,'Lancamentos Contabeis'!$D$2:$D$13,'Base de Clientes Atual'!B20)</f>
        <v>27.839999999999975</v>
      </c>
      <c r="I20" s="7">
        <f t="shared" si="0"/>
        <v>0</v>
      </c>
    </row>
    <row r="21" spans="1:9" s="7" customFormat="1" x14ac:dyDescent="0.25">
      <c r="A21" s="6">
        <v>43519</v>
      </c>
      <c r="B21" s="7">
        <v>37689711120</v>
      </c>
      <c r="C21" s="7">
        <v>58</v>
      </c>
      <c r="D21" s="8">
        <v>375</v>
      </c>
      <c r="E21" s="7">
        <v>37689711120</v>
      </c>
      <c r="F21" s="7">
        <v>349</v>
      </c>
      <c r="G21" s="8">
        <v>37689711120</v>
      </c>
      <c r="H21" s="7">
        <f>SUMIFS('Lancamentos Contabeis'!$E$2:$E$13,'Lancamentos Contabeis'!$D$2:$D$13,'Base de Clientes Atual'!B21)</f>
        <v>26</v>
      </c>
      <c r="I21" s="7">
        <f t="shared" si="0"/>
        <v>0</v>
      </c>
    </row>
    <row r="22" spans="1:9" s="7" customFormat="1" x14ac:dyDescent="0.25">
      <c r="A22" s="3">
        <v>43519</v>
      </c>
      <c r="B22" s="4">
        <v>14386020144</v>
      </c>
      <c r="C22" s="4">
        <v>58</v>
      </c>
      <c r="D22" s="5">
        <v>375</v>
      </c>
      <c r="E22" s="4">
        <v>14386020144</v>
      </c>
      <c r="F22" s="4">
        <v>358.84</v>
      </c>
      <c r="G22" s="5">
        <v>14386020144</v>
      </c>
      <c r="H22" s="4">
        <f>SUMIFS('Lancamentos Contabeis'!$E$2:$E$13,'Lancamentos Contabeis'!$D$2:$D$13,'Base de Clientes Atual'!B22)</f>
        <v>47.660000000000025</v>
      </c>
      <c r="I22" s="4">
        <f t="shared" si="0"/>
        <v>-31.5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1BB2-942F-455E-951A-D41ADB0ED31D}">
  <dimension ref="A1:D21"/>
  <sheetViews>
    <sheetView workbookViewId="0">
      <selection activeCell="B21" activeCellId="1" sqref="B4 B21"/>
    </sheetView>
  </sheetViews>
  <sheetFormatPr defaultRowHeight="15" x14ac:dyDescent="0.25"/>
  <cols>
    <col min="1" max="1" width="9.7109375" bestFit="1" customWidth="1"/>
    <col min="2" max="2" width="12" bestFit="1" customWidth="1"/>
    <col min="3" max="3" width="18.1406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s="1">
        <v>43518</v>
      </c>
      <c r="B2">
        <v>15978583749</v>
      </c>
      <c r="C2">
        <v>58</v>
      </c>
      <c r="D2" s="2">
        <v>373.28</v>
      </c>
    </row>
    <row r="3" spans="1:4" x14ac:dyDescent="0.25">
      <c r="A3" s="1">
        <v>43518</v>
      </c>
      <c r="B3">
        <v>78346320191</v>
      </c>
      <c r="C3">
        <v>60</v>
      </c>
      <c r="D3" s="2">
        <v>372.95</v>
      </c>
    </row>
    <row r="4" spans="1:4" x14ac:dyDescent="0.25">
      <c r="A4" s="1">
        <v>43518</v>
      </c>
      <c r="B4">
        <v>34300260168</v>
      </c>
      <c r="C4">
        <v>58</v>
      </c>
      <c r="D4" s="2">
        <v>370.67</v>
      </c>
    </row>
    <row r="5" spans="1:4" x14ac:dyDescent="0.25">
      <c r="A5" s="1">
        <v>43518</v>
      </c>
      <c r="B5">
        <v>17941024187</v>
      </c>
      <c r="C5">
        <v>58</v>
      </c>
      <c r="D5" s="2">
        <v>368.02</v>
      </c>
    </row>
    <row r="6" spans="1:4" x14ac:dyDescent="0.25">
      <c r="A6" s="1">
        <v>43518</v>
      </c>
      <c r="B6">
        <v>9215890777</v>
      </c>
      <c r="C6">
        <v>60</v>
      </c>
      <c r="D6" s="2">
        <v>365.91</v>
      </c>
    </row>
    <row r="7" spans="1:4" x14ac:dyDescent="0.25">
      <c r="A7" s="1">
        <v>43518</v>
      </c>
      <c r="B7">
        <v>42583632272</v>
      </c>
      <c r="C7">
        <v>58</v>
      </c>
      <c r="D7" s="2">
        <v>365.83</v>
      </c>
    </row>
    <row r="8" spans="1:4" x14ac:dyDescent="0.25">
      <c r="A8" s="1">
        <v>43518</v>
      </c>
      <c r="B8">
        <v>15683109787</v>
      </c>
      <c r="C8">
        <v>60</v>
      </c>
      <c r="D8" s="2">
        <v>364.82</v>
      </c>
    </row>
    <row r="9" spans="1:4" x14ac:dyDescent="0.25">
      <c r="A9" s="1">
        <v>43518</v>
      </c>
      <c r="B9">
        <v>63562561172</v>
      </c>
      <c r="C9">
        <v>58</v>
      </c>
      <c r="D9" s="2">
        <v>399.14</v>
      </c>
    </row>
    <row r="10" spans="1:4" x14ac:dyDescent="0.25">
      <c r="A10" s="1">
        <v>43518</v>
      </c>
      <c r="B10">
        <v>27382710149</v>
      </c>
      <c r="C10">
        <v>58</v>
      </c>
      <c r="D10" s="2">
        <v>398</v>
      </c>
    </row>
    <row r="11" spans="1:4" x14ac:dyDescent="0.25">
      <c r="A11" s="1">
        <v>43518</v>
      </c>
      <c r="B11">
        <v>21925769860</v>
      </c>
      <c r="C11">
        <v>58</v>
      </c>
      <c r="D11" s="2">
        <v>395.07</v>
      </c>
    </row>
    <row r="12" spans="1:4" x14ac:dyDescent="0.25">
      <c r="A12" s="1">
        <v>43518</v>
      </c>
      <c r="B12">
        <v>80438156153</v>
      </c>
      <c r="C12">
        <v>58</v>
      </c>
      <c r="D12" s="2">
        <v>393.24</v>
      </c>
    </row>
    <row r="13" spans="1:4" x14ac:dyDescent="0.25">
      <c r="A13" s="1">
        <v>43518</v>
      </c>
      <c r="B13">
        <v>24497860159</v>
      </c>
      <c r="C13">
        <v>60</v>
      </c>
      <c r="D13" s="2">
        <v>391.76</v>
      </c>
    </row>
    <row r="14" spans="1:4" x14ac:dyDescent="0.25">
      <c r="A14" s="1">
        <v>43518</v>
      </c>
      <c r="B14">
        <v>14386020144</v>
      </c>
      <c r="C14">
        <v>58</v>
      </c>
      <c r="D14" s="2">
        <v>358.84</v>
      </c>
    </row>
    <row r="15" spans="1:4" x14ac:dyDescent="0.25">
      <c r="A15" s="1">
        <v>43518</v>
      </c>
      <c r="B15">
        <v>47319305100</v>
      </c>
      <c r="C15">
        <v>60</v>
      </c>
      <c r="D15" s="8">
        <v>383.18</v>
      </c>
    </row>
    <row r="16" spans="1:4" x14ac:dyDescent="0.25">
      <c r="A16" s="1">
        <v>43518</v>
      </c>
      <c r="B16">
        <v>15057887149</v>
      </c>
      <c r="C16">
        <v>60</v>
      </c>
      <c r="D16" s="2">
        <v>356.08</v>
      </c>
    </row>
    <row r="17" spans="1:4" x14ac:dyDescent="0.25">
      <c r="A17" s="1">
        <v>43518</v>
      </c>
      <c r="B17">
        <v>83464794172</v>
      </c>
      <c r="C17">
        <v>58</v>
      </c>
      <c r="D17" s="2">
        <v>355</v>
      </c>
    </row>
    <row r="18" spans="1:4" x14ac:dyDescent="0.25">
      <c r="A18" s="1">
        <v>43518</v>
      </c>
      <c r="B18">
        <v>49468693104</v>
      </c>
      <c r="C18">
        <v>58</v>
      </c>
      <c r="D18" s="2">
        <v>350</v>
      </c>
    </row>
    <row r="19" spans="1:4" x14ac:dyDescent="0.25">
      <c r="A19" s="1">
        <v>43518</v>
      </c>
      <c r="B19">
        <v>60251107191</v>
      </c>
      <c r="C19">
        <v>58</v>
      </c>
      <c r="D19" s="2">
        <v>349.75</v>
      </c>
    </row>
    <row r="20" spans="1:4" x14ac:dyDescent="0.25">
      <c r="A20" s="1">
        <v>43518</v>
      </c>
      <c r="B20">
        <v>37689711120</v>
      </c>
      <c r="C20">
        <v>58</v>
      </c>
      <c r="D20" s="2">
        <v>349</v>
      </c>
    </row>
    <row r="21" spans="1:4" x14ac:dyDescent="0.25">
      <c r="A21" s="1">
        <v>43518</v>
      </c>
      <c r="B21">
        <v>34300260168</v>
      </c>
      <c r="C21">
        <v>58</v>
      </c>
      <c r="D21" s="2">
        <v>348.85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EF29-CD5D-4647-BBE7-B3A19E058084}">
  <dimension ref="A1:E13"/>
  <sheetViews>
    <sheetView workbookViewId="0">
      <selection activeCell="C18" sqref="C18"/>
    </sheetView>
  </sheetViews>
  <sheetFormatPr defaultRowHeight="15" x14ac:dyDescent="0.25"/>
  <cols>
    <col min="1" max="1" width="9.7109375" bestFit="1" customWidth="1"/>
    <col min="2" max="2" width="14.140625" bestFit="1" customWidth="1"/>
    <col min="3" max="3" width="15.7109375" bestFit="1" customWidth="1"/>
    <col min="4" max="4" width="12" bestFit="1" customWidth="1"/>
  </cols>
  <sheetData>
    <row r="1" spans="1:5" x14ac:dyDescent="0.25">
      <c r="A1" t="s">
        <v>0</v>
      </c>
      <c r="B1" t="s">
        <v>4</v>
      </c>
      <c r="C1" t="s">
        <v>5</v>
      </c>
      <c r="D1" t="s">
        <v>6</v>
      </c>
      <c r="E1" t="s">
        <v>3</v>
      </c>
    </row>
    <row r="2" spans="1:5" x14ac:dyDescent="0.25">
      <c r="A2" s="6">
        <v>43519</v>
      </c>
      <c r="B2">
        <v>12310001</v>
      </c>
      <c r="C2">
        <v>58</v>
      </c>
      <c r="D2">
        <v>15978583749</v>
      </c>
      <c r="E2">
        <v>39.75</v>
      </c>
    </row>
    <row r="3" spans="1:5" x14ac:dyDescent="0.25">
      <c r="A3" s="6">
        <v>43519</v>
      </c>
      <c r="B3">
        <v>12310001</v>
      </c>
      <c r="C3">
        <v>60</v>
      </c>
      <c r="D3">
        <v>78346320191</v>
      </c>
      <c r="E3">
        <v>39.970000000000027</v>
      </c>
    </row>
    <row r="4" spans="1:5" x14ac:dyDescent="0.25">
      <c r="A4" s="6">
        <v>43519</v>
      </c>
      <c r="B4">
        <v>12310001</v>
      </c>
      <c r="C4">
        <v>58</v>
      </c>
      <c r="D4">
        <v>17941024187</v>
      </c>
      <c r="E4">
        <v>37.890000000000043</v>
      </c>
    </row>
    <row r="5" spans="1:5" x14ac:dyDescent="0.25">
      <c r="A5" s="6">
        <v>43519</v>
      </c>
      <c r="B5">
        <v>12310001</v>
      </c>
      <c r="C5">
        <v>60</v>
      </c>
      <c r="D5">
        <v>9215890777</v>
      </c>
      <c r="E5">
        <v>39.369999999999948</v>
      </c>
    </row>
    <row r="6" spans="1:5" x14ac:dyDescent="0.25">
      <c r="A6" s="6">
        <v>43519</v>
      </c>
      <c r="B6">
        <v>12310001</v>
      </c>
      <c r="C6">
        <v>58</v>
      </c>
      <c r="D6">
        <v>42583632272</v>
      </c>
      <c r="E6">
        <v>38.819999999999993</v>
      </c>
    </row>
    <row r="7" spans="1:5" x14ac:dyDescent="0.25">
      <c r="A7" s="6">
        <v>43519</v>
      </c>
      <c r="B7">
        <v>12310001</v>
      </c>
      <c r="C7">
        <v>60</v>
      </c>
      <c r="D7">
        <v>15683109787</v>
      </c>
      <c r="E7">
        <v>34.850000000000023</v>
      </c>
    </row>
    <row r="8" spans="1:5" x14ac:dyDescent="0.25">
      <c r="A8" s="6">
        <v>43519</v>
      </c>
      <c r="B8">
        <v>12310001</v>
      </c>
      <c r="C8">
        <v>58</v>
      </c>
      <c r="D8">
        <v>14386020144</v>
      </c>
      <c r="E8">
        <v>31.5</v>
      </c>
    </row>
    <row r="9" spans="1:5" x14ac:dyDescent="0.25">
      <c r="A9" s="6">
        <v>43519</v>
      </c>
      <c r="B9">
        <v>12310001</v>
      </c>
      <c r="C9">
        <v>58</v>
      </c>
      <c r="D9">
        <v>83464794172</v>
      </c>
      <c r="E9">
        <v>24.5</v>
      </c>
    </row>
    <row r="10" spans="1:5" x14ac:dyDescent="0.25">
      <c r="A10" s="6">
        <v>43519</v>
      </c>
      <c r="B10">
        <v>12310001</v>
      </c>
      <c r="C10">
        <v>58</v>
      </c>
      <c r="D10">
        <v>49468693104</v>
      </c>
      <c r="E10">
        <v>28.54000000000002</v>
      </c>
    </row>
    <row r="11" spans="1:5" x14ac:dyDescent="0.25">
      <c r="A11" s="6">
        <v>43519</v>
      </c>
      <c r="B11">
        <v>12310001</v>
      </c>
      <c r="C11">
        <v>58</v>
      </c>
      <c r="D11">
        <v>60251107191</v>
      </c>
      <c r="E11">
        <v>27.839999999999975</v>
      </c>
    </row>
    <row r="12" spans="1:5" x14ac:dyDescent="0.25">
      <c r="A12" s="6">
        <v>43519</v>
      </c>
      <c r="B12">
        <v>12310001</v>
      </c>
      <c r="C12">
        <v>58</v>
      </c>
      <c r="D12">
        <v>37689711120</v>
      </c>
      <c r="E12">
        <v>26</v>
      </c>
    </row>
    <row r="13" spans="1:5" x14ac:dyDescent="0.25">
      <c r="A13" s="6">
        <v>43519</v>
      </c>
      <c r="B13">
        <v>12310001</v>
      </c>
      <c r="C13">
        <v>58</v>
      </c>
      <c r="D13">
        <v>14386020144</v>
      </c>
      <c r="E13">
        <v>16.160000000000025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Objetivo</vt:lpstr>
      <vt:lpstr>Base de Clientes Atual</vt:lpstr>
      <vt:lpstr>Base de Clientes Dia Anterior</vt:lpstr>
      <vt:lpstr>Lancamentos Contabeis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Fraga Falca</dc:creator>
  <cp:lastModifiedBy>Douglas Fraga Falca</cp:lastModifiedBy>
  <dcterms:created xsi:type="dcterms:W3CDTF">2019-02-23T12:41:05Z</dcterms:created>
  <dcterms:modified xsi:type="dcterms:W3CDTF">2019-02-23T13:43:55Z</dcterms:modified>
</cp:coreProperties>
</file>