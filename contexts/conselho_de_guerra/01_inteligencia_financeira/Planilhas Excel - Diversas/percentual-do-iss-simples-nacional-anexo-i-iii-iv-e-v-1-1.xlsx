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4295" windowHeight="4620"/>
  </bookViews>
  <sheets>
    <sheet name="ANEXO I" sheetId="5" r:id="rId1"/>
    <sheet name="ANEXO III" sheetId="4" r:id="rId2"/>
    <sheet name="ANEXO IV" sheetId="6" r:id="rId3"/>
    <sheet name="ANEXO V" sheetId="1" r:id="rId4"/>
    <sheet name="ANEXOS I E III" sheetId="7" r:id="rId5"/>
  </sheets>
  <calcPr calcId="124519"/>
</workbook>
</file>

<file path=xl/calcChain.xml><?xml version="1.0" encoding="utf-8"?>
<calcChain xmlns="http://schemas.openxmlformats.org/spreadsheetml/2006/main">
  <c r="C5" i="7"/>
  <c r="C7" s="1"/>
  <c r="C4" i="4"/>
  <c r="C4" i="7"/>
  <c r="C6" s="1"/>
  <c r="C4" i="6"/>
  <c r="C5" s="1"/>
  <c r="C4" i="5" l="1"/>
  <c r="C5" s="1"/>
  <c r="C5" i="4"/>
  <c r="C4" i="1" l="1"/>
  <c r="C5" s="1"/>
</calcChain>
</file>

<file path=xl/sharedStrings.xml><?xml version="1.0" encoding="utf-8"?>
<sst xmlns="http://schemas.openxmlformats.org/spreadsheetml/2006/main" count="124" uniqueCount="33">
  <si>
    <t>Faturamento 12 meses</t>
  </si>
  <si>
    <t>Percentual de Repartição dos Tributos</t>
  </si>
  <si>
    <t>Faixas</t>
  </si>
  <si>
    <t>IRPJ</t>
  </si>
  <si>
    <t>CSLL</t>
  </si>
  <si>
    <t>Cofins</t>
  </si>
  <si>
    <t>PIS/Pasep</t>
  </si>
  <si>
    <t>CPP</t>
  </si>
  <si>
    <r>
      <t>1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</si>
  <si>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2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</si>
  <si>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3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</si>
  <si>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4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</si>
  <si>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5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</si>
  <si>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6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</si>
  <si>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t>Alíquota Efetiva</t>
  </si>
  <si>
    <t>% do ISS</t>
  </si>
  <si>
    <t>Receita Bruta Total em 12 meses</t>
  </si>
  <si>
    <t>Alíquota</t>
  </si>
  <si>
    <t>Quanto descontar do valor recolhido</t>
  </si>
  <si>
    <t>ISS</t>
  </si>
  <si>
    <t>SIMPLES NACIONAL 2018   -   ANEXO V</t>
  </si>
  <si>
    <t>SIMPLES NACIONAL 2018   -   ANEXO III</t>
  </si>
  <si>
    <t>SIMPLES NACIONAL 2018   -   ANEXO I</t>
  </si>
  <si>
    <t>ICMS</t>
  </si>
  <si>
    <t>% do ICMS</t>
  </si>
  <si>
    <t>SIMPLES NACIONAL 2018   -   ANEXO IV</t>
  </si>
  <si>
    <t>SIMPLES NACIONAL 2018   -   ANEXOS I E III</t>
  </si>
  <si>
    <t>Alíquota Efetiva - ANEXO I</t>
  </si>
  <si>
    <t>Alíquota Efetiva - ANEXO III</t>
  </si>
  <si>
    <t>% do ICMS - ANEXO I</t>
  </si>
  <si>
    <t>% do ICMS - ANEXO III</t>
  </si>
  <si>
    <t>Percentual de Repartição dos Tributos - ANEXO I</t>
  </si>
  <si>
    <t>Percentual de Repartição dos Tributos - ANEXO III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</si>
</sst>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0.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u/>
      <vertAlign val="superscript"/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0" borderId="0" xfId="0" applyNumberFormat="1" applyProtection="1">
      <protection hidden="1"/>
    </xf>
    <xf numFmtId="0" fontId="3" fillId="3" borderId="1" xfId="1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top" wrapText="1"/>
      <protection hidden="1"/>
    </xf>
    <xf numFmtId="0" fontId="4" fillId="0" borderId="3" xfId="0" applyFont="1" applyBorder="1" applyAlignment="1" applyProtection="1">
      <alignment horizontal="center" vertical="top" wrapText="1"/>
      <protection hidden="1"/>
    </xf>
    <xf numFmtId="10" fontId="4" fillId="0" borderId="3" xfId="0" applyNumberFormat="1" applyFont="1" applyBorder="1" applyAlignment="1" applyProtection="1">
      <alignment horizontal="center" vertical="top" wrapText="1"/>
      <protection hidden="1"/>
    </xf>
    <xf numFmtId="0" fontId="3" fillId="3" borderId="1" xfId="1" applyFont="1" applyFill="1" applyBorder="1" applyAlignment="1" applyProtection="1">
      <alignment horizontal="center" vertical="center" wrapText="1"/>
      <protection hidden="1"/>
    </xf>
    <xf numFmtId="44" fontId="0" fillId="0" borderId="1" xfId="0" applyNumberFormat="1" applyBorder="1" applyProtection="1">
      <protection hidden="1"/>
    </xf>
    <xf numFmtId="9" fontId="0" fillId="0" borderId="1" xfId="0" applyNumberFormat="1" applyBorder="1" applyAlignment="1" applyProtection="1">
      <alignment horizontal="center"/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44" fontId="0" fillId="0" borderId="1" xfId="0" applyNumberForma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 2" xfId="1"/>
    <cellStyle name="Separador de milhares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22"/>
  <sheetViews>
    <sheetView tabSelected="1" workbookViewId="0">
      <selection activeCell="C3" sqref="C3"/>
    </sheetView>
  </sheetViews>
  <sheetFormatPr defaultRowHeight="15"/>
  <cols>
    <col min="1" max="1" width="9.140625" style="1"/>
    <col min="2" max="2" width="28.140625" style="1" bestFit="1" customWidth="1"/>
    <col min="3" max="3" width="16.85546875" style="1" bestFit="1" customWidth="1"/>
    <col min="4" max="4" width="14.28515625" style="1" bestFit="1" customWidth="1"/>
    <col min="5" max="16384" width="9.140625" style="1"/>
  </cols>
  <sheetData>
    <row r="1" spans="2:8" ht="59.25" customHeight="1">
      <c r="B1" s="3" t="s">
        <v>22</v>
      </c>
      <c r="C1" s="3"/>
      <c r="D1" s="3"/>
      <c r="E1" s="3"/>
      <c r="F1" s="3"/>
      <c r="G1" s="3"/>
      <c r="H1" s="3"/>
    </row>
    <row r="3" spans="2:8" ht="24.95" customHeight="1">
      <c r="B3" s="2" t="s">
        <v>0</v>
      </c>
      <c r="C3" s="19">
        <v>180000</v>
      </c>
    </row>
    <row r="4" spans="2:8" s="8" customFormat="1" ht="24.95" customHeight="1">
      <c r="B4" s="6" t="s">
        <v>14</v>
      </c>
      <c r="C4" s="7">
        <f>IF(C3&lt;=180000,((C3*C17)-D17)/C3,IF(C3&lt;=B18,((C3*C18)-D18)/C3,IF(C3&lt;=B19,((C3*C19)-D19)/C3,IF(C3&lt;=B20,((C3*C20)-D20)/C3,IF(C3&lt;=B21,((C3*C21)-D21)/C3,IF(C3&lt;=B22,((C3*C22)-D22)/C3,0))))))</f>
        <v>0.04</v>
      </c>
    </row>
    <row r="5" spans="2:8" s="8" customFormat="1" ht="24.95" customHeight="1">
      <c r="B5" s="6" t="s">
        <v>24</v>
      </c>
      <c r="C5" s="9">
        <f>IF(C3&lt;=180000,C4*H9,IF(C3&lt;=B18,C4*H10,IF(C3&lt;=B19,C4*H11,IF(C3&lt;=B20,C4*H12,IF(C3&lt;=B21,C4*H13,IF(C3&lt;=B22,C4*H14,0))))))</f>
        <v>1.3600000000000001E-2</v>
      </c>
    </row>
    <row r="6" spans="2:8" s="8" customFormat="1">
      <c r="C6" s="10"/>
    </row>
    <row r="7" spans="2:8" s="8" customFormat="1" ht="15.75" customHeight="1">
      <c r="B7" s="11" t="s">
        <v>1</v>
      </c>
      <c r="C7" s="11"/>
      <c r="D7" s="11"/>
      <c r="E7" s="11"/>
      <c r="F7" s="11"/>
      <c r="G7" s="11"/>
      <c r="H7" s="11"/>
    </row>
    <row r="8" spans="2:8" s="8" customFormat="1" ht="26.25" thickBot="1">
      <c r="B8" s="12" t="s">
        <v>2</v>
      </c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23</v>
      </c>
    </row>
    <row r="9" spans="2:8" s="8" customFormat="1" ht="15.75" thickBot="1">
      <c r="B9" s="12" t="s">
        <v>8</v>
      </c>
      <c r="C9" s="14">
        <v>5.5E-2</v>
      </c>
      <c r="D9" s="14">
        <v>3.5000000000000003E-2</v>
      </c>
      <c r="E9" s="14">
        <v>0.12740000000000001</v>
      </c>
      <c r="F9" s="14">
        <v>2.76E-2</v>
      </c>
      <c r="G9" s="14">
        <v>0.41499999999999998</v>
      </c>
      <c r="H9" s="14">
        <v>0.34</v>
      </c>
    </row>
    <row r="10" spans="2:8" s="8" customFormat="1" ht="15.75" thickBot="1">
      <c r="B10" s="12" t="s">
        <v>9</v>
      </c>
      <c r="C10" s="14">
        <v>5.5E-2</v>
      </c>
      <c r="D10" s="14">
        <v>3.5000000000000003E-2</v>
      </c>
      <c r="E10" s="14">
        <v>0.12740000000000001</v>
      </c>
      <c r="F10" s="14">
        <v>2.76E-2</v>
      </c>
      <c r="G10" s="14">
        <v>0.41499999999999998</v>
      </c>
      <c r="H10" s="14">
        <v>0.34</v>
      </c>
    </row>
    <row r="11" spans="2:8" s="8" customFormat="1" ht="15.75" thickBot="1">
      <c r="B11" s="12" t="s">
        <v>10</v>
      </c>
      <c r="C11" s="14">
        <v>5.5E-2</v>
      </c>
      <c r="D11" s="14">
        <v>3.5000000000000003E-2</v>
      </c>
      <c r="E11" s="14">
        <v>0.12740000000000001</v>
      </c>
      <c r="F11" s="14">
        <v>2.76E-2</v>
      </c>
      <c r="G11" s="14">
        <v>0.42</v>
      </c>
      <c r="H11" s="14">
        <v>0.33500000000000002</v>
      </c>
    </row>
    <row r="12" spans="2:8" s="8" customFormat="1" ht="15.75" thickBot="1">
      <c r="B12" s="12" t="s">
        <v>11</v>
      </c>
      <c r="C12" s="14">
        <v>5.5E-2</v>
      </c>
      <c r="D12" s="14">
        <v>3.5000000000000003E-2</v>
      </c>
      <c r="E12" s="14">
        <v>0.12740000000000001</v>
      </c>
      <c r="F12" s="14">
        <v>2.76E-2</v>
      </c>
      <c r="G12" s="14">
        <v>0.42</v>
      </c>
      <c r="H12" s="14">
        <v>0.33500000000000002</v>
      </c>
    </row>
    <row r="13" spans="2:8" s="8" customFormat="1" ht="15.75" thickBot="1">
      <c r="B13" s="12" t="s">
        <v>12</v>
      </c>
      <c r="C13" s="14">
        <v>5.5E-2</v>
      </c>
      <c r="D13" s="14">
        <v>3.5000000000000003E-2</v>
      </c>
      <c r="E13" s="14">
        <v>0.12740000000000001</v>
      </c>
      <c r="F13" s="14">
        <v>2.76E-2</v>
      </c>
      <c r="G13" s="14">
        <v>0.42</v>
      </c>
      <c r="H13" s="14">
        <v>0.33500000000000002</v>
      </c>
    </row>
    <row r="14" spans="2:8" s="8" customFormat="1" ht="15.75" thickBot="1">
      <c r="B14" s="12" t="s">
        <v>13</v>
      </c>
      <c r="C14" s="14">
        <v>0.13500000000000001</v>
      </c>
      <c r="D14" s="14">
        <v>0.1</v>
      </c>
      <c r="E14" s="14">
        <v>0.28270000000000001</v>
      </c>
      <c r="F14" s="14">
        <v>6.13E-2</v>
      </c>
      <c r="G14" s="14">
        <v>0.42099999999999999</v>
      </c>
      <c r="H14" s="14">
        <v>0</v>
      </c>
    </row>
    <row r="15" spans="2:8" s="8" customFormat="1"/>
    <row r="16" spans="2:8" s="8" customFormat="1" ht="51" customHeight="1">
      <c r="B16" s="15" t="s">
        <v>16</v>
      </c>
      <c r="C16" s="15" t="s">
        <v>17</v>
      </c>
      <c r="D16" s="15" t="s">
        <v>18</v>
      </c>
    </row>
    <row r="17" spans="2:4" s="8" customFormat="1">
      <c r="B17" s="16">
        <v>180000</v>
      </c>
      <c r="C17" s="17">
        <v>0.04</v>
      </c>
      <c r="D17" s="16">
        <v>0</v>
      </c>
    </row>
    <row r="18" spans="2:4" s="8" customFormat="1">
      <c r="B18" s="16">
        <v>360000</v>
      </c>
      <c r="C18" s="18">
        <v>7.2999999999999995E-2</v>
      </c>
      <c r="D18" s="16">
        <v>5940</v>
      </c>
    </row>
    <row r="19" spans="2:4" s="8" customFormat="1">
      <c r="B19" s="16">
        <v>720000</v>
      </c>
      <c r="C19" s="18">
        <v>9.5000000000000001E-2</v>
      </c>
      <c r="D19" s="16">
        <v>13860</v>
      </c>
    </row>
    <row r="20" spans="2:4" s="8" customFormat="1">
      <c r="B20" s="16">
        <v>1800000</v>
      </c>
      <c r="C20" s="18">
        <v>0.107</v>
      </c>
      <c r="D20" s="16">
        <v>22500</v>
      </c>
    </row>
    <row r="21" spans="2:4" s="8" customFormat="1">
      <c r="B21" s="16">
        <v>3600000</v>
      </c>
      <c r="C21" s="18">
        <v>0.14299999999999999</v>
      </c>
      <c r="D21" s="16">
        <v>87300</v>
      </c>
    </row>
    <row r="22" spans="2:4" s="8" customFormat="1">
      <c r="B22" s="16">
        <v>4800000</v>
      </c>
      <c r="C22" s="17">
        <v>0.19</v>
      </c>
      <c r="D22" s="16">
        <v>378000</v>
      </c>
    </row>
  </sheetData>
  <sheetProtection password="C6AF" sheet="1" objects="1" scenarios="1"/>
  <mergeCells count="2">
    <mergeCell ref="B1:H1"/>
    <mergeCell ref="B7:H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C4" sqref="C4"/>
    </sheetView>
  </sheetViews>
  <sheetFormatPr defaultRowHeight="15"/>
  <cols>
    <col min="1" max="1" width="9.140625" style="4"/>
    <col min="2" max="2" width="28.140625" style="4" bestFit="1" customWidth="1"/>
    <col min="3" max="3" width="16.85546875" style="4" bestFit="1" customWidth="1"/>
    <col min="4" max="4" width="14.28515625" style="4" bestFit="1" customWidth="1"/>
    <col min="5" max="16384" width="9.140625" style="4"/>
  </cols>
  <sheetData>
    <row r="1" spans="2:8" ht="59.25" customHeight="1">
      <c r="B1" s="20" t="s">
        <v>21</v>
      </c>
      <c r="C1" s="20"/>
      <c r="D1" s="20"/>
      <c r="E1" s="20"/>
      <c r="F1" s="20"/>
      <c r="G1" s="20"/>
      <c r="H1" s="20"/>
    </row>
    <row r="3" spans="2:8" ht="24.95" customHeight="1">
      <c r="B3" s="5" t="s">
        <v>0</v>
      </c>
      <c r="C3" s="19">
        <v>180000</v>
      </c>
    </row>
    <row r="4" spans="2:8" ht="24.95" customHeight="1">
      <c r="B4" s="6" t="s">
        <v>14</v>
      </c>
      <c r="C4" s="7">
        <f>IF(C3&lt;=180000,((C3*C17)-D17)/C3,IF(C3&lt;=B18,((C3*C18)-D18)/C3,IF(C3&lt;=B19,((C3*C19)-D19)/C3,IF(C3&lt;=B20,((C3*C20)-D20)/C3,IF(C3&lt;=B21,((C3*C21)-D21)/C3,IF(C3&lt;=B22,((C3*C22)-D22)/C3,0))))))</f>
        <v>0.06</v>
      </c>
      <c r="D4" s="8"/>
      <c r="E4" s="8"/>
      <c r="F4" s="8"/>
      <c r="G4" s="8"/>
      <c r="H4" s="8"/>
    </row>
    <row r="5" spans="2:8" ht="24.95" customHeight="1">
      <c r="B5" s="6" t="s">
        <v>15</v>
      </c>
      <c r="C5" s="9">
        <f>IF(C3&lt;=180000,C4*H9,IF(C3&lt;=B18,C4*H10,IF(C3&lt;=B19,C4*H11,IF(C3&lt;=B20,C4*H12,IF(C3&lt;=B21,C4*H13,IF(C3&lt;=B22,C4*H14,0))))))</f>
        <v>2.01E-2</v>
      </c>
      <c r="D5" s="8"/>
      <c r="E5" s="8"/>
      <c r="F5" s="8"/>
      <c r="G5" s="8"/>
      <c r="H5" s="8"/>
    </row>
    <row r="6" spans="2:8">
      <c r="B6" s="8"/>
      <c r="C6" s="10"/>
      <c r="D6" s="8"/>
      <c r="E6" s="8"/>
      <c r="F6" s="8"/>
      <c r="G6" s="8"/>
      <c r="H6" s="8"/>
    </row>
    <row r="7" spans="2:8" ht="15.75" customHeight="1">
      <c r="B7" s="11" t="s">
        <v>1</v>
      </c>
      <c r="C7" s="11"/>
      <c r="D7" s="11"/>
      <c r="E7" s="11"/>
      <c r="F7" s="11"/>
      <c r="G7" s="11"/>
      <c r="H7" s="11"/>
    </row>
    <row r="8" spans="2:8" ht="26.25" thickBot="1">
      <c r="B8" s="12" t="s">
        <v>2</v>
      </c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19</v>
      </c>
    </row>
    <row r="9" spans="2:8" ht="15.75" thickBot="1">
      <c r="B9" s="12" t="s">
        <v>8</v>
      </c>
      <c r="C9" s="14">
        <v>0.04</v>
      </c>
      <c r="D9" s="14">
        <v>3.5000000000000003E-2</v>
      </c>
      <c r="E9" s="14">
        <v>0.12820000000000001</v>
      </c>
      <c r="F9" s="14">
        <v>2.7799999999999998E-2</v>
      </c>
      <c r="G9" s="14">
        <v>0.434</v>
      </c>
      <c r="H9" s="14">
        <v>0.33500000000000002</v>
      </c>
    </row>
    <row r="10" spans="2:8" ht="15.75" thickBot="1">
      <c r="B10" s="12" t="s">
        <v>9</v>
      </c>
      <c r="C10" s="14">
        <v>0.04</v>
      </c>
      <c r="D10" s="14">
        <v>3.5000000000000003E-2</v>
      </c>
      <c r="E10" s="14">
        <v>0.14050000000000001</v>
      </c>
      <c r="F10" s="14">
        <v>3.0499999999999999E-2</v>
      </c>
      <c r="G10" s="14">
        <v>0.434</v>
      </c>
      <c r="H10" s="14">
        <v>0.32</v>
      </c>
    </row>
    <row r="11" spans="2:8" ht="15.75" thickBot="1">
      <c r="B11" s="12" t="s">
        <v>10</v>
      </c>
      <c r="C11" s="14">
        <v>0.04</v>
      </c>
      <c r="D11" s="14">
        <v>3.5000000000000003E-2</v>
      </c>
      <c r="E11" s="14">
        <v>0.13639999999999999</v>
      </c>
      <c r="F11" s="14">
        <v>2.9600000000000001E-2</v>
      </c>
      <c r="G11" s="14">
        <v>0.434</v>
      </c>
      <c r="H11" s="14">
        <v>0.32500000000000001</v>
      </c>
    </row>
    <row r="12" spans="2:8" ht="15.75" thickBot="1">
      <c r="B12" s="12" t="s">
        <v>11</v>
      </c>
      <c r="C12" s="14">
        <v>0.04</v>
      </c>
      <c r="D12" s="14">
        <v>3.5000000000000003E-2</v>
      </c>
      <c r="E12" s="14">
        <v>0.13639999999999999</v>
      </c>
      <c r="F12" s="14">
        <v>2.9600000000000001E-2</v>
      </c>
      <c r="G12" s="14">
        <v>0.434</v>
      </c>
      <c r="H12" s="14">
        <v>0.32500000000000001</v>
      </c>
    </row>
    <row r="13" spans="2:8" ht="15.75" thickBot="1">
      <c r="B13" s="12" t="s">
        <v>12</v>
      </c>
      <c r="C13" s="14">
        <v>0.04</v>
      </c>
      <c r="D13" s="14">
        <v>3.5000000000000003E-2</v>
      </c>
      <c r="E13" s="14">
        <v>0.12820000000000001</v>
      </c>
      <c r="F13" s="14">
        <v>2.7799999999999998E-2</v>
      </c>
      <c r="G13" s="14">
        <v>0.434</v>
      </c>
      <c r="H13" s="14">
        <v>0.33500000000000002</v>
      </c>
    </row>
    <row r="14" spans="2:8" ht="15.75" thickBot="1">
      <c r="B14" s="12" t="s">
        <v>13</v>
      </c>
      <c r="C14" s="14">
        <v>0.35</v>
      </c>
      <c r="D14" s="14">
        <v>0.15</v>
      </c>
      <c r="E14" s="14">
        <v>0.1603</v>
      </c>
      <c r="F14" s="14">
        <v>3.4700000000000002E-2</v>
      </c>
      <c r="G14" s="14">
        <v>0.30499999999999999</v>
      </c>
      <c r="H14" s="14">
        <v>0</v>
      </c>
    </row>
    <row r="15" spans="2:8">
      <c r="B15" s="8"/>
      <c r="C15" s="8"/>
      <c r="D15" s="8"/>
      <c r="E15" s="8"/>
      <c r="F15" s="8"/>
      <c r="G15" s="8"/>
      <c r="H15" s="8"/>
    </row>
    <row r="16" spans="2:8" ht="51" customHeight="1">
      <c r="B16" s="15" t="s">
        <v>16</v>
      </c>
      <c r="C16" s="15" t="s">
        <v>17</v>
      </c>
      <c r="D16" s="15" t="s">
        <v>18</v>
      </c>
      <c r="E16" s="8"/>
      <c r="F16" s="8"/>
      <c r="G16" s="8"/>
      <c r="H16" s="8"/>
    </row>
    <row r="17" spans="2:8">
      <c r="B17" s="16">
        <v>180000</v>
      </c>
      <c r="C17" s="17">
        <v>0.06</v>
      </c>
      <c r="D17" s="16">
        <v>0</v>
      </c>
      <c r="E17" s="8"/>
      <c r="F17" s="8"/>
      <c r="G17" s="8"/>
      <c r="H17" s="8"/>
    </row>
    <row r="18" spans="2:8">
      <c r="B18" s="16">
        <v>360000</v>
      </c>
      <c r="C18" s="18">
        <v>0.112</v>
      </c>
      <c r="D18" s="16">
        <v>9360</v>
      </c>
      <c r="E18" s="8"/>
      <c r="F18" s="8"/>
      <c r="G18" s="8"/>
      <c r="H18" s="8"/>
    </row>
    <row r="19" spans="2:8">
      <c r="B19" s="16">
        <v>720000</v>
      </c>
      <c r="C19" s="18">
        <v>0.13500000000000001</v>
      </c>
      <c r="D19" s="16">
        <v>17640</v>
      </c>
      <c r="E19" s="8"/>
      <c r="F19" s="8"/>
      <c r="G19" s="8"/>
      <c r="H19" s="8"/>
    </row>
    <row r="20" spans="2:8">
      <c r="B20" s="16">
        <v>1800000</v>
      </c>
      <c r="C20" s="17">
        <v>0.16</v>
      </c>
      <c r="D20" s="16">
        <v>35640</v>
      </c>
      <c r="E20" s="8"/>
      <c r="F20" s="8"/>
      <c r="G20" s="8"/>
      <c r="H20" s="8"/>
    </row>
    <row r="21" spans="2:8">
      <c r="B21" s="16">
        <v>3600000</v>
      </c>
      <c r="C21" s="17">
        <v>0.21</v>
      </c>
      <c r="D21" s="16">
        <v>125640</v>
      </c>
      <c r="E21" s="8"/>
      <c r="F21" s="8"/>
      <c r="G21" s="8"/>
      <c r="H21" s="8"/>
    </row>
    <row r="22" spans="2:8">
      <c r="B22" s="16">
        <v>4800000</v>
      </c>
      <c r="C22" s="17">
        <v>0.33</v>
      </c>
      <c r="D22" s="16">
        <v>648000</v>
      </c>
      <c r="E22" s="8"/>
      <c r="F22" s="8"/>
      <c r="G22" s="8"/>
      <c r="H22" s="8"/>
    </row>
  </sheetData>
  <sheetProtection password="C6AF" sheet="1" objects="1" scenarios="1"/>
  <mergeCells count="2">
    <mergeCell ref="B1:H1"/>
    <mergeCell ref="B7:H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C5" sqref="C5"/>
    </sheetView>
  </sheetViews>
  <sheetFormatPr defaultRowHeight="15"/>
  <cols>
    <col min="1" max="1" width="9.140625" style="4"/>
    <col min="2" max="2" width="28.140625" style="4" bestFit="1" customWidth="1"/>
    <col min="3" max="3" width="16.85546875" style="4" bestFit="1" customWidth="1"/>
    <col min="4" max="4" width="14.28515625" style="4" bestFit="1" customWidth="1"/>
    <col min="5" max="16384" width="9.140625" style="4"/>
  </cols>
  <sheetData>
    <row r="1" spans="2:8" ht="59.25" customHeight="1">
      <c r="B1" s="20" t="s">
        <v>25</v>
      </c>
      <c r="C1" s="20"/>
      <c r="D1" s="20"/>
      <c r="E1" s="20"/>
      <c r="F1" s="20"/>
      <c r="G1" s="20"/>
      <c r="H1" s="20"/>
    </row>
    <row r="3" spans="2:8" ht="24.95" customHeight="1">
      <c r="B3" s="5" t="s">
        <v>0</v>
      </c>
      <c r="C3" s="19">
        <v>180000</v>
      </c>
    </row>
    <row r="4" spans="2:8" ht="24.95" customHeight="1">
      <c r="B4" s="6" t="s">
        <v>14</v>
      </c>
      <c r="C4" s="7">
        <f>IF(C3&lt;=180000,((C3*C17)-D17)/C3,IF(C3&lt;=B18,((C3*C18)-D18)/C3,IF(C3&lt;=B19,((C3*C19)-D19)/C3,IF(C3&lt;=B20,((C3*C20)-D20)/C3,IF(C3&lt;=B21,((C3*C21)-D21)/C3,IF(C3&lt;=B22,((C3*C22)-D22)/C3,0))))))</f>
        <v>4.4999999999999998E-2</v>
      </c>
      <c r="D4" s="8"/>
      <c r="E4" s="8"/>
      <c r="F4" s="8"/>
      <c r="G4" s="8"/>
      <c r="H4" s="8"/>
    </row>
    <row r="5" spans="2:8" ht="24.95" customHeight="1">
      <c r="B5" s="6" t="s">
        <v>15</v>
      </c>
      <c r="C5" s="9">
        <f>IF(C3&lt;=180000,C4*H9,IF(C3&lt;=B18,C4*H10,IF(C3&lt;=B19,C4*H11,IF(C3&lt;=B20,C4*H12,IF(C3&lt;=B21,C4*H13,IF(C3&lt;=B22,C4*H14,0))))))</f>
        <v>2.0025000000000001E-2</v>
      </c>
      <c r="D5" s="8"/>
      <c r="E5" s="8"/>
      <c r="F5" s="8"/>
      <c r="G5" s="8"/>
      <c r="H5" s="8"/>
    </row>
    <row r="6" spans="2:8">
      <c r="B6" s="8"/>
      <c r="C6" s="10"/>
      <c r="D6" s="8"/>
      <c r="E6" s="8"/>
      <c r="F6" s="8"/>
      <c r="G6" s="8"/>
      <c r="H6" s="8"/>
    </row>
    <row r="7" spans="2:8" ht="15.75" customHeight="1">
      <c r="B7" s="11" t="s">
        <v>1</v>
      </c>
      <c r="C7" s="11"/>
      <c r="D7" s="11"/>
      <c r="E7" s="11"/>
      <c r="F7" s="11"/>
      <c r="G7" s="11"/>
      <c r="H7" s="11"/>
    </row>
    <row r="8" spans="2:8" ht="26.25" thickBot="1">
      <c r="B8" s="12" t="s">
        <v>2</v>
      </c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19</v>
      </c>
    </row>
    <row r="9" spans="2:8" ht="15.75" thickBot="1">
      <c r="B9" s="12" t="s">
        <v>8</v>
      </c>
      <c r="C9" s="14">
        <v>0.188</v>
      </c>
      <c r="D9" s="14">
        <v>0.152</v>
      </c>
      <c r="E9" s="14">
        <v>0.1767</v>
      </c>
      <c r="F9" s="14">
        <v>3.8300000000000001E-2</v>
      </c>
      <c r="G9" s="14">
        <v>0</v>
      </c>
      <c r="H9" s="14">
        <v>0.44500000000000001</v>
      </c>
    </row>
    <row r="10" spans="2:8" ht="15.75" thickBot="1">
      <c r="B10" s="12" t="s">
        <v>9</v>
      </c>
      <c r="C10" s="14">
        <v>0.19800000000000001</v>
      </c>
      <c r="D10" s="14">
        <v>0.152</v>
      </c>
      <c r="E10" s="14">
        <v>0.20549999999999999</v>
      </c>
      <c r="F10" s="14">
        <v>4.4499999999999998E-2</v>
      </c>
      <c r="G10" s="14">
        <v>0</v>
      </c>
      <c r="H10" s="14">
        <v>0.4</v>
      </c>
    </row>
    <row r="11" spans="2:8" ht="15.75" thickBot="1">
      <c r="B11" s="12" t="s">
        <v>10</v>
      </c>
      <c r="C11" s="14">
        <v>0.20799999999999999</v>
      </c>
      <c r="D11" s="14">
        <v>0.152</v>
      </c>
      <c r="E11" s="14">
        <v>0.1973</v>
      </c>
      <c r="F11" s="14">
        <v>4.2700000000000002E-2</v>
      </c>
      <c r="G11" s="14">
        <v>0</v>
      </c>
      <c r="H11" s="14">
        <v>0.4</v>
      </c>
    </row>
    <row r="12" spans="2:8" ht="15.75" thickBot="1">
      <c r="B12" s="12" t="s">
        <v>11</v>
      </c>
      <c r="C12" s="14">
        <v>0.17799999999999999</v>
      </c>
      <c r="D12" s="14">
        <v>0.192</v>
      </c>
      <c r="E12" s="14">
        <v>0.189</v>
      </c>
      <c r="F12" s="14">
        <v>4.1000000000000002E-2</v>
      </c>
      <c r="G12" s="14">
        <v>0</v>
      </c>
      <c r="H12" s="14">
        <v>0.4</v>
      </c>
    </row>
    <row r="13" spans="2:8" ht="15.75" thickBot="1">
      <c r="B13" s="12" t="s">
        <v>12</v>
      </c>
      <c r="C13" s="14">
        <v>0.188</v>
      </c>
      <c r="D13" s="14">
        <v>0.192</v>
      </c>
      <c r="E13" s="14">
        <v>0.18079999999999999</v>
      </c>
      <c r="F13" s="14">
        <v>3.9199999999999999E-2</v>
      </c>
      <c r="G13" s="14">
        <v>0</v>
      </c>
      <c r="H13" s="14">
        <v>0.4</v>
      </c>
    </row>
    <row r="14" spans="2:8" ht="15.75" thickBot="1">
      <c r="B14" s="12" t="s">
        <v>13</v>
      </c>
      <c r="C14" s="14">
        <v>0.53500000000000003</v>
      </c>
      <c r="D14" s="14">
        <v>0.215</v>
      </c>
      <c r="E14" s="14">
        <v>0.20549999999999999</v>
      </c>
      <c r="F14" s="14">
        <v>4.4499999999999998E-2</v>
      </c>
      <c r="G14" s="14">
        <v>0</v>
      </c>
      <c r="H14" s="14">
        <v>0</v>
      </c>
    </row>
    <row r="15" spans="2:8">
      <c r="B15" s="8"/>
      <c r="C15" s="8"/>
      <c r="D15" s="8"/>
      <c r="E15" s="8"/>
      <c r="F15" s="8"/>
      <c r="G15" s="8"/>
      <c r="H15" s="8"/>
    </row>
    <row r="16" spans="2:8" ht="51" customHeight="1">
      <c r="B16" s="15" t="s">
        <v>16</v>
      </c>
      <c r="C16" s="15" t="s">
        <v>17</v>
      </c>
      <c r="D16" s="15" t="s">
        <v>18</v>
      </c>
      <c r="E16" s="8"/>
      <c r="F16" s="8"/>
      <c r="G16" s="8"/>
      <c r="H16" s="8"/>
    </row>
    <row r="17" spans="2:8">
      <c r="B17" s="16">
        <v>180000</v>
      </c>
      <c r="C17" s="18">
        <v>4.4999999999999998E-2</v>
      </c>
      <c r="D17" s="16">
        <v>0</v>
      </c>
      <c r="E17" s="8"/>
      <c r="F17" s="8"/>
      <c r="G17" s="8"/>
      <c r="H17" s="8"/>
    </row>
    <row r="18" spans="2:8">
      <c r="B18" s="16">
        <v>360000</v>
      </c>
      <c r="C18" s="17">
        <v>0.09</v>
      </c>
      <c r="D18" s="16">
        <v>8100</v>
      </c>
      <c r="E18" s="8"/>
      <c r="F18" s="8"/>
      <c r="G18" s="8"/>
      <c r="H18" s="8"/>
    </row>
    <row r="19" spans="2:8">
      <c r="B19" s="16">
        <v>720000</v>
      </c>
      <c r="C19" s="18">
        <v>0.10199999999999999</v>
      </c>
      <c r="D19" s="16">
        <v>12420</v>
      </c>
      <c r="E19" s="8"/>
      <c r="F19" s="8"/>
      <c r="G19" s="8"/>
      <c r="H19" s="8"/>
    </row>
    <row r="20" spans="2:8">
      <c r="B20" s="16">
        <v>1800000</v>
      </c>
      <c r="C20" s="17">
        <v>0.14000000000000001</v>
      </c>
      <c r="D20" s="16">
        <v>39780</v>
      </c>
      <c r="E20" s="8"/>
      <c r="F20" s="8"/>
      <c r="G20" s="8"/>
      <c r="H20" s="8"/>
    </row>
    <row r="21" spans="2:8">
      <c r="B21" s="16">
        <v>3600000</v>
      </c>
      <c r="C21" s="17">
        <v>0.22</v>
      </c>
      <c r="D21" s="16">
        <v>183780</v>
      </c>
      <c r="E21" s="8"/>
      <c r="F21" s="8"/>
      <c r="G21" s="8"/>
      <c r="H21" s="8"/>
    </row>
    <row r="22" spans="2:8">
      <c r="B22" s="16">
        <v>4800000</v>
      </c>
      <c r="C22" s="17">
        <v>0.33</v>
      </c>
      <c r="D22" s="16">
        <v>828000</v>
      </c>
      <c r="E22" s="8"/>
      <c r="F22" s="8"/>
      <c r="G22" s="8"/>
      <c r="H22" s="8"/>
    </row>
  </sheetData>
  <sheetProtection password="C6AF" sheet="1" objects="1" scenarios="1"/>
  <mergeCells count="2">
    <mergeCell ref="B1:H1"/>
    <mergeCell ref="B7:H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C3" sqref="C3"/>
    </sheetView>
  </sheetViews>
  <sheetFormatPr defaultRowHeight="15"/>
  <cols>
    <col min="1" max="1" width="9.140625" style="4"/>
    <col min="2" max="2" width="28.140625" style="4" bestFit="1" customWidth="1"/>
    <col min="3" max="3" width="16.85546875" style="4" bestFit="1" customWidth="1"/>
    <col min="4" max="4" width="14.28515625" style="4" bestFit="1" customWidth="1"/>
    <col min="5" max="16384" width="9.140625" style="4"/>
  </cols>
  <sheetData>
    <row r="1" spans="2:8" ht="59.25" customHeight="1">
      <c r="B1" s="20" t="s">
        <v>20</v>
      </c>
      <c r="C1" s="20"/>
      <c r="D1" s="20"/>
      <c r="E1" s="20"/>
      <c r="F1" s="20"/>
      <c r="G1" s="20"/>
      <c r="H1" s="20"/>
    </row>
    <row r="3" spans="2:8" ht="24.95" customHeight="1">
      <c r="B3" s="5" t="s">
        <v>0</v>
      </c>
      <c r="C3" s="19">
        <v>180000</v>
      </c>
    </row>
    <row r="4" spans="2:8" ht="24.95" customHeight="1">
      <c r="B4" s="6" t="s">
        <v>14</v>
      </c>
      <c r="C4" s="7">
        <f>IF(C3&lt;=180000,((C3*C17)-D17)/C3,IF(C3&lt;=B18,((C3*C18)-D18)/C3,IF(C3&lt;=B19,((C3*C19)-D19)/C3,IF(C3&lt;=B20,((C3*C20)-D20)/C3,IF(C3&lt;=B21,((C3*C21)-D21)/C3,IF(C3&lt;=B22,((C3*C22)-D22)/C3,0))))))</f>
        <v>0.155</v>
      </c>
      <c r="D4" s="8"/>
      <c r="E4" s="8"/>
      <c r="F4" s="8"/>
      <c r="G4" s="8"/>
      <c r="H4" s="8"/>
    </row>
    <row r="5" spans="2:8" ht="24.95" customHeight="1">
      <c r="B5" s="6" t="s">
        <v>15</v>
      </c>
      <c r="C5" s="9">
        <f>IF(C3&lt;=180000,C4*H9,IF(C3&lt;=B18,C4*H10,IF(C3&lt;=B19,C4*H11,IF(C3&lt;=B20,C4*H12,IF(C3&lt;=B21,C4*H13,IF(C3&lt;=B22,C4*H14,0))))))</f>
        <v>2.1700000000000001E-2</v>
      </c>
      <c r="D5" s="8"/>
      <c r="E5" s="8"/>
      <c r="F5" s="8"/>
      <c r="G5" s="8"/>
      <c r="H5" s="8"/>
    </row>
    <row r="6" spans="2:8">
      <c r="B6" s="8"/>
      <c r="C6" s="10"/>
      <c r="D6" s="8"/>
      <c r="E6" s="8"/>
      <c r="F6" s="8"/>
      <c r="G6" s="8"/>
      <c r="H6" s="8"/>
    </row>
    <row r="7" spans="2:8" ht="15.75" customHeight="1">
      <c r="B7" s="11" t="s">
        <v>1</v>
      </c>
      <c r="C7" s="11"/>
      <c r="D7" s="11"/>
      <c r="E7" s="11"/>
      <c r="F7" s="11"/>
      <c r="G7" s="11"/>
      <c r="H7" s="11"/>
    </row>
    <row r="8" spans="2:8" ht="26.25" thickBot="1">
      <c r="B8" s="12" t="s">
        <v>2</v>
      </c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19</v>
      </c>
    </row>
    <row r="9" spans="2:8" ht="15.75" thickBot="1">
      <c r="B9" s="12" t="s">
        <v>8</v>
      </c>
      <c r="C9" s="14">
        <v>0.25</v>
      </c>
      <c r="D9" s="14">
        <v>0.15</v>
      </c>
      <c r="E9" s="14">
        <v>0.14099999999999999</v>
      </c>
      <c r="F9" s="14">
        <v>3.0499999999999999E-2</v>
      </c>
      <c r="G9" s="14">
        <v>0.28849999999999998</v>
      </c>
      <c r="H9" s="14">
        <v>0.14000000000000001</v>
      </c>
    </row>
    <row r="10" spans="2:8" ht="15.75" thickBot="1">
      <c r="B10" s="12" t="s">
        <v>9</v>
      </c>
      <c r="C10" s="14">
        <v>0.23</v>
      </c>
      <c r="D10" s="14">
        <v>0.15</v>
      </c>
      <c r="E10" s="14">
        <v>0.14099999999999999</v>
      </c>
      <c r="F10" s="14">
        <v>3.0499999999999999E-2</v>
      </c>
      <c r="G10" s="14">
        <v>0.27850000000000003</v>
      </c>
      <c r="H10" s="14">
        <v>0.17</v>
      </c>
    </row>
    <row r="11" spans="2:8" ht="15.75" thickBot="1">
      <c r="B11" s="12" t="s">
        <v>10</v>
      </c>
      <c r="C11" s="14">
        <v>0.24</v>
      </c>
      <c r="D11" s="14">
        <v>0.15</v>
      </c>
      <c r="E11" s="14">
        <v>0.1492</v>
      </c>
      <c r="F11" s="14">
        <v>3.2300000000000002E-2</v>
      </c>
      <c r="G11" s="14">
        <v>0.23849999999999999</v>
      </c>
      <c r="H11" s="14">
        <v>0.19</v>
      </c>
    </row>
    <row r="12" spans="2:8" ht="15.75" thickBot="1">
      <c r="B12" s="12" t="s">
        <v>11</v>
      </c>
      <c r="C12" s="14">
        <v>0.21</v>
      </c>
      <c r="D12" s="14">
        <v>0.15</v>
      </c>
      <c r="E12" s="14">
        <v>0.15740000000000001</v>
      </c>
      <c r="F12" s="14">
        <v>3.4099999999999998E-2</v>
      </c>
      <c r="G12" s="14">
        <v>0.23849999999999999</v>
      </c>
      <c r="H12" s="14">
        <v>0.21</v>
      </c>
    </row>
    <row r="13" spans="2:8" ht="15.75" thickBot="1">
      <c r="B13" s="12" t="s">
        <v>12</v>
      </c>
      <c r="C13" s="14">
        <v>0.23</v>
      </c>
      <c r="D13" s="14">
        <v>0.125</v>
      </c>
      <c r="E13" s="14">
        <v>0.14099999999999999</v>
      </c>
      <c r="F13" s="14">
        <v>3.0499999999999999E-2</v>
      </c>
      <c r="G13" s="14">
        <v>0.23849999999999999</v>
      </c>
      <c r="H13" s="14">
        <v>0.23499999999999999</v>
      </c>
    </row>
    <row r="14" spans="2:8" ht="15.75" thickBot="1">
      <c r="B14" s="12" t="s">
        <v>13</v>
      </c>
      <c r="C14" s="14">
        <v>0.35</v>
      </c>
      <c r="D14" s="14">
        <v>0.155</v>
      </c>
      <c r="E14" s="14">
        <v>0.16439999999999999</v>
      </c>
      <c r="F14" s="14">
        <v>3.56E-2</v>
      </c>
      <c r="G14" s="14">
        <v>0.29499999999999998</v>
      </c>
      <c r="H14" s="14">
        <v>0</v>
      </c>
    </row>
    <row r="15" spans="2:8">
      <c r="B15" s="8"/>
      <c r="C15" s="8"/>
      <c r="D15" s="8"/>
      <c r="E15" s="8"/>
      <c r="F15" s="8"/>
      <c r="G15" s="8"/>
      <c r="H15" s="8"/>
    </row>
    <row r="16" spans="2:8" ht="51" customHeight="1">
      <c r="B16" s="15" t="s">
        <v>16</v>
      </c>
      <c r="C16" s="15" t="s">
        <v>17</v>
      </c>
      <c r="D16" s="15" t="s">
        <v>18</v>
      </c>
      <c r="E16" s="8"/>
      <c r="F16" s="8"/>
      <c r="G16" s="8"/>
      <c r="H16" s="8"/>
    </row>
    <row r="17" spans="2:8">
      <c r="B17" s="16">
        <v>180000</v>
      </c>
      <c r="C17" s="18">
        <v>0.155</v>
      </c>
      <c r="D17" s="16">
        <v>0</v>
      </c>
      <c r="E17" s="8"/>
      <c r="F17" s="8"/>
      <c r="G17" s="8"/>
      <c r="H17" s="8"/>
    </row>
    <row r="18" spans="2:8">
      <c r="B18" s="16">
        <v>360000</v>
      </c>
      <c r="C18" s="17">
        <v>0.18</v>
      </c>
      <c r="D18" s="16">
        <v>4500</v>
      </c>
      <c r="E18" s="8"/>
      <c r="F18" s="8"/>
      <c r="G18" s="8"/>
      <c r="H18" s="8"/>
    </row>
    <row r="19" spans="2:8">
      <c r="B19" s="16">
        <v>720000</v>
      </c>
      <c r="C19" s="18">
        <v>0.19500000000000001</v>
      </c>
      <c r="D19" s="16">
        <v>9900</v>
      </c>
      <c r="E19" s="8"/>
      <c r="F19" s="8"/>
      <c r="G19" s="8"/>
      <c r="H19" s="8"/>
    </row>
    <row r="20" spans="2:8">
      <c r="B20" s="16">
        <v>1800000</v>
      </c>
      <c r="C20" s="18">
        <v>0.20499999999999999</v>
      </c>
      <c r="D20" s="16">
        <v>17100</v>
      </c>
      <c r="E20" s="8"/>
      <c r="F20" s="8"/>
      <c r="G20" s="8"/>
      <c r="H20" s="8"/>
    </row>
    <row r="21" spans="2:8">
      <c r="B21" s="16">
        <v>3600000</v>
      </c>
      <c r="C21" s="18">
        <v>0.23</v>
      </c>
      <c r="D21" s="16">
        <v>62100</v>
      </c>
      <c r="E21" s="8"/>
      <c r="F21" s="8"/>
      <c r="G21" s="8"/>
      <c r="H21" s="8"/>
    </row>
    <row r="22" spans="2:8">
      <c r="B22" s="16">
        <v>4800000</v>
      </c>
      <c r="C22" s="18">
        <v>0.30499999999999999</v>
      </c>
      <c r="D22" s="16">
        <v>540000</v>
      </c>
      <c r="E22" s="8"/>
      <c r="F22" s="8"/>
      <c r="G22" s="8"/>
      <c r="H22" s="8"/>
    </row>
  </sheetData>
  <sheetProtection password="C6AF" sheet="1" objects="1" scenarios="1"/>
  <mergeCells count="2">
    <mergeCell ref="B7:H7"/>
    <mergeCell ref="B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P32"/>
  <sheetViews>
    <sheetView workbookViewId="0">
      <selection activeCell="C14" sqref="C14"/>
    </sheetView>
  </sheetViews>
  <sheetFormatPr defaultRowHeight="15"/>
  <cols>
    <col min="1" max="1" width="9.140625" style="4"/>
    <col min="2" max="2" width="28.140625" style="4" bestFit="1" customWidth="1"/>
    <col min="3" max="3" width="16.85546875" style="4" bestFit="1" customWidth="1"/>
    <col min="4" max="4" width="14.28515625" style="4" bestFit="1" customWidth="1"/>
    <col min="5" max="16384" width="9.140625" style="4"/>
  </cols>
  <sheetData>
    <row r="1" spans="2:16" ht="59.25" customHeight="1">
      <c r="B1" s="20" t="s">
        <v>26</v>
      </c>
      <c r="C1" s="20"/>
      <c r="D1" s="20"/>
      <c r="E1" s="20"/>
      <c r="F1" s="20"/>
      <c r="G1" s="20"/>
      <c r="H1" s="20"/>
    </row>
    <row r="3" spans="2:16" ht="24.95" customHeight="1">
      <c r="B3" s="5" t="s">
        <v>0</v>
      </c>
      <c r="C3" s="19">
        <v>180000</v>
      </c>
    </row>
    <row r="4" spans="2:16" s="8" customFormat="1" ht="24.95" customHeight="1">
      <c r="B4" s="6" t="s">
        <v>27</v>
      </c>
      <c r="C4" s="7">
        <f>IF(C3&lt;=180000,((C3*C19)-D19)/C3,IF(C3&lt;=B20,((C3*C20)-D20)/C3,IF(C3&lt;=B21,((C3*C21)-D21)/C3,IF(C3&lt;=B22,((C3*C22)-D22)/C3,IF(C3&lt;=B23,((C3*C23)-D23)/C3,IF(C3&lt;=B24,((C3*C24)-D24)/C3,0))))))</f>
        <v>0.04</v>
      </c>
    </row>
    <row r="5" spans="2:16" s="8" customFormat="1" ht="24.95" customHeight="1">
      <c r="B5" s="6" t="s">
        <v>28</v>
      </c>
      <c r="C5" s="7">
        <f>IF(C3&lt;=180000,((C3*C27)-D27)/C3,IF(C3&lt;=B28,((C3*C28)-D28)/C3,IF(C3&lt;=B29,((C3*C29)-D29)/C3,IF(C3&lt;=B30,((C3*C30)-D30)/C3,IF(C3&lt;=B31,((C3*C31)-D31)/C3,IF(C3&lt;=B32,((C3*C32)-D32)/C3,0))))))</f>
        <v>0.06</v>
      </c>
    </row>
    <row r="6" spans="2:16" s="8" customFormat="1" ht="24.95" customHeight="1">
      <c r="B6" s="21" t="s">
        <v>29</v>
      </c>
      <c r="C6" s="9">
        <f>IF(C3&lt;=180000,C4*H11,IF(C3&lt;=B20,C4*H12,IF(C3&lt;=B21,C4*H13,IF(C3&lt;=B22,C4*H14,IF(C3&lt;=B23,C4*H15,IF(C3&lt;=B24,C4*H16,0))))))</f>
        <v>1.3600000000000001E-2</v>
      </c>
    </row>
    <row r="7" spans="2:16" s="8" customFormat="1" ht="24.95" customHeight="1">
      <c r="B7" s="21" t="s">
        <v>30</v>
      </c>
      <c r="C7" s="9">
        <f>IF(C3&lt;=180000,C5*P11,IF(C3&lt;=B28,C5*P12,IF(C3&lt;=B29,C5*P13,IF(C3&lt;=B30,C5*P14,IF(C3&lt;=B31,C5*P15,IF(C3&lt;=B32,C5*P16,0))))))</f>
        <v>2.01E-2</v>
      </c>
    </row>
    <row r="8" spans="2:16" s="8" customFormat="1">
      <c r="C8" s="10"/>
    </row>
    <row r="9" spans="2:16" s="8" customFormat="1" ht="15.75" customHeight="1">
      <c r="B9" s="11" t="s">
        <v>31</v>
      </c>
      <c r="C9" s="11"/>
      <c r="D9" s="11"/>
      <c r="E9" s="11"/>
      <c r="F9" s="11"/>
      <c r="G9" s="11"/>
      <c r="H9" s="11"/>
      <c r="J9" s="11" t="s">
        <v>32</v>
      </c>
      <c r="K9" s="11"/>
      <c r="L9" s="11"/>
      <c r="M9" s="11"/>
      <c r="N9" s="11"/>
      <c r="O9" s="11"/>
      <c r="P9" s="11"/>
    </row>
    <row r="10" spans="2:16" s="8" customFormat="1" ht="26.25" thickBot="1">
      <c r="B10" s="12" t="s">
        <v>2</v>
      </c>
      <c r="C10" s="13" t="s">
        <v>3</v>
      </c>
      <c r="D10" s="13" t="s">
        <v>4</v>
      </c>
      <c r="E10" s="13" t="s">
        <v>5</v>
      </c>
      <c r="F10" s="13" t="s">
        <v>6</v>
      </c>
      <c r="G10" s="13" t="s">
        <v>7</v>
      </c>
      <c r="H10" s="13" t="s">
        <v>23</v>
      </c>
      <c r="J10" s="12" t="s">
        <v>2</v>
      </c>
      <c r="K10" s="13" t="s">
        <v>3</v>
      </c>
      <c r="L10" s="13" t="s">
        <v>4</v>
      </c>
      <c r="M10" s="13" t="s">
        <v>5</v>
      </c>
      <c r="N10" s="13" t="s">
        <v>6</v>
      </c>
      <c r="O10" s="13" t="s">
        <v>7</v>
      </c>
      <c r="P10" s="13" t="s">
        <v>19</v>
      </c>
    </row>
    <row r="11" spans="2:16" s="8" customFormat="1" ht="15.75" thickBot="1">
      <c r="B11" s="12" t="s">
        <v>8</v>
      </c>
      <c r="C11" s="14">
        <v>5.5E-2</v>
      </c>
      <c r="D11" s="14">
        <v>3.5000000000000003E-2</v>
      </c>
      <c r="E11" s="14">
        <v>0.12740000000000001</v>
      </c>
      <c r="F11" s="14">
        <v>2.76E-2</v>
      </c>
      <c r="G11" s="14">
        <v>0.41499999999999998</v>
      </c>
      <c r="H11" s="14">
        <v>0.34</v>
      </c>
      <c r="J11" s="12" t="s">
        <v>8</v>
      </c>
      <c r="K11" s="14">
        <v>0.04</v>
      </c>
      <c r="L11" s="14">
        <v>3.5000000000000003E-2</v>
      </c>
      <c r="M11" s="14">
        <v>0.12820000000000001</v>
      </c>
      <c r="N11" s="14">
        <v>2.7799999999999998E-2</v>
      </c>
      <c r="O11" s="14">
        <v>0.434</v>
      </c>
      <c r="P11" s="14">
        <v>0.33500000000000002</v>
      </c>
    </row>
    <row r="12" spans="2:16" s="8" customFormat="1" ht="15.75" thickBot="1">
      <c r="B12" s="12" t="s">
        <v>9</v>
      </c>
      <c r="C12" s="14">
        <v>5.5E-2</v>
      </c>
      <c r="D12" s="14">
        <v>3.5000000000000003E-2</v>
      </c>
      <c r="E12" s="14">
        <v>0.12740000000000001</v>
      </c>
      <c r="F12" s="14">
        <v>2.76E-2</v>
      </c>
      <c r="G12" s="14">
        <v>0.41499999999999998</v>
      </c>
      <c r="H12" s="14">
        <v>0.34</v>
      </c>
      <c r="J12" s="12" t="s">
        <v>9</v>
      </c>
      <c r="K12" s="14">
        <v>0.04</v>
      </c>
      <c r="L12" s="14">
        <v>3.5000000000000003E-2</v>
      </c>
      <c r="M12" s="14">
        <v>0.14050000000000001</v>
      </c>
      <c r="N12" s="14">
        <v>3.0499999999999999E-2</v>
      </c>
      <c r="O12" s="14">
        <v>0.434</v>
      </c>
      <c r="P12" s="14">
        <v>0.32</v>
      </c>
    </row>
    <row r="13" spans="2:16" s="8" customFormat="1" ht="15.75" thickBot="1">
      <c r="B13" s="12" t="s">
        <v>10</v>
      </c>
      <c r="C13" s="14">
        <v>5.5E-2</v>
      </c>
      <c r="D13" s="14">
        <v>3.5000000000000003E-2</v>
      </c>
      <c r="E13" s="14">
        <v>0.12740000000000001</v>
      </c>
      <c r="F13" s="14">
        <v>2.76E-2</v>
      </c>
      <c r="G13" s="14">
        <v>0.42</v>
      </c>
      <c r="H13" s="14">
        <v>0.33500000000000002</v>
      </c>
      <c r="J13" s="12" t="s">
        <v>10</v>
      </c>
      <c r="K13" s="14">
        <v>0.04</v>
      </c>
      <c r="L13" s="14">
        <v>3.5000000000000003E-2</v>
      </c>
      <c r="M13" s="14">
        <v>0.13639999999999999</v>
      </c>
      <c r="N13" s="14">
        <v>2.9600000000000001E-2</v>
      </c>
      <c r="O13" s="14">
        <v>0.434</v>
      </c>
      <c r="P13" s="14">
        <v>0.32500000000000001</v>
      </c>
    </row>
    <row r="14" spans="2:16" s="8" customFormat="1" ht="15.75" thickBot="1">
      <c r="B14" s="12" t="s">
        <v>11</v>
      </c>
      <c r="C14" s="14">
        <v>5.5E-2</v>
      </c>
      <c r="D14" s="14">
        <v>3.5000000000000003E-2</v>
      </c>
      <c r="E14" s="14">
        <v>0.12740000000000001</v>
      </c>
      <c r="F14" s="14">
        <v>2.76E-2</v>
      </c>
      <c r="G14" s="14">
        <v>0.42</v>
      </c>
      <c r="H14" s="14">
        <v>0.33500000000000002</v>
      </c>
      <c r="J14" s="12" t="s">
        <v>11</v>
      </c>
      <c r="K14" s="14">
        <v>0.04</v>
      </c>
      <c r="L14" s="14">
        <v>3.5000000000000003E-2</v>
      </c>
      <c r="M14" s="14">
        <v>0.13639999999999999</v>
      </c>
      <c r="N14" s="14">
        <v>2.9600000000000001E-2</v>
      </c>
      <c r="O14" s="14">
        <v>0.434</v>
      </c>
      <c r="P14" s="14">
        <v>0.32500000000000001</v>
      </c>
    </row>
    <row r="15" spans="2:16" s="8" customFormat="1" ht="15.75" thickBot="1">
      <c r="B15" s="12" t="s">
        <v>12</v>
      </c>
      <c r="C15" s="14">
        <v>5.5E-2</v>
      </c>
      <c r="D15" s="14">
        <v>3.5000000000000003E-2</v>
      </c>
      <c r="E15" s="14">
        <v>0.12740000000000001</v>
      </c>
      <c r="F15" s="14">
        <v>2.76E-2</v>
      </c>
      <c r="G15" s="14">
        <v>0.42</v>
      </c>
      <c r="H15" s="14">
        <v>0.33500000000000002</v>
      </c>
      <c r="J15" s="12" t="s">
        <v>12</v>
      </c>
      <c r="K15" s="14">
        <v>0.04</v>
      </c>
      <c r="L15" s="14">
        <v>3.5000000000000003E-2</v>
      </c>
      <c r="M15" s="14">
        <v>0.12820000000000001</v>
      </c>
      <c r="N15" s="14">
        <v>2.7799999999999998E-2</v>
      </c>
      <c r="O15" s="14">
        <v>0.434</v>
      </c>
      <c r="P15" s="14">
        <v>0.33500000000000002</v>
      </c>
    </row>
    <row r="16" spans="2:16" s="8" customFormat="1" ht="15.75" thickBot="1">
      <c r="B16" s="12" t="s">
        <v>13</v>
      </c>
      <c r="C16" s="14">
        <v>0.13500000000000001</v>
      </c>
      <c r="D16" s="14">
        <v>0.1</v>
      </c>
      <c r="E16" s="14">
        <v>0.28270000000000001</v>
      </c>
      <c r="F16" s="14">
        <v>6.13E-2</v>
      </c>
      <c r="G16" s="14">
        <v>0.42099999999999999</v>
      </c>
      <c r="H16" s="14">
        <v>0</v>
      </c>
      <c r="J16" s="12" t="s">
        <v>13</v>
      </c>
      <c r="K16" s="14">
        <v>0.35</v>
      </c>
      <c r="L16" s="14">
        <v>0.15</v>
      </c>
      <c r="M16" s="14">
        <v>0.1603</v>
      </c>
      <c r="N16" s="14">
        <v>3.4700000000000002E-2</v>
      </c>
      <c r="O16" s="14">
        <v>0.30499999999999999</v>
      </c>
      <c r="P16" s="14">
        <v>0</v>
      </c>
    </row>
    <row r="17" spans="2:4" s="8" customFormat="1"/>
    <row r="18" spans="2:4" s="8" customFormat="1" ht="51" customHeight="1">
      <c r="B18" s="15" t="s">
        <v>16</v>
      </c>
      <c r="C18" s="15" t="s">
        <v>17</v>
      </c>
      <c r="D18" s="15" t="s">
        <v>18</v>
      </c>
    </row>
    <row r="19" spans="2:4" s="8" customFormat="1">
      <c r="B19" s="16">
        <v>180000</v>
      </c>
      <c r="C19" s="17">
        <v>0.04</v>
      </c>
      <c r="D19" s="16">
        <v>0</v>
      </c>
    </row>
    <row r="20" spans="2:4" s="8" customFormat="1">
      <c r="B20" s="16">
        <v>360000</v>
      </c>
      <c r="C20" s="18">
        <v>7.2999999999999995E-2</v>
      </c>
      <c r="D20" s="16">
        <v>5940</v>
      </c>
    </row>
    <row r="21" spans="2:4" s="8" customFormat="1">
      <c r="B21" s="16">
        <v>720000</v>
      </c>
      <c r="C21" s="18">
        <v>9.5000000000000001E-2</v>
      </c>
      <c r="D21" s="16">
        <v>13860</v>
      </c>
    </row>
    <row r="22" spans="2:4" s="8" customFormat="1">
      <c r="B22" s="16">
        <v>1800000</v>
      </c>
      <c r="C22" s="18">
        <v>0.107</v>
      </c>
      <c r="D22" s="16">
        <v>22500</v>
      </c>
    </row>
    <row r="23" spans="2:4" s="8" customFormat="1">
      <c r="B23" s="16">
        <v>3600000</v>
      </c>
      <c r="C23" s="18">
        <v>0.14299999999999999</v>
      </c>
      <c r="D23" s="16">
        <v>87300</v>
      </c>
    </row>
    <row r="24" spans="2:4" s="8" customFormat="1">
      <c r="B24" s="16">
        <v>4800000</v>
      </c>
      <c r="C24" s="17">
        <v>0.19</v>
      </c>
      <c r="D24" s="16">
        <v>378000</v>
      </c>
    </row>
    <row r="25" spans="2:4" s="8" customFormat="1"/>
    <row r="26" spans="2:4" s="8" customFormat="1" ht="38.25">
      <c r="B26" s="15" t="s">
        <v>16</v>
      </c>
      <c r="C26" s="15" t="s">
        <v>17</v>
      </c>
      <c r="D26" s="15" t="s">
        <v>18</v>
      </c>
    </row>
    <row r="27" spans="2:4" s="8" customFormat="1">
      <c r="B27" s="16">
        <v>180000</v>
      </c>
      <c r="C27" s="17">
        <v>0.06</v>
      </c>
      <c r="D27" s="16">
        <v>0</v>
      </c>
    </row>
    <row r="28" spans="2:4" s="8" customFormat="1">
      <c r="B28" s="16">
        <v>360000</v>
      </c>
      <c r="C28" s="18">
        <v>0.112</v>
      </c>
      <c r="D28" s="16">
        <v>9360</v>
      </c>
    </row>
    <row r="29" spans="2:4" s="8" customFormat="1">
      <c r="B29" s="16">
        <v>720000</v>
      </c>
      <c r="C29" s="18">
        <v>0.13500000000000001</v>
      </c>
      <c r="D29" s="16">
        <v>17640</v>
      </c>
    </row>
    <row r="30" spans="2:4" s="8" customFormat="1">
      <c r="B30" s="16">
        <v>1800000</v>
      </c>
      <c r="C30" s="17">
        <v>0.16</v>
      </c>
      <c r="D30" s="16">
        <v>35640</v>
      </c>
    </row>
    <row r="31" spans="2:4" s="8" customFormat="1">
      <c r="B31" s="16">
        <v>3600000</v>
      </c>
      <c r="C31" s="17">
        <v>0.21</v>
      </c>
      <c r="D31" s="16">
        <v>125640</v>
      </c>
    </row>
    <row r="32" spans="2:4" s="8" customFormat="1">
      <c r="B32" s="16">
        <v>4800000</v>
      </c>
      <c r="C32" s="17">
        <v>0.33</v>
      </c>
      <c r="D32" s="16">
        <v>648000</v>
      </c>
    </row>
  </sheetData>
  <sheetProtection password="C6AF" sheet="1" objects="1" scenarios="1"/>
  <mergeCells count="3">
    <mergeCell ref="B1:H1"/>
    <mergeCell ref="B9:H9"/>
    <mergeCell ref="J9:P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III</vt:lpstr>
      <vt:lpstr>ANEXO IV</vt:lpstr>
      <vt:lpstr>ANEXO V</vt:lpstr>
      <vt:lpstr>ANEXOS I E III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Orcal</dc:creator>
  <cp:lastModifiedBy>Orcal</cp:lastModifiedBy>
  <dcterms:created xsi:type="dcterms:W3CDTF">2018-01-11T16:05:03Z</dcterms:created>
  <dcterms:modified xsi:type="dcterms:W3CDTF">2018-03-01T16:17:01Z</dcterms:modified>
</cp:coreProperties>
</file>