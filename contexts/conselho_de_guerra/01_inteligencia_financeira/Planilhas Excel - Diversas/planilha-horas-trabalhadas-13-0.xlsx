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ate1904="1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4000" windowHeight="9510" firstSheet="1" activeTab="1" xr2:uid="{00000000-000D-0000-FFFF-FFFF00000000}"/>
  </bookViews>
  <sheets>
    <sheet name="Início" sheetId="4" state="hidden" r:id="rId1"/>
    <sheet name="Cálculo Salarial" sheetId="1" r:id="rId2"/>
    <sheet name="Planilha1" sheetId="2" state="hidden" r:id="rId3"/>
  </sheets>
  <calcPr calcId="171027"/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4" i="1"/>
  <c r="L6" i="1" l="1"/>
  <c r="L5" i="1"/>
  <c r="M6" i="1"/>
  <c r="M5" i="1" l="1"/>
  <c r="M7" i="1" l="1"/>
  <c r="L7" i="1"/>
  <c r="M29" i="1" l="1"/>
  <c r="L29" i="1"/>
  <c r="M32" i="1"/>
  <c r="L32" i="1"/>
  <c r="M24" i="1"/>
  <c r="L24" i="1"/>
  <c r="M33" i="1"/>
  <c r="L33" i="1"/>
  <c r="M25" i="1"/>
  <c r="L25" i="1"/>
  <c r="M28" i="1"/>
  <c r="L28" i="1"/>
  <c r="M27" i="1"/>
  <c r="L27" i="1"/>
  <c r="M23" i="1"/>
  <c r="L23" i="1"/>
  <c r="M26" i="1" l="1"/>
  <c r="L26" i="1"/>
  <c r="M34" i="1"/>
  <c r="L34" i="1"/>
  <c r="M31" i="1"/>
  <c r="L31" i="1"/>
  <c r="M30" i="1"/>
  <c r="L30" i="1"/>
  <c r="K35" i="1"/>
  <c r="Q17" i="1" s="1"/>
  <c r="M20" i="1" l="1"/>
  <c r="L20" i="1"/>
  <c r="M8" i="1"/>
  <c r="L8" i="1"/>
  <c r="M21" i="1"/>
  <c r="L21" i="1"/>
  <c r="M18" i="1" l="1"/>
  <c r="L18" i="1"/>
  <c r="M17" i="1"/>
  <c r="L17" i="1"/>
  <c r="M13" i="1"/>
  <c r="L13" i="1"/>
  <c r="M9" i="1"/>
  <c r="L9" i="1"/>
  <c r="M22" i="1"/>
  <c r="L22" i="1"/>
  <c r="L14" i="1"/>
  <c r="M14" i="1"/>
  <c r="L10" i="1"/>
  <c r="L12" i="1"/>
  <c r="L11" i="1"/>
  <c r="H35" i="1"/>
  <c r="I4" i="1"/>
  <c r="M11" i="1" l="1"/>
  <c r="M12" i="1"/>
  <c r="M15" i="1"/>
  <c r="L15" i="1"/>
  <c r="M16" i="1"/>
  <c r="L16" i="1"/>
  <c r="M19" i="1"/>
  <c r="L19" i="1"/>
  <c r="M10" i="1"/>
  <c r="Q15" i="1"/>
  <c r="I35" i="1"/>
  <c r="L4" i="1" l="1"/>
  <c r="L35" i="1" s="1"/>
  <c r="P11" i="1" s="1"/>
  <c r="P13" i="1" s="1"/>
  <c r="J35" i="1"/>
  <c r="M4" i="1"/>
  <c r="Q16" i="1" l="1"/>
  <c r="Q18" i="1" s="1"/>
  <c r="M35" i="1"/>
</calcChain>
</file>

<file path=xl/sharedStrings.xml><?xml version="1.0" encoding="utf-8"?>
<sst xmlns="http://schemas.openxmlformats.org/spreadsheetml/2006/main" count="123" uniqueCount="59">
  <si>
    <t>Dia</t>
  </si>
  <si>
    <t>Entrada</t>
  </si>
  <si>
    <t>Saída</t>
  </si>
  <si>
    <t>Almoço</t>
  </si>
  <si>
    <t>Total</t>
  </si>
  <si>
    <t>Valor da hora:</t>
  </si>
  <si>
    <t>Valor da hora extra:</t>
  </si>
  <si>
    <t>Horas Extras</t>
  </si>
  <si>
    <t>Tabela para cálculo salarial e horas trabalhadas</t>
  </si>
  <si>
    <t>Valor devido do dia</t>
  </si>
  <si>
    <t>Horas Noturnas</t>
  </si>
  <si>
    <t>Adicional de Hora Noturna</t>
  </si>
  <si>
    <t>no outro, não coloque horário de saída como 02:00 (2 da manhã), mas sim</t>
  </si>
  <si>
    <t>como 26:00 (24 horas + 2 horas).</t>
  </si>
  <si>
    <t>Se você colocar 26 o Excel irá retornar erro.</t>
  </si>
  <si>
    <t>e o horário de saída às 24 horas. Coloque como "horário normal" até às 18 horas</t>
  </si>
  <si>
    <t>e coloque o restante (= 6 horas do expediente) na coluna de horas noturnas.</t>
  </si>
  <si>
    <t>Só assim o adicional de hora noturna será calculada devidamente.</t>
  </si>
  <si>
    <r>
      <rPr>
        <b/>
        <sz val="11"/>
        <color rgb="FFFF0000"/>
        <rFont val="Calibri"/>
        <family val="2"/>
        <scheme val="minor"/>
      </rPr>
      <t>Observação importante</t>
    </r>
    <r>
      <rPr>
        <b/>
        <sz val="11"/>
        <color theme="1"/>
        <rFont val="Calibri"/>
        <family val="2"/>
        <scheme val="minor"/>
      </rPr>
      <t xml:space="preserve"> 2: Se o seu horário de entrada for às 15 horas da tarde</t>
    </r>
  </si>
  <si>
    <t>Horas Trabalhadas</t>
  </si>
  <si>
    <t>Horas faltantes/dia</t>
  </si>
  <si>
    <t>Horas trabalhadas/dia</t>
  </si>
  <si>
    <t>Horas trabalhadas/mês</t>
  </si>
  <si>
    <t>Banco de horas</t>
  </si>
  <si>
    <t>Horas esperadas/mês</t>
  </si>
  <si>
    <t>Total a receber no mês</t>
  </si>
  <si>
    <t>Dia/semana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</si>
  <si>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</si>
  <si>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</si>
  <si>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</si>
  <si>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</si>
  <si>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</si>
  <si>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</si>
  <si>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</si>
  <si>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Dia de folga 1</t>
  </si>
  <si>
    <t>Dia de folga 2</t>
  </si>
  <si>
    <t>-</t>
  </si>
  <si>
    <t>&lt;</t>
  </si>
  <si>
    <t>Atenção:</t>
  </si>
  <si>
    <t>A planilha encontra-se bloqueada antes do primeiro acesso.</t>
  </si>
  <si>
    <t>?</t>
  </si>
  <si>
    <t>Feriado</t>
  </si>
  <si>
    <t>Não</t>
  </si>
  <si>
    <t>Sim</t>
  </si>
  <si>
    <t>Ajuste de horas</t>
  </si>
  <si>
    <t>Salário devido por horas regulares:</t>
  </si>
  <si>
    <t>Salário devido por horas extra:</t>
  </si>
  <si>
    <t>Salário devido por horas Noturnas</t>
  </si>
  <si>
    <r>
      <t>Observação importante</t>
    </r>
    <r>
      <rPr>
        <b/>
        <sz val="10"/>
        <color rgb="FF000000"/>
        <rFont val="Arial"/>
        <family val="2"/>
      </rPr>
      <t xml:space="preserve"> 3: Quando for adicionar um horário coloque no  </t>
    </r>
  </si>
  <si>
    <t>formato hh:mm, somente assim você garante que dará tudo certo.</t>
  </si>
  <si>
    <r>
      <rPr>
        <b/>
        <sz val="11"/>
        <color rgb="FFFF0000"/>
        <rFont val="Calibri"/>
        <family val="2"/>
        <scheme val="minor"/>
      </rPr>
      <t xml:space="preserve">Observação importante </t>
    </r>
    <r>
      <rPr>
        <b/>
        <sz val="11"/>
        <rFont val="Calibri"/>
        <family val="2"/>
        <scheme val="minor"/>
      </rPr>
      <t xml:space="preserve">4: </t>
    </r>
    <r>
      <rPr>
        <b/>
        <sz val="11"/>
        <color theme="1"/>
        <rFont val="Calibri"/>
        <family val="2"/>
        <scheme val="minor"/>
      </rPr>
      <t xml:space="preserve">O campo ajuste de horas servirá para contabilizar os  </t>
    </r>
  </si>
  <si>
    <r>
      <rPr>
        <b/>
        <sz val="11"/>
        <color rgb="FFFF0000"/>
        <rFont val="Calibri"/>
        <family val="2"/>
        <scheme val="minor"/>
      </rPr>
      <t xml:space="preserve">Observação importante </t>
    </r>
    <r>
      <rPr>
        <b/>
        <sz val="11"/>
        <rFont val="Calibri"/>
        <family val="2"/>
        <scheme val="minor"/>
      </rPr>
      <t>1:</t>
    </r>
    <r>
      <rPr>
        <b/>
        <sz val="11"/>
        <color theme="1"/>
        <rFont val="Calibri"/>
        <family val="2"/>
        <scheme val="minor"/>
      </rPr>
      <t xml:space="preserve"> Caso você comece a trabalhar em um dia e termine</t>
    </r>
  </si>
  <si>
    <t xml:space="preserve"> dias de feriado e suas respectivas horas abonadas, diminuido daquelas que </t>
  </si>
  <si>
    <t>deveriam ser cumpridas no mês.</t>
  </si>
  <si>
    <t>Horas totais dia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</si>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</sst>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[h]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36"/>
      <color theme="0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744D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3F3F3F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rgb="FF3F3F3F"/>
      </right>
      <top/>
      <bottom style="double">
        <color indexed="64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rgb="FF3F3F3F"/>
      </top>
      <bottom style="double">
        <color indexed="64"/>
      </bottom>
      <diagonal/>
    </border>
    <border>
      <left style="double">
        <color rgb="FF3F3F3F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rgb="FF3F3F3F"/>
      </right>
      <top style="double">
        <color rgb="FF3F3F3F"/>
      </top>
      <bottom style="double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1" fillId="0" borderId="0"/>
  </cellStyleXfs>
  <cellXfs count="56">
    <xf numFmtId="0" fontId="0" fillId="0" borderId="0" xfId="0"/>
    <xf numFmtId="0" fontId="6" fillId="0" borderId="0" xfId="3" applyFont="1" applyAlignment="1" applyProtection="1">
      <alignment horizontal="right"/>
    </xf>
    <xf numFmtId="14" fontId="2" fillId="2" borderId="3" xfId="2" applyNumberFormat="1" applyFont="1" applyBorder="1" applyAlignment="1" applyProtection="1">
      <alignment horizontal="center"/>
      <protection locked="0"/>
    </xf>
    <xf numFmtId="164" fontId="3" fillId="0" borderId="7" xfId="1" applyFont="1" applyBorder="1" applyProtection="1">
      <protection locked="0"/>
    </xf>
    <xf numFmtId="20" fontId="7" fillId="0" borderId="1" xfId="0" applyNumberFormat="1" applyFont="1" applyBorder="1" applyProtection="1">
      <protection locked="0"/>
    </xf>
    <xf numFmtId="9" fontId="3" fillId="0" borderId="7" xfId="4" applyFont="1" applyBorder="1" applyProtection="1">
      <protection locked="0"/>
    </xf>
    <xf numFmtId="165" fontId="7" fillId="0" borderId="1" xfId="0" applyNumberFormat="1" applyFont="1" applyBorder="1" applyProtection="1"/>
    <xf numFmtId="164" fontId="7" fillId="3" borderId="1" xfId="1" applyFont="1" applyFill="1" applyBorder="1" applyProtection="1"/>
    <xf numFmtId="0" fontId="2" fillId="2" borderId="6" xfId="2" applyFont="1" applyBorder="1" applyAlignment="1" applyProtection="1">
      <alignment horizontal="center"/>
    </xf>
    <xf numFmtId="164" fontId="0" fillId="3" borderId="7" xfId="1" applyFont="1" applyFill="1" applyBorder="1" applyProtection="1"/>
    <xf numFmtId="164" fontId="0" fillId="3" borderId="9" xfId="1" applyFont="1" applyFill="1" applyBorder="1" applyProtection="1"/>
    <xf numFmtId="0" fontId="2" fillId="4" borderId="0" xfId="2" applyFont="1" applyFill="1" applyBorder="1" applyAlignment="1" applyProtection="1">
      <alignment horizontal="center"/>
    </xf>
    <xf numFmtId="165" fontId="7" fillId="0" borderId="1" xfId="0" applyNumberFormat="1" applyFont="1" applyBorder="1" applyProtection="1">
      <protection locked="0"/>
    </xf>
    <xf numFmtId="0" fontId="0" fillId="0" borderId="0" xfId="0" applyProtection="1"/>
    <xf numFmtId="0" fontId="2" fillId="2" borderId="2" xfId="2" applyFont="1" applyBorder="1" applyAlignment="1" applyProtection="1">
      <alignment horizontal="center"/>
    </xf>
    <xf numFmtId="0" fontId="2" fillId="2" borderId="1" xfId="2" applyFont="1" applyBorder="1" applyAlignment="1" applyProtection="1">
      <alignment horizontal="center"/>
    </xf>
    <xf numFmtId="165" fontId="0" fillId="0" borderId="0" xfId="0" applyNumberFormat="1" applyProtection="1"/>
    <xf numFmtId="0" fontId="0" fillId="0" borderId="0" xfId="0" applyBorder="1" applyProtection="1"/>
    <xf numFmtId="0" fontId="3" fillId="0" borderId="0" xfId="0" applyFont="1" applyProtection="1"/>
    <xf numFmtId="0" fontId="12" fillId="0" borderId="0" xfId="0" applyFont="1"/>
    <xf numFmtId="20" fontId="7" fillId="0" borderId="1" xfId="0" applyNumberFormat="1" applyFont="1" applyBorder="1" applyAlignment="1" applyProtection="1">
      <alignment horizontal="center"/>
      <protection locked="0"/>
    </xf>
    <xf numFmtId="165" fontId="7" fillId="0" borderId="1" xfId="0" applyNumberFormat="1" applyFont="1" applyBorder="1" applyAlignment="1" applyProtection="1">
      <alignment horizontal="center"/>
    </xf>
    <xf numFmtId="14" fontId="2" fillId="2" borderId="7" xfId="2" applyNumberFormat="1" applyFont="1" applyBorder="1" applyAlignment="1" applyProtection="1">
      <alignment horizontal="center"/>
      <protection locked="0"/>
    </xf>
    <xf numFmtId="14" fontId="2" fillId="2" borderId="16" xfId="2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2" borderId="1" xfId="2" applyFont="1" applyBorder="1" applyAlignment="1" applyProtection="1">
      <alignment horizontal="center"/>
    </xf>
    <xf numFmtId="14" fontId="9" fillId="4" borderId="3" xfId="2" applyNumberFormat="1" applyFont="1" applyFill="1" applyBorder="1" applyAlignment="1" applyProtection="1">
      <alignment horizontal="center"/>
      <protection locked="0"/>
    </xf>
    <xf numFmtId="20" fontId="7" fillId="0" borderId="1" xfId="0" applyNumberFormat="1" applyFont="1" applyBorder="1" applyAlignment="1" applyProtection="1">
      <alignment horizontal="center"/>
      <protection hidden="1"/>
    </xf>
    <xf numFmtId="20" fontId="7" fillId="0" borderId="1" xfId="0" applyNumberFormat="1" applyFont="1" applyBorder="1" applyAlignment="1" applyProtection="1">
      <alignment horizontal="center"/>
      <protection locked="0" hidden="1"/>
    </xf>
    <xf numFmtId="164" fontId="7" fillId="0" borderId="1" xfId="1" applyFont="1" applyBorder="1" applyAlignment="1" applyProtection="1">
      <alignment horizontal="center"/>
      <protection hidden="1"/>
    </xf>
    <xf numFmtId="20" fontId="3" fillId="0" borderId="1" xfId="0" applyNumberFormat="1" applyFont="1" applyBorder="1" applyAlignment="1" applyProtection="1">
      <alignment horizontal="center"/>
      <protection locked="0" hidden="1"/>
    </xf>
    <xf numFmtId="0" fontId="16" fillId="5" borderId="0" xfId="5" applyFill="1" applyProtection="1"/>
    <xf numFmtId="0" fontId="13" fillId="5" borderId="0" xfId="5" applyFont="1" applyFill="1" applyAlignment="1" applyProtection="1">
      <alignment horizontal="center"/>
    </xf>
    <xf numFmtId="0" fontId="1" fillId="5" borderId="0" xfId="6" applyFill="1" applyProtection="1"/>
    <xf numFmtId="0" fontId="16" fillId="5" borderId="0" xfId="5" applyFill="1" applyAlignment="1" applyProtection="1">
      <alignment horizontal="center"/>
    </xf>
    <xf numFmtId="0" fontId="14" fillId="5" borderId="0" xfId="5" applyFont="1" applyFill="1" applyAlignment="1" applyProtection="1">
      <alignment horizontal="center"/>
    </xf>
    <xf numFmtId="0" fontId="15" fillId="5" borderId="0" xfId="5" applyFont="1" applyFill="1" applyAlignment="1" applyProtection="1"/>
    <xf numFmtId="0" fontId="15" fillId="5" borderId="0" xfId="5" applyFont="1" applyFill="1" applyAlignment="1" applyProtection="1">
      <alignment horizontal="center"/>
    </xf>
    <xf numFmtId="0" fontId="10" fillId="5" borderId="0" xfId="5" applyFont="1" applyFill="1" applyAlignment="1" applyProtection="1">
      <alignment vertical="center"/>
    </xf>
    <xf numFmtId="0" fontId="4" fillId="5" borderId="0" xfId="5" applyFont="1" applyFill="1" applyProtection="1"/>
    <xf numFmtId="0" fontId="17" fillId="5" borderId="0" xfId="5" applyFont="1" applyFill="1" applyProtection="1"/>
    <xf numFmtId="0" fontId="14" fillId="5" borderId="0" xfId="5" applyFont="1" applyFill="1" applyAlignment="1" applyProtection="1">
      <alignment horizontal="center"/>
    </xf>
    <xf numFmtId="0" fontId="15" fillId="5" borderId="0" xfId="5" applyFont="1" applyFill="1" applyAlignment="1" applyProtection="1">
      <alignment horizontal="center"/>
    </xf>
    <xf numFmtId="0" fontId="15" fillId="5" borderId="0" xfId="5" applyFont="1" applyFill="1" applyAlignment="1" applyProtection="1">
      <alignment horizontal="left"/>
    </xf>
    <xf numFmtId="0" fontId="3" fillId="0" borderId="0" xfId="0" applyFont="1" applyProtection="1"/>
    <xf numFmtId="14" fontId="2" fillId="2" borderId="15" xfId="2" applyNumberFormat="1" applyFont="1" applyBorder="1" applyAlignment="1" applyProtection="1">
      <alignment horizontal="center"/>
    </xf>
    <xf numFmtId="14" fontId="2" fillId="2" borderId="5" xfId="2" applyNumberFormat="1" applyFont="1" applyBorder="1" applyAlignment="1" applyProtection="1">
      <alignment horizontal="center"/>
    </xf>
    <xf numFmtId="14" fontId="2" fillId="2" borderId="10" xfId="2" applyNumberFormat="1" applyFont="1" applyBorder="1" applyAlignment="1" applyProtection="1">
      <alignment horizontal="center"/>
    </xf>
    <xf numFmtId="14" fontId="2" fillId="2" borderId="8" xfId="2" applyNumberFormat="1" applyFont="1" applyBorder="1" applyAlignment="1" applyProtection="1">
      <alignment horizontal="left"/>
    </xf>
    <xf numFmtId="14" fontId="2" fillId="2" borderId="13" xfId="2" applyNumberFormat="1" applyFont="1" applyBorder="1" applyAlignment="1" applyProtection="1">
      <alignment horizontal="left"/>
    </xf>
    <xf numFmtId="0" fontId="10" fillId="2" borderId="6" xfId="2" applyFont="1" applyBorder="1" applyAlignment="1" applyProtection="1">
      <alignment horizontal="center"/>
    </xf>
    <xf numFmtId="0" fontId="10" fillId="2" borderId="11" xfId="2" applyFont="1" applyBorder="1" applyAlignment="1" applyProtection="1">
      <alignment horizontal="center"/>
    </xf>
    <xf numFmtId="0" fontId="10" fillId="2" borderId="12" xfId="2" applyFont="1" applyBorder="1" applyAlignment="1" applyProtection="1">
      <alignment horizontal="center"/>
    </xf>
    <xf numFmtId="0" fontId="2" fillId="2" borderId="1" xfId="2" applyFont="1" applyBorder="1" applyAlignment="1" applyProtection="1">
      <alignment horizontal="center"/>
    </xf>
    <xf numFmtId="14" fontId="2" fillId="2" borderId="4" xfId="2" applyNumberFormat="1" applyFont="1" applyBorder="1" applyAlignment="1" applyProtection="1">
      <alignment horizontal="left"/>
    </xf>
    <xf numFmtId="14" fontId="2" fillId="2" borderId="14" xfId="2" applyNumberFormat="1" applyFont="1" applyBorder="1" applyAlignment="1" applyProtection="1">
      <alignment horizontal="left"/>
    </xf>
  </cellXfs>
  <cellStyles count="7">
    <cellStyle name="Ênfase3" xfId="2" builtinId="37"/>
    <cellStyle name="Hiperlink" xfId="3" builtinId="8"/>
    <cellStyle name="Moeda" xfId="1" builtinId="4"/>
    <cellStyle name="Normal" xfId="0" builtinId="0"/>
    <cellStyle name="Normal 2" xfId="5" xr:uid="{00000000-0005-0000-0000-000004000000}"/>
    <cellStyle name="Normal 2 2" xfId="6" xr:uid="{00000000-0005-0000-0000-000005000000}"/>
    <cellStyle name="Porcentagem" xfId="4" builtinId="5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aprenderexcel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48FDF-6601-4923-9ABF-8D953C3D6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8D1FB7-9576-420E-89FF-29A9DF679C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380999</xdr:colOff>
      <xdr:row>19</xdr:row>
      <xdr:rowOff>6926</xdr:rowOff>
    </xdr:from>
    <xdr:to>
      <xdr:col>16</xdr:col>
      <xdr:colOff>99281</xdr:colOff>
      <xdr:row>29</xdr:row>
      <xdr:rowOff>142875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49" y="2273876"/>
          <a:ext cx="2709132" cy="2260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E18" sqref="E18"/>
    </sheetView>
  </sheetViews>
  <sheetFormatPr defaultColWidth="9" defaultRowHeight="15" x14ac:dyDescent="0.25"/>
  <cols>
    <col min="1" max="1" width="10.28515625" style="33" customWidth="1"/>
    <col min="2" max="14" width="9" style="33"/>
    <col min="15" max="15" width="13" style="33" customWidth="1"/>
    <col min="16" max="16384" width="9" style="33"/>
  </cols>
  <sheetData>
    <row r="1" spans="1:19" ht="59.25" x14ac:dyDescent="0.75">
      <c r="A1" s="31"/>
      <c r="B1" s="31"/>
      <c r="C1" s="31"/>
      <c r="D1" s="31"/>
      <c r="E1" s="31"/>
      <c r="F1" s="32" t="s">
        <v>37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25">
      <c r="A5" s="31"/>
      <c r="B5" s="31"/>
      <c r="C5" s="3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1"/>
      <c r="R5" s="31"/>
      <c r="S5" s="31"/>
    </row>
    <row r="6" spans="1:19" ht="61.5" x14ac:dyDescent="0.9">
      <c r="A6" s="31"/>
      <c r="B6" s="31"/>
      <c r="C6" s="31"/>
      <c r="D6" s="34"/>
      <c r="E6" s="41" t="s">
        <v>38</v>
      </c>
      <c r="F6" s="41"/>
      <c r="G6" s="41"/>
      <c r="H6" s="41"/>
      <c r="I6" s="41"/>
      <c r="J6" s="41"/>
      <c r="K6" s="41"/>
      <c r="L6" s="41"/>
      <c r="M6" s="41"/>
      <c r="N6" s="41"/>
      <c r="O6" s="34"/>
      <c r="P6" s="34"/>
      <c r="Q6" s="31"/>
      <c r="R6" s="31"/>
      <c r="S6" s="31"/>
    </row>
    <row r="7" spans="1:19" ht="9.75" customHeight="1" x14ac:dyDescent="0.9">
      <c r="A7" s="31"/>
      <c r="B7" s="31"/>
      <c r="C7" s="31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4"/>
      <c r="P7" s="34"/>
      <c r="Q7" s="31"/>
      <c r="R7" s="31"/>
      <c r="S7" s="31"/>
    </row>
    <row r="8" spans="1:19" ht="18.75" x14ac:dyDescent="0.3">
      <c r="A8" s="31"/>
      <c r="B8" s="31"/>
      <c r="C8" s="31"/>
      <c r="D8" s="34"/>
      <c r="E8" s="42" t="s">
        <v>39</v>
      </c>
      <c r="F8" s="42"/>
      <c r="G8" s="42"/>
      <c r="H8" s="42"/>
      <c r="I8" s="42"/>
      <c r="J8" s="42"/>
      <c r="K8" s="42"/>
      <c r="L8" s="42"/>
      <c r="M8" s="42"/>
      <c r="N8" s="42"/>
      <c r="O8" s="34"/>
      <c r="P8" s="34"/>
      <c r="Q8" s="31"/>
      <c r="R8" s="31"/>
      <c r="S8" s="31"/>
    </row>
    <row r="9" spans="1:19" ht="18.75" x14ac:dyDescent="0.3">
      <c r="A9" s="31"/>
      <c r="B9" s="31"/>
      <c r="C9" s="31"/>
      <c r="D9" s="36" t="s">
        <v>55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4"/>
      <c r="Q9" s="31"/>
      <c r="R9" s="31"/>
      <c r="S9" s="31"/>
    </row>
    <row r="10" spans="1:19" ht="18.75" x14ac:dyDescent="0.3">
      <c r="A10" s="31"/>
      <c r="B10" s="31"/>
      <c r="C10" s="31"/>
      <c r="D10" s="42" t="s">
        <v>56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1"/>
      <c r="S10" s="31"/>
    </row>
    <row r="11" spans="1:19" ht="18.75" x14ac:dyDescent="0.3">
      <c r="A11" s="31"/>
      <c r="B11" s="31"/>
      <c r="C11" s="31"/>
      <c r="D11" s="34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4"/>
      <c r="P11" s="34"/>
      <c r="Q11" s="31"/>
      <c r="R11" s="31"/>
      <c r="S11" s="31"/>
    </row>
    <row r="12" spans="1:19" ht="18.75" x14ac:dyDescent="0.3">
      <c r="A12" s="31"/>
      <c r="B12" s="31"/>
      <c r="C12" s="31"/>
      <c r="D12" s="34"/>
      <c r="E12" s="37"/>
      <c r="F12" s="43" t="s">
        <v>57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31"/>
      <c r="S12" s="31"/>
    </row>
    <row r="13" spans="1:19" x14ac:dyDescent="0.25">
      <c r="A13" s="31"/>
      <c r="B13" s="31"/>
      <c r="C13" s="31"/>
      <c r="D13" s="34"/>
      <c r="E13" s="34"/>
      <c r="F13" s="34"/>
      <c r="G13" s="34"/>
      <c r="H13" s="34"/>
      <c r="I13" s="34"/>
      <c r="J13" s="34"/>
      <c r="K13" s="34"/>
      <c r="L13" s="34"/>
      <c r="M13" s="31"/>
      <c r="N13" s="31"/>
      <c r="O13" s="31"/>
      <c r="P13" s="31"/>
      <c r="Q13" s="31"/>
      <c r="R13" s="31"/>
      <c r="S13" s="31"/>
    </row>
    <row r="14" spans="1:19" ht="23.25" x14ac:dyDescent="0.25">
      <c r="A14" s="31"/>
      <c r="B14" s="38" t="s">
        <v>58</v>
      </c>
      <c r="C14" s="38"/>
      <c r="D14" s="38"/>
      <c r="E14" s="38"/>
      <c r="F14" s="3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ht="44.25" x14ac:dyDescent="0.55000000000000004">
      <c r="A15" s="31"/>
      <c r="B15" s="39"/>
      <c r="C15" s="40" t="s">
        <v>40</v>
      </c>
      <c r="D15" s="39"/>
      <c r="E15" s="39"/>
      <c r="F15" s="39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spans="1:19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</sheetData>
  <sheetProtection algorithmName="SHA-512" hashValue="8+50GF9BSsaei4kmmUqn95MoYEtGeQOen5oMGIg549/AVgNn7HheRfQRndd+FBedNX8yX9EUvCfBe+1yjupd1A==" saltValue="Iiz1BxOqPVxzc0nB2slyNA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44"/>
  <sheetViews>
    <sheetView showGridLines="0" tabSelected="1" workbookViewId="0">
      <selection sqref="A1:Q1"/>
    </sheetView>
  </sheetViews>
  <sheetFormatPr defaultColWidth="9.140625" defaultRowHeight="15" x14ac:dyDescent="0.25"/>
  <cols>
    <col min="1" max="1" width="13.5703125" style="13" bestFit="1" customWidth="1"/>
    <col min="2" max="3" width="10.7109375" style="13" customWidth="1"/>
    <col min="4" max="4" width="9.140625" style="13"/>
    <col min="5" max="5" width="8.42578125" style="13" customWidth="1"/>
    <col min="6" max="6" width="8" style="13" customWidth="1"/>
    <col min="7" max="7" width="9.42578125" style="13" customWidth="1"/>
    <col min="8" max="9" width="18.85546875" style="13" customWidth="1"/>
    <col min="10" max="10" width="13" style="13" customWidth="1"/>
    <col min="11" max="12" width="16.140625" style="13" customWidth="1"/>
    <col min="13" max="13" width="19.7109375" style="13" customWidth="1"/>
    <col min="14" max="14" width="1.42578125" style="13" customWidth="1"/>
    <col min="15" max="15" width="25.28515625" style="13" customWidth="1"/>
    <col min="16" max="16" width="14.7109375" style="13" customWidth="1"/>
    <col min="17" max="17" width="14.28515625" style="13" bestFit="1" customWidth="1"/>
    <col min="18" max="16384" width="9.140625" style="13"/>
  </cols>
  <sheetData>
    <row r="1" spans="1:17" ht="24.75" thickTop="1" thickBot="1" x14ac:dyDescent="0.4">
      <c r="A1" s="50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2"/>
    </row>
    <row r="2" spans="1:17" ht="16.5" thickTop="1" thickBot="1" x14ac:dyDescent="0.3"/>
    <row r="3" spans="1:17" ht="16.5" thickTop="1" thickBot="1" x14ac:dyDescent="0.3">
      <c r="A3" s="14" t="s">
        <v>26</v>
      </c>
      <c r="B3" s="14" t="s">
        <v>0</v>
      </c>
      <c r="C3" s="14" t="s">
        <v>41</v>
      </c>
      <c r="D3" s="15" t="s">
        <v>1</v>
      </c>
      <c r="E3" s="53" t="s">
        <v>3</v>
      </c>
      <c r="F3" s="53"/>
      <c r="G3" s="15" t="s">
        <v>2</v>
      </c>
      <c r="H3" s="15" t="s">
        <v>19</v>
      </c>
      <c r="I3" s="15" t="s">
        <v>20</v>
      </c>
      <c r="J3" s="15" t="s">
        <v>7</v>
      </c>
      <c r="K3" s="15" t="s">
        <v>10</v>
      </c>
      <c r="L3" s="25" t="s">
        <v>54</v>
      </c>
      <c r="M3" s="15" t="s">
        <v>9</v>
      </c>
      <c r="O3" s="8" t="s">
        <v>5</v>
      </c>
      <c r="P3" s="3">
        <v>12</v>
      </c>
    </row>
    <row r="4" spans="1:17" ht="16.5" thickTop="1" thickBot="1" x14ac:dyDescent="0.3">
      <c r="A4" s="2" t="s">
        <v>27</v>
      </c>
      <c r="B4" s="2">
        <v>40847</v>
      </c>
      <c r="C4" s="26" t="s">
        <v>43</v>
      </c>
      <c r="D4" s="20">
        <v>0.33333333333333331</v>
      </c>
      <c r="E4" s="20">
        <v>0.45833333333333331</v>
      </c>
      <c r="F4" s="20">
        <v>0.5</v>
      </c>
      <c r="G4" s="20">
        <v>0.875</v>
      </c>
      <c r="H4" s="27">
        <f>(G4-F4)+(E4-D4)</f>
        <v>0.5</v>
      </c>
      <c r="I4" s="27" t="str">
        <f t="shared" ref="I4:I34" si="0">IF(C4="Sim","Feriado",IF(A4=$P$7,"Folga semanal",IF(A4=$P$8,"Folga semanal",IF(H4&lt;$P$6,$P$6-H4," - "))))</f>
        <v>Feriado</v>
      </c>
      <c r="J4" s="27">
        <f>IF(OR(I4="Folga semanal",I4="Feriado"),H4:H4," - ")</f>
        <v>0.5</v>
      </c>
      <c r="K4" s="30"/>
      <c r="L4" s="28">
        <f>IFERROR(H4+J4+K4,IFERROR(H4+J4,IFERROR(H4+K4,H4)))</f>
        <v>1</v>
      </c>
      <c r="M4" s="29" t="str">
        <f t="shared" ref="M4:M34" si="1">IF(I4="Feriado","Feriado",IF(I4="Folga Semanal","Folga Semanal",IFERROR((H4*$P$3*24+(J4*$P$4*24))+K4*$P$3*24+(K4*$P$3*24*$P$5),(H4*$P$3*24+(0*$P$4*24))+K4*$P$3*24+(K4*$P$3*24*$P$5))))</f>
        <v>Feriado</v>
      </c>
      <c r="O4" s="8" t="s">
        <v>6</v>
      </c>
      <c r="P4" s="3">
        <v>18</v>
      </c>
    </row>
    <row r="5" spans="1:17" ht="16.5" thickTop="1" thickBot="1" x14ac:dyDescent="0.3">
      <c r="A5" s="2" t="s">
        <v>28</v>
      </c>
      <c r="B5" s="2">
        <v>40848</v>
      </c>
      <c r="C5" s="26" t="s">
        <v>42</v>
      </c>
      <c r="D5" s="20">
        <v>0.33333333333333331</v>
      </c>
      <c r="E5" s="20">
        <v>0.49305555555555558</v>
      </c>
      <c r="F5" s="20">
        <v>0.54166666666666663</v>
      </c>
      <c r="G5" s="20">
        <v>0.58333333333333337</v>
      </c>
      <c r="H5" s="27">
        <f t="shared" ref="H5:H34" si="2">(G5-F5)+(E5-D5)</f>
        <v>0.20138888888888901</v>
      </c>
      <c r="I5" s="27">
        <f t="shared" si="0"/>
        <v>0.13194444444444431</v>
      </c>
      <c r="J5" s="27" t="str">
        <f t="shared" ref="J5:J34" si="3">IF(OR(I5="Folga semanal",I5="Feriado"),H5:H5," - ")</f>
        <v xml:space="preserve"> - </v>
      </c>
      <c r="K5" s="28"/>
      <c r="L5" s="28">
        <f>IFERROR(H5+J5+K5,IFERROR(H5+J5,IFERROR(H5+K5,H5)))</f>
        <v>0.20138888888888901</v>
      </c>
      <c r="M5" s="29">
        <f t="shared" si="1"/>
        <v>58.000000000000028</v>
      </c>
      <c r="O5" s="8" t="s">
        <v>11</v>
      </c>
      <c r="P5" s="5">
        <v>0.6</v>
      </c>
    </row>
    <row r="6" spans="1:17" ht="16.5" thickTop="1" thickBot="1" x14ac:dyDescent="0.3">
      <c r="A6" s="2" t="s">
        <v>29</v>
      </c>
      <c r="B6" s="2">
        <v>40849</v>
      </c>
      <c r="C6" s="26" t="s">
        <v>43</v>
      </c>
      <c r="D6" s="20">
        <v>0.3298611111111111</v>
      </c>
      <c r="E6" s="20">
        <v>0.48958333333333331</v>
      </c>
      <c r="F6" s="20">
        <v>0.53472222222222221</v>
      </c>
      <c r="G6" s="20">
        <v>0.72222222222222221</v>
      </c>
      <c r="H6" s="27">
        <f t="shared" si="2"/>
        <v>0.34722222222222221</v>
      </c>
      <c r="I6" s="27" t="str">
        <f t="shared" si="0"/>
        <v>Feriado</v>
      </c>
      <c r="J6" s="27">
        <f t="shared" si="3"/>
        <v>0.34722222222222221</v>
      </c>
      <c r="K6" s="28"/>
      <c r="L6" s="28">
        <f t="shared" ref="L6:L34" si="4">IFERROR(H6+J6+K6,IFERROR(H6+J6,IFERROR(H6+K6,H6)))</f>
        <v>0.69444444444444442</v>
      </c>
      <c r="M6" s="29" t="str">
        <f t="shared" si="1"/>
        <v>Feriado</v>
      </c>
      <c r="O6" s="8" t="s">
        <v>21</v>
      </c>
      <c r="P6" s="4">
        <v>0.33333333333333331</v>
      </c>
    </row>
    <row r="7" spans="1:17" ht="16.5" thickTop="1" thickBot="1" x14ac:dyDescent="0.3">
      <c r="A7" s="2" t="s">
        <v>30</v>
      </c>
      <c r="B7" s="2">
        <v>40850</v>
      </c>
      <c r="C7" s="26" t="s">
        <v>42</v>
      </c>
      <c r="D7" s="20">
        <v>0.3263888888888889</v>
      </c>
      <c r="E7" s="20">
        <v>0.50694444444444442</v>
      </c>
      <c r="F7" s="20">
        <v>0.54166666666666663</v>
      </c>
      <c r="G7" s="20">
        <v>0.625</v>
      </c>
      <c r="H7" s="27">
        <f t="shared" si="2"/>
        <v>0.2638888888888889</v>
      </c>
      <c r="I7" s="27" t="str">
        <f t="shared" si="0"/>
        <v>Folga semanal</v>
      </c>
      <c r="J7" s="27">
        <f t="shared" si="3"/>
        <v>0.2638888888888889</v>
      </c>
      <c r="K7" s="28"/>
      <c r="L7" s="28">
        <f t="shared" si="4"/>
        <v>0.52777777777777779</v>
      </c>
      <c r="M7" s="29" t="str">
        <f t="shared" si="1"/>
        <v>Folga Semanal</v>
      </c>
      <c r="O7" s="8" t="s">
        <v>34</v>
      </c>
      <c r="P7" s="20" t="s">
        <v>30</v>
      </c>
    </row>
    <row r="8" spans="1:17" ht="16.5" thickTop="1" thickBot="1" x14ac:dyDescent="0.3">
      <c r="A8" s="2" t="s">
        <v>31</v>
      </c>
      <c r="B8" s="2">
        <v>40851</v>
      </c>
      <c r="C8" s="26" t="s">
        <v>42</v>
      </c>
      <c r="D8" s="20">
        <v>0.33333333333333331</v>
      </c>
      <c r="E8" s="20">
        <v>0.49652777777777773</v>
      </c>
      <c r="F8" s="20">
        <v>0.54166666666666663</v>
      </c>
      <c r="G8" s="20">
        <v>0.79166666666666663</v>
      </c>
      <c r="H8" s="27">
        <f t="shared" si="2"/>
        <v>0.41319444444444442</v>
      </c>
      <c r="I8" s="27" t="str">
        <f t="shared" si="0"/>
        <v xml:space="preserve"> - </v>
      </c>
      <c r="J8" s="27" t="str">
        <f t="shared" si="3"/>
        <v xml:space="preserve"> - </v>
      </c>
      <c r="K8" s="28"/>
      <c r="L8" s="28">
        <f t="shared" si="4"/>
        <v>0.41319444444444442</v>
      </c>
      <c r="M8" s="29">
        <f t="shared" si="1"/>
        <v>119</v>
      </c>
      <c r="O8" s="8" t="s">
        <v>35</v>
      </c>
      <c r="P8" s="20" t="s">
        <v>33</v>
      </c>
      <c r="Q8" s="16"/>
    </row>
    <row r="9" spans="1:17" ht="16.5" thickTop="1" thickBot="1" x14ac:dyDescent="0.3">
      <c r="A9" s="2" t="s">
        <v>32</v>
      </c>
      <c r="B9" s="2">
        <v>40852</v>
      </c>
      <c r="C9" s="26" t="s">
        <v>42</v>
      </c>
      <c r="D9" s="20">
        <v>0.33333333333333331</v>
      </c>
      <c r="E9" s="20">
        <v>0.5</v>
      </c>
      <c r="F9" s="20">
        <v>0.55555555555555558</v>
      </c>
      <c r="G9" s="20">
        <v>0.73958333333333337</v>
      </c>
      <c r="H9" s="27">
        <f t="shared" si="2"/>
        <v>0.35069444444444448</v>
      </c>
      <c r="I9" s="27" t="str">
        <f t="shared" si="0"/>
        <v xml:space="preserve"> - </v>
      </c>
      <c r="J9" s="27" t="str">
        <f t="shared" si="3"/>
        <v xml:space="preserve"> - </v>
      </c>
      <c r="K9" s="28"/>
      <c r="L9" s="28">
        <f t="shared" si="4"/>
        <v>0.35069444444444448</v>
      </c>
      <c r="M9" s="29">
        <f t="shared" si="1"/>
        <v>101.00000000000001</v>
      </c>
      <c r="O9" s="11"/>
      <c r="Q9" s="16"/>
    </row>
    <row r="10" spans="1:17" ht="16.5" thickTop="1" thickBot="1" x14ac:dyDescent="0.3">
      <c r="A10" s="2" t="s">
        <v>33</v>
      </c>
      <c r="B10" s="2">
        <v>40853</v>
      </c>
      <c r="C10" s="26" t="s">
        <v>42</v>
      </c>
      <c r="D10" s="20">
        <v>0.31597222222222221</v>
      </c>
      <c r="E10" s="20">
        <v>0.5</v>
      </c>
      <c r="F10" s="20">
        <v>0.52083333333333337</v>
      </c>
      <c r="G10" s="20">
        <v>0.75</v>
      </c>
      <c r="H10" s="27">
        <f t="shared" si="2"/>
        <v>0.41319444444444442</v>
      </c>
      <c r="I10" s="27" t="str">
        <f t="shared" si="0"/>
        <v>Folga semanal</v>
      </c>
      <c r="J10" s="27">
        <f t="shared" si="3"/>
        <v>0.41319444444444442</v>
      </c>
      <c r="K10" s="28"/>
      <c r="L10" s="28">
        <f t="shared" si="4"/>
        <v>0.82638888888888884</v>
      </c>
      <c r="M10" s="29" t="str">
        <f t="shared" si="1"/>
        <v>Folga Semanal</v>
      </c>
      <c r="N10" s="17"/>
      <c r="O10" s="8" t="s">
        <v>24</v>
      </c>
      <c r="P10" s="12">
        <v>7.5</v>
      </c>
    </row>
    <row r="11" spans="1:17" ht="16.5" thickTop="1" thickBot="1" x14ac:dyDescent="0.3">
      <c r="A11" s="2" t="s">
        <v>27</v>
      </c>
      <c r="B11" s="2">
        <v>40854</v>
      </c>
      <c r="C11" s="26" t="s">
        <v>42</v>
      </c>
      <c r="D11" s="20">
        <v>0.3298611111111111</v>
      </c>
      <c r="E11" s="20">
        <v>0.4861111111111111</v>
      </c>
      <c r="F11" s="20">
        <v>0.52083333333333337</v>
      </c>
      <c r="G11" s="20">
        <v>0.70138888888888884</v>
      </c>
      <c r="H11" s="27">
        <f t="shared" si="2"/>
        <v>0.33680555555555547</v>
      </c>
      <c r="I11" s="27" t="str">
        <f t="shared" si="0"/>
        <v xml:space="preserve"> - </v>
      </c>
      <c r="J11" s="27" t="str">
        <f t="shared" si="3"/>
        <v xml:space="preserve"> - </v>
      </c>
      <c r="K11" s="28"/>
      <c r="L11" s="28">
        <f t="shared" si="4"/>
        <v>0.33680555555555547</v>
      </c>
      <c r="M11" s="29">
        <f t="shared" si="1"/>
        <v>96.999999999999986</v>
      </c>
      <c r="N11" s="17"/>
      <c r="O11" s="8" t="s">
        <v>22</v>
      </c>
      <c r="P11" s="6">
        <f>L35</f>
        <v>10.570833333333333</v>
      </c>
    </row>
    <row r="12" spans="1:17" ht="16.5" thickTop="1" thickBot="1" x14ac:dyDescent="0.3">
      <c r="A12" s="2" t="s">
        <v>28</v>
      </c>
      <c r="B12" s="2">
        <v>40855</v>
      </c>
      <c r="C12" s="26" t="s">
        <v>42</v>
      </c>
      <c r="D12" s="20">
        <v>0.32291666666666669</v>
      </c>
      <c r="E12" s="20">
        <v>0.47916666666666669</v>
      </c>
      <c r="F12" s="20">
        <v>0.5</v>
      </c>
      <c r="G12" s="20">
        <v>0.6875</v>
      </c>
      <c r="H12" s="27">
        <f t="shared" si="2"/>
        <v>0.34375</v>
      </c>
      <c r="I12" s="27" t="str">
        <f t="shared" si="0"/>
        <v xml:space="preserve"> - </v>
      </c>
      <c r="J12" s="27" t="str">
        <f t="shared" si="3"/>
        <v xml:space="preserve"> - </v>
      </c>
      <c r="K12" s="28"/>
      <c r="L12" s="28">
        <f t="shared" si="4"/>
        <v>0.34375</v>
      </c>
      <c r="M12" s="29">
        <f t="shared" si="1"/>
        <v>99</v>
      </c>
      <c r="N12" s="17"/>
      <c r="O12" s="8" t="s">
        <v>44</v>
      </c>
      <c r="P12" s="12"/>
    </row>
    <row r="13" spans="1:17" ht="16.5" thickTop="1" thickBot="1" x14ac:dyDescent="0.3">
      <c r="A13" s="2" t="s">
        <v>29</v>
      </c>
      <c r="B13" s="2">
        <v>40856</v>
      </c>
      <c r="C13" s="26" t="s">
        <v>42</v>
      </c>
      <c r="D13" s="20">
        <v>0.3125</v>
      </c>
      <c r="E13" s="20">
        <v>0.52083333333333337</v>
      </c>
      <c r="F13" s="20">
        <v>0.55555555555555558</v>
      </c>
      <c r="G13" s="20">
        <v>0.75</v>
      </c>
      <c r="H13" s="27">
        <f t="shared" si="2"/>
        <v>0.40277777777777779</v>
      </c>
      <c r="I13" s="27" t="str">
        <f t="shared" si="0"/>
        <v xml:space="preserve"> - </v>
      </c>
      <c r="J13" s="27" t="str">
        <f t="shared" si="3"/>
        <v xml:space="preserve"> - </v>
      </c>
      <c r="K13" s="28"/>
      <c r="L13" s="28">
        <f t="shared" si="4"/>
        <v>0.40277777777777779</v>
      </c>
      <c r="M13" s="29">
        <f t="shared" si="1"/>
        <v>116.00000000000001</v>
      </c>
      <c r="N13" s="17"/>
      <c r="O13" s="8" t="s">
        <v>23</v>
      </c>
      <c r="P13" s="6">
        <f>P11-P10+P12</f>
        <v>3.0708333333333329</v>
      </c>
    </row>
    <row r="14" spans="1:17" ht="16.5" thickTop="1" thickBot="1" x14ac:dyDescent="0.3">
      <c r="A14" s="2" t="s">
        <v>30</v>
      </c>
      <c r="B14" s="2">
        <v>40857</v>
      </c>
      <c r="C14" s="26" t="s">
        <v>42</v>
      </c>
      <c r="D14" s="20">
        <v>0.31944444444444448</v>
      </c>
      <c r="E14" s="20">
        <v>0.5</v>
      </c>
      <c r="F14" s="20">
        <v>0.54166666666666663</v>
      </c>
      <c r="G14" s="20">
        <v>0.625</v>
      </c>
      <c r="H14" s="27">
        <f t="shared" si="2"/>
        <v>0.2638888888888889</v>
      </c>
      <c r="I14" s="27" t="str">
        <f t="shared" si="0"/>
        <v>Folga semanal</v>
      </c>
      <c r="J14" s="27">
        <f t="shared" si="3"/>
        <v>0.2638888888888889</v>
      </c>
      <c r="K14" s="28"/>
      <c r="L14" s="28">
        <f t="shared" si="4"/>
        <v>0.52777777777777779</v>
      </c>
      <c r="M14" s="29" t="str">
        <f t="shared" si="1"/>
        <v>Folga Semanal</v>
      </c>
    </row>
    <row r="15" spans="1:17" ht="16.5" thickTop="1" thickBot="1" x14ac:dyDescent="0.3">
      <c r="A15" s="2" t="s">
        <v>31</v>
      </c>
      <c r="B15" s="2">
        <v>40858</v>
      </c>
      <c r="C15" s="26" t="s">
        <v>42</v>
      </c>
      <c r="D15" s="20">
        <v>0.32083333333333336</v>
      </c>
      <c r="E15" s="20">
        <v>0.49305555555555558</v>
      </c>
      <c r="F15" s="20">
        <v>0.53472222222222221</v>
      </c>
      <c r="G15" s="20">
        <v>0.70138888888888884</v>
      </c>
      <c r="H15" s="27">
        <f t="shared" si="2"/>
        <v>0.33888888888888885</v>
      </c>
      <c r="I15" s="27" t="str">
        <f t="shared" si="0"/>
        <v xml:space="preserve"> - </v>
      </c>
      <c r="J15" s="27" t="str">
        <f t="shared" si="3"/>
        <v xml:space="preserve"> - </v>
      </c>
      <c r="K15" s="28"/>
      <c r="L15" s="28">
        <f t="shared" si="4"/>
        <v>0.33888888888888885</v>
      </c>
      <c r="M15" s="29">
        <f t="shared" si="1"/>
        <v>97.6</v>
      </c>
      <c r="O15" s="54" t="s">
        <v>45</v>
      </c>
      <c r="P15" s="55"/>
      <c r="Q15" s="9">
        <f>H35*$P$3*24</f>
        <v>2095.4</v>
      </c>
    </row>
    <row r="16" spans="1:17" ht="17.25" thickTop="1" thickBot="1" x14ac:dyDescent="0.3">
      <c r="A16" s="2" t="s">
        <v>32</v>
      </c>
      <c r="B16" s="2">
        <v>40859</v>
      </c>
      <c r="C16" s="26" t="s">
        <v>42</v>
      </c>
      <c r="D16" s="20">
        <v>0.3125</v>
      </c>
      <c r="E16" s="20">
        <v>0.5</v>
      </c>
      <c r="F16" s="20">
        <v>0.52777777777777779</v>
      </c>
      <c r="G16" s="20">
        <v>0.75</v>
      </c>
      <c r="H16" s="27">
        <f t="shared" si="2"/>
        <v>0.40972222222222221</v>
      </c>
      <c r="I16" s="27" t="str">
        <f t="shared" si="0"/>
        <v xml:space="preserve"> - </v>
      </c>
      <c r="J16" s="27" t="str">
        <f t="shared" si="3"/>
        <v xml:space="preserve"> - </v>
      </c>
      <c r="K16" s="28"/>
      <c r="L16" s="28">
        <f t="shared" si="4"/>
        <v>0.40972222222222221</v>
      </c>
      <c r="M16" s="29">
        <f t="shared" si="1"/>
        <v>117.99999999999999</v>
      </c>
      <c r="N16" s="1"/>
      <c r="O16" s="48" t="s">
        <v>46</v>
      </c>
      <c r="P16" s="49"/>
      <c r="Q16" s="10">
        <f>J35*$P$4*24</f>
        <v>1261.5000000000002</v>
      </c>
    </row>
    <row r="17" spans="1:17" ht="17.25" thickTop="1" thickBot="1" x14ac:dyDescent="0.3">
      <c r="A17" s="2" t="s">
        <v>33</v>
      </c>
      <c r="B17" s="2">
        <v>40860</v>
      </c>
      <c r="C17" s="26" t="s">
        <v>42</v>
      </c>
      <c r="D17" s="20">
        <v>0.33333333333333331</v>
      </c>
      <c r="E17" s="20">
        <v>0.49652777777777773</v>
      </c>
      <c r="F17" s="20">
        <v>0.52083333333333337</v>
      </c>
      <c r="G17" s="20">
        <v>0.72916666666666663</v>
      </c>
      <c r="H17" s="27">
        <f t="shared" si="2"/>
        <v>0.37152777777777768</v>
      </c>
      <c r="I17" s="27" t="str">
        <f t="shared" si="0"/>
        <v>Folga semanal</v>
      </c>
      <c r="J17" s="27">
        <f t="shared" si="3"/>
        <v>0.37152777777777768</v>
      </c>
      <c r="K17" s="28"/>
      <c r="L17" s="28">
        <f t="shared" si="4"/>
        <v>0.74305555555555536</v>
      </c>
      <c r="M17" s="29" t="str">
        <f t="shared" si="1"/>
        <v>Folga Semanal</v>
      </c>
      <c r="N17" s="1"/>
      <c r="O17" s="48" t="s">
        <v>47</v>
      </c>
      <c r="P17" s="49"/>
      <c r="Q17" s="10">
        <f>K35*$P$3*24+(K35*$P$3*24*$P$5)</f>
        <v>172.8</v>
      </c>
    </row>
    <row r="18" spans="1:17" ht="16.5" thickTop="1" thickBot="1" x14ac:dyDescent="0.3">
      <c r="A18" s="2" t="s">
        <v>27</v>
      </c>
      <c r="B18" s="2">
        <v>40861</v>
      </c>
      <c r="C18" s="26" t="s">
        <v>42</v>
      </c>
      <c r="D18" s="20">
        <v>0</v>
      </c>
      <c r="E18" s="20">
        <v>0</v>
      </c>
      <c r="F18" s="20">
        <v>0</v>
      </c>
      <c r="G18" s="20">
        <v>0</v>
      </c>
      <c r="H18" s="27">
        <f t="shared" si="2"/>
        <v>0</v>
      </c>
      <c r="I18" s="27">
        <f t="shared" si="0"/>
        <v>0.33333333333333331</v>
      </c>
      <c r="J18" s="27" t="str">
        <f t="shared" si="3"/>
        <v xml:space="preserve"> - </v>
      </c>
      <c r="K18" s="28"/>
      <c r="L18" s="28">
        <f t="shared" si="4"/>
        <v>0</v>
      </c>
      <c r="M18" s="29">
        <f t="shared" si="1"/>
        <v>0</v>
      </c>
      <c r="O18" s="48" t="s">
        <v>25</v>
      </c>
      <c r="P18" s="49"/>
      <c r="Q18" s="10">
        <f>SUM(Q15:Q17)</f>
        <v>3529.7000000000007</v>
      </c>
    </row>
    <row r="19" spans="1:17" ht="17.25" thickTop="1" thickBot="1" x14ac:dyDescent="0.3">
      <c r="A19" s="2" t="s">
        <v>28</v>
      </c>
      <c r="B19" s="2">
        <v>40862</v>
      </c>
      <c r="C19" s="26" t="s">
        <v>42</v>
      </c>
      <c r="D19" s="20">
        <v>0.33680555555555558</v>
      </c>
      <c r="E19" s="20">
        <v>0.52083333333333337</v>
      </c>
      <c r="F19" s="20">
        <v>0.54166666666666663</v>
      </c>
      <c r="G19" s="20">
        <v>0.74305555555555547</v>
      </c>
      <c r="H19" s="27">
        <f t="shared" si="2"/>
        <v>0.38541666666666663</v>
      </c>
      <c r="I19" s="27" t="str">
        <f t="shared" si="0"/>
        <v xml:space="preserve"> - </v>
      </c>
      <c r="J19" s="27" t="str">
        <f t="shared" si="3"/>
        <v xml:space="preserve"> - </v>
      </c>
      <c r="K19" s="28"/>
      <c r="L19" s="28">
        <f t="shared" si="4"/>
        <v>0.38541666666666663</v>
      </c>
      <c r="M19" s="29">
        <f t="shared" si="1"/>
        <v>111</v>
      </c>
      <c r="O19" s="17"/>
      <c r="P19" s="1"/>
    </row>
    <row r="20" spans="1:17" ht="17.25" thickTop="1" thickBot="1" x14ac:dyDescent="0.3">
      <c r="A20" s="2" t="s">
        <v>29</v>
      </c>
      <c r="B20" s="2">
        <v>40863</v>
      </c>
      <c r="C20" s="26" t="s">
        <v>42</v>
      </c>
      <c r="D20" s="20">
        <v>0.34027777777777773</v>
      </c>
      <c r="E20" s="20">
        <v>0.47916666666666669</v>
      </c>
      <c r="F20" s="20">
        <v>0.5</v>
      </c>
      <c r="G20" s="20">
        <v>0.77361111111111114</v>
      </c>
      <c r="H20" s="27">
        <f t="shared" si="2"/>
        <v>0.41250000000000009</v>
      </c>
      <c r="I20" s="27" t="str">
        <f t="shared" si="0"/>
        <v xml:space="preserve"> - </v>
      </c>
      <c r="J20" s="27" t="str">
        <f t="shared" si="3"/>
        <v xml:space="preserve"> - </v>
      </c>
      <c r="K20" s="28">
        <v>0.20833333333333334</v>
      </c>
      <c r="L20" s="28">
        <f t="shared" si="4"/>
        <v>0.62083333333333346</v>
      </c>
      <c r="M20" s="29">
        <f t="shared" si="1"/>
        <v>214.8</v>
      </c>
      <c r="O20" s="17"/>
      <c r="P20" s="1"/>
    </row>
    <row r="21" spans="1:17" ht="16.5" thickTop="1" thickBot="1" x14ac:dyDescent="0.3">
      <c r="A21" s="2" t="s">
        <v>30</v>
      </c>
      <c r="B21" s="2">
        <v>40864</v>
      </c>
      <c r="C21" s="26" t="s">
        <v>42</v>
      </c>
      <c r="D21" s="20">
        <v>0.3263888888888889</v>
      </c>
      <c r="E21" s="20">
        <v>0.52083333333333337</v>
      </c>
      <c r="F21" s="20">
        <v>0.5625</v>
      </c>
      <c r="G21" s="20">
        <v>0.75</v>
      </c>
      <c r="H21" s="27">
        <f t="shared" si="2"/>
        <v>0.38194444444444448</v>
      </c>
      <c r="I21" s="27" t="str">
        <f t="shared" si="0"/>
        <v>Folga semanal</v>
      </c>
      <c r="J21" s="27">
        <f t="shared" si="3"/>
        <v>0.38194444444444448</v>
      </c>
      <c r="K21" s="28"/>
      <c r="L21" s="28">
        <f t="shared" si="4"/>
        <v>0.76388888888888895</v>
      </c>
      <c r="M21" s="29" t="str">
        <f t="shared" si="1"/>
        <v>Folga Semanal</v>
      </c>
      <c r="O21" s="17"/>
    </row>
    <row r="22" spans="1:17" ht="16.5" thickTop="1" thickBot="1" x14ac:dyDescent="0.3">
      <c r="A22" s="2" t="s">
        <v>31</v>
      </c>
      <c r="B22" s="2">
        <v>40865</v>
      </c>
      <c r="C22" s="26" t="s">
        <v>42</v>
      </c>
      <c r="D22" s="20">
        <v>0.33333333333333331</v>
      </c>
      <c r="E22" s="20">
        <v>0.5</v>
      </c>
      <c r="F22" s="20">
        <v>0.54166666666666663</v>
      </c>
      <c r="G22" s="20">
        <v>0.72916666666666663</v>
      </c>
      <c r="H22" s="27">
        <f t="shared" si="2"/>
        <v>0.35416666666666669</v>
      </c>
      <c r="I22" s="27" t="str">
        <f t="shared" si="0"/>
        <v xml:space="preserve"> - </v>
      </c>
      <c r="J22" s="27" t="str">
        <f t="shared" si="3"/>
        <v xml:space="preserve"> - </v>
      </c>
      <c r="K22" s="28"/>
      <c r="L22" s="28">
        <f t="shared" si="4"/>
        <v>0.35416666666666669</v>
      </c>
      <c r="M22" s="29">
        <f t="shared" si="1"/>
        <v>102</v>
      </c>
    </row>
    <row r="23" spans="1:17" ht="16.5" thickTop="1" thickBot="1" x14ac:dyDescent="0.3">
      <c r="A23" s="2" t="s">
        <v>32</v>
      </c>
      <c r="B23" s="2">
        <v>40866</v>
      </c>
      <c r="C23" s="26" t="s">
        <v>42</v>
      </c>
      <c r="D23" s="20"/>
      <c r="E23" s="20"/>
      <c r="F23" s="20"/>
      <c r="G23" s="20"/>
      <c r="H23" s="27">
        <f t="shared" si="2"/>
        <v>0</v>
      </c>
      <c r="I23" s="27">
        <f t="shared" si="0"/>
        <v>0.33333333333333331</v>
      </c>
      <c r="J23" s="27" t="str">
        <f t="shared" si="3"/>
        <v xml:space="preserve"> - </v>
      </c>
      <c r="K23" s="28"/>
      <c r="L23" s="28">
        <f t="shared" si="4"/>
        <v>0</v>
      </c>
      <c r="M23" s="29">
        <f t="shared" si="1"/>
        <v>0</v>
      </c>
    </row>
    <row r="24" spans="1:17" ht="16.5" thickTop="1" thickBot="1" x14ac:dyDescent="0.3">
      <c r="A24" s="2" t="s">
        <v>33</v>
      </c>
      <c r="B24" s="2">
        <v>40867</v>
      </c>
      <c r="C24" s="26" t="s">
        <v>42</v>
      </c>
      <c r="D24" s="20">
        <v>0.31944444444444448</v>
      </c>
      <c r="E24" s="20">
        <v>0.5</v>
      </c>
      <c r="F24" s="20">
        <v>0.54166666666666663</v>
      </c>
      <c r="G24" s="20">
        <v>0.73958333333333337</v>
      </c>
      <c r="H24" s="27">
        <f t="shared" si="2"/>
        <v>0.37847222222222227</v>
      </c>
      <c r="I24" s="27" t="str">
        <f t="shared" si="0"/>
        <v>Folga semanal</v>
      </c>
      <c r="J24" s="27">
        <f t="shared" si="3"/>
        <v>0.37847222222222227</v>
      </c>
      <c r="K24" s="28"/>
      <c r="L24" s="28">
        <f t="shared" si="4"/>
        <v>0.75694444444444453</v>
      </c>
      <c r="M24" s="29" t="str">
        <f t="shared" si="1"/>
        <v>Folga Semanal</v>
      </c>
    </row>
    <row r="25" spans="1:17" ht="17.25" thickTop="1" thickBot="1" x14ac:dyDescent="0.3">
      <c r="A25" s="2" t="s">
        <v>27</v>
      </c>
      <c r="B25" s="2">
        <v>40868</v>
      </c>
      <c r="C25" s="26" t="s">
        <v>42</v>
      </c>
      <c r="D25" s="20"/>
      <c r="E25" s="20"/>
      <c r="F25" s="20"/>
      <c r="G25" s="20"/>
      <c r="H25" s="27">
        <f t="shared" si="2"/>
        <v>0</v>
      </c>
      <c r="I25" s="27">
        <f t="shared" si="0"/>
        <v>0.33333333333333331</v>
      </c>
      <c r="J25" s="27" t="str">
        <f t="shared" si="3"/>
        <v xml:space="preserve"> - </v>
      </c>
      <c r="K25" s="28"/>
      <c r="L25" s="28">
        <f t="shared" si="4"/>
        <v>0</v>
      </c>
      <c r="M25" s="29">
        <f t="shared" si="1"/>
        <v>0</v>
      </c>
      <c r="O25" s="1"/>
    </row>
    <row r="26" spans="1:17" ht="17.25" thickTop="1" thickBot="1" x14ac:dyDescent="0.3">
      <c r="A26" s="2" t="s">
        <v>28</v>
      </c>
      <c r="B26" s="2">
        <v>40869</v>
      </c>
      <c r="C26" s="26" t="s">
        <v>42</v>
      </c>
      <c r="D26" s="20"/>
      <c r="E26" s="20"/>
      <c r="F26" s="20"/>
      <c r="G26" s="20"/>
      <c r="H26" s="27">
        <f t="shared" si="2"/>
        <v>0</v>
      </c>
      <c r="I26" s="27">
        <f t="shared" si="0"/>
        <v>0.33333333333333331</v>
      </c>
      <c r="J26" s="27" t="str">
        <f t="shared" si="3"/>
        <v xml:space="preserve"> - </v>
      </c>
      <c r="K26" s="28"/>
      <c r="L26" s="28">
        <f t="shared" si="4"/>
        <v>0</v>
      </c>
      <c r="M26" s="29">
        <f t="shared" si="1"/>
        <v>0</v>
      </c>
      <c r="O26" s="1"/>
      <c r="P26" s="18"/>
    </row>
    <row r="27" spans="1:17" ht="16.5" thickTop="1" thickBot="1" x14ac:dyDescent="0.3">
      <c r="A27" s="2" t="s">
        <v>29</v>
      </c>
      <c r="B27" s="2">
        <v>40870</v>
      </c>
      <c r="C27" s="26" t="s">
        <v>42</v>
      </c>
      <c r="D27" s="20">
        <v>0.31597222222222221</v>
      </c>
      <c r="E27" s="20">
        <v>0.5</v>
      </c>
      <c r="F27" s="20">
        <v>0.52777777777777779</v>
      </c>
      <c r="G27" s="20">
        <v>0.75</v>
      </c>
      <c r="H27" s="27">
        <f t="shared" si="2"/>
        <v>0.40625</v>
      </c>
      <c r="I27" s="27" t="str">
        <f t="shared" si="0"/>
        <v xml:space="preserve"> - </v>
      </c>
      <c r="J27" s="27" t="str">
        <f t="shared" si="3"/>
        <v xml:space="preserve"> - </v>
      </c>
      <c r="K27" s="28">
        <v>4.1666666666666664E-2</v>
      </c>
      <c r="L27" s="28">
        <f t="shared" si="4"/>
        <v>0.44791666666666669</v>
      </c>
      <c r="M27" s="29">
        <f t="shared" si="1"/>
        <v>136.19999999999999</v>
      </c>
      <c r="P27" s="18"/>
    </row>
    <row r="28" spans="1:17" ht="16.5" thickTop="1" thickBot="1" x14ac:dyDescent="0.3">
      <c r="A28" s="2" t="s">
        <v>30</v>
      </c>
      <c r="B28" s="2">
        <v>40871</v>
      </c>
      <c r="C28" s="26" t="s">
        <v>42</v>
      </c>
      <c r="D28" s="20"/>
      <c r="E28" s="20"/>
      <c r="F28" s="20"/>
      <c r="G28" s="20"/>
      <c r="H28" s="27">
        <f t="shared" si="2"/>
        <v>0</v>
      </c>
      <c r="I28" s="27" t="str">
        <f t="shared" si="0"/>
        <v>Folga semanal</v>
      </c>
      <c r="J28" s="27">
        <f t="shared" si="3"/>
        <v>0</v>
      </c>
      <c r="K28" s="28"/>
      <c r="L28" s="28">
        <f t="shared" si="4"/>
        <v>0</v>
      </c>
      <c r="M28" s="29" t="str">
        <f t="shared" si="1"/>
        <v>Folga Semanal</v>
      </c>
      <c r="P28" s="18"/>
    </row>
    <row r="29" spans="1:17" ht="16.5" thickTop="1" thickBot="1" x14ac:dyDescent="0.3">
      <c r="A29" s="2" t="s">
        <v>31</v>
      </c>
      <c r="B29" s="2">
        <v>40872</v>
      </c>
      <c r="C29" s="26" t="s">
        <v>42</v>
      </c>
      <c r="D29" s="20"/>
      <c r="E29" s="20"/>
      <c r="F29" s="20"/>
      <c r="G29" s="20"/>
      <c r="H29" s="27">
        <f t="shared" si="2"/>
        <v>0</v>
      </c>
      <c r="I29" s="27">
        <f t="shared" si="0"/>
        <v>0.33333333333333331</v>
      </c>
      <c r="J29" s="27" t="str">
        <f t="shared" si="3"/>
        <v xml:space="preserve"> - </v>
      </c>
      <c r="K29" s="28"/>
      <c r="L29" s="28">
        <f t="shared" si="4"/>
        <v>0</v>
      </c>
      <c r="M29" s="29">
        <f t="shared" si="1"/>
        <v>0</v>
      </c>
      <c r="P29" s="18"/>
    </row>
    <row r="30" spans="1:17" ht="16.5" thickTop="1" thickBot="1" x14ac:dyDescent="0.3">
      <c r="A30" s="2" t="s">
        <v>32</v>
      </c>
      <c r="B30" s="2">
        <v>40873</v>
      </c>
      <c r="C30" s="26" t="s">
        <v>42</v>
      </c>
      <c r="D30" s="20"/>
      <c r="E30" s="20"/>
      <c r="F30" s="20"/>
      <c r="G30" s="20"/>
      <c r="H30" s="27">
        <f t="shared" si="2"/>
        <v>0</v>
      </c>
      <c r="I30" s="27">
        <f t="shared" si="0"/>
        <v>0.33333333333333331</v>
      </c>
      <c r="J30" s="27" t="str">
        <f t="shared" si="3"/>
        <v xml:space="preserve"> - </v>
      </c>
      <c r="K30" s="28"/>
      <c r="L30" s="28">
        <f t="shared" si="4"/>
        <v>0</v>
      </c>
      <c r="M30" s="29">
        <f t="shared" si="1"/>
        <v>0</v>
      </c>
    </row>
    <row r="31" spans="1:17" ht="16.5" thickTop="1" thickBot="1" x14ac:dyDescent="0.3">
      <c r="A31" s="2" t="s">
        <v>33</v>
      </c>
      <c r="B31" s="2">
        <v>40874</v>
      </c>
      <c r="C31" s="26" t="s">
        <v>42</v>
      </c>
      <c r="D31" s="20"/>
      <c r="E31" s="20"/>
      <c r="F31" s="20"/>
      <c r="G31" s="20"/>
      <c r="H31" s="27">
        <f t="shared" si="2"/>
        <v>0</v>
      </c>
      <c r="I31" s="27" t="str">
        <f t="shared" si="0"/>
        <v>Folga semanal</v>
      </c>
      <c r="J31" s="27">
        <f t="shared" si="3"/>
        <v>0</v>
      </c>
      <c r="K31" s="28"/>
      <c r="L31" s="28">
        <f t="shared" si="4"/>
        <v>0</v>
      </c>
      <c r="M31" s="29" t="str">
        <f t="shared" si="1"/>
        <v>Folga Semanal</v>
      </c>
    </row>
    <row r="32" spans="1:17" ht="16.5" thickTop="1" thickBot="1" x14ac:dyDescent="0.3">
      <c r="A32" s="2" t="s">
        <v>27</v>
      </c>
      <c r="B32" s="2">
        <v>40875</v>
      </c>
      <c r="C32" s="26" t="s">
        <v>42</v>
      </c>
      <c r="D32" s="20"/>
      <c r="E32" s="20"/>
      <c r="F32" s="20"/>
      <c r="G32" s="20"/>
      <c r="H32" s="27">
        <f t="shared" si="2"/>
        <v>0</v>
      </c>
      <c r="I32" s="27">
        <f t="shared" si="0"/>
        <v>0.33333333333333331</v>
      </c>
      <c r="J32" s="27" t="str">
        <f t="shared" si="3"/>
        <v xml:space="preserve"> - </v>
      </c>
      <c r="K32" s="28">
        <v>0.125</v>
      </c>
      <c r="L32" s="28">
        <f t="shared" si="4"/>
        <v>0.125</v>
      </c>
      <c r="M32" s="29">
        <f t="shared" si="1"/>
        <v>57.599999999999994</v>
      </c>
    </row>
    <row r="33" spans="1:18" ht="16.5" thickTop="1" thickBot="1" x14ac:dyDescent="0.3">
      <c r="A33" s="2" t="s">
        <v>28</v>
      </c>
      <c r="B33" s="2">
        <v>40876</v>
      </c>
      <c r="C33" s="26" t="s">
        <v>42</v>
      </c>
      <c r="D33" s="20"/>
      <c r="E33" s="20"/>
      <c r="F33" s="20"/>
      <c r="G33" s="20"/>
      <c r="H33" s="27">
        <f t="shared" si="2"/>
        <v>0</v>
      </c>
      <c r="I33" s="27">
        <f t="shared" si="0"/>
        <v>0.33333333333333331</v>
      </c>
      <c r="J33" s="27" t="str">
        <f t="shared" si="3"/>
        <v xml:space="preserve"> - </v>
      </c>
      <c r="K33" s="28"/>
      <c r="L33" s="28">
        <f t="shared" si="4"/>
        <v>0</v>
      </c>
      <c r="M33" s="29">
        <f t="shared" si="1"/>
        <v>0</v>
      </c>
    </row>
    <row r="34" spans="1:18" ht="16.5" thickTop="1" thickBot="1" x14ac:dyDescent="0.3">
      <c r="A34" s="22" t="s">
        <v>29</v>
      </c>
      <c r="B34" s="23">
        <v>40877</v>
      </c>
      <c r="C34" s="20" t="s">
        <v>42</v>
      </c>
      <c r="D34" s="20"/>
      <c r="E34" s="20"/>
      <c r="F34" s="20"/>
      <c r="G34" s="20"/>
      <c r="H34" s="27">
        <f t="shared" si="2"/>
        <v>0</v>
      </c>
      <c r="I34" s="27">
        <f t="shared" si="0"/>
        <v>0.33333333333333331</v>
      </c>
      <c r="J34" s="27" t="str">
        <f t="shared" si="3"/>
        <v xml:space="preserve"> - </v>
      </c>
      <c r="K34" s="28"/>
      <c r="L34" s="28">
        <f t="shared" si="4"/>
        <v>0</v>
      </c>
      <c r="M34" s="29">
        <f t="shared" si="1"/>
        <v>0</v>
      </c>
    </row>
    <row r="35" spans="1:18" ht="16.5" thickTop="1" thickBot="1" x14ac:dyDescent="0.3">
      <c r="A35" s="45" t="s">
        <v>4</v>
      </c>
      <c r="B35" s="46"/>
      <c r="C35" s="46"/>
      <c r="D35" s="46"/>
      <c r="E35" s="46"/>
      <c r="F35" s="46"/>
      <c r="G35" s="47"/>
      <c r="H35" s="21">
        <f>SUM(H4:H34)</f>
        <v>7.2756944444444454</v>
      </c>
      <c r="I35" s="21">
        <f>SUM(I4:I34)</f>
        <v>3.1319444444444446</v>
      </c>
      <c r="J35" s="21">
        <f>SUM(J4:J34)</f>
        <v>2.9201388888888893</v>
      </c>
      <c r="K35" s="21">
        <f>SUM(K4:K34)</f>
        <v>0.375</v>
      </c>
      <c r="L35" s="21">
        <f>SUM(L4:L34)</f>
        <v>10.570833333333333</v>
      </c>
      <c r="M35" s="7">
        <f>H35*$P$3*24+(J35*$P$4*24)+K35*$P$3*24+(K35*$P$3*24*$P$5)</f>
        <v>3529.7000000000007</v>
      </c>
    </row>
    <row r="36" spans="1:18" ht="15.75" thickTop="1" x14ac:dyDescent="0.25"/>
    <row r="37" spans="1:18" x14ac:dyDescent="0.25">
      <c r="A37" s="18" t="s">
        <v>51</v>
      </c>
      <c r="E37" s="17"/>
      <c r="F37" s="17"/>
      <c r="G37" s="17"/>
      <c r="H37" s="44" t="s">
        <v>18</v>
      </c>
      <c r="I37" s="44"/>
      <c r="J37" s="44"/>
      <c r="K37" s="44"/>
      <c r="L37" s="44"/>
      <c r="M37" s="44"/>
    </row>
    <row r="38" spans="1:18" x14ac:dyDescent="0.25">
      <c r="A38" s="18" t="s">
        <v>12</v>
      </c>
      <c r="E38" s="17"/>
      <c r="F38" s="17"/>
      <c r="H38" s="44" t="s">
        <v>15</v>
      </c>
      <c r="I38" s="44"/>
      <c r="J38" s="44"/>
      <c r="K38" s="44"/>
      <c r="L38" s="44"/>
      <c r="M38" s="44"/>
    </row>
    <row r="39" spans="1:18" x14ac:dyDescent="0.25">
      <c r="A39" s="18" t="s">
        <v>13</v>
      </c>
      <c r="E39" s="17"/>
      <c r="F39" s="17"/>
      <c r="H39" s="44" t="s">
        <v>16</v>
      </c>
      <c r="I39" s="44"/>
      <c r="J39" s="44"/>
      <c r="K39" s="44"/>
      <c r="L39" s="44"/>
      <c r="M39" s="44"/>
    </row>
    <row r="40" spans="1:18" x14ac:dyDescent="0.25">
      <c r="A40" s="18" t="s">
        <v>14</v>
      </c>
      <c r="H40" s="44" t="s">
        <v>17</v>
      </c>
      <c r="I40" s="44"/>
      <c r="J40" s="44"/>
      <c r="K40" s="44"/>
      <c r="L40" s="44"/>
      <c r="M40" s="44"/>
      <c r="R40" s="18"/>
    </row>
    <row r="41" spans="1:18" x14ac:dyDescent="0.25">
      <c r="R41" s="18"/>
    </row>
    <row r="42" spans="1:18" x14ac:dyDescent="0.25">
      <c r="A42" s="19" t="s">
        <v>48</v>
      </c>
      <c r="H42" s="18" t="s">
        <v>50</v>
      </c>
      <c r="P42" s="18"/>
      <c r="Q42" s="18"/>
    </row>
    <row r="43" spans="1:18" x14ac:dyDescent="0.25">
      <c r="A43" s="18" t="s">
        <v>49</v>
      </c>
      <c r="H43" s="18" t="s">
        <v>52</v>
      </c>
      <c r="P43" s="18"/>
      <c r="Q43" s="18"/>
    </row>
    <row r="44" spans="1:18" x14ac:dyDescent="0.25">
      <c r="H44" s="18" t="s">
        <v>53</v>
      </c>
    </row>
  </sheetData>
  <sheetProtection algorithmName="SHA-512" hashValue="3Xm1B76qNMNfhJkLwPpzr89FV3kXlidUZ6uTWZCKsre2B8yNmJVmHhcrpWtqZ79pLP4kkYSCqxdw+8dWOc+k6Q==" saltValue="E3qUOkqz6ny+ymNwK+xmbw==" spinCount="100000" sheet="1" objects="1" scenarios="1"/>
  <dataConsolidate/>
  <mergeCells count="11">
    <mergeCell ref="O18:P18"/>
    <mergeCell ref="A1:Q1"/>
    <mergeCell ref="E3:F3"/>
    <mergeCell ref="O15:P15"/>
    <mergeCell ref="O16:P16"/>
    <mergeCell ref="O17:P17"/>
    <mergeCell ref="H37:M37"/>
    <mergeCell ref="H38:M38"/>
    <mergeCell ref="H39:M39"/>
    <mergeCell ref="H40:M40"/>
    <mergeCell ref="A35:G35"/>
  </mergeCells>
  <conditionalFormatting sqref="P13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Planilha1!$B$4:$B$11</xm:f>
          </x14:formula1>
          <xm:sqref>P7:P8</xm:sqref>
        </x14:dataValidation>
        <x14:dataValidation type="list" allowBlank="1" showInputMessage="1" showErrorMessage="1" xr:uid="{00000000-0002-0000-0100-000001000000}">
          <x14:formula1>
            <xm:f>Planilha1!$D$4:$D$5</xm:f>
          </x14:formula1>
          <xm:sqref>C4:C34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4:D11"/>
  <sheetViews>
    <sheetView workbookViewId="0">
      <selection activeCell="D5" sqref="D5"/>
    </sheetView>
  </sheetViews>
  <sheetFormatPr defaultRowHeight="15" x14ac:dyDescent="0.25"/>
  <cols>
    <col min="2" max="2" width="13.5703125" bestFit="1" customWidth="1"/>
  </cols>
  <sheetData>
    <row r="4" spans="2:4" x14ac:dyDescent="0.25">
      <c r="B4" t="s">
        <v>28</v>
      </c>
      <c r="D4" s="24" t="s">
        <v>43</v>
      </c>
    </row>
    <row r="5" spans="2:4" x14ac:dyDescent="0.25">
      <c r="B5" t="s">
        <v>29</v>
      </c>
      <c r="D5" s="24" t="s">
        <v>42</v>
      </c>
    </row>
    <row r="6" spans="2:4" x14ac:dyDescent="0.25">
      <c r="B6" t="s">
        <v>30</v>
      </c>
      <c r="D6" s="24"/>
    </row>
    <row r="7" spans="2:4" x14ac:dyDescent="0.25">
      <c r="B7" t="s">
        <v>31</v>
      </c>
    </row>
    <row r="8" spans="2:4" x14ac:dyDescent="0.25">
      <c r="B8" t="s">
        <v>32</v>
      </c>
    </row>
    <row r="9" spans="2:4" x14ac:dyDescent="0.25">
      <c r="B9" t="s">
        <v>33</v>
      </c>
    </row>
    <row r="10" spans="2:4" x14ac:dyDescent="0.25">
      <c r="B10" t="s">
        <v>27</v>
      </c>
    </row>
    <row r="11" spans="2:4" x14ac:dyDescent="0.25">
      <c r="B11" s="24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Cálculo Salarial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Meyer</dc:creator>
  <cp:lastModifiedBy>Max</cp:lastModifiedBy>
  <dcterms:created xsi:type="dcterms:W3CDTF">2014-08-11T18:47:23Z</dcterms:created>
  <dcterms:modified xsi:type="dcterms:W3CDTF">2018-02-26T19:00:21Z</dcterms:modified>
</cp:coreProperties>
</file>