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/>
  <workbookPr filterPrivacy="1"/>
  <xr:revisionPtr revIDLastSave="0" documentId="10_ncr:100000_{95F8A35E-BEDC-48D5-84B8-6B034A048E60}" xr6:coauthVersionLast="31" xr6:coauthVersionMax="40" xr10:uidLastSave="{00000000-0000-0000-0000-000000000000}"/>
  <bookViews>
    <workbookView xWindow="930" yWindow="0" windowWidth="28530" windowHeight="12510" tabRatio="478" xr2:uid="{00000000-000D-0000-FFFF-FFFF00000000}"/>
  </bookViews>
  <sheets>
    <sheet name="Folha de ponto quinzenal" sheetId="1" r:id="rId1"/>
  </sheets>
  <definedNames>
    <definedName name="_xlnm.Print_Titles" localSheetId="0">'Folha de ponto quinzenal'!$7:$7</definedName>
    <definedName name="RegiãoDeTítuloDaLinha3..H5">'Folha de ponto quinzenal'!$F$4</definedName>
    <definedName name="RegiãoDeTítuloDaLinha5..H24">'Folha de ponto quinzenal'!$C$24</definedName>
    <definedName name="RegiãoDoTítuloDaLinha1..D5">'Folha de ponto quinzenal'!$B$3</definedName>
    <definedName name="RegiãoDoTítuloDaLinha2..G3">'Folha de ponto quinzenal'!$F$3</definedName>
    <definedName name="RegiãoDoTítuloDaLinha4..G23">'Folha de ponto quinzenal'!$C$23</definedName>
    <definedName name="Título1">FolhaDePonto[[#Headers],[Dia]]</definedName>
  </definedNames>
  <calcPr calcId="179017"/>
  <webPublishing codePage="1252"/>
</workbook>
</file>

<file path=xl/calcChain.xml><?xml version="1.0" encoding="utf-8"?>
<calcChain xmlns="http://schemas.openxmlformats.org/spreadsheetml/2006/main">
  <c r="E24" i="1" l="1"/>
  <c r="D22" i="1"/>
  <c r="D24" i="1" s="1"/>
  <c r="E22" i="1"/>
  <c r="F22" i="1"/>
  <c r="F24" i="1" s="1"/>
  <c r="G22" i="1"/>
  <c r="G24" i="1" s="1"/>
  <c r="H24" i="1" l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4" i="1"/>
  <c r="H22" i="1" l="1"/>
  <c r="H5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B19" i="1"/>
  <c r="B15" i="1"/>
  <c r="B11" i="1"/>
  <c r="B21" i="1"/>
  <c r="B13" i="1"/>
  <c r="B18" i="1"/>
  <c r="B14" i="1"/>
  <c r="B10" i="1"/>
  <c r="B17" i="1"/>
  <c r="B20" i="1"/>
  <c r="B16" i="1"/>
  <c r="B12" i="1"/>
  <c r="B8" i="1"/>
  <c r="B9" i="1"/>
</calcChain>
</file>

<file path=xl/sharedStrings.xml><?xml version="1.0" encoding="utf-8"?>
<sst xmlns="http://schemas.openxmlformats.org/spreadsheetml/2006/main" count="23" uniqueCount="20">
  <si>
    <t>Nome da Empresa</t>
  </si>
  <si>
    <t>Endereço, endereço 2, cidade, CEP</t>
  </si>
  <si>
    <t>Funcionário:</t>
  </si>
  <si>
    <t>Email do funcionário:</t>
  </si>
  <si>
    <t>Gerente:</t>
  </si>
  <si>
    <t>Dia</t>
  </si>
  <si>
    <t>Assinatura do funcionário</t>
  </si>
  <si>
    <t>Assinatura do gerente</t>
  </si>
  <si>
    <t>Data</t>
  </si>
  <si>
    <t>Total</t>
  </si>
  <si>
    <t>Taxa por hora</t>
  </si>
  <si>
    <t>Pagamento total</t>
  </si>
  <si>
    <t>Horas Normais</t>
  </si>
  <si>
    <t>Horas Extras</t>
  </si>
  <si>
    <t>Telefone do funcionário:</t>
  </si>
  <si>
    <t>Data de início do período de pagamento:</t>
  </si>
  <si>
    <t>Data de término do período de pagamento:</t>
  </si>
  <si>
    <t>Licença médica</t>
  </si>
  <si>
    <t>Folha de ponto semanal com intervalos</t>
  </si>
  <si>
    <t>Férias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</si>
</sst>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.00;\-&quot;R$&quot;\ #,##0.00"/>
    <numFmt numFmtId="165" formatCode="[&lt;=9999999]###\-####;\(###\)\ ###\-####"/>
  </numFmts>
  <fonts count="10" x14ac:knownFonts="1">
    <font>
      <sz val="11"/>
      <color theme="1" tint="0.14996795556505021"/>
      <name val="Constantia"/>
      <family val="1"/>
      <scheme val="minor"/>
    </font>
    <font>
      <sz val="10"/>
      <name val="Constantia"/>
      <family val="2"/>
      <scheme val="minor"/>
    </font>
    <font>
      <sz val="10"/>
      <color theme="7" tint="-0.249977111117893"/>
      <name val="Arial"/>
      <family val="2"/>
    </font>
    <font>
      <sz val="11"/>
      <color theme="0"/>
      <name val="Constantia"/>
      <family val="2"/>
      <scheme val="minor"/>
    </font>
    <font>
      <sz val="11"/>
      <name val="Constantia"/>
      <family val="1"/>
      <scheme val="minor"/>
    </font>
    <font>
      <sz val="22"/>
      <color theme="7"/>
      <name val="Constantia"/>
      <family val="2"/>
      <scheme val="major"/>
    </font>
    <font>
      <sz val="11"/>
      <color theme="7" tint="-0.24994659260841701"/>
      <name val="Constantia"/>
      <family val="2"/>
      <scheme val="minor"/>
    </font>
    <font>
      <sz val="11"/>
      <color theme="1" tint="0.14996795556505021"/>
      <name val="Constantia"/>
      <family val="1"/>
      <scheme val="minor"/>
    </font>
    <font>
      <sz val="11"/>
      <color theme="7" tint="-0.24994659260841701"/>
      <name val="Constantia"/>
      <family val="1"/>
      <scheme val="minor"/>
    </font>
    <font>
      <b/>
      <sz val="11"/>
      <color theme="1"/>
      <name val="Constanti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</patternFill>
    </fill>
  </fills>
  <borders count="8">
    <border>
      <left/>
      <right/>
      <top/>
      <bottom/>
      <diagonal/>
    </border>
    <border>
      <left/>
      <right/>
      <top/>
      <bottom style="thin">
        <color theme="7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7"/>
      </top>
      <bottom style="thin">
        <color theme="7"/>
      </bottom>
      <diagonal/>
    </border>
  </borders>
  <cellStyleXfs count="17">
    <xf numFmtId="0" fontId="0" fillId="0" borderId="0">
      <alignment horizontal="left" vertical="center" indent="1"/>
    </xf>
    <xf numFmtId="0" fontId="8" fillId="0" borderId="0" applyNumberFormat="0" applyFill="0" applyBorder="0" applyAlignment="0" applyProtection="0">
      <alignment vertical="top"/>
      <protection locked="0"/>
    </xf>
    <xf numFmtId="0" fontId="5" fillId="0" borderId="1" applyNumberFormat="0" applyFill="0" applyProtection="0">
      <alignment vertical="center"/>
    </xf>
    <xf numFmtId="0" fontId="6" fillId="0" borderId="0" applyNumberFormat="0" applyFill="0" applyProtection="0">
      <alignment horizontal="left" vertical="center" wrapText="1" indent="1"/>
    </xf>
    <xf numFmtId="0" fontId="6" fillId="0" borderId="0" applyNumberFormat="0" applyFill="0" applyProtection="0">
      <alignment horizontal="right" vertical="center" wrapText="1"/>
    </xf>
    <xf numFmtId="0" fontId="6" fillId="0" borderId="2" applyNumberFormat="0" applyFill="0" applyProtection="0">
      <alignment horizontal="left" vertical="center" indent="1"/>
    </xf>
    <xf numFmtId="0" fontId="6" fillId="0" borderId="3" applyNumberFormat="0" applyFill="0" applyProtection="0">
      <alignment horizontal="right" vertical="center" wrapText="1" indent="1"/>
    </xf>
    <xf numFmtId="0" fontId="6" fillId="0" borderId="4" applyNumberFormat="0" applyFill="0" applyProtection="0">
      <alignment horizontal="left" vertical="top" indent="1"/>
    </xf>
    <xf numFmtId="0" fontId="3" fillId="2" borderId="6" applyNumberFormat="0" applyAlignment="0" applyProtection="0"/>
    <xf numFmtId="0" fontId="9" fillId="3" borderId="6" applyNumberFormat="0" applyAlignment="0" applyProtection="0"/>
    <xf numFmtId="14" fontId="7" fillId="0" borderId="0" applyFont="0" applyFill="0" applyBorder="0">
      <alignment horizontal="right" vertical="center" indent="1"/>
    </xf>
    <xf numFmtId="0" fontId="8" fillId="0" borderId="0" applyNumberFormat="0" applyFill="0" applyBorder="0" applyAlignment="0" applyProtection="0">
      <alignment horizontal="left" vertical="center" indent="1"/>
    </xf>
    <xf numFmtId="0" fontId="7" fillId="0" borderId="0" applyNumberFormat="0" applyFont="0" applyFill="0" applyBorder="0">
      <alignment horizontal="center" vertical="center"/>
    </xf>
    <xf numFmtId="165" fontId="4" fillId="0" borderId="0" applyFont="0" applyFill="0" applyBorder="0">
      <alignment horizontal="right" vertical="center" indent="1"/>
    </xf>
    <xf numFmtId="2" fontId="7" fillId="0" borderId="0" applyFont="0" applyFill="0" applyBorder="0" applyProtection="0">
      <alignment horizontal="right" vertical="center" indent="2"/>
    </xf>
    <xf numFmtId="164" fontId="7" fillId="0" borderId="0" applyFont="0" applyFill="0" applyBorder="0" applyAlignment="0" applyProtection="0"/>
    <xf numFmtId="0" fontId="3" fillId="4" borderId="5" applyNumberFormat="0" applyAlignment="0" applyProtection="0"/>
  </cellStyleXfs>
  <cellXfs count="28">
    <xf numFmtId="0" fontId="0" fillId="0" borderId="0" xfId="0">
      <alignment horizontal="left" vertical="center" indent="1"/>
    </xf>
    <xf numFmtId="0" fontId="1" fillId="0" borderId="0" xfId="0" applyFo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5" fillId="0" borderId="1" xfId="2">
      <alignment vertical="center"/>
    </xf>
    <xf numFmtId="0" fontId="6" fillId="0" borderId="2" xfId="5">
      <alignment horizontal="left" vertical="center" indent="1"/>
    </xf>
    <xf numFmtId="14" fontId="6" fillId="0" borderId="3" xfId="10" applyFont="1" applyBorder="1" applyAlignment="1">
      <alignment horizontal="right" vertical="center" wrapText="1" indent="1"/>
    </xf>
    <xf numFmtId="14" fontId="0" fillId="0" borderId="0" xfId="10" applyFont="1">
      <alignment horizontal="right" vertical="center" indent="1"/>
    </xf>
    <xf numFmtId="0" fontId="0" fillId="0" borderId="0" xfId="12" applyFont="1">
      <alignment horizontal="center" vertical="center"/>
    </xf>
    <xf numFmtId="0" fontId="6" fillId="0" borderId="4" xfId="7">
      <alignment horizontal="left" vertical="top" indent="1"/>
    </xf>
    <xf numFmtId="0" fontId="9" fillId="3" borderId="6" xfId="9" applyAlignment="1">
      <alignment horizontal="left" vertical="center" indent="1"/>
    </xf>
    <xf numFmtId="0" fontId="3" fillId="2" borderId="6" xfId="8" applyAlignment="1">
      <alignment horizontal="left" vertical="center" indent="1"/>
    </xf>
    <xf numFmtId="164" fontId="3" fillId="2" borderId="6" xfId="15" applyFont="1" applyFill="1" applyBorder="1" applyAlignment="1">
      <alignment horizontal="right" vertical="center" indent="1"/>
    </xf>
    <xf numFmtId="164" fontId="9" fillId="3" borderId="6" xfId="15" applyFont="1" applyFill="1" applyBorder="1" applyAlignment="1">
      <alignment horizontal="right" vertical="center" indent="1"/>
    </xf>
    <xf numFmtId="2" fontId="0" fillId="0" borderId="0" xfId="14" applyFont="1" applyAlignment="1">
      <alignment horizontal="right" vertical="center" indent="1"/>
    </xf>
    <xf numFmtId="2" fontId="0" fillId="0" borderId="0" xfId="0" applyNumberFormat="1" applyAlignment="1">
      <alignment horizontal="right" vertical="center" indent="1"/>
    </xf>
    <xf numFmtId="0" fontId="6" fillId="0" borderId="0" xfId="3" applyAlignment="1">
      <alignment horizontal="left" vertical="top" wrapText="1"/>
    </xf>
    <xf numFmtId="0" fontId="6" fillId="0" borderId="2" xfId="5">
      <alignment horizontal="left" vertical="center" indent="1"/>
    </xf>
    <xf numFmtId="0" fontId="6" fillId="0" borderId="3" xfId="6">
      <alignment horizontal="right" vertical="center" wrapText="1" indent="1"/>
    </xf>
    <xf numFmtId="0" fontId="8" fillId="0" borderId="3" xfId="1" applyBorder="1" applyAlignment="1" applyProtection="1">
      <alignment horizontal="right" vertical="center" wrapText="1" indent="1"/>
    </xf>
    <xf numFmtId="0" fontId="6" fillId="0" borderId="0" xfId="4" applyAlignment="1">
      <alignment horizontal="right" vertical="top" wrapText="1"/>
    </xf>
    <xf numFmtId="0" fontId="6" fillId="0" borderId="4" xfId="7">
      <alignment horizontal="left" vertical="top" indent="1"/>
    </xf>
    <xf numFmtId="0" fontId="0" fillId="0" borderId="0" xfId="0">
      <alignment horizontal="left" vertical="center" indent="1"/>
    </xf>
    <xf numFmtId="14" fontId="0" fillId="0" borderId="0" xfId="10" applyFont="1">
      <alignment horizontal="right" vertical="center" indent="1"/>
    </xf>
    <xf numFmtId="165" fontId="6" fillId="0" borderId="7" xfId="13" applyFont="1" applyBorder="1">
      <alignment horizontal="right" vertical="center" indent="1"/>
    </xf>
    <xf numFmtId="165" fontId="6" fillId="0" borderId="3" xfId="13" applyFont="1" applyBorder="1">
      <alignment horizontal="right" vertical="center" indent="1"/>
    </xf>
  </cellXfs>
  <cellStyles count="17">
    <cellStyle name="60% - Accent6" xfId="9" builtinId="52" customBuiltin="1"/>
    <cellStyle name="Accent4" xfId="8" builtinId="41" customBuiltin="1"/>
    <cellStyle name="Accent6" xfId="16" builtinId="49" customBuiltin="1"/>
    <cellStyle name="Cabeçalho da tabela" xfId="12" xr:uid="{00000000-0005-0000-0000-00000F000000}"/>
    <cellStyle name="Comma" xfId="14" builtinId="3" customBuiltin="1"/>
    <cellStyle name="Currency" xfId="15" builtinId="4" customBuiltin="1"/>
    <cellStyle name="Data" xfId="10" xr:uid="{00000000-0005-0000-0000-000005000000}"/>
    <cellStyle name="Explanatory Text" xfId="7" builtinId="53" customBuiltin="1"/>
    <cellStyle name="Followed Hyperlink" xfId="11" builtinId="9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 customBuiltin="1"/>
    <cellStyle name="Normal" xfId="0" builtinId="0" customBuiltin="1"/>
    <cellStyle name="Telefone" xfId="13" xr:uid="{00000000-0005-0000-0000-00000E000000}"/>
    <cellStyle name="Title" xfId="2" builtinId="15" customBuiltin="1"/>
  </cellStyles>
  <dxfs count="18">
    <dxf>
      <numFmt numFmtId="2" formatCode="0.00"/>
      <alignment horizontal="right" vertical="center" textRotation="0" wrapText="0" indent="1" justifyLastLine="0" shrinkToFit="0" readingOrder="0"/>
    </dxf>
    <dxf>
      <alignment horizontal="right" vertical="center" textRotation="0" wrapText="0" indent="1" justifyLastLine="0" shrinkToFit="0" readingOrder="0"/>
    </dxf>
    <dxf>
      <numFmt numFmtId="2" formatCode="0.00"/>
      <alignment horizontal="right" vertical="center" textRotation="0" wrapText="0" indent="1" justifyLastLine="0" shrinkToFit="0" readingOrder="0"/>
    </dxf>
    <dxf>
      <alignment horizontal="right" vertical="center" textRotation="0" wrapText="0" indent="1" justifyLastLine="0" shrinkToFit="0" readingOrder="0"/>
    </dxf>
    <dxf>
      <numFmt numFmtId="2" formatCode="0.00"/>
      <alignment horizontal="right" vertical="center" textRotation="0" wrapText="0" indent="1" justifyLastLine="0" shrinkToFit="0" readingOrder="0"/>
    </dxf>
    <dxf>
      <alignment horizontal="right" vertical="center" textRotation="0" wrapText="0" indent="1" justifyLastLine="0" shrinkToFit="0" readingOrder="0"/>
    </dxf>
    <dxf>
      <numFmt numFmtId="2" formatCode="0.00"/>
      <alignment horizontal="right" vertical="center" textRotation="0" wrapText="0" indent="1" justifyLastLine="0" shrinkToFit="0" readingOrder="0"/>
    </dxf>
    <dxf>
      <alignment horizontal="right" vertical="center" textRotation="0" wrapText="0" indent="1" justifyLastLine="0" shrinkToFit="0" readingOrder="0"/>
    </dxf>
    <dxf>
      <numFmt numFmtId="2" formatCode="0.00"/>
      <alignment horizontal="right" vertical="center" textRotation="0" wrapText="0" indent="1" justifyLastLine="0" shrinkToFit="0" readingOrder="0"/>
    </dxf>
    <dxf>
      <alignment horizontal="righ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 tint="0.14996795556505021"/>
        <name val="Constantia"/>
        <family val="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Constanti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theme="1" tint="0.14996795556505021"/>
      </font>
      <fill>
        <patternFill>
          <bgColor theme="9" tint="0.59996337778862885"/>
        </patternFill>
      </fill>
      <border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color theme="1" tint="0.14996795556505021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 tint="0.14996795556505021"/>
      </font>
    </dxf>
    <dxf>
      <font>
        <b val="0"/>
        <i val="0"/>
        <color theme="0"/>
      </font>
      <fill>
        <patternFill>
          <bgColor theme="7"/>
        </patternFill>
      </fill>
      <border>
        <top style="medium">
          <color theme="0"/>
        </top>
        <bottom style="medium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>
          <bgColor theme="7"/>
        </patternFill>
      </fill>
      <border>
        <bottom style="medium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color theme="1" tint="0.14996795556505021"/>
      </font>
    </dxf>
  </dxfs>
  <tableStyles count="1" defaultTableStyle="Folha de ponto quinzenal" defaultPivotStyle="PivotStyleLight16">
    <tableStyle name="Folha de ponto quinzenal" pivot="0" count="6" xr9:uid="{00000000-0011-0000-FFFF-FFFF00000000}">
      <tableStyleElement type="wholeTable" dxfId="17"/>
      <tableStyleElement type="headerRow" dxfId="16"/>
      <tableStyleElement type="totalRow" dxfId="15"/>
      <tableStyleElement type="firstColumn" dxfId="14"/>
      <tableStyleElement type="firstRowStripe" dxfId="13"/>
      <tableStyleElement type="secondRowStripe" dxfId="1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lhaDePonto" displayName="FolhaDePonto" ref="B7:H22" totalsRowCount="1" totalsRowCellStyle="Normal">
  <autoFilter ref="B7:H21" xr:uid="{00000000-0009-0000-0100-000001000000}"/>
  <tableColumns count="7">
    <tableColumn id="1" xr3:uid="{00000000-0010-0000-0000-000001000000}" name="Dia" dataDxfId="11">
      <calculatedColumnFormula>IFERROR(TEXT(_xlfn.SINGLE(FolhaDePonto[[#This Row],[Data]]),"dddd"), "")</calculatedColumnFormula>
    </tableColumn>
    <tableColumn id="3" xr3:uid="{00000000-0010-0000-0000-000003000000}" name="Data" totalsRowLabel="Total" dataDxfId="10"/>
    <tableColumn id="4" xr3:uid="{00000000-0010-0000-0000-000004000000}" name="Horas Normais" totalsRowFunction="sum" dataDxfId="9" totalsRowDxfId="8"/>
    <tableColumn id="5" xr3:uid="{00000000-0010-0000-0000-000005000000}" name="Horas Extras" totalsRowFunction="sum" dataDxfId="7" totalsRowDxfId="6"/>
    <tableColumn id="13" xr3:uid="{00000000-0010-0000-0000-00000D000000}" name="Licença médica" totalsRowFunction="sum" dataDxfId="5" totalsRowDxfId="4"/>
    <tableColumn id="12" xr3:uid="{00000000-0010-0000-0000-00000C000000}" name="Férias" totalsRowFunction="sum" dataDxfId="3" totalsRowDxfId="2"/>
    <tableColumn id="11" xr3:uid="{00000000-0010-0000-0000-00000B000000}" name="Total" totalsRowFunction="sum" dataDxfId="1" totalsRowDxfId="0">
      <calculatedColumnFormula>IFERROR(SUM(D8:G8), "")</calculatedColumnFormula>
    </tableColumn>
  </tableColumns>
  <tableStyleInfo name="Folha de ponto quinzenal" showFirstColumn="1" showLastColumn="0" showRowStripes="1" showColumnStripes="0"/>
  <extLst>
    <ext xmlns:x14="http://schemas.microsoft.com/office/spreadsheetml/2009/9/main" uri="{504A1905-F514-4f6f-8877-14C23A59335A}">
      <x14:table altTextSummary="Enter Day, Date, Regular, Overtime, Sick, and Vacation hours. Total Hours and Total Pay are automatically calculated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urrency">
  <a:themeElements>
    <a:clrScheme name="Currency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Currency">
      <a:majorFont>
        <a:latin typeface="Constantia"/>
        <a:ea typeface=""/>
        <a:cs typeface=""/>
        <a:font script="Jpan" typeface="HG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onstantia"/>
        <a:ea typeface=""/>
        <a:cs typeface=""/>
        <a:font script="Jpan" typeface="HG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Currency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10000"/>
              </a:schemeClr>
            </a:gs>
            <a:gs pos="47500">
              <a:schemeClr val="phClr">
                <a:tint val="35000"/>
                <a:satMod val="110000"/>
              </a:schemeClr>
            </a:gs>
            <a:gs pos="58500">
              <a:schemeClr val="phClr">
                <a:tint val="35000"/>
                <a:satMod val="110000"/>
              </a:schemeClr>
            </a:gs>
            <a:gs pos="100000">
              <a:schemeClr val="phClr">
                <a:tint val="8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2000"/>
                <a:satMod val="105000"/>
              </a:schemeClr>
            </a:gs>
            <a:gs pos="47500">
              <a:schemeClr val="phClr">
                <a:shade val="89000"/>
                <a:satMod val="105000"/>
              </a:schemeClr>
            </a:gs>
            <a:gs pos="58500">
              <a:schemeClr val="phClr">
                <a:shade val="89000"/>
                <a:satMod val="105000"/>
              </a:schemeClr>
            </a:gs>
            <a:gs pos="100000">
              <a:schemeClr val="phClr">
                <a:shade val="52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60000" cap="flat" cmpd="thickThin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50800" dist="63500" dir="5400000" algn="r" rotWithShape="0">
              <a:srgbClr val="000000">
                <a:alpha val="65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extrusionH="63500" contourW="38100" prstMaterial="flat">
            <a:bevelT w="50800" h="635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20000"/>
                <a:satMod val="350000"/>
              </a:schemeClr>
            </a:gs>
          </a:gsLst>
          <a:path path="circle">
            <a:fillToRect l="100000" t="100000" r="100000" b="100000"/>
          </a:path>
        </a:gradFill>
        <a:blipFill>
          <a:blip xmlns:r="http://schemas.openxmlformats.org/officeDocument/2006/relationships" r:embed="rId1">
            <a:duotone>
              <a:schemeClr val="phClr">
                <a:tint val="90000"/>
                <a:satMod val="120000"/>
              </a:schemeClr>
              <a:schemeClr val="phClr">
                <a:tint val="84000"/>
                <a:shade val="97000"/>
                <a:satMod val="130000"/>
              </a:schemeClr>
            </a:duotone>
          </a:blip>
          <a:tile tx="0" ty="0" sx="60000" sy="6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56"/>
    <pageSetUpPr fitToPage="1"/>
  </sheetPr>
  <dimension ref="A1:H28"/>
  <sheetViews>
    <sheetView showGridLines="0" showZeros="0" tabSelected="1" workbookViewId="0"/>
  </sheetViews>
  <sheetFormatPr defaultRowHeight="30" customHeight="1" x14ac:dyDescent="0.25"/>
  <cols>
    <col min="1" max="1" width="2.375" customWidth="1"/>
    <col min="2" max="2" width="16.625" customWidth="1"/>
    <col min="3" max="8" width="23.625" customWidth="1"/>
    <col min="9" max="9" width="2.625" customWidth="1"/>
    <col min="10" max="11" width="9.25" customWidth="1"/>
    <col min="12" max="12" width="14.25" customWidth="1"/>
  </cols>
  <sheetData>
    <row r="1" spans="1:8" ht="35.1" customHeight="1" x14ac:dyDescent="0.25">
      <c r="B1" s="6" t="s">
        <v>0</v>
      </c>
      <c r="C1" s="6"/>
      <c r="D1" s="6"/>
      <c r="E1" s="6"/>
      <c r="F1" s="6"/>
      <c r="G1" s="6"/>
      <c r="H1" s="6"/>
    </row>
    <row r="2" spans="1:8" ht="72.75" customHeight="1" x14ac:dyDescent="0.25">
      <c r="A2" s="3"/>
      <c r="B2" s="18" t="s">
        <v>1</v>
      </c>
      <c r="C2" s="18"/>
      <c r="D2" s="18"/>
      <c r="E2" s="18"/>
      <c r="F2" s="18"/>
      <c r="G2" s="22" t="s">
        <v>18</v>
      </c>
      <c r="H2" s="22"/>
    </row>
    <row r="3" spans="1:8" ht="20.100000000000001" customHeight="1" x14ac:dyDescent="0.25">
      <c r="A3" s="2"/>
      <c r="B3" s="19" t="s">
        <v>2</v>
      </c>
      <c r="C3" s="19"/>
      <c r="D3" s="20"/>
      <c r="E3" s="20"/>
      <c r="F3" s="7" t="s">
        <v>14</v>
      </c>
      <c r="G3" s="26"/>
      <c r="H3" s="27"/>
    </row>
    <row r="4" spans="1:8" ht="20.100000000000001" customHeight="1" x14ac:dyDescent="0.25">
      <c r="A4" s="2"/>
      <c r="B4" s="19" t="s">
        <v>3</v>
      </c>
      <c r="C4" s="19"/>
      <c r="D4" s="21"/>
      <c r="E4" s="20"/>
      <c r="F4" s="19" t="s">
        <v>15</v>
      </c>
      <c r="G4" s="19"/>
      <c r="H4" s="8">
        <f ca="1">TODAY()</f>
        <v>43447</v>
      </c>
    </row>
    <row r="5" spans="1:8" ht="20.100000000000001" customHeight="1" x14ac:dyDescent="0.25">
      <c r="B5" s="19" t="s">
        <v>4</v>
      </c>
      <c r="C5" s="19"/>
      <c r="D5" s="20"/>
      <c r="E5" s="20"/>
      <c r="F5" s="19" t="s">
        <v>16</v>
      </c>
      <c r="G5" s="19"/>
      <c r="H5" s="8">
        <f ca="1">IF($H$4="","",$H$4+13)</f>
        <v>43460</v>
      </c>
    </row>
    <row r="6" spans="1:8" ht="15" customHeight="1" x14ac:dyDescent="0.25">
      <c r="B6" s="1"/>
      <c r="C6" s="1"/>
      <c r="D6" s="1"/>
      <c r="E6" s="1"/>
      <c r="F6" s="1"/>
      <c r="G6" s="1"/>
      <c r="H6" s="1"/>
    </row>
    <row r="7" spans="1:8" ht="30" customHeight="1" x14ac:dyDescent="0.25">
      <c r="A7" s="2"/>
      <c r="B7" s="10" t="s">
        <v>5</v>
      </c>
      <c r="C7" s="10" t="s">
        <v>8</v>
      </c>
      <c r="D7" s="10" t="s">
        <v>12</v>
      </c>
      <c r="E7" s="10" t="s">
        <v>13</v>
      </c>
      <c r="F7" s="10" t="s">
        <v>17</v>
      </c>
      <c r="G7" s="10" t="s">
        <v>19</v>
      </c>
      <c r="H7" s="10" t="s">
        <v>9</v>
      </c>
    </row>
    <row r="8" spans="1:8" ht="30" customHeight="1" x14ac:dyDescent="0.25">
      <c r="A8" s="2"/>
      <c r="B8" t="str">
        <f ca="1">IFERROR(TEXT(_xlfn.SINGLE(FolhaDePonto[[#This Row],[Data]]),"dddd"), "")</f>
        <v/>
      </c>
      <c r="C8" s="9">
        <f ca="1">H4</f>
        <v>43447</v>
      </c>
      <c r="D8" s="16">
        <v>8</v>
      </c>
      <c r="E8" s="16"/>
      <c r="F8" s="16"/>
      <c r="G8" s="16"/>
      <c r="H8" s="16">
        <f>IFERROR(SUM(D8:G8), "")</f>
        <v>8</v>
      </c>
    </row>
    <row r="9" spans="1:8" ht="30" customHeight="1" x14ac:dyDescent="0.25">
      <c r="A9" s="2"/>
      <c r="B9" t="str">
        <f ca="1">IFERROR(TEXT(_xlfn.SINGLE(FolhaDePonto[[#This Row],[Data]]),"dddd"), "")</f>
        <v/>
      </c>
      <c r="C9" s="9">
        <f ca="1">IF($H$4="","",$H$4+1)</f>
        <v>43448</v>
      </c>
      <c r="D9" s="16">
        <v>8</v>
      </c>
      <c r="E9" s="16">
        <v>2</v>
      </c>
      <c r="F9" s="16"/>
      <c r="G9" s="16"/>
      <c r="H9" s="16">
        <f t="shared" ref="H9:H21" si="0">IFERROR(SUM(D9:G9), "")</f>
        <v>10</v>
      </c>
    </row>
    <row r="10" spans="1:8" ht="30" customHeight="1" x14ac:dyDescent="0.25">
      <c r="A10" s="2"/>
      <c r="B10" t="str">
        <f ca="1">IFERROR(TEXT(_xlfn.SINGLE(FolhaDePonto[[#This Row],[Data]]),"dddd"), "")</f>
        <v/>
      </c>
      <c r="C10" s="9">
        <f ca="1">IF($H$4="","",$H$4+2)</f>
        <v>43449</v>
      </c>
      <c r="D10" s="16"/>
      <c r="E10" s="16"/>
      <c r="F10" s="16">
        <v>8</v>
      </c>
      <c r="G10" s="16"/>
      <c r="H10" s="16">
        <f t="shared" si="0"/>
        <v>8</v>
      </c>
    </row>
    <row r="11" spans="1:8" ht="30" customHeight="1" x14ac:dyDescent="0.25">
      <c r="A11" s="2"/>
      <c r="B11" t="str">
        <f ca="1">IFERROR(TEXT(_xlfn.SINGLE(FolhaDePonto[[#This Row],[Data]]),"dddd"), "")</f>
        <v/>
      </c>
      <c r="C11" s="9">
        <f ca="1">IF($H$4="","",$H$4+3)</f>
        <v>43450</v>
      </c>
      <c r="D11" s="16"/>
      <c r="E11" s="16"/>
      <c r="F11" s="16"/>
      <c r="G11" s="16">
        <v>8</v>
      </c>
      <c r="H11" s="16">
        <f t="shared" si="0"/>
        <v>8</v>
      </c>
    </row>
    <row r="12" spans="1:8" ht="30" customHeight="1" x14ac:dyDescent="0.25">
      <c r="A12" s="2"/>
      <c r="B12" t="str">
        <f ca="1">IFERROR(TEXT(_xlfn.SINGLE(FolhaDePonto[[#This Row],[Data]]),"dddd"), "")</f>
        <v/>
      </c>
      <c r="C12" s="9">
        <f ca="1">IF($H$4="","",$H$4+4)</f>
        <v>43451</v>
      </c>
      <c r="D12" s="16"/>
      <c r="E12" s="16"/>
      <c r="F12" s="16"/>
      <c r="G12" s="16"/>
      <c r="H12" s="16">
        <f t="shared" si="0"/>
        <v>0</v>
      </c>
    </row>
    <row r="13" spans="1:8" ht="30" customHeight="1" x14ac:dyDescent="0.25">
      <c r="A13" s="2"/>
      <c r="B13" t="str">
        <f ca="1">IFERROR(TEXT(_xlfn.SINGLE(FolhaDePonto[[#This Row],[Data]]),"dddd"), "")</f>
        <v/>
      </c>
      <c r="C13" s="9">
        <f ca="1">IF($H$4="","",$H$4+5)</f>
        <v>43452</v>
      </c>
      <c r="D13" s="16"/>
      <c r="E13" s="16"/>
      <c r="F13" s="16"/>
      <c r="G13" s="16"/>
      <c r="H13" s="16">
        <f t="shared" si="0"/>
        <v>0</v>
      </c>
    </row>
    <row r="14" spans="1:8" ht="30" customHeight="1" x14ac:dyDescent="0.25">
      <c r="A14" s="2"/>
      <c r="B14" t="str">
        <f ca="1">IFERROR(TEXT(_xlfn.SINGLE(FolhaDePonto[[#This Row],[Data]]),"dddd"), "")</f>
        <v/>
      </c>
      <c r="C14" s="9">
        <f ca="1">IF($H$4="","",$H$4+6)</f>
        <v>43453</v>
      </c>
      <c r="D14" s="16"/>
      <c r="E14" s="16"/>
      <c r="F14" s="16"/>
      <c r="G14" s="16"/>
      <c r="H14" s="16">
        <f t="shared" si="0"/>
        <v>0</v>
      </c>
    </row>
    <row r="15" spans="1:8" ht="30" customHeight="1" x14ac:dyDescent="0.25">
      <c r="A15" s="2"/>
      <c r="B15" t="str">
        <f ca="1">IFERROR(TEXT(_xlfn.SINGLE(FolhaDePonto[[#This Row],[Data]]),"dddd"), "")</f>
        <v/>
      </c>
      <c r="C15" s="9">
        <f ca="1">IF($H$4="","",$H$4+7)</f>
        <v>43454</v>
      </c>
      <c r="D15" s="16"/>
      <c r="E15" s="16"/>
      <c r="F15" s="16"/>
      <c r="G15" s="16"/>
      <c r="H15" s="16">
        <f t="shared" si="0"/>
        <v>0</v>
      </c>
    </row>
    <row r="16" spans="1:8" ht="30" customHeight="1" x14ac:dyDescent="0.25">
      <c r="A16" s="2"/>
      <c r="B16" t="str">
        <f ca="1">IFERROR(TEXT(_xlfn.SINGLE(FolhaDePonto[[#This Row],[Data]]),"dddd"), "")</f>
        <v/>
      </c>
      <c r="C16" s="9">
        <f ca="1">IF($H$4="","",$H$4+8)</f>
        <v>43455</v>
      </c>
      <c r="D16" s="16"/>
      <c r="E16" s="16"/>
      <c r="F16" s="16"/>
      <c r="G16" s="16"/>
      <c r="H16" s="16">
        <f t="shared" si="0"/>
        <v>0</v>
      </c>
    </row>
    <row r="17" spans="1:8" ht="30" customHeight="1" x14ac:dyDescent="0.25">
      <c r="A17" s="2"/>
      <c r="B17" t="str">
        <f ca="1">IFERROR(TEXT(_xlfn.SINGLE(FolhaDePonto[[#This Row],[Data]]),"dddd"), "")</f>
        <v/>
      </c>
      <c r="C17" s="9">
        <f ca="1">IF($H$4="","",$H$4+9)</f>
        <v>43456</v>
      </c>
      <c r="D17" s="16"/>
      <c r="E17" s="16"/>
      <c r="F17" s="16"/>
      <c r="G17" s="16"/>
      <c r="H17" s="16">
        <f t="shared" si="0"/>
        <v>0</v>
      </c>
    </row>
    <row r="18" spans="1:8" ht="30" customHeight="1" x14ac:dyDescent="0.25">
      <c r="A18" s="2"/>
      <c r="B18" t="str">
        <f ca="1">IFERROR(TEXT(_xlfn.SINGLE(FolhaDePonto[[#This Row],[Data]]),"dddd"), "")</f>
        <v/>
      </c>
      <c r="C18" s="9">
        <f ca="1">IF($H$4="","",$H$4+10)</f>
        <v>43457</v>
      </c>
      <c r="D18" s="16"/>
      <c r="E18" s="16"/>
      <c r="F18" s="16"/>
      <c r="G18" s="16"/>
      <c r="H18" s="16">
        <f t="shared" si="0"/>
        <v>0</v>
      </c>
    </row>
    <row r="19" spans="1:8" ht="30" customHeight="1" x14ac:dyDescent="0.25">
      <c r="A19" s="2"/>
      <c r="B19" t="str">
        <f ca="1">IFERROR(TEXT(_xlfn.SINGLE(FolhaDePonto[[#This Row],[Data]]),"dddd"), "")</f>
        <v/>
      </c>
      <c r="C19" s="9">
        <f ca="1">IF($H$4="","",$H$4+11)</f>
        <v>43458</v>
      </c>
      <c r="D19" s="16"/>
      <c r="E19" s="16"/>
      <c r="F19" s="16"/>
      <c r="G19" s="16"/>
      <c r="H19" s="16">
        <f t="shared" si="0"/>
        <v>0</v>
      </c>
    </row>
    <row r="20" spans="1:8" ht="30" customHeight="1" x14ac:dyDescent="0.25">
      <c r="A20" s="2"/>
      <c r="B20" t="str">
        <f ca="1">IFERROR(TEXT(_xlfn.SINGLE(FolhaDePonto[[#This Row],[Data]]),"dddd"), "")</f>
        <v/>
      </c>
      <c r="C20" s="9">
        <f ca="1">IF($H$4="","",$H$4+12)</f>
        <v>43459</v>
      </c>
      <c r="D20" s="16"/>
      <c r="E20" s="16"/>
      <c r="F20" s="16"/>
      <c r="G20" s="16"/>
      <c r="H20" s="16">
        <f t="shared" si="0"/>
        <v>0</v>
      </c>
    </row>
    <row r="21" spans="1:8" ht="30" customHeight="1" x14ac:dyDescent="0.25">
      <c r="A21" s="2"/>
      <c r="B21" t="str">
        <f ca="1">IFERROR(TEXT(_xlfn.SINGLE(FolhaDePonto[[#This Row],[Data]]),"dddd"), "")</f>
        <v/>
      </c>
      <c r="C21" s="9">
        <f ca="1">IF($H$4="","",$H$4+13)</f>
        <v>43460</v>
      </c>
      <c r="D21" s="16"/>
      <c r="E21" s="16"/>
      <c r="F21" s="16"/>
      <c r="G21" s="16"/>
      <c r="H21" s="16">
        <f t="shared" si="0"/>
        <v>0</v>
      </c>
    </row>
    <row r="22" spans="1:8" ht="30" customHeight="1" thickBot="1" x14ac:dyDescent="0.3">
      <c r="A22" s="2"/>
      <c r="C22" t="s">
        <v>9</v>
      </c>
      <c r="D22" s="17">
        <f>SUBTOTAL(109,FolhaDePonto[Horas Normais])</f>
        <v>16</v>
      </c>
      <c r="E22" s="17">
        <f>SUBTOTAL(109,FolhaDePonto[Horas Extras])</f>
        <v>2</v>
      </c>
      <c r="F22" s="17">
        <f>SUBTOTAL(109,FolhaDePonto[Licença médica])</f>
        <v>8</v>
      </c>
      <c r="G22" s="17">
        <f>SUBTOTAL(109,FolhaDePonto[Férias])</f>
        <v>8</v>
      </c>
      <c r="H22" s="17">
        <f>SUBTOTAL(109,FolhaDePonto[Total])</f>
        <v>34</v>
      </c>
    </row>
    <row r="23" spans="1:8" ht="30" customHeight="1" thickTop="1" thickBot="1" x14ac:dyDescent="0.3">
      <c r="A23" s="2"/>
      <c r="B23" s="12"/>
      <c r="C23" s="12" t="s">
        <v>10</v>
      </c>
      <c r="D23" s="15">
        <v>10</v>
      </c>
      <c r="E23" s="15">
        <v>15</v>
      </c>
      <c r="F23" s="15">
        <v>10</v>
      </c>
      <c r="G23" s="15">
        <v>10</v>
      </c>
      <c r="H23" s="15"/>
    </row>
    <row r="24" spans="1:8" ht="30" customHeight="1" thickTop="1" thickBot="1" x14ac:dyDescent="0.3">
      <c r="B24" s="13"/>
      <c r="C24" s="13" t="s">
        <v>11</v>
      </c>
      <c r="D24" s="14">
        <f>IFERROR(SUM(D23*_xlfn.SINGLE(FolhaDePonto[[#Totals],[Horas Normais]])), "")</f>
        <v>160</v>
      </c>
      <c r="E24" s="14">
        <f>IFERROR(SUM(E23*_xlfn.SINGLE(FolhaDePonto[[#Totals],[Horas Extras]])), "")</f>
        <v>30</v>
      </c>
      <c r="F24" s="14">
        <f>IFERROR(SUM(F23*_xlfn.SINGLE(FolhaDePonto[[#Totals],[Licença médica]])), "")</f>
        <v>80</v>
      </c>
      <c r="G24" s="14">
        <f>IFERROR(SUM(G23*_xlfn.SINGLE(FolhaDePonto[[#Totals],[Férias]])), "")</f>
        <v>80</v>
      </c>
      <c r="H24" s="14">
        <f>IFERROR(SUM(D24:G24), "")</f>
        <v>350</v>
      </c>
    </row>
    <row r="25" spans="1:8" ht="30" customHeight="1" thickTop="1" x14ac:dyDescent="0.25">
      <c r="A25" s="4"/>
      <c r="B25" s="24"/>
      <c r="C25" s="24"/>
      <c r="D25" s="24"/>
      <c r="E25" s="24"/>
      <c r="G25" s="25"/>
      <c r="H25" s="25"/>
    </row>
    <row r="26" spans="1:8" ht="30" customHeight="1" x14ac:dyDescent="0.25">
      <c r="B26" s="23" t="s">
        <v>6</v>
      </c>
      <c r="C26" s="23"/>
      <c r="D26" s="23"/>
      <c r="E26" s="23"/>
      <c r="F26" s="5"/>
      <c r="G26" s="11" t="s">
        <v>8</v>
      </c>
      <c r="H26" s="11"/>
    </row>
    <row r="27" spans="1:8" ht="30" customHeight="1" x14ac:dyDescent="0.25">
      <c r="A27" s="4"/>
      <c r="B27" s="24"/>
      <c r="C27" s="24"/>
      <c r="D27" s="24"/>
      <c r="E27" s="24"/>
      <c r="G27" s="25"/>
      <c r="H27" s="25"/>
    </row>
    <row r="28" spans="1:8" ht="30" customHeight="1" x14ac:dyDescent="0.25">
      <c r="B28" s="23" t="s">
        <v>7</v>
      </c>
      <c r="C28" s="23"/>
      <c r="D28" s="23"/>
      <c r="E28" s="23"/>
      <c r="F28" s="5"/>
      <c r="G28" s="11" t="s">
        <v>8</v>
      </c>
      <c r="H28" s="11"/>
    </row>
  </sheetData>
  <mergeCells count="17">
    <mergeCell ref="B28:E28"/>
    <mergeCell ref="B25:E25"/>
    <mergeCell ref="G25:H25"/>
    <mergeCell ref="G3:H3"/>
    <mergeCell ref="B27:E27"/>
    <mergeCell ref="G27:H27"/>
    <mergeCell ref="B26:E26"/>
    <mergeCell ref="B2:F2"/>
    <mergeCell ref="F4:G4"/>
    <mergeCell ref="F5:G5"/>
    <mergeCell ref="B3:C3"/>
    <mergeCell ref="B4:C4"/>
    <mergeCell ref="B5:C5"/>
    <mergeCell ref="D3:E3"/>
    <mergeCell ref="D4:E4"/>
    <mergeCell ref="D5:E5"/>
    <mergeCell ref="G2:H2"/>
  </mergeCells>
  <phoneticPr fontId="0" type="noConversion"/>
  <dataValidations count="27">
    <dataValidation allowBlank="1" showInputMessage="1" showErrorMessage="1" prompt="Crie a folha de ponto quinzenal nesta planilha. O Total de horas e a Remuneração total são calculados automaticamente" sqref="A1" xr:uid="{00000000-0002-0000-0000-000000000000}"/>
    <dataValidation allowBlank="1" showInputMessage="1" showErrorMessage="1" prompt="O título desta planilha está nesta célula" sqref="G2:H2" xr:uid="{00000000-0002-0000-0000-000001000000}"/>
    <dataValidation allowBlank="1" showInputMessage="1" showErrorMessage="1" prompt="Insira o nome da empresa nesta célula. O título desta planilha está na célula G2. Insira o endereço da empresa na célula abaixo e os detalhes do funcionário nas células B3 a H5" sqref="B1" xr:uid="{00000000-0002-0000-0000-000002000000}"/>
    <dataValidation allowBlank="1" showInputMessage="1" showErrorMessage="1" prompt="Insira o endereço, o endereço 2, a cidade, o estado e o CEP da empresa nesta célula e a data de início e término do período de pagamento na célula H4 e H5" sqref="B2:F2" xr:uid="{00000000-0002-0000-0000-000003000000}"/>
    <dataValidation allowBlank="1" showInputMessage="1" showErrorMessage="1" prompt="Insira o nome do funcionário na célula à direita" sqref="B3:C3" xr:uid="{00000000-0002-0000-0000-000004000000}"/>
    <dataValidation allowBlank="1" showInputMessage="1" showErrorMessage="1" prompt="Insira o nome do funcionário nesta célula" sqref="D3:E3" xr:uid="{00000000-0002-0000-0000-000005000000}"/>
    <dataValidation allowBlank="1" showInputMessage="1" showErrorMessage="1" prompt="Insira o telefone do funcionário na célula à direita" sqref="F3" xr:uid="{00000000-0002-0000-0000-000006000000}"/>
    <dataValidation allowBlank="1" showInputMessage="1" showErrorMessage="1" prompt="Insira o telefone do funcionário nesta célula" sqref="G3:H3" xr:uid="{00000000-0002-0000-0000-000007000000}"/>
    <dataValidation allowBlank="1" showInputMessage="1" showErrorMessage="1" prompt="Insira o endereço de email do funcionário na célula à direita" sqref="B4:C4" xr:uid="{00000000-0002-0000-0000-000008000000}"/>
    <dataValidation allowBlank="1" showInputMessage="1" showErrorMessage="1" prompt="Insira o endereço de email do funcionário nesta célula" sqref="D4:E4" xr:uid="{00000000-0002-0000-0000-000009000000}"/>
    <dataValidation allowBlank="1" showInputMessage="1" showErrorMessage="1" prompt="Insira o nome do gerente na célula à direita" sqref="B5:C5" xr:uid="{00000000-0002-0000-0000-00000A000000}"/>
    <dataValidation allowBlank="1" showInputMessage="1" showErrorMessage="1" prompt="Insira o nome do gerente nesta célula" sqref="D5:E5" xr:uid="{00000000-0002-0000-0000-00000B000000}"/>
    <dataValidation allowBlank="1" showInputMessage="1" showErrorMessage="1" prompt="Insira a data de início do período de pagamento na célula à direita" sqref="F4:G4" xr:uid="{00000000-0002-0000-0000-00000C000000}"/>
    <dataValidation allowBlank="1" showInputMessage="1" showErrorMessage="1" prompt="Insira a data de início do período de pagamento nesta célula" sqref="H4" xr:uid="{00000000-0002-0000-0000-00000D000000}"/>
    <dataValidation allowBlank="1" showInputMessage="1" showErrorMessage="1" prompt="Insira a data de término do período de pagamento na célula à direita" sqref="F5:G5" xr:uid="{00000000-0002-0000-0000-00000E000000}"/>
    <dataValidation allowBlank="1" showInputMessage="1" showErrorMessage="1" prompt="Insira a data de término do período de pagamento nesta célula" sqref="H5" xr:uid="{00000000-0002-0000-0000-00000F000000}"/>
    <dataValidation allowBlank="1" showInputMessage="1" showErrorMessage="1" prompt="A data é atualizada automaticamente na coluna sob este cabeçalho com base nas datas de início e de término do período de pagamento nas células H4 e H5." sqref="C7" xr:uid="{00000000-0002-0000-0000-000010000000}"/>
    <dataValidation allowBlank="1" showInputMessage="1" showErrorMessage="1" prompt="Insira as horas normais na coluna sob este cabeçalho" sqref="D7" xr:uid="{00000000-0002-0000-0000-000011000000}"/>
    <dataValidation allowBlank="1" showInputMessage="1" showErrorMessage="1" prompt="Insira as Horas extras na coluna sob este cabeçalho" sqref="E7" xr:uid="{00000000-0002-0000-0000-000012000000}"/>
    <dataValidation allowBlank="1" showInputMessage="1" showErrorMessage="1" prompt="Insira as horas de licença médica nesta coluna sob este título." sqref="F7" xr:uid="{00000000-0002-0000-0000-000013000000}"/>
    <dataValidation allowBlank="1" showInputMessage="1" showErrorMessage="1" prompt="Insira as horas de férias na coluna sob este cabeçalho" sqref="G7" xr:uid="{00000000-0002-0000-0000-000014000000}"/>
    <dataValidation allowBlank="1" showInputMessage="1" showErrorMessage="1" prompt="O total de horas é calculado automaticamente na coluna sob este cabeçalho" sqref="H7" xr:uid="{00000000-0002-0000-0000-000015000000}"/>
    <dataValidation allowBlank="1" showInputMessage="1" showErrorMessage="1" prompt="Insira a assinatura do funcionário nesta célula" sqref="B25:E25" xr:uid="{00000000-0002-0000-0000-000016000000}"/>
    <dataValidation allowBlank="1" showInputMessage="1" showErrorMessage="1" prompt="Insira a assinatura do gerente nesta célula." sqref="B27:E27" xr:uid="{00000000-0002-0000-0000-000017000000}"/>
    <dataValidation allowBlank="1" showInputMessage="1" showErrorMessage="1" prompt="Insira a data nesta célula" sqref="G27:H27 G25:H25" xr:uid="{00000000-0002-0000-0000-000018000000}"/>
    <dataValidation allowBlank="1" showInputMessage="1" showErrorMessage="1" prompt="Insira a taxa por hora nas células à direita" sqref="C23" xr:uid="{00000000-0002-0000-0000-000019000000}"/>
    <dataValidation allowBlank="1" showInputMessage="1" showErrorMessage="1" prompt="A remuneração total é calculada automaticamente nas células à direita" sqref="C24" xr:uid="{00000000-0002-0000-0000-00001A000000}"/>
  </dataValidations>
  <printOptions horizontalCentered="1"/>
  <pageMargins left="0.5" right="0.5" top="0.75" bottom="0.75" header="0.5" footer="0.5"/>
  <pageSetup paperSize="9" scale="54" fitToHeight="0" orientation="portrait" r:id="rId1"/>
  <headerFooter differentFirst="1">
    <oddFooter>Page &amp;P of &amp;N</oddFooter>
  </headerFooter>
  <ignoredErrors>
    <ignoredError sqref="H8:H21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Folha de ponto quinzenal</vt:lpstr>
      <vt:lpstr>'Folha de ponto quinzenal'!Print_Titles</vt:lpstr>
      <vt:lpstr>RegiãoDeTítuloDaLinha3..H5</vt:lpstr>
      <vt:lpstr>RegiãoDeTítuloDaLinha5..H24</vt:lpstr>
      <vt:lpstr>RegiãoDoTítuloDaLinha1..D5</vt:lpstr>
      <vt:lpstr>RegiãoDoTítuloDaLinha2..G3</vt:lpstr>
      <vt:lpstr>RegiãoDoTítuloDaLinha4..G23</vt:lpstr>
      <vt:lpstr>Título1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2018-12-13T13:03:44Z</dcterms:created>
  <dcterms:modified xsi:type="dcterms:W3CDTF">2018-12-13T13:03:44Z</dcterms:modified>
</cp:coreProperties>
</file>