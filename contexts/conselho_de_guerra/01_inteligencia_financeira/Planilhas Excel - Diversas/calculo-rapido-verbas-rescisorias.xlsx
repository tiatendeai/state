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Cálculo Rápido" sheetId="1" r:id="rId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D15">
      <text>
        <t xml:space="preserve">SALÁRIO MINIMO NA RESCISÃO
</t>
      </text>
    </comment>
    <comment authorId="0" ref="C18">
      <text>
        <t xml:space="preserve">Denise:
Informar S (sim) e N (não)
</t>
      </text>
    </comment>
  </commentList>
</comments>
</file>

<file path=xl/sharedStrings.xml><?xml version="1.0" encoding="utf-8"?>
<sst xmlns="http://schemas.openxmlformats.org/spreadsheetml/2006/main" count="40" uniqueCount="35">
  <si>
    <t>DENISE</t>
  </si>
  <si>
    <t>DISCRIMINAÇÃO DAS VERBAS RESCISÓRIAS</t>
  </si>
  <si>
    <t>Nome:</t>
  </si>
  <si>
    <t>Admissão:</t>
  </si>
  <si>
    <t>Dispensa:</t>
  </si>
  <si>
    <t>Período  trabalhado:</t>
  </si>
  <si>
    <t>meses</t>
  </si>
  <si>
    <t>Deposito natalinas:</t>
  </si>
  <si>
    <t>Total depositos:</t>
  </si>
  <si>
    <t>SALÁRIO BASE:</t>
  </si>
  <si>
    <t>ADC. INSALUBRIDADE:</t>
  </si>
  <si>
    <t>TOTAL REMUNERAÇÃO:</t>
  </si>
  <si>
    <t>(S/N)</t>
  </si>
  <si>
    <t>(dias/avos)</t>
  </si>
  <si>
    <t>AVISO PRÉVIO:</t>
  </si>
  <si>
    <t>s</t>
  </si>
  <si>
    <t>SALDO SALÁRIO:</t>
  </si>
  <si>
    <t>n</t>
  </si>
  <si>
    <t>13.º SALÁRIO:</t>
  </si>
  <si>
    <t>FÉRIAS VENCIDAS:</t>
  </si>
  <si>
    <t>FÉRIAS PROP:</t>
  </si>
  <si>
    <t>ADICIONAL 1/3 FÉRIAS:</t>
  </si>
  <si>
    <t>PARTICIPAÇÃO NOS LUCROS:</t>
  </si>
  <si>
    <t>TOTAL BRUTO:</t>
  </si>
  <si>
    <t>INSS:</t>
  </si>
  <si>
    <t>ALIQUOTA:</t>
  </si>
  <si>
    <t>TOTAL LIQUIDO:</t>
  </si>
  <si>
    <t>INSALUBRIDADE TODO PERÍODO:</t>
  </si>
  <si>
    <t>FGTS APROXIMADO (depositado na CAIXA):</t>
  </si>
  <si>
    <t>FGTS 13.º SALÁRIO:</t>
  </si>
  <si>
    <t>FGTS MÊS RESCISÃO:</t>
  </si>
  <si>
    <t>MULTA 40% SALDO FGTS DEPOSITADO:</t>
  </si>
  <si>
    <t>Data do cálculo</t>
  </si>
  <si>
    <t>honorários 20%:</t>
  </si>
  <si>
    <t>Total Geral: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</si>
</sst>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* #,##0.00_);_(* \(#,##0.00\);_(* &quot;-&quot;??_);_(@_)"/>
    <numFmt numFmtId="165" formatCode="dd\-mmm\-yy"/>
    <numFmt numFmtId="166" formatCode="_(&quot;R$&quot;* #,##0.00_);_(&quot;R$&quot;* \(#,##0.00\);_(&quot;R$&quot;* &quot;-&quot;??_);_(@_)"/>
    <numFmt numFmtId="167" formatCode="_(* #,##0_);_(* \(#,##0\);_(* &quot;-&quot;??_);_(@_)"/>
    <numFmt numFmtId="168" formatCode="dd\-mmm\-yyyy"/>
  </numFmts>
  <fonts count="10">
    <font>
      <sz val="10.0"/>
      <color rgb="FF000000"/>
      <name val="Arial"/>
    </font>
    <font>
      <sz val="10.0"/>
      <color rgb="FF000080"/>
      <name val="Arial"/>
    </font>
    <font>
      <b/>
      <sz val="12.0"/>
      <color rgb="FF000080"/>
      <name val="Arial"/>
    </font>
    <font>
      <b/>
      <sz val="10.0"/>
      <name val="Arial"/>
    </font>
    <font>
      <b/>
      <sz val="10.0"/>
      <color rgb="FF000080"/>
      <name val="Arial"/>
    </font>
    <font>
      <sz val="12.0"/>
      <color rgb="FF000080"/>
      <name val="Arial"/>
    </font>
    <font>
      <b/>
      <sz val="12.0"/>
      <name val="Arial"/>
    </font>
    <font>
      <sz val="12.0"/>
      <name val="Arial"/>
    </font>
    <font>
      <b/>
      <i/>
      <sz val="12.0"/>
      <name val="Arial"/>
    </font>
    <font>
      <b/>
      <i/>
      <sz val="12.0"/>
      <color rgb="FF000080"/>
      <name val="Arial"/>
    </font>
  </fonts>
  <fills count="2">
    <fill>
      <patternFill patternType="none"/>
    </fill>
    <fill>
      <patternFill patternType="lightGray"/>
    </fill>
  </fills>
  <borders count="3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shrinkToFit="0" vertical="center" wrapText="1"/>
    </xf>
    <xf borderId="1" fillId="0" fontId="1" numFmtId="0" xfId="0" applyBorder="1" applyFont="1"/>
    <xf borderId="1" fillId="0" fontId="3" numFmtId="0" xfId="0" applyAlignment="1" applyBorder="1" applyFont="1">
      <alignment horizontal="left"/>
    </xf>
    <xf borderId="1" fillId="0" fontId="4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0" fillId="0" fontId="5" numFmtId="0" xfId="0" applyFont="1"/>
    <xf borderId="0" fillId="0" fontId="2" numFmtId="0" xfId="0" applyAlignment="1" applyFont="1">
      <alignment horizontal="left"/>
    </xf>
    <xf borderId="0" fillId="0" fontId="5" numFmtId="0" xfId="0" applyAlignment="1" applyFont="1">
      <alignment horizontal="center"/>
    </xf>
    <xf borderId="0" fillId="0" fontId="6" numFmtId="0" xfId="0" applyFont="1"/>
    <xf borderId="0" fillId="0" fontId="1" numFmtId="164" xfId="0" applyFont="1" applyNumberFormat="1"/>
    <xf borderId="0" fillId="0" fontId="6" numFmtId="0" xfId="0" applyAlignment="1" applyFont="1">
      <alignment horizontal="center"/>
    </xf>
    <xf borderId="0" fillId="0" fontId="2" numFmtId="165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1" xfId="0" applyFont="1" applyNumberFormat="1"/>
    <xf borderId="0" fillId="0" fontId="2" numFmtId="0" xfId="0" applyFont="1"/>
    <xf borderId="0" fillId="0" fontId="7" numFmtId="0" xfId="0" applyFont="1"/>
    <xf borderId="0" fillId="0" fontId="5" numFmtId="166" xfId="0" applyFont="1" applyNumberFormat="1"/>
    <xf borderId="0" fillId="0" fontId="5" numFmtId="164" xfId="0" applyFont="1" applyNumberFormat="1"/>
    <xf borderId="2" fillId="0" fontId="6" numFmtId="0" xfId="0" applyBorder="1" applyFont="1"/>
    <xf borderId="2" fillId="0" fontId="2" numFmtId="0" xfId="0" applyBorder="1" applyFont="1"/>
    <xf borderId="2" fillId="0" fontId="2" numFmtId="166" xfId="0" applyBorder="1" applyFont="1" applyNumberFormat="1"/>
    <xf borderId="0" fillId="0" fontId="5" numFmtId="167" xfId="0" applyFont="1" applyNumberFormat="1"/>
    <xf quotePrefix="1" borderId="0" fillId="0" fontId="7" numFmtId="0" xfId="0" applyFont="1"/>
    <xf borderId="0" fillId="0" fontId="7" numFmtId="16" xfId="0" applyFont="1" applyNumberFormat="1"/>
    <xf borderId="1" fillId="0" fontId="7" numFmtId="0" xfId="0" applyBorder="1" applyFont="1"/>
    <xf borderId="1" fillId="0" fontId="5" numFmtId="0" xfId="0" applyBorder="1" applyFont="1"/>
    <xf borderId="1" fillId="0" fontId="5" numFmtId="167" xfId="0" applyBorder="1" applyFont="1" applyNumberFormat="1"/>
    <xf borderId="1" fillId="0" fontId="5" numFmtId="166" xfId="0" applyBorder="1" applyFont="1" applyNumberFormat="1"/>
    <xf borderId="0" fillId="0" fontId="2" numFmtId="166" xfId="0" applyFont="1" applyNumberFormat="1"/>
    <xf borderId="1" fillId="0" fontId="5" numFmtId="10" xfId="0" applyBorder="1" applyFont="1" applyNumberFormat="1"/>
    <xf borderId="1" fillId="0" fontId="2" numFmtId="0" xfId="0" applyBorder="1" applyFont="1"/>
    <xf borderId="2" fillId="0" fontId="7" numFmtId="0" xfId="0" applyBorder="1" applyFont="1"/>
    <xf borderId="2" fillId="0" fontId="5" numFmtId="0" xfId="0" applyBorder="1" applyFont="1"/>
    <xf borderId="0" fillId="0" fontId="8" numFmtId="0" xfId="0" applyFont="1"/>
    <xf borderId="0" fillId="0" fontId="9" numFmtId="168" xfId="0" applyAlignment="1" applyFont="1" applyNumberFormat="1">
      <alignment shrinkToFit="1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36.14"/>
    <col customWidth="1" min="3" max="3" width="11.43"/>
    <col customWidth="1" min="4" max="4" width="12.86"/>
    <col customWidth="1" min="5" max="5" width="16.0"/>
    <col customWidth="1" min="6" max="26" width="11.43"/>
  </cols>
  <sheetData>
    <row r="1" ht="12.75" customHeight="1">
      <c r="A1" s="1"/>
      <c r="B1" s="2" t="s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3"/>
      <c r="B2" s="4"/>
      <c r="C2" s="5"/>
      <c r="D2" s="5"/>
      <c r="E2" s="5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1"/>
      <c r="C3" s="6"/>
      <c r="D3" s="6"/>
      <c r="E3" s="6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7"/>
      <c r="B4" s="8" t="s">
        <v>1</v>
      </c>
      <c r="C4" s="9"/>
      <c r="D4" s="9"/>
      <c r="E4" s="9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7"/>
      <c r="B5" s="8"/>
      <c r="C5" s="9"/>
      <c r="D5" s="9"/>
      <c r="E5" s="9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0" t="s">
        <v>2</v>
      </c>
      <c r="B6" s="8"/>
      <c r="C6" s="9"/>
      <c r="D6" s="9"/>
      <c r="E6" s="9"/>
      <c r="F6" s="1"/>
      <c r="G6" s="1"/>
      <c r="H6" s="1"/>
      <c r="I6" s="1"/>
      <c r="J6" s="1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7"/>
      <c r="B7" s="7"/>
      <c r="C7" s="7"/>
      <c r="D7" s="7"/>
      <c r="E7" s="7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2" t="s">
        <v>3</v>
      </c>
      <c r="B8" s="13">
        <v>40457.0</v>
      </c>
      <c r="C8" s="12" t="s">
        <v>4</v>
      </c>
      <c r="D8" s="13">
        <v>41293.0</v>
      </c>
      <c r="E8" s="7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4"/>
      <c r="B9" s="13"/>
      <c r="C9" s="14"/>
      <c r="D9" s="13"/>
      <c r="E9" s="7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7"/>
      <c r="B10" s="10" t="s">
        <v>5</v>
      </c>
      <c r="C10" s="15">
        <f>(D8-B8)/30</f>
        <v>27.86666667</v>
      </c>
      <c r="D10" s="16" t="s">
        <v>6</v>
      </c>
      <c r="E10" s="7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7"/>
      <c r="B11" s="10" t="s">
        <v>7</v>
      </c>
      <c r="C11" s="15">
        <f>C10/12</f>
        <v>2.322222222</v>
      </c>
      <c r="D11" s="16"/>
      <c r="E11" s="7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7"/>
      <c r="B12" s="10" t="s">
        <v>8</v>
      </c>
      <c r="C12" s="15">
        <f>SUM(C10:C11)</f>
        <v>30.18888889</v>
      </c>
      <c r="D12" s="16"/>
      <c r="E12" s="7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7"/>
      <c r="B13" s="16"/>
      <c r="C13" s="15"/>
      <c r="D13" s="16"/>
      <c r="E13" s="7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7" t="s">
        <v>9</v>
      </c>
      <c r="B14" s="17"/>
      <c r="C14" s="7"/>
      <c r="D14" s="7"/>
      <c r="E14" s="18">
        <v>794.0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7" t="s">
        <v>10</v>
      </c>
      <c r="B15" s="17"/>
      <c r="C15" s="7"/>
      <c r="D15" s="19">
        <v>678.0</v>
      </c>
      <c r="E15" s="18">
        <f>D15*20%</f>
        <v>135.6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20" t="s">
        <v>11</v>
      </c>
      <c r="B16" s="20"/>
      <c r="C16" s="21"/>
      <c r="D16" s="21"/>
      <c r="E16" s="22">
        <f>SUM(E14:E15)</f>
        <v>929.6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7"/>
      <c r="B17" s="17"/>
      <c r="C17" s="7"/>
      <c r="D17" s="7"/>
      <c r="E17" s="18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7"/>
      <c r="B18" s="17"/>
      <c r="C18" s="14" t="s">
        <v>12</v>
      </c>
      <c r="D18" s="16" t="s">
        <v>13</v>
      </c>
      <c r="E18" s="7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7" t="s">
        <v>14</v>
      </c>
      <c r="B19" s="17"/>
      <c r="C19" s="7" t="s">
        <v>15</v>
      </c>
      <c r="D19" s="23">
        <v>30.0</v>
      </c>
      <c r="E19" s="18">
        <f>IF(C19="S",E16/30*D19,0)</f>
        <v>929.6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7" t="s">
        <v>16</v>
      </c>
      <c r="B20" s="17"/>
      <c r="C20" s="7" t="s">
        <v>17</v>
      </c>
      <c r="D20" s="23">
        <v>0.0</v>
      </c>
      <c r="E20" s="18">
        <f>IF(C20="S",E16/30*D20,0)</f>
        <v>0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24" t="s">
        <v>18</v>
      </c>
      <c r="B21" s="25"/>
      <c r="C21" s="7" t="s">
        <v>15</v>
      </c>
      <c r="D21" s="23">
        <v>12.0</v>
      </c>
      <c r="E21" s="18">
        <f>IF(C21="S",E16/12*D21,0)</f>
        <v>929.6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7" t="s">
        <v>19</v>
      </c>
      <c r="B22" s="17"/>
      <c r="C22" s="7" t="s">
        <v>15</v>
      </c>
      <c r="D22" s="23">
        <v>1.0</v>
      </c>
      <c r="E22" s="18">
        <f>IF(C22="S",E16*D22,0)</f>
        <v>929.6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7" t="s">
        <v>20</v>
      </c>
      <c r="B23" s="17"/>
      <c r="C23" s="7" t="s">
        <v>15</v>
      </c>
      <c r="D23" s="23">
        <v>4.0</v>
      </c>
      <c r="E23" s="18">
        <f>IF(C23="S",E16/12*D23,0)</f>
        <v>309.8666667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7" t="s">
        <v>21</v>
      </c>
      <c r="B24" s="17"/>
      <c r="C24" s="7"/>
      <c r="D24" s="7"/>
      <c r="E24" s="18">
        <f>SUM(E22:E23)/3</f>
        <v>413.1555556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26" t="s">
        <v>22</v>
      </c>
      <c r="B25" s="26"/>
      <c r="C25" s="27"/>
      <c r="D25" s="28"/>
      <c r="E25" s="29">
        <v>0.0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0" t="s">
        <v>23</v>
      </c>
      <c r="B26" s="17"/>
      <c r="C26" s="7"/>
      <c r="D26" s="7"/>
      <c r="E26" s="30">
        <f>SUM(E19:E25)</f>
        <v>3511.822222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26" t="s">
        <v>24</v>
      </c>
      <c r="B27" s="26" t="s">
        <v>25</v>
      </c>
      <c r="C27" s="31">
        <v>0.08</v>
      </c>
      <c r="D27" s="32"/>
      <c r="E27" s="29">
        <f>SUM(E19:E21)*C27</f>
        <v>148.736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0" t="s">
        <v>26</v>
      </c>
      <c r="B28" s="10"/>
      <c r="C28" s="16"/>
      <c r="D28" s="16"/>
      <c r="E28" s="30">
        <f>E26-E27</f>
        <v>3363.086222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7"/>
      <c r="B29" s="17"/>
      <c r="C29" s="7"/>
      <c r="D29" s="7"/>
      <c r="E29" s="18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7"/>
      <c r="B30" s="17"/>
      <c r="C30" s="7"/>
      <c r="D30" s="7"/>
      <c r="E30" s="18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7" t="s">
        <v>27</v>
      </c>
      <c r="B31" s="17"/>
      <c r="C31" s="7"/>
      <c r="D31" s="7"/>
      <c r="E31" s="18">
        <f>D15*20%*C12</f>
        <v>4093.613333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20" t="s">
        <v>23</v>
      </c>
      <c r="B32" s="33"/>
      <c r="C32" s="34"/>
      <c r="D32" s="34"/>
      <c r="E32" s="22">
        <f>E31</f>
        <v>4093.613333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0"/>
      <c r="B33" s="17"/>
      <c r="C33" s="7"/>
      <c r="D33" s="7"/>
      <c r="E33" s="30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7.25" customHeight="1">
      <c r="A34" s="17" t="s">
        <v>28</v>
      </c>
      <c r="B34" s="17"/>
      <c r="C34" s="7"/>
      <c r="D34" s="7"/>
      <c r="E34" s="18">
        <f>E16*8%*C12</f>
        <v>2245.087289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7" t="s">
        <v>29</v>
      </c>
      <c r="B35" s="17"/>
      <c r="C35" s="7"/>
      <c r="D35" s="7"/>
      <c r="E35" s="18">
        <f>E21*8%</f>
        <v>74.368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7" t="s">
        <v>30</v>
      </c>
      <c r="B36" s="17"/>
      <c r="C36" s="7"/>
      <c r="D36" s="7"/>
      <c r="E36" s="18">
        <f>SUM(E19:E20)*8%</f>
        <v>74.368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26" t="s">
        <v>31</v>
      </c>
      <c r="B37" s="26"/>
      <c r="C37" s="27" t="s">
        <v>15</v>
      </c>
      <c r="D37" s="27"/>
      <c r="E37" s="29">
        <f>IF(C37="S",E34*40%,0)</f>
        <v>898.0349156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35" t="s">
        <v>32</v>
      </c>
      <c r="B38" s="17"/>
      <c r="C38" s="36">
        <f>NOW()</f>
        <v>43508.1749</v>
      </c>
      <c r="D38" s="7"/>
      <c r="E38" s="30">
        <f>SUM(E34:E37)</f>
        <v>3291.858204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1.25" customHeight="1">
      <c r="A39" s="7"/>
      <c r="B39" s="7"/>
      <c r="C39" s="7"/>
      <c r="D39" s="7"/>
      <c r="E39" s="18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7" t="s">
        <v>33</v>
      </c>
      <c r="B40" s="7"/>
      <c r="C40" s="7"/>
      <c r="D40" s="7"/>
      <c r="E40" s="19">
        <f>(E28+E38)*20%</f>
        <v>1330.988885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6"/>
      <c r="B41" s="16"/>
      <c r="C41" s="16"/>
      <c r="D41" s="16"/>
      <c r="E41" s="30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21" t="s">
        <v>34</v>
      </c>
      <c r="B42" s="21"/>
      <c r="C42" s="21"/>
      <c r="D42" s="21"/>
      <c r="E42" s="22">
        <f>E28+E38+E40+E32</f>
        <v>12079.54665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1:E1"/>
  </mergeCells>
  <printOptions horizontalCentered="1"/>
  <pageMargins bottom="0.984251968503937" footer="0.0" header="0.0" left="0.7874015748031497" right="0.7874015748031497" top="0.984251968503937"/>
  <pageSetup paperSize="9" orientation="portrait"/>
  <drawing r:id="rId2"/>
  <legacyDrawing r:id="rId3"/>
</worksheet>
</file>