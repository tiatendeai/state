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autoCompressPictures="0"/>
  <mc:AlternateContent xmlns:mc="http://schemas.openxmlformats.org/markup-compatibility/2006">
    <mc:Choice Requires="x15">
      <x15ac:absPath xmlns:x15ac="http://schemas.microsoft.com/office/spreadsheetml/2010/11/ac" url="D:\PEN DRIVE AZUL\arquivos\Contabeis\Planilhas\"/>
    </mc:Choice>
  </mc:AlternateContent>
  <xr:revisionPtr revIDLastSave="0" documentId="13_ncr:1_{6CA4C89A-379A-4D51-BC0A-8A05AB4FD640}" xr6:coauthVersionLast="37" xr6:coauthVersionMax="37" xr10:uidLastSave="{00000000-0000-0000-0000-000000000000}"/>
  <bookViews>
    <workbookView xWindow="0" yWindow="0" windowWidth="23040" windowHeight="9084" xr2:uid="{00000000-000D-0000-FFFF-FFFF00000000}"/>
  </bookViews>
  <sheets>
    <sheet name="Custos Gerais" sheetId="1" r:id="rId1"/>
    <sheet name="Clientes" sheetId="2" r:id="rId2"/>
    <sheet name="Custos x Honorários" sheetId="3" r:id="rId3"/>
    <sheet name="Custos Individualizados" sheetId="4" r:id="rId4"/>
    <sheet name="Dicas Equip NIBO" sheetId="5" r:id="rId5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1" i="4" l="1"/>
  <c r="E18" i="4"/>
  <c r="E22" i="4"/>
  <c r="G5" i="2"/>
  <c r="D13" i="1"/>
  <c r="E13" i="1"/>
  <c r="F13" i="1"/>
  <c r="G13" i="1"/>
  <c r="C23" i="4"/>
  <c r="D7" i="1"/>
  <c r="C9" i="1"/>
  <c r="B10" i="3"/>
  <c r="C19" i="4" s="1"/>
  <c r="C10" i="1"/>
  <c r="C12" i="1"/>
  <c r="I41" i="2"/>
  <c r="H41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F41" i="2"/>
  <c r="E41" i="2"/>
  <c r="D41" i="2"/>
  <c r="F7" i="1"/>
  <c r="F8" i="1"/>
  <c r="F14" i="1" s="1"/>
  <c r="F15" i="1" s="1"/>
  <c r="F10" i="1"/>
  <c r="G7" i="1"/>
  <c r="G8" i="1"/>
  <c r="D8" i="1"/>
  <c r="D14" i="1" s="1"/>
  <c r="D15" i="1" s="1"/>
  <c r="D10" i="1"/>
  <c r="E7" i="1"/>
  <c r="E8" i="1"/>
  <c r="C31" i="1"/>
  <c r="C43" i="3"/>
  <c r="C44" i="3"/>
  <c r="C45" i="3"/>
  <c r="C46" i="3"/>
  <c r="C47" i="3"/>
  <c r="C48" i="3"/>
  <c r="C49" i="3"/>
  <c r="C50" i="3"/>
  <c r="I51" i="3"/>
  <c r="B51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F9" i="1"/>
  <c r="G9" i="1"/>
  <c r="G14" i="1" s="1"/>
  <c r="G15" i="1" s="1"/>
  <c r="D9" i="1"/>
  <c r="E9" i="1"/>
  <c r="D11" i="1"/>
  <c r="G41" i="2"/>
  <c r="E11" i="1"/>
  <c r="G11" i="1"/>
  <c r="F11" i="1"/>
  <c r="E10" i="1"/>
  <c r="G10" i="1"/>
  <c r="G12" i="1"/>
  <c r="F12" i="1"/>
  <c r="E12" i="1"/>
  <c r="D12" i="1"/>
  <c r="E14" i="1"/>
  <c r="E15" i="1" s="1"/>
  <c r="C11" i="1"/>
  <c r="C14" i="1"/>
  <c r="F34" i="1" l="1"/>
  <c r="D34" i="1"/>
  <c r="C16" i="1"/>
  <c r="F16" i="1" s="1"/>
  <c r="E34" i="1"/>
  <c r="F36" i="1" l="1"/>
  <c r="F35" i="1"/>
  <c r="F38" i="1" s="1"/>
  <c r="D16" i="1"/>
  <c r="E16" i="1"/>
  <c r="D55" i="3" l="1"/>
  <c r="E55" i="3" s="1"/>
  <c r="F40" i="1"/>
  <c r="D35" i="1"/>
  <c r="D38" i="1" s="1"/>
  <c r="D36" i="1"/>
  <c r="E36" i="1"/>
  <c r="E35" i="1"/>
  <c r="D40" i="1" l="1"/>
  <c r="D53" i="3"/>
  <c r="E53" i="3" s="1"/>
  <c r="E38" i="1"/>
  <c r="F28" i="3"/>
  <c r="F48" i="3"/>
  <c r="F31" i="3"/>
  <c r="F25" i="3"/>
  <c r="F40" i="3"/>
  <c r="F33" i="3"/>
  <c r="F27" i="3"/>
  <c r="F22" i="3"/>
  <c r="F49" i="3"/>
  <c r="F35" i="3"/>
  <c r="F29" i="3"/>
  <c r="F39" i="3"/>
  <c r="F19" i="3"/>
  <c r="F47" i="3"/>
  <c r="F32" i="3"/>
  <c r="D13" i="4"/>
  <c r="E13" i="4" s="1"/>
  <c r="F37" i="3"/>
  <c r="F17" i="3"/>
  <c r="F41" i="3"/>
  <c r="F42" i="3"/>
  <c r="F30" i="3"/>
  <c r="F46" i="3"/>
  <c r="F20" i="3"/>
  <c r="F24" i="3"/>
  <c r="F50" i="3"/>
  <c r="F15" i="3"/>
  <c r="F26" i="3"/>
  <c r="F38" i="3"/>
  <c r="F44" i="3"/>
  <c r="F23" i="3"/>
  <c r="F36" i="3"/>
  <c r="F18" i="3"/>
  <c r="F16" i="3"/>
  <c r="F21" i="3"/>
  <c r="F43" i="3"/>
  <c r="F34" i="3"/>
  <c r="F45" i="3"/>
  <c r="D54" i="3" l="1"/>
  <c r="E54" i="3" s="1"/>
  <c r="E40" i="1"/>
  <c r="D31" i="3"/>
  <c r="D17" i="3"/>
  <c r="D15" i="3"/>
  <c r="D27" i="3"/>
  <c r="D38" i="3"/>
  <c r="D49" i="3"/>
  <c r="D16" i="3"/>
  <c r="D47" i="3"/>
  <c r="D20" i="3"/>
  <c r="D43" i="3"/>
  <c r="D28" i="3"/>
  <c r="D46" i="3"/>
  <c r="D45" i="3"/>
  <c r="D30" i="3"/>
  <c r="D44" i="3"/>
  <c r="D36" i="3"/>
  <c r="D26" i="3"/>
  <c r="D24" i="3"/>
  <c r="D34" i="3"/>
  <c r="D33" i="3"/>
  <c r="D48" i="3"/>
  <c r="D40" i="3"/>
  <c r="D32" i="3"/>
  <c r="D35" i="3"/>
  <c r="D41" i="3"/>
  <c r="D18" i="3"/>
  <c r="D22" i="3"/>
  <c r="D42" i="3"/>
  <c r="D11" i="4"/>
  <c r="D37" i="3"/>
  <c r="D50" i="3"/>
  <c r="D21" i="3"/>
  <c r="D23" i="3"/>
  <c r="D29" i="3"/>
  <c r="D25" i="3"/>
  <c r="D19" i="3"/>
  <c r="D39" i="3"/>
  <c r="F51" i="3"/>
  <c r="C39" i="1"/>
  <c r="G24" i="3" l="1"/>
  <c r="H24" i="3" s="1"/>
  <c r="G26" i="3"/>
  <c r="H26" i="3" s="1"/>
  <c r="G20" i="3"/>
  <c r="H20" i="3" s="1"/>
  <c r="G31" i="3"/>
  <c r="H31" i="3" s="1"/>
  <c r="G35" i="3"/>
  <c r="H35" i="3" s="1"/>
  <c r="G47" i="3"/>
  <c r="H47" i="3" s="1"/>
  <c r="D51" i="3"/>
  <c r="E28" i="3"/>
  <c r="G28" i="3" s="1"/>
  <c r="H28" i="3" s="1"/>
  <c r="E20" i="3"/>
  <c r="E45" i="3"/>
  <c r="G45" i="3" s="1"/>
  <c r="H45" i="3" s="1"/>
  <c r="E24" i="3"/>
  <c r="E23" i="3"/>
  <c r="G23" i="3" s="1"/>
  <c r="H23" i="3" s="1"/>
  <c r="E15" i="3"/>
  <c r="E36" i="3"/>
  <c r="G36" i="3" s="1"/>
  <c r="H36" i="3" s="1"/>
  <c r="E37" i="3"/>
  <c r="G37" i="3" s="1"/>
  <c r="H37" i="3" s="1"/>
  <c r="E50" i="3"/>
  <c r="G50" i="3" s="1"/>
  <c r="H50" i="3" s="1"/>
  <c r="E33" i="3"/>
  <c r="G33" i="3" s="1"/>
  <c r="H33" i="3" s="1"/>
  <c r="E25" i="3"/>
  <c r="G25" i="3" s="1"/>
  <c r="H25" i="3" s="1"/>
  <c r="E38" i="3"/>
  <c r="G38" i="3" s="1"/>
  <c r="H38" i="3" s="1"/>
  <c r="E17" i="3"/>
  <c r="G17" i="3" s="1"/>
  <c r="H17" i="3" s="1"/>
  <c r="E26" i="3"/>
  <c r="E18" i="3"/>
  <c r="G18" i="3" s="1"/>
  <c r="H18" i="3" s="1"/>
  <c r="E40" i="3"/>
  <c r="G40" i="3" s="1"/>
  <c r="H40" i="3" s="1"/>
  <c r="E48" i="3"/>
  <c r="G48" i="3" s="1"/>
  <c r="H48" i="3" s="1"/>
  <c r="E22" i="3"/>
  <c r="G22" i="3" s="1"/>
  <c r="H22" i="3" s="1"/>
  <c r="E16" i="3"/>
  <c r="G16" i="3" s="1"/>
  <c r="H16" i="3" s="1"/>
  <c r="E27" i="3"/>
  <c r="G27" i="3" s="1"/>
  <c r="H27" i="3" s="1"/>
  <c r="E21" i="3"/>
  <c r="G21" i="3" s="1"/>
  <c r="H21" i="3" s="1"/>
  <c r="E30" i="3"/>
  <c r="G30" i="3" s="1"/>
  <c r="H30" i="3" s="1"/>
  <c r="E42" i="3"/>
  <c r="G42" i="3" s="1"/>
  <c r="H42" i="3" s="1"/>
  <c r="E31" i="3"/>
  <c r="E41" i="3"/>
  <c r="G41" i="3" s="1"/>
  <c r="H41" i="3" s="1"/>
  <c r="E35" i="3"/>
  <c r="E34" i="3"/>
  <c r="G34" i="3" s="1"/>
  <c r="H34" i="3" s="1"/>
  <c r="E47" i="3"/>
  <c r="E39" i="3"/>
  <c r="G39" i="3" s="1"/>
  <c r="H39" i="3" s="1"/>
  <c r="E32" i="3"/>
  <c r="G32" i="3" s="1"/>
  <c r="H32" i="3" s="1"/>
  <c r="E46" i="3"/>
  <c r="G46" i="3" s="1"/>
  <c r="H46" i="3" s="1"/>
  <c r="E44" i="3"/>
  <c r="G44" i="3" s="1"/>
  <c r="H44" i="3" s="1"/>
  <c r="E43" i="3"/>
  <c r="G43" i="3" s="1"/>
  <c r="H43" i="3" s="1"/>
  <c r="E29" i="3"/>
  <c r="G29" i="3" s="1"/>
  <c r="H29" i="3" s="1"/>
  <c r="E19" i="3"/>
  <c r="G19" i="3" s="1"/>
  <c r="H19" i="3" s="1"/>
  <c r="E49" i="3"/>
  <c r="G49" i="3" s="1"/>
  <c r="H49" i="3" s="1"/>
  <c r="D12" i="4"/>
  <c r="E12" i="4" s="1"/>
  <c r="E14" i="4" s="1"/>
  <c r="K29" i="3" l="1"/>
  <c r="J29" i="3"/>
  <c r="E21" i="4"/>
  <c r="E19" i="4"/>
  <c r="E20" i="4" s="1"/>
  <c r="K43" i="3"/>
  <c r="J43" i="3"/>
  <c r="K39" i="3"/>
  <c r="J39" i="3"/>
  <c r="J41" i="3"/>
  <c r="K41" i="3"/>
  <c r="J21" i="3"/>
  <c r="K21" i="3"/>
  <c r="K48" i="3"/>
  <c r="J48" i="3"/>
  <c r="K17" i="3"/>
  <c r="J17" i="3"/>
  <c r="J50" i="3"/>
  <c r="K50" i="3"/>
  <c r="J23" i="3"/>
  <c r="K23" i="3"/>
  <c r="J28" i="3"/>
  <c r="K28" i="3"/>
  <c r="J49" i="3"/>
  <c r="K49" i="3"/>
  <c r="K27" i="3"/>
  <c r="J27" i="3"/>
  <c r="K40" i="3"/>
  <c r="J40" i="3"/>
  <c r="J38" i="3"/>
  <c r="K38" i="3"/>
  <c r="K37" i="3"/>
  <c r="J37" i="3"/>
  <c r="J44" i="3"/>
  <c r="K44" i="3"/>
  <c r="J19" i="3"/>
  <c r="K19" i="3"/>
  <c r="K46" i="3"/>
  <c r="J46" i="3"/>
  <c r="J34" i="3"/>
  <c r="K34" i="3"/>
  <c r="J42" i="3"/>
  <c r="K42" i="3"/>
  <c r="K16" i="3"/>
  <c r="J16" i="3"/>
  <c r="J18" i="3"/>
  <c r="K18" i="3"/>
  <c r="K25" i="3"/>
  <c r="J25" i="3"/>
  <c r="J36" i="3"/>
  <c r="K36" i="3"/>
  <c r="J45" i="3"/>
  <c r="K45" i="3"/>
  <c r="J32" i="3"/>
  <c r="K32" i="3"/>
  <c r="J30" i="3"/>
  <c r="K30" i="3"/>
  <c r="J22" i="3"/>
  <c r="K22" i="3"/>
  <c r="K33" i="3"/>
  <c r="J33" i="3"/>
  <c r="J47" i="3"/>
  <c r="K47" i="3"/>
  <c r="E51" i="3"/>
  <c r="K26" i="3"/>
  <c r="J26" i="3"/>
  <c r="J24" i="3"/>
  <c r="K24" i="3"/>
  <c r="K31" i="3"/>
  <c r="J31" i="3"/>
  <c r="G15" i="3"/>
  <c r="J35" i="3"/>
  <c r="K35" i="3"/>
  <c r="J20" i="3"/>
  <c r="K20" i="3"/>
  <c r="G51" i="3" l="1"/>
  <c r="H15" i="3"/>
  <c r="K15" i="3" l="1"/>
  <c r="K51" i="3" s="1"/>
  <c r="J15" i="3"/>
  <c r="J51" i="3" s="1"/>
  <c r="H51" i="3"/>
</calcChain>
</file>

<file path=xl/sharedStrings.xml><?xml version="1.0" encoding="utf-8"?>
<sst xmlns="http://schemas.openxmlformats.org/spreadsheetml/2006/main" count="196" uniqueCount="181">
  <si>
    <t>Data/Base:</t>
  </si>
  <si>
    <t>Descrição</t>
  </si>
  <si>
    <t>Depto.Pessoal</t>
  </si>
  <si>
    <t>Administrativo</t>
  </si>
  <si>
    <t>Custo Salarial</t>
  </si>
  <si>
    <t>13º Salário</t>
  </si>
  <si>
    <t>Férias</t>
  </si>
  <si>
    <t>TOTAL CUSTOS</t>
  </si>
  <si>
    <t>Participação custo salarial total</t>
  </si>
  <si>
    <t>Propaganda e publicidade</t>
  </si>
  <si>
    <t>Treinamento Pessoal</t>
  </si>
  <si>
    <t>Aluguel</t>
  </si>
  <si>
    <t>Energia Eletrica</t>
  </si>
  <si>
    <t>Manutenções diversas</t>
  </si>
  <si>
    <t>Manutenções softwares</t>
  </si>
  <si>
    <t>Material escritório</t>
  </si>
  <si>
    <t>Telefones</t>
  </si>
  <si>
    <t>Pró - labore</t>
  </si>
  <si>
    <t>TOTAL CUSTO FIXO</t>
  </si>
  <si>
    <t>RATEIO DOS CUSTOS</t>
  </si>
  <si>
    <t>D.Pessoal</t>
  </si>
  <si>
    <t>Custo Salarial + encargos</t>
  </si>
  <si>
    <t>Rateio salarial administrativos</t>
  </si>
  <si>
    <t>Rateio custos fixos</t>
  </si>
  <si>
    <t xml:space="preserve">CUSTO TOTAL </t>
  </si>
  <si>
    <t>CUSTO TOTAL GERAL</t>
  </si>
  <si>
    <t>CUSTO INDIVIDUALIZADO</t>
  </si>
  <si>
    <t>Nº</t>
  </si>
  <si>
    <t>EMPRESA</t>
  </si>
  <si>
    <t>NFs Entrada</t>
  </si>
  <si>
    <t>NFs Serv</t>
  </si>
  <si>
    <t>Tot.NFs</t>
  </si>
  <si>
    <t>Empregados</t>
  </si>
  <si>
    <t>001</t>
  </si>
  <si>
    <t>JS</t>
  </si>
  <si>
    <t>006</t>
  </si>
  <si>
    <t>ABC</t>
  </si>
  <si>
    <t>013</t>
  </si>
  <si>
    <t>XYZ</t>
  </si>
  <si>
    <t>015</t>
  </si>
  <si>
    <t>VVV</t>
  </si>
  <si>
    <t>016</t>
  </si>
  <si>
    <t>TAB</t>
  </si>
  <si>
    <t>023</t>
  </si>
  <si>
    <t>YO0O</t>
  </si>
  <si>
    <t>024</t>
  </si>
  <si>
    <t>UIO</t>
  </si>
  <si>
    <t>025</t>
  </si>
  <si>
    <t>IEO</t>
  </si>
  <si>
    <t>027</t>
  </si>
  <si>
    <t>OEI</t>
  </si>
  <si>
    <t>028</t>
  </si>
  <si>
    <t>OEUI</t>
  </si>
  <si>
    <t>030</t>
  </si>
  <si>
    <t>ONM</t>
  </si>
  <si>
    <t>031</t>
  </si>
  <si>
    <t>IOMB</t>
  </si>
  <si>
    <t>036</t>
  </si>
  <si>
    <t>IOO</t>
  </si>
  <si>
    <t>041</t>
  </si>
  <si>
    <t>MNN</t>
  </si>
  <si>
    <t>042</t>
  </si>
  <si>
    <t>MM</t>
  </si>
  <si>
    <t>044</t>
  </si>
  <si>
    <t>MEB</t>
  </si>
  <si>
    <t>046</t>
  </si>
  <si>
    <t>EAD</t>
  </si>
  <si>
    <t>055</t>
  </si>
  <si>
    <t>EIA</t>
  </si>
  <si>
    <t>062</t>
  </si>
  <si>
    <t>ILMNB</t>
  </si>
  <si>
    <t>063</t>
  </si>
  <si>
    <t>IMM</t>
  </si>
  <si>
    <t>066</t>
  </si>
  <si>
    <t>IMMB</t>
  </si>
  <si>
    <t>073</t>
  </si>
  <si>
    <t>NBU</t>
  </si>
  <si>
    <t>076</t>
  </si>
  <si>
    <t>FIL</t>
  </si>
  <si>
    <t>081</t>
  </si>
  <si>
    <t>INN</t>
  </si>
  <si>
    <t>082</t>
  </si>
  <si>
    <t>NBI</t>
  </si>
  <si>
    <t>083</t>
  </si>
  <si>
    <t>UIB</t>
  </si>
  <si>
    <t>090</t>
  </si>
  <si>
    <t>UOO</t>
  </si>
  <si>
    <t>093</t>
  </si>
  <si>
    <t>NMB</t>
  </si>
  <si>
    <t>105</t>
  </si>
  <si>
    <t>ABD</t>
  </si>
  <si>
    <t>118</t>
  </si>
  <si>
    <t>OIP</t>
  </si>
  <si>
    <t>148</t>
  </si>
  <si>
    <t>OOOU</t>
  </si>
  <si>
    <t>158</t>
  </si>
  <si>
    <t>IUI</t>
  </si>
  <si>
    <t>162</t>
  </si>
  <si>
    <t>XLC</t>
  </si>
  <si>
    <t>165</t>
  </si>
  <si>
    <t>UOX</t>
  </si>
  <si>
    <t>166</t>
  </si>
  <si>
    <t>ZZI</t>
  </si>
  <si>
    <t>168</t>
  </si>
  <si>
    <t>ZIO</t>
  </si>
  <si>
    <t>TOTAL</t>
  </si>
  <si>
    <t>Custo DF</t>
  </si>
  <si>
    <t>Custo DC</t>
  </si>
  <si>
    <t>Custo DP</t>
  </si>
  <si>
    <t>C.Total</t>
  </si>
  <si>
    <t>Hon.Ideal</t>
  </si>
  <si>
    <t>Honorário</t>
  </si>
  <si>
    <t>Deficit</t>
  </si>
  <si>
    <t>Superavit</t>
  </si>
  <si>
    <t>Custo Depº Fiscal</t>
  </si>
  <si>
    <t>Custo Depº Contábil</t>
  </si>
  <si>
    <t>Custo Depº Pessoal</t>
  </si>
  <si>
    <t>ENCARGOS S/RECEITA BRUTA</t>
  </si>
  <si>
    <t>Pis</t>
  </si>
  <si>
    <t>Cofins</t>
  </si>
  <si>
    <t>IRPJ</t>
  </si>
  <si>
    <t>Total Encargos s/receita</t>
  </si>
  <si>
    <t>Margem Lucro</t>
  </si>
  <si>
    <t>PLANILHA DE CUSTOS DE HONORÁRIOS</t>
  </si>
  <si>
    <t>DESCRIÇÃO DOS CUSTOS</t>
  </si>
  <si>
    <t xml:space="preserve">Custos  </t>
  </si>
  <si>
    <t>Quantid.</t>
  </si>
  <si>
    <t>Custo</t>
  </si>
  <si>
    <t>Custo Total</t>
  </si>
  <si>
    <t>CUSTOS FIXOS MENSAIS</t>
  </si>
  <si>
    <t>Tarifas Bancárias</t>
  </si>
  <si>
    <t>INSS</t>
  </si>
  <si>
    <t>FGTS</t>
  </si>
  <si>
    <t>INSS+FGTS s/ 13º e Férias</t>
  </si>
  <si>
    <t>Multa Rescisória 50% FGTS</t>
  </si>
  <si>
    <t>Vale Transporte e Refeição</t>
  </si>
  <si>
    <t>Soma Encargos</t>
  </si>
  <si>
    <t>Despesas Gerais (CRC, Cont. Sindical, Depreciação, etc.)</t>
  </si>
  <si>
    <t>NFs Saída</t>
  </si>
  <si>
    <t>Empresa:</t>
  </si>
  <si>
    <t>Data:</t>
  </si>
  <si>
    <t>Honorário Atual:</t>
  </si>
  <si>
    <t>Receita Bruta</t>
  </si>
  <si>
    <t>Tributos Federais</t>
  </si>
  <si>
    <t>Receita Líquida</t>
  </si>
  <si>
    <t>Lucro Líquido</t>
  </si>
  <si>
    <t>Margem de Lucro</t>
  </si>
  <si>
    <t>Vr Unitar.</t>
  </si>
  <si>
    <t>Contr. social s/lucro</t>
  </si>
  <si>
    <t>Instruções</t>
  </si>
  <si>
    <t>Preencha as células de cor amarela.</t>
  </si>
  <si>
    <t>Nº Lançam. Contábeis</t>
  </si>
  <si>
    <t>Notas Fiscais/mês</t>
  </si>
  <si>
    <t>Lançamentos Contábeis/mês</t>
  </si>
  <si>
    <t>RESULTADO</t>
  </si>
  <si>
    <t>Depto.Contábil</t>
  </si>
  <si>
    <t>Depto.Fiscal</t>
  </si>
  <si>
    <t>D.Fiscal</t>
  </si>
  <si>
    <t>D.Contábil</t>
  </si>
  <si>
    <t>PLANILHA PARA CÁLCULO DE HONORÁRIOS CONTÁBEIS</t>
  </si>
  <si>
    <t xml:space="preserve">                              PLANILHA PARA CÁLCULO DE HONORÁRIOS CONTÁBEIS</t>
  </si>
  <si>
    <t xml:space="preserve">                              ORIENTAÇÕES E DICAS DE CAPACITAÇÃO</t>
  </si>
  <si>
    <t xml:space="preserve">Olá amigo Contador algumas Orientações e Dicas de Capacitação: </t>
  </si>
  <si>
    <t xml:space="preserve">1 – Procure mostrar sua forma de trabalho e autoridade no assunto em reunião e lembre de sempre colocar no contrato de prestação de serviço também. </t>
  </si>
  <si>
    <r>
      <t xml:space="preserve">2 – Acredite no seu </t>
    </r>
    <r>
      <rPr>
        <sz val="15"/>
        <color rgb="FF000000"/>
        <rFont val="Calibri"/>
        <family val="2"/>
      </rPr>
      <t>potencial</t>
    </r>
    <r>
      <rPr>
        <i/>
        <sz val="12"/>
        <color rgb="FF000000"/>
        <rFont val="Calibri"/>
        <family val="2"/>
      </rPr>
      <t xml:space="preserve">. </t>
    </r>
  </si>
  <si>
    <t xml:space="preserve">3 – Mostre que você veio pra acrescentar e ajudar o seu cliente a prosperar. </t>
  </si>
  <si>
    <t xml:space="preserve">4 – Seja um Contador Consultor </t>
  </si>
  <si>
    <t xml:space="preserve">5 – Invista em Automação de Processos, Marketing e na capacitação da Equipe. </t>
  </si>
  <si>
    <t xml:space="preserve">Aqui segue uma lista de Cursos que Recomendamos para evolução do escritório: </t>
  </si>
  <si>
    <t xml:space="preserve">Negociação De Honorários e Captação de Clientes com Anderson Hernandes &gt;&gt; </t>
  </si>
  <si>
    <t>http://bit.ly/negociandocomcliente</t>
  </si>
  <si>
    <t xml:space="preserve">Formação em SPED com Felipe Guerra &gt;&gt; </t>
  </si>
  <si>
    <t xml:space="preserve">Esocial De Uma Forma Simples e Descomplicado com Aline Portela &gt;&gt; </t>
  </si>
  <si>
    <t xml:space="preserve">Marketing Digital Para Contadores &gt;&gt; </t>
  </si>
  <si>
    <t xml:space="preserve">Tudo sobre ICMS da Teoria a Prática com Deise Parisotto &gt;&gt; </t>
  </si>
  <si>
    <t>http://bit.ly/treinamentosped</t>
  </si>
  <si>
    <t>http://bit.ly/esocialdescomplicado</t>
  </si>
  <si>
    <t>http://bit.ly/marketingparacontador</t>
  </si>
  <si>
    <t>http://bit.ly/praticanoicms</t>
  </si>
  <si>
    <t>Manual do Contador Iniciantes com Francisco &gt;&gt;</t>
  </si>
  <si>
    <t>http://bit.ly/cursoscontadoriniciante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</si>
</sst>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R$&quot;#,##0.00_);\(&quot;R$&quot;#,##0.00\)"/>
  </numFmts>
  <fonts count="18">
    <font>
      <sz val="10"/>
      <name val="Arial"/>
    </font>
    <font>
      <sz val="8"/>
      <name val="Arial"/>
    </font>
    <font>
      <sz val="9"/>
      <color theme="1" tint="0.14999847407452621"/>
      <name val="Open Sans"/>
      <family val="2"/>
    </font>
    <font>
      <b/>
      <i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9"/>
      <color theme="1" tint="0.14999847407452621"/>
      <name val="Open Sans"/>
      <family val="2"/>
    </font>
    <font>
      <b/>
      <i/>
      <sz val="9"/>
      <color theme="1" tint="0.14999847407452621"/>
      <name val="Open Sans"/>
      <family val="2"/>
    </font>
    <font>
      <b/>
      <sz val="10"/>
      <color theme="0"/>
      <name val="Open Sans"/>
      <family val="2"/>
    </font>
    <font>
      <b/>
      <i/>
      <sz val="10"/>
      <color theme="0"/>
      <name val="Open Sans"/>
      <family val="2"/>
    </font>
    <font>
      <sz val="10"/>
      <color theme="1" tint="0.249977111117893"/>
      <name val="Open Sans"/>
      <family val="2"/>
    </font>
    <font>
      <sz val="9"/>
      <name val="Open Sans"/>
      <family val="2"/>
    </font>
    <font>
      <sz val="9"/>
      <color theme="0"/>
      <name val="Open Sans"/>
      <family val="2"/>
    </font>
    <font>
      <b/>
      <sz val="16"/>
      <color rgb="FF00A5CA"/>
      <name val="Open Sans"/>
      <family val="2"/>
    </font>
    <font>
      <b/>
      <i/>
      <u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5"/>
      <color rgb="FF000000"/>
      <name val="Calibri"/>
      <family val="2"/>
    </font>
    <font>
      <b/>
      <i/>
      <sz val="12"/>
      <color rgb="FFFF0000"/>
      <name val="Calibri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5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CC"/>
        <bgColor indexed="64"/>
      </patternFill>
    </fill>
  </fills>
  <borders count="7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00A5CA"/>
      </left>
      <right style="medium">
        <color rgb="FF00A5CA"/>
      </right>
      <top style="medium">
        <color rgb="FF00A5CA"/>
      </top>
      <bottom style="medium">
        <color rgb="FF00A5CA"/>
      </bottom>
      <diagonal/>
    </border>
    <border>
      <left style="medium">
        <color rgb="FF00A5CA"/>
      </left>
      <right/>
      <top style="medium">
        <color rgb="FF00A5CA"/>
      </top>
      <bottom/>
      <diagonal/>
    </border>
    <border>
      <left/>
      <right/>
      <top style="medium">
        <color rgb="FF00A5CA"/>
      </top>
      <bottom/>
      <diagonal/>
    </border>
    <border>
      <left/>
      <right style="medium">
        <color rgb="FF00A5CA"/>
      </right>
      <top style="medium">
        <color rgb="FF00A5CA"/>
      </top>
      <bottom/>
      <diagonal/>
    </border>
    <border>
      <left style="medium">
        <color rgb="FF00A5CA"/>
      </left>
      <right/>
      <top/>
      <bottom/>
      <diagonal/>
    </border>
    <border>
      <left/>
      <right style="medium">
        <color rgb="FF00A5CA"/>
      </right>
      <top/>
      <bottom/>
      <diagonal/>
    </border>
    <border>
      <left style="medium">
        <color rgb="FF00A5CA"/>
      </left>
      <right/>
      <top/>
      <bottom style="medium">
        <color rgb="FF00A5CA"/>
      </bottom>
      <diagonal/>
    </border>
    <border>
      <left/>
      <right/>
      <top/>
      <bottom style="medium">
        <color rgb="FF00A5CA"/>
      </bottom>
      <diagonal/>
    </border>
    <border>
      <left/>
      <right style="medium">
        <color rgb="FF00A5CA"/>
      </right>
      <top/>
      <bottom style="medium">
        <color rgb="FF00A5CA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A5CA"/>
      </left>
      <right/>
      <top style="medium">
        <color rgb="FF00A5CA"/>
      </top>
      <bottom style="medium">
        <color rgb="FF00A5CA"/>
      </bottom>
      <diagonal/>
    </border>
    <border>
      <left/>
      <right style="medium">
        <color rgb="FF00A5CA"/>
      </right>
      <top style="medium">
        <color rgb="FF00A5CA"/>
      </top>
      <bottom style="medium">
        <color rgb="FF00A5CA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00A5CA"/>
      </right>
      <top/>
      <bottom/>
      <diagonal/>
    </border>
    <border>
      <left/>
      <right/>
      <top style="medium">
        <color rgb="FF00A5CA"/>
      </top>
      <bottom style="medium">
        <color rgb="FF00A5CA"/>
      </bottom>
      <diagonal/>
    </border>
    <border>
      <left/>
      <right/>
      <top style="medium">
        <color rgb="FF00A5CA"/>
      </top>
      <bottom style="thin">
        <color theme="0"/>
      </bottom>
      <diagonal/>
    </border>
    <border>
      <left style="medium">
        <color rgb="FF00A5CA"/>
      </left>
      <right style="medium">
        <color rgb="FF00A5CA"/>
      </right>
      <top/>
      <bottom/>
      <diagonal/>
    </border>
    <border>
      <left style="medium">
        <color rgb="FF00A5CA"/>
      </left>
      <right style="medium">
        <color rgb="FF00A5CA"/>
      </right>
      <top/>
      <bottom style="medium">
        <color rgb="FF00A5CA"/>
      </bottom>
      <diagonal/>
    </border>
    <border>
      <left/>
      <right/>
      <top style="thin">
        <color theme="0"/>
      </top>
      <bottom/>
      <diagonal/>
    </border>
    <border>
      <left style="medium">
        <color rgb="FF00A5CA"/>
      </left>
      <right/>
      <top/>
      <bottom style="thin">
        <color theme="0"/>
      </bottom>
      <diagonal/>
    </border>
    <border>
      <left/>
      <right style="medium">
        <color rgb="FF00A5CA"/>
      </right>
      <top/>
      <bottom style="thin">
        <color theme="0"/>
      </bottom>
      <diagonal/>
    </border>
    <border>
      <left style="medium">
        <color rgb="FF00A5CA"/>
      </left>
      <right/>
      <top style="thin">
        <color theme="0"/>
      </top>
      <bottom style="medium">
        <color rgb="FF00A5CA"/>
      </bottom>
      <diagonal/>
    </border>
    <border>
      <left/>
      <right/>
      <top style="thin">
        <color theme="0"/>
      </top>
      <bottom style="medium">
        <color rgb="FF00A5CA"/>
      </bottom>
      <diagonal/>
    </border>
    <border>
      <left/>
      <right style="medium">
        <color rgb="FF00A5CA"/>
      </right>
      <top style="thin">
        <color theme="0"/>
      </top>
      <bottom style="medium">
        <color rgb="FF00A5CA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A5CA"/>
      </left>
      <right style="thin">
        <color rgb="FF00A5CA"/>
      </right>
      <top style="medium">
        <color rgb="FF00A5CA"/>
      </top>
      <bottom/>
      <diagonal/>
    </border>
    <border>
      <left style="medium">
        <color rgb="FF00A5CA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A5CA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00A5CA"/>
      </left>
      <right style="thin">
        <color theme="0" tint="-0.14999847407452621"/>
      </right>
      <top style="thin">
        <color theme="0" tint="-0.14999847407452621"/>
      </top>
      <bottom style="medium">
        <color rgb="FF00A5CA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00A5CA"/>
      </bottom>
      <diagonal/>
    </border>
    <border>
      <left style="thin">
        <color theme="0" tint="-0.14999847407452621"/>
      </left>
      <right style="medium">
        <color rgb="FF00A5CA"/>
      </right>
      <top style="thin">
        <color theme="0" tint="-0.14999847407452621"/>
      </top>
      <bottom style="medium">
        <color rgb="FF00A5CA"/>
      </bottom>
      <diagonal/>
    </border>
    <border>
      <left style="medium">
        <color rgb="FF00A5CA"/>
      </left>
      <right style="thin">
        <color theme="0" tint="-0.14999847407452621"/>
      </right>
      <top style="medium">
        <color rgb="FF00A5CA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00A5CA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A5CA"/>
      </right>
      <top style="medium">
        <color rgb="FF00A5CA"/>
      </top>
      <bottom style="thin">
        <color theme="0" tint="-0.14999847407452621"/>
      </bottom>
      <diagonal/>
    </border>
    <border>
      <left style="medium">
        <color rgb="FF00A5CA"/>
      </left>
      <right style="thin">
        <color theme="0"/>
      </right>
      <top/>
      <bottom/>
      <diagonal/>
    </border>
    <border>
      <left style="medium">
        <color rgb="FF00A5CA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rgb="FF00A5CA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rgb="FF00A5CA"/>
      </right>
      <top/>
      <bottom style="thin">
        <color theme="0" tint="-0.14999847407452621"/>
      </bottom>
      <diagonal/>
    </border>
    <border>
      <left style="medium">
        <color rgb="FF00A5CA"/>
      </left>
      <right style="thin">
        <color theme="0" tint="-0.1499984740745262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rgb="FF00A5CA"/>
      </right>
      <top style="thin">
        <color theme="0" tint="-0.249977111117893"/>
      </top>
      <bottom style="thin">
        <color theme="0" tint="-0.14999847407452621"/>
      </bottom>
      <diagonal/>
    </border>
    <border>
      <left style="thin">
        <color theme="0" tint="-0.249977111117893"/>
      </left>
      <right style="medium">
        <color rgb="FF00A5CA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A5CA"/>
      </left>
      <right style="thin">
        <color theme="0" tint="-0.14999847407452621"/>
      </right>
      <top/>
      <bottom style="medium">
        <color rgb="FF00A5CA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rgb="FF00A5CA"/>
      </bottom>
      <diagonal/>
    </border>
    <border>
      <left style="thin">
        <color theme="0" tint="-0.14999847407452621"/>
      </left>
      <right style="medium">
        <color rgb="FF00A5CA"/>
      </right>
      <top/>
      <bottom style="medium">
        <color rgb="FF00A5CA"/>
      </bottom>
      <diagonal/>
    </border>
    <border>
      <left style="medium">
        <color rgb="FF00A5CA"/>
      </left>
      <right style="thin">
        <color theme="0" tint="-0.14999847407452621"/>
      </right>
      <top style="thin">
        <color rgb="FFC9C9C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C9C9C9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C9C9C9"/>
      </left>
      <right style="thin">
        <color rgb="FFC9C9C9"/>
      </right>
      <top style="thin">
        <color theme="0" tint="-0.249977111117893"/>
      </top>
      <bottom style="thin">
        <color rgb="FFC9C9C9"/>
      </bottom>
      <diagonal/>
    </border>
    <border>
      <left style="medium">
        <color rgb="FF00A5CA"/>
      </left>
      <right/>
      <top style="thin">
        <color theme="0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C9C9C9"/>
      </top>
      <bottom style="thin">
        <color rgb="FFC9C9C9"/>
      </bottom>
      <diagonal/>
    </border>
    <border>
      <left style="medium">
        <color rgb="FF00A5CA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rgb="FF00A5CA"/>
      </left>
      <right style="medium">
        <color rgb="FF00A5CA"/>
      </right>
      <top style="thin">
        <color theme="0"/>
      </top>
      <bottom/>
      <diagonal/>
    </border>
    <border>
      <left style="medium">
        <color rgb="FF00A5CA"/>
      </left>
      <right style="medium">
        <color rgb="FF00A5CA"/>
      </right>
      <top style="thin">
        <color theme="0"/>
      </top>
      <bottom style="medium">
        <color rgb="FF00A5CA"/>
      </bottom>
      <diagonal/>
    </border>
    <border>
      <left style="medium">
        <color rgb="FF00A5CA"/>
      </left>
      <right/>
      <top style="medium">
        <color rgb="FF00A5CA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medium">
        <color rgb="FF00A5CA"/>
      </top>
      <bottom/>
      <diagonal/>
    </border>
    <border>
      <left style="thin">
        <color theme="0"/>
      </left>
      <right style="thin">
        <color theme="0"/>
      </right>
      <top/>
      <bottom style="medium">
        <color rgb="FF00A5CA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3" xfId="0" applyFont="1" applyBorder="1"/>
    <xf numFmtId="0" fontId="2" fillId="0" borderId="5" xfId="0" applyFont="1" applyBorder="1"/>
    <xf numFmtId="0" fontId="9" fillId="0" borderId="1" xfId="0" applyFont="1" applyBorder="1"/>
    <xf numFmtId="0" fontId="9" fillId="0" borderId="0" xfId="0" applyFont="1"/>
    <xf numFmtId="0" fontId="9" fillId="0" borderId="4" xfId="0" applyFont="1" applyBorder="1"/>
    <xf numFmtId="164" fontId="9" fillId="0" borderId="4" xfId="0" applyNumberFormat="1" applyFont="1" applyBorder="1"/>
    <xf numFmtId="0" fontId="10" fillId="0" borderId="2" xfId="0" applyFont="1" applyBorder="1"/>
    <xf numFmtId="0" fontId="10" fillId="0" borderId="1" xfId="0" applyFont="1" applyBorder="1"/>
    <xf numFmtId="0" fontId="10" fillId="0" borderId="0" xfId="0" applyFont="1"/>
    <xf numFmtId="0" fontId="10" fillId="0" borderId="6" xfId="0" applyFont="1" applyBorder="1"/>
    <xf numFmtId="0" fontId="10" fillId="0" borderId="5" xfId="0" applyFont="1" applyBorder="1"/>
    <xf numFmtId="0" fontId="10" fillId="0" borderId="4" xfId="0" applyFont="1" applyBorder="1"/>
    <xf numFmtId="0" fontId="10" fillId="0" borderId="2" xfId="0" applyFont="1" applyFill="1" applyBorder="1"/>
    <xf numFmtId="0" fontId="2" fillId="0" borderId="4" xfId="0" applyFont="1" applyBorder="1"/>
    <xf numFmtId="164" fontId="10" fillId="0" borderId="3" xfId="0" applyNumberFormat="1" applyFont="1" applyBorder="1"/>
    <xf numFmtId="164" fontId="10" fillId="0" borderId="4" xfId="0" applyNumberFormat="1" applyFont="1" applyBorder="1"/>
    <xf numFmtId="164" fontId="10" fillId="0" borderId="2" xfId="0" applyNumberFormat="1" applyFont="1" applyBorder="1"/>
    <xf numFmtId="164" fontId="10" fillId="0" borderId="1" xfId="0" applyNumberFormat="1" applyFont="1" applyBorder="1"/>
    <xf numFmtId="2" fontId="10" fillId="0" borderId="0" xfId="0" applyNumberFormat="1" applyFont="1" applyAlignment="1">
      <alignment horizontal="center"/>
    </xf>
    <xf numFmtId="0" fontId="10" fillId="0" borderId="0" xfId="0" applyFont="1" applyFill="1"/>
    <xf numFmtId="0" fontId="10" fillId="0" borderId="2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2" fillId="0" borderId="6" xfId="0" applyFont="1" applyBorder="1"/>
    <xf numFmtId="0" fontId="2" fillId="8" borderId="9" xfId="0" applyFont="1" applyFill="1" applyBorder="1" applyAlignment="1">
      <alignment vertical="top"/>
    </xf>
    <xf numFmtId="0" fontId="2" fillId="8" borderId="0" xfId="0" applyFont="1" applyFill="1" applyBorder="1" applyAlignment="1">
      <alignment vertical="top"/>
    </xf>
    <xf numFmtId="0" fontId="2" fillId="8" borderId="7" xfId="0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0" fontId="2" fillId="8" borderId="10" xfId="0" applyFont="1" applyFill="1" applyBorder="1" applyAlignment="1">
      <alignment vertical="top"/>
    </xf>
    <xf numFmtId="0" fontId="2" fillId="8" borderId="3" xfId="0" applyFont="1" applyFill="1" applyBorder="1" applyAlignment="1">
      <alignment vertical="top"/>
    </xf>
    <xf numFmtId="0" fontId="2" fillId="0" borderId="11" xfId="0" applyFont="1" applyBorder="1"/>
    <xf numFmtId="164" fontId="2" fillId="0" borderId="0" xfId="0" applyNumberFormat="1" applyFont="1" applyBorder="1" applyAlignment="1">
      <alignment horizontal="centerContinuous"/>
    </xf>
    <xf numFmtId="0" fontId="9" fillId="0" borderId="2" xfId="0" applyFont="1" applyBorder="1"/>
    <xf numFmtId="0" fontId="10" fillId="0" borderId="0" xfId="0" applyFont="1" applyBorder="1"/>
    <xf numFmtId="0" fontId="4" fillId="0" borderId="1" xfId="0" applyFont="1" applyFill="1" applyBorder="1" applyAlignment="1">
      <alignment horizontal="center"/>
    </xf>
    <xf numFmtId="10" fontId="2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wrapText="1"/>
    </xf>
    <xf numFmtId="10" fontId="2" fillId="0" borderId="1" xfId="0" applyNumberFormat="1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64" fontId="10" fillId="0" borderId="6" xfId="0" applyNumberFormat="1" applyFont="1" applyBorder="1" applyAlignment="1">
      <alignment horizontal="right"/>
    </xf>
    <xf numFmtId="164" fontId="10" fillId="0" borderId="5" xfId="0" applyNumberFormat="1" applyFont="1" applyBorder="1" applyAlignment="1">
      <alignment horizontal="right"/>
    </xf>
    <xf numFmtId="164" fontId="10" fillId="0" borderId="5" xfId="0" applyNumberFormat="1" applyFont="1" applyBorder="1"/>
    <xf numFmtId="0" fontId="10" fillId="0" borderId="1" xfId="0" applyFont="1" applyFill="1" applyBorder="1"/>
    <xf numFmtId="0" fontId="10" fillId="0" borderId="1" xfId="0" applyFont="1" applyBorder="1" applyAlignment="1">
      <alignment horizontal="left"/>
    </xf>
    <xf numFmtId="164" fontId="10" fillId="0" borderId="1" xfId="0" applyNumberFormat="1" applyFont="1" applyFill="1" applyBorder="1" applyAlignment="1">
      <alignment horizontal="right"/>
    </xf>
    <xf numFmtId="164" fontId="10" fillId="0" borderId="1" xfId="0" applyNumberFormat="1" applyFont="1" applyFill="1" applyBorder="1"/>
    <xf numFmtId="10" fontId="10" fillId="0" borderId="1" xfId="0" applyNumberFormat="1" applyFont="1" applyFill="1" applyBorder="1"/>
    <xf numFmtId="165" fontId="10" fillId="0" borderId="1" xfId="0" applyNumberFormat="1" applyFont="1" applyFill="1" applyBorder="1"/>
    <xf numFmtId="9" fontId="10" fillId="0" borderId="1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0" fontId="2" fillId="0" borderId="4" xfId="0" applyFont="1" applyBorder="1" applyAlignment="1">
      <alignment horizontal="centerContinuous"/>
    </xf>
    <xf numFmtId="0" fontId="4" fillId="3" borderId="14" xfId="0" applyFont="1" applyFill="1" applyBorder="1" applyAlignment="1">
      <alignment horizontal="centerContinuous" vertical="center"/>
    </xf>
    <xf numFmtId="17" fontId="4" fillId="3" borderId="14" xfId="0" applyNumberFormat="1" applyFont="1" applyFill="1" applyBorder="1" applyAlignment="1">
      <alignment horizontal="centerContinuous" vertical="center"/>
    </xf>
    <xf numFmtId="0" fontId="4" fillId="3" borderId="15" xfId="0" applyFont="1" applyFill="1" applyBorder="1" applyAlignment="1">
      <alignment horizontal="centerContinuous"/>
    </xf>
    <xf numFmtId="164" fontId="2" fillId="0" borderId="2" xfId="0" applyNumberFormat="1" applyFont="1" applyBorder="1"/>
    <xf numFmtId="0" fontId="2" fillId="0" borderId="21" xfId="0" applyFont="1" applyBorder="1" applyAlignment="1">
      <alignment horizontal="centerContinuous"/>
    </xf>
    <xf numFmtId="164" fontId="5" fillId="5" borderId="23" xfId="0" applyNumberFormat="1" applyFont="1" applyFill="1" applyBorder="1"/>
    <xf numFmtId="0" fontId="2" fillId="0" borderId="5" xfId="0" applyFont="1" applyBorder="1" applyAlignment="1">
      <alignment horizontal="centerContinuous"/>
    </xf>
    <xf numFmtId="0" fontId="2" fillId="0" borderId="24" xfId="0" applyFont="1" applyBorder="1"/>
    <xf numFmtId="0" fontId="2" fillId="0" borderId="25" xfId="0" applyFont="1" applyBorder="1" applyAlignment="1">
      <alignment horizontal="centerContinuous"/>
    </xf>
    <xf numFmtId="164" fontId="2" fillId="0" borderId="21" xfId="0" applyNumberFormat="1" applyFont="1" applyBorder="1" applyAlignment="1">
      <alignment horizontal="centerContinuous"/>
    </xf>
    <xf numFmtId="164" fontId="2" fillId="0" borderId="25" xfId="0" applyNumberFormat="1" applyFont="1" applyBorder="1" applyAlignment="1">
      <alignment horizontal="centerContinuous"/>
    </xf>
    <xf numFmtId="0" fontId="6" fillId="0" borderId="27" xfId="0" applyFont="1" applyBorder="1" applyAlignment="1">
      <alignment horizontal="center"/>
    </xf>
    <xf numFmtId="0" fontId="5" fillId="0" borderId="19" xfId="0" applyFont="1" applyBorder="1"/>
    <xf numFmtId="0" fontId="4" fillId="3" borderId="28" xfId="0" applyFont="1" applyFill="1" applyBorder="1"/>
    <xf numFmtId="0" fontId="10" fillId="0" borderId="4" xfId="0" applyNumberFormat="1" applyFont="1" applyFill="1" applyBorder="1" applyAlignment="1">
      <alignment horizontal="right"/>
    </xf>
    <xf numFmtId="0" fontId="10" fillId="0" borderId="4" xfId="0" applyFont="1" applyFill="1" applyBorder="1"/>
    <xf numFmtId="2" fontId="4" fillId="3" borderId="18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Continuous"/>
    </xf>
    <xf numFmtId="0" fontId="4" fillId="3" borderId="19" xfId="0" applyNumberFormat="1" applyFont="1" applyFill="1" applyBorder="1" applyAlignment="1">
      <alignment horizontal="right"/>
    </xf>
    <xf numFmtId="0" fontId="4" fillId="3" borderId="20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10" fontId="2" fillId="0" borderId="2" xfId="0" applyNumberFormat="1" applyFont="1" applyFill="1" applyBorder="1"/>
    <xf numFmtId="10" fontId="2" fillId="0" borderId="2" xfId="0" applyNumberFormat="1" applyFont="1" applyBorder="1"/>
    <xf numFmtId="0" fontId="4" fillId="0" borderId="4" xfId="0" applyFont="1" applyFill="1" applyBorder="1" applyAlignment="1">
      <alignment horizontal="center" vertical="center"/>
    </xf>
    <xf numFmtId="0" fontId="2" fillId="0" borderId="4" xfId="0" applyFont="1" applyFill="1" applyBorder="1"/>
    <xf numFmtId="0" fontId="4" fillId="0" borderId="2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21" xfId="0" applyFont="1" applyFill="1" applyBorder="1"/>
    <xf numFmtId="0" fontId="10" fillId="0" borderId="3" xfId="0" applyFont="1" applyBorder="1"/>
    <xf numFmtId="0" fontId="10" fillId="0" borderId="8" xfId="0" applyFont="1" applyBorder="1"/>
    <xf numFmtId="0" fontId="10" fillId="0" borderId="24" xfId="0" applyFont="1" applyBorder="1"/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Continuous"/>
    </xf>
    <xf numFmtId="0" fontId="4" fillId="3" borderId="18" xfId="0" applyFont="1" applyFill="1" applyBorder="1" applyAlignment="1">
      <alignment horizontal="left"/>
    </xf>
    <xf numFmtId="164" fontId="11" fillId="3" borderId="20" xfId="0" applyNumberFormat="1" applyFont="1" applyFill="1" applyBorder="1"/>
    <xf numFmtId="0" fontId="10" fillId="0" borderId="11" xfId="0" applyFont="1" applyBorder="1"/>
    <xf numFmtId="0" fontId="4" fillId="0" borderId="7" xfId="0" applyFont="1" applyFill="1" applyBorder="1" applyAlignment="1">
      <alignment horizontal="center" vertical="center"/>
    </xf>
    <xf numFmtId="0" fontId="2" fillId="0" borderId="3" xfId="0" applyFont="1" applyFill="1" applyBorder="1"/>
    <xf numFmtId="164" fontId="4" fillId="3" borderId="26" xfId="0" applyNumberFormat="1" applyFont="1" applyFill="1" applyBorder="1"/>
    <xf numFmtId="0" fontId="9" fillId="0" borderId="3" xfId="0" applyFont="1" applyBorder="1"/>
    <xf numFmtId="0" fontId="9" fillId="0" borderId="8" xfId="0" applyFont="1" applyBorder="1"/>
    <xf numFmtId="0" fontId="9" fillId="0" borderId="5" xfId="0" applyFont="1" applyBorder="1"/>
    <xf numFmtId="0" fontId="7" fillId="0" borderId="7" xfId="0" applyFont="1" applyFill="1" applyBorder="1" applyAlignment="1">
      <alignment horizontal="centerContinuous" vertical="center"/>
    </xf>
    <xf numFmtId="0" fontId="8" fillId="0" borderId="21" xfId="0" applyFont="1" applyFill="1" applyBorder="1" applyAlignment="1">
      <alignment horizontal="centerContinuous"/>
    </xf>
    <xf numFmtId="0" fontId="4" fillId="3" borderId="19" xfId="0" applyFont="1" applyFill="1" applyBorder="1" applyAlignment="1">
      <alignment horizontal="center"/>
    </xf>
    <xf numFmtId="0" fontId="4" fillId="3" borderId="12" xfId="0" applyFont="1" applyFill="1" applyBorder="1"/>
    <xf numFmtId="2" fontId="10" fillId="0" borderId="3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164" fontId="10" fillId="0" borderId="11" xfId="0" applyNumberFormat="1" applyFont="1" applyBorder="1"/>
    <xf numFmtId="164" fontId="10" fillId="0" borderId="21" xfId="0" applyNumberFormat="1" applyFont="1" applyBorder="1"/>
    <xf numFmtId="0" fontId="10" fillId="0" borderId="24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4" fillId="0" borderId="3" xfId="0" applyFont="1" applyFill="1" applyBorder="1" applyAlignment="1"/>
    <xf numFmtId="10" fontId="2" fillId="0" borderId="4" xfId="0" applyNumberFormat="1" applyFont="1" applyFill="1" applyBorder="1" applyAlignment="1"/>
    <xf numFmtId="0" fontId="4" fillId="0" borderId="4" xfId="0" applyFont="1" applyFill="1" applyBorder="1" applyAlignment="1"/>
    <xf numFmtId="164" fontId="2" fillId="4" borderId="36" xfId="0" applyNumberFormat="1" applyFont="1" applyFill="1" applyBorder="1"/>
    <xf numFmtId="164" fontId="2" fillId="6" borderId="36" xfId="0" applyNumberFormat="1" applyFont="1" applyFill="1" applyBorder="1"/>
    <xf numFmtId="164" fontId="2" fillId="5" borderId="36" xfId="0" applyNumberFormat="1" applyFont="1" applyFill="1" applyBorder="1"/>
    <xf numFmtId="0" fontId="2" fillId="0" borderId="36" xfId="0" applyFont="1" applyBorder="1"/>
    <xf numFmtId="164" fontId="5" fillId="4" borderId="36" xfId="0" applyNumberFormat="1" applyFont="1" applyFill="1" applyBorder="1"/>
    <xf numFmtId="0" fontId="4" fillId="3" borderId="3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Continuous"/>
    </xf>
    <xf numFmtId="164" fontId="4" fillId="3" borderId="29" xfId="0" applyNumberFormat="1" applyFont="1" applyFill="1" applyBorder="1"/>
    <xf numFmtId="164" fontId="4" fillId="3" borderId="19" xfId="0" applyNumberFormat="1" applyFont="1" applyFill="1" applyBorder="1"/>
    <xf numFmtId="164" fontId="4" fillId="3" borderId="19" xfId="0" applyNumberFormat="1" applyFont="1" applyFill="1" applyBorder="1" applyAlignment="1">
      <alignment horizontal="right"/>
    </xf>
    <xf numFmtId="164" fontId="4" fillId="3" borderId="20" xfId="0" applyNumberFormat="1" applyFont="1" applyFill="1" applyBorder="1" applyAlignment="1">
      <alignment horizontal="right"/>
    </xf>
    <xf numFmtId="164" fontId="2" fillId="9" borderId="36" xfId="0" applyNumberFormat="1" applyFont="1" applyFill="1" applyBorder="1"/>
    <xf numFmtId="164" fontId="5" fillId="9" borderId="36" xfId="0" applyNumberFormat="1" applyFont="1" applyFill="1" applyBorder="1"/>
    <xf numFmtId="0" fontId="2" fillId="9" borderId="36" xfId="0" applyFont="1" applyFill="1" applyBorder="1"/>
    <xf numFmtId="0" fontId="5" fillId="6" borderId="36" xfId="0" applyFont="1" applyFill="1" applyBorder="1" applyAlignment="1">
      <alignment horizontal="center"/>
    </xf>
    <xf numFmtId="0" fontId="5" fillId="9" borderId="36" xfId="0" applyFont="1" applyFill="1" applyBorder="1" applyAlignment="1">
      <alignment horizontal="center"/>
    </xf>
    <xf numFmtId="0" fontId="2" fillId="0" borderId="36" xfId="0" applyFont="1" applyBorder="1" applyAlignment="1">
      <alignment horizontal="centerContinuous"/>
    </xf>
    <xf numFmtId="10" fontId="2" fillId="0" borderId="36" xfId="0" applyNumberFormat="1" applyFont="1" applyBorder="1"/>
    <xf numFmtId="164" fontId="2" fillId="0" borderId="36" xfId="0" applyNumberFormat="1" applyFont="1" applyBorder="1" applyAlignment="1">
      <alignment horizontal="right"/>
    </xf>
    <xf numFmtId="0" fontId="5" fillId="0" borderId="39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4" borderId="39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/>
    </xf>
    <xf numFmtId="0" fontId="2" fillId="4" borderId="39" xfId="0" applyFont="1" applyFill="1" applyBorder="1"/>
    <xf numFmtId="164" fontId="2" fillId="5" borderId="40" xfId="0" applyNumberFormat="1" applyFont="1" applyFill="1" applyBorder="1"/>
    <xf numFmtId="0" fontId="5" fillId="0" borderId="39" xfId="0" applyFont="1" applyBorder="1"/>
    <xf numFmtId="0" fontId="2" fillId="0" borderId="42" xfId="0" applyFont="1" applyBorder="1" applyAlignment="1">
      <alignment horizontal="centerContinuous"/>
    </xf>
    <xf numFmtId="0" fontId="2" fillId="0" borderId="43" xfId="0" applyFont="1" applyBorder="1"/>
    <xf numFmtId="0" fontId="5" fillId="0" borderId="39" xfId="0" applyFont="1" applyBorder="1" applyAlignment="1">
      <alignment wrapText="1"/>
    </xf>
    <xf numFmtId="0" fontId="2" fillId="0" borderId="39" xfId="0" applyFont="1" applyBorder="1"/>
    <xf numFmtId="164" fontId="2" fillId="9" borderId="40" xfId="0" applyNumberFormat="1" applyFont="1" applyFill="1" applyBorder="1"/>
    <xf numFmtId="0" fontId="5" fillId="0" borderId="44" xfId="0" applyFont="1" applyFill="1" applyBorder="1" applyAlignment="1">
      <alignment horizontal="left"/>
    </xf>
    <xf numFmtId="164" fontId="2" fillId="0" borderId="45" xfId="0" applyNumberFormat="1" applyFont="1" applyBorder="1" applyAlignment="1">
      <alignment horizontal="right"/>
    </xf>
    <xf numFmtId="164" fontId="2" fillId="0" borderId="46" xfId="0" applyNumberFormat="1" applyFont="1" applyBorder="1"/>
    <xf numFmtId="0" fontId="5" fillId="0" borderId="39" xfId="0" applyFont="1" applyFill="1" applyBorder="1" applyAlignment="1">
      <alignment horizontal="left"/>
    </xf>
    <xf numFmtId="164" fontId="2" fillId="0" borderId="40" xfId="0" applyNumberFormat="1" applyFont="1" applyBorder="1"/>
    <xf numFmtId="0" fontId="5" fillId="0" borderId="41" xfId="0" applyFont="1" applyFill="1" applyBorder="1"/>
    <xf numFmtId="164" fontId="2" fillId="0" borderId="42" xfId="0" applyNumberFormat="1" applyFont="1" applyBorder="1"/>
    <xf numFmtId="164" fontId="2" fillId="0" borderId="43" xfId="0" applyNumberFormat="1" applyFont="1" applyBorder="1"/>
    <xf numFmtId="0" fontId="2" fillId="0" borderId="41" xfId="0" applyFont="1" applyBorder="1"/>
    <xf numFmtId="0" fontId="2" fillId="0" borderId="40" xfId="0" applyFont="1" applyBorder="1"/>
    <xf numFmtId="0" fontId="2" fillId="0" borderId="39" xfId="0" applyFont="1" applyBorder="1" applyAlignment="1">
      <alignment wrapText="1"/>
    </xf>
    <xf numFmtId="164" fontId="5" fillId="4" borderId="45" xfId="0" applyNumberFormat="1" applyFont="1" applyFill="1" applyBorder="1" applyAlignment="1">
      <alignment horizontal="center"/>
    </xf>
    <xf numFmtId="164" fontId="5" fillId="9" borderId="45" xfId="0" applyNumberFormat="1" applyFont="1" applyFill="1" applyBorder="1" applyAlignment="1">
      <alignment horizontal="center"/>
    </xf>
    <xf numFmtId="164" fontId="5" fillId="6" borderId="46" xfId="0" applyNumberFormat="1" applyFont="1" applyFill="1" applyBorder="1" applyAlignment="1">
      <alignment horizontal="center"/>
    </xf>
    <xf numFmtId="164" fontId="2" fillId="6" borderId="40" xfId="0" applyNumberFormat="1" applyFont="1" applyFill="1" applyBorder="1"/>
    <xf numFmtId="164" fontId="5" fillId="6" borderId="40" xfId="0" applyNumberFormat="1" applyFont="1" applyFill="1" applyBorder="1"/>
    <xf numFmtId="164" fontId="5" fillId="4" borderId="42" xfId="0" applyNumberFormat="1" applyFont="1" applyFill="1" applyBorder="1"/>
    <xf numFmtId="164" fontId="5" fillId="9" borderId="42" xfId="0" applyNumberFormat="1" applyFont="1" applyFill="1" applyBorder="1"/>
    <xf numFmtId="164" fontId="5" fillId="6" borderId="43" xfId="0" applyNumberFormat="1" applyFont="1" applyFill="1" applyBorder="1"/>
    <xf numFmtId="164" fontId="5" fillId="5" borderId="0" xfId="0" applyNumberFormat="1" applyFont="1" applyFill="1" applyBorder="1"/>
    <xf numFmtId="0" fontId="2" fillId="0" borderId="48" xfId="0" applyFont="1" applyBorder="1"/>
    <xf numFmtId="0" fontId="2" fillId="0" borderId="30" xfId="0" applyFont="1" applyBorder="1"/>
    <xf numFmtId="164" fontId="2" fillId="4" borderId="49" xfId="0" applyNumberFormat="1" applyFont="1" applyFill="1" applyBorder="1"/>
    <xf numFmtId="164" fontId="2" fillId="9" borderId="49" xfId="0" applyNumberFormat="1" applyFont="1" applyFill="1" applyBorder="1"/>
    <xf numFmtId="0" fontId="2" fillId="0" borderId="30" xfId="0" applyFont="1" applyBorder="1" applyAlignment="1">
      <alignment horizontal="centerContinuous"/>
    </xf>
    <xf numFmtId="0" fontId="5" fillId="0" borderId="52" xfId="0" applyFont="1" applyBorder="1"/>
    <xf numFmtId="0" fontId="2" fillId="0" borderId="47" xfId="0" applyFont="1" applyBorder="1" applyAlignment="1">
      <alignment horizontal="centerContinuous"/>
    </xf>
    <xf numFmtId="0" fontId="2" fillId="0" borderId="53" xfId="0" applyFont="1" applyBorder="1" applyAlignment="1">
      <alignment horizontal="centerContinuous"/>
    </xf>
    <xf numFmtId="164" fontId="2" fillId="10" borderId="36" xfId="0" applyNumberFormat="1" applyFont="1" applyFill="1" applyBorder="1"/>
    <xf numFmtId="164" fontId="2" fillId="10" borderId="42" xfId="0" applyNumberFormat="1" applyFont="1" applyFill="1" applyBorder="1"/>
    <xf numFmtId="10" fontId="2" fillId="10" borderId="36" xfId="0" applyNumberFormat="1" applyFont="1" applyFill="1" applyBorder="1"/>
    <xf numFmtId="0" fontId="2" fillId="10" borderId="36" xfId="0" applyFont="1" applyFill="1" applyBorder="1"/>
    <xf numFmtId="0" fontId="2" fillId="10" borderId="40" xfId="0" applyFont="1" applyFill="1" applyBorder="1"/>
    <xf numFmtId="2" fontId="2" fillId="10" borderId="39" xfId="0" applyNumberFormat="1" applyFont="1" applyFill="1" applyBorder="1" applyAlignment="1">
      <alignment horizontal="center"/>
    </xf>
    <xf numFmtId="0" fontId="2" fillId="10" borderId="36" xfId="0" applyFont="1" applyFill="1" applyBorder="1" applyAlignment="1">
      <alignment horizontal="left"/>
    </xf>
    <xf numFmtId="0" fontId="2" fillId="10" borderId="36" xfId="0" applyNumberFormat="1" applyFont="1" applyFill="1" applyBorder="1" applyAlignment="1">
      <alignment horizontal="right"/>
    </xf>
    <xf numFmtId="10" fontId="2" fillId="10" borderId="40" xfId="0" applyNumberFormat="1" applyFont="1" applyFill="1" applyBorder="1"/>
    <xf numFmtId="1" fontId="2" fillId="10" borderId="36" xfId="0" applyNumberFormat="1" applyFont="1" applyFill="1" applyBorder="1"/>
    <xf numFmtId="9" fontId="2" fillId="0" borderId="42" xfId="0" applyNumberFormat="1" applyFont="1" applyFill="1" applyBorder="1"/>
    <xf numFmtId="0" fontId="2" fillId="0" borderId="37" xfId="0" applyFont="1" applyBorder="1" applyAlignment="1">
      <alignment horizontal="centerContinuous"/>
    </xf>
    <xf numFmtId="164" fontId="2" fillId="5" borderId="54" xfId="0" applyNumberFormat="1" applyFont="1" applyFill="1" applyBorder="1"/>
    <xf numFmtId="0" fontId="5" fillId="5" borderId="55" xfId="0" applyFont="1" applyFill="1" applyBorder="1" applyAlignment="1">
      <alignment horizontal="center"/>
    </xf>
    <xf numFmtId="164" fontId="2" fillId="6" borderId="49" xfId="0" applyNumberFormat="1" applyFont="1" applyFill="1" applyBorder="1"/>
    <xf numFmtId="164" fontId="2" fillId="5" borderId="50" xfId="0" applyNumberFormat="1" applyFont="1" applyFill="1" applyBorder="1"/>
    <xf numFmtId="0" fontId="2" fillId="0" borderId="56" xfId="0" applyFont="1" applyBorder="1"/>
    <xf numFmtId="164" fontId="5" fillId="5" borderId="57" xfId="0" applyNumberFormat="1" applyFont="1" applyFill="1" applyBorder="1"/>
    <xf numFmtId="10" fontId="2" fillId="4" borderId="57" xfId="0" applyNumberFormat="1" applyFont="1" applyFill="1" applyBorder="1"/>
    <xf numFmtId="10" fontId="2" fillId="9" borderId="57" xfId="0" applyNumberFormat="1" applyFont="1" applyFill="1" applyBorder="1"/>
    <xf numFmtId="10" fontId="2" fillId="6" borderId="57" xfId="0" applyNumberFormat="1" applyFont="1" applyFill="1" applyBorder="1"/>
    <xf numFmtId="164" fontId="2" fillId="5" borderId="58" xfId="0" applyNumberFormat="1" applyFont="1" applyFill="1" applyBorder="1"/>
    <xf numFmtId="0" fontId="2" fillId="0" borderId="59" xfId="0" applyFont="1" applyBorder="1"/>
    <xf numFmtId="0" fontId="2" fillId="0" borderId="60" xfId="0" applyFont="1" applyBorder="1"/>
    <xf numFmtId="0" fontId="4" fillId="0" borderId="61" xfId="0" applyFont="1" applyFill="1" applyBorder="1" applyAlignment="1">
      <alignment horizontal="center"/>
    </xf>
    <xf numFmtId="0" fontId="5" fillId="0" borderId="63" xfId="0" applyFont="1" applyFill="1" applyBorder="1" applyAlignment="1">
      <alignment horizontal="center"/>
    </xf>
    <xf numFmtId="0" fontId="4" fillId="0" borderId="62" xfId="0" applyFont="1" applyFill="1" applyBorder="1" applyAlignment="1">
      <alignment horizontal="center"/>
    </xf>
    <xf numFmtId="0" fontId="2" fillId="0" borderId="64" xfId="0" applyFont="1" applyBorder="1" applyAlignment="1">
      <alignment horizontal="centerContinuous"/>
    </xf>
    <xf numFmtId="0" fontId="2" fillId="0" borderId="65" xfId="0" applyFont="1" applyBorder="1"/>
    <xf numFmtId="0" fontId="4" fillId="3" borderId="12" xfId="0" applyFont="1" applyFill="1" applyBorder="1" applyAlignment="1">
      <alignment horizontal="center"/>
    </xf>
    <xf numFmtId="0" fontId="4" fillId="3" borderId="66" xfId="0" applyFont="1" applyFill="1" applyBorder="1"/>
    <xf numFmtId="0" fontId="4" fillId="3" borderId="67" xfId="0" applyFont="1" applyFill="1" applyBorder="1"/>
    <xf numFmtId="0" fontId="2" fillId="0" borderId="37" xfId="0" applyFont="1" applyBorder="1"/>
    <xf numFmtId="164" fontId="2" fillId="10" borderId="37" xfId="0" applyNumberFormat="1" applyFont="1" applyFill="1" applyBorder="1" applyProtection="1"/>
    <xf numFmtId="164" fontId="2" fillId="10" borderId="51" xfId="0" applyNumberFormat="1" applyFont="1" applyFill="1" applyBorder="1" applyProtection="1"/>
    <xf numFmtId="0" fontId="4" fillId="3" borderId="27" xfId="0" applyFont="1" applyFill="1" applyBorder="1"/>
    <xf numFmtId="0" fontId="4" fillId="3" borderId="68" xfId="0" applyFont="1" applyFill="1" applyBorder="1" applyAlignment="1">
      <alignment horizontal="centerContinuous" vertical="center"/>
    </xf>
    <xf numFmtId="0" fontId="4" fillId="3" borderId="33" xfId="0" applyFont="1" applyFill="1" applyBorder="1" applyAlignment="1">
      <alignment horizontal="center"/>
    </xf>
    <xf numFmtId="0" fontId="3" fillId="3" borderId="34" xfId="0" applyFont="1" applyFill="1" applyBorder="1"/>
    <xf numFmtId="0" fontId="4" fillId="3" borderId="34" xfId="0" applyFont="1" applyFill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2" fillId="8" borderId="70" xfId="0" applyFont="1" applyFill="1" applyBorder="1" applyAlignment="1">
      <alignment vertical="top"/>
    </xf>
    <xf numFmtId="0" fontId="2" fillId="8" borderId="69" xfId="0" applyFont="1" applyFill="1" applyBorder="1" applyAlignment="1">
      <alignment vertical="top"/>
    </xf>
    <xf numFmtId="0" fontId="4" fillId="3" borderId="22" xfId="0" applyFont="1" applyFill="1" applyBorder="1"/>
    <xf numFmtId="10" fontId="4" fillId="3" borderId="26" xfId="0" applyNumberFormat="1" applyFont="1" applyFill="1" applyBorder="1"/>
    <xf numFmtId="164" fontId="4" fillId="3" borderId="23" xfId="0" applyNumberFormat="1" applyFont="1" applyFill="1" applyBorder="1"/>
    <xf numFmtId="10" fontId="2" fillId="5" borderId="36" xfId="0" applyNumberFormat="1" applyFont="1" applyFill="1" applyBorder="1"/>
    <xf numFmtId="10" fontId="2" fillId="5" borderId="49" xfId="0" applyNumberFormat="1" applyFont="1" applyFill="1" applyBorder="1"/>
    <xf numFmtId="0" fontId="10" fillId="0" borderId="21" xfId="0" applyFont="1" applyFill="1" applyBorder="1"/>
    <xf numFmtId="0" fontId="10" fillId="0" borderId="71" xfId="0" applyFont="1" applyFill="1" applyBorder="1"/>
    <xf numFmtId="0" fontId="10" fillId="0" borderId="21" xfId="0" applyFont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9" fontId="2" fillId="10" borderId="18" xfId="0" applyNumberFormat="1" applyFont="1" applyFill="1" applyBorder="1" applyAlignment="1">
      <alignment horizontal="center"/>
    </xf>
    <xf numFmtId="9" fontId="2" fillId="10" borderId="20" xfId="0" applyNumberFormat="1" applyFont="1" applyFill="1" applyBorder="1" applyAlignment="1">
      <alignment horizontal="center"/>
    </xf>
    <xf numFmtId="10" fontId="2" fillId="7" borderId="16" xfId="0" applyNumberFormat="1" applyFont="1" applyFill="1" applyBorder="1" applyAlignment="1">
      <alignment horizontal="center"/>
    </xf>
    <xf numFmtId="10" fontId="2" fillId="7" borderId="17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left" vertical="center"/>
    </xf>
    <xf numFmtId="0" fontId="7" fillId="3" borderId="26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left"/>
    </xf>
    <xf numFmtId="0" fontId="2" fillId="10" borderId="40" xfId="0" applyFont="1" applyFill="1" applyBorder="1" applyAlignment="1">
      <alignment horizontal="left"/>
    </xf>
    <xf numFmtId="14" fontId="2" fillId="10" borderId="36" xfId="0" applyNumberFormat="1" applyFont="1" applyFill="1" applyBorder="1" applyAlignment="1">
      <alignment horizontal="left"/>
    </xf>
    <xf numFmtId="4" fontId="2" fillId="10" borderId="42" xfId="0" applyNumberFormat="1" applyFont="1" applyFill="1" applyBorder="1" applyAlignment="1">
      <alignment horizontal="left"/>
    </xf>
    <xf numFmtId="4" fontId="2" fillId="10" borderId="43" xfId="0" applyNumberFormat="1" applyFont="1" applyFill="1" applyBorder="1" applyAlignment="1">
      <alignment horizontal="left"/>
    </xf>
    <xf numFmtId="0" fontId="13" fillId="0" borderId="0" xfId="0" applyFont="1" applyAlignment="1">
      <alignment horizontal="center" vertical="center" readingOrder="1"/>
    </xf>
    <xf numFmtId="0" fontId="14" fillId="0" borderId="0" xfId="0" applyFont="1" applyAlignment="1">
      <alignment horizontal="left" vertical="center" readingOrder="1"/>
    </xf>
    <xf numFmtId="0" fontId="14" fillId="0" borderId="0" xfId="0" applyFont="1"/>
    <xf numFmtId="0" fontId="16" fillId="0" borderId="0" xfId="0" applyFont="1" applyAlignment="1">
      <alignment horizontal="left" vertical="center" readingOrder="1"/>
    </xf>
    <xf numFmtId="0" fontId="17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5CA"/>
      <color rgb="FFC9C9C9"/>
      <color rgb="FFFFFFCC"/>
      <color rgb="FF66CCFF"/>
      <color rgb="FFFFF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522856</xdr:colOff>
      <xdr:row>1</xdr:row>
      <xdr:rowOff>87085</xdr:rowOff>
    </xdr:from>
    <xdr:to>
      <xdr:col>1</xdr:col>
      <xdr:colOff>1041695</xdr:colOff>
      <xdr:row>1</xdr:row>
      <xdr:rowOff>267085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356" y="287110"/>
          <a:ext cx="518839" cy="18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164022</xdr:colOff>
      <xdr:row>1</xdr:row>
      <xdr:rowOff>68035</xdr:rowOff>
    </xdr:from>
    <xdr:to>
      <xdr:col>2</xdr:col>
      <xdr:colOff>685583</xdr:colOff>
      <xdr:row>1</xdr:row>
      <xdr:rowOff>271167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09" y="272142"/>
          <a:ext cx="521561" cy="203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66675</xdr:rowOff>
    </xdr:from>
    <xdr:to>
      <xdr:col>2</xdr:col>
      <xdr:colOff>550136</xdr:colOff>
      <xdr:row>1</xdr:row>
      <xdr:rowOff>269807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257175"/>
          <a:ext cx="521561" cy="203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179956</xdr:colOff>
      <xdr:row>1</xdr:row>
      <xdr:rowOff>68035</xdr:rowOff>
    </xdr:from>
    <xdr:to>
      <xdr:col>1</xdr:col>
      <xdr:colOff>698795</xdr:colOff>
      <xdr:row>1</xdr:row>
      <xdr:rowOff>267085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981" y="258535"/>
          <a:ext cx="518839" cy="199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179956</xdr:colOff>
      <xdr:row>1</xdr:row>
      <xdr:rowOff>68035</xdr:rowOff>
    </xdr:from>
    <xdr:to>
      <xdr:col>2</xdr:col>
      <xdr:colOff>89195</xdr:colOff>
      <xdr:row>1</xdr:row>
      <xdr:rowOff>274705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3B0E64-AE7A-434D-96C7-4B663CA70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696" y="220435"/>
          <a:ext cx="518839" cy="19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http://bit.ly/marketingparacontado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bit.ly/esocialdescomplicado" TargetMode="External"/><Relationship Id="rId1" Type="http://schemas.openxmlformats.org/officeDocument/2006/relationships/hyperlink" Target="http://bit.ly/treinamentosped" TargetMode="External"/><Relationship Id="rId6" Type="http://schemas.openxmlformats.org/officeDocument/2006/relationships/hyperlink" Target="http://bit.ly/negociandocomcliente" TargetMode="External"/><Relationship Id="rId5" Type="http://schemas.openxmlformats.org/officeDocument/2006/relationships/hyperlink" Target="http://bit.ly/cursoscontadoriniciante" TargetMode="External"/><Relationship Id="rId4" Type="http://schemas.openxmlformats.org/officeDocument/2006/relationships/hyperlink" Target="http://bit.ly/praticanoi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2"/>
  <sheetViews>
    <sheetView tabSelected="1" workbookViewId="0">
      <selection activeCell="J21" sqref="J21"/>
    </sheetView>
  </sheetViews>
  <sheetFormatPr defaultColWidth="8.88671875" defaultRowHeight="13.2"/>
  <cols>
    <col min="1" max="1" width="2.88671875" style="7" customWidth="1"/>
    <col min="2" max="2" width="35.44140625" style="8" customWidth="1"/>
    <col min="3" max="3" width="11" style="8" customWidth="1"/>
    <col min="4" max="4" width="12.6640625" style="8" customWidth="1"/>
    <col min="5" max="5" width="14.44140625" style="8" customWidth="1"/>
    <col min="6" max="6" width="14" style="8" customWidth="1"/>
    <col min="7" max="7" width="13.44140625" style="8" customWidth="1"/>
    <col min="8" max="29" width="8.88671875" style="7"/>
    <col min="30" max="16384" width="8.88671875" style="8"/>
  </cols>
  <sheetData>
    <row r="1" spans="1:29" s="7" customFormat="1" ht="13.8" thickBot="1">
      <c r="B1" s="104"/>
      <c r="C1" s="104"/>
      <c r="D1" s="104"/>
      <c r="E1" s="104"/>
      <c r="F1" s="104"/>
      <c r="G1" s="104"/>
    </row>
    <row r="2" spans="1:29" ht="27" customHeight="1" thickBot="1">
      <c r="A2" s="103"/>
      <c r="B2" s="240" t="s">
        <v>159</v>
      </c>
      <c r="C2" s="241"/>
      <c r="D2" s="241"/>
      <c r="E2" s="241"/>
      <c r="F2" s="241"/>
      <c r="G2" s="242"/>
      <c r="H2" s="102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6.5" customHeight="1" thickBot="1">
      <c r="B3" s="105"/>
      <c r="C3" s="106"/>
      <c r="D3" s="106"/>
      <c r="E3" s="106"/>
      <c r="F3" s="106"/>
      <c r="G3" s="106"/>
      <c r="H3" s="37"/>
    </row>
    <row r="4" spans="1:29" s="1" customFormat="1" ht="14.25" customHeight="1">
      <c r="A4" s="67"/>
      <c r="B4" s="213" t="s">
        <v>0</v>
      </c>
      <c r="C4" s="60"/>
      <c r="D4" s="60"/>
      <c r="E4" s="61">
        <v>39845</v>
      </c>
      <c r="F4" s="212"/>
      <c r="G4" s="6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s="1" customFormat="1" ht="12.6" thickBot="1">
      <c r="A5" s="67"/>
      <c r="B5" s="214" t="s">
        <v>1</v>
      </c>
      <c r="C5" s="215"/>
      <c r="D5" s="216" t="s">
        <v>156</v>
      </c>
      <c r="E5" s="216" t="s">
        <v>155</v>
      </c>
      <c r="F5" s="107" t="s">
        <v>2</v>
      </c>
      <c r="G5" s="217" t="s">
        <v>3</v>
      </c>
      <c r="H5" s="28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s="1" customFormat="1" ht="12" thickBot="1">
      <c r="A6" s="67"/>
      <c r="B6" s="205" t="s">
        <v>4</v>
      </c>
      <c r="C6" s="209"/>
      <c r="D6" s="210">
        <v>2100</v>
      </c>
      <c r="E6" s="210">
        <v>2300</v>
      </c>
      <c r="F6" s="210">
        <v>2400</v>
      </c>
      <c r="G6" s="211">
        <v>1100</v>
      </c>
      <c r="H6" s="28"/>
      <c r="I6" s="28"/>
      <c r="J6" s="6"/>
      <c r="K6" s="6"/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s="1" customFormat="1" ht="14.25" customHeight="1">
      <c r="A7" s="67"/>
      <c r="B7" s="147" t="s">
        <v>131</v>
      </c>
      <c r="C7" s="179">
        <v>0.28799999999999998</v>
      </c>
      <c r="D7" s="118">
        <f>D6*$C$7</f>
        <v>604.79999999999995</v>
      </c>
      <c r="E7" s="129">
        <f>E6*$C$7</f>
        <v>662.4</v>
      </c>
      <c r="F7" s="119">
        <f>F6*$C$7</f>
        <v>691.19999999999993</v>
      </c>
      <c r="G7" s="142">
        <f>G6*$C$7</f>
        <v>316.79999999999995</v>
      </c>
      <c r="H7" s="35"/>
      <c r="I7" s="231" t="s">
        <v>149</v>
      </c>
      <c r="J7" s="232"/>
      <c r="K7" s="232"/>
      <c r="L7" s="23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s="1" customFormat="1" ht="14.25" customHeight="1">
      <c r="A8" s="67"/>
      <c r="B8" s="147" t="s">
        <v>132</v>
      </c>
      <c r="C8" s="179">
        <v>0.08</v>
      </c>
      <c r="D8" s="118">
        <f>D6*$C$8</f>
        <v>168</v>
      </c>
      <c r="E8" s="129">
        <f>E6*$C$8</f>
        <v>184</v>
      </c>
      <c r="F8" s="119">
        <f>F6*$C$8</f>
        <v>192</v>
      </c>
      <c r="G8" s="142">
        <f>G6*$C$8</f>
        <v>88</v>
      </c>
      <c r="H8" s="35"/>
      <c r="I8" s="234"/>
      <c r="J8" s="235"/>
      <c r="K8" s="235"/>
      <c r="L8" s="236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s="1" customFormat="1" ht="15" customHeight="1" thickBot="1">
      <c r="A9" s="67"/>
      <c r="B9" s="147" t="s">
        <v>5</v>
      </c>
      <c r="C9" s="223">
        <f>1/12</f>
        <v>8.3333333333333329E-2</v>
      </c>
      <c r="D9" s="118">
        <f>D6*$C$9</f>
        <v>175</v>
      </c>
      <c r="E9" s="129">
        <f>E6*$C$9</f>
        <v>191.66666666666666</v>
      </c>
      <c r="F9" s="119">
        <f>F6*$C$9</f>
        <v>200</v>
      </c>
      <c r="G9" s="142">
        <f>G6*$C$9</f>
        <v>91.666666666666657</v>
      </c>
      <c r="H9" s="35"/>
      <c r="I9" s="237" t="s">
        <v>150</v>
      </c>
      <c r="J9" s="238"/>
      <c r="K9" s="238"/>
      <c r="L9" s="239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s="1" customFormat="1" ht="11.4">
      <c r="A10" s="67"/>
      <c r="B10" s="147" t="s">
        <v>6</v>
      </c>
      <c r="C10" s="223">
        <f>1/12*1.3333</f>
        <v>0.11110833333333332</v>
      </c>
      <c r="D10" s="118">
        <f t="shared" ref="D10:G11" si="0">D6*$C$10</f>
        <v>233.32749999999999</v>
      </c>
      <c r="E10" s="129">
        <f t="shared" si="0"/>
        <v>255.54916666666665</v>
      </c>
      <c r="F10" s="119">
        <f t="shared" si="0"/>
        <v>266.65999999999997</v>
      </c>
      <c r="G10" s="142">
        <f t="shared" si="0"/>
        <v>122.21916666666665</v>
      </c>
      <c r="H10" s="3"/>
      <c r="I10" s="218"/>
      <c r="J10" s="30"/>
      <c r="K10" s="30"/>
      <c r="L10" s="3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s="1" customFormat="1" ht="11.4">
      <c r="A11" s="67"/>
      <c r="B11" s="147" t="s">
        <v>133</v>
      </c>
      <c r="C11" s="223">
        <f>SUM(C7:C8)*(SUM(C9:C10))</f>
        <v>7.1554533333333323E-2</v>
      </c>
      <c r="D11" s="118">
        <f t="shared" si="0"/>
        <v>67.198319999999995</v>
      </c>
      <c r="E11" s="129">
        <f t="shared" si="0"/>
        <v>73.598159999999993</v>
      </c>
      <c r="F11" s="119">
        <f t="shared" si="0"/>
        <v>76.798079999999985</v>
      </c>
      <c r="G11" s="142">
        <f t="shared" si="0"/>
        <v>35.199119999999994</v>
      </c>
      <c r="H11" s="3"/>
      <c r="I11" s="219"/>
      <c r="J11" s="30"/>
      <c r="K11" s="30"/>
      <c r="L11" s="3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s="1" customFormat="1" ht="11.4">
      <c r="A12" s="67"/>
      <c r="B12" s="147" t="s">
        <v>134</v>
      </c>
      <c r="C12" s="223">
        <f>(C8+C10*C8)*50%</f>
        <v>4.4444333333333336E-2</v>
      </c>
      <c r="D12" s="118">
        <f>D6*$C$12</f>
        <v>93.333100000000002</v>
      </c>
      <c r="E12" s="129">
        <f>E6*$C$12</f>
        <v>102.22196666666667</v>
      </c>
      <c r="F12" s="119">
        <f>F6*$C$12</f>
        <v>106.66640000000001</v>
      </c>
      <c r="G12" s="142">
        <f>G6*$C$12</f>
        <v>48.888766666666669</v>
      </c>
      <c r="H12" s="4"/>
      <c r="I12" s="29"/>
      <c r="J12" s="30"/>
      <c r="K12" s="33"/>
      <c r="L12" s="3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s="1" customFormat="1" ht="11.4">
      <c r="A13" s="67"/>
      <c r="B13" s="147" t="s">
        <v>135</v>
      </c>
      <c r="C13" s="179">
        <v>8.5000000000000006E-2</v>
      </c>
      <c r="D13" s="118">
        <f>D6*$C$13</f>
        <v>178.5</v>
      </c>
      <c r="E13" s="129">
        <f>E6*$C$13</f>
        <v>195.5</v>
      </c>
      <c r="F13" s="119">
        <f>F6*$C$13</f>
        <v>204.00000000000003</v>
      </c>
      <c r="G13" s="142">
        <f>G6*$C$13</f>
        <v>93.5</v>
      </c>
      <c r="H13" s="3"/>
      <c r="I13" s="29"/>
      <c r="J13" s="30"/>
      <c r="K13" s="30"/>
      <c r="L13" s="3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s="1" customFormat="1" ht="12" thickBot="1">
      <c r="A14" s="67"/>
      <c r="B14" s="169" t="s">
        <v>136</v>
      </c>
      <c r="C14" s="224">
        <f>SUM(C7:C13)</f>
        <v>0.76344053333333317</v>
      </c>
      <c r="D14" s="171">
        <f>SUM(D7:D13)</f>
        <v>1520.1589200000001</v>
      </c>
      <c r="E14" s="172">
        <f>SUM(E7:E13)</f>
        <v>1664.93596</v>
      </c>
      <c r="F14" s="191">
        <f>SUM(F7:F13)</f>
        <v>1737.3244799999998</v>
      </c>
      <c r="G14" s="192">
        <f>SUM(G7:G13)</f>
        <v>796.27371999999991</v>
      </c>
      <c r="H14" s="4"/>
      <c r="I14" s="29"/>
      <c r="J14" s="30"/>
      <c r="K14" s="30"/>
      <c r="L14" s="3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s="1" customFormat="1" ht="12.6" thickBot="1">
      <c r="A15" s="67"/>
      <c r="B15" s="220" t="s">
        <v>7</v>
      </c>
      <c r="C15" s="221"/>
      <c r="D15" s="101">
        <f>SUM(D6+D14)</f>
        <v>3620.1589199999999</v>
      </c>
      <c r="E15" s="101">
        <f>SUM(E6+E14)</f>
        <v>3964.9359599999998</v>
      </c>
      <c r="F15" s="101">
        <f>SUM(F6+F14)</f>
        <v>4137.3244799999993</v>
      </c>
      <c r="G15" s="222">
        <f>SUM(G6+G14)</f>
        <v>1896.2737199999999</v>
      </c>
      <c r="H15" s="3"/>
      <c r="I15" s="29"/>
      <c r="J15" s="30"/>
      <c r="K15" s="30"/>
      <c r="L15" s="3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s="1" customFormat="1" ht="12.6" thickBot="1">
      <c r="A16" s="67"/>
      <c r="B16" s="193" t="s">
        <v>8</v>
      </c>
      <c r="C16" s="194">
        <f>D15+E15+F15</f>
        <v>11722.41936</v>
      </c>
      <c r="D16" s="195">
        <f>D15/$C$16</f>
        <v>0.30882352941176472</v>
      </c>
      <c r="E16" s="196">
        <f>E15/$C$16</f>
        <v>0.33823529411764702</v>
      </c>
      <c r="F16" s="197">
        <f>F15/C16</f>
        <v>0.3529411764705882</v>
      </c>
      <c r="G16" s="198"/>
      <c r="H16" s="3"/>
      <c r="I16" s="32"/>
      <c r="J16" s="33"/>
      <c r="K16" s="33"/>
      <c r="L16" s="3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s="1" customFormat="1" ht="12" thickBot="1">
      <c r="A17" s="2"/>
      <c r="B17" s="95"/>
      <c r="C17" s="64"/>
      <c r="D17" s="64"/>
      <c r="E17" s="59"/>
      <c r="F17" s="59"/>
      <c r="G17" s="59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s="1" customFormat="1" ht="12">
      <c r="A18" s="67"/>
      <c r="B18" s="228" t="s">
        <v>129</v>
      </c>
      <c r="C18" s="229"/>
      <c r="D18" s="230"/>
      <c r="E18" s="63"/>
      <c r="F18" s="57"/>
      <c r="G18" s="57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s="1" customFormat="1" ht="11.4">
      <c r="A19" s="67"/>
      <c r="B19" s="147" t="s">
        <v>9</v>
      </c>
      <c r="C19" s="177">
        <v>500</v>
      </c>
      <c r="D19" s="158"/>
      <c r="E19" s="63"/>
      <c r="F19" s="57"/>
      <c r="G19" s="57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s="1" customFormat="1" ht="11.4">
      <c r="A20" s="67"/>
      <c r="B20" s="147" t="s">
        <v>10</v>
      </c>
      <c r="C20" s="177">
        <v>1200</v>
      </c>
      <c r="D20" s="158"/>
      <c r="E20" s="63"/>
      <c r="F20" s="57"/>
      <c r="G20" s="57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s="1" customFormat="1" ht="11.4">
      <c r="A21" s="67"/>
      <c r="B21" s="147" t="s">
        <v>11</v>
      </c>
      <c r="C21" s="177">
        <v>600</v>
      </c>
      <c r="D21" s="158"/>
      <c r="E21" s="63"/>
      <c r="F21" s="57"/>
      <c r="G21" s="57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s="1" customFormat="1" ht="11.4">
      <c r="A22" s="67"/>
      <c r="B22" s="147" t="s">
        <v>12</v>
      </c>
      <c r="C22" s="177">
        <v>450</v>
      </c>
      <c r="D22" s="158"/>
      <c r="E22" s="63"/>
      <c r="F22" s="57"/>
      <c r="G22" s="57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s="1" customFormat="1" ht="11.4">
      <c r="A23" s="67"/>
      <c r="B23" s="147" t="s">
        <v>13</v>
      </c>
      <c r="C23" s="177">
        <v>400</v>
      </c>
      <c r="D23" s="158"/>
      <c r="E23" s="63"/>
      <c r="F23" s="57"/>
      <c r="G23" s="57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s="1" customFormat="1" ht="11.4">
      <c r="A24" s="67"/>
      <c r="B24" s="147" t="s">
        <v>14</v>
      </c>
      <c r="C24" s="177">
        <v>250</v>
      </c>
      <c r="D24" s="158"/>
      <c r="E24" s="63"/>
      <c r="F24" s="57"/>
      <c r="G24" s="57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s="1" customFormat="1" ht="11.4">
      <c r="A25" s="67"/>
      <c r="B25" s="147" t="s">
        <v>15</v>
      </c>
      <c r="C25" s="177">
        <v>750</v>
      </c>
      <c r="D25" s="158"/>
      <c r="E25" s="63"/>
      <c r="F25" s="57"/>
      <c r="G25" s="57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s="1" customFormat="1" ht="11.4">
      <c r="A26" s="67"/>
      <c r="B26" s="147" t="s">
        <v>16</v>
      </c>
      <c r="C26" s="177">
        <v>500</v>
      </c>
      <c r="D26" s="158"/>
      <c r="E26" s="63"/>
      <c r="F26" s="57"/>
      <c r="G26" s="57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s="1" customFormat="1" ht="11.4">
      <c r="A27" s="67"/>
      <c r="B27" s="147" t="s">
        <v>17</v>
      </c>
      <c r="C27" s="177">
        <v>5100</v>
      </c>
      <c r="D27" s="158"/>
      <c r="E27" s="63"/>
      <c r="F27" s="58"/>
      <c r="G27" s="57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s="1" customFormat="1" ht="22.8">
      <c r="A28" s="67"/>
      <c r="B28" s="159" t="s">
        <v>137</v>
      </c>
      <c r="C28" s="177">
        <v>1000</v>
      </c>
      <c r="D28" s="158"/>
      <c r="E28" s="63"/>
      <c r="F28" s="58"/>
      <c r="G28" s="57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s="1" customFormat="1" ht="12" thickBot="1">
      <c r="A29" s="67"/>
      <c r="B29" s="157" t="s">
        <v>130</v>
      </c>
      <c r="C29" s="178">
        <v>400</v>
      </c>
      <c r="D29" s="145"/>
      <c r="E29" s="63"/>
      <c r="F29" s="57"/>
      <c r="G29" s="57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s="1" customFormat="1" ht="12" thickBot="1">
      <c r="A30" s="2"/>
      <c r="B30" s="95"/>
      <c r="C30" s="64"/>
      <c r="D30" s="18"/>
      <c r="E30" s="57"/>
      <c r="F30" s="57"/>
      <c r="G30" s="57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s="1" customFormat="1" ht="12.6" thickBot="1">
      <c r="A31" s="67"/>
      <c r="B31" s="108" t="s">
        <v>18</v>
      </c>
      <c r="C31" s="65">
        <f>SUM(C19:C30)</f>
        <v>11150</v>
      </c>
      <c r="D31" s="3"/>
      <c r="E31" s="57"/>
      <c r="F31" s="57"/>
      <c r="G31" s="57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s="1" customFormat="1" ht="12" thickBot="1">
      <c r="A32" s="2"/>
      <c r="B32" s="95"/>
      <c r="C32" s="64"/>
      <c r="D32" s="66"/>
      <c r="E32" s="66"/>
      <c r="F32" s="66"/>
      <c r="G32" s="57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s="1" customFormat="1" ht="12.6" thickBot="1">
      <c r="A33" s="67"/>
      <c r="B33" s="206" t="s">
        <v>19</v>
      </c>
      <c r="C33" s="71"/>
      <c r="D33" s="160" t="s">
        <v>157</v>
      </c>
      <c r="E33" s="161" t="s">
        <v>158</v>
      </c>
      <c r="F33" s="162" t="s">
        <v>20</v>
      </c>
      <c r="G33" s="6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s="1" customFormat="1" ht="11.4">
      <c r="A34" s="67"/>
      <c r="B34" s="205" t="s">
        <v>21</v>
      </c>
      <c r="C34" s="35"/>
      <c r="D34" s="118">
        <f>D15</f>
        <v>3620.1589199999999</v>
      </c>
      <c r="E34" s="129">
        <f>E15</f>
        <v>3964.9359599999998</v>
      </c>
      <c r="F34" s="163">
        <f>F15</f>
        <v>4137.3244799999993</v>
      </c>
      <c r="G34" s="63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s="1" customFormat="1" ht="11.4">
      <c r="A35" s="67"/>
      <c r="B35" s="147" t="s">
        <v>22</v>
      </c>
      <c r="C35" s="35"/>
      <c r="D35" s="118">
        <f>G15*D16</f>
        <v>585.61394294117645</v>
      </c>
      <c r="E35" s="129">
        <f>G15*E16</f>
        <v>641.38669941176465</v>
      </c>
      <c r="F35" s="163">
        <f>G15*F16</f>
        <v>669.2730776470587</v>
      </c>
      <c r="G35" s="6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s="1" customFormat="1" ht="11.4">
      <c r="A36" s="67"/>
      <c r="B36" s="169" t="s">
        <v>23</v>
      </c>
      <c r="C36" s="170"/>
      <c r="D36" s="171">
        <f>C31*D16</f>
        <v>3443.3823529411766</v>
      </c>
      <c r="E36" s="129">
        <f>C31*E16</f>
        <v>3771.3235294117644</v>
      </c>
      <c r="F36" s="163">
        <f>C31*F16</f>
        <v>3935.2941176470586</v>
      </c>
      <c r="G36" s="63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s="1" customFormat="1" ht="11.4">
      <c r="A37" s="67"/>
      <c r="B37" s="175"/>
      <c r="C37" s="173"/>
      <c r="D37" s="176"/>
      <c r="E37" s="64"/>
      <c r="F37" s="68"/>
      <c r="G37" s="63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s="1" customFormat="1" ht="12">
      <c r="A38" s="67"/>
      <c r="B38" s="73" t="s">
        <v>24</v>
      </c>
      <c r="C38" s="174"/>
      <c r="D38" s="122">
        <f>SUM(D34:D37)</f>
        <v>7649.1552158823524</v>
      </c>
      <c r="E38" s="130">
        <f>SUM(E34:E37)</f>
        <v>8377.6461888235281</v>
      </c>
      <c r="F38" s="164">
        <f>SUM(F34:F37)</f>
        <v>8741.8916752941168</v>
      </c>
      <c r="G38" s="6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s="1" customFormat="1" ht="12">
      <c r="A39" s="67"/>
      <c r="B39" s="207" t="s">
        <v>25</v>
      </c>
      <c r="C39" s="168">
        <f>D38+E38+F38</f>
        <v>24768.693079999997</v>
      </c>
      <c r="D39" s="36"/>
      <c r="E39" s="69"/>
      <c r="F39" s="70"/>
      <c r="G39" s="6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s="1" customFormat="1" ht="12.6" thickBot="1">
      <c r="A40" s="67"/>
      <c r="B40" s="208" t="s">
        <v>26</v>
      </c>
      <c r="C40" s="72"/>
      <c r="D40" s="165">
        <f>D38/Clientes!G41</f>
        <v>2.3341944509863755</v>
      </c>
      <c r="E40" s="166">
        <f>E38/Clientes!H41</f>
        <v>1.5629936919446881</v>
      </c>
      <c r="F40" s="167">
        <f>F38/Clientes!I41</f>
        <v>31.221041697478988</v>
      </c>
      <c r="G40" s="6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>
      <c r="B41" s="102"/>
      <c r="C41" s="9"/>
      <c r="D41" s="10"/>
      <c r="E41" s="10"/>
      <c r="F41" s="10"/>
      <c r="G41" s="10"/>
    </row>
    <row r="42" spans="1:29">
      <c r="B42" s="37"/>
      <c r="C42" s="7"/>
      <c r="D42" s="7"/>
      <c r="E42" s="7"/>
      <c r="F42" s="7"/>
      <c r="G42" s="7"/>
    </row>
    <row r="43" spans="1:29">
      <c r="B43" s="37"/>
      <c r="C43" s="7"/>
      <c r="D43" s="7"/>
      <c r="E43" s="7"/>
      <c r="F43" s="7"/>
      <c r="G43" s="7"/>
    </row>
    <row r="44" spans="1:29">
      <c r="B44" s="37"/>
      <c r="C44" s="7"/>
      <c r="D44" s="7"/>
      <c r="E44" s="7"/>
      <c r="F44" s="7"/>
      <c r="G44" s="7"/>
    </row>
    <row r="45" spans="1:29">
      <c r="B45" s="37"/>
      <c r="C45" s="7"/>
      <c r="D45" s="7"/>
      <c r="E45" s="7"/>
      <c r="F45" s="7"/>
      <c r="G45" s="7"/>
    </row>
    <row r="46" spans="1:29">
      <c r="B46" s="37"/>
      <c r="C46" s="7"/>
      <c r="D46" s="7"/>
      <c r="E46" s="7"/>
      <c r="F46" s="7"/>
      <c r="G46" s="7"/>
    </row>
    <row r="47" spans="1:29">
      <c r="B47" s="37"/>
      <c r="C47" s="7"/>
      <c r="D47" s="7"/>
      <c r="E47" s="7"/>
      <c r="F47" s="7"/>
      <c r="G47" s="7"/>
    </row>
    <row r="48" spans="1:29">
      <c r="B48" s="37"/>
      <c r="C48" s="7"/>
      <c r="D48" s="7"/>
      <c r="E48" s="7"/>
      <c r="F48" s="7"/>
      <c r="G48" s="7"/>
    </row>
    <row r="49" spans="2:7">
      <c r="B49" s="37"/>
      <c r="C49" s="7"/>
      <c r="D49" s="7"/>
      <c r="E49" s="7"/>
      <c r="F49" s="7"/>
      <c r="G49" s="7"/>
    </row>
    <row r="50" spans="2:7">
      <c r="B50" s="37"/>
      <c r="C50" s="7"/>
      <c r="D50" s="7"/>
      <c r="E50" s="7"/>
      <c r="F50" s="7"/>
      <c r="G50" s="7"/>
    </row>
    <row r="51" spans="2:7">
      <c r="B51" s="37"/>
      <c r="C51" s="7"/>
      <c r="D51" s="7"/>
      <c r="E51" s="7"/>
      <c r="F51" s="7"/>
      <c r="G51" s="7"/>
    </row>
    <row r="52" spans="2:7">
      <c r="B52" s="37"/>
      <c r="C52" s="7"/>
      <c r="D52" s="7"/>
      <c r="E52" s="7"/>
      <c r="F52" s="7"/>
      <c r="G52" s="7"/>
    </row>
    <row r="53" spans="2:7">
      <c r="B53" s="37"/>
      <c r="C53" s="7"/>
      <c r="D53" s="7"/>
      <c r="E53" s="7"/>
      <c r="F53" s="7"/>
      <c r="G53" s="7"/>
    </row>
    <row r="54" spans="2:7">
      <c r="B54" s="37"/>
      <c r="C54" s="7"/>
      <c r="D54" s="7"/>
      <c r="E54" s="7"/>
      <c r="F54" s="7"/>
      <c r="G54" s="7"/>
    </row>
    <row r="55" spans="2:7">
      <c r="B55" s="37"/>
      <c r="C55" s="7"/>
      <c r="D55" s="7"/>
      <c r="E55" s="7"/>
      <c r="F55" s="7"/>
      <c r="G55" s="7"/>
    </row>
    <row r="56" spans="2:7">
      <c r="B56" s="37"/>
      <c r="C56" s="7"/>
      <c r="D56" s="7"/>
      <c r="E56" s="7"/>
      <c r="F56" s="7"/>
      <c r="G56" s="7"/>
    </row>
    <row r="57" spans="2:7">
      <c r="B57" s="37"/>
      <c r="C57" s="7"/>
      <c r="D57" s="7"/>
      <c r="E57" s="7"/>
      <c r="F57" s="7"/>
      <c r="G57" s="7"/>
    </row>
    <row r="58" spans="2:7">
      <c r="B58" s="37"/>
      <c r="C58" s="7"/>
      <c r="D58" s="7"/>
      <c r="E58" s="7"/>
      <c r="F58" s="7"/>
      <c r="G58" s="7"/>
    </row>
    <row r="59" spans="2:7">
      <c r="B59" s="37"/>
      <c r="C59" s="7"/>
      <c r="D59" s="7"/>
      <c r="E59" s="7"/>
      <c r="F59" s="7"/>
      <c r="G59" s="7"/>
    </row>
    <row r="60" spans="2:7">
      <c r="B60" s="37"/>
      <c r="C60" s="7"/>
      <c r="D60" s="7"/>
      <c r="E60" s="7"/>
      <c r="F60" s="7"/>
      <c r="G60" s="7"/>
    </row>
    <row r="61" spans="2:7">
      <c r="B61" s="37"/>
      <c r="C61" s="7"/>
      <c r="D61" s="7"/>
      <c r="E61" s="7"/>
      <c r="F61" s="7"/>
      <c r="G61" s="7"/>
    </row>
    <row r="62" spans="2:7">
      <c r="B62" s="37"/>
      <c r="C62" s="7"/>
      <c r="D62" s="7"/>
      <c r="E62" s="7"/>
      <c r="F62" s="7"/>
      <c r="G62" s="7"/>
    </row>
    <row r="63" spans="2:7">
      <c r="B63" s="37"/>
      <c r="C63" s="7"/>
      <c r="D63" s="7"/>
      <c r="E63" s="7"/>
      <c r="F63" s="7"/>
      <c r="G63" s="7"/>
    </row>
    <row r="64" spans="2:7">
      <c r="B64" s="37"/>
      <c r="C64" s="7"/>
      <c r="D64" s="7"/>
      <c r="E64" s="7"/>
      <c r="F64" s="7"/>
      <c r="G64" s="7"/>
    </row>
    <row r="65" spans="2:7">
      <c r="B65" s="37"/>
      <c r="C65" s="7"/>
      <c r="D65" s="7"/>
      <c r="E65" s="7"/>
      <c r="F65" s="7"/>
      <c r="G65" s="7"/>
    </row>
    <row r="66" spans="2:7">
      <c r="B66" s="37"/>
      <c r="C66" s="7"/>
      <c r="D66" s="7"/>
      <c r="E66" s="7"/>
      <c r="F66" s="7"/>
      <c r="G66" s="7"/>
    </row>
    <row r="67" spans="2:7">
      <c r="B67" s="37"/>
      <c r="C67" s="7"/>
      <c r="D67" s="7"/>
      <c r="E67" s="7"/>
      <c r="F67" s="7"/>
      <c r="G67" s="7"/>
    </row>
    <row r="68" spans="2:7">
      <c r="B68" s="37"/>
      <c r="C68" s="7"/>
      <c r="D68" s="7"/>
      <c r="E68" s="7"/>
      <c r="F68" s="7"/>
      <c r="G68" s="7"/>
    </row>
    <row r="69" spans="2:7">
      <c r="B69" s="37"/>
      <c r="C69" s="7"/>
      <c r="D69" s="7"/>
      <c r="E69" s="7"/>
      <c r="F69" s="7"/>
      <c r="G69" s="7"/>
    </row>
    <row r="70" spans="2:7">
      <c r="B70" s="37"/>
      <c r="C70" s="7"/>
      <c r="D70" s="7"/>
      <c r="E70" s="7"/>
      <c r="F70" s="7"/>
      <c r="G70" s="7"/>
    </row>
    <row r="71" spans="2:7">
      <c r="B71" s="37"/>
      <c r="C71" s="7"/>
      <c r="D71" s="7"/>
      <c r="E71" s="7"/>
      <c r="F71" s="7"/>
      <c r="G71" s="7"/>
    </row>
    <row r="72" spans="2:7">
      <c r="B72" s="37"/>
      <c r="C72" s="7"/>
      <c r="D72" s="7"/>
      <c r="E72" s="7"/>
      <c r="F72" s="7"/>
      <c r="G72" s="7"/>
    </row>
    <row r="73" spans="2:7">
      <c r="B73" s="37"/>
      <c r="C73" s="7"/>
      <c r="D73" s="7"/>
      <c r="E73" s="7"/>
      <c r="F73" s="7"/>
      <c r="G73" s="7"/>
    </row>
    <row r="74" spans="2:7">
      <c r="B74" s="37"/>
      <c r="C74" s="7"/>
      <c r="D74" s="7"/>
      <c r="E74" s="7"/>
      <c r="F74" s="7"/>
      <c r="G74" s="7"/>
    </row>
    <row r="75" spans="2:7">
      <c r="B75" s="37"/>
      <c r="C75" s="7"/>
      <c r="D75" s="7"/>
      <c r="E75" s="7"/>
      <c r="F75" s="7"/>
      <c r="G75" s="7"/>
    </row>
    <row r="76" spans="2:7">
      <c r="B76" s="37"/>
      <c r="C76" s="7"/>
      <c r="D76" s="7"/>
      <c r="E76" s="7"/>
      <c r="F76" s="7"/>
      <c r="G76" s="7"/>
    </row>
    <row r="77" spans="2:7">
      <c r="B77" s="37"/>
      <c r="C77" s="7"/>
      <c r="D77" s="7"/>
      <c r="E77" s="7"/>
      <c r="F77" s="7"/>
      <c r="G77" s="7"/>
    </row>
    <row r="78" spans="2:7">
      <c r="B78" s="37"/>
      <c r="C78" s="7"/>
      <c r="D78" s="7"/>
      <c r="E78" s="7"/>
      <c r="F78" s="7"/>
      <c r="G78" s="7"/>
    </row>
    <row r="79" spans="2:7">
      <c r="B79" s="37"/>
      <c r="C79" s="7"/>
      <c r="D79" s="7"/>
      <c r="E79" s="7"/>
      <c r="F79" s="7"/>
      <c r="G79" s="7"/>
    </row>
    <row r="80" spans="2:7">
      <c r="B80" s="37"/>
      <c r="C80" s="7"/>
      <c r="D80" s="7"/>
      <c r="E80" s="7"/>
      <c r="F80" s="7"/>
      <c r="G80" s="7"/>
    </row>
    <row r="81" spans="2:7">
      <c r="B81" s="37"/>
      <c r="C81" s="7"/>
      <c r="D81" s="7"/>
      <c r="E81" s="7"/>
      <c r="F81" s="7"/>
      <c r="G81" s="7"/>
    </row>
    <row r="82" spans="2:7">
      <c r="B82" s="37"/>
      <c r="C82" s="7"/>
      <c r="D82" s="7"/>
      <c r="E82" s="7"/>
      <c r="F82" s="7"/>
      <c r="G82" s="7"/>
    </row>
    <row r="83" spans="2:7">
      <c r="B83" s="37"/>
      <c r="C83" s="7"/>
      <c r="D83" s="7"/>
      <c r="E83" s="7"/>
      <c r="F83" s="7"/>
      <c r="G83" s="7"/>
    </row>
    <row r="84" spans="2:7">
      <c r="B84" s="37"/>
      <c r="C84" s="7"/>
      <c r="D84" s="7"/>
      <c r="E84" s="7"/>
      <c r="F84" s="7"/>
      <c r="G84" s="7"/>
    </row>
    <row r="85" spans="2:7">
      <c r="B85" s="37"/>
      <c r="C85" s="7"/>
      <c r="D85" s="7"/>
      <c r="E85" s="7"/>
      <c r="F85" s="7"/>
      <c r="G85" s="7"/>
    </row>
    <row r="86" spans="2:7">
      <c r="B86" s="37"/>
      <c r="C86" s="7"/>
      <c r="D86" s="7"/>
      <c r="E86" s="7"/>
      <c r="F86" s="7"/>
      <c r="G86" s="7"/>
    </row>
    <row r="87" spans="2:7">
      <c r="B87" s="37"/>
      <c r="C87" s="7"/>
      <c r="D87" s="7"/>
      <c r="E87" s="7"/>
      <c r="F87" s="7"/>
      <c r="G87" s="7"/>
    </row>
    <row r="88" spans="2:7">
      <c r="B88" s="37"/>
      <c r="C88" s="7"/>
      <c r="D88" s="7"/>
      <c r="E88" s="7"/>
      <c r="F88" s="7"/>
      <c r="G88" s="7"/>
    </row>
    <row r="89" spans="2:7">
      <c r="B89" s="37"/>
      <c r="C89" s="7"/>
      <c r="D89" s="7"/>
      <c r="E89" s="7"/>
      <c r="F89" s="7"/>
      <c r="G89" s="7"/>
    </row>
    <row r="90" spans="2:7">
      <c r="B90" s="37"/>
      <c r="C90" s="7"/>
      <c r="D90" s="7"/>
      <c r="E90" s="7"/>
      <c r="F90" s="7"/>
      <c r="G90" s="7"/>
    </row>
    <row r="91" spans="2:7">
      <c r="B91" s="37"/>
      <c r="C91" s="7"/>
      <c r="D91" s="7"/>
      <c r="E91" s="7"/>
      <c r="F91" s="7"/>
      <c r="G91" s="7"/>
    </row>
    <row r="92" spans="2:7">
      <c r="B92" s="37"/>
      <c r="C92" s="7"/>
      <c r="D92" s="7"/>
      <c r="E92" s="7"/>
      <c r="F92" s="7"/>
      <c r="G92" s="7"/>
    </row>
    <row r="93" spans="2:7">
      <c r="B93" s="37"/>
      <c r="C93" s="7"/>
      <c r="D93" s="7"/>
      <c r="E93" s="7"/>
      <c r="F93" s="7"/>
      <c r="G93" s="7"/>
    </row>
    <row r="94" spans="2:7">
      <c r="B94" s="37"/>
      <c r="C94" s="7"/>
      <c r="D94" s="7"/>
      <c r="E94" s="7"/>
      <c r="F94" s="7"/>
      <c r="G94" s="7"/>
    </row>
    <row r="95" spans="2:7">
      <c r="B95" s="37"/>
      <c r="C95" s="7"/>
      <c r="D95" s="7"/>
      <c r="E95" s="7"/>
      <c r="F95" s="7"/>
      <c r="G95" s="7"/>
    </row>
    <row r="96" spans="2:7">
      <c r="B96" s="37"/>
      <c r="C96" s="7"/>
      <c r="D96" s="7"/>
      <c r="E96" s="7"/>
      <c r="F96" s="7"/>
      <c r="G96" s="7"/>
    </row>
    <row r="97" spans="2:7">
      <c r="B97" s="37"/>
      <c r="C97" s="7"/>
      <c r="D97" s="7"/>
      <c r="E97" s="7"/>
      <c r="F97" s="7"/>
      <c r="G97" s="7"/>
    </row>
    <row r="98" spans="2:7">
      <c r="B98" s="37"/>
      <c r="C98" s="7"/>
      <c r="D98" s="7"/>
      <c r="E98" s="7"/>
      <c r="F98" s="7"/>
      <c r="G98" s="7"/>
    </row>
    <row r="99" spans="2:7">
      <c r="B99" s="37"/>
      <c r="C99" s="7"/>
      <c r="D99" s="7"/>
      <c r="E99" s="7"/>
      <c r="F99" s="7"/>
      <c r="G99" s="7"/>
    </row>
    <row r="100" spans="2:7">
      <c r="B100" s="37"/>
      <c r="C100" s="7"/>
      <c r="D100" s="7"/>
      <c r="E100" s="7"/>
      <c r="F100" s="7"/>
      <c r="G100" s="7"/>
    </row>
    <row r="101" spans="2:7">
      <c r="B101" s="37"/>
      <c r="C101" s="7"/>
      <c r="D101" s="7"/>
      <c r="E101" s="7"/>
      <c r="F101" s="7"/>
      <c r="G101" s="7"/>
    </row>
    <row r="102" spans="2:7">
      <c r="B102" s="37"/>
      <c r="C102" s="7"/>
      <c r="D102" s="7"/>
      <c r="E102" s="7"/>
      <c r="F102" s="7"/>
      <c r="G102" s="7"/>
    </row>
    <row r="103" spans="2:7">
      <c r="B103" s="37"/>
      <c r="C103" s="7"/>
      <c r="D103" s="7"/>
      <c r="E103" s="7"/>
      <c r="F103" s="7"/>
      <c r="G103" s="7"/>
    </row>
    <row r="104" spans="2:7">
      <c r="B104" s="37"/>
      <c r="C104" s="7"/>
      <c r="D104" s="7"/>
      <c r="E104" s="7"/>
      <c r="F104" s="7"/>
      <c r="G104" s="7"/>
    </row>
    <row r="105" spans="2:7">
      <c r="B105" s="37"/>
      <c r="C105" s="7"/>
      <c r="D105" s="7"/>
      <c r="E105" s="7"/>
      <c r="F105" s="7"/>
      <c r="G105" s="7"/>
    </row>
    <row r="106" spans="2:7">
      <c r="B106" s="37"/>
      <c r="C106" s="7"/>
      <c r="D106" s="7"/>
      <c r="E106" s="7"/>
      <c r="F106" s="7"/>
      <c r="G106" s="7"/>
    </row>
    <row r="107" spans="2:7">
      <c r="B107" s="37"/>
      <c r="C107" s="7"/>
      <c r="D107" s="7"/>
      <c r="E107" s="7"/>
      <c r="F107" s="7"/>
      <c r="G107" s="7"/>
    </row>
    <row r="108" spans="2:7">
      <c r="B108" s="37"/>
      <c r="C108" s="7"/>
      <c r="D108" s="7"/>
      <c r="E108" s="7"/>
      <c r="F108" s="7"/>
      <c r="G108" s="7"/>
    </row>
    <row r="109" spans="2:7">
      <c r="B109" s="37"/>
      <c r="C109" s="7"/>
      <c r="D109" s="7"/>
      <c r="E109" s="7"/>
      <c r="F109" s="7"/>
      <c r="G109" s="7"/>
    </row>
    <row r="110" spans="2:7">
      <c r="B110" s="37"/>
      <c r="C110" s="7"/>
      <c r="D110" s="7"/>
      <c r="E110" s="7"/>
      <c r="F110" s="7"/>
      <c r="G110" s="7"/>
    </row>
    <row r="111" spans="2:7">
      <c r="B111" s="37"/>
      <c r="C111" s="7"/>
      <c r="D111" s="7"/>
      <c r="E111" s="7"/>
      <c r="F111" s="7"/>
      <c r="G111" s="7"/>
    </row>
    <row r="112" spans="2:7">
      <c r="B112" s="37"/>
      <c r="C112" s="7"/>
      <c r="D112" s="7"/>
      <c r="E112" s="7"/>
      <c r="F112" s="7"/>
      <c r="G112" s="7"/>
    </row>
    <row r="113" spans="2:7">
      <c r="B113" s="37"/>
      <c r="C113" s="7"/>
      <c r="D113" s="7"/>
      <c r="E113" s="7"/>
      <c r="F113" s="7"/>
      <c r="G113" s="7"/>
    </row>
    <row r="114" spans="2:7">
      <c r="B114" s="37"/>
      <c r="C114" s="7"/>
      <c r="D114" s="7"/>
      <c r="E114" s="7"/>
      <c r="F114" s="7"/>
      <c r="G114" s="7"/>
    </row>
    <row r="115" spans="2:7">
      <c r="B115" s="37"/>
      <c r="C115" s="7"/>
      <c r="D115" s="7"/>
      <c r="E115" s="7"/>
      <c r="F115" s="7"/>
      <c r="G115" s="7"/>
    </row>
    <row r="116" spans="2:7">
      <c r="B116" s="37"/>
      <c r="C116" s="7"/>
      <c r="D116" s="7"/>
      <c r="E116" s="7"/>
      <c r="F116" s="7"/>
      <c r="G116" s="7"/>
    </row>
    <row r="117" spans="2:7">
      <c r="B117" s="37"/>
      <c r="C117" s="7"/>
      <c r="D117" s="7"/>
      <c r="E117" s="7"/>
      <c r="F117" s="7"/>
      <c r="G117" s="7"/>
    </row>
    <row r="118" spans="2:7">
      <c r="B118" s="37"/>
      <c r="C118" s="7"/>
      <c r="D118" s="7"/>
      <c r="E118" s="7"/>
      <c r="F118" s="7"/>
      <c r="G118" s="7"/>
    </row>
    <row r="119" spans="2:7">
      <c r="B119" s="37"/>
      <c r="C119" s="7"/>
      <c r="D119" s="7"/>
      <c r="E119" s="7"/>
      <c r="F119" s="7"/>
      <c r="G119" s="7"/>
    </row>
    <row r="120" spans="2:7">
      <c r="B120" s="37"/>
      <c r="C120" s="7"/>
      <c r="D120" s="7"/>
      <c r="E120" s="7"/>
      <c r="F120" s="7"/>
      <c r="G120" s="7"/>
    </row>
    <row r="121" spans="2:7">
      <c r="B121" s="37"/>
      <c r="C121" s="7"/>
      <c r="D121" s="7"/>
      <c r="E121" s="7"/>
      <c r="F121" s="7"/>
      <c r="G121" s="7"/>
    </row>
    <row r="122" spans="2:7">
      <c r="B122" s="37"/>
      <c r="C122" s="7"/>
      <c r="D122" s="7"/>
      <c r="E122" s="7"/>
      <c r="F122" s="7"/>
      <c r="G122" s="7"/>
    </row>
    <row r="123" spans="2:7">
      <c r="B123" s="37"/>
      <c r="C123" s="7"/>
      <c r="D123" s="7"/>
      <c r="E123" s="7"/>
      <c r="F123" s="7"/>
      <c r="G123" s="7"/>
    </row>
    <row r="124" spans="2:7">
      <c r="B124" s="37"/>
      <c r="C124" s="7"/>
      <c r="D124" s="7"/>
      <c r="E124" s="7"/>
      <c r="F124" s="7"/>
      <c r="G124" s="7"/>
    </row>
    <row r="125" spans="2:7">
      <c r="B125" s="37"/>
      <c r="C125" s="7"/>
      <c r="D125" s="7"/>
      <c r="E125" s="7"/>
      <c r="F125" s="7"/>
      <c r="G125" s="7"/>
    </row>
    <row r="126" spans="2:7">
      <c r="B126" s="37"/>
      <c r="C126" s="7"/>
      <c r="D126" s="7"/>
      <c r="E126" s="7"/>
      <c r="F126" s="7"/>
      <c r="G126" s="7"/>
    </row>
    <row r="127" spans="2:7">
      <c r="B127" s="37"/>
      <c r="C127" s="7"/>
      <c r="D127" s="7"/>
      <c r="E127" s="7"/>
      <c r="F127" s="7"/>
      <c r="G127" s="7"/>
    </row>
    <row r="128" spans="2:7">
      <c r="B128" s="37"/>
      <c r="C128" s="7"/>
      <c r="D128" s="7"/>
      <c r="E128" s="7"/>
      <c r="F128" s="7"/>
      <c r="G128" s="7"/>
    </row>
    <row r="129" spans="2:7">
      <c r="B129" s="37"/>
      <c r="C129" s="7"/>
      <c r="D129" s="7"/>
      <c r="E129" s="7"/>
      <c r="F129" s="7"/>
      <c r="G129" s="7"/>
    </row>
    <row r="130" spans="2:7">
      <c r="B130" s="37"/>
      <c r="C130" s="7"/>
      <c r="D130" s="7"/>
      <c r="E130" s="7"/>
      <c r="F130" s="7"/>
      <c r="G130" s="7"/>
    </row>
    <row r="131" spans="2:7">
      <c r="B131" s="37"/>
      <c r="C131" s="7"/>
      <c r="D131" s="7"/>
      <c r="E131" s="7"/>
      <c r="F131" s="7"/>
      <c r="G131" s="7"/>
    </row>
    <row r="132" spans="2:7">
      <c r="B132" s="37"/>
      <c r="C132" s="7"/>
      <c r="D132" s="7"/>
      <c r="E132" s="7"/>
      <c r="F132" s="7"/>
      <c r="G132" s="7"/>
    </row>
    <row r="133" spans="2:7">
      <c r="B133" s="37"/>
      <c r="C133" s="7"/>
      <c r="D133" s="7"/>
      <c r="E133" s="7"/>
      <c r="F133" s="7"/>
      <c r="G133" s="7"/>
    </row>
    <row r="134" spans="2:7">
      <c r="B134" s="37"/>
      <c r="C134" s="7"/>
      <c r="D134" s="7"/>
      <c r="E134" s="7"/>
      <c r="F134" s="7"/>
      <c r="G134" s="7"/>
    </row>
    <row r="135" spans="2:7">
      <c r="B135" s="37"/>
      <c r="C135" s="7"/>
      <c r="D135" s="7"/>
      <c r="E135" s="7"/>
      <c r="F135" s="7"/>
      <c r="G135" s="7"/>
    </row>
    <row r="136" spans="2:7">
      <c r="B136" s="37"/>
      <c r="C136" s="7"/>
      <c r="D136" s="7"/>
      <c r="E136" s="7"/>
      <c r="F136" s="7"/>
      <c r="G136" s="7"/>
    </row>
    <row r="137" spans="2:7">
      <c r="B137" s="37"/>
      <c r="C137" s="7"/>
      <c r="D137" s="7"/>
      <c r="E137" s="7"/>
      <c r="F137" s="7"/>
      <c r="G137" s="7"/>
    </row>
    <row r="138" spans="2:7">
      <c r="B138" s="37"/>
      <c r="C138" s="7"/>
      <c r="D138" s="7"/>
      <c r="E138" s="7"/>
      <c r="F138" s="7"/>
      <c r="G138" s="7"/>
    </row>
    <row r="139" spans="2:7">
      <c r="B139" s="37"/>
      <c r="C139" s="7"/>
      <c r="D139" s="7"/>
      <c r="E139" s="7"/>
      <c r="F139" s="7"/>
      <c r="G139" s="7"/>
    </row>
    <row r="140" spans="2:7">
      <c r="B140" s="37"/>
      <c r="C140" s="7"/>
      <c r="D140" s="7"/>
      <c r="E140" s="7"/>
      <c r="F140" s="7"/>
      <c r="G140" s="7"/>
    </row>
    <row r="141" spans="2:7">
      <c r="B141" s="37"/>
      <c r="C141" s="7"/>
      <c r="D141" s="7"/>
      <c r="E141" s="7"/>
      <c r="F141" s="7"/>
      <c r="G141" s="7"/>
    </row>
    <row r="142" spans="2:7">
      <c r="B142" s="37"/>
      <c r="C142" s="7"/>
      <c r="D142" s="7"/>
      <c r="E142" s="7"/>
      <c r="F142" s="7"/>
      <c r="G142" s="7"/>
    </row>
    <row r="143" spans="2:7">
      <c r="B143" s="37"/>
      <c r="C143" s="7"/>
      <c r="D143" s="7"/>
      <c r="E143" s="7"/>
      <c r="F143" s="7"/>
      <c r="G143" s="7"/>
    </row>
    <row r="144" spans="2:7">
      <c r="B144" s="37"/>
      <c r="C144" s="7"/>
      <c r="D144" s="7"/>
      <c r="E144" s="7"/>
      <c r="F144" s="7"/>
      <c r="G144" s="7"/>
    </row>
    <row r="145" spans="2:7">
      <c r="B145" s="37"/>
      <c r="C145" s="7"/>
      <c r="D145" s="7"/>
      <c r="E145" s="7"/>
      <c r="F145" s="7"/>
      <c r="G145" s="7"/>
    </row>
    <row r="146" spans="2:7">
      <c r="B146" s="37"/>
      <c r="C146" s="7"/>
      <c r="D146" s="7"/>
      <c r="E146" s="7"/>
      <c r="F146" s="7"/>
      <c r="G146" s="7"/>
    </row>
    <row r="147" spans="2:7">
      <c r="B147" s="37"/>
      <c r="C147" s="7"/>
      <c r="D147" s="7"/>
      <c r="E147" s="7"/>
      <c r="F147" s="7"/>
      <c r="G147" s="7"/>
    </row>
    <row r="148" spans="2:7">
      <c r="B148" s="37"/>
      <c r="C148" s="7"/>
      <c r="D148" s="7"/>
      <c r="E148" s="7"/>
      <c r="F148" s="7"/>
      <c r="G148" s="7"/>
    </row>
    <row r="149" spans="2:7">
      <c r="B149" s="37"/>
      <c r="C149" s="7"/>
      <c r="D149" s="7"/>
      <c r="E149" s="7"/>
      <c r="F149" s="7"/>
      <c r="G149" s="7"/>
    </row>
    <row r="150" spans="2:7">
      <c r="B150" s="37"/>
      <c r="C150" s="7"/>
      <c r="D150" s="7"/>
      <c r="E150" s="7"/>
      <c r="F150" s="7"/>
      <c r="G150" s="7"/>
    </row>
    <row r="151" spans="2:7">
      <c r="B151" s="37"/>
      <c r="C151" s="7"/>
      <c r="D151" s="7"/>
      <c r="E151" s="7"/>
      <c r="F151" s="7"/>
      <c r="G151" s="7"/>
    </row>
    <row r="152" spans="2:7">
      <c r="B152" s="37"/>
      <c r="C152" s="7"/>
      <c r="D152" s="7"/>
      <c r="E152" s="7"/>
      <c r="F152" s="7"/>
      <c r="G152" s="7"/>
    </row>
    <row r="153" spans="2:7">
      <c r="B153" s="37"/>
      <c r="C153" s="7"/>
      <c r="D153" s="7"/>
      <c r="E153" s="7"/>
      <c r="F153" s="7"/>
      <c r="G153" s="7"/>
    </row>
    <row r="154" spans="2:7">
      <c r="B154" s="37"/>
      <c r="C154" s="7"/>
      <c r="D154" s="7"/>
      <c r="E154" s="7"/>
      <c r="F154" s="7"/>
      <c r="G154" s="7"/>
    </row>
    <row r="155" spans="2:7">
      <c r="B155" s="37"/>
      <c r="C155" s="7"/>
      <c r="D155" s="7"/>
      <c r="E155" s="7"/>
      <c r="F155" s="7"/>
      <c r="G155" s="7"/>
    </row>
    <row r="156" spans="2:7">
      <c r="B156" s="37"/>
      <c r="C156" s="7"/>
      <c r="D156" s="7"/>
      <c r="E156" s="7"/>
      <c r="F156" s="7"/>
      <c r="G156" s="7"/>
    </row>
    <row r="157" spans="2:7">
      <c r="B157" s="37"/>
      <c r="C157" s="7"/>
      <c r="D157" s="7"/>
      <c r="E157" s="7"/>
      <c r="F157" s="7"/>
      <c r="G157" s="7"/>
    </row>
    <row r="158" spans="2:7">
      <c r="B158" s="37"/>
      <c r="C158" s="7"/>
      <c r="D158" s="7"/>
      <c r="E158" s="7"/>
      <c r="F158" s="7"/>
      <c r="G158" s="7"/>
    </row>
    <row r="159" spans="2:7">
      <c r="B159" s="37"/>
      <c r="C159" s="7"/>
      <c r="D159" s="7"/>
      <c r="E159" s="7"/>
      <c r="F159" s="7"/>
      <c r="G159" s="7"/>
    </row>
    <row r="160" spans="2:7">
      <c r="B160" s="37"/>
      <c r="C160" s="7"/>
      <c r="D160" s="7"/>
      <c r="E160" s="7"/>
      <c r="F160" s="7"/>
      <c r="G160" s="7"/>
    </row>
    <row r="161" spans="2:7">
      <c r="B161" s="37"/>
      <c r="C161" s="7"/>
      <c r="D161" s="7"/>
      <c r="E161" s="7"/>
      <c r="F161" s="7"/>
      <c r="G161" s="7"/>
    </row>
    <row r="162" spans="2:7">
      <c r="B162" s="37"/>
      <c r="C162" s="7"/>
      <c r="D162" s="7"/>
      <c r="E162" s="7"/>
      <c r="F162" s="7"/>
      <c r="G162" s="7"/>
    </row>
    <row r="163" spans="2:7">
      <c r="B163" s="37"/>
      <c r="C163" s="7"/>
      <c r="D163" s="7"/>
      <c r="E163" s="7"/>
      <c r="F163" s="7"/>
      <c r="G163" s="7"/>
    </row>
    <row r="164" spans="2:7">
      <c r="B164" s="37"/>
      <c r="C164" s="7"/>
      <c r="D164" s="7"/>
      <c r="E164" s="7"/>
      <c r="F164" s="7"/>
      <c r="G164" s="7"/>
    </row>
    <row r="165" spans="2:7">
      <c r="B165" s="37"/>
      <c r="C165" s="7"/>
      <c r="D165" s="7"/>
      <c r="E165" s="7"/>
      <c r="F165" s="7"/>
      <c r="G165" s="7"/>
    </row>
    <row r="166" spans="2:7">
      <c r="B166" s="37"/>
      <c r="C166" s="7"/>
      <c r="D166" s="7"/>
      <c r="E166" s="7"/>
      <c r="F166" s="7"/>
      <c r="G166" s="7"/>
    </row>
    <row r="167" spans="2:7">
      <c r="B167" s="37"/>
      <c r="C167" s="7"/>
      <c r="D167" s="7"/>
      <c r="E167" s="7"/>
      <c r="F167" s="7"/>
      <c r="G167" s="7"/>
    </row>
    <row r="168" spans="2:7">
      <c r="B168" s="37"/>
      <c r="C168" s="7"/>
      <c r="D168" s="7"/>
      <c r="E168" s="7"/>
      <c r="F168" s="7"/>
      <c r="G168" s="7"/>
    </row>
    <row r="169" spans="2:7">
      <c r="B169" s="37"/>
      <c r="C169" s="7"/>
      <c r="D169" s="7"/>
      <c r="E169" s="7"/>
      <c r="F169" s="7"/>
      <c r="G169" s="7"/>
    </row>
    <row r="170" spans="2:7">
      <c r="B170" s="37"/>
      <c r="C170" s="7"/>
      <c r="D170" s="7"/>
      <c r="E170" s="7"/>
      <c r="F170" s="7"/>
      <c r="G170" s="7"/>
    </row>
    <row r="171" spans="2:7">
      <c r="B171" s="37"/>
      <c r="C171" s="7"/>
      <c r="D171" s="7"/>
      <c r="E171" s="7"/>
      <c r="F171" s="7"/>
      <c r="G171" s="7"/>
    </row>
    <row r="172" spans="2:7">
      <c r="B172" s="37"/>
      <c r="C172" s="7"/>
      <c r="D172" s="7"/>
      <c r="E172" s="7"/>
      <c r="F172" s="7"/>
      <c r="G172" s="7"/>
    </row>
    <row r="173" spans="2:7">
      <c r="B173" s="37"/>
      <c r="C173" s="7"/>
      <c r="D173" s="7"/>
      <c r="E173" s="7"/>
      <c r="F173" s="7"/>
      <c r="G173" s="7"/>
    </row>
    <row r="174" spans="2:7">
      <c r="B174" s="37"/>
      <c r="C174" s="7"/>
      <c r="D174" s="7"/>
      <c r="E174" s="7"/>
      <c r="F174" s="7"/>
      <c r="G174" s="7"/>
    </row>
    <row r="175" spans="2:7">
      <c r="B175" s="37"/>
      <c r="C175" s="7"/>
      <c r="D175" s="7"/>
      <c r="E175" s="7"/>
      <c r="F175" s="7"/>
      <c r="G175" s="7"/>
    </row>
    <row r="176" spans="2:7">
      <c r="B176" s="37"/>
      <c r="C176" s="7"/>
      <c r="D176" s="7"/>
      <c r="E176" s="7"/>
      <c r="F176" s="7"/>
      <c r="G176" s="7"/>
    </row>
    <row r="177" spans="2:7">
      <c r="B177" s="37"/>
      <c r="C177" s="7"/>
      <c r="D177" s="7"/>
      <c r="E177" s="7"/>
      <c r="F177" s="7"/>
      <c r="G177" s="7"/>
    </row>
    <row r="178" spans="2:7">
      <c r="B178" s="37"/>
      <c r="C178" s="7"/>
      <c r="D178" s="7"/>
      <c r="E178" s="7"/>
      <c r="F178" s="7"/>
      <c r="G178" s="7"/>
    </row>
    <row r="179" spans="2:7">
      <c r="B179" s="37"/>
      <c r="C179" s="7"/>
      <c r="D179" s="7"/>
      <c r="E179" s="7"/>
      <c r="F179" s="7"/>
      <c r="G179" s="7"/>
    </row>
    <row r="180" spans="2:7">
      <c r="B180" s="37"/>
      <c r="C180" s="7"/>
      <c r="D180" s="7"/>
      <c r="E180" s="7"/>
      <c r="F180" s="7"/>
      <c r="G180" s="7"/>
    </row>
    <row r="181" spans="2:7">
      <c r="B181" s="37"/>
      <c r="C181" s="7"/>
      <c r="D181" s="7"/>
      <c r="E181" s="7"/>
      <c r="F181" s="7"/>
      <c r="G181" s="7"/>
    </row>
    <row r="182" spans="2:7">
      <c r="B182" s="37"/>
      <c r="C182" s="7"/>
      <c r="D182" s="7"/>
      <c r="E182" s="7"/>
      <c r="F182" s="7"/>
      <c r="G182" s="7"/>
    </row>
    <row r="183" spans="2:7">
      <c r="B183" s="37"/>
      <c r="C183" s="7"/>
      <c r="D183" s="7"/>
      <c r="E183" s="7"/>
      <c r="F183" s="7"/>
      <c r="G183" s="7"/>
    </row>
    <row r="184" spans="2:7">
      <c r="B184" s="37"/>
      <c r="C184" s="7"/>
      <c r="D184" s="7"/>
      <c r="E184" s="7"/>
      <c r="F184" s="7"/>
      <c r="G184" s="7"/>
    </row>
    <row r="185" spans="2:7">
      <c r="B185" s="37"/>
      <c r="C185" s="7"/>
      <c r="D185" s="7"/>
      <c r="E185" s="7"/>
      <c r="F185" s="7"/>
      <c r="G185" s="7"/>
    </row>
    <row r="186" spans="2:7">
      <c r="B186" s="37"/>
      <c r="C186" s="7"/>
      <c r="D186" s="7"/>
      <c r="E186" s="7"/>
      <c r="F186" s="7"/>
      <c r="G186" s="7"/>
    </row>
    <row r="187" spans="2:7">
      <c r="B187" s="37"/>
      <c r="C187" s="7"/>
      <c r="D187" s="7"/>
      <c r="E187" s="7"/>
      <c r="F187" s="7"/>
      <c r="G187" s="7"/>
    </row>
    <row r="188" spans="2:7">
      <c r="B188" s="37"/>
      <c r="C188" s="7"/>
      <c r="D188" s="7"/>
      <c r="E188" s="7"/>
      <c r="F188" s="7"/>
      <c r="G188" s="7"/>
    </row>
    <row r="189" spans="2:7">
      <c r="B189" s="37"/>
      <c r="C189" s="7"/>
      <c r="D189" s="7"/>
      <c r="E189" s="7"/>
      <c r="F189" s="7"/>
      <c r="G189" s="7"/>
    </row>
    <row r="190" spans="2:7">
      <c r="B190" s="37"/>
      <c r="C190" s="7"/>
      <c r="D190" s="7"/>
      <c r="E190" s="7"/>
      <c r="F190" s="7"/>
      <c r="G190" s="7"/>
    </row>
    <row r="191" spans="2:7">
      <c r="B191" s="37"/>
      <c r="C191" s="7"/>
      <c r="D191" s="7"/>
      <c r="E191" s="7"/>
      <c r="F191" s="7"/>
      <c r="G191" s="7"/>
    </row>
    <row r="192" spans="2:7">
      <c r="B192" s="37"/>
      <c r="C192" s="7"/>
      <c r="D192" s="7"/>
      <c r="E192" s="7"/>
      <c r="F192" s="7"/>
      <c r="G192" s="7"/>
    </row>
    <row r="193" spans="2:7">
      <c r="B193" s="37"/>
      <c r="C193" s="7"/>
      <c r="D193" s="7"/>
      <c r="E193" s="7"/>
      <c r="F193" s="7"/>
      <c r="G193" s="7"/>
    </row>
    <row r="194" spans="2:7">
      <c r="B194" s="37"/>
      <c r="C194" s="7"/>
      <c r="D194" s="7"/>
      <c r="E194" s="7"/>
      <c r="F194" s="7"/>
      <c r="G194" s="7"/>
    </row>
    <row r="195" spans="2:7">
      <c r="B195" s="37"/>
      <c r="C195" s="7"/>
      <c r="D195" s="7"/>
      <c r="E195" s="7"/>
      <c r="F195" s="7"/>
      <c r="G195" s="7"/>
    </row>
    <row r="196" spans="2:7">
      <c r="B196" s="37"/>
      <c r="C196" s="7"/>
      <c r="D196" s="7"/>
      <c r="E196" s="7"/>
      <c r="F196" s="7"/>
      <c r="G196" s="7"/>
    </row>
    <row r="197" spans="2:7">
      <c r="B197" s="37"/>
      <c r="C197" s="7"/>
      <c r="D197" s="7"/>
      <c r="E197" s="7"/>
      <c r="F197" s="7"/>
      <c r="G197" s="7"/>
    </row>
    <row r="198" spans="2:7">
      <c r="B198" s="37"/>
      <c r="C198" s="7"/>
      <c r="D198" s="7"/>
      <c r="E198" s="7"/>
      <c r="F198" s="7"/>
      <c r="G198" s="7"/>
    </row>
    <row r="199" spans="2:7">
      <c r="B199" s="37"/>
      <c r="C199" s="7"/>
      <c r="D199" s="7"/>
      <c r="E199" s="7"/>
      <c r="F199" s="7"/>
      <c r="G199" s="7"/>
    </row>
    <row r="200" spans="2:7">
      <c r="B200" s="37"/>
      <c r="C200" s="7"/>
      <c r="D200" s="7"/>
      <c r="E200" s="7"/>
      <c r="F200" s="7"/>
      <c r="G200" s="7"/>
    </row>
    <row r="201" spans="2:7">
      <c r="B201" s="37"/>
      <c r="C201" s="7"/>
      <c r="D201" s="7"/>
      <c r="E201" s="7"/>
      <c r="F201" s="7"/>
      <c r="G201" s="7"/>
    </row>
    <row r="202" spans="2:7">
      <c r="B202" s="37"/>
      <c r="C202" s="7"/>
      <c r="D202" s="7"/>
      <c r="E202" s="7"/>
      <c r="F202" s="7"/>
      <c r="G202" s="7"/>
    </row>
    <row r="203" spans="2:7">
      <c r="B203" s="37"/>
      <c r="C203" s="7"/>
      <c r="D203" s="7"/>
      <c r="E203" s="7"/>
      <c r="F203" s="7"/>
      <c r="G203" s="7"/>
    </row>
    <row r="204" spans="2:7">
      <c r="B204" s="37"/>
      <c r="C204" s="7"/>
      <c r="D204" s="7"/>
      <c r="E204" s="7"/>
      <c r="F204" s="7"/>
      <c r="G204" s="7"/>
    </row>
    <row r="205" spans="2:7">
      <c r="B205" s="37"/>
      <c r="C205" s="7"/>
      <c r="D205" s="7"/>
      <c r="E205" s="7"/>
      <c r="F205" s="7"/>
      <c r="G205" s="7"/>
    </row>
    <row r="206" spans="2:7">
      <c r="B206" s="37"/>
      <c r="C206" s="7"/>
      <c r="D206" s="7"/>
      <c r="E206" s="7"/>
      <c r="F206" s="7"/>
      <c r="G206" s="7"/>
    </row>
    <row r="207" spans="2:7">
      <c r="B207" s="37"/>
      <c r="C207" s="7"/>
      <c r="D207" s="7"/>
      <c r="E207" s="7"/>
      <c r="F207" s="7"/>
      <c r="G207" s="7"/>
    </row>
    <row r="208" spans="2:7">
      <c r="B208" s="37"/>
      <c r="C208" s="7"/>
      <c r="D208" s="7"/>
      <c r="E208" s="7"/>
      <c r="F208" s="7"/>
      <c r="G208" s="7"/>
    </row>
    <row r="209" spans="2:7">
      <c r="B209" s="37"/>
      <c r="C209" s="7"/>
      <c r="D209" s="7"/>
      <c r="E209" s="7"/>
      <c r="F209" s="7"/>
      <c r="G209" s="7"/>
    </row>
    <row r="210" spans="2:7">
      <c r="B210" s="37"/>
      <c r="C210" s="7"/>
      <c r="D210" s="7"/>
      <c r="E210" s="7"/>
      <c r="F210" s="7"/>
      <c r="G210" s="7"/>
    </row>
    <row r="211" spans="2:7">
      <c r="B211" s="37"/>
      <c r="C211" s="7"/>
      <c r="D211" s="7"/>
      <c r="E211" s="7"/>
      <c r="F211" s="7"/>
      <c r="G211" s="7"/>
    </row>
    <row r="212" spans="2:7">
      <c r="B212" s="37"/>
      <c r="C212" s="7"/>
      <c r="D212" s="7"/>
      <c r="E212" s="7"/>
      <c r="F212" s="7"/>
      <c r="G212" s="7"/>
    </row>
    <row r="213" spans="2:7">
      <c r="B213" s="37"/>
      <c r="C213" s="7"/>
      <c r="D213" s="7"/>
      <c r="E213" s="7"/>
      <c r="F213" s="7"/>
      <c r="G213" s="7"/>
    </row>
    <row r="214" spans="2:7">
      <c r="B214" s="37"/>
      <c r="C214" s="7"/>
      <c r="D214" s="7"/>
      <c r="E214" s="7"/>
      <c r="F214" s="7"/>
      <c r="G214" s="7"/>
    </row>
    <row r="215" spans="2:7">
      <c r="B215" s="37"/>
      <c r="C215" s="7"/>
      <c r="D215" s="7"/>
      <c r="E215" s="7"/>
      <c r="F215" s="7"/>
      <c r="G215" s="7"/>
    </row>
    <row r="216" spans="2:7">
      <c r="B216" s="37"/>
      <c r="C216" s="7"/>
      <c r="D216" s="7"/>
      <c r="E216" s="7"/>
      <c r="F216" s="7"/>
      <c r="G216" s="7"/>
    </row>
    <row r="217" spans="2:7">
      <c r="B217" s="37"/>
      <c r="C217" s="7"/>
      <c r="D217" s="7"/>
      <c r="E217" s="7"/>
      <c r="F217" s="7"/>
      <c r="G217" s="7"/>
    </row>
    <row r="218" spans="2:7">
      <c r="B218" s="37"/>
      <c r="C218" s="7"/>
      <c r="D218" s="7"/>
      <c r="E218" s="7"/>
      <c r="F218" s="7"/>
      <c r="G218" s="7"/>
    </row>
    <row r="219" spans="2:7">
      <c r="B219" s="37"/>
      <c r="C219" s="7"/>
      <c r="D219" s="7"/>
      <c r="E219" s="7"/>
      <c r="F219" s="7"/>
      <c r="G219" s="7"/>
    </row>
    <row r="220" spans="2:7">
      <c r="B220" s="37"/>
      <c r="C220" s="7"/>
      <c r="D220" s="7"/>
      <c r="E220" s="7"/>
      <c r="F220" s="7"/>
      <c r="G220" s="7"/>
    </row>
    <row r="221" spans="2:7">
      <c r="B221" s="37"/>
      <c r="C221" s="7"/>
      <c r="D221" s="7"/>
      <c r="E221" s="7"/>
      <c r="F221" s="7"/>
      <c r="G221" s="7"/>
    </row>
    <row r="222" spans="2:7">
      <c r="B222" s="37"/>
      <c r="C222" s="7"/>
      <c r="D222" s="7"/>
      <c r="E222" s="7"/>
      <c r="F222" s="7"/>
      <c r="G222" s="7"/>
    </row>
    <row r="223" spans="2:7">
      <c r="B223" s="37"/>
      <c r="C223" s="7"/>
      <c r="D223" s="7"/>
      <c r="E223" s="7"/>
      <c r="F223" s="7"/>
      <c r="G223" s="7"/>
    </row>
    <row r="224" spans="2:7">
      <c r="B224" s="37"/>
      <c r="C224" s="7"/>
      <c r="D224" s="7"/>
      <c r="E224" s="7"/>
      <c r="F224" s="7"/>
      <c r="G224" s="7"/>
    </row>
    <row r="225" spans="2:7">
      <c r="B225" s="37"/>
      <c r="C225" s="7"/>
      <c r="D225" s="7"/>
      <c r="E225" s="7"/>
      <c r="F225" s="7"/>
      <c r="G225" s="7"/>
    </row>
    <row r="226" spans="2:7">
      <c r="B226" s="37"/>
      <c r="C226" s="7"/>
      <c r="D226" s="7"/>
      <c r="E226" s="7"/>
      <c r="F226" s="7"/>
      <c r="G226" s="7"/>
    </row>
    <row r="227" spans="2:7">
      <c r="B227" s="37"/>
      <c r="C227" s="7"/>
      <c r="D227" s="7"/>
      <c r="E227" s="7"/>
      <c r="F227" s="7"/>
      <c r="G227" s="7"/>
    </row>
    <row r="228" spans="2:7">
      <c r="B228" s="37"/>
      <c r="C228" s="7"/>
      <c r="D228" s="7"/>
      <c r="E228" s="7"/>
      <c r="F228" s="7"/>
      <c r="G228" s="7"/>
    </row>
    <row r="229" spans="2:7">
      <c r="B229" s="37"/>
      <c r="C229" s="7"/>
      <c r="D229" s="7"/>
      <c r="E229" s="7"/>
      <c r="F229" s="7"/>
      <c r="G229" s="7"/>
    </row>
    <row r="230" spans="2:7">
      <c r="B230" s="37"/>
      <c r="C230" s="7"/>
      <c r="D230" s="7"/>
      <c r="E230" s="7"/>
      <c r="F230" s="7"/>
      <c r="G230" s="7"/>
    </row>
    <row r="231" spans="2:7">
      <c r="B231" s="37"/>
      <c r="C231" s="7"/>
      <c r="D231" s="7"/>
      <c r="E231" s="7"/>
      <c r="F231" s="7"/>
      <c r="G231" s="7"/>
    </row>
    <row r="232" spans="2:7">
      <c r="B232" s="37"/>
      <c r="C232" s="7"/>
      <c r="D232" s="7"/>
      <c r="E232" s="7"/>
      <c r="F232" s="7"/>
      <c r="G232" s="7"/>
    </row>
    <row r="233" spans="2:7">
      <c r="B233" s="37"/>
      <c r="C233" s="7"/>
      <c r="D233" s="7"/>
      <c r="E233" s="7"/>
      <c r="F233" s="7"/>
      <c r="G233" s="7"/>
    </row>
    <row r="234" spans="2:7">
      <c r="B234" s="37"/>
      <c r="C234" s="7"/>
      <c r="D234" s="7"/>
      <c r="E234" s="7"/>
      <c r="F234" s="7"/>
      <c r="G234" s="7"/>
    </row>
    <row r="235" spans="2:7">
      <c r="B235" s="37"/>
      <c r="C235" s="7"/>
      <c r="D235" s="7"/>
      <c r="E235" s="7"/>
      <c r="F235" s="7"/>
      <c r="G235" s="7"/>
    </row>
    <row r="236" spans="2:7">
      <c r="B236" s="37"/>
      <c r="C236" s="7"/>
      <c r="D236" s="7"/>
      <c r="E236" s="7"/>
      <c r="F236" s="7"/>
      <c r="G236" s="7"/>
    </row>
    <row r="237" spans="2:7">
      <c r="B237" s="37"/>
      <c r="C237" s="7"/>
      <c r="D237" s="7"/>
      <c r="E237" s="7"/>
      <c r="F237" s="7"/>
      <c r="G237" s="7"/>
    </row>
    <row r="238" spans="2:7">
      <c r="B238" s="37"/>
      <c r="C238" s="7"/>
      <c r="D238" s="7"/>
      <c r="E238" s="7"/>
      <c r="F238" s="7"/>
      <c r="G238" s="7"/>
    </row>
    <row r="239" spans="2:7">
      <c r="B239" s="37"/>
      <c r="C239" s="7"/>
      <c r="D239" s="7"/>
      <c r="E239" s="7"/>
      <c r="F239" s="7"/>
      <c r="G239" s="7"/>
    </row>
    <row r="240" spans="2:7">
      <c r="B240" s="37"/>
      <c r="C240" s="7"/>
      <c r="D240" s="7"/>
      <c r="E240" s="7"/>
      <c r="F240" s="7"/>
      <c r="G240" s="7"/>
    </row>
    <row r="241" spans="2:7">
      <c r="B241" s="37"/>
      <c r="C241" s="7"/>
      <c r="D241" s="7"/>
      <c r="E241" s="7"/>
      <c r="F241" s="7"/>
      <c r="G241" s="7"/>
    </row>
    <row r="242" spans="2:7">
      <c r="B242" s="37"/>
      <c r="C242" s="7"/>
      <c r="D242" s="7"/>
      <c r="E242" s="7"/>
      <c r="F242" s="7"/>
      <c r="G242" s="7"/>
    </row>
    <row r="243" spans="2:7">
      <c r="B243" s="37"/>
      <c r="C243" s="7"/>
      <c r="D243" s="7"/>
      <c r="E243" s="7"/>
      <c r="F243" s="7"/>
      <c r="G243" s="7"/>
    </row>
    <row r="244" spans="2:7">
      <c r="B244" s="37"/>
      <c r="C244" s="7"/>
      <c r="D244" s="7"/>
      <c r="E244" s="7"/>
      <c r="F244" s="7"/>
      <c r="G244" s="7"/>
    </row>
    <row r="245" spans="2:7">
      <c r="B245" s="37"/>
      <c r="C245" s="7"/>
      <c r="D245" s="7"/>
      <c r="E245" s="7"/>
      <c r="F245" s="7"/>
      <c r="G245" s="7"/>
    </row>
    <row r="246" spans="2:7">
      <c r="B246" s="37"/>
      <c r="C246" s="7"/>
      <c r="D246" s="7"/>
      <c r="E246" s="7"/>
      <c r="F246" s="7"/>
      <c r="G246" s="7"/>
    </row>
    <row r="247" spans="2:7">
      <c r="B247" s="37"/>
      <c r="C247" s="7"/>
      <c r="D247" s="7"/>
      <c r="E247" s="7"/>
      <c r="F247" s="7"/>
      <c r="G247" s="7"/>
    </row>
    <row r="248" spans="2:7">
      <c r="B248" s="37"/>
      <c r="C248" s="7"/>
      <c r="D248" s="7"/>
      <c r="E248" s="7"/>
      <c r="F248" s="7"/>
      <c r="G248" s="7"/>
    </row>
    <row r="249" spans="2:7">
      <c r="B249" s="37"/>
      <c r="C249" s="7"/>
      <c r="D249" s="7"/>
      <c r="E249" s="7"/>
      <c r="F249" s="7"/>
      <c r="G249" s="7"/>
    </row>
    <row r="250" spans="2:7">
      <c r="B250" s="37"/>
      <c r="C250" s="7"/>
      <c r="D250" s="7"/>
      <c r="E250" s="7"/>
      <c r="F250" s="7"/>
      <c r="G250" s="7"/>
    </row>
    <row r="251" spans="2:7">
      <c r="B251" s="37"/>
      <c r="C251" s="7"/>
      <c r="D251" s="7"/>
      <c r="E251" s="7"/>
      <c r="F251" s="7"/>
      <c r="G251" s="7"/>
    </row>
    <row r="252" spans="2:7">
      <c r="B252" s="37"/>
      <c r="C252" s="7"/>
      <c r="D252" s="7"/>
      <c r="E252" s="7"/>
      <c r="F252" s="7"/>
      <c r="G252" s="7"/>
    </row>
    <row r="253" spans="2:7">
      <c r="B253" s="37"/>
      <c r="C253" s="7"/>
      <c r="D253" s="7"/>
      <c r="E253" s="7"/>
      <c r="F253" s="7"/>
      <c r="G253" s="7"/>
    </row>
    <row r="254" spans="2:7">
      <c r="B254" s="37"/>
      <c r="C254" s="7"/>
      <c r="D254" s="7"/>
      <c r="E254" s="7"/>
      <c r="F254" s="7"/>
      <c r="G254" s="7"/>
    </row>
    <row r="255" spans="2:7">
      <c r="B255" s="37"/>
      <c r="C255" s="7"/>
      <c r="D255" s="7"/>
      <c r="E255" s="7"/>
      <c r="F255" s="7"/>
      <c r="G255" s="7"/>
    </row>
    <row r="256" spans="2:7">
      <c r="B256" s="37"/>
      <c r="C256" s="7"/>
      <c r="D256" s="7"/>
      <c r="E256" s="7"/>
      <c r="F256" s="7"/>
      <c r="G256" s="7"/>
    </row>
    <row r="257" spans="2:7">
      <c r="B257" s="37"/>
      <c r="C257" s="7"/>
      <c r="D257" s="7"/>
      <c r="E257" s="7"/>
      <c r="F257" s="7"/>
      <c r="G257" s="7"/>
    </row>
    <row r="258" spans="2:7">
      <c r="B258" s="37"/>
      <c r="C258" s="7"/>
      <c r="D258" s="7"/>
      <c r="E258" s="7"/>
      <c r="F258" s="7"/>
      <c r="G258" s="7"/>
    </row>
    <row r="259" spans="2:7">
      <c r="B259" s="37"/>
      <c r="C259" s="7"/>
      <c r="D259" s="7"/>
      <c r="E259" s="7"/>
      <c r="F259" s="7"/>
      <c r="G259" s="7"/>
    </row>
    <row r="260" spans="2:7">
      <c r="B260" s="37"/>
      <c r="C260" s="7"/>
      <c r="D260" s="7"/>
      <c r="E260" s="7"/>
      <c r="F260" s="7"/>
      <c r="G260" s="7"/>
    </row>
    <row r="261" spans="2:7">
      <c r="B261" s="37"/>
      <c r="C261" s="7"/>
      <c r="D261" s="7"/>
      <c r="E261" s="7"/>
      <c r="F261" s="7"/>
      <c r="G261" s="7"/>
    </row>
    <row r="262" spans="2:7">
      <c r="B262" s="37"/>
      <c r="C262" s="7"/>
      <c r="D262" s="7"/>
      <c r="E262" s="7"/>
      <c r="F262" s="7"/>
      <c r="G262" s="7"/>
    </row>
    <row r="263" spans="2:7">
      <c r="B263" s="37"/>
      <c r="C263" s="7"/>
      <c r="D263" s="7"/>
      <c r="E263" s="7"/>
      <c r="F263" s="7"/>
      <c r="G263" s="7"/>
    </row>
    <row r="264" spans="2:7">
      <c r="B264" s="37"/>
      <c r="C264" s="7"/>
      <c r="D264" s="7"/>
      <c r="E264" s="7"/>
      <c r="F264" s="7"/>
      <c r="G264" s="7"/>
    </row>
    <row r="265" spans="2:7">
      <c r="B265" s="37"/>
      <c r="C265" s="7"/>
      <c r="D265" s="7"/>
      <c r="E265" s="7"/>
      <c r="F265" s="7"/>
      <c r="G265" s="7"/>
    </row>
    <row r="266" spans="2:7">
      <c r="B266" s="37"/>
      <c r="C266" s="7"/>
      <c r="D266" s="7"/>
      <c r="E266" s="7"/>
      <c r="F266" s="7"/>
      <c r="G266" s="7"/>
    </row>
    <row r="267" spans="2:7">
      <c r="B267" s="37"/>
      <c r="C267" s="7"/>
      <c r="D267" s="7"/>
      <c r="E267" s="7"/>
      <c r="F267" s="7"/>
      <c r="G267" s="7"/>
    </row>
    <row r="268" spans="2:7">
      <c r="B268" s="37"/>
      <c r="C268" s="7"/>
      <c r="D268" s="7"/>
      <c r="E268" s="7"/>
      <c r="F268" s="7"/>
      <c r="G268" s="7"/>
    </row>
    <row r="269" spans="2:7">
      <c r="B269" s="37"/>
      <c r="C269" s="7"/>
      <c r="D269" s="7"/>
      <c r="E269" s="7"/>
      <c r="F269" s="7"/>
      <c r="G269" s="7"/>
    </row>
    <row r="270" spans="2:7">
      <c r="B270" s="37"/>
      <c r="C270" s="7"/>
      <c r="D270" s="7"/>
      <c r="E270" s="7"/>
      <c r="F270" s="7"/>
      <c r="G270" s="7"/>
    </row>
    <row r="271" spans="2:7">
      <c r="B271" s="37"/>
      <c r="C271" s="7"/>
      <c r="D271" s="7"/>
      <c r="E271" s="7"/>
      <c r="F271" s="7"/>
      <c r="G271" s="7"/>
    </row>
    <row r="272" spans="2:7">
      <c r="B272" s="37"/>
      <c r="C272" s="7"/>
      <c r="D272" s="7"/>
      <c r="E272" s="7"/>
      <c r="F272" s="7"/>
      <c r="G272" s="7"/>
    </row>
    <row r="273" spans="2:7">
      <c r="B273" s="37"/>
      <c r="C273" s="7"/>
      <c r="D273" s="7"/>
      <c r="E273" s="7"/>
      <c r="F273" s="7"/>
      <c r="G273" s="7"/>
    </row>
    <row r="274" spans="2:7">
      <c r="B274" s="37"/>
      <c r="C274" s="7"/>
      <c r="D274" s="7"/>
      <c r="E274" s="7"/>
      <c r="F274" s="7"/>
      <c r="G274" s="7"/>
    </row>
    <row r="275" spans="2:7">
      <c r="B275" s="37"/>
      <c r="C275" s="7"/>
      <c r="D275" s="7"/>
      <c r="E275" s="7"/>
      <c r="F275" s="7"/>
      <c r="G275" s="7"/>
    </row>
    <row r="276" spans="2:7">
      <c r="B276" s="37"/>
      <c r="C276" s="7"/>
      <c r="D276" s="7"/>
      <c r="E276" s="7"/>
      <c r="F276" s="7"/>
      <c r="G276" s="7"/>
    </row>
    <row r="277" spans="2:7">
      <c r="B277" s="37"/>
      <c r="C277" s="7"/>
      <c r="D277" s="7"/>
      <c r="E277" s="7"/>
      <c r="F277" s="7"/>
      <c r="G277" s="7"/>
    </row>
    <row r="278" spans="2:7">
      <c r="B278" s="37"/>
      <c r="C278" s="7"/>
      <c r="D278" s="7"/>
      <c r="E278" s="7"/>
      <c r="F278" s="7"/>
      <c r="G278" s="7"/>
    </row>
    <row r="279" spans="2:7">
      <c r="B279" s="37"/>
      <c r="C279" s="7"/>
      <c r="D279" s="7"/>
      <c r="E279" s="7"/>
      <c r="F279" s="7"/>
      <c r="G279" s="7"/>
    </row>
    <row r="280" spans="2:7">
      <c r="B280" s="37"/>
      <c r="C280" s="7"/>
      <c r="D280" s="7"/>
      <c r="E280" s="7"/>
      <c r="F280" s="7"/>
      <c r="G280" s="7"/>
    </row>
    <row r="281" spans="2:7">
      <c r="B281" s="37"/>
      <c r="C281" s="7"/>
      <c r="D281" s="7"/>
      <c r="E281" s="7"/>
      <c r="F281" s="7"/>
      <c r="G281" s="7"/>
    </row>
    <row r="282" spans="2:7">
      <c r="B282" s="37"/>
      <c r="C282" s="7"/>
      <c r="D282" s="7"/>
      <c r="E282" s="7"/>
      <c r="F282" s="7"/>
      <c r="G282" s="7"/>
    </row>
    <row r="283" spans="2:7">
      <c r="B283" s="37"/>
      <c r="C283" s="7"/>
      <c r="D283" s="7"/>
      <c r="E283" s="7"/>
      <c r="F283" s="7"/>
      <c r="G283" s="7"/>
    </row>
    <row r="284" spans="2:7">
      <c r="B284" s="37"/>
      <c r="C284" s="7"/>
      <c r="D284" s="7"/>
      <c r="E284" s="7"/>
      <c r="F284" s="7"/>
      <c r="G284" s="7"/>
    </row>
    <row r="285" spans="2:7">
      <c r="B285" s="37"/>
      <c r="C285" s="7"/>
      <c r="D285" s="7"/>
      <c r="E285" s="7"/>
      <c r="F285" s="7"/>
      <c r="G285" s="7"/>
    </row>
    <row r="286" spans="2:7">
      <c r="B286" s="37"/>
      <c r="C286" s="7"/>
      <c r="D286" s="7"/>
      <c r="E286" s="7"/>
      <c r="F286" s="7"/>
      <c r="G286" s="7"/>
    </row>
    <row r="287" spans="2:7">
      <c r="B287" s="37"/>
      <c r="C287" s="7"/>
      <c r="D287" s="7"/>
      <c r="E287" s="7"/>
      <c r="F287" s="7"/>
      <c r="G287" s="7"/>
    </row>
    <row r="288" spans="2:7">
      <c r="B288" s="37"/>
      <c r="C288" s="7"/>
      <c r="D288" s="7"/>
      <c r="E288" s="7"/>
      <c r="F288" s="7"/>
      <c r="G288" s="7"/>
    </row>
    <row r="289" spans="2:7">
      <c r="B289" s="37"/>
      <c r="C289" s="7"/>
      <c r="D289" s="7"/>
      <c r="E289" s="7"/>
      <c r="F289" s="7"/>
      <c r="G289" s="7"/>
    </row>
    <row r="290" spans="2:7">
      <c r="B290" s="37"/>
      <c r="C290" s="7"/>
      <c r="D290" s="7"/>
      <c r="E290" s="7"/>
      <c r="F290" s="7"/>
      <c r="G290" s="7"/>
    </row>
    <row r="291" spans="2:7">
      <c r="B291" s="37"/>
      <c r="C291" s="7"/>
      <c r="D291" s="7"/>
      <c r="E291" s="7"/>
      <c r="F291" s="7"/>
      <c r="G291" s="7"/>
    </row>
    <row r="292" spans="2:7">
      <c r="B292" s="37"/>
      <c r="C292" s="7"/>
      <c r="D292" s="7"/>
      <c r="E292" s="7"/>
      <c r="F292" s="7"/>
      <c r="G292" s="7"/>
    </row>
    <row r="293" spans="2:7">
      <c r="B293" s="37"/>
      <c r="C293" s="7"/>
      <c r="D293" s="7"/>
      <c r="E293" s="7"/>
      <c r="F293" s="7"/>
      <c r="G293" s="7"/>
    </row>
    <row r="294" spans="2:7">
      <c r="B294" s="37"/>
      <c r="C294" s="7"/>
      <c r="D294" s="7"/>
      <c r="E294" s="7"/>
      <c r="F294" s="7"/>
      <c r="G294" s="7"/>
    </row>
    <row r="295" spans="2:7">
      <c r="B295" s="37"/>
      <c r="C295" s="7"/>
      <c r="D295" s="7"/>
      <c r="E295" s="7"/>
      <c r="F295" s="7"/>
      <c r="G295" s="7"/>
    </row>
    <row r="296" spans="2:7">
      <c r="B296" s="37"/>
      <c r="C296" s="7"/>
      <c r="D296" s="7"/>
      <c r="E296" s="7"/>
      <c r="F296" s="7"/>
      <c r="G296" s="7"/>
    </row>
    <row r="297" spans="2:7">
      <c r="B297" s="37"/>
      <c r="C297" s="7"/>
      <c r="D297" s="7"/>
      <c r="E297" s="7"/>
      <c r="F297" s="7"/>
      <c r="G297" s="7"/>
    </row>
    <row r="298" spans="2:7">
      <c r="B298" s="37"/>
      <c r="C298" s="7"/>
      <c r="D298" s="7"/>
      <c r="E298" s="7"/>
      <c r="F298" s="7"/>
      <c r="G298" s="7"/>
    </row>
    <row r="299" spans="2:7">
      <c r="B299" s="37"/>
      <c r="C299" s="7"/>
      <c r="D299" s="7"/>
      <c r="E299" s="7"/>
      <c r="F299" s="7"/>
      <c r="G299" s="7"/>
    </row>
    <row r="300" spans="2:7">
      <c r="B300" s="37"/>
      <c r="C300" s="7"/>
      <c r="D300" s="7"/>
      <c r="E300" s="7"/>
      <c r="F300" s="7"/>
      <c r="G300" s="7"/>
    </row>
    <row r="301" spans="2:7">
      <c r="B301" s="37"/>
      <c r="C301" s="7"/>
      <c r="D301" s="7"/>
      <c r="E301" s="7"/>
      <c r="F301" s="7"/>
      <c r="G301" s="7"/>
    </row>
    <row r="302" spans="2:7">
      <c r="B302" s="37"/>
      <c r="C302" s="7"/>
      <c r="D302" s="7"/>
      <c r="E302" s="7"/>
      <c r="F302" s="7"/>
      <c r="G302" s="7"/>
    </row>
    <row r="303" spans="2:7">
      <c r="B303" s="37"/>
      <c r="C303" s="7"/>
      <c r="D303" s="7"/>
      <c r="E303" s="7"/>
      <c r="F303" s="7"/>
      <c r="G303" s="7"/>
    </row>
    <row r="304" spans="2:7">
      <c r="B304" s="37"/>
      <c r="C304" s="7"/>
      <c r="D304" s="7"/>
      <c r="E304" s="7"/>
      <c r="F304" s="7"/>
      <c r="G304" s="7"/>
    </row>
    <row r="305" spans="2:7">
      <c r="B305" s="37"/>
      <c r="C305" s="7"/>
      <c r="D305" s="7"/>
      <c r="E305" s="7"/>
      <c r="F305" s="7"/>
      <c r="G305" s="7"/>
    </row>
    <row r="306" spans="2:7">
      <c r="B306" s="37"/>
      <c r="C306" s="7"/>
      <c r="D306" s="7"/>
      <c r="E306" s="7"/>
      <c r="F306" s="7"/>
      <c r="G306" s="7"/>
    </row>
    <row r="307" spans="2:7">
      <c r="B307" s="37"/>
      <c r="C307" s="7"/>
      <c r="D307" s="7"/>
      <c r="E307" s="7"/>
      <c r="F307" s="7"/>
      <c r="G307" s="7"/>
    </row>
    <row r="308" spans="2:7">
      <c r="B308" s="37"/>
      <c r="C308" s="7"/>
      <c r="D308" s="7"/>
      <c r="E308" s="7"/>
      <c r="F308" s="7"/>
      <c r="G308" s="7"/>
    </row>
    <row r="309" spans="2:7">
      <c r="B309" s="37"/>
      <c r="C309" s="7"/>
      <c r="D309" s="7"/>
      <c r="E309" s="7"/>
      <c r="F309" s="7"/>
      <c r="G309" s="7"/>
    </row>
    <row r="310" spans="2:7">
      <c r="B310" s="37"/>
      <c r="C310" s="7"/>
      <c r="D310" s="7"/>
      <c r="E310" s="7"/>
      <c r="F310" s="7"/>
      <c r="G310" s="7"/>
    </row>
    <row r="311" spans="2:7">
      <c r="B311" s="37"/>
      <c r="C311" s="7"/>
      <c r="D311" s="7"/>
      <c r="E311" s="7"/>
      <c r="F311" s="7"/>
      <c r="G311" s="7"/>
    </row>
    <row r="312" spans="2:7">
      <c r="B312" s="37"/>
      <c r="C312" s="7"/>
      <c r="D312" s="7"/>
      <c r="E312" s="7"/>
      <c r="F312" s="7"/>
      <c r="G312" s="7"/>
    </row>
    <row r="313" spans="2:7">
      <c r="B313" s="37"/>
      <c r="C313" s="7"/>
      <c r="D313" s="7"/>
      <c r="E313" s="7"/>
      <c r="F313" s="7"/>
      <c r="G313" s="7"/>
    </row>
    <row r="314" spans="2:7">
      <c r="B314" s="37"/>
      <c r="C314" s="7"/>
      <c r="D314" s="7"/>
      <c r="E314" s="7"/>
      <c r="F314" s="7"/>
      <c r="G314" s="7"/>
    </row>
    <row r="315" spans="2:7">
      <c r="B315" s="37"/>
      <c r="C315" s="7"/>
      <c r="D315" s="7"/>
      <c r="E315" s="7"/>
      <c r="F315" s="7"/>
      <c r="G315" s="7"/>
    </row>
    <row r="316" spans="2:7">
      <c r="B316" s="37"/>
      <c r="C316" s="7"/>
      <c r="D316" s="7"/>
      <c r="E316" s="7"/>
      <c r="F316" s="7"/>
      <c r="G316" s="7"/>
    </row>
    <row r="317" spans="2:7">
      <c r="B317" s="37"/>
      <c r="C317" s="7"/>
      <c r="D317" s="7"/>
      <c r="E317" s="7"/>
      <c r="F317" s="7"/>
      <c r="G317" s="7"/>
    </row>
    <row r="318" spans="2:7">
      <c r="B318" s="37"/>
      <c r="C318" s="7"/>
      <c r="D318" s="7"/>
      <c r="E318" s="7"/>
      <c r="F318" s="7"/>
      <c r="G318" s="7"/>
    </row>
    <row r="319" spans="2:7">
      <c r="B319" s="37"/>
      <c r="C319" s="7"/>
      <c r="D319" s="7"/>
      <c r="E319" s="7"/>
      <c r="F319" s="7"/>
      <c r="G319" s="7"/>
    </row>
    <row r="320" spans="2:7">
      <c r="B320" s="37"/>
      <c r="C320" s="7"/>
      <c r="D320" s="7"/>
      <c r="E320" s="7"/>
      <c r="F320" s="7"/>
      <c r="G320" s="7"/>
    </row>
    <row r="321" spans="2:7">
      <c r="B321" s="37"/>
      <c r="C321" s="7"/>
      <c r="D321" s="7"/>
      <c r="E321" s="7"/>
      <c r="F321" s="7"/>
      <c r="G321" s="7"/>
    </row>
    <row r="322" spans="2:7">
      <c r="B322" s="37"/>
      <c r="C322" s="7"/>
      <c r="D322" s="7"/>
      <c r="E322" s="7"/>
      <c r="F322" s="7"/>
      <c r="G322" s="7"/>
    </row>
    <row r="323" spans="2:7">
      <c r="B323" s="37"/>
      <c r="C323" s="7"/>
      <c r="D323" s="7"/>
      <c r="E323" s="7"/>
      <c r="F323" s="7"/>
      <c r="G323" s="7"/>
    </row>
    <row r="324" spans="2:7">
      <c r="B324" s="37"/>
      <c r="C324" s="7"/>
      <c r="D324" s="7"/>
      <c r="E324" s="7"/>
      <c r="F324" s="7"/>
      <c r="G324" s="7"/>
    </row>
    <row r="325" spans="2:7">
      <c r="B325" s="37"/>
      <c r="C325" s="7"/>
      <c r="D325" s="7"/>
      <c r="E325" s="7"/>
      <c r="F325" s="7"/>
      <c r="G325" s="7"/>
    </row>
    <row r="326" spans="2:7">
      <c r="B326" s="37"/>
      <c r="C326" s="7"/>
      <c r="D326" s="7"/>
      <c r="E326" s="7"/>
      <c r="F326" s="7"/>
      <c r="G326" s="7"/>
    </row>
    <row r="327" spans="2:7">
      <c r="B327" s="37"/>
      <c r="C327" s="7"/>
      <c r="D327" s="7"/>
      <c r="E327" s="7"/>
      <c r="F327" s="7"/>
      <c r="G327" s="7"/>
    </row>
    <row r="328" spans="2:7">
      <c r="B328" s="37"/>
      <c r="C328" s="7"/>
      <c r="D328" s="7"/>
      <c r="E328" s="7"/>
      <c r="F328" s="7"/>
      <c r="G328" s="7"/>
    </row>
    <row r="329" spans="2:7">
      <c r="B329" s="37"/>
      <c r="C329" s="7"/>
      <c r="D329" s="7"/>
      <c r="E329" s="7"/>
      <c r="F329" s="7"/>
      <c r="G329" s="7"/>
    </row>
    <row r="330" spans="2:7">
      <c r="B330" s="37"/>
      <c r="C330" s="7"/>
      <c r="D330" s="7"/>
      <c r="E330" s="7"/>
      <c r="F330" s="7"/>
      <c r="G330" s="7"/>
    </row>
    <row r="331" spans="2:7">
      <c r="B331" s="37"/>
      <c r="C331" s="7"/>
      <c r="D331" s="7"/>
      <c r="E331" s="7"/>
      <c r="F331" s="7"/>
      <c r="G331" s="7"/>
    </row>
    <row r="332" spans="2:7">
      <c r="B332" s="37"/>
      <c r="C332" s="7"/>
      <c r="D332" s="7"/>
      <c r="E332" s="7"/>
      <c r="F332" s="7"/>
      <c r="G332" s="7"/>
    </row>
    <row r="333" spans="2:7">
      <c r="B333" s="37"/>
      <c r="C333" s="7"/>
      <c r="D333" s="7"/>
      <c r="E333" s="7"/>
      <c r="F333" s="7"/>
      <c r="G333" s="7"/>
    </row>
    <row r="334" spans="2:7">
      <c r="B334" s="37"/>
      <c r="C334" s="7"/>
      <c r="D334" s="7"/>
      <c r="E334" s="7"/>
      <c r="F334" s="7"/>
      <c r="G334" s="7"/>
    </row>
    <row r="335" spans="2:7">
      <c r="B335" s="37"/>
      <c r="C335" s="7"/>
      <c r="D335" s="7"/>
      <c r="E335" s="7"/>
      <c r="F335" s="7"/>
      <c r="G335" s="7"/>
    </row>
    <row r="336" spans="2:7">
      <c r="B336" s="37"/>
      <c r="C336" s="7"/>
      <c r="D336" s="7"/>
      <c r="E336" s="7"/>
      <c r="F336" s="7"/>
      <c r="G336" s="7"/>
    </row>
    <row r="337" spans="2:7">
      <c r="B337" s="37"/>
      <c r="C337" s="7"/>
      <c r="D337" s="7"/>
      <c r="E337" s="7"/>
      <c r="F337" s="7"/>
      <c r="G337" s="7"/>
    </row>
    <row r="338" spans="2:7">
      <c r="B338" s="37"/>
      <c r="C338" s="7"/>
      <c r="D338" s="7"/>
      <c r="E338" s="7"/>
      <c r="F338" s="7"/>
      <c r="G338" s="7"/>
    </row>
    <row r="339" spans="2:7">
      <c r="B339" s="37"/>
      <c r="C339" s="7"/>
      <c r="D339" s="7"/>
      <c r="E339" s="7"/>
      <c r="F339" s="7"/>
      <c r="G339" s="7"/>
    </row>
    <row r="340" spans="2:7">
      <c r="B340" s="37"/>
      <c r="C340" s="7"/>
      <c r="D340" s="7"/>
      <c r="E340" s="7"/>
      <c r="F340" s="7"/>
      <c r="G340" s="7"/>
    </row>
    <row r="341" spans="2:7">
      <c r="B341" s="37"/>
      <c r="C341" s="7"/>
      <c r="D341" s="7"/>
      <c r="E341" s="7"/>
      <c r="F341" s="7"/>
      <c r="G341" s="7"/>
    </row>
    <row r="342" spans="2:7">
      <c r="B342" s="37"/>
      <c r="C342" s="7"/>
      <c r="D342" s="7"/>
      <c r="E342" s="7"/>
      <c r="F342" s="7"/>
      <c r="G342" s="7"/>
    </row>
    <row r="343" spans="2:7">
      <c r="B343" s="37"/>
      <c r="C343" s="7"/>
      <c r="D343" s="7"/>
      <c r="E343" s="7"/>
      <c r="F343" s="7"/>
      <c r="G343" s="7"/>
    </row>
    <row r="344" spans="2:7">
      <c r="B344" s="37"/>
      <c r="C344" s="7"/>
      <c r="D344" s="7"/>
      <c r="E344" s="7"/>
      <c r="F344" s="7"/>
      <c r="G344" s="7"/>
    </row>
    <row r="345" spans="2:7">
      <c r="B345" s="37"/>
      <c r="C345" s="7"/>
      <c r="D345" s="7"/>
      <c r="E345" s="7"/>
      <c r="F345" s="7"/>
      <c r="G345" s="7"/>
    </row>
    <row r="346" spans="2:7">
      <c r="B346" s="37"/>
      <c r="C346" s="7"/>
      <c r="D346" s="7"/>
      <c r="E346" s="7"/>
      <c r="F346" s="7"/>
      <c r="G346" s="7"/>
    </row>
    <row r="347" spans="2:7">
      <c r="B347" s="37"/>
      <c r="C347" s="7"/>
      <c r="D347" s="7"/>
      <c r="E347" s="7"/>
      <c r="F347" s="7"/>
      <c r="G347" s="7"/>
    </row>
    <row r="348" spans="2:7">
      <c r="B348" s="37"/>
      <c r="C348" s="7"/>
      <c r="D348" s="7"/>
      <c r="E348" s="7"/>
      <c r="F348" s="7"/>
      <c r="G348" s="7"/>
    </row>
    <row r="349" spans="2:7">
      <c r="B349" s="37"/>
      <c r="C349" s="7"/>
      <c r="D349" s="7"/>
      <c r="E349" s="7"/>
      <c r="F349" s="7"/>
      <c r="G349" s="7"/>
    </row>
    <row r="350" spans="2:7">
      <c r="B350" s="37"/>
      <c r="C350" s="7"/>
      <c r="D350" s="7"/>
      <c r="E350" s="7"/>
      <c r="F350" s="7"/>
      <c r="G350" s="7"/>
    </row>
    <row r="351" spans="2:7">
      <c r="B351" s="37"/>
      <c r="C351" s="7"/>
      <c r="D351" s="7"/>
      <c r="E351" s="7"/>
      <c r="F351" s="7"/>
      <c r="G351" s="7"/>
    </row>
    <row r="352" spans="2:7">
      <c r="B352" s="37"/>
      <c r="C352" s="7"/>
      <c r="D352" s="7"/>
      <c r="E352" s="7"/>
      <c r="F352" s="7"/>
      <c r="G352" s="7"/>
    </row>
    <row r="353" spans="2:7">
      <c r="B353" s="37"/>
      <c r="C353" s="7"/>
      <c r="D353" s="7"/>
      <c r="E353" s="7"/>
      <c r="F353" s="7"/>
      <c r="G353" s="7"/>
    </row>
    <row r="354" spans="2:7">
      <c r="B354" s="37"/>
      <c r="C354" s="7"/>
      <c r="D354" s="7"/>
      <c r="E354" s="7"/>
      <c r="F354" s="7"/>
      <c r="G354" s="7"/>
    </row>
    <row r="355" spans="2:7">
      <c r="B355" s="37"/>
      <c r="C355" s="7"/>
      <c r="D355" s="7"/>
      <c r="E355" s="7"/>
      <c r="F355" s="7"/>
      <c r="G355" s="7"/>
    </row>
    <row r="356" spans="2:7">
      <c r="B356" s="37"/>
      <c r="C356" s="7"/>
      <c r="D356" s="7"/>
      <c r="E356" s="7"/>
      <c r="F356" s="7"/>
      <c r="G356" s="7"/>
    </row>
    <row r="357" spans="2:7">
      <c r="B357" s="37"/>
      <c r="C357" s="7"/>
      <c r="D357" s="7"/>
      <c r="E357" s="7"/>
      <c r="F357" s="7"/>
      <c r="G357" s="7"/>
    </row>
    <row r="358" spans="2:7">
      <c r="B358" s="37"/>
      <c r="C358" s="7"/>
      <c r="D358" s="7"/>
      <c r="E358" s="7"/>
      <c r="F358" s="7"/>
      <c r="G358" s="7"/>
    </row>
    <row r="359" spans="2:7">
      <c r="B359" s="37"/>
      <c r="C359" s="7"/>
      <c r="D359" s="7"/>
      <c r="E359" s="7"/>
      <c r="F359" s="7"/>
      <c r="G359" s="7"/>
    </row>
    <row r="360" spans="2:7">
      <c r="B360" s="37"/>
      <c r="C360" s="7"/>
      <c r="D360" s="7"/>
      <c r="E360" s="7"/>
      <c r="F360" s="7"/>
      <c r="G360" s="7"/>
    </row>
    <row r="361" spans="2:7">
      <c r="B361" s="37"/>
      <c r="C361" s="7"/>
      <c r="D361" s="7"/>
      <c r="E361" s="7"/>
      <c r="F361" s="7"/>
      <c r="G361" s="7"/>
    </row>
    <row r="362" spans="2:7">
      <c r="B362" s="37"/>
      <c r="C362" s="7"/>
      <c r="D362" s="7"/>
      <c r="E362" s="7"/>
      <c r="F362" s="7"/>
      <c r="G362" s="7"/>
    </row>
    <row r="363" spans="2:7">
      <c r="B363" s="37"/>
      <c r="C363" s="7"/>
      <c r="D363" s="7"/>
      <c r="E363" s="7"/>
      <c r="F363" s="7"/>
      <c r="G363" s="7"/>
    </row>
    <row r="364" spans="2:7">
      <c r="B364" s="37"/>
      <c r="C364" s="7"/>
      <c r="D364" s="7"/>
      <c r="E364" s="7"/>
      <c r="F364" s="7"/>
      <c r="G364" s="7"/>
    </row>
    <row r="365" spans="2:7">
      <c r="B365" s="37"/>
      <c r="C365" s="7"/>
      <c r="D365" s="7"/>
      <c r="E365" s="7"/>
      <c r="F365" s="7"/>
      <c r="G365" s="7"/>
    </row>
    <row r="366" spans="2:7">
      <c r="B366" s="37"/>
      <c r="C366" s="7"/>
      <c r="D366" s="7"/>
      <c r="E366" s="7"/>
      <c r="F366" s="7"/>
      <c r="G366" s="7"/>
    </row>
    <row r="367" spans="2:7">
      <c r="B367" s="37"/>
      <c r="C367" s="7"/>
      <c r="D367" s="7"/>
      <c r="E367" s="7"/>
      <c r="F367" s="7"/>
      <c r="G367" s="7"/>
    </row>
    <row r="368" spans="2:7">
      <c r="B368" s="37"/>
      <c r="C368" s="7"/>
      <c r="D368" s="7"/>
      <c r="E368" s="7"/>
      <c r="F368" s="7"/>
      <c r="G368" s="7"/>
    </row>
    <row r="369" spans="2:7">
      <c r="B369" s="37"/>
      <c r="C369" s="7"/>
      <c r="D369" s="7"/>
      <c r="E369" s="7"/>
      <c r="F369" s="7"/>
      <c r="G369" s="7"/>
    </row>
    <row r="370" spans="2:7">
      <c r="B370" s="37"/>
      <c r="C370" s="7"/>
      <c r="D370" s="7"/>
      <c r="E370" s="7"/>
      <c r="F370" s="7"/>
      <c r="G370" s="7"/>
    </row>
    <row r="371" spans="2:7">
      <c r="B371" s="37"/>
      <c r="C371" s="7"/>
      <c r="D371" s="7"/>
      <c r="E371" s="7"/>
      <c r="F371" s="7"/>
      <c r="G371" s="7"/>
    </row>
    <row r="372" spans="2:7">
      <c r="B372" s="37"/>
      <c r="C372" s="7"/>
      <c r="D372" s="7"/>
      <c r="E372" s="7"/>
      <c r="F372" s="7"/>
      <c r="G372" s="7"/>
    </row>
    <row r="373" spans="2:7">
      <c r="B373" s="37"/>
      <c r="C373" s="7"/>
      <c r="D373" s="7"/>
      <c r="E373" s="7"/>
      <c r="F373" s="7"/>
      <c r="G373" s="7"/>
    </row>
    <row r="374" spans="2:7">
      <c r="B374" s="37"/>
      <c r="C374" s="7"/>
      <c r="D374" s="7"/>
      <c r="E374" s="7"/>
      <c r="F374" s="7"/>
      <c r="G374" s="7"/>
    </row>
    <row r="375" spans="2:7">
      <c r="B375" s="37"/>
      <c r="C375" s="7"/>
      <c r="D375" s="7"/>
      <c r="E375" s="7"/>
      <c r="F375" s="7"/>
      <c r="G375" s="7"/>
    </row>
    <row r="376" spans="2:7">
      <c r="B376" s="37"/>
      <c r="C376" s="7"/>
      <c r="D376" s="7"/>
      <c r="E376" s="7"/>
      <c r="F376" s="7"/>
      <c r="G376" s="7"/>
    </row>
    <row r="377" spans="2:7">
      <c r="B377" s="37"/>
      <c r="C377" s="7"/>
      <c r="D377" s="7"/>
      <c r="E377" s="7"/>
      <c r="F377" s="7"/>
      <c r="G377" s="7"/>
    </row>
    <row r="378" spans="2:7">
      <c r="B378" s="37"/>
      <c r="C378" s="7"/>
      <c r="D378" s="7"/>
      <c r="E378" s="7"/>
      <c r="F378" s="7"/>
      <c r="G378" s="7"/>
    </row>
    <row r="379" spans="2:7">
      <c r="B379" s="37"/>
      <c r="C379" s="7"/>
      <c r="D379" s="7"/>
      <c r="E379" s="7"/>
      <c r="F379" s="7"/>
      <c r="G379" s="7"/>
    </row>
    <row r="380" spans="2:7">
      <c r="B380" s="37"/>
      <c r="C380" s="7"/>
      <c r="D380" s="7"/>
      <c r="E380" s="7"/>
      <c r="F380" s="7"/>
      <c r="G380" s="7"/>
    </row>
    <row r="381" spans="2:7">
      <c r="B381" s="37"/>
      <c r="C381" s="7"/>
      <c r="D381" s="7"/>
      <c r="E381" s="7"/>
      <c r="F381" s="7"/>
      <c r="G381" s="7"/>
    </row>
    <row r="382" spans="2:7">
      <c r="B382" s="37"/>
      <c r="C382" s="7"/>
      <c r="D382" s="7"/>
      <c r="E382" s="7"/>
      <c r="F382" s="7"/>
      <c r="G382" s="7"/>
    </row>
    <row r="383" spans="2:7">
      <c r="B383" s="37"/>
      <c r="C383" s="7"/>
      <c r="D383" s="7"/>
      <c r="E383" s="7"/>
      <c r="F383" s="7"/>
      <c r="G383" s="7"/>
    </row>
    <row r="384" spans="2:7">
      <c r="B384" s="37"/>
      <c r="C384" s="7"/>
      <c r="D384" s="7"/>
      <c r="E384" s="7"/>
      <c r="F384" s="7"/>
      <c r="G384" s="7"/>
    </row>
    <row r="385" spans="2:7">
      <c r="B385" s="37"/>
      <c r="C385" s="7"/>
      <c r="D385" s="7"/>
      <c r="E385" s="7"/>
      <c r="F385" s="7"/>
      <c r="G385" s="7"/>
    </row>
    <row r="386" spans="2:7">
      <c r="B386" s="37"/>
      <c r="C386" s="7"/>
      <c r="D386" s="7"/>
      <c r="E386" s="7"/>
      <c r="F386" s="7"/>
      <c r="G386" s="7"/>
    </row>
    <row r="387" spans="2:7">
      <c r="B387" s="37"/>
      <c r="C387" s="7"/>
      <c r="D387" s="7"/>
      <c r="E387" s="7"/>
      <c r="F387" s="7"/>
      <c r="G387" s="7"/>
    </row>
    <row r="388" spans="2:7">
      <c r="B388" s="37"/>
      <c r="C388" s="7"/>
      <c r="D388" s="7"/>
      <c r="E388" s="7"/>
      <c r="F388" s="7"/>
      <c r="G388" s="7"/>
    </row>
    <row r="389" spans="2:7">
      <c r="B389" s="37"/>
      <c r="C389" s="7"/>
      <c r="D389" s="7"/>
      <c r="E389" s="7"/>
      <c r="F389" s="7"/>
      <c r="G389" s="7"/>
    </row>
    <row r="390" spans="2:7">
      <c r="B390" s="37"/>
      <c r="C390" s="7"/>
      <c r="D390" s="7"/>
      <c r="E390" s="7"/>
      <c r="F390" s="7"/>
      <c r="G390" s="7"/>
    </row>
    <row r="391" spans="2:7">
      <c r="B391" s="37"/>
      <c r="C391" s="7"/>
      <c r="D391" s="7"/>
      <c r="E391" s="7"/>
      <c r="F391" s="7"/>
      <c r="G391" s="7"/>
    </row>
    <row r="392" spans="2:7">
      <c r="B392" s="37"/>
      <c r="C392" s="7"/>
      <c r="D392" s="7"/>
      <c r="E392" s="7"/>
      <c r="F392" s="7"/>
      <c r="G392" s="7"/>
    </row>
    <row r="393" spans="2:7">
      <c r="B393" s="37"/>
      <c r="C393" s="7"/>
      <c r="D393" s="7"/>
      <c r="E393" s="7"/>
      <c r="F393" s="7"/>
      <c r="G393" s="7"/>
    </row>
    <row r="394" spans="2:7">
      <c r="B394" s="37"/>
      <c r="C394" s="7"/>
      <c r="D394" s="7"/>
      <c r="E394" s="7"/>
      <c r="F394" s="7"/>
      <c r="G394" s="7"/>
    </row>
    <row r="395" spans="2:7">
      <c r="B395" s="37"/>
      <c r="C395" s="7"/>
      <c r="D395" s="7"/>
      <c r="E395" s="7"/>
      <c r="F395" s="7"/>
      <c r="G395" s="7"/>
    </row>
    <row r="396" spans="2:7">
      <c r="B396" s="37"/>
      <c r="C396" s="7"/>
      <c r="D396" s="7"/>
      <c r="E396" s="7"/>
      <c r="F396" s="7"/>
      <c r="G396" s="7"/>
    </row>
    <row r="397" spans="2:7">
      <c r="B397" s="37"/>
      <c r="C397" s="7"/>
      <c r="D397" s="7"/>
      <c r="E397" s="7"/>
      <c r="F397" s="7"/>
      <c r="G397" s="7"/>
    </row>
    <row r="398" spans="2:7">
      <c r="B398" s="37"/>
      <c r="C398" s="7"/>
      <c r="D398" s="7"/>
      <c r="E398" s="7"/>
      <c r="F398" s="7"/>
      <c r="G398" s="7"/>
    </row>
    <row r="399" spans="2:7">
      <c r="B399" s="37"/>
      <c r="C399" s="7"/>
      <c r="D399" s="7"/>
      <c r="E399" s="7"/>
      <c r="F399" s="7"/>
      <c r="G399" s="7"/>
    </row>
    <row r="400" spans="2:7">
      <c r="B400" s="37"/>
      <c r="C400" s="7"/>
      <c r="D400" s="7"/>
      <c r="E400" s="7"/>
      <c r="F400" s="7"/>
      <c r="G400" s="7"/>
    </row>
    <row r="401" spans="2:7">
      <c r="B401" s="37"/>
      <c r="C401" s="7"/>
      <c r="D401" s="7"/>
      <c r="E401" s="7"/>
      <c r="F401" s="7"/>
      <c r="G401" s="7"/>
    </row>
    <row r="402" spans="2:7">
      <c r="B402" s="37"/>
      <c r="C402" s="7"/>
      <c r="D402" s="7"/>
      <c r="E402" s="7"/>
      <c r="F402" s="7"/>
      <c r="G402" s="7"/>
    </row>
    <row r="403" spans="2:7">
      <c r="B403" s="37"/>
      <c r="C403" s="7"/>
      <c r="D403" s="7"/>
      <c r="E403" s="7"/>
      <c r="F403" s="7"/>
      <c r="G403" s="7"/>
    </row>
    <row r="404" spans="2:7">
      <c r="B404" s="37"/>
      <c r="C404" s="7"/>
      <c r="D404" s="7"/>
      <c r="E404" s="7"/>
      <c r="F404" s="7"/>
      <c r="G404" s="7"/>
    </row>
    <row r="405" spans="2:7">
      <c r="B405" s="37"/>
      <c r="C405" s="7"/>
      <c r="D405" s="7"/>
      <c r="E405" s="7"/>
      <c r="F405" s="7"/>
      <c r="G405" s="7"/>
    </row>
    <row r="406" spans="2:7">
      <c r="B406" s="37"/>
      <c r="C406" s="7"/>
      <c r="D406" s="7"/>
      <c r="E406" s="7"/>
      <c r="F406" s="7"/>
      <c r="G406" s="7"/>
    </row>
    <row r="407" spans="2:7">
      <c r="B407" s="37"/>
      <c r="C407" s="7"/>
      <c r="D407" s="7"/>
      <c r="E407" s="7"/>
      <c r="F407" s="7"/>
      <c r="G407" s="7"/>
    </row>
    <row r="408" spans="2:7">
      <c r="B408" s="37"/>
      <c r="C408" s="7"/>
      <c r="D408" s="7"/>
      <c r="E408" s="7"/>
      <c r="F408" s="7"/>
      <c r="G408" s="7"/>
    </row>
    <row r="409" spans="2:7">
      <c r="B409" s="37"/>
      <c r="C409" s="7"/>
      <c r="D409" s="7"/>
      <c r="E409" s="7"/>
      <c r="F409" s="7"/>
      <c r="G409" s="7"/>
    </row>
    <row r="410" spans="2:7">
      <c r="B410" s="37"/>
      <c r="C410" s="7"/>
      <c r="D410" s="7"/>
      <c r="E410" s="7"/>
      <c r="F410" s="7"/>
      <c r="G410" s="7"/>
    </row>
    <row r="411" spans="2:7">
      <c r="B411" s="37"/>
      <c r="C411" s="7"/>
      <c r="D411" s="7"/>
      <c r="E411" s="7"/>
      <c r="F411" s="7"/>
      <c r="G411" s="7"/>
    </row>
    <row r="412" spans="2:7">
      <c r="B412" s="37"/>
      <c r="C412" s="7"/>
      <c r="D412" s="7"/>
      <c r="E412" s="7"/>
      <c r="F412" s="7"/>
      <c r="G412" s="7"/>
    </row>
    <row r="413" spans="2:7">
      <c r="B413" s="37"/>
      <c r="C413" s="7"/>
      <c r="D413" s="7"/>
      <c r="E413" s="7"/>
      <c r="F413" s="7"/>
      <c r="G413" s="7"/>
    </row>
    <row r="414" spans="2:7">
      <c r="B414" s="37"/>
      <c r="C414" s="7"/>
      <c r="D414" s="7"/>
      <c r="E414" s="7"/>
      <c r="F414" s="7"/>
      <c r="G414" s="7"/>
    </row>
    <row r="415" spans="2:7">
      <c r="B415" s="37"/>
      <c r="C415" s="7"/>
      <c r="D415" s="7"/>
      <c r="E415" s="7"/>
      <c r="F415" s="7"/>
      <c r="G415" s="7"/>
    </row>
    <row r="416" spans="2:7">
      <c r="B416" s="37"/>
      <c r="C416" s="7"/>
      <c r="D416" s="7"/>
      <c r="E416" s="7"/>
      <c r="F416" s="7"/>
      <c r="G416" s="7"/>
    </row>
    <row r="417" spans="2:7">
      <c r="B417" s="37"/>
      <c r="C417" s="7"/>
      <c r="D417" s="7"/>
      <c r="E417" s="7"/>
      <c r="F417" s="7"/>
      <c r="G417" s="7"/>
    </row>
    <row r="418" spans="2:7">
      <c r="B418" s="37"/>
      <c r="C418" s="7"/>
      <c r="D418" s="7"/>
      <c r="E418" s="7"/>
      <c r="F418" s="7"/>
      <c r="G418" s="7"/>
    </row>
    <row r="419" spans="2:7">
      <c r="B419" s="37"/>
      <c r="C419" s="7"/>
      <c r="D419" s="7"/>
      <c r="E419" s="7"/>
      <c r="F419" s="7"/>
      <c r="G419" s="7"/>
    </row>
    <row r="420" spans="2:7">
      <c r="B420" s="37"/>
      <c r="C420" s="7"/>
      <c r="D420" s="7"/>
      <c r="E420" s="7"/>
      <c r="F420" s="7"/>
      <c r="G420" s="7"/>
    </row>
    <row r="421" spans="2:7">
      <c r="B421" s="37"/>
      <c r="C421" s="7"/>
      <c r="D421" s="7"/>
      <c r="E421" s="7"/>
      <c r="F421" s="7"/>
      <c r="G421" s="7"/>
    </row>
    <row r="422" spans="2:7">
      <c r="B422" s="37"/>
      <c r="C422" s="7"/>
      <c r="D422" s="7"/>
      <c r="E422" s="7"/>
      <c r="F422" s="7"/>
      <c r="G422" s="7"/>
    </row>
    <row r="423" spans="2:7">
      <c r="B423" s="37"/>
      <c r="C423" s="7"/>
      <c r="D423" s="7"/>
      <c r="E423" s="7"/>
      <c r="F423" s="7"/>
      <c r="G423" s="7"/>
    </row>
    <row r="424" spans="2:7">
      <c r="B424" s="37"/>
      <c r="C424" s="7"/>
      <c r="D424" s="7"/>
      <c r="E424" s="7"/>
      <c r="F424" s="7"/>
      <c r="G424" s="7"/>
    </row>
    <row r="425" spans="2:7">
      <c r="B425" s="37"/>
      <c r="C425" s="7"/>
      <c r="D425" s="7"/>
      <c r="E425" s="7"/>
      <c r="F425" s="7"/>
      <c r="G425" s="7"/>
    </row>
    <row r="426" spans="2:7">
      <c r="B426" s="37"/>
      <c r="C426" s="7"/>
      <c r="D426" s="7"/>
      <c r="E426" s="7"/>
      <c r="F426" s="7"/>
      <c r="G426" s="7"/>
    </row>
    <row r="427" spans="2:7">
      <c r="B427" s="37"/>
      <c r="C427" s="7"/>
      <c r="D427" s="7"/>
      <c r="E427" s="7"/>
      <c r="F427" s="7"/>
      <c r="G427" s="7"/>
    </row>
    <row r="428" spans="2:7">
      <c r="B428" s="37"/>
      <c r="C428" s="7"/>
      <c r="D428" s="7"/>
      <c r="E428" s="7"/>
      <c r="F428" s="7"/>
      <c r="G428" s="7"/>
    </row>
    <row r="429" spans="2:7">
      <c r="B429" s="37"/>
      <c r="C429" s="7"/>
      <c r="D429" s="7"/>
      <c r="E429" s="7"/>
      <c r="F429" s="7"/>
      <c r="G429" s="7"/>
    </row>
    <row r="430" spans="2:7">
      <c r="B430" s="37"/>
      <c r="C430" s="7"/>
      <c r="D430" s="7"/>
      <c r="E430" s="7"/>
      <c r="F430" s="7"/>
      <c r="G430" s="7"/>
    </row>
    <row r="431" spans="2:7">
      <c r="B431" s="37"/>
      <c r="C431" s="7"/>
      <c r="D431" s="7"/>
      <c r="E431" s="7"/>
      <c r="F431" s="7"/>
      <c r="G431" s="7"/>
    </row>
    <row r="432" spans="2:7">
      <c r="B432" s="37"/>
      <c r="C432" s="7"/>
      <c r="D432" s="7"/>
      <c r="E432" s="7"/>
      <c r="F432" s="7"/>
      <c r="G432" s="7"/>
    </row>
    <row r="433" spans="2:7">
      <c r="B433" s="37"/>
      <c r="C433" s="7"/>
      <c r="D433" s="7"/>
      <c r="E433" s="7"/>
      <c r="F433" s="7"/>
      <c r="G433" s="7"/>
    </row>
    <row r="434" spans="2:7">
      <c r="B434" s="37"/>
      <c r="C434" s="7"/>
      <c r="D434" s="7"/>
      <c r="E434" s="7"/>
      <c r="F434" s="7"/>
      <c r="G434" s="7"/>
    </row>
    <row r="435" spans="2:7">
      <c r="B435" s="37"/>
      <c r="C435" s="7"/>
      <c r="D435" s="7"/>
      <c r="E435" s="7"/>
      <c r="F435" s="7"/>
      <c r="G435" s="7"/>
    </row>
    <row r="436" spans="2:7">
      <c r="B436" s="37"/>
      <c r="C436" s="7"/>
      <c r="D436" s="7"/>
      <c r="E436" s="7"/>
      <c r="F436" s="7"/>
      <c r="G436" s="7"/>
    </row>
    <row r="437" spans="2:7">
      <c r="B437" s="37"/>
      <c r="C437" s="7"/>
      <c r="D437" s="7"/>
      <c r="E437" s="7"/>
      <c r="F437" s="7"/>
      <c r="G437" s="7"/>
    </row>
    <row r="438" spans="2:7">
      <c r="B438" s="37"/>
      <c r="C438" s="7"/>
      <c r="D438" s="7"/>
      <c r="E438" s="7"/>
      <c r="F438" s="7"/>
      <c r="G438" s="7"/>
    </row>
    <row r="439" spans="2:7">
      <c r="B439" s="37"/>
      <c r="C439" s="7"/>
      <c r="D439" s="7"/>
      <c r="E439" s="7"/>
      <c r="F439" s="7"/>
      <c r="G439" s="7"/>
    </row>
    <row r="440" spans="2:7">
      <c r="B440" s="37"/>
      <c r="C440" s="7"/>
      <c r="D440" s="7"/>
      <c r="E440" s="7"/>
      <c r="F440" s="7"/>
      <c r="G440" s="7"/>
    </row>
    <row r="441" spans="2:7">
      <c r="B441" s="37"/>
      <c r="C441" s="7"/>
      <c r="D441" s="7"/>
      <c r="E441" s="7"/>
      <c r="F441" s="7"/>
      <c r="G441" s="7"/>
    </row>
    <row r="442" spans="2:7">
      <c r="B442" s="37"/>
      <c r="C442" s="7"/>
      <c r="D442" s="7"/>
      <c r="E442" s="7"/>
      <c r="F442" s="7"/>
      <c r="G442" s="7"/>
    </row>
    <row r="443" spans="2:7">
      <c r="B443" s="37"/>
      <c r="C443" s="7"/>
      <c r="D443" s="7"/>
      <c r="E443" s="7"/>
      <c r="F443" s="7"/>
      <c r="G443" s="7"/>
    </row>
    <row r="444" spans="2:7">
      <c r="B444" s="37"/>
      <c r="C444" s="7"/>
      <c r="D444" s="7"/>
      <c r="E444" s="7"/>
      <c r="F444" s="7"/>
      <c r="G444" s="7"/>
    </row>
    <row r="445" spans="2:7">
      <c r="B445" s="37"/>
      <c r="C445" s="7"/>
      <c r="D445" s="7"/>
      <c r="E445" s="7"/>
      <c r="F445" s="7"/>
      <c r="G445" s="7"/>
    </row>
    <row r="446" spans="2:7">
      <c r="B446" s="37"/>
      <c r="C446" s="7"/>
      <c r="D446" s="7"/>
      <c r="E446" s="7"/>
      <c r="F446" s="7"/>
      <c r="G446" s="7"/>
    </row>
    <row r="447" spans="2:7">
      <c r="B447" s="37"/>
      <c r="C447" s="7"/>
      <c r="D447" s="7"/>
      <c r="E447" s="7"/>
      <c r="F447" s="7"/>
      <c r="G447" s="7"/>
    </row>
    <row r="448" spans="2:7">
      <c r="B448" s="37"/>
      <c r="C448" s="7"/>
      <c r="D448" s="7"/>
      <c r="E448" s="7"/>
      <c r="F448" s="7"/>
      <c r="G448" s="7"/>
    </row>
    <row r="449" spans="2:7">
      <c r="B449" s="37"/>
      <c r="C449" s="7"/>
      <c r="D449" s="7"/>
      <c r="E449" s="7"/>
      <c r="F449" s="7"/>
      <c r="G449" s="7"/>
    </row>
    <row r="450" spans="2:7">
      <c r="B450" s="37"/>
      <c r="C450" s="7"/>
      <c r="D450" s="7"/>
      <c r="E450" s="7"/>
      <c r="F450" s="7"/>
      <c r="G450" s="7"/>
    </row>
    <row r="451" spans="2:7">
      <c r="B451" s="37"/>
      <c r="C451" s="7"/>
      <c r="D451" s="7"/>
      <c r="E451" s="7"/>
      <c r="F451" s="7"/>
      <c r="G451" s="7"/>
    </row>
    <row r="452" spans="2:7">
      <c r="B452" s="37"/>
      <c r="C452" s="7"/>
      <c r="D452" s="7"/>
      <c r="E452" s="7"/>
      <c r="F452" s="7"/>
      <c r="G452" s="7"/>
    </row>
    <row r="453" spans="2:7">
      <c r="B453" s="37"/>
      <c r="C453" s="7"/>
      <c r="D453" s="7"/>
      <c r="E453" s="7"/>
      <c r="F453" s="7"/>
      <c r="G453" s="7"/>
    </row>
    <row r="454" spans="2:7">
      <c r="B454" s="37"/>
      <c r="C454" s="7"/>
      <c r="D454" s="7"/>
      <c r="E454" s="7"/>
      <c r="F454" s="7"/>
      <c r="G454" s="7"/>
    </row>
    <row r="455" spans="2:7">
      <c r="B455" s="37"/>
      <c r="C455" s="7"/>
      <c r="D455" s="7"/>
      <c r="E455" s="7"/>
      <c r="F455" s="7"/>
      <c r="G455" s="7"/>
    </row>
    <row r="456" spans="2:7">
      <c r="B456" s="37"/>
      <c r="C456" s="7"/>
      <c r="D456" s="7"/>
      <c r="E456" s="7"/>
      <c r="F456" s="7"/>
      <c r="G456" s="7"/>
    </row>
    <row r="457" spans="2:7">
      <c r="B457" s="37"/>
      <c r="C457" s="7"/>
      <c r="D457" s="7"/>
      <c r="E457" s="7"/>
      <c r="F457" s="7"/>
      <c r="G457" s="7"/>
    </row>
    <row r="458" spans="2:7">
      <c r="B458" s="37"/>
      <c r="C458" s="7"/>
      <c r="D458" s="7"/>
      <c r="E458" s="7"/>
      <c r="F458" s="7"/>
      <c r="G458" s="7"/>
    </row>
    <row r="459" spans="2:7">
      <c r="B459" s="37"/>
      <c r="C459" s="7"/>
      <c r="D459" s="7"/>
      <c r="E459" s="7"/>
      <c r="F459" s="7"/>
      <c r="G459" s="7"/>
    </row>
    <row r="460" spans="2:7">
      <c r="B460" s="37"/>
      <c r="C460" s="7"/>
      <c r="D460" s="7"/>
      <c r="E460" s="7"/>
      <c r="F460" s="7"/>
      <c r="G460" s="7"/>
    </row>
    <row r="461" spans="2:7">
      <c r="B461" s="37"/>
      <c r="C461" s="7"/>
      <c r="D461" s="7"/>
      <c r="E461" s="7"/>
      <c r="F461" s="7"/>
      <c r="G461" s="7"/>
    </row>
    <row r="462" spans="2:7">
      <c r="B462" s="37"/>
      <c r="C462" s="7"/>
      <c r="D462" s="7"/>
      <c r="E462" s="7"/>
      <c r="F462" s="7"/>
      <c r="G462" s="7"/>
    </row>
    <row r="463" spans="2:7">
      <c r="B463" s="37"/>
      <c r="C463" s="7"/>
      <c r="D463" s="7"/>
      <c r="E463" s="7"/>
      <c r="F463" s="7"/>
      <c r="G463" s="7"/>
    </row>
    <row r="464" spans="2:7">
      <c r="B464" s="37"/>
      <c r="C464" s="7"/>
      <c r="D464" s="7"/>
      <c r="E464" s="7"/>
      <c r="F464" s="7"/>
      <c r="G464" s="7"/>
    </row>
    <row r="465" spans="2:7">
      <c r="B465" s="37"/>
      <c r="C465" s="7"/>
      <c r="D465" s="7"/>
      <c r="E465" s="7"/>
      <c r="F465" s="7"/>
      <c r="G465" s="7"/>
    </row>
    <row r="466" spans="2:7">
      <c r="B466" s="37"/>
      <c r="C466" s="7"/>
      <c r="D466" s="7"/>
      <c r="E466" s="7"/>
      <c r="F466" s="7"/>
      <c r="G466" s="7"/>
    </row>
    <row r="467" spans="2:7">
      <c r="B467" s="37"/>
      <c r="C467" s="7"/>
      <c r="D467" s="7"/>
      <c r="E467" s="7"/>
      <c r="F467" s="7"/>
      <c r="G467" s="7"/>
    </row>
    <row r="468" spans="2:7">
      <c r="B468" s="37"/>
      <c r="C468" s="7"/>
      <c r="D468" s="7"/>
      <c r="E468" s="7"/>
      <c r="F468" s="7"/>
      <c r="G468" s="7"/>
    </row>
    <row r="469" spans="2:7">
      <c r="B469" s="37"/>
      <c r="C469" s="7"/>
      <c r="D469" s="7"/>
      <c r="E469" s="7"/>
      <c r="F469" s="7"/>
      <c r="G469" s="7"/>
    </row>
    <row r="470" spans="2:7">
      <c r="B470" s="37"/>
      <c r="C470" s="7"/>
      <c r="D470" s="7"/>
      <c r="E470" s="7"/>
      <c r="F470" s="7"/>
      <c r="G470" s="7"/>
    </row>
    <row r="471" spans="2:7">
      <c r="B471" s="37"/>
      <c r="C471" s="7"/>
      <c r="D471" s="7"/>
      <c r="E471" s="7"/>
      <c r="F471" s="7"/>
      <c r="G471" s="7"/>
    </row>
    <row r="472" spans="2:7">
      <c r="B472" s="37"/>
      <c r="C472" s="7"/>
      <c r="D472" s="7"/>
      <c r="E472" s="7"/>
      <c r="F472" s="7"/>
      <c r="G472" s="7"/>
    </row>
    <row r="473" spans="2:7">
      <c r="B473" s="37"/>
      <c r="C473" s="7"/>
      <c r="D473" s="7"/>
      <c r="E473" s="7"/>
      <c r="F473" s="7"/>
      <c r="G473" s="7"/>
    </row>
    <row r="474" spans="2:7">
      <c r="B474" s="37"/>
      <c r="C474" s="7"/>
      <c r="D474" s="7"/>
      <c r="E474" s="7"/>
      <c r="F474" s="7"/>
      <c r="G474" s="7"/>
    </row>
    <row r="475" spans="2:7">
      <c r="B475" s="37"/>
      <c r="C475" s="7"/>
      <c r="D475" s="7"/>
      <c r="E475" s="7"/>
      <c r="F475" s="7"/>
      <c r="G475" s="7"/>
    </row>
    <row r="476" spans="2:7">
      <c r="B476" s="37"/>
      <c r="C476" s="7"/>
      <c r="D476" s="7"/>
      <c r="E476" s="7"/>
      <c r="F476" s="7"/>
      <c r="G476" s="7"/>
    </row>
    <row r="477" spans="2:7">
      <c r="B477" s="37"/>
      <c r="C477" s="7"/>
      <c r="D477" s="7"/>
      <c r="E477" s="7"/>
      <c r="F477" s="7"/>
      <c r="G477" s="7"/>
    </row>
    <row r="478" spans="2:7">
      <c r="B478" s="37"/>
      <c r="C478" s="7"/>
      <c r="D478" s="7"/>
      <c r="E478" s="7"/>
      <c r="F478" s="7"/>
      <c r="G478" s="7"/>
    </row>
    <row r="479" spans="2:7">
      <c r="B479" s="37"/>
      <c r="C479" s="7"/>
      <c r="D479" s="7"/>
      <c r="E479" s="7"/>
      <c r="F479" s="7"/>
      <c r="G479" s="7"/>
    </row>
    <row r="480" spans="2:7">
      <c r="B480" s="37"/>
      <c r="C480" s="7"/>
      <c r="D480" s="7"/>
      <c r="E480" s="7"/>
      <c r="F480" s="7"/>
      <c r="G480" s="7"/>
    </row>
    <row r="481" spans="2:7">
      <c r="B481" s="37"/>
      <c r="C481" s="7"/>
      <c r="D481" s="7"/>
      <c r="E481" s="7"/>
      <c r="F481" s="7"/>
      <c r="G481" s="7"/>
    </row>
    <row r="482" spans="2:7">
      <c r="B482" s="37"/>
      <c r="C482" s="7"/>
      <c r="D482" s="7"/>
      <c r="E482" s="7"/>
      <c r="F482" s="7"/>
      <c r="G482" s="7"/>
    </row>
    <row r="483" spans="2:7">
      <c r="B483" s="37"/>
      <c r="C483" s="7"/>
      <c r="D483" s="7"/>
      <c r="E483" s="7"/>
      <c r="F483" s="7"/>
      <c r="G483" s="7"/>
    </row>
    <row r="484" spans="2:7">
      <c r="B484" s="37"/>
      <c r="C484" s="7"/>
      <c r="D484" s="7"/>
      <c r="E484" s="7"/>
      <c r="F484" s="7"/>
      <c r="G484" s="7"/>
    </row>
    <row r="485" spans="2:7">
      <c r="B485" s="37"/>
      <c r="C485" s="7"/>
      <c r="D485" s="7"/>
      <c r="E485" s="7"/>
      <c r="F485" s="7"/>
      <c r="G485" s="7"/>
    </row>
    <row r="486" spans="2:7">
      <c r="B486" s="37"/>
      <c r="C486" s="7"/>
      <c r="D486" s="7"/>
      <c r="E486" s="7"/>
      <c r="F486" s="7"/>
      <c r="G486" s="7"/>
    </row>
    <row r="487" spans="2:7">
      <c r="B487" s="37"/>
      <c r="C487" s="7"/>
      <c r="D487" s="7"/>
      <c r="E487" s="7"/>
      <c r="F487" s="7"/>
      <c r="G487" s="7"/>
    </row>
    <row r="488" spans="2:7">
      <c r="B488" s="37"/>
      <c r="C488" s="7"/>
      <c r="D488" s="7"/>
      <c r="E488" s="7"/>
      <c r="F488" s="7"/>
      <c r="G488" s="7"/>
    </row>
    <row r="489" spans="2:7">
      <c r="B489" s="37"/>
      <c r="C489" s="7"/>
      <c r="D489" s="7"/>
      <c r="E489" s="7"/>
      <c r="F489" s="7"/>
      <c r="G489" s="7"/>
    </row>
    <row r="490" spans="2:7">
      <c r="B490" s="37"/>
      <c r="C490" s="7"/>
      <c r="D490" s="7"/>
      <c r="E490" s="7"/>
      <c r="F490" s="7"/>
      <c r="G490" s="7"/>
    </row>
    <row r="491" spans="2:7">
      <c r="B491" s="37"/>
      <c r="C491" s="7"/>
      <c r="D491" s="7"/>
      <c r="E491" s="7"/>
      <c r="F491" s="7"/>
      <c r="G491" s="7"/>
    </row>
    <row r="492" spans="2:7">
      <c r="B492" s="37"/>
      <c r="C492" s="7"/>
      <c r="D492" s="7"/>
      <c r="E492" s="7"/>
      <c r="F492" s="7"/>
      <c r="G492" s="7"/>
    </row>
    <row r="493" spans="2:7">
      <c r="B493" s="37"/>
      <c r="C493" s="7"/>
      <c r="D493" s="7"/>
      <c r="E493" s="7"/>
      <c r="F493" s="7"/>
      <c r="G493" s="7"/>
    </row>
    <row r="494" spans="2:7">
      <c r="B494" s="37"/>
      <c r="C494" s="7"/>
      <c r="D494" s="7"/>
      <c r="E494" s="7"/>
      <c r="F494" s="7"/>
      <c r="G494" s="7"/>
    </row>
    <row r="495" spans="2:7">
      <c r="B495" s="37"/>
      <c r="C495" s="7"/>
      <c r="D495" s="7"/>
      <c r="E495" s="7"/>
      <c r="F495" s="7"/>
      <c r="G495" s="7"/>
    </row>
    <row r="496" spans="2:7">
      <c r="B496" s="37"/>
      <c r="C496" s="7"/>
      <c r="D496" s="7"/>
      <c r="E496" s="7"/>
      <c r="F496" s="7"/>
      <c r="G496" s="7"/>
    </row>
    <row r="497" spans="2:7">
      <c r="B497" s="37"/>
      <c r="C497" s="7"/>
      <c r="D497" s="7"/>
      <c r="E497" s="7"/>
      <c r="F497" s="7"/>
      <c r="G497" s="7"/>
    </row>
    <row r="498" spans="2:7">
      <c r="B498" s="37"/>
      <c r="C498" s="7"/>
      <c r="D498" s="7"/>
      <c r="E498" s="7"/>
      <c r="F498" s="7"/>
      <c r="G498" s="7"/>
    </row>
    <row r="499" spans="2:7">
      <c r="B499" s="37"/>
      <c r="C499" s="7"/>
      <c r="D499" s="7"/>
      <c r="E499" s="7"/>
      <c r="F499" s="7"/>
      <c r="G499" s="7"/>
    </row>
    <row r="500" spans="2:7">
      <c r="B500" s="37"/>
      <c r="C500" s="7"/>
      <c r="D500" s="7"/>
      <c r="E500" s="7"/>
      <c r="F500" s="7"/>
      <c r="G500" s="7"/>
    </row>
    <row r="501" spans="2:7">
      <c r="B501" s="37"/>
      <c r="C501" s="7"/>
      <c r="D501" s="7"/>
      <c r="E501" s="7"/>
      <c r="F501" s="7"/>
      <c r="G501" s="7"/>
    </row>
    <row r="502" spans="2:7">
      <c r="B502" s="37"/>
      <c r="C502" s="7"/>
      <c r="D502" s="7"/>
      <c r="E502" s="7"/>
      <c r="F502" s="7"/>
      <c r="G502" s="7"/>
    </row>
    <row r="503" spans="2:7">
      <c r="B503" s="37"/>
      <c r="C503" s="7"/>
      <c r="D503" s="7"/>
      <c r="E503" s="7"/>
      <c r="F503" s="7"/>
      <c r="G503" s="7"/>
    </row>
    <row r="504" spans="2:7">
      <c r="B504" s="37"/>
      <c r="C504" s="7"/>
      <c r="D504" s="7"/>
      <c r="E504" s="7"/>
      <c r="F504" s="7"/>
      <c r="G504" s="7"/>
    </row>
    <row r="505" spans="2:7">
      <c r="B505" s="37"/>
      <c r="C505" s="7"/>
      <c r="D505" s="7"/>
      <c r="E505" s="7"/>
      <c r="F505" s="7"/>
      <c r="G505" s="7"/>
    </row>
    <row r="506" spans="2:7">
      <c r="B506" s="37"/>
      <c r="C506" s="7"/>
      <c r="D506" s="7"/>
      <c r="E506" s="7"/>
      <c r="F506" s="7"/>
      <c r="G506" s="7"/>
    </row>
    <row r="507" spans="2:7">
      <c r="B507" s="37"/>
      <c r="C507" s="7"/>
      <c r="D507" s="7"/>
      <c r="E507" s="7"/>
      <c r="F507" s="7"/>
      <c r="G507" s="7"/>
    </row>
    <row r="508" spans="2:7">
      <c r="B508" s="37"/>
      <c r="C508" s="7"/>
      <c r="D508" s="7"/>
      <c r="E508" s="7"/>
      <c r="F508" s="7"/>
      <c r="G508" s="7"/>
    </row>
    <row r="509" spans="2:7">
      <c r="B509" s="37"/>
      <c r="C509" s="7"/>
      <c r="D509" s="7"/>
      <c r="E509" s="7"/>
      <c r="F509" s="7"/>
      <c r="G509" s="7"/>
    </row>
    <row r="510" spans="2:7">
      <c r="B510" s="37"/>
      <c r="C510" s="7"/>
      <c r="D510" s="7"/>
      <c r="E510" s="7"/>
      <c r="F510" s="7"/>
      <c r="G510" s="7"/>
    </row>
    <row r="511" spans="2:7">
      <c r="B511" s="37"/>
      <c r="C511" s="7"/>
      <c r="D511" s="7"/>
      <c r="E511" s="7"/>
      <c r="F511" s="7"/>
      <c r="G511" s="7"/>
    </row>
    <row r="512" spans="2:7">
      <c r="B512" s="37"/>
      <c r="C512" s="7"/>
      <c r="D512" s="7"/>
      <c r="E512" s="7"/>
      <c r="F512" s="7"/>
      <c r="G512" s="7"/>
    </row>
    <row r="513" spans="2:7">
      <c r="B513" s="37"/>
      <c r="C513" s="7"/>
      <c r="D513" s="7"/>
      <c r="E513" s="7"/>
      <c r="F513" s="7"/>
      <c r="G513" s="7"/>
    </row>
    <row r="514" spans="2:7">
      <c r="B514" s="37"/>
      <c r="C514" s="7"/>
      <c r="D514" s="7"/>
      <c r="E514" s="7"/>
      <c r="F514" s="7"/>
      <c r="G514" s="7"/>
    </row>
    <row r="515" spans="2:7">
      <c r="B515" s="37"/>
      <c r="C515" s="7"/>
      <c r="D515" s="7"/>
      <c r="E515" s="7"/>
      <c r="F515" s="7"/>
      <c r="G515" s="7"/>
    </row>
    <row r="516" spans="2:7">
      <c r="B516" s="37"/>
      <c r="C516" s="7"/>
      <c r="D516" s="7"/>
      <c r="E516" s="7"/>
      <c r="F516" s="7"/>
      <c r="G516" s="7"/>
    </row>
    <row r="517" spans="2:7">
      <c r="B517" s="37"/>
      <c r="C517" s="7"/>
      <c r="D517" s="7"/>
      <c r="E517" s="7"/>
      <c r="F517" s="7"/>
      <c r="G517" s="7"/>
    </row>
    <row r="518" spans="2:7">
      <c r="B518" s="37"/>
      <c r="C518" s="7"/>
      <c r="D518" s="7"/>
      <c r="E518" s="7"/>
      <c r="F518" s="7"/>
      <c r="G518" s="7"/>
    </row>
    <row r="519" spans="2:7">
      <c r="B519" s="37"/>
      <c r="C519" s="7"/>
      <c r="D519" s="7"/>
      <c r="E519" s="7"/>
      <c r="F519" s="7"/>
      <c r="G519" s="7"/>
    </row>
    <row r="520" spans="2:7">
      <c r="B520" s="37"/>
      <c r="C520" s="7"/>
      <c r="D520" s="7"/>
      <c r="E520" s="7"/>
      <c r="F520" s="7"/>
      <c r="G520" s="7"/>
    </row>
    <row r="521" spans="2:7">
      <c r="B521" s="37"/>
      <c r="C521" s="7"/>
      <c r="D521" s="7"/>
      <c r="E521" s="7"/>
      <c r="F521" s="7"/>
      <c r="G521" s="7"/>
    </row>
    <row r="522" spans="2:7">
      <c r="B522" s="37"/>
      <c r="C522" s="7"/>
      <c r="D522" s="7"/>
      <c r="E522" s="7"/>
      <c r="F522" s="7"/>
      <c r="G522" s="7"/>
    </row>
    <row r="523" spans="2:7">
      <c r="B523" s="37"/>
      <c r="C523" s="7"/>
      <c r="D523" s="7"/>
      <c r="E523" s="7"/>
      <c r="F523" s="7"/>
      <c r="G523" s="7"/>
    </row>
    <row r="524" spans="2:7">
      <c r="B524" s="37"/>
      <c r="C524" s="7"/>
      <c r="D524" s="7"/>
      <c r="E524" s="7"/>
      <c r="F524" s="7"/>
      <c r="G524" s="7"/>
    </row>
    <row r="525" spans="2:7">
      <c r="B525" s="37"/>
      <c r="C525" s="7"/>
      <c r="D525" s="7"/>
      <c r="E525" s="7"/>
      <c r="F525" s="7"/>
      <c r="G525" s="7"/>
    </row>
    <row r="526" spans="2:7">
      <c r="B526" s="37"/>
      <c r="C526" s="7"/>
      <c r="D526" s="7"/>
      <c r="E526" s="7"/>
      <c r="F526" s="7"/>
      <c r="G526" s="7"/>
    </row>
    <row r="527" spans="2:7">
      <c r="B527" s="37"/>
      <c r="C527" s="7"/>
      <c r="D527" s="7"/>
      <c r="E527" s="7"/>
      <c r="F527" s="7"/>
      <c r="G527" s="7"/>
    </row>
    <row r="528" spans="2:7">
      <c r="B528" s="37"/>
      <c r="C528" s="7"/>
      <c r="D528" s="7"/>
      <c r="E528" s="7"/>
      <c r="F528" s="7"/>
      <c r="G528" s="7"/>
    </row>
    <row r="529" spans="2:7">
      <c r="B529" s="37"/>
      <c r="C529" s="7"/>
      <c r="D529" s="7"/>
      <c r="E529" s="7"/>
      <c r="F529" s="7"/>
      <c r="G529" s="7"/>
    </row>
    <row r="530" spans="2:7">
      <c r="B530" s="37"/>
      <c r="C530" s="7"/>
      <c r="D530" s="7"/>
      <c r="E530" s="7"/>
      <c r="F530" s="7"/>
      <c r="G530" s="7"/>
    </row>
    <row r="531" spans="2:7">
      <c r="B531" s="37"/>
      <c r="C531" s="7"/>
      <c r="D531" s="7"/>
      <c r="E531" s="7"/>
      <c r="F531" s="7"/>
      <c r="G531" s="7"/>
    </row>
    <row r="532" spans="2:7">
      <c r="B532" s="37"/>
      <c r="C532" s="7"/>
      <c r="D532" s="7"/>
      <c r="E532" s="7"/>
      <c r="F532" s="7"/>
      <c r="G532" s="7"/>
    </row>
    <row r="533" spans="2:7">
      <c r="B533" s="37"/>
      <c r="C533" s="7"/>
      <c r="D533" s="7"/>
      <c r="E533" s="7"/>
      <c r="F533" s="7"/>
      <c r="G533" s="7"/>
    </row>
    <row r="534" spans="2:7">
      <c r="B534" s="37"/>
      <c r="C534" s="7"/>
      <c r="D534" s="7"/>
      <c r="E534" s="7"/>
      <c r="F534" s="7"/>
      <c r="G534" s="7"/>
    </row>
    <row r="535" spans="2:7">
      <c r="B535" s="37"/>
      <c r="C535" s="7"/>
      <c r="D535" s="7"/>
      <c r="E535" s="7"/>
      <c r="F535" s="7"/>
      <c r="G535" s="7"/>
    </row>
    <row r="536" spans="2:7">
      <c r="B536" s="37"/>
      <c r="C536" s="7"/>
      <c r="D536" s="7"/>
      <c r="E536" s="7"/>
      <c r="F536" s="7"/>
      <c r="G536" s="7"/>
    </row>
    <row r="537" spans="2:7">
      <c r="B537" s="37"/>
      <c r="C537" s="7"/>
      <c r="D537" s="7"/>
      <c r="E537" s="7"/>
      <c r="F537" s="7"/>
      <c r="G537" s="7"/>
    </row>
    <row r="538" spans="2:7">
      <c r="B538" s="37"/>
      <c r="C538" s="7"/>
      <c r="D538" s="7"/>
      <c r="E538" s="7"/>
      <c r="F538" s="7"/>
      <c r="G538" s="7"/>
    </row>
    <row r="539" spans="2:7">
      <c r="B539" s="37"/>
      <c r="C539" s="7"/>
      <c r="D539" s="7"/>
      <c r="E539" s="7"/>
      <c r="F539" s="7"/>
      <c r="G539" s="7"/>
    </row>
    <row r="540" spans="2:7">
      <c r="B540" s="37"/>
      <c r="C540" s="7"/>
      <c r="D540" s="7"/>
      <c r="E540" s="7"/>
      <c r="F540" s="7"/>
      <c r="G540" s="7"/>
    </row>
    <row r="541" spans="2:7">
      <c r="B541" s="37"/>
      <c r="C541" s="7"/>
      <c r="D541" s="7"/>
      <c r="E541" s="7"/>
      <c r="F541" s="7"/>
      <c r="G541" s="7"/>
    </row>
    <row r="542" spans="2:7">
      <c r="B542" s="37"/>
      <c r="C542" s="7"/>
      <c r="D542" s="7"/>
      <c r="E542" s="7"/>
      <c r="F542" s="7"/>
      <c r="G542" s="7"/>
    </row>
    <row r="543" spans="2:7">
      <c r="B543" s="37"/>
      <c r="C543" s="7"/>
      <c r="D543" s="7"/>
      <c r="E543" s="7"/>
      <c r="F543" s="7"/>
      <c r="G543" s="7"/>
    </row>
    <row r="544" spans="2:7">
      <c r="B544" s="37"/>
      <c r="C544" s="7"/>
      <c r="D544" s="7"/>
      <c r="E544" s="7"/>
      <c r="F544" s="7"/>
      <c r="G544" s="7"/>
    </row>
    <row r="545" spans="2:7">
      <c r="B545" s="37"/>
      <c r="C545" s="7"/>
      <c r="D545" s="7"/>
      <c r="E545" s="7"/>
      <c r="F545" s="7"/>
      <c r="G545" s="7"/>
    </row>
    <row r="546" spans="2:7">
      <c r="B546" s="37"/>
      <c r="C546" s="7"/>
      <c r="D546" s="7"/>
      <c r="E546" s="7"/>
      <c r="F546" s="7"/>
      <c r="G546" s="7"/>
    </row>
    <row r="547" spans="2:7">
      <c r="B547" s="37"/>
      <c r="C547" s="7"/>
      <c r="D547" s="7"/>
      <c r="E547" s="7"/>
      <c r="F547" s="7"/>
      <c r="G547" s="7"/>
    </row>
    <row r="548" spans="2:7">
      <c r="B548" s="37"/>
      <c r="C548" s="7"/>
      <c r="D548" s="7"/>
      <c r="E548" s="7"/>
      <c r="F548" s="7"/>
      <c r="G548" s="7"/>
    </row>
    <row r="549" spans="2:7">
      <c r="B549" s="37"/>
      <c r="C549" s="7"/>
      <c r="D549" s="7"/>
      <c r="E549" s="7"/>
      <c r="F549" s="7"/>
      <c r="G549" s="7"/>
    </row>
    <row r="550" spans="2:7">
      <c r="B550" s="37"/>
      <c r="C550" s="7"/>
      <c r="D550" s="7"/>
      <c r="E550" s="7"/>
      <c r="F550" s="7"/>
      <c r="G550" s="7"/>
    </row>
    <row r="551" spans="2:7">
      <c r="B551" s="37"/>
      <c r="C551" s="7"/>
      <c r="D551" s="7"/>
      <c r="E551" s="7"/>
      <c r="F551" s="7"/>
      <c r="G551" s="7"/>
    </row>
    <row r="552" spans="2:7">
      <c r="B552" s="37"/>
      <c r="C552" s="7"/>
      <c r="D552" s="7"/>
      <c r="E552" s="7"/>
      <c r="F552" s="7"/>
      <c r="G552" s="7"/>
    </row>
    <row r="553" spans="2:7">
      <c r="B553" s="37"/>
      <c r="C553" s="7"/>
      <c r="D553" s="7"/>
      <c r="E553" s="7"/>
      <c r="F553" s="7"/>
      <c r="G553" s="7"/>
    </row>
    <row r="554" spans="2:7">
      <c r="B554" s="37"/>
      <c r="C554" s="7"/>
      <c r="D554" s="7"/>
      <c r="E554" s="7"/>
      <c r="F554" s="7"/>
      <c r="G554" s="7"/>
    </row>
    <row r="555" spans="2:7">
      <c r="B555" s="37"/>
      <c r="C555" s="7"/>
      <c r="D555" s="7"/>
      <c r="E555" s="7"/>
      <c r="F555" s="7"/>
      <c r="G555" s="7"/>
    </row>
    <row r="556" spans="2:7">
      <c r="B556" s="37"/>
      <c r="C556" s="7"/>
      <c r="D556" s="7"/>
      <c r="E556" s="7"/>
      <c r="F556" s="7"/>
      <c r="G556" s="7"/>
    </row>
    <row r="557" spans="2:7">
      <c r="B557" s="37"/>
      <c r="C557" s="7"/>
      <c r="D557" s="7"/>
      <c r="E557" s="7"/>
      <c r="F557" s="7"/>
      <c r="G557" s="7"/>
    </row>
    <row r="558" spans="2:7">
      <c r="B558" s="37"/>
      <c r="C558" s="7"/>
      <c r="D558" s="7"/>
      <c r="E558" s="7"/>
      <c r="F558" s="7"/>
      <c r="G558" s="7"/>
    </row>
    <row r="559" spans="2:7">
      <c r="B559" s="37"/>
      <c r="C559" s="7"/>
      <c r="D559" s="7"/>
      <c r="E559" s="7"/>
      <c r="F559" s="7"/>
      <c r="G559" s="7"/>
    </row>
    <row r="560" spans="2:7">
      <c r="B560" s="37"/>
      <c r="C560" s="7"/>
      <c r="D560" s="7"/>
      <c r="E560" s="7"/>
      <c r="F560" s="7"/>
      <c r="G560" s="7"/>
    </row>
    <row r="561" spans="2:7">
      <c r="B561" s="37"/>
      <c r="C561" s="7"/>
      <c r="D561" s="7"/>
      <c r="E561" s="7"/>
      <c r="F561" s="7"/>
      <c r="G561" s="7"/>
    </row>
    <row r="562" spans="2:7">
      <c r="B562" s="37"/>
      <c r="C562" s="7"/>
      <c r="D562" s="7"/>
      <c r="E562" s="7"/>
      <c r="F562" s="7"/>
      <c r="G562" s="7"/>
    </row>
    <row r="563" spans="2:7">
      <c r="B563" s="37"/>
      <c r="C563" s="7"/>
      <c r="D563" s="7"/>
      <c r="E563" s="7"/>
      <c r="F563" s="7"/>
      <c r="G563" s="7"/>
    </row>
    <row r="564" spans="2:7">
      <c r="B564" s="37"/>
      <c r="C564" s="7"/>
      <c r="D564" s="7"/>
      <c r="E564" s="7"/>
      <c r="F564" s="7"/>
      <c r="G564" s="7"/>
    </row>
    <row r="565" spans="2:7">
      <c r="B565" s="37"/>
      <c r="C565" s="7"/>
      <c r="D565" s="7"/>
      <c r="E565" s="7"/>
      <c r="F565" s="7"/>
      <c r="G565" s="7"/>
    </row>
    <row r="566" spans="2:7">
      <c r="B566" s="37"/>
      <c r="C566" s="7"/>
      <c r="D566" s="7"/>
      <c r="E566" s="7"/>
      <c r="F566" s="7"/>
      <c r="G566" s="7"/>
    </row>
    <row r="567" spans="2:7">
      <c r="B567" s="37"/>
      <c r="C567" s="7"/>
      <c r="D567" s="7"/>
      <c r="E567" s="7"/>
      <c r="F567" s="7"/>
      <c r="G567" s="7"/>
    </row>
    <row r="568" spans="2:7">
      <c r="B568" s="37"/>
      <c r="C568" s="7"/>
      <c r="D568" s="7"/>
      <c r="E568" s="7"/>
      <c r="F568" s="7"/>
      <c r="G568" s="7"/>
    </row>
    <row r="569" spans="2:7">
      <c r="B569" s="37"/>
      <c r="C569" s="7"/>
      <c r="D569" s="7"/>
      <c r="E569" s="7"/>
      <c r="F569" s="7"/>
      <c r="G569" s="7"/>
    </row>
    <row r="570" spans="2:7">
      <c r="B570" s="37"/>
      <c r="C570" s="7"/>
      <c r="D570" s="7"/>
      <c r="E570" s="7"/>
      <c r="F570" s="7"/>
      <c r="G570" s="7"/>
    </row>
    <row r="571" spans="2:7">
      <c r="B571" s="37"/>
      <c r="C571" s="7"/>
      <c r="D571" s="7"/>
      <c r="E571" s="7"/>
      <c r="F571" s="7"/>
      <c r="G571" s="7"/>
    </row>
    <row r="572" spans="2:7">
      <c r="B572" s="37"/>
      <c r="C572" s="7"/>
      <c r="D572" s="7"/>
      <c r="E572" s="7"/>
      <c r="F572" s="7"/>
      <c r="G572" s="7"/>
    </row>
    <row r="573" spans="2:7">
      <c r="B573" s="37"/>
      <c r="C573" s="7"/>
      <c r="D573" s="7"/>
      <c r="E573" s="7"/>
      <c r="F573" s="7"/>
      <c r="G573" s="7"/>
    </row>
    <row r="574" spans="2:7">
      <c r="B574" s="37"/>
      <c r="C574" s="7"/>
      <c r="D574" s="7"/>
      <c r="E574" s="7"/>
      <c r="F574" s="7"/>
      <c r="G574" s="7"/>
    </row>
    <row r="575" spans="2:7">
      <c r="B575" s="37"/>
      <c r="C575" s="7"/>
      <c r="D575" s="7"/>
      <c r="E575" s="7"/>
      <c r="F575" s="7"/>
      <c r="G575" s="7"/>
    </row>
    <row r="576" spans="2:7">
      <c r="B576" s="37"/>
      <c r="C576" s="7"/>
      <c r="D576" s="7"/>
      <c r="E576" s="7"/>
      <c r="F576" s="7"/>
      <c r="G576" s="7"/>
    </row>
    <row r="577" spans="2:7">
      <c r="B577" s="37"/>
      <c r="C577" s="7"/>
      <c r="D577" s="7"/>
      <c r="E577" s="7"/>
      <c r="F577" s="7"/>
      <c r="G577" s="7"/>
    </row>
    <row r="578" spans="2:7">
      <c r="B578" s="37"/>
      <c r="C578" s="7"/>
      <c r="D578" s="7"/>
      <c r="E578" s="7"/>
      <c r="F578" s="7"/>
      <c r="G578" s="7"/>
    </row>
    <row r="579" spans="2:7">
      <c r="B579" s="37"/>
      <c r="C579" s="7"/>
      <c r="D579" s="7"/>
      <c r="E579" s="7"/>
      <c r="F579" s="7"/>
      <c r="G579" s="7"/>
    </row>
    <row r="580" spans="2:7">
      <c r="B580" s="37"/>
      <c r="C580" s="7"/>
      <c r="D580" s="7"/>
      <c r="E580" s="7"/>
      <c r="F580" s="7"/>
      <c r="G580" s="7"/>
    </row>
    <row r="581" spans="2:7">
      <c r="B581" s="37"/>
      <c r="C581" s="7"/>
      <c r="D581" s="7"/>
      <c r="E581" s="7"/>
      <c r="F581" s="7"/>
      <c r="G581" s="7"/>
    </row>
    <row r="582" spans="2:7">
      <c r="B582" s="37"/>
      <c r="C582" s="7"/>
      <c r="D582" s="7"/>
      <c r="E582" s="7"/>
      <c r="F582" s="7"/>
      <c r="G582" s="7"/>
    </row>
    <row r="583" spans="2:7">
      <c r="B583" s="37"/>
      <c r="C583" s="7"/>
      <c r="D583" s="7"/>
      <c r="E583" s="7"/>
      <c r="F583" s="7"/>
      <c r="G583" s="7"/>
    </row>
    <row r="584" spans="2:7">
      <c r="B584" s="37"/>
      <c r="C584" s="7"/>
      <c r="D584" s="7"/>
      <c r="E584" s="7"/>
      <c r="F584" s="7"/>
      <c r="G584" s="7"/>
    </row>
    <row r="585" spans="2:7">
      <c r="B585" s="37"/>
      <c r="C585" s="7"/>
      <c r="D585" s="7"/>
      <c r="E585" s="7"/>
      <c r="F585" s="7"/>
      <c r="G585" s="7"/>
    </row>
    <row r="586" spans="2:7">
      <c r="B586" s="37"/>
      <c r="C586" s="7"/>
      <c r="D586" s="7"/>
      <c r="E586" s="7"/>
      <c r="F586" s="7"/>
      <c r="G586" s="7"/>
    </row>
    <row r="587" spans="2:7">
      <c r="B587" s="37"/>
      <c r="C587" s="7"/>
      <c r="D587" s="7"/>
      <c r="E587" s="7"/>
      <c r="F587" s="7"/>
      <c r="G587" s="7"/>
    </row>
    <row r="588" spans="2:7">
      <c r="B588" s="37"/>
      <c r="C588" s="7"/>
      <c r="D588" s="7"/>
      <c r="E588" s="7"/>
      <c r="F588" s="7"/>
      <c r="G588" s="7"/>
    </row>
    <row r="589" spans="2:7">
      <c r="B589" s="37"/>
      <c r="C589" s="7"/>
      <c r="D589" s="7"/>
      <c r="E589" s="7"/>
      <c r="F589" s="7"/>
      <c r="G589" s="7"/>
    </row>
    <row r="590" spans="2:7">
      <c r="B590" s="37"/>
      <c r="C590" s="7"/>
      <c r="D590" s="7"/>
      <c r="E590" s="7"/>
      <c r="F590" s="7"/>
      <c r="G590" s="7"/>
    </row>
    <row r="591" spans="2:7">
      <c r="B591" s="37"/>
      <c r="C591" s="7"/>
      <c r="D591" s="7"/>
      <c r="E591" s="7"/>
      <c r="F591" s="7"/>
      <c r="G591" s="7"/>
    </row>
    <row r="592" spans="2:7">
      <c r="B592" s="37"/>
      <c r="C592" s="7"/>
      <c r="D592" s="7"/>
      <c r="E592" s="7"/>
      <c r="F592" s="7"/>
      <c r="G592" s="7"/>
    </row>
    <row r="593" spans="2:7">
      <c r="B593" s="37"/>
      <c r="C593" s="7"/>
      <c r="D593" s="7"/>
      <c r="E593" s="7"/>
      <c r="F593" s="7"/>
      <c r="G593" s="7"/>
    </row>
    <row r="594" spans="2:7">
      <c r="B594" s="37"/>
      <c r="C594" s="7"/>
      <c r="D594" s="7"/>
      <c r="E594" s="7"/>
      <c r="F594" s="7"/>
      <c r="G594" s="7"/>
    </row>
    <row r="595" spans="2:7">
      <c r="B595" s="37"/>
      <c r="C595" s="7"/>
      <c r="D595" s="7"/>
      <c r="E595" s="7"/>
      <c r="F595" s="7"/>
      <c r="G595" s="7"/>
    </row>
    <row r="596" spans="2:7">
      <c r="B596" s="37"/>
      <c r="C596" s="7"/>
      <c r="D596" s="7"/>
      <c r="E596" s="7"/>
      <c r="F596" s="7"/>
      <c r="G596" s="7"/>
    </row>
    <row r="597" spans="2:7">
      <c r="B597" s="37"/>
      <c r="C597" s="7"/>
      <c r="D597" s="7"/>
      <c r="E597" s="7"/>
      <c r="F597" s="7"/>
      <c r="G597" s="7"/>
    </row>
    <row r="598" spans="2:7">
      <c r="B598" s="37"/>
      <c r="C598" s="7"/>
      <c r="D598" s="7"/>
      <c r="E598" s="7"/>
      <c r="F598" s="7"/>
      <c r="G598" s="7"/>
    </row>
    <row r="599" spans="2:7">
      <c r="B599" s="37"/>
      <c r="C599" s="7"/>
      <c r="D599" s="7"/>
      <c r="E599" s="7"/>
      <c r="F599" s="7"/>
      <c r="G599" s="7"/>
    </row>
    <row r="600" spans="2:7">
      <c r="B600" s="37"/>
      <c r="C600" s="7"/>
      <c r="D600" s="7"/>
      <c r="E600" s="7"/>
      <c r="F600" s="7"/>
      <c r="G600" s="7"/>
    </row>
    <row r="601" spans="2:7">
      <c r="B601" s="37"/>
      <c r="C601" s="7"/>
      <c r="D601" s="7"/>
      <c r="E601" s="7"/>
      <c r="F601" s="7"/>
      <c r="G601" s="7"/>
    </row>
    <row r="602" spans="2:7">
      <c r="B602" s="37"/>
      <c r="C602" s="7"/>
      <c r="D602" s="7"/>
      <c r="E602" s="7"/>
      <c r="F602" s="7"/>
      <c r="G602" s="7"/>
    </row>
    <row r="603" spans="2:7">
      <c r="B603" s="37"/>
      <c r="C603" s="7"/>
      <c r="D603" s="7"/>
      <c r="E603" s="7"/>
      <c r="F603" s="7"/>
      <c r="G603" s="7"/>
    </row>
    <row r="604" spans="2:7">
      <c r="B604" s="37"/>
      <c r="C604" s="7"/>
      <c r="D604" s="7"/>
      <c r="E604" s="7"/>
      <c r="F604" s="7"/>
      <c r="G604" s="7"/>
    </row>
    <row r="605" spans="2:7">
      <c r="B605" s="37"/>
      <c r="C605" s="7"/>
      <c r="D605" s="7"/>
      <c r="E605" s="7"/>
      <c r="F605" s="7"/>
      <c r="G605" s="7"/>
    </row>
    <row r="606" spans="2:7">
      <c r="B606" s="37"/>
      <c r="C606" s="7"/>
      <c r="D606" s="7"/>
      <c r="E606" s="7"/>
      <c r="F606" s="7"/>
      <c r="G606" s="7"/>
    </row>
    <row r="607" spans="2:7">
      <c r="B607" s="37"/>
      <c r="C607" s="7"/>
      <c r="D607" s="7"/>
      <c r="E607" s="7"/>
      <c r="F607" s="7"/>
      <c r="G607" s="7"/>
    </row>
    <row r="608" spans="2:7">
      <c r="B608" s="37"/>
      <c r="C608" s="7"/>
      <c r="D608" s="7"/>
      <c r="E608" s="7"/>
      <c r="F608" s="7"/>
      <c r="G608" s="7"/>
    </row>
    <row r="609" spans="2:7">
      <c r="B609" s="37"/>
      <c r="C609" s="7"/>
      <c r="D609" s="7"/>
      <c r="E609" s="7"/>
      <c r="F609" s="7"/>
      <c r="G609" s="7"/>
    </row>
    <row r="610" spans="2:7">
      <c r="B610" s="37"/>
      <c r="C610" s="7"/>
      <c r="D610" s="7"/>
      <c r="E610" s="7"/>
      <c r="F610" s="7"/>
      <c r="G610" s="7"/>
    </row>
    <row r="611" spans="2:7">
      <c r="B611" s="37"/>
      <c r="C611" s="7"/>
      <c r="D611" s="7"/>
      <c r="E611" s="7"/>
      <c r="F611" s="7"/>
      <c r="G611" s="7"/>
    </row>
    <row r="612" spans="2:7">
      <c r="B612" s="37"/>
      <c r="C612" s="7"/>
      <c r="D612" s="7"/>
      <c r="E612" s="7"/>
      <c r="F612" s="7"/>
      <c r="G612" s="7"/>
    </row>
    <row r="613" spans="2:7">
      <c r="B613" s="37"/>
      <c r="C613" s="7"/>
      <c r="D613" s="7"/>
      <c r="E613" s="7"/>
      <c r="F613" s="7"/>
      <c r="G613" s="7"/>
    </row>
    <row r="614" spans="2:7">
      <c r="B614" s="37"/>
      <c r="C614" s="7"/>
      <c r="D614" s="7"/>
      <c r="E614" s="7"/>
      <c r="F614" s="7"/>
      <c r="G614" s="7"/>
    </row>
    <row r="615" spans="2:7">
      <c r="B615" s="37"/>
      <c r="C615" s="7"/>
      <c r="D615" s="7"/>
      <c r="E615" s="7"/>
      <c r="F615" s="7"/>
      <c r="G615" s="7"/>
    </row>
    <row r="616" spans="2:7">
      <c r="B616" s="37"/>
      <c r="C616" s="7"/>
      <c r="D616" s="7"/>
      <c r="E616" s="7"/>
      <c r="F616" s="7"/>
      <c r="G616" s="7"/>
    </row>
    <row r="617" spans="2:7">
      <c r="B617" s="37"/>
      <c r="C617" s="7"/>
      <c r="D617" s="7"/>
      <c r="E617" s="7"/>
      <c r="F617" s="7"/>
      <c r="G617" s="7"/>
    </row>
    <row r="618" spans="2:7">
      <c r="B618" s="37"/>
      <c r="C618" s="7"/>
      <c r="D618" s="7"/>
      <c r="E618" s="7"/>
      <c r="F618" s="7"/>
      <c r="G618" s="7"/>
    </row>
    <row r="619" spans="2:7">
      <c r="B619" s="37"/>
      <c r="C619" s="7"/>
      <c r="D619" s="7"/>
      <c r="E619" s="7"/>
      <c r="F619" s="7"/>
      <c r="G619" s="7"/>
    </row>
    <row r="620" spans="2:7">
      <c r="B620" s="37"/>
      <c r="C620" s="7"/>
      <c r="D620" s="7"/>
      <c r="E620" s="7"/>
      <c r="F620" s="7"/>
      <c r="G620" s="7"/>
    </row>
    <row r="621" spans="2:7">
      <c r="B621" s="37"/>
      <c r="C621" s="7"/>
      <c r="D621" s="7"/>
      <c r="E621" s="7"/>
      <c r="F621" s="7"/>
      <c r="G621" s="7"/>
    </row>
    <row r="622" spans="2:7">
      <c r="B622" s="37"/>
      <c r="C622" s="7"/>
      <c r="D622" s="7"/>
      <c r="E622" s="7"/>
      <c r="F622" s="7"/>
      <c r="G622" s="7"/>
    </row>
    <row r="623" spans="2:7">
      <c r="B623" s="37"/>
      <c r="C623" s="7"/>
      <c r="D623" s="7"/>
      <c r="E623" s="7"/>
      <c r="F623" s="7"/>
      <c r="G623" s="7"/>
    </row>
    <row r="624" spans="2:7">
      <c r="B624" s="37"/>
      <c r="C624" s="7"/>
      <c r="D624" s="7"/>
      <c r="E624" s="7"/>
      <c r="F624" s="7"/>
      <c r="G624" s="7"/>
    </row>
    <row r="625" spans="2:7">
      <c r="B625" s="37"/>
      <c r="C625" s="7"/>
      <c r="D625" s="7"/>
      <c r="E625" s="7"/>
      <c r="F625" s="7"/>
      <c r="G625" s="7"/>
    </row>
    <row r="626" spans="2:7">
      <c r="B626" s="37"/>
      <c r="C626" s="7"/>
      <c r="D626" s="7"/>
      <c r="E626" s="7"/>
      <c r="F626" s="7"/>
      <c r="G626" s="7"/>
    </row>
    <row r="627" spans="2:7">
      <c r="B627" s="37"/>
      <c r="C627" s="7"/>
      <c r="D627" s="7"/>
      <c r="E627" s="7"/>
      <c r="F627" s="7"/>
      <c r="G627" s="7"/>
    </row>
    <row r="628" spans="2:7">
      <c r="B628" s="37"/>
      <c r="C628" s="7"/>
      <c r="D628" s="7"/>
      <c r="E628" s="7"/>
      <c r="F628" s="7"/>
      <c r="G628" s="7"/>
    </row>
    <row r="629" spans="2:7">
      <c r="B629" s="37"/>
      <c r="C629" s="7"/>
      <c r="D629" s="7"/>
      <c r="E629" s="7"/>
      <c r="F629" s="7"/>
      <c r="G629" s="7"/>
    </row>
    <row r="630" spans="2:7">
      <c r="B630" s="37"/>
      <c r="C630" s="7"/>
      <c r="D630" s="7"/>
      <c r="E630" s="7"/>
      <c r="F630" s="7"/>
      <c r="G630" s="7"/>
    </row>
    <row r="631" spans="2:7">
      <c r="B631" s="37"/>
      <c r="C631" s="7"/>
      <c r="D631" s="7"/>
      <c r="E631" s="7"/>
      <c r="F631" s="7"/>
      <c r="G631" s="7"/>
    </row>
    <row r="632" spans="2:7">
      <c r="B632" s="37"/>
      <c r="C632" s="7"/>
      <c r="D632" s="7"/>
      <c r="E632" s="7"/>
      <c r="F632" s="7"/>
      <c r="G632" s="7"/>
    </row>
    <row r="633" spans="2:7">
      <c r="B633" s="37"/>
      <c r="C633" s="7"/>
      <c r="D633" s="7"/>
      <c r="E633" s="7"/>
      <c r="F633" s="7"/>
      <c r="G633" s="7"/>
    </row>
    <row r="634" spans="2:7">
      <c r="B634" s="37"/>
      <c r="C634" s="7"/>
      <c r="D634" s="7"/>
      <c r="E634" s="7"/>
      <c r="F634" s="7"/>
      <c r="G634" s="7"/>
    </row>
    <row r="635" spans="2:7">
      <c r="B635" s="37"/>
      <c r="C635" s="7"/>
      <c r="D635" s="7"/>
      <c r="E635" s="7"/>
      <c r="F635" s="7"/>
      <c r="G635" s="7"/>
    </row>
    <row r="636" spans="2:7">
      <c r="B636" s="37"/>
      <c r="C636" s="7"/>
      <c r="D636" s="7"/>
      <c r="E636" s="7"/>
      <c r="F636" s="7"/>
      <c r="G636" s="7"/>
    </row>
    <row r="637" spans="2:7">
      <c r="B637" s="37"/>
      <c r="C637" s="7"/>
      <c r="D637" s="7"/>
      <c r="E637" s="7"/>
      <c r="F637" s="7"/>
      <c r="G637" s="7"/>
    </row>
    <row r="638" spans="2:7">
      <c r="B638" s="37"/>
      <c r="C638" s="7"/>
      <c r="D638" s="7"/>
      <c r="E638" s="7"/>
      <c r="F638" s="7"/>
      <c r="G638" s="7"/>
    </row>
    <row r="639" spans="2:7">
      <c r="B639" s="37"/>
      <c r="C639" s="7"/>
      <c r="D639" s="7"/>
      <c r="E639" s="7"/>
      <c r="F639" s="7"/>
      <c r="G639" s="7"/>
    </row>
    <row r="640" spans="2:7">
      <c r="B640" s="37"/>
      <c r="C640" s="7"/>
      <c r="D640" s="7"/>
      <c r="E640" s="7"/>
      <c r="F640" s="7"/>
      <c r="G640" s="7"/>
    </row>
    <row r="641" spans="2:7">
      <c r="B641" s="37"/>
      <c r="C641" s="7"/>
      <c r="D641" s="7"/>
      <c r="E641" s="7"/>
      <c r="F641" s="7"/>
      <c r="G641" s="7"/>
    </row>
    <row r="642" spans="2:7">
      <c r="B642" s="37"/>
      <c r="C642" s="7"/>
      <c r="D642" s="7"/>
      <c r="E642" s="7"/>
      <c r="F642" s="7"/>
      <c r="G642" s="7"/>
    </row>
    <row r="643" spans="2:7">
      <c r="B643" s="37"/>
      <c r="C643" s="7"/>
      <c r="D643" s="7"/>
      <c r="E643" s="7"/>
      <c r="F643" s="7"/>
      <c r="G643" s="7"/>
    </row>
    <row r="644" spans="2:7">
      <c r="B644" s="37"/>
      <c r="C644" s="7"/>
      <c r="D644" s="7"/>
      <c r="E644" s="7"/>
      <c r="F644" s="7"/>
      <c r="G644" s="7"/>
    </row>
    <row r="645" spans="2:7">
      <c r="B645" s="37"/>
      <c r="C645" s="7"/>
      <c r="D645" s="7"/>
      <c r="E645" s="7"/>
      <c r="F645" s="7"/>
      <c r="G645" s="7"/>
    </row>
    <row r="646" spans="2:7">
      <c r="B646" s="37"/>
      <c r="C646" s="7"/>
      <c r="D646" s="7"/>
      <c r="E646" s="7"/>
      <c r="F646" s="7"/>
      <c r="G646" s="7"/>
    </row>
    <row r="647" spans="2:7">
      <c r="B647" s="37"/>
      <c r="C647" s="7"/>
      <c r="D647" s="7"/>
      <c r="E647" s="7"/>
      <c r="F647" s="7"/>
      <c r="G647" s="7"/>
    </row>
    <row r="648" spans="2:7">
      <c r="B648" s="37"/>
      <c r="C648" s="7"/>
      <c r="D648" s="7"/>
      <c r="E648" s="7"/>
      <c r="F648" s="7"/>
      <c r="G648" s="7"/>
    </row>
    <row r="649" spans="2:7">
      <c r="B649" s="37"/>
      <c r="C649" s="7"/>
      <c r="D649" s="7"/>
      <c r="E649" s="7"/>
      <c r="F649" s="7"/>
      <c r="G649" s="7"/>
    </row>
    <row r="650" spans="2:7">
      <c r="B650" s="37"/>
      <c r="C650" s="7"/>
      <c r="D650" s="7"/>
      <c r="E650" s="7"/>
      <c r="F650" s="7"/>
      <c r="G650" s="7"/>
    </row>
    <row r="651" spans="2:7">
      <c r="B651" s="37"/>
      <c r="C651" s="7"/>
      <c r="D651" s="7"/>
      <c r="E651" s="7"/>
      <c r="F651" s="7"/>
      <c r="G651" s="7"/>
    </row>
    <row r="652" spans="2:7">
      <c r="B652" s="37"/>
      <c r="C652" s="7"/>
      <c r="D652" s="7"/>
      <c r="E652" s="7"/>
      <c r="F652" s="7"/>
      <c r="G652" s="7"/>
    </row>
    <row r="653" spans="2:7">
      <c r="B653" s="37"/>
      <c r="C653" s="7"/>
      <c r="D653" s="7"/>
      <c r="E653" s="7"/>
      <c r="F653" s="7"/>
      <c r="G653" s="7"/>
    </row>
    <row r="654" spans="2:7">
      <c r="B654" s="37"/>
      <c r="C654" s="7"/>
      <c r="D654" s="7"/>
      <c r="E654" s="7"/>
      <c r="F654" s="7"/>
      <c r="G654" s="7"/>
    </row>
    <row r="655" spans="2:7">
      <c r="B655" s="37"/>
      <c r="C655" s="7"/>
      <c r="D655" s="7"/>
      <c r="E655" s="7"/>
      <c r="F655" s="7"/>
      <c r="G655" s="7"/>
    </row>
    <row r="656" spans="2:7">
      <c r="B656" s="37"/>
      <c r="C656" s="7"/>
      <c r="D656" s="7"/>
      <c r="E656" s="7"/>
      <c r="F656" s="7"/>
      <c r="G656" s="7"/>
    </row>
    <row r="657" spans="2:7">
      <c r="B657" s="37"/>
      <c r="C657" s="7"/>
      <c r="D657" s="7"/>
      <c r="E657" s="7"/>
      <c r="F657" s="7"/>
      <c r="G657" s="7"/>
    </row>
    <row r="658" spans="2:7">
      <c r="B658" s="37"/>
      <c r="C658" s="7"/>
      <c r="D658" s="7"/>
      <c r="E658" s="7"/>
      <c r="F658" s="7"/>
      <c r="G658" s="7"/>
    </row>
    <row r="659" spans="2:7">
      <c r="B659" s="37"/>
      <c r="C659" s="7"/>
      <c r="D659" s="7"/>
      <c r="E659" s="7"/>
      <c r="F659" s="7"/>
      <c r="G659" s="7"/>
    </row>
    <row r="660" spans="2:7">
      <c r="B660" s="37"/>
      <c r="C660" s="7"/>
      <c r="D660" s="7"/>
      <c r="E660" s="7"/>
      <c r="F660" s="7"/>
      <c r="G660" s="7"/>
    </row>
    <row r="661" spans="2:7">
      <c r="B661" s="37"/>
      <c r="C661" s="7"/>
      <c r="D661" s="7"/>
      <c r="E661" s="7"/>
      <c r="F661" s="7"/>
      <c r="G661" s="7"/>
    </row>
    <row r="662" spans="2:7">
      <c r="B662" s="37"/>
      <c r="C662" s="7"/>
      <c r="D662" s="7"/>
      <c r="E662" s="7"/>
      <c r="F662" s="7"/>
      <c r="G662" s="7"/>
    </row>
    <row r="663" spans="2:7">
      <c r="B663" s="37"/>
      <c r="C663" s="7"/>
      <c r="D663" s="7"/>
      <c r="E663" s="7"/>
      <c r="F663" s="7"/>
      <c r="G663" s="7"/>
    </row>
    <row r="664" spans="2:7">
      <c r="B664" s="37"/>
      <c r="C664" s="7"/>
      <c r="D664" s="7"/>
      <c r="E664" s="7"/>
      <c r="F664" s="7"/>
      <c r="G664" s="7"/>
    </row>
    <row r="665" spans="2:7">
      <c r="B665" s="37"/>
      <c r="C665" s="7"/>
      <c r="D665" s="7"/>
      <c r="E665" s="7"/>
      <c r="F665" s="7"/>
      <c r="G665" s="7"/>
    </row>
    <row r="666" spans="2:7">
      <c r="B666" s="37"/>
      <c r="C666" s="7"/>
      <c r="D666" s="7"/>
      <c r="E666" s="7"/>
      <c r="F666" s="7"/>
      <c r="G666" s="7"/>
    </row>
    <row r="667" spans="2:7">
      <c r="B667" s="37"/>
      <c r="C667" s="7"/>
      <c r="D667" s="7"/>
      <c r="E667" s="7"/>
      <c r="F667" s="7"/>
      <c r="G667" s="7"/>
    </row>
    <row r="668" spans="2:7">
      <c r="B668" s="37"/>
      <c r="C668" s="7"/>
      <c r="D668" s="7"/>
      <c r="E668" s="7"/>
      <c r="F668" s="7"/>
      <c r="G668" s="7"/>
    </row>
    <row r="669" spans="2:7">
      <c r="B669" s="37"/>
      <c r="C669" s="7"/>
      <c r="D669" s="7"/>
      <c r="E669" s="7"/>
      <c r="F669" s="7"/>
      <c r="G669" s="7"/>
    </row>
    <row r="670" spans="2:7">
      <c r="B670" s="37"/>
      <c r="C670" s="7"/>
      <c r="D670" s="7"/>
      <c r="E670" s="7"/>
      <c r="F670" s="7"/>
      <c r="G670" s="7"/>
    </row>
    <row r="671" spans="2:7">
      <c r="B671" s="37"/>
      <c r="C671" s="7"/>
      <c r="D671" s="7"/>
      <c r="E671" s="7"/>
      <c r="F671" s="7"/>
      <c r="G671" s="7"/>
    </row>
    <row r="672" spans="2:7">
      <c r="B672" s="37"/>
      <c r="C672" s="7"/>
      <c r="D672" s="7"/>
      <c r="E672" s="7"/>
      <c r="F672" s="7"/>
      <c r="G672" s="7"/>
    </row>
    <row r="673" spans="2:7">
      <c r="B673" s="37"/>
      <c r="C673" s="7"/>
      <c r="D673" s="7"/>
      <c r="E673" s="7"/>
      <c r="F673" s="7"/>
      <c r="G673" s="7"/>
    </row>
    <row r="674" spans="2:7">
      <c r="B674" s="37"/>
      <c r="C674" s="7"/>
      <c r="D674" s="7"/>
      <c r="E674" s="7"/>
      <c r="F674" s="7"/>
      <c r="G674" s="7"/>
    </row>
    <row r="675" spans="2:7">
      <c r="B675" s="37"/>
      <c r="C675" s="7"/>
      <c r="D675" s="7"/>
      <c r="E675" s="7"/>
      <c r="F675" s="7"/>
      <c r="G675" s="7"/>
    </row>
    <row r="676" spans="2:7">
      <c r="B676" s="37"/>
      <c r="C676" s="7"/>
      <c r="D676" s="7"/>
      <c r="E676" s="7"/>
      <c r="F676" s="7"/>
      <c r="G676" s="7"/>
    </row>
    <row r="677" spans="2:7">
      <c r="B677" s="37"/>
      <c r="C677" s="7"/>
      <c r="D677" s="7"/>
      <c r="E677" s="7"/>
      <c r="F677" s="7"/>
      <c r="G677" s="7"/>
    </row>
    <row r="678" spans="2:7">
      <c r="B678" s="37"/>
      <c r="C678" s="7"/>
      <c r="D678" s="7"/>
      <c r="E678" s="7"/>
      <c r="F678" s="7"/>
      <c r="G678" s="7"/>
    </row>
    <row r="679" spans="2:7">
      <c r="B679" s="37"/>
      <c r="C679" s="7"/>
      <c r="D679" s="7"/>
      <c r="E679" s="7"/>
      <c r="F679" s="7"/>
      <c r="G679" s="7"/>
    </row>
    <row r="680" spans="2:7">
      <c r="B680" s="37"/>
      <c r="C680" s="7"/>
      <c r="D680" s="7"/>
      <c r="E680" s="7"/>
      <c r="F680" s="7"/>
      <c r="G680" s="7"/>
    </row>
    <row r="681" spans="2:7">
      <c r="B681" s="37"/>
      <c r="C681" s="7"/>
      <c r="D681" s="7"/>
      <c r="E681" s="7"/>
      <c r="F681" s="7"/>
      <c r="G681" s="7"/>
    </row>
    <row r="682" spans="2:7">
      <c r="B682" s="37"/>
      <c r="C682" s="7"/>
      <c r="D682" s="7"/>
      <c r="E682" s="7"/>
      <c r="F682" s="7"/>
      <c r="G682" s="7"/>
    </row>
    <row r="683" spans="2:7">
      <c r="B683" s="37"/>
      <c r="C683" s="7"/>
      <c r="D683" s="7"/>
      <c r="E683" s="7"/>
      <c r="F683" s="7"/>
      <c r="G683" s="7"/>
    </row>
    <row r="684" spans="2:7">
      <c r="B684" s="37"/>
      <c r="C684" s="7"/>
      <c r="D684" s="7"/>
      <c r="E684" s="7"/>
      <c r="F684" s="7"/>
      <c r="G684" s="7"/>
    </row>
    <row r="685" spans="2:7">
      <c r="B685" s="37"/>
      <c r="C685" s="7"/>
      <c r="D685" s="7"/>
      <c r="E685" s="7"/>
      <c r="F685" s="7"/>
      <c r="G685" s="7"/>
    </row>
    <row r="686" spans="2:7">
      <c r="B686" s="37"/>
      <c r="C686" s="7"/>
      <c r="D686" s="7"/>
      <c r="E686" s="7"/>
      <c r="F686" s="7"/>
      <c r="G686" s="7"/>
    </row>
    <row r="687" spans="2:7">
      <c r="B687" s="37"/>
      <c r="C687" s="7"/>
      <c r="D687" s="7"/>
      <c r="E687" s="7"/>
      <c r="F687" s="7"/>
      <c r="G687" s="7"/>
    </row>
    <row r="688" spans="2:7">
      <c r="B688" s="37"/>
      <c r="C688" s="7"/>
      <c r="D688" s="7"/>
      <c r="E688" s="7"/>
      <c r="F688" s="7"/>
      <c r="G688" s="7"/>
    </row>
    <row r="689" spans="2:7">
      <c r="B689" s="37"/>
      <c r="C689" s="7"/>
      <c r="D689" s="7"/>
      <c r="E689" s="7"/>
      <c r="F689" s="7"/>
      <c r="G689" s="7"/>
    </row>
    <row r="690" spans="2:7">
      <c r="B690" s="37"/>
      <c r="C690" s="7"/>
      <c r="D690" s="7"/>
      <c r="E690" s="7"/>
      <c r="F690" s="7"/>
      <c r="G690" s="7"/>
    </row>
    <row r="691" spans="2:7">
      <c r="B691" s="37"/>
      <c r="C691" s="7"/>
      <c r="D691" s="7"/>
      <c r="E691" s="7"/>
      <c r="F691" s="7"/>
      <c r="G691" s="7"/>
    </row>
    <row r="692" spans="2:7">
      <c r="B692" s="37"/>
      <c r="C692" s="7"/>
      <c r="D692" s="7"/>
      <c r="E692" s="7"/>
      <c r="F692" s="7"/>
      <c r="G692" s="7"/>
    </row>
    <row r="693" spans="2:7">
      <c r="B693" s="37"/>
      <c r="C693" s="7"/>
      <c r="D693" s="7"/>
      <c r="E693" s="7"/>
      <c r="F693" s="7"/>
      <c r="G693" s="7"/>
    </row>
    <row r="694" spans="2:7">
      <c r="B694" s="37"/>
      <c r="C694" s="7"/>
      <c r="D694" s="7"/>
      <c r="E694" s="7"/>
      <c r="F694" s="7"/>
      <c r="G694" s="7"/>
    </row>
    <row r="695" spans="2:7">
      <c r="B695" s="37"/>
      <c r="C695" s="7"/>
      <c r="D695" s="7"/>
      <c r="E695" s="7"/>
      <c r="F695" s="7"/>
      <c r="G695" s="7"/>
    </row>
    <row r="696" spans="2:7">
      <c r="B696" s="37"/>
      <c r="C696" s="7"/>
      <c r="D696" s="7"/>
      <c r="E696" s="7"/>
      <c r="F696" s="7"/>
      <c r="G696" s="7"/>
    </row>
    <row r="697" spans="2:7">
      <c r="B697" s="37"/>
      <c r="C697" s="7"/>
      <c r="D697" s="7"/>
      <c r="E697" s="7"/>
      <c r="F697" s="7"/>
      <c r="G697" s="7"/>
    </row>
    <row r="698" spans="2:7">
      <c r="B698" s="37"/>
      <c r="C698" s="7"/>
      <c r="D698" s="7"/>
      <c r="E698" s="7"/>
      <c r="F698" s="7"/>
      <c r="G698" s="7"/>
    </row>
    <row r="699" spans="2:7">
      <c r="B699" s="37"/>
      <c r="C699" s="7"/>
      <c r="D699" s="7"/>
      <c r="E699" s="7"/>
      <c r="F699" s="7"/>
      <c r="G699" s="7"/>
    </row>
    <row r="700" spans="2:7">
      <c r="B700" s="37"/>
      <c r="C700" s="7"/>
      <c r="D700" s="7"/>
      <c r="E700" s="7"/>
      <c r="F700" s="7"/>
      <c r="G700" s="7"/>
    </row>
    <row r="701" spans="2:7">
      <c r="B701" s="37"/>
      <c r="C701" s="7"/>
      <c r="D701" s="7"/>
      <c r="E701" s="7"/>
      <c r="F701" s="7"/>
      <c r="G701" s="7"/>
    </row>
    <row r="702" spans="2:7">
      <c r="B702" s="37"/>
      <c r="C702" s="7"/>
      <c r="D702" s="7"/>
      <c r="E702" s="7"/>
      <c r="F702" s="7"/>
      <c r="G702" s="7"/>
    </row>
    <row r="703" spans="2:7">
      <c r="B703" s="37"/>
      <c r="C703" s="7"/>
      <c r="D703" s="7"/>
      <c r="E703" s="7"/>
      <c r="F703" s="7"/>
      <c r="G703" s="7"/>
    </row>
    <row r="704" spans="2:7">
      <c r="B704" s="37"/>
      <c r="C704" s="7"/>
      <c r="D704" s="7"/>
      <c r="E704" s="7"/>
      <c r="F704" s="7"/>
      <c r="G704" s="7"/>
    </row>
    <row r="705" spans="2:7">
      <c r="B705" s="37"/>
      <c r="C705" s="7"/>
      <c r="D705" s="7"/>
      <c r="E705" s="7"/>
      <c r="F705" s="7"/>
      <c r="G705" s="7"/>
    </row>
    <row r="706" spans="2:7">
      <c r="B706" s="37"/>
      <c r="C706" s="7"/>
      <c r="D706" s="7"/>
      <c r="E706" s="7"/>
      <c r="F706" s="7"/>
      <c r="G706" s="7"/>
    </row>
    <row r="707" spans="2:7">
      <c r="B707" s="37"/>
      <c r="C707" s="7"/>
      <c r="D707" s="7"/>
      <c r="E707" s="7"/>
      <c r="F707" s="7"/>
      <c r="G707" s="7"/>
    </row>
    <row r="708" spans="2:7">
      <c r="B708" s="37"/>
      <c r="C708" s="7"/>
      <c r="D708" s="7"/>
      <c r="E708" s="7"/>
      <c r="F708" s="7"/>
      <c r="G708" s="7"/>
    </row>
    <row r="709" spans="2:7">
      <c r="B709" s="37"/>
      <c r="C709" s="7"/>
      <c r="D709" s="7"/>
      <c r="E709" s="7"/>
      <c r="F709" s="7"/>
      <c r="G709" s="7"/>
    </row>
    <row r="710" spans="2:7">
      <c r="B710" s="37"/>
      <c r="C710" s="7"/>
      <c r="D710" s="7"/>
      <c r="E710" s="7"/>
      <c r="F710" s="7"/>
      <c r="G710" s="7"/>
    </row>
    <row r="711" spans="2:7">
      <c r="B711" s="37"/>
      <c r="C711" s="7"/>
      <c r="D711" s="7"/>
      <c r="E711" s="7"/>
      <c r="F711" s="7"/>
      <c r="G711" s="7"/>
    </row>
    <row r="712" spans="2:7">
      <c r="B712" s="37"/>
      <c r="C712" s="7"/>
      <c r="D712" s="7"/>
      <c r="E712" s="7"/>
      <c r="F712" s="7"/>
      <c r="G712" s="7"/>
    </row>
    <row r="713" spans="2:7">
      <c r="B713" s="37"/>
      <c r="C713" s="7"/>
      <c r="D713" s="7"/>
      <c r="E713" s="7"/>
      <c r="F713" s="7"/>
      <c r="G713" s="7"/>
    </row>
    <row r="714" spans="2:7">
      <c r="B714" s="37"/>
      <c r="C714" s="7"/>
      <c r="D714" s="7"/>
      <c r="E714" s="7"/>
      <c r="F714" s="7"/>
      <c r="G714" s="7"/>
    </row>
    <row r="715" spans="2:7">
      <c r="B715" s="37"/>
      <c r="C715" s="7"/>
      <c r="D715" s="7"/>
      <c r="E715" s="7"/>
      <c r="F715" s="7"/>
      <c r="G715" s="7"/>
    </row>
    <row r="716" spans="2:7">
      <c r="B716" s="37"/>
      <c r="C716" s="7"/>
      <c r="D716" s="7"/>
      <c r="E716" s="7"/>
      <c r="F716" s="7"/>
      <c r="G716" s="7"/>
    </row>
    <row r="717" spans="2:7">
      <c r="B717" s="37"/>
      <c r="C717" s="7"/>
      <c r="D717" s="7"/>
      <c r="E717" s="7"/>
      <c r="F717" s="7"/>
      <c r="G717" s="7"/>
    </row>
    <row r="718" spans="2:7">
      <c r="B718" s="37"/>
      <c r="C718" s="7"/>
      <c r="D718" s="7"/>
      <c r="E718" s="7"/>
      <c r="F718" s="7"/>
      <c r="G718" s="7"/>
    </row>
    <row r="719" spans="2:7">
      <c r="B719" s="37"/>
      <c r="C719" s="7"/>
      <c r="D719" s="7"/>
      <c r="E719" s="7"/>
      <c r="F719" s="7"/>
      <c r="G719" s="7"/>
    </row>
    <row r="720" spans="2:7">
      <c r="B720" s="37"/>
      <c r="C720" s="7"/>
      <c r="D720" s="7"/>
      <c r="E720" s="7"/>
      <c r="F720" s="7"/>
      <c r="G720" s="7"/>
    </row>
    <row r="721" spans="2:7">
      <c r="B721" s="37"/>
      <c r="C721" s="7"/>
      <c r="D721" s="7"/>
      <c r="E721" s="7"/>
      <c r="F721" s="7"/>
      <c r="G721" s="7"/>
    </row>
    <row r="722" spans="2:7">
      <c r="B722" s="37"/>
      <c r="C722" s="7"/>
      <c r="D722" s="7"/>
      <c r="E722" s="7"/>
      <c r="F722" s="7"/>
      <c r="G722" s="7"/>
    </row>
    <row r="723" spans="2:7">
      <c r="B723" s="37"/>
      <c r="C723" s="7"/>
      <c r="D723" s="7"/>
      <c r="E723" s="7"/>
      <c r="F723" s="7"/>
      <c r="G723" s="7"/>
    </row>
    <row r="724" spans="2:7">
      <c r="B724" s="37"/>
      <c r="C724" s="7"/>
      <c r="D724" s="7"/>
      <c r="E724" s="7"/>
      <c r="F724" s="7"/>
      <c r="G724" s="7"/>
    </row>
    <row r="725" spans="2:7">
      <c r="B725" s="37"/>
      <c r="C725" s="7"/>
      <c r="D725" s="7"/>
      <c r="E725" s="7"/>
      <c r="F725" s="7"/>
      <c r="G725" s="7"/>
    </row>
    <row r="726" spans="2:7">
      <c r="B726" s="37"/>
      <c r="C726" s="7"/>
      <c r="D726" s="7"/>
      <c r="E726" s="7"/>
      <c r="F726" s="7"/>
      <c r="G726" s="7"/>
    </row>
    <row r="727" spans="2:7">
      <c r="B727" s="37"/>
      <c r="C727" s="7"/>
      <c r="D727" s="7"/>
      <c r="E727" s="7"/>
      <c r="F727" s="7"/>
      <c r="G727" s="7"/>
    </row>
    <row r="728" spans="2:7">
      <c r="B728" s="37"/>
      <c r="C728" s="7"/>
      <c r="D728" s="7"/>
      <c r="E728" s="7"/>
      <c r="F728" s="7"/>
      <c r="G728" s="7"/>
    </row>
    <row r="729" spans="2:7">
      <c r="B729" s="37"/>
      <c r="C729" s="7"/>
      <c r="D729" s="7"/>
      <c r="E729" s="7"/>
      <c r="F729" s="7"/>
      <c r="G729" s="7"/>
    </row>
    <row r="730" spans="2:7">
      <c r="B730" s="37"/>
      <c r="C730" s="7"/>
      <c r="D730" s="7"/>
      <c r="E730" s="7"/>
      <c r="F730" s="7"/>
      <c r="G730" s="7"/>
    </row>
    <row r="731" spans="2:7">
      <c r="B731" s="37"/>
      <c r="C731" s="7"/>
      <c r="D731" s="7"/>
      <c r="E731" s="7"/>
      <c r="F731" s="7"/>
      <c r="G731" s="7"/>
    </row>
    <row r="732" spans="2:7">
      <c r="B732" s="37"/>
      <c r="C732" s="7"/>
      <c r="D732" s="7"/>
      <c r="E732" s="7"/>
      <c r="F732" s="7"/>
      <c r="G732" s="7"/>
    </row>
    <row r="733" spans="2:7">
      <c r="B733" s="37"/>
      <c r="C733" s="7"/>
      <c r="D733" s="7"/>
      <c r="E733" s="7"/>
      <c r="F733" s="7"/>
      <c r="G733" s="7"/>
    </row>
    <row r="734" spans="2:7">
      <c r="B734" s="37"/>
      <c r="C734" s="7"/>
      <c r="D734" s="7"/>
      <c r="E734" s="7"/>
      <c r="F734" s="7"/>
      <c r="G734" s="7"/>
    </row>
    <row r="735" spans="2:7">
      <c r="B735" s="37"/>
      <c r="C735" s="7"/>
      <c r="D735" s="7"/>
      <c r="E735" s="7"/>
      <c r="F735" s="7"/>
      <c r="G735" s="7"/>
    </row>
    <row r="736" spans="2:7">
      <c r="B736" s="37"/>
      <c r="C736" s="7"/>
      <c r="D736" s="7"/>
      <c r="E736" s="7"/>
      <c r="F736" s="7"/>
      <c r="G736" s="7"/>
    </row>
    <row r="737" spans="2:7">
      <c r="B737" s="37"/>
      <c r="C737" s="7"/>
      <c r="D737" s="7"/>
      <c r="E737" s="7"/>
      <c r="F737" s="7"/>
      <c r="G737" s="7"/>
    </row>
    <row r="738" spans="2:7">
      <c r="B738" s="37"/>
      <c r="C738" s="7"/>
      <c r="D738" s="7"/>
      <c r="E738" s="7"/>
      <c r="F738" s="7"/>
      <c r="G738" s="7"/>
    </row>
    <row r="739" spans="2:7">
      <c r="B739" s="37"/>
      <c r="C739" s="7"/>
      <c r="D739" s="7"/>
      <c r="E739" s="7"/>
      <c r="F739" s="7"/>
      <c r="G739" s="7"/>
    </row>
    <row r="740" spans="2:7">
      <c r="B740" s="37"/>
      <c r="C740" s="7"/>
      <c r="D740" s="7"/>
      <c r="E740" s="7"/>
      <c r="F740" s="7"/>
      <c r="G740" s="7"/>
    </row>
    <row r="741" spans="2:7">
      <c r="B741" s="37"/>
      <c r="C741" s="7"/>
      <c r="D741" s="7"/>
      <c r="E741" s="7"/>
      <c r="F741" s="7"/>
      <c r="G741" s="7"/>
    </row>
    <row r="742" spans="2:7">
      <c r="B742" s="37"/>
      <c r="C742" s="7"/>
      <c r="D742" s="7"/>
      <c r="E742" s="7"/>
      <c r="F742" s="7"/>
      <c r="G742" s="7"/>
    </row>
    <row r="743" spans="2:7">
      <c r="B743" s="37"/>
      <c r="C743" s="7"/>
      <c r="D743" s="7"/>
      <c r="E743" s="7"/>
      <c r="F743" s="7"/>
      <c r="G743" s="7"/>
    </row>
    <row r="744" spans="2:7">
      <c r="B744" s="37"/>
      <c r="C744" s="7"/>
      <c r="D744" s="7"/>
      <c r="E744" s="7"/>
      <c r="F744" s="7"/>
      <c r="G744" s="7"/>
    </row>
    <row r="745" spans="2:7">
      <c r="B745" s="37"/>
      <c r="C745" s="7"/>
      <c r="D745" s="7"/>
      <c r="E745" s="7"/>
      <c r="F745" s="7"/>
      <c r="G745" s="7"/>
    </row>
    <row r="746" spans="2:7">
      <c r="B746" s="37"/>
      <c r="C746" s="7"/>
      <c r="D746" s="7"/>
      <c r="E746" s="7"/>
      <c r="F746" s="7"/>
      <c r="G746" s="7"/>
    </row>
    <row r="747" spans="2:7">
      <c r="B747" s="37"/>
      <c r="C747" s="7"/>
      <c r="D747" s="7"/>
      <c r="E747" s="7"/>
      <c r="F747" s="7"/>
      <c r="G747" s="7"/>
    </row>
    <row r="748" spans="2:7">
      <c r="B748" s="37"/>
      <c r="C748" s="7"/>
      <c r="D748" s="7"/>
      <c r="E748" s="7"/>
      <c r="F748" s="7"/>
      <c r="G748" s="7"/>
    </row>
    <row r="749" spans="2:7">
      <c r="B749" s="37"/>
      <c r="C749" s="7"/>
      <c r="D749" s="7"/>
      <c r="E749" s="7"/>
      <c r="F749" s="7"/>
      <c r="G749" s="7"/>
    </row>
    <row r="750" spans="2:7">
      <c r="B750" s="37"/>
      <c r="C750" s="7"/>
      <c r="D750" s="7"/>
      <c r="E750" s="7"/>
      <c r="F750" s="7"/>
      <c r="G750" s="7"/>
    </row>
    <row r="751" spans="2:7">
      <c r="B751" s="37"/>
      <c r="C751" s="7"/>
      <c r="D751" s="7"/>
      <c r="E751" s="7"/>
      <c r="F751" s="7"/>
      <c r="G751" s="7"/>
    </row>
    <row r="752" spans="2:7">
      <c r="B752" s="37"/>
      <c r="C752" s="7"/>
      <c r="D752" s="7"/>
      <c r="E752" s="7"/>
      <c r="F752" s="7"/>
      <c r="G752" s="7"/>
    </row>
    <row r="753" spans="2:7">
      <c r="B753" s="37"/>
      <c r="C753" s="7"/>
      <c r="D753" s="7"/>
      <c r="E753" s="7"/>
      <c r="F753" s="7"/>
      <c r="G753" s="7"/>
    </row>
    <row r="754" spans="2:7">
      <c r="B754" s="37"/>
      <c r="C754" s="7"/>
      <c r="D754" s="7"/>
      <c r="E754" s="7"/>
      <c r="F754" s="7"/>
      <c r="G754" s="7"/>
    </row>
    <row r="755" spans="2:7">
      <c r="B755" s="37"/>
      <c r="C755" s="7"/>
      <c r="D755" s="7"/>
      <c r="E755" s="7"/>
      <c r="F755" s="7"/>
      <c r="G755" s="7"/>
    </row>
    <row r="756" spans="2:7">
      <c r="B756" s="37"/>
      <c r="C756" s="7"/>
      <c r="D756" s="7"/>
      <c r="E756" s="7"/>
      <c r="F756" s="7"/>
      <c r="G756" s="7"/>
    </row>
    <row r="757" spans="2:7">
      <c r="B757" s="37"/>
      <c r="C757" s="7"/>
      <c r="D757" s="7"/>
      <c r="E757" s="7"/>
      <c r="F757" s="7"/>
      <c r="G757" s="7"/>
    </row>
    <row r="758" spans="2:7">
      <c r="B758" s="37"/>
      <c r="C758" s="7"/>
      <c r="D758" s="7"/>
      <c r="E758" s="7"/>
      <c r="F758" s="7"/>
      <c r="G758" s="7"/>
    </row>
    <row r="759" spans="2:7">
      <c r="B759" s="37"/>
      <c r="C759" s="7"/>
      <c r="D759" s="7"/>
      <c r="E759" s="7"/>
      <c r="F759" s="7"/>
      <c r="G759" s="7"/>
    </row>
    <row r="760" spans="2:7">
      <c r="B760" s="37"/>
      <c r="C760" s="7"/>
      <c r="D760" s="7"/>
      <c r="E760" s="7"/>
      <c r="F760" s="7"/>
      <c r="G760" s="7"/>
    </row>
    <row r="761" spans="2:7">
      <c r="B761" s="37"/>
      <c r="C761" s="7"/>
      <c r="D761" s="7"/>
      <c r="E761" s="7"/>
      <c r="F761" s="7"/>
      <c r="G761" s="7"/>
    </row>
    <row r="762" spans="2:7">
      <c r="B762" s="37"/>
      <c r="C762" s="7"/>
      <c r="D762" s="7"/>
      <c r="E762" s="7"/>
      <c r="F762" s="7"/>
      <c r="G762" s="7"/>
    </row>
    <row r="763" spans="2:7">
      <c r="B763" s="37"/>
      <c r="C763" s="7"/>
      <c r="D763" s="7"/>
      <c r="E763" s="7"/>
      <c r="F763" s="7"/>
      <c r="G763" s="7"/>
    </row>
    <row r="764" spans="2:7">
      <c r="B764" s="37"/>
      <c r="C764" s="7"/>
      <c r="D764" s="7"/>
      <c r="E764" s="7"/>
      <c r="F764" s="7"/>
      <c r="G764" s="7"/>
    </row>
    <row r="765" spans="2:7">
      <c r="B765" s="37"/>
      <c r="C765" s="7"/>
      <c r="D765" s="7"/>
      <c r="E765" s="7"/>
      <c r="F765" s="7"/>
      <c r="G765" s="7"/>
    </row>
    <row r="766" spans="2:7">
      <c r="B766" s="37"/>
      <c r="C766" s="7"/>
      <c r="D766" s="7"/>
      <c r="E766" s="7"/>
      <c r="F766" s="7"/>
      <c r="G766" s="7"/>
    </row>
    <row r="767" spans="2:7">
      <c r="B767" s="37"/>
      <c r="C767" s="7"/>
      <c r="D767" s="7"/>
      <c r="E767" s="7"/>
      <c r="F767" s="7"/>
      <c r="G767" s="7"/>
    </row>
    <row r="768" spans="2:7">
      <c r="B768" s="37"/>
      <c r="C768" s="7"/>
      <c r="D768" s="7"/>
      <c r="E768" s="7"/>
      <c r="F768" s="7"/>
      <c r="G768" s="7"/>
    </row>
    <row r="769" spans="2:7">
      <c r="B769" s="37"/>
      <c r="C769" s="7"/>
      <c r="D769" s="7"/>
      <c r="E769" s="7"/>
      <c r="F769" s="7"/>
      <c r="G769" s="7"/>
    </row>
    <row r="770" spans="2:7">
      <c r="B770" s="37"/>
      <c r="C770" s="7"/>
      <c r="D770" s="7"/>
      <c r="E770" s="7"/>
      <c r="F770" s="7"/>
      <c r="G770" s="7"/>
    </row>
    <row r="771" spans="2:7">
      <c r="B771" s="37"/>
      <c r="C771" s="7"/>
      <c r="D771" s="7"/>
      <c r="E771" s="7"/>
      <c r="F771" s="7"/>
      <c r="G771" s="7"/>
    </row>
    <row r="772" spans="2:7">
      <c r="B772" s="37"/>
      <c r="C772" s="7"/>
      <c r="D772" s="7"/>
      <c r="E772" s="7"/>
      <c r="F772" s="7"/>
      <c r="G772" s="7"/>
    </row>
    <row r="773" spans="2:7">
      <c r="B773" s="37"/>
      <c r="C773" s="7"/>
      <c r="D773" s="7"/>
      <c r="E773" s="7"/>
      <c r="F773" s="7"/>
      <c r="G773" s="7"/>
    </row>
    <row r="774" spans="2:7">
      <c r="B774" s="37"/>
      <c r="C774" s="7"/>
      <c r="D774" s="7"/>
      <c r="E774" s="7"/>
      <c r="F774" s="7"/>
      <c r="G774" s="7"/>
    </row>
    <row r="775" spans="2:7">
      <c r="B775" s="37"/>
      <c r="C775" s="7"/>
      <c r="D775" s="7"/>
      <c r="E775" s="7"/>
      <c r="F775" s="7"/>
      <c r="G775" s="7"/>
    </row>
    <row r="776" spans="2:7">
      <c r="B776" s="37"/>
      <c r="C776" s="7"/>
      <c r="D776" s="7"/>
      <c r="E776" s="7"/>
      <c r="F776" s="7"/>
      <c r="G776" s="7"/>
    </row>
    <row r="777" spans="2:7">
      <c r="B777" s="37"/>
      <c r="C777" s="7"/>
      <c r="D777" s="7"/>
      <c r="E777" s="7"/>
      <c r="F777" s="7"/>
      <c r="G777" s="7"/>
    </row>
    <row r="778" spans="2:7">
      <c r="B778" s="37"/>
      <c r="C778" s="7"/>
      <c r="D778" s="7"/>
      <c r="E778" s="7"/>
      <c r="F778" s="7"/>
      <c r="G778" s="7"/>
    </row>
    <row r="779" spans="2:7">
      <c r="B779" s="37"/>
      <c r="C779" s="7"/>
      <c r="D779" s="7"/>
      <c r="E779" s="7"/>
      <c r="F779" s="7"/>
      <c r="G779" s="7"/>
    </row>
    <row r="780" spans="2:7">
      <c r="B780" s="37"/>
      <c r="C780" s="7"/>
      <c r="D780" s="7"/>
      <c r="E780" s="7"/>
      <c r="F780" s="7"/>
      <c r="G780" s="7"/>
    </row>
    <row r="781" spans="2:7">
      <c r="B781" s="37"/>
      <c r="C781" s="7"/>
      <c r="D781" s="7"/>
      <c r="E781" s="7"/>
      <c r="F781" s="7"/>
      <c r="G781" s="7"/>
    </row>
    <row r="782" spans="2:7">
      <c r="B782" s="37"/>
      <c r="C782" s="7"/>
      <c r="D782" s="7"/>
      <c r="E782" s="7"/>
      <c r="F782" s="7"/>
      <c r="G782" s="7"/>
    </row>
    <row r="783" spans="2:7">
      <c r="B783" s="37"/>
      <c r="C783" s="7"/>
      <c r="D783" s="7"/>
      <c r="E783" s="7"/>
      <c r="F783" s="7"/>
      <c r="G783" s="7"/>
    </row>
    <row r="784" spans="2:7">
      <c r="B784" s="37"/>
      <c r="C784" s="7"/>
      <c r="D784" s="7"/>
      <c r="E784" s="7"/>
      <c r="F784" s="7"/>
      <c r="G784" s="7"/>
    </row>
    <row r="785" spans="2:7">
      <c r="B785" s="37"/>
      <c r="C785" s="7"/>
      <c r="D785" s="7"/>
      <c r="E785" s="7"/>
      <c r="F785" s="7"/>
      <c r="G785" s="7"/>
    </row>
    <row r="786" spans="2:7">
      <c r="B786" s="37"/>
      <c r="C786" s="7"/>
      <c r="D786" s="7"/>
      <c r="E786" s="7"/>
      <c r="F786" s="7"/>
      <c r="G786" s="7"/>
    </row>
    <row r="787" spans="2:7">
      <c r="B787" s="37"/>
      <c r="C787" s="7"/>
      <c r="D787" s="7"/>
      <c r="E787" s="7"/>
      <c r="F787" s="7"/>
      <c r="G787" s="7"/>
    </row>
    <row r="788" spans="2:7">
      <c r="B788" s="37"/>
      <c r="C788" s="7"/>
      <c r="D788" s="7"/>
      <c r="E788" s="7"/>
      <c r="F788" s="7"/>
      <c r="G788" s="7"/>
    </row>
    <row r="789" spans="2:7">
      <c r="B789" s="37"/>
      <c r="C789" s="7"/>
      <c r="D789" s="7"/>
      <c r="E789" s="7"/>
      <c r="F789" s="7"/>
      <c r="G789" s="7"/>
    </row>
    <row r="790" spans="2:7">
      <c r="B790" s="37"/>
      <c r="C790" s="7"/>
      <c r="D790" s="7"/>
      <c r="E790" s="7"/>
      <c r="F790" s="7"/>
      <c r="G790" s="7"/>
    </row>
    <row r="791" spans="2:7">
      <c r="B791" s="37"/>
      <c r="C791" s="7"/>
      <c r="D791" s="7"/>
      <c r="E791" s="7"/>
      <c r="F791" s="7"/>
      <c r="G791" s="7"/>
    </row>
    <row r="792" spans="2:7">
      <c r="B792" s="37"/>
      <c r="C792" s="7"/>
      <c r="D792" s="7"/>
      <c r="E792" s="7"/>
      <c r="F792" s="7"/>
      <c r="G792" s="7"/>
    </row>
    <row r="793" spans="2:7">
      <c r="B793" s="37"/>
      <c r="C793" s="7"/>
      <c r="D793" s="7"/>
      <c r="E793" s="7"/>
      <c r="F793" s="7"/>
      <c r="G793" s="7"/>
    </row>
    <row r="794" spans="2:7">
      <c r="B794" s="37"/>
      <c r="C794" s="7"/>
      <c r="D794" s="7"/>
      <c r="E794" s="7"/>
      <c r="F794" s="7"/>
      <c r="G794" s="7"/>
    </row>
    <row r="795" spans="2:7">
      <c r="B795" s="37"/>
      <c r="C795" s="7"/>
      <c r="D795" s="7"/>
      <c r="E795" s="7"/>
      <c r="F795" s="7"/>
      <c r="G795" s="7"/>
    </row>
    <row r="796" spans="2:7">
      <c r="B796" s="37"/>
      <c r="C796" s="7"/>
      <c r="D796" s="7"/>
      <c r="E796" s="7"/>
      <c r="F796" s="7"/>
      <c r="G796" s="7"/>
    </row>
    <row r="797" spans="2:7">
      <c r="B797" s="37"/>
      <c r="C797" s="7"/>
      <c r="D797" s="7"/>
      <c r="E797" s="7"/>
      <c r="F797" s="7"/>
      <c r="G797" s="7"/>
    </row>
    <row r="798" spans="2:7">
      <c r="B798" s="37"/>
      <c r="C798" s="7"/>
      <c r="D798" s="7"/>
      <c r="E798" s="7"/>
      <c r="F798" s="7"/>
      <c r="G798" s="7"/>
    </row>
    <row r="799" spans="2:7">
      <c r="B799" s="37"/>
      <c r="C799" s="7"/>
      <c r="D799" s="7"/>
      <c r="E799" s="7"/>
      <c r="F799" s="7"/>
      <c r="G799" s="7"/>
    </row>
    <row r="800" spans="2:7">
      <c r="B800" s="37"/>
      <c r="C800" s="7"/>
      <c r="D800" s="7"/>
      <c r="E800" s="7"/>
      <c r="F800" s="7"/>
      <c r="G800" s="7"/>
    </row>
    <row r="801" spans="2:7">
      <c r="B801" s="37"/>
      <c r="C801" s="7"/>
      <c r="D801" s="7"/>
      <c r="E801" s="7"/>
      <c r="F801" s="7"/>
      <c r="G801" s="7"/>
    </row>
    <row r="802" spans="2:7">
      <c r="B802" s="37"/>
      <c r="C802" s="7"/>
      <c r="D802" s="7"/>
      <c r="E802" s="7"/>
      <c r="F802" s="7"/>
      <c r="G802" s="7"/>
    </row>
    <row r="803" spans="2:7">
      <c r="B803" s="37"/>
      <c r="C803" s="7"/>
      <c r="D803" s="7"/>
      <c r="E803" s="7"/>
      <c r="F803" s="7"/>
      <c r="G803" s="7"/>
    </row>
    <row r="804" spans="2:7">
      <c r="B804" s="37"/>
      <c r="C804" s="7"/>
      <c r="D804" s="7"/>
      <c r="E804" s="7"/>
      <c r="F804" s="7"/>
      <c r="G804" s="7"/>
    </row>
    <row r="805" spans="2:7">
      <c r="B805" s="37"/>
      <c r="C805" s="7"/>
      <c r="D805" s="7"/>
      <c r="E805" s="7"/>
      <c r="F805" s="7"/>
      <c r="G805" s="7"/>
    </row>
    <row r="806" spans="2:7">
      <c r="B806" s="37"/>
      <c r="C806" s="7"/>
      <c r="D806" s="7"/>
      <c r="E806" s="7"/>
      <c r="F806" s="7"/>
      <c r="G806" s="7"/>
    </row>
    <row r="807" spans="2:7">
      <c r="B807" s="37"/>
      <c r="C807" s="7"/>
      <c r="D807" s="7"/>
      <c r="E807" s="7"/>
      <c r="F807" s="7"/>
      <c r="G807" s="7"/>
    </row>
    <row r="808" spans="2:7">
      <c r="B808" s="37"/>
      <c r="C808" s="7"/>
      <c r="D808" s="7"/>
      <c r="E808" s="7"/>
      <c r="F808" s="7"/>
      <c r="G808" s="7"/>
    </row>
    <row r="809" spans="2:7">
      <c r="B809" s="37"/>
      <c r="C809" s="7"/>
      <c r="D809" s="7"/>
      <c r="E809" s="7"/>
      <c r="F809" s="7"/>
      <c r="G809" s="7"/>
    </row>
    <row r="810" spans="2:7">
      <c r="B810" s="37"/>
      <c r="C810" s="7"/>
      <c r="D810" s="7"/>
      <c r="E810" s="7"/>
      <c r="F810" s="7"/>
      <c r="G810" s="7"/>
    </row>
    <row r="811" spans="2:7">
      <c r="B811" s="37"/>
      <c r="C811" s="7"/>
      <c r="D811" s="7"/>
      <c r="E811" s="7"/>
      <c r="F811" s="7"/>
      <c r="G811" s="7"/>
    </row>
    <row r="812" spans="2:7">
      <c r="B812" s="37"/>
      <c r="C812" s="7"/>
      <c r="D812" s="7"/>
      <c r="E812" s="7"/>
      <c r="F812" s="7"/>
      <c r="G812" s="7"/>
    </row>
    <row r="813" spans="2:7">
      <c r="B813" s="37"/>
      <c r="C813" s="7"/>
      <c r="D813" s="7"/>
      <c r="E813" s="7"/>
      <c r="F813" s="7"/>
      <c r="G813" s="7"/>
    </row>
    <row r="814" spans="2:7">
      <c r="B814" s="37"/>
      <c r="C814" s="7"/>
      <c r="D814" s="7"/>
      <c r="E814" s="7"/>
      <c r="F814" s="7"/>
      <c r="G814" s="7"/>
    </row>
    <row r="815" spans="2:7">
      <c r="B815" s="37"/>
      <c r="C815" s="7"/>
      <c r="D815" s="7"/>
      <c r="E815" s="7"/>
      <c r="F815" s="7"/>
      <c r="G815" s="7"/>
    </row>
    <row r="816" spans="2:7">
      <c r="B816" s="37"/>
      <c r="C816" s="7"/>
      <c r="D816" s="7"/>
      <c r="E816" s="7"/>
      <c r="F816" s="7"/>
      <c r="G816" s="7"/>
    </row>
    <row r="817" spans="2:7">
      <c r="B817" s="37"/>
      <c r="C817" s="7"/>
      <c r="D817" s="7"/>
      <c r="E817" s="7"/>
      <c r="F817" s="7"/>
      <c r="G817" s="7"/>
    </row>
    <row r="818" spans="2:7">
      <c r="B818" s="37"/>
      <c r="C818" s="7"/>
      <c r="D818" s="7"/>
      <c r="E818" s="7"/>
      <c r="F818" s="7"/>
      <c r="G818" s="7"/>
    </row>
    <row r="819" spans="2:7">
      <c r="B819" s="37"/>
      <c r="C819" s="7"/>
      <c r="D819" s="7"/>
      <c r="E819" s="7"/>
      <c r="F819" s="7"/>
      <c r="G819" s="7"/>
    </row>
    <row r="820" spans="2:7">
      <c r="B820" s="37"/>
      <c r="C820" s="7"/>
      <c r="D820" s="7"/>
      <c r="E820" s="7"/>
      <c r="F820" s="7"/>
      <c r="G820" s="7"/>
    </row>
    <row r="821" spans="2:7">
      <c r="B821" s="37"/>
      <c r="C821" s="7"/>
      <c r="D821" s="7"/>
      <c r="E821" s="7"/>
      <c r="F821" s="7"/>
      <c r="G821" s="7"/>
    </row>
    <row r="822" spans="2:7">
      <c r="B822" s="37"/>
      <c r="C822" s="7"/>
      <c r="D822" s="7"/>
      <c r="E822" s="7"/>
      <c r="F822" s="7"/>
      <c r="G822" s="7"/>
    </row>
    <row r="823" spans="2:7">
      <c r="B823" s="37"/>
      <c r="C823" s="7"/>
      <c r="D823" s="7"/>
      <c r="E823" s="7"/>
      <c r="F823" s="7"/>
      <c r="G823" s="7"/>
    </row>
    <row r="824" spans="2:7">
      <c r="B824" s="37"/>
      <c r="C824" s="7"/>
      <c r="D824" s="7"/>
      <c r="E824" s="7"/>
      <c r="F824" s="7"/>
      <c r="G824" s="7"/>
    </row>
    <row r="825" spans="2:7">
      <c r="B825" s="37"/>
      <c r="C825" s="7"/>
      <c r="D825" s="7"/>
      <c r="E825" s="7"/>
      <c r="F825" s="7"/>
      <c r="G825" s="7"/>
    </row>
    <row r="826" spans="2:7">
      <c r="B826" s="37"/>
      <c r="C826" s="7"/>
      <c r="D826" s="7"/>
      <c r="E826" s="7"/>
      <c r="F826" s="7"/>
      <c r="G826" s="7"/>
    </row>
    <row r="827" spans="2:7">
      <c r="B827" s="37"/>
      <c r="C827" s="7"/>
      <c r="D827" s="7"/>
      <c r="E827" s="7"/>
      <c r="F827" s="7"/>
      <c r="G827" s="7"/>
    </row>
    <row r="828" spans="2:7">
      <c r="B828" s="37"/>
      <c r="C828" s="7"/>
      <c r="D828" s="7"/>
      <c r="E828" s="7"/>
      <c r="F828" s="7"/>
      <c r="G828" s="7"/>
    </row>
    <row r="829" spans="2:7">
      <c r="B829" s="37"/>
      <c r="C829" s="7"/>
      <c r="D829" s="7"/>
      <c r="E829" s="7"/>
      <c r="F829" s="7"/>
      <c r="G829" s="7"/>
    </row>
    <row r="830" spans="2:7">
      <c r="B830" s="37"/>
      <c r="C830" s="7"/>
      <c r="D830" s="7"/>
      <c r="E830" s="7"/>
      <c r="F830" s="7"/>
      <c r="G830" s="7"/>
    </row>
    <row r="831" spans="2:7">
      <c r="B831" s="37"/>
      <c r="C831" s="7"/>
      <c r="D831" s="7"/>
      <c r="E831" s="7"/>
      <c r="F831" s="7"/>
      <c r="G831" s="7"/>
    </row>
    <row r="832" spans="2:7">
      <c r="B832" s="37"/>
      <c r="C832" s="7"/>
      <c r="D832" s="7"/>
      <c r="E832" s="7"/>
      <c r="F832" s="7"/>
      <c r="G832" s="7"/>
    </row>
    <row r="833" spans="2:7">
      <c r="B833" s="37"/>
      <c r="C833" s="7"/>
      <c r="D833" s="7"/>
      <c r="E833" s="7"/>
      <c r="F833" s="7"/>
      <c r="G833" s="7"/>
    </row>
    <row r="834" spans="2:7">
      <c r="B834" s="37"/>
      <c r="C834" s="7"/>
      <c r="D834" s="7"/>
      <c r="E834" s="7"/>
      <c r="F834" s="7"/>
      <c r="G834" s="7"/>
    </row>
    <row r="835" spans="2:7">
      <c r="B835" s="37"/>
      <c r="C835" s="7"/>
      <c r="D835" s="7"/>
      <c r="E835" s="7"/>
      <c r="F835" s="7"/>
      <c r="G835" s="7"/>
    </row>
    <row r="836" spans="2:7">
      <c r="B836" s="37"/>
      <c r="C836" s="7"/>
      <c r="D836" s="7"/>
      <c r="E836" s="7"/>
      <c r="F836" s="7"/>
      <c r="G836" s="7"/>
    </row>
    <row r="837" spans="2:7">
      <c r="B837" s="37"/>
      <c r="C837" s="7"/>
      <c r="D837" s="7"/>
      <c r="E837" s="7"/>
      <c r="F837" s="7"/>
      <c r="G837" s="7"/>
    </row>
    <row r="838" spans="2:7">
      <c r="B838" s="37"/>
      <c r="C838" s="7"/>
      <c r="D838" s="7"/>
      <c r="E838" s="7"/>
      <c r="F838" s="7"/>
      <c r="G838" s="7"/>
    </row>
    <row r="839" spans="2:7">
      <c r="B839" s="37"/>
      <c r="C839" s="7"/>
      <c r="D839" s="7"/>
      <c r="E839" s="7"/>
      <c r="F839" s="7"/>
      <c r="G839" s="7"/>
    </row>
    <row r="840" spans="2:7">
      <c r="B840" s="37"/>
      <c r="C840" s="7"/>
      <c r="D840" s="7"/>
      <c r="E840" s="7"/>
      <c r="F840" s="7"/>
      <c r="G840" s="7"/>
    </row>
    <row r="841" spans="2:7">
      <c r="B841" s="37"/>
      <c r="C841" s="7"/>
      <c r="D841" s="7"/>
      <c r="E841" s="7"/>
      <c r="F841" s="7"/>
      <c r="G841" s="7"/>
    </row>
    <row r="842" spans="2:7">
      <c r="B842" s="37"/>
      <c r="C842" s="7"/>
      <c r="D842" s="7"/>
      <c r="E842" s="7"/>
      <c r="F842" s="7"/>
      <c r="G842" s="7"/>
    </row>
    <row r="843" spans="2:7">
      <c r="B843" s="37"/>
      <c r="C843" s="7"/>
      <c r="D843" s="7"/>
      <c r="E843" s="7"/>
      <c r="F843" s="7"/>
      <c r="G843" s="7"/>
    </row>
    <row r="844" spans="2:7">
      <c r="B844" s="37"/>
      <c r="C844" s="7"/>
      <c r="D844" s="7"/>
      <c r="E844" s="7"/>
      <c r="F844" s="7"/>
      <c r="G844" s="7"/>
    </row>
    <row r="845" spans="2:7">
      <c r="B845" s="37"/>
      <c r="C845" s="7"/>
      <c r="D845" s="7"/>
      <c r="E845" s="7"/>
      <c r="F845" s="7"/>
      <c r="G845" s="7"/>
    </row>
    <row r="846" spans="2:7">
      <c r="B846" s="37"/>
      <c r="C846" s="7"/>
      <c r="D846" s="7"/>
      <c r="E846" s="7"/>
      <c r="F846" s="7"/>
      <c r="G846" s="7"/>
    </row>
    <row r="847" spans="2:7">
      <c r="B847" s="37"/>
      <c r="C847" s="7"/>
      <c r="D847" s="7"/>
      <c r="E847" s="7"/>
      <c r="F847" s="7"/>
      <c r="G847" s="7"/>
    </row>
    <row r="848" spans="2:7">
      <c r="B848" s="37"/>
      <c r="C848" s="7"/>
      <c r="D848" s="7"/>
      <c r="E848" s="7"/>
      <c r="F848" s="7"/>
      <c r="G848" s="7"/>
    </row>
    <row r="849" spans="2:7">
      <c r="B849" s="37"/>
      <c r="C849" s="7"/>
      <c r="D849" s="7"/>
      <c r="E849" s="7"/>
      <c r="F849" s="7"/>
      <c r="G849" s="7"/>
    </row>
    <row r="850" spans="2:7">
      <c r="B850" s="37"/>
      <c r="C850" s="7"/>
      <c r="D850" s="7"/>
      <c r="E850" s="7"/>
      <c r="F850" s="7"/>
      <c r="G850" s="7"/>
    </row>
    <row r="851" spans="2:7">
      <c r="B851" s="37"/>
      <c r="C851" s="7"/>
      <c r="D851" s="7"/>
      <c r="E851" s="7"/>
      <c r="F851" s="7"/>
      <c r="G851" s="7"/>
    </row>
    <row r="852" spans="2:7">
      <c r="B852" s="37"/>
      <c r="C852" s="7"/>
      <c r="D852" s="7"/>
      <c r="E852" s="7"/>
      <c r="F852" s="7"/>
      <c r="G852" s="7"/>
    </row>
    <row r="853" spans="2:7">
      <c r="B853" s="37"/>
      <c r="C853" s="7"/>
      <c r="D853" s="7"/>
      <c r="E853" s="7"/>
      <c r="F853" s="7"/>
      <c r="G853" s="7"/>
    </row>
    <row r="854" spans="2:7">
      <c r="B854" s="37"/>
      <c r="C854" s="7"/>
      <c r="D854" s="7"/>
      <c r="E854" s="7"/>
      <c r="F854" s="7"/>
      <c r="G854" s="7"/>
    </row>
    <row r="855" spans="2:7">
      <c r="B855" s="37"/>
      <c r="C855" s="7"/>
      <c r="D855" s="7"/>
      <c r="E855" s="7"/>
      <c r="F855" s="7"/>
      <c r="G855" s="7"/>
    </row>
    <row r="856" spans="2:7">
      <c r="B856" s="37"/>
      <c r="C856" s="7"/>
      <c r="D856" s="7"/>
      <c r="E856" s="7"/>
      <c r="F856" s="7"/>
      <c r="G856" s="7"/>
    </row>
    <row r="857" spans="2:7">
      <c r="B857" s="37"/>
      <c r="C857" s="7"/>
      <c r="D857" s="7"/>
      <c r="E857" s="7"/>
      <c r="F857" s="7"/>
      <c r="G857" s="7"/>
    </row>
    <row r="858" spans="2:7">
      <c r="B858" s="37"/>
      <c r="C858" s="7"/>
      <c r="D858" s="7"/>
      <c r="E858" s="7"/>
      <c r="F858" s="7"/>
      <c r="G858" s="7"/>
    </row>
    <row r="859" spans="2:7">
      <c r="B859" s="37"/>
      <c r="C859" s="7"/>
      <c r="D859" s="7"/>
      <c r="E859" s="7"/>
      <c r="F859" s="7"/>
      <c r="G859" s="7"/>
    </row>
    <row r="860" spans="2:7">
      <c r="B860" s="37"/>
      <c r="C860" s="7"/>
      <c r="D860" s="7"/>
      <c r="E860" s="7"/>
      <c r="F860" s="7"/>
      <c r="G860" s="7"/>
    </row>
    <row r="861" spans="2:7">
      <c r="B861" s="37"/>
      <c r="C861" s="7"/>
      <c r="D861" s="7"/>
      <c r="E861" s="7"/>
      <c r="F861" s="7"/>
      <c r="G861" s="7"/>
    </row>
    <row r="862" spans="2:7">
      <c r="B862" s="37"/>
      <c r="C862" s="7"/>
      <c r="D862" s="7"/>
      <c r="E862" s="7"/>
      <c r="F862" s="7"/>
      <c r="G862" s="7"/>
    </row>
    <row r="863" spans="2:7">
      <c r="B863" s="37"/>
      <c r="C863" s="7"/>
      <c r="D863" s="7"/>
      <c r="E863" s="7"/>
      <c r="F863" s="7"/>
      <c r="G863" s="7"/>
    </row>
    <row r="864" spans="2:7">
      <c r="B864" s="37"/>
      <c r="C864" s="7"/>
      <c r="D864" s="7"/>
      <c r="E864" s="7"/>
      <c r="F864" s="7"/>
      <c r="G864" s="7"/>
    </row>
    <row r="865" spans="2:7">
      <c r="B865" s="37"/>
      <c r="C865" s="7"/>
      <c r="D865" s="7"/>
      <c r="E865" s="7"/>
      <c r="F865" s="7"/>
      <c r="G865" s="7"/>
    </row>
    <row r="866" spans="2:7">
      <c r="B866" s="37"/>
      <c r="C866" s="7"/>
      <c r="D866" s="7"/>
      <c r="E866" s="7"/>
      <c r="F866" s="7"/>
      <c r="G866" s="7"/>
    </row>
    <row r="867" spans="2:7">
      <c r="B867" s="37"/>
      <c r="C867" s="7"/>
      <c r="D867" s="7"/>
      <c r="E867" s="7"/>
      <c r="F867" s="7"/>
      <c r="G867" s="7"/>
    </row>
    <row r="868" spans="2:7">
      <c r="B868" s="37"/>
      <c r="C868" s="7"/>
      <c r="D868" s="7"/>
      <c r="E868" s="7"/>
      <c r="F868" s="7"/>
      <c r="G868" s="7"/>
    </row>
    <row r="869" spans="2:7">
      <c r="B869" s="37"/>
      <c r="C869" s="7"/>
      <c r="D869" s="7"/>
      <c r="E869" s="7"/>
      <c r="F869" s="7"/>
      <c r="G869" s="7"/>
    </row>
    <row r="870" spans="2:7">
      <c r="B870" s="37"/>
      <c r="C870" s="7"/>
      <c r="D870" s="7"/>
      <c r="E870" s="7"/>
      <c r="F870" s="7"/>
      <c r="G870" s="7"/>
    </row>
    <row r="871" spans="2:7">
      <c r="B871" s="37"/>
      <c r="C871" s="7"/>
      <c r="D871" s="7"/>
      <c r="E871" s="7"/>
      <c r="F871" s="7"/>
      <c r="G871" s="7"/>
    </row>
    <row r="872" spans="2:7">
      <c r="B872" s="37"/>
      <c r="C872" s="7"/>
      <c r="D872" s="7"/>
      <c r="E872" s="7"/>
      <c r="F872" s="7"/>
      <c r="G872" s="7"/>
    </row>
    <row r="873" spans="2:7">
      <c r="B873" s="37"/>
      <c r="C873" s="7"/>
      <c r="D873" s="7"/>
      <c r="E873" s="7"/>
      <c r="F873" s="7"/>
      <c r="G873" s="7"/>
    </row>
    <row r="874" spans="2:7">
      <c r="B874" s="37"/>
      <c r="C874" s="7"/>
      <c r="D874" s="7"/>
      <c r="E874" s="7"/>
      <c r="F874" s="7"/>
      <c r="G874" s="7"/>
    </row>
    <row r="875" spans="2:7">
      <c r="B875" s="37"/>
      <c r="C875" s="7"/>
      <c r="D875" s="7"/>
      <c r="E875" s="7"/>
      <c r="F875" s="7"/>
      <c r="G875" s="7"/>
    </row>
    <row r="876" spans="2:7">
      <c r="B876" s="37"/>
      <c r="C876" s="7"/>
      <c r="D876" s="7"/>
      <c r="E876" s="7"/>
      <c r="F876" s="7"/>
      <c r="G876" s="7"/>
    </row>
    <row r="877" spans="2:7">
      <c r="B877" s="37"/>
      <c r="C877" s="7"/>
      <c r="D877" s="7"/>
      <c r="E877" s="7"/>
      <c r="F877" s="7"/>
      <c r="G877" s="7"/>
    </row>
    <row r="878" spans="2:7">
      <c r="B878" s="37"/>
      <c r="C878" s="7"/>
      <c r="D878" s="7"/>
      <c r="E878" s="7"/>
      <c r="F878" s="7"/>
      <c r="G878" s="7"/>
    </row>
    <row r="879" spans="2:7">
      <c r="B879" s="37"/>
      <c r="C879" s="7"/>
      <c r="D879" s="7"/>
      <c r="E879" s="7"/>
      <c r="F879" s="7"/>
      <c r="G879" s="7"/>
    </row>
    <row r="880" spans="2:7">
      <c r="B880" s="37"/>
      <c r="C880" s="7"/>
      <c r="D880" s="7"/>
      <c r="E880" s="7"/>
      <c r="F880" s="7"/>
      <c r="G880" s="7"/>
    </row>
    <row r="881" spans="2:7">
      <c r="B881" s="37"/>
      <c r="C881" s="7"/>
      <c r="D881" s="7"/>
      <c r="E881" s="7"/>
      <c r="F881" s="7"/>
      <c r="G881" s="7"/>
    </row>
    <row r="882" spans="2:7">
      <c r="B882" s="37"/>
      <c r="C882" s="7"/>
      <c r="D882" s="7"/>
      <c r="E882" s="7"/>
      <c r="F882" s="7"/>
      <c r="G882" s="7"/>
    </row>
    <row r="883" spans="2:7">
      <c r="B883" s="37"/>
      <c r="C883" s="7"/>
      <c r="D883" s="7"/>
      <c r="E883" s="7"/>
      <c r="F883" s="7"/>
      <c r="G883" s="7"/>
    </row>
    <row r="884" spans="2:7">
      <c r="B884" s="37"/>
      <c r="C884" s="7"/>
      <c r="D884" s="7"/>
      <c r="E884" s="7"/>
      <c r="F884" s="7"/>
      <c r="G884" s="7"/>
    </row>
    <row r="885" spans="2:7">
      <c r="B885" s="37"/>
      <c r="C885" s="7"/>
      <c r="D885" s="7"/>
      <c r="E885" s="7"/>
      <c r="F885" s="7"/>
      <c r="G885" s="7"/>
    </row>
    <row r="886" spans="2:7">
      <c r="B886" s="37"/>
      <c r="C886" s="7"/>
      <c r="D886" s="7"/>
      <c r="E886" s="7"/>
      <c r="F886" s="7"/>
      <c r="G886" s="7"/>
    </row>
    <row r="887" spans="2:7">
      <c r="B887" s="37"/>
      <c r="C887" s="7"/>
      <c r="D887" s="7"/>
      <c r="E887" s="7"/>
      <c r="F887" s="7"/>
      <c r="G887" s="7"/>
    </row>
    <row r="888" spans="2:7">
      <c r="B888" s="37"/>
      <c r="C888" s="7"/>
      <c r="D888" s="7"/>
      <c r="E888" s="7"/>
      <c r="F888" s="7"/>
      <c r="G888" s="7"/>
    </row>
    <row r="889" spans="2:7">
      <c r="B889" s="37"/>
      <c r="C889" s="7"/>
      <c r="D889" s="7"/>
      <c r="E889" s="7"/>
      <c r="F889" s="7"/>
      <c r="G889" s="7"/>
    </row>
    <row r="890" spans="2:7">
      <c r="B890" s="37"/>
      <c r="C890" s="7"/>
      <c r="D890" s="7"/>
      <c r="E890" s="7"/>
      <c r="F890" s="7"/>
      <c r="G890" s="7"/>
    </row>
    <row r="891" spans="2:7">
      <c r="B891" s="37"/>
      <c r="C891" s="7"/>
      <c r="D891" s="7"/>
      <c r="E891" s="7"/>
      <c r="F891" s="7"/>
      <c r="G891" s="7"/>
    </row>
    <row r="892" spans="2:7">
      <c r="B892" s="37"/>
      <c r="C892" s="7"/>
      <c r="D892" s="7"/>
      <c r="E892" s="7"/>
      <c r="F892" s="7"/>
      <c r="G892" s="7"/>
    </row>
    <row r="893" spans="2:7">
      <c r="B893" s="37"/>
      <c r="C893" s="7"/>
      <c r="D893" s="7"/>
      <c r="E893" s="7"/>
      <c r="F893" s="7"/>
      <c r="G893" s="7"/>
    </row>
    <row r="894" spans="2:7">
      <c r="B894" s="37"/>
      <c r="C894" s="7"/>
      <c r="D894" s="7"/>
      <c r="E894" s="7"/>
      <c r="F894" s="7"/>
      <c r="G894" s="7"/>
    </row>
    <row r="895" spans="2:7">
      <c r="B895" s="37"/>
      <c r="C895" s="7"/>
      <c r="D895" s="7"/>
      <c r="E895" s="7"/>
      <c r="F895" s="7"/>
      <c r="G895" s="7"/>
    </row>
    <row r="896" spans="2:7">
      <c r="B896" s="37"/>
      <c r="C896" s="7"/>
      <c r="D896" s="7"/>
      <c r="E896" s="7"/>
      <c r="F896" s="7"/>
      <c r="G896" s="7"/>
    </row>
    <row r="897" spans="2:7">
      <c r="B897" s="37"/>
      <c r="C897" s="7"/>
      <c r="D897" s="7"/>
      <c r="E897" s="7"/>
      <c r="F897" s="7"/>
      <c r="G897" s="7"/>
    </row>
    <row r="898" spans="2:7">
      <c r="B898" s="37"/>
      <c r="C898" s="7"/>
      <c r="D898" s="7"/>
      <c r="E898" s="7"/>
      <c r="F898" s="7"/>
      <c r="G898" s="7"/>
    </row>
    <row r="899" spans="2:7">
      <c r="B899" s="37"/>
      <c r="C899" s="7"/>
      <c r="D899" s="7"/>
      <c r="E899" s="7"/>
      <c r="F899" s="7"/>
      <c r="G899" s="7"/>
    </row>
    <row r="900" spans="2:7">
      <c r="B900" s="37"/>
      <c r="C900" s="7"/>
      <c r="D900" s="7"/>
      <c r="E900" s="7"/>
      <c r="F900" s="7"/>
      <c r="G900" s="7"/>
    </row>
    <row r="901" spans="2:7">
      <c r="B901" s="37"/>
      <c r="C901" s="7"/>
      <c r="D901" s="7"/>
      <c r="E901" s="7"/>
      <c r="F901" s="7"/>
      <c r="G901" s="7"/>
    </row>
    <row r="902" spans="2:7">
      <c r="B902" s="37"/>
      <c r="C902" s="7"/>
      <c r="D902" s="7"/>
      <c r="E902" s="7"/>
      <c r="F902" s="7"/>
      <c r="G902" s="7"/>
    </row>
    <row r="903" spans="2:7">
      <c r="B903" s="37"/>
      <c r="C903" s="7"/>
      <c r="D903" s="7"/>
      <c r="E903" s="7"/>
      <c r="F903" s="7"/>
      <c r="G903" s="7"/>
    </row>
    <row r="904" spans="2:7">
      <c r="B904" s="37"/>
      <c r="C904" s="7"/>
      <c r="D904" s="7"/>
      <c r="E904" s="7"/>
      <c r="F904" s="7"/>
      <c r="G904" s="7"/>
    </row>
    <row r="905" spans="2:7">
      <c r="B905" s="37"/>
      <c r="C905" s="7"/>
      <c r="D905" s="7"/>
      <c r="E905" s="7"/>
      <c r="F905" s="7"/>
      <c r="G905" s="7"/>
    </row>
    <row r="906" spans="2:7">
      <c r="B906" s="37"/>
      <c r="C906" s="7"/>
      <c r="D906" s="7"/>
      <c r="E906" s="7"/>
      <c r="F906" s="7"/>
      <c r="G906" s="7"/>
    </row>
    <row r="907" spans="2:7">
      <c r="B907" s="37"/>
      <c r="C907" s="7"/>
      <c r="D907" s="7"/>
      <c r="E907" s="7"/>
      <c r="F907" s="7"/>
      <c r="G907" s="7"/>
    </row>
    <row r="908" spans="2:7">
      <c r="B908" s="37"/>
      <c r="C908" s="7"/>
      <c r="D908" s="7"/>
      <c r="E908" s="7"/>
      <c r="F908" s="7"/>
      <c r="G908" s="7"/>
    </row>
    <row r="909" spans="2:7">
      <c r="B909" s="37"/>
      <c r="C909" s="7"/>
      <c r="D909" s="7"/>
      <c r="E909" s="7"/>
      <c r="F909" s="7"/>
      <c r="G909" s="7"/>
    </row>
    <row r="910" spans="2:7">
      <c r="B910" s="37"/>
      <c r="C910" s="7"/>
      <c r="D910" s="7"/>
      <c r="E910" s="7"/>
      <c r="F910" s="7"/>
      <c r="G910" s="7"/>
    </row>
    <row r="911" spans="2:7">
      <c r="B911" s="37"/>
      <c r="C911" s="7"/>
      <c r="D911" s="7"/>
      <c r="E911" s="7"/>
      <c r="F911" s="7"/>
      <c r="G911" s="7"/>
    </row>
    <row r="912" spans="2:7">
      <c r="B912" s="37"/>
      <c r="C912" s="7"/>
      <c r="D912" s="7"/>
      <c r="E912" s="7"/>
      <c r="F912" s="7"/>
      <c r="G912" s="7"/>
    </row>
    <row r="913" spans="2:7">
      <c r="B913" s="37"/>
      <c r="C913" s="7"/>
      <c r="D913" s="7"/>
      <c r="E913" s="7"/>
      <c r="F913" s="7"/>
      <c r="G913" s="7"/>
    </row>
    <row r="914" spans="2:7">
      <c r="B914" s="37"/>
      <c r="C914" s="7"/>
      <c r="D914" s="7"/>
      <c r="E914" s="7"/>
      <c r="F914" s="7"/>
      <c r="G914" s="7"/>
    </row>
    <row r="915" spans="2:7">
      <c r="B915" s="37"/>
      <c r="C915" s="7"/>
      <c r="D915" s="7"/>
      <c r="E915" s="7"/>
      <c r="F915" s="7"/>
      <c r="G915" s="7"/>
    </row>
    <row r="916" spans="2:7">
      <c r="B916" s="37"/>
      <c r="C916" s="7"/>
      <c r="D916" s="7"/>
      <c r="E916" s="7"/>
      <c r="F916" s="7"/>
      <c r="G916" s="7"/>
    </row>
    <row r="917" spans="2:7">
      <c r="B917" s="37"/>
      <c r="C917" s="7"/>
      <c r="D917" s="7"/>
      <c r="E917" s="7"/>
      <c r="F917" s="7"/>
      <c r="G917" s="7"/>
    </row>
    <row r="918" spans="2:7">
      <c r="B918" s="37"/>
      <c r="C918" s="7"/>
      <c r="D918" s="7"/>
      <c r="E918" s="7"/>
      <c r="F918" s="7"/>
      <c r="G918" s="7"/>
    </row>
    <row r="919" spans="2:7">
      <c r="B919" s="37"/>
      <c r="C919" s="7"/>
      <c r="D919" s="7"/>
      <c r="E919" s="7"/>
      <c r="F919" s="7"/>
      <c r="G919" s="7"/>
    </row>
    <row r="920" spans="2:7">
      <c r="B920" s="37"/>
      <c r="C920" s="7"/>
      <c r="D920" s="7"/>
      <c r="E920" s="7"/>
      <c r="F920" s="7"/>
      <c r="G920" s="7"/>
    </row>
    <row r="921" spans="2:7">
      <c r="B921" s="37"/>
      <c r="C921" s="7"/>
      <c r="D921" s="7"/>
      <c r="E921" s="7"/>
      <c r="F921" s="7"/>
      <c r="G921" s="7"/>
    </row>
    <row r="922" spans="2:7">
      <c r="B922" s="37"/>
      <c r="C922" s="7"/>
      <c r="D922" s="7"/>
      <c r="E922" s="7"/>
      <c r="F922" s="7"/>
      <c r="G922" s="7"/>
    </row>
    <row r="923" spans="2:7">
      <c r="B923" s="37"/>
      <c r="C923" s="7"/>
      <c r="D923" s="7"/>
      <c r="E923" s="7"/>
      <c r="F923" s="7"/>
      <c r="G923" s="7"/>
    </row>
    <row r="924" spans="2:7">
      <c r="B924" s="37"/>
      <c r="C924" s="7"/>
      <c r="D924" s="7"/>
      <c r="E924" s="7"/>
      <c r="F924" s="7"/>
      <c r="G924" s="7"/>
    </row>
    <row r="925" spans="2:7">
      <c r="B925" s="37"/>
      <c r="C925" s="7"/>
      <c r="D925" s="7"/>
      <c r="E925" s="7"/>
      <c r="F925" s="7"/>
      <c r="G925" s="7"/>
    </row>
    <row r="926" spans="2:7">
      <c r="B926" s="37"/>
      <c r="C926" s="7"/>
      <c r="D926" s="7"/>
      <c r="E926" s="7"/>
      <c r="F926" s="7"/>
      <c r="G926" s="7"/>
    </row>
    <row r="927" spans="2:7">
      <c r="B927" s="37"/>
      <c r="C927" s="7"/>
      <c r="D927" s="7"/>
      <c r="E927" s="7"/>
      <c r="F927" s="7"/>
      <c r="G927" s="7"/>
    </row>
    <row r="928" spans="2:7">
      <c r="B928" s="37"/>
      <c r="C928" s="7"/>
      <c r="D928" s="7"/>
      <c r="E928" s="7"/>
      <c r="F928" s="7"/>
      <c r="G928" s="7"/>
    </row>
    <row r="929" spans="2:7">
      <c r="B929" s="37"/>
      <c r="C929" s="7"/>
      <c r="D929" s="7"/>
      <c r="E929" s="7"/>
      <c r="F929" s="7"/>
      <c r="G929" s="7"/>
    </row>
    <row r="930" spans="2:7">
      <c r="B930" s="37"/>
      <c r="C930" s="7"/>
      <c r="D930" s="7"/>
      <c r="E930" s="7"/>
      <c r="F930" s="7"/>
      <c r="G930" s="7"/>
    </row>
    <row r="931" spans="2:7">
      <c r="B931" s="37"/>
      <c r="C931" s="7"/>
      <c r="D931" s="7"/>
      <c r="E931" s="7"/>
      <c r="F931" s="7"/>
      <c r="G931" s="7"/>
    </row>
    <row r="932" spans="2:7">
      <c r="B932" s="37"/>
      <c r="C932" s="7"/>
      <c r="D932" s="7"/>
      <c r="E932" s="7"/>
      <c r="F932" s="7"/>
      <c r="G932" s="7"/>
    </row>
    <row r="933" spans="2:7">
      <c r="B933" s="37"/>
      <c r="C933" s="7"/>
      <c r="D933" s="7"/>
      <c r="E933" s="7"/>
      <c r="F933" s="7"/>
      <c r="G933" s="7"/>
    </row>
    <row r="934" spans="2:7">
      <c r="B934" s="37"/>
      <c r="C934" s="7"/>
      <c r="D934" s="7"/>
      <c r="E934" s="7"/>
      <c r="F934" s="7"/>
      <c r="G934" s="7"/>
    </row>
    <row r="935" spans="2:7">
      <c r="B935" s="37"/>
      <c r="C935" s="7"/>
      <c r="D935" s="7"/>
      <c r="E935" s="7"/>
      <c r="F935" s="7"/>
      <c r="G935" s="7"/>
    </row>
    <row r="936" spans="2:7">
      <c r="B936" s="37"/>
      <c r="C936" s="7"/>
      <c r="D936" s="7"/>
      <c r="E936" s="7"/>
      <c r="F936" s="7"/>
      <c r="G936" s="7"/>
    </row>
    <row r="937" spans="2:7">
      <c r="B937" s="37"/>
      <c r="C937" s="7"/>
      <c r="D937" s="7"/>
      <c r="E937" s="7"/>
      <c r="F937" s="7"/>
      <c r="G937" s="7"/>
    </row>
    <row r="938" spans="2:7">
      <c r="B938" s="37"/>
      <c r="C938" s="7"/>
      <c r="D938" s="7"/>
      <c r="E938" s="7"/>
      <c r="F938" s="7"/>
      <c r="G938" s="7"/>
    </row>
    <row r="939" spans="2:7">
      <c r="B939" s="37"/>
      <c r="C939" s="7"/>
      <c r="D939" s="7"/>
      <c r="E939" s="7"/>
      <c r="F939" s="7"/>
      <c r="G939" s="7"/>
    </row>
    <row r="940" spans="2:7">
      <c r="B940" s="37"/>
      <c r="C940" s="7"/>
      <c r="D940" s="7"/>
      <c r="E940" s="7"/>
      <c r="F940" s="7"/>
      <c r="G940" s="7"/>
    </row>
    <row r="941" spans="2:7">
      <c r="B941" s="37"/>
      <c r="C941" s="7"/>
      <c r="D941" s="7"/>
      <c r="E941" s="7"/>
      <c r="F941" s="7"/>
      <c r="G941" s="7"/>
    </row>
    <row r="942" spans="2:7">
      <c r="B942" s="37"/>
      <c r="C942" s="7"/>
      <c r="D942" s="7"/>
      <c r="E942" s="7"/>
      <c r="F942" s="7"/>
      <c r="G942" s="7"/>
    </row>
    <row r="943" spans="2:7">
      <c r="B943" s="37"/>
      <c r="C943" s="7"/>
      <c r="D943" s="7"/>
      <c r="E943" s="7"/>
      <c r="F943" s="7"/>
      <c r="G943" s="7"/>
    </row>
    <row r="944" spans="2:7">
      <c r="B944" s="37"/>
      <c r="C944" s="7"/>
      <c r="D944" s="7"/>
      <c r="E944" s="7"/>
      <c r="F944" s="7"/>
      <c r="G944" s="7"/>
    </row>
    <row r="945" spans="2:7">
      <c r="B945" s="37"/>
      <c r="C945" s="7"/>
      <c r="D945" s="7"/>
      <c r="E945" s="7"/>
      <c r="F945" s="7"/>
      <c r="G945" s="7"/>
    </row>
    <row r="946" spans="2:7">
      <c r="B946" s="37"/>
      <c r="C946" s="7"/>
      <c r="D946" s="7"/>
      <c r="E946" s="7"/>
      <c r="F946" s="7"/>
      <c r="G946" s="7"/>
    </row>
    <row r="947" spans="2:7">
      <c r="B947" s="37"/>
      <c r="C947" s="7"/>
      <c r="D947" s="7"/>
      <c r="E947" s="7"/>
      <c r="F947" s="7"/>
      <c r="G947" s="7"/>
    </row>
    <row r="948" spans="2:7">
      <c r="B948" s="37"/>
      <c r="C948" s="7"/>
      <c r="D948" s="7"/>
      <c r="E948" s="7"/>
      <c r="F948" s="7"/>
      <c r="G948" s="7"/>
    </row>
    <row r="949" spans="2:7">
      <c r="B949" s="37"/>
      <c r="C949" s="7"/>
      <c r="D949" s="7"/>
      <c r="E949" s="7"/>
      <c r="F949" s="7"/>
      <c r="G949" s="7"/>
    </row>
    <row r="950" spans="2:7">
      <c r="B950" s="37"/>
      <c r="C950" s="7"/>
      <c r="D950" s="7"/>
      <c r="E950" s="7"/>
      <c r="F950" s="7"/>
      <c r="G950" s="7"/>
    </row>
    <row r="951" spans="2:7">
      <c r="B951" s="37"/>
      <c r="C951" s="7"/>
      <c r="D951" s="7"/>
      <c r="E951" s="7"/>
      <c r="F951" s="7"/>
      <c r="G951" s="7"/>
    </row>
    <row r="952" spans="2:7">
      <c r="B952" s="37"/>
      <c r="C952" s="7"/>
      <c r="D952" s="7"/>
      <c r="E952" s="7"/>
      <c r="F952" s="7"/>
      <c r="G952" s="7"/>
    </row>
    <row r="953" spans="2:7">
      <c r="B953" s="37"/>
      <c r="C953" s="7"/>
      <c r="D953" s="7"/>
      <c r="E953" s="7"/>
      <c r="F953" s="7"/>
      <c r="G953" s="7"/>
    </row>
    <row r="954" spans="2:7">
      <c r="B954" s="37"/>
      <c r="C954" s="7"/>
      <c r="D954" s="7"/>
      <c r="E954" s="7"/>
      <c r="F954" s="7"/>
      <c r="G954" s="7"/>
    </row>
    <row r="955" spans="2:7">
      <c r="B955" s="37"/>
      <c r="C955" s="7"/>
      <c r="D955" s="7"/>
      <c r="E955" s="7"/>
      <c r="F955" s="7"/>
      <c r="G955" s="7"/>
    </row>
    <row r="956" spans="2:7">
      <c r="B956" s="37"/>
      <c r="C956" s="7"/>
      <c r="D956" s="7"/>
      <c r="E956" s="7"/>
      <c r="F956" s="7"/>
      <c r="G956" s="7"/>
    </row>
    <row r="957" spans="2:7">
      <c r="B957" s="37"/>
      <c r="C957" s="7"/>
      <c r="D957" s="7"/>
      <c r="E957" s="7"/>
      <c r="F957" s="7"/>
      <c r="G957" s="7"/>
    </row>
    <row r="958" spans="2:7">
      <c r="B958" s="37"/>
      <c r="C958" s="7"/>
      <c r="D958" s="7"/>
      <c r="E958" s="7"/>
      <c r="F958" s="7"/>
      <c r="G958" s="7"/>
    </row>
    <row r="959" spans="2:7">
      <c r="B959" s="37"/>
      <c r="C959" s="7"/>
      <c r="D959" s="7"/>
      <c r="E959" s="7"/>
      <c r="F959" s="7"/>
      <c r="G959" s="7"/>
    </row>
    <row r="960" spans="2:7">
      <c r="B960" s="37"/>
      <c r="C960" s="7"/>
      <c r="D960" s="7"/>
      <c r="E960" s="7"/>
      <c r="F960" s="7"/>
      <c r="G960" s="7"/>
    </row>
    <row r="961" spans="2:7">
      <c r="B961" s="37"/>
      <c r="C961" s="7"/>
      <c r="D961" s="7"/>
      <c r="E961" s="7"/>
      <c r="F961" s="7"/>
      <c r="G961" s="7"/>
    </row>
    <row r="962" spans="2:7">
      <c r="B962" s="37"/>
      <c r="C962" s="7"/>
      <c r="D962" s="7"/>
      <c r="E962" s="7"/>
      <c r="F962" s="7"/>
      <c r="G962" s="7"/>
    </row>
    <row r="963" spans="2:7">
      <c r="B963" s="37"/>
      <c r="C963" s="7"/>
      <c r="D963" s="7"/>
      <c r="E963" s="7"/>
      <c r="F963" s="7"/>
      <c r="G963" s="7"/>
    </row>
    <row r="964" spans="2:7">
      <c r="B964" s="37"/>
      <c r="C964" s="7"/>
      <c r="D964" s="7"/>
      <c r="E964" s="7"/>
      <c r="F964" s="7"/>
      <c r="G964" s="7"/>
    </row>
    <row r="965" spans="2:7">
      <c r="B965" s="37"/>
      <c r="C965" s="7"/>
      <c r="D965" s="7"/>
      <c r="E965" s="7"/>
      <c r="F965" s="7"/>
      <c r="G965" s="7"/>
    </row>
    <row r="966" spans="2:7">
      <c r="B966" s="37"/>
      <c r="C966" s="7"/>
      <c r="D966" s="7"/>
      <c r="E966" s="7"/>
      <c r="F966" s="7"/>
      <c r="G966" s="7"/>
    </row>
    <row r="967" spans="2:7">
      <c r="B967" s="37"/>
      <c r="C967" s="7"/>
      <c r="D967" s="7"/>
      <c r="E967" s="7"/>
      <c r="F967" s="7"/>
      <c r="G967" s="7"/>
    </row>
    <row r="968" spans="2:7">
      <c r="B968" s="37"/>
      <c r="C968" s="7"/>
      <c r="D968" s="7"/>
      <c r="E968" s="7"/>
      <c r="F968" s="7"/>
      <c r="G968" s="7"/>
    </row>
    <row r="969" spans="2:7">
      <c r="B969" s="37"/>
      <c r="C969" s="7"/>
      <c r="D969" s="7"/>
      <c r="E969" s="7"/>
      <c r="F969" s="7"/>
      <c r="G969" s="7"/>
    </row>
    <row r="970" spans="2:7">
      <c r="B970" s="37"/>
      <c r="C970" s="7"/>
      <c r="D970" s="7"/>
      <c r="E970" s="7"/>
      <c r="F970" s="7"/>
      <c r="G970" s="7"/>
    </row>
    <row r="971" spans="2:7">
      <c r="B971" s="37"/>
      <c r="C971" s="7"/>
      <c r="D971" s="7"/>
      <c r="E971" s="7"/>
      <c r="F971" s="7"/>
      <c r="G971" s="7"/>
    </row>
    <row r="972" spans="2:7">
      <c r="B972" s="37"/>
      <c r="C972" s="7"/>
      <c r="D972" s="7"/>
      <c r="E972" s="7"/>
      <c r="F972" s="7"/>
      <c r="G972" s="7"/>
    </row>
    <row r="973" spans="2:7">
      <c r="B973" s="37"/>
      <c r="C973" s="7"/>
      <c r="D973" s="7"/>
      <c r="E973" s="7"/>
      <c r="F973" s="7"/>
      <c r="G973" s="7"/>
    </row>
    <row r="974" spans="2:7">
      <c r="B974" s="37"/>
      <c r="C974" s="7"/>
      <c r="D974" s="7"/>
      <c r="E974" s="7"/>
      <c r="F974" s="7"/>
      <c r="G974" s="7"/>
    </row>
    <row r="975" spans="2:7">
      <c r="B975" s="37"/>
      <c r="C975" s="7"/>
      <c r="D975" s="7"/>
      <c r="E975" s="7"/>
      <c r="F975" s="7"/>
      <c r="G975" s="7"/>
    </row>
    <row r="976" spans="2:7">
      <c r="B976" s="37"/>
      <c r="C976" s="7"/>
      <c r="D976" s="7"/>
      <c r="E976" s="7"/>
      <c r="F976" s="7"/>
      <c r="G976" s="7"/>
    </row>
    <row r="977" spans="2:7">
      <c r="B977" s="37"/>
      <c r="C977" s="7"/>
      <c r="D977" s="7"/>
      <c r="E977" s="7"/>
      <c r="F977" s="7"/>
      <c r="G977" s="7"/>
    </row>
    <row r="978" spans="2:7">
      <c r="B978" s="37"/>
      <c r="C978" s="7"/>
      <c r="D978" s="7"/>
      <c r="E978" s="7"/>
      <c r="F978" s="7"/>
      <c r="G978" s="7"/>
    </row>
    <row r="979" spans="2:7">
      <c r="B979" s="37"/>
      <c r="C979" s="7"/>
      <c r="D979" s="7"/>
      <c r="E979" s="7"/>
      <c r="F979" s="7"/>
      <c r="G979" s="7"/>
    </row>
    <row r="980" spans="2:7">
      <c r="B980" s="37"/>
      <c r="C980" s="7"/>
      <c r="D980" s="7"/>
      <c r="E980" s="7"/>
      <c r="F980" s="7"/>
      <c r="G980" s="7"/>
    </row>
    <row r="981" spans="2:7">
      <c r="B981" s="37"/>
      <c r="C981" s="7"/>
      <c r="D981" s="7"/>
      <c r="E981" s="7"/>
      <c r="F981" s="7"/>
      <c r="G981" s="7"/>
    </row>
    <row r="982" spans="2:7">
      <c r="B982" s="37"/>
      <c r="C982" s="7"/>
      <c r="D982" s="7"/>
      <c r="E982" s="7"/>
      <c r="F982" s="7"/>
      <c r="G982" s="7"/>
    </row>
    <row r="983" spans="2:7">
      <c r="B983" s="37"/>
      <c r="C983" s="7"/>
      <c r="D983" s="7"/>
      <c r="E983" s="7"/>
      <c r="F983" s="7"/>
      <c r="G983" s="7"/>
    </row>
    <row r="984" spans="2:7">
      <c r="B984" s="37"/>
      <c r="C984" s="7"/>
      <c r="D984" s="7"/>
      <c r="E984" s="7"/>
      <c r="F984" s="7"/>
      <c r="G984" s="7"/>
    </row>
    <row r="985" spans="2:7">
      <c r="B985" s="37"/>
      <c r="C985" s="7"/>
      <c r="D985" s="7"/>
      <c r="E985" s="7"/>
      <c r="F985" s="7"/>
      <c r="G985" s="7"/>
    </row>
    <row r="986" spans="2:7">
      <c r="B986" s="37"/>
      <c r="C986" s="7"/>
      <c r="D986" s="7"/>
      <c r="E986" s="7"/>
      <c r="F986" s="7"/>
      <c r="G986" s="7"/>
    </row>
    <row r="987" spans="2:7">
      <c r="B987" s="37"/>
      <c r="C987" s="7"/>
      <c r="D987" s="7"/>
      <c r="E987" s="7"/>
      <c r="F987" s="7"/>
      <c r="G987" s="7"/>
    </row>
    <row r="988" spans="2:7">
      <c r="B988" s="37"/>
      <c r="C988" s="7"/>
      <c r="D988" s="7"/>
      <c r="E988" s="7"/>
      <c r="F988" s="7"/>
      <c r="G988" s="7"/>
    </row>
    <row r="989" spans="2:7">
      <c r="B989" s="37"/>
      <c r="C989" s="7"/>
      <c r="D989" s="7"/>
      <c r="E989" s="7"/>
      <c r="F989" s="7"/>
      <c r="G989" s="7"/>
    </row>
    <row r="990" spans="2:7">
      <c r="B990" s="37"/>
      <c r="C990" s="7"/>
      <c r="D990" s="7"/>
      <c r="E990" s="7"/>
      <c r="F990" s="7"/>
      <c r="G990" s="7"/>
    </row>
    <row r="991" spans="2:7">
      <c r="B991" s="37"/>
      <c r="C991" s="7"/>
      <c r="D991" s="7"/>
      <c r="E991" s="7"/>
      <c r="F991" s="7"/>
      <c r="G991" s="7"/>
    </row>
    <row r="992" spans="2:7">
      <c r="B992" s="37"/>
      <c r="C992" s="7"/>
      <c r="D992" s="7"/>
      <c r="E992" s="7"/>
      <c r="F992" s="7"/>
      <c r="G992" s="7"/>
    </row>
    <row r="993" spans="2:7">
      <c r="B993" s="37"/>
      <c r="C993" s="7"/>
      <c r="D993" s="7"/>
      <c r="E993" s="7"/>
      <c r="F993" s="7"/>
      <c r="G993" s="7"/>
    </row>
    <row r="994" spans="2:7">
      <c r="B994" s="37"/>
      <c r="C994" s="7"/>
      <c r="D994" s="7"/>
      <c r="E994" s="7"/>
      <c r="F994" s="7"/>
      <c r="G994" s="7"/>
    </row>
    <row r="995" spans="2:7">
      <c r="B995" s="37"/>
      <c r="C995" s="7"/>
      <c r="D995" s="7"/>
      <c r="E995" s="7"/>
      <c r="F995" s="7"/>
      <c r="G995" s="7"/>
    </row>
    <row r="996" spans="2:7">
      <c r="B996" s="37"/>
      <c r="C996" s="7"/>
      <c r="D996" s="7"/>
      <c r="E996" s="7"/>
      <c r="F996" s="7"/>
      <c r="G996" s="7"/>
    </row>
    <row r="997" spans="2:7">
      <c r="B997" s="37"/>
      <c r="C997" s="7"/>
      <c r="D997" s="7"/>
      <c r="E997" s="7"/>
      <c r="F997" s="7"/>
      <c r="G997" s="7"/>
    </row>
    <row r="998" spans="2:7">
      <c r="B998" s="37"/>
      <c r="C998" s="7"/>
      <c r="D998" s="7"/>
      <c r="E998" s="7"/>
      <c r="F998" s="7"/>
      <c r="G998" s="7"/>
    </row>
    <row r="999" spans="2:7">
      <c r="B999" s="37"/>
      <c r="C999" s="7"/>
      <c r="D999" s="7"/>
      <c r="E999" s="7"/>
      <c r="F999" s="7"/>
      <c r="G999" s="7"/>
    </row>
    <row r="1000" spans="2:7">
      <c r="B1000" s="37"/>
      <c r="C1000" s="7"/>
      <c r="D1000" s="7"/>
      <c r="E1000" s="7"/>
      <c r="F1000" s="7"/>
      <c r="G1000" s="7"/>
    </row>
    <row r="1001" spans="2:7">
      <c r="B1001" s="37"/>
      <c r="C1001" s="7"/>
      <c r="D1001" s="7"/>
      <c r="E1001" s="7"/>
      <c r="F1001" s="7"/>
      <c r="G1001" s="7"/>
    </row>
    <row r="1002" spans="2:7">
      <c r="B1002" s="37"/>
      <c r="C1002" s="7"/>
      <c r="D1002" s="7"/>
      <c r="E1002" s="7"/>
      <c r="F1002" s="7"/>
      <c r="G1002" s="7"/>
    </row>
  </sheetData>
  <sheetProtection selectLockedCells="1" selectUnlockedCells="1"/>
  <mergeCells count="4">
    <mergeCell ref="B18:D18"/>
    <mergeCell ref="I7:L8"/>
    <mergeCell ref="I9:L9"/>
    <mergeCell ref="B2:G2"/>
  </mergeCells>
  <phoneticPr fontId="1" type="noConversion"/>
  <pageMargins left="0.78740157499999996" right="0.78740157499999996" top="0.984251969" bottom="0.984251969" header="0.49212598499999999" footer="0.49212598499999999"/>
  <pageSetup paperSize="9" scale="97" orientation="landscape" horizontalDpi="300" verticalDpi="30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31"/>
  <sheetViews>
    <sheetView workbookViewId="0">
      <selection activeCell="B3" sqref="B3"/>
    </sheetView>
  </sheetViews>
  <sheetFormatPr defaultColWidth="8.88671875" defaultRowHeight="11.4"/>
  <cols>
    <col min="1" max="1" width="3.44140625" style="12" customWidth="1"/>
    <col min="2" max="2" width="8.88671875" style="23"/>
    <col min="3" max="3" width="37.109375" style="13" customWidth="1"/>
    <col min="4" max="4" width="11.44140625" style="24" customWidth="1"/>
    <col min="5" max="5" width="9.6640625" style="24" customWidth="1"/>
    <col min="6" max="6" width="9.33203125" style="24" customWidth="1"/>
    <col min="7" max="7" width="8.88671875" style="24"/>
    <col min="8" max="8" width="20" style="24" customWidth="1"/>
    <col min="9" max="9" width="12.6640625" style="24" customWidth="1"/>
    <col min="10" max="11" width="10.88671875" style="12" customWidth="1"/>
    <col min="12" max="14" width="11.44140625" style="12" customWidth="1"/>
    <col min="15" max="15" width="11.6640625" style="12" customWidth="1"/>
    <col min="16" max="16" width="11.33203125" style="12" customWidth="1"/>
    <col min="17" max="16384" width="8.88671875" style="12"/>
  </cols>
  <sheetData>
    <row r="1" spans="1:56" ht="13.8" thickBot="1">
      <c r="A1" s="91"/>
      <c r="B1" s="104"/>
      <c r="C1" s="104"/>
      <c r="D1" s="104"/>
      <c r="E1" s="104"/>
      <c r="F1" s="104"/>
      <c r="G1" s="104"/>
      <c r="H1" s="226"/>
    </row>
    <row r="2" spans="1:56" ht="27" customHeight="1" thickBot="1">
      <c r="B2" s="240" t="s">
        <v>159</v>
      </c>
      <c r="C2" s="241"/>
      <c r="D2" s="241"/>
      <c r="E2" s="241"/>
      <c r="F2" s="241"/>
      <c r="G2" s="241"/>
      <c r="H2" s="241"/>
      <c r="I2" s="242"/>
      <c r="J2" s="11"/>
    </row>
    <row r="3" spans="1:56" ht="13.8" thickBot="1">
      <c r="B3" s="105"/>
      <c r="C3" s="106"/>
      <c r="D3" s="106"/>
      <c r="E3" s="106"/>
      <c r="F3" s="106"/>
      <c r="G3" s="106"/>
      <c r="H3" s="225"/>
      <c r="I3" s="225"/>
    </row>
    <row r="4" spans="1:56" s="13" customFormat="1" ht="15" customHeight="1">
      <c r="A4" s="90"/>
      <c r="B4" s="123" t="s">
        <v>27</v>
      </c>
      <c r="C4" s="93" t="s">
        <v>28</v>
      </c>
      <c r="D4" s="93" t="s">
        <v>29</v>
      </c>
      <c r="E4" s="93" t="s">
        <v>138</v>
      </c>
      <c r="F4" s="93" t="s">
        <v>30</v>
      </c>
      <c r="G4" s="93" t="s">
        <v>31</v>
      </c>
      <c r="H4" s="93" t="s">
        <v>151</v>
      </c>
      <c r="I4" s="94" t="s">
        <v>32</v>
      </c>
      <c r="J4" s="89"/>
      <c r="K4" s="16"/>
      <c r="L4" s="16"/>
      <c r="M4" s="16"/>
      <c r="N4" s="16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pans="1:56" s="16" customFormat="1" ht="12" thickBot="1">
      <c r="A5" s="91"/>
      <c r="B5" s="182" t="s">
        <v>33</v>
      </c>
      <c r="C5" s="183" t="s">
        <v>34</v>
      </c>
      <c r="D5" s="184">
        <v>22</v>
      </c>
      <c r="E5" s="180">
        <v>271</v>
      </c>
      <c r="F5" s="180"/>
      <c r="G5" s="131">
        <f t="shared" ref="G5:G40" si="0">SUM(D5:F5)</f>
        <v>293</v>
      </c>
      <c r="H5" s="180">
        <v>350</v>
      </c>
      <c r="I5" s="181">
        <v>26</v>
      </c>
      <c r="J5" s="19"/>
      <c r="K5" s="112"/>
      <c r="L5" s="112"/>
      <c r="M5" s="112"/>
      <c r="N5" s="112"/>
      <c r="O5" s="20"/>
      <c r="P5" s="20"/>
      <c r="Q5" s="20"/>
    </row>
    <row r="6" spans="1:56">
      <c r="A6" s="91"/>
      <c r="B6" s="182" t="s">
        <v>35</v>
      </c>
      <c r="C6" s="183" t="s">
        <v>36</v>
      </c>
      <c r="D6" s="184"/>
      <c r="E6" s="180"/>
      <c r="F6" s="180">
        <v>10</v>
      </c>
      <c r="G6" s="131">
        <f t="shared" si="0"/>
        <v>10</v>
      </c>
      <c r="H6" s="180">
        <v>20</v>
      </c>
      <c r="I6" s="181">
        <v>1</v>
      </c>
      <c r="J6" s="111"/>
      <c r="K6" s="231" t="s">
        <v>149</v>
      </c>
      <c r="L6" s="232"/>
      <c r="M6" s="232"/>
      <c r="N6" s="233"/>
      <c r="O6" s="21"/>
      <c r="P6" s="22"/>
      <c r="Q6" s="22"/>
    </row>
    <row r="7" spans="1:56">
      <c r="A7" s="91"/>
      <c r="B7" s="182" t="s">
        <v>37</v>
      </c>
      <c r="C7" s="183" t="s">
        <v>38</v>
      </c>
      <c r="D7" s="184">
        <v>34</v>
      </c>
      <c r="E7" s="180">
        <v>203</v>
      </c>
      <c r="F7" s="180">
        <v>3</v>
      </c>
      <c r="G7" s="131">
        <f t="shared" si="0"/>
        <v>240</v>
      </c>
      <c r="H7" s="180">
        <v>300</v>
      </c>
      <c r="I7" s="181">
        <v>4</v>
      </c>
      <c r="J7" s="111"/>
      <c r="K7" s="234"/>
      <c r="L7" s="235"/>
      <c r="M7" s="235"/>
      <c r="N7" s="236"/>
      <c r="O7" s="21"/>
      <c r="P7" s="22"/>
      <c r="Q7" s="22"/>
    </row>
    <row r="8" spans="1:56" ht="12" thickBot="1">
      <c r="A8" s="91"/>
      <c r="B8" s="182" t="s">
        <v>39</v>
      </c>
      <c r="C8" s="183" t="s">
        <v>40</v>
      </c>
      <c r="D8" s="184"/>
      <c r="E8" s="180"/>
      <c r="F8" s="180">
        <v>28</v>
      </c>
      <c r="G8" s="131">
        <f t="shared" si="0"/>
        <v>28</v>
      </c>
      <c r="H8" s="180">
        <v>200</v>
      </c>
      <c r="I8" s="181">
        <v>51</v>
      </c>
      <c r="J8" s="111"/>
      <c r="K8" s="237" t="s">
        <v>150</v>
      </c>
      <c r="L8" s="238"/>
      <c r="M8" s="238"/>
      <c r="N8" s="239"/>
      <c r="O8" s="21"/>
      <c r="P8" s="22"/>
      <c r="Q8" s="22"/>
    </row>
    <row r="9" spans="1:56">
      <c r="A9" s="91"/>
      <c r="B9" s="182" t="s">
        <v>41</v>
      </c>
      <c r="C9" s="183" t="s">
        <v>42</v>
      </c>
      <c r="D9" s="184">
        <v>3</v>
      </c>
      <c r="E9" s="180">
        <v>50</v>
      </c>
      <c r="F9" s="180">
        <v>26</v>
      </c>
      <c r="G9" s="131">
        <f t="shared" si="0"/>
        <v>79</v>
      </c>
      <c r="H9" s="180">
        <v>80</v>
      </c>
      <c r="I9" s="181">
        <v>5</v>
      </c>
      <c r="J9" s="21"/>
      <c r="K9" s="20"/>
      <c r="L9" s="20"/>
      <c r="M9" s="20"/>
      <c r="N9" s="20"/>
      <c r="O9" s="22"/>
      <c r="P9" s="22"/>
      <c r="Q9" s="22"/>
    </row>
    <row r="10" spans="1:56">
      <c r="A10" s="91"/>
      <c r="B10" s="182" t="s">
        <v>43</v>
      </c>
      <c r="C10" s="183" t="s">
        <v>44</v>
      </c>
      <c r="D10" s="184">
        <v>46</v>
      </c>
      <c r="E10" s="180">
        <v>36</v>
      </c>
      <c r="F10" s="180"/>
      <c r="G10" s="131">
        <f t="shared" si="0"/>
        <v>82</v>
      </c>
      <c r="H10" s="180">
        <v>150</v>
      </c>
      <c r="I10" s="181">
        <v>3</v>
      </c>
      <c r="J10" s="21"/>
      <c r="K10" s="22"/>
      <c r="L10" s="22"/>
      <c r="M10" s="22"/>
      <c r="N10" s="22"/>
      <c r="O10" s="22"/>
      <c r="P10" s="22"/>
      <c r="Q10" s="22"/>
    </row>
    <row r="11" spans="1:56">
      <c r="A11" s="91"/>
      <c r="B11" s="182" t="s">
        <v>45</v>
      </c>
      <c r="C11" s="183" t="s">
        <v>46</v>
      </c>
      <c r="D11" s="184">
        <v>7</v>
      </c>
      <c r="E11" s="180">
        <v>23</v>
      </c>
      <c r="F11" s="180"/>
      <c r="G11" s="131">
        <f t="shared" si="0"/>
        <v>30</v>
      </c>
      <c r="H11" s="180">
        <v>50</v>
      </c>
      <c r="I11" s="181">
        <v>2</v>
      </c>
      <c r="J11" s="21"/>
      <c r="K11" s="22"/>
      <c r="L11" s="22"/>
      <c r="M11" s="22"/>
      <c r="N11" s="22"/>
      <c r="O11" s="22"/>
      <c r="P11" s="22"/>
      <c r="Q11" s="22"/>
    </row>
    <row r="12" spans="1:56">
      <c r="A12" s="91"/>
      <c r="B12" s="182" t="s">
        <v>47</v>
      </c>
      <c r="C12" s="183" t="s">
        <v>48</v>
      </c>
      <c r="D12" s="184">
        <v>180</v>
      </c>
      <c r="E12" s="180">
        <v>171</v>
      </c>
      <c r="F12" s="180"/>
      <c r="G12" s="131">
        <f t="shared" si="0"/>
        <v>351</v>
      </c>
      <c r="H12" s="180">
        <v>430</v>
      </c>
      <c r="I12" s="181">
        <v>9</v>
      </c>
      <c r="J12" s="21"/>
      <c r="K12" s="22"/>
      <c r="L12" s="22"/>
      <c r="M12" s="22"/>
      <c r="N12" s="22"/>
      <c r="O12" s="22"/>
      <c r="P12" s="22"/>
      <c r="Q12" s="22"/>
    </row>
    <row r="13" spans="1:56">
      <c r="A13" s="91"/>
      <c r="B13" s="182" t="s">
        <v>49</v>
      </c>
      <c r="C13" s="183" t="s">
        <v>50</v>
      </c>
      <c r="D13" s="184">
        <v>162</v>
      </c>
      <c r="E13" s="180">
        <v>124</v>
      </c>
      <c r="F13" s="180"/>
      <c r="G13" s="131">
        <f t="shared" si="0"/>
        <v>286</v>
      </c>
      <c r="H13" s="180">
        <v>520</v>
      </c>
      <c r="I13" s="181">
        <v>7</v>
      </c>
      <c r="J13" s="21"/>
      <c r="K13" s="22"/>
      <c r="L13" s="22"/>
      <c r="M13" s="22"/>
      <c r="N13" s="22"/>
      <c r="O13" s="22"/>
      <c r="P13" s="22"/>
      <c r="Q13" s="22"/>
    </row>
    <row r="14" spans="1:56">
      <c r="A14" s="91"/>
      <c r="B14" s="182" t="s">
        <v>51</v>
      </c>
      <c r="C14" s="183" t="s">
        <v>52</v>
      </c>
      <c r="D14" s="184">
        <v>26</v>
      </c>
      <c r="E14" s="180">
        <v>35</v>
      </c>
      <c r="F14" s="180">
        <v>28</v>
      </c>
      <c r="G14" s="131">
        <f t="shared" si="0"/>
        <v>89</v>
      </c>
      <c r="H14" s="180">
        <v>100</v>
      </c>
      <c r="I14" s="181">
        <v>8</v>
      </c>
      <c r="J14" s="21"/>
      <c r="K14" s="22"/>
      <c r="L14" s="22"/>
      <c r="M14" s="22"/>
      <c r="N14" s="22"/>
      <c r="O14" s="22"/>
      <c r="P14" s="22"/>
      <c r="Q14" s="22"/>
    </row>
    <row r="15" spans="1:56">
      <c r="A15" s="91"/>
      <c r="B15" s="182" t="s">
        <v>53</v>
      </c>
      <c r="C15" s="183" t="s">
        <v>54</v>
      </c>
      <c r="D15" s="184">
        <v>14</v>
      </c>
      <c r="E15" s="180">
        <v>32</v>
      </c>
      <c r="F15" s="180">
        <v>48</v>
      </c>
      <c r="G15" s="131">
        <f t="shared" si="0"/>
        <v>94</v>
      </c>
      <c r="H15" s="180">
        <v>100</v>
      </c>
      <c r="I15" s="181">
        <v>7</v>
      </c>
      <c r="J15" s="21"/>
      <c r="K15" s="22"/>
      <c r="L15" s="22"/>
      <c r="M15" s="22"/>
      <c r="N15" s="22"/>
      <c r="O15" s="22"/>
      <c r="P15" s="22"/>
      <c r="Q15" s="22"/>
    </row>
    <row r="16" spans="1:56">
      <c r="A16" s="91"/>
      <c r="B16" s="182" t="s">
        <v>55</v>
      </c>
      <c r="C16" s="183" t="s">
        <v>56</v>
      </c>
      <c r="D16" s="184">
        <v>5</v>
      </c>
      <c r="E16" s="180">
        <v>3</v>
      </c>
      <c r="F16" s="180">
        <v>4</v>
      </c>
      <c r="G16" s="131">
        <f t="shared" si="0"/>
        <v>12</v>
      </c>
      <c r="H16" s="180">
        <v>40</v>
      </c>
      <c r="I16" s="181">
        <v>5</v>
      </c>
      <c r="J16" s="21"/>
      <c r="K16" s="22"/>
      <c r="L16" s="22"/>
      <c r="M16" s="22"/>
      <c r="N16" s="22"/>
      <c r="O16" s="22"/>
      <c r="P16" s="22"/>
      <c r="Q16" s="22"/>
    </row>
    <row r="17" spans="1:17">
      <c r="A17" s="91"/>
      <c r="B17" s="182" t="s">
        <v>57</v>
      </c>
      <c r="C17" s="183" t="s">
        <v>58</v>
      </c>
      <c r="D17" s="184">
        <v>4</v>
      </c>
      <c r="E17" s="180">
        <v>27</v>
      </c>
      <c r="F17" s="180"/>
      <c r="G17" s="131">
        <f t="shared" si="0"/>
        <v>31</v>
      </c>
      <c r="H17" s="180">
        <v>70</v>
      </c>
      <c r="I17" s="181">
        <v>2</v>
      </c>
      <c r="J17" s="21"/>
      <c r="K17" s="22"/>
      <c r="L17" s="22"/>
      <c r="M17" s="22"/>
      <c r="N17" s="22"/>
      <c r="O17" s="22"/>
      <c r="P17" s="22"/>
      <c r="Q17" s="22"/>
    </row>
    <row r="18" spans="1:17">
      <c r="A18" s="91"/>
      <c r="B18" s="182" t="s">
        <v>59</v>
      </c>
      <c r="C18" s="183" t="s">
        <v>60</v>
      </c>
      <c r="D18" s="184">
        <v>31</v>
      </c>
      <c r="E18" s="180">
        <v>121</v>
      </c>
      <c r="F18" s="180">
        <v>64</v>
      </c>
      <c r="G18" s="131">
        <f t="shared" si="0"/>
        <v>216</v>
      </c>
      <c r="H18" s="180">
        <v>250</v>
      </c>
      <c r="I18" s="181">
        <v>8</v>
      </c>
      <c r="J18" s="21"/>
      <c r="K18" s="22"/>
      <c r="L18" s="22"/>
      <c r="M18" s="22"/>
      <c r="N18" s="22"/>
      <c r="O18" s="22"/>
      <c r="P18" s="22"/>
      <c r="Q18" s="22"/>
    </row>
    <row r="19" spans="1:17">
      <c r="A19" s="91"/>
      <c r="B19" s="182" t="s">
        <v>61</v>
      </c>
      <c r="C19" s="183" t="s">
        <v>62</v>
      </c>
      <c r="D19" s="184">
        <v>13</v>
      </c>
      <c r="E19" s="180">
        <v>11</v>
      </c>
      <c r="F19" s="180">
        <v>12</v>
      </c>
      <c r="G19" s="131">
        <f t="shared" si="0"/>
        <v>36</v>
      </c>
      <c r="H19" s="180">
        <v>80</v>
      </c>
      <c r="I19" s="181">
        <v>3</v>
      </c>
      <c r="J19" s="21"/>
      <c r="K19" s="22"/>
      <c r="L19" s="22"/>
      <c r="M19" s="22"/>
      <c r="N19" s="22"/>
      <c r="O19" s="22"/>
      <c r="P19" s="22"/>
      <c r="Q19" s="22"/>
    </row>
    <row r="20" spans="1:17">
      <c r="A20" s="91"/>
      <c r="B20" s="182" t="s">
        <v>63</v>
      </c>
      <c r="C20" s="183" t="s">
        <v>64</v>
      </c>
      <c r="D20" s="184">
        <v>25</v>
      </c>
      <c r="E20" s="180">
        <v>36</v>
      </c>
      <c r="F20" s="180"/>
      <c r="G20" s="131">
        <f t="shared" si="0"/>
        <v>61</v>
      </c>
      <c r="H20" s="180">
        <v>80</v>
      </c>
      <c r="I20" s="181">
        <v>4</v>
      </c>
      <c r="J20" s="21"/>
      <c r="K20" s="22"/>
      <c r="L20" s="22"/>
      <c r="M20" s="22"/>
      <c r="N20" s="22"/>
      <c r="O20" s="22"/>
      <c r="P20" s="22"/>
      <c r="Q20" s="22"/>
    </row>
    <row r="21" spans="1:17">
      <c r="A21" s="91"/>
      <c r="B21" s="182" t="s">
        <v>65</v>
      </c>
      <c r="C21" s="183" t="s">
        <v>66</v>
      </c>
      <c r="D21" s="184">
        <v>29</v>
      </c>
      <c r="E21" s="180">
        <v>10</v>
      </c>
      <c r="F21" s="180"/>
      <c r="G21" s="131">
        <f t="shared" si="0"/>
        <v>39</v>
      </c>
      <c r="H21" s="180">
        <v>70</v>
      </c>
      <c r="I21" s="181">
        <v>5</v>
      </c>
      <c r="J21" s="21"/>
      <c r="K21" s="22"/>
      <c r="L21" s="22"/>
      <c r="M21" s="22"/>
      <c r="N21" s="22"/>
      <c r="O21" s="22"/>
      <c r="P21" s="22"/>
      <c r="Q21" s="22"/>
    </row>
    <row r="22" spans="1:17">
      <c r="A22" s="91"/>
      <c r="B22" s="182" t="s">
        <v>67</v>
      </c>
      <c r="C22" s="183" t="s">
        <v>68</v>
      </c>
      <c r="D22" s="184"/>
      <c r="E22" s="180">
        <v>20</v>
      </c>
      <c r="F22" s="180">
        <v>1</v>
      </c>
      <c r="G22" s="131">
        <f t="shared" si="0"/>
        <v>21</v>
      </c>
      <c r="H22" s="180">
        <v>20</v>
      </c>
      <c r="I22" s="181">
        <v>6</v>
      </c>
      <c r="J22" s="21"/>
      <c r="K22" s="22"/>
      <c r="L22" s="22"/>
      <c r="M22" s="22"/>
      <c r="N22" s="22"/>
      <c r="O22" s="22"/>
      <c r="P22" s="22"/>
      <c r="Q22" s="22"/>
    </row>
    <row r="23" spans="1:17">
      <c r="A23" s="91"/>
      <c r="B23" s="182" t="s">
        <v>69</v>
      </c>
      <c r="C23" s="183" t="s">
        <v>70</v>
      </c>
      <c r="D23" s="184"/>
      <c r="E23" s="180">
        <v>5</v>
      </c>
      <c r="F23" s="180">
        <v>5</v>
      </c>
      <c r="G23" s="131">
        <f t="shared" si="0"/>
        <v>10</v>
      </c>
      <c r="H23" s="180">
        <v>40</v>
      </c>
      <c r="I23" s="181">
        <v>3</v>
      </c>
      <c r="J23" s="21"/>
      <c r="K23" s="22"/>
      <c r="L23" s="22"/>
      <c r="M23" s="22"/>
      <c r="N23" s="22"/>
      <c r="O23" s="22"/>
      <c r="P23" s="22"/>
      <c r="Q23" s="22"/>
    </row>
    <row r="24" spans="1:17">
      <c r="A24" s="91"/>
      <c r="B24" s="182" t="s">
        <v>71</v>
      </c>
      <c r="C24" s="183" t="s">
        <v>72</v>
      </c>
      <c r="D24" s="184">
        <v>14</v>
      </c>
      <c r="E24" s="180">
        <v>62</v>
      </c>
      <c r="F24" s="180">
        <v>32</v>
      </c>
      <c r="G24" s="131">
        <f t="shared" si="0"/>
        <v>108</v>
      </c>
      <c r="H24" s="180">
        <v>200</v>
      </c>
      <c r="I24" s="181">
        <v>8</v>
      </c>
      <c r="J24" s="21"/>
      <c r="K24" s="22"/>
      <c r="L24" s="22"/>
      <c r="M24" s="22"/>
      <c r="N24" s="22"/>
      <c r="O24" s="22"/>
      <c r="P24" s="22"/>
      <c r="Q24" s="22"/>
    </row>
    <row r="25" spans="1:17">
      <c r="A25" s="91"/>
      <c r="B25" s="182" t="s">
        <v>73</v>
      </c>
      <c r="C25" s="183" t="s">
        <v>74</v>
      </c>
      <c r="D25" s="184">
        <v>85</v>
      </c>
      <c r="E25" s="180">
        <v>80</v>
      </c>
      <c r="F25" s="180"/>
      <c r="G25" s="131">
        <f t="shared" si="0"/>
        <v>165</v>
      </c>
      <c r="H25" s="180">
        <v>200</v>
      </c>
      <c r="I25" s="181">
        <v>21</v>
      </c>
      <c r="J25" s="21"/>
      <c r="K25" s="22"/>
      <c r="L25" s="22"/>
      <c r="M25" s="22"/>
      <c r="N25" s="22"/>
      <c r="O25" s="22"/>
      <c r="P25" s="22"/>
      <c r="Q25" s="22"/>
    </row>
    <row r="26" spans="1:17">
      <c r="A26" s="91"/>
      <c r="B26" s="182" t="s">
        <v>75</v>
      </c>
      <c r="C26" s="183" t="s">
        <v>76</v>
      </c>
      <c r="D26" s="184"/>
      <c r="E26" s="180">
        <v>5</v>
      </c>
      <c r="F26" s="180"/>
      <c r="G26" s="131">
        <f t="shared" si="0"/>
        <v>5</v>
      </c>
      <c r="H26" s="180"/>
      <c r="I26" s="181">
        <v>2</v>
      </c>
      <c r="J26" s="21"/>
      <c r="K26" s="22"/>
      <c r="L26" s="22"/>
      <c r="M26" s="22"/>
      <c r="N26" s="22"/>
      <c r="O26" s="22"/>
      <c r="P26" s="22"/>
      <c r="Q26" s="22"/>
    </row>
    <row r="27" spans="1:17">
      <c r="A27" s="91"/>
      <c r="B27" s="182" t="s">
        <v>77</v>
      </c>
      <c r="C27" s="183" t="s">
        <v>78</v>
      </c>
      <c r="D27" s="184">
        <v>36</v>
      </c>
      <c r="E27" s="180">
        <v>209</v>
      </c>
      <c r="F27" s="180">
        <v>61</v>
      </c>
      <c r="G27" s="131">
        <f t="shared" si="0"/>
        <v>306</v>
      </c>
      <c r="H27" s="180">
        <v>350</v>
      </c>
      <c r="I27" s="181">
        <v>8</v>
      </c>
      <c r="J27" s="21"/>
      <c r="K27" s="22"/>
      <c r="L27" s="22"/>
      <c r="M27" s="22"/>
      <c r="N27" s="22"/>
      <c r="O27" s="22"/>
      <c r="P27" s="22"/>
      <c r="Q27" s="22"/>
    </row>
    <row r="28" spans="1:17">
      <c r="A28" s="91"/>
      <c r="B28" s="182" t="s">
        <v>79</v>
      </c>
      <c r="C28" s="183" t="s">
        <v>80</v>
      </c>
      <c r="D28" s="184">
        <v>10</v>
      </c>
      <c r="E28" s="180"/>
      <c r="F28" s="180"/>
      <c r="G28" s="131">
        <f t="shared" si="0"/>
        <v>10</v>
      </c>
      <c r="H28" s="180"/>
      <c r="I28" s="181">
        <v>3</v>
      </c>
      <c r="J28" s="21"/>
      <c r="K28" s="22"/>
      <c r="L28" s="22"/>
      <c r="M28" s="22"/>
      <c r="N28" s="22"/>
      <c r="O28" s="22"/>
      <c r="P28" s="22"/>
      <c r="Q28" s="22"/>
    </row>
    <row r="29" spans="1:17">
      <c r="A29" s="91"/>
      <c r="B29" s="182" t="s">
        <v>81</v>
      </c>
      <c r="C29" s="183" t="s">
        <v>82</v>
      </c>
      <c r="D29" s="184">
        <v>4</v>
      </c>
      <c r="E29" s="180">
        <v>26</v>
      </c>
      <c r="F29" s="180">
        <v>8</v>
      </c>
      <c r="G29" s="131">
        <f t="shared" si="0"/>
        <v>38</v>
      </c>
      <c r="H29" s="180">
        <v>70</v>
      </c>
      <c r="I29" s="181">
        <v>10</v>
      </c>
      <c r="J29" s="21"/>
      <c r="K29" s="22"/>
      <c r="L29" s="22"/>
      <c r="M29" s="22"/>
      <c r="N29" s="22"/>
      <c r="O29" s="22"/>
      <c r="P29" s="22"/>
      <c r="Q29" s="22"/>
    </row>
    <row r="30" spans="1:17">
      <c r="A30" s="91"/>
      <c r="B30" s="182" t="s">
        <v>83</v>
      </c>
      <c r="C30" s="183" t="s">
        <v>84</v>
      </c>
      <c r="D30" s="184"/>
      <c r="E30" s="180"/>
      <c r="F30" s="180"/>
      <c r="G30" s="131">
        <f t="shared" si="0"/>
        <v>0</v>
      </c>
      <c r="H30" s="180">
        <v>320</v>
      </c>
      <c r="I30" s="181">
        <v>8</v>
      </c>
      <c r="J30" s="21"/>
      <c r="K30" s="22"/>
      <c r="L30" s="22"/>
      <c r="M30" s="22"/>
      <c r="N30" s="22"/>
      <c r="O30" s="22"/>
      <c r="P30" s="22"/>
      <c r="Q30" s="22"/>
    </row>
    <row r="31" spans="1:17">
      <c r="A31" s="91"/>
      <c r="B31" s="182" t="s">
        <v>85</v>
      </c>
      <c r="C31" s="183" t="s">
        <v>86</v>
      </c>
      <c r="D31" s="184">
        <v>11</v>
      </c>
      <c r="E31" s="180">
        <v>64</v>
      </c>
      <c r="F31" s="180"/>
      <c r="G31" s="131">
        <f t="shared" si="0"/>
        <v>75</v>
      </c>
      <c r="H31" s="180">
        <v>120</v>
      </c>
      <c r="I31" s="181">
        <v>8</v>
      </c>
      <c r="J31" s="21"/>
      <c r="K31" s="22"/>
      <c r="L31" s="22"/>
      <c r="M31" s="22"/>
      <c r="N31" s="22"/>
      <c r="O31" s="22"/>
      <c r="P31" s="22"/>
      <c r="Q31" s="22"/>
    </row>
    <row r="32" spans="1:17">
      <c r="A32" s="91"/>
      <c r="B32" s="182" t="s">
        <v>87</v>
      </c>
      <c r="C32" s="183" t="s">
        <v>88</v>
      </c>
      <c r="D32" s="184">
        <v>4</v>
      </c>
      <c r="E32" s="180"/>
      <c r="F32" s="180">
        <v>9</v>
      </c>
      <c r="G32" s="131">
        <f t="shared" si="0"/>
        <v>13</v>
      </c>
      <c r="H32" s="180">
        <v>120</v>
      </c>
      <c r="I32" s="181">
        <v>12</v>
      </c>
      <c r="J32" s="21"/>
      <c r="K32" s="22"/>
      <c r="L32" s="22"/>
      <c r="M32" s="22"/>
      <c r="N32" s="22"/>
      <c r="O32" s="22"/>
      <c r="P32" s="22"/>
      <c r="Q32" s="22"/>
    </row>
    <row r="33" spans="1:17">
      <c r="A33" s="91"/>
      <c r="B33" s="182" t="s">
        <v>89</v>
      </c>
      <c r="C33" s="183" t="s">
        <v>90</v>
      </c>
      <c r="D33" s="184">
        <v>4</v>
      </c>
      <c r="E33" s="180"/>
      <c r="F33" s="180">
        <v>13</v>
      </c>
      <c r="G33" s="131">
        <f t="shared" si="0"/>
        <v>17</v>
      </c>
      <c r="H33" s="180">
        <v>80</v>
      </c>
      <c r="I33" s="181">
        <v>13</v>
      </c>
      <c r="J33" s="21"/>
      <c r="K33" s="22"/>
      <c r="L33" s="22"/>
      <c r="M33" s="22"/>
      <c r="N33" s="22"/>
      <c r="O33" s="22"/>
      <c r="P33" s="22"/>
      <c r="Q33" s="22"/>
    </row>
    <row r="34" spans="1:17">
      <c r="A34" s="91"/>
      <c r="B34" s="182" t="s">
        <v>91</v>
      </c>
      <c r="C34" s="183" t="s">
        <v>92</v>
      </c>
      <c r="D34" s="184">
        <v>21</v>
      </c>
      <c r="E34" s="180">
        <v>68</v>
      </c>
      <c r="F34" s="180"/>
      <c r="G34" s="131">
        <f t="shared" si="0"/>
        <v>89</v>
      </c>
      <c r="H34" s="180">
        <v>100</v>
      </c>
      <c r="I34" s="181">
        <v>5</v>
      </c>
      <c r="J34" s="21"/>
      <c r="K34" s="22"/>
      <c r="L34" s="22"/>
      <c r="M34" s="22"/>
      <c r="N34" s="22"/>
      <c r="O34" s="22"/>
      <c r="P34" s="22"/>
      <c r="Q34" s="22"/>
    </row>
    <row r="35" spans="1:17">
      <c r="A35" s="91"/>
      <c r="B35" s="182" t="s">
        <v>93</v>
      </c>
      <c r="C35" s="183" t="s">
        <v>94</v>
      </c>
      <c r="D35" s="184">
        <v>36</v>
      </c>
      <c r="E35" s="180">
        <v>111</v>
      </c>
      <c r="F35" s="180">
        <v>13</v>
      </c>
      <c r="G35" s="131">
        <f t="shared" si="0"/>
        <v>160</v>
      </c>
      <c r="H35" s="180">
        <v>300</v>
      </c>
      <c r="I35" s="181">
        <v>8</v>
      </c>
      <c r="J35" s="21"/>
      <c r="K35" s="22"/>
      <c r="L35" s="22"/>
      <c r="M35" s="22"/>
      <c r="N35" s="22"/>
      <c r="O35" s="22"/>
      <c r="P35" s="22"/>
      <c r="Q35" s="22"/>
    </row>
    <row r="36" spans="1:17">
      <c r="A36" s="91"/>
      <c r="B36" s="182" t="s">
        <v>95</v>
      </c>
      <c r="C36" s="183" t="s">
        <v>96</v>
      </c>
      <c r="D36" s="184">
        <v>54</v>
      </c>
      <c r="E36" s="180">
        <v>78</v>
      </c>
      <c r="F36" s="180"/>
      <c r="G36" s="131">
        <f t="shared" si="0"/>
        <v>132</v>
      </c>
      <c r="H36" s="180">
        <v>300</v>
      </c>
      <c r="I36" s="181">
        <v>3</v>
      </c>
      <c r="J36" s="21"/>
      <c r="K36" s="22"/>
      <c r="L36" s="22"/>
      <c r="M36" s="22"/>
      <c r="N36" s="22"/>
      <c r="O36" s="22"/>
      <c r="P36" s="22"/>
      <c r="Q36" s="22"/>
    </row>
    <row r="37" spans="1:17">
      <c r="A37" s="91"/>
      <c r="B37" s="182" t="s">
        <v>97</v>
      </c>
      <c r="C37" s="183" t="s">
        <v>98</v>
      </c>
      <c r="D37" s="184">
        <v>14</v>
      </c>
      <c r="E37" s="180">
        <v>8</v>
      </c>
      <c r="F37" s="180">
        <v>31</v>
      </c>
      <c r="G37" s="131">
        <f t="shared" si="0"/>
        <v>53</v>
      </c>
      <c r="H37" s="180">
        <v>70</v>
      </c>
      <c r="I37" s="181">
        <v>4</v>
      </c>
      <c r="J37" s="21"/>
      <c r="K37" s="22"/>
      <c r="L37" s="22"/>
      <c r="M37" s="22"/>
      <c r="N37" s="22"/>
      <c r="O37" s="22"/>
      <c r="P37" s="22"/>
      <c r="Q37" s="22"/>
    </row>
    <row r="38" spans="1:17">
      <c r="A38" s="91"/>
      <c r="B38" s="182" t="s">
        <v>99</v>
      </c>
      <c r="C38" s="183" t="s">
        <v>100</v>
      </c>
      <c r="D38" s="184">
        <v>21</v>
      </c>
      <c r="E38" s="180">
        <v>18</v>
      </c>
      <c r="F38" s="180"/>
      <c r="G38" s="131">
        <f t="shared" si="0"/>
        <v>39</v>
      </c>
      <c r="H38" s="180">
        <v>50</v>
      </c>
      <c r="I38" s="181">
        <v>4</v>
      </c>
      <c r="J38" s="21"/>
      <c r="K38" s="22"/>
      <c r="L38" s="22"/>
      <c r="M38" s="22"/>
      <c r="N38" s="22"/>
      <c r="O38" s="22"/>
      <c r="P38" s="22"/>
      <c r="Q38" s="22"/>
    </row>
    <row r="39" spans="1:17">
      <c r="A39" s="91"/>
      <c r="B39" s="182" t="s">
        <v>101</v>
      </c>
      <c r="C39" s="183" t="s">
        <v>102</v>
      </c>
      <c r="D39" s="184">
        <v>5</v>
      </c>
      <c r="E39" s="180">
        <v>24</v>
      </c>
      <c r="F39" s="180"/>
      <c r="G39" s="131">
        <f t="shared" si="0"/>
        <v>29</v>
      </c>
      <c r="H39" s="180">
        <v>80</v>
      </c>
      <c r="I39" s="181">
        <v>1</v>
      </c>
      <c r="J39" s="21"/>
      <c r="K39" s="22"/>
      <c r="L39" s="22"/>
      <c r="M39" s="22"/>
      <c r="N39" s="22"/>
      <c r="O39" s="22"/>
      <c r="P39" s="22"/>
      <c r="Q39" s="22"/>
    </row>
    <row r="40" spans="1:17">
      <c r="A40" s="91"/>
      <c r="B40" s="182" t="s">
        <v>103</v>
      </c>
      <c r="C40" s="183" t="s">
        <v>104</v>
      </c>
      <c r="D40" s="184">
        <v>9</v>
      </c>
      <c r="E40" s="180">
        <v>10</v>
      </c>
      <c r="F40" s="180">
        <v>11</v>
      </c>
      <c r="G40" s="131">
        <f t="shared" si="0"/>
        <v>30</v>
      </c>
      <c r="H40" s="180">
        <v>50</v>
      </c>
      <c r="I40" s="181">
        <v>3</v>
      </c>
      <c r="J40" s="21"/>
      <c r="K40" s="22"/>
      <c r="L40" s="22"/>
      <c r="M40" s="22"/>
      <c r="N40" s="22"/>
      <c r="O40" s="22"/>
      <c r="P40" s="22"/>
      <c r="Q40" s="22"/>
    </row>
    <row r="41" spans="1:17" s="15" customFormat="1" ht="12.6" thickBot="1">
      <c r="A41" s="91"/>
      <c r="B41" s="76" t="s">
        <v>105</v>
      </c>
      <c r="C41" s="77"/>
      <c r="D41" s="78">
        <f t="shared" ref="D41:I41" si="1">SUM(D5:D40)</f>
        <v>929</v>
      </c>
      <c r="E41" s="78">
        <f t="shared" si="1"/>
        <v>1941</v>
      </c>
      <c r="F41" s="78">
        <f t="shared" si="1"/>
        <v>407</v>
      </c>
      <c r="G41" s="78">
        <f t="shared" si="1"/>
        <v>3277</v>
      </c>
      <c r="H41" s="78">
        <f t="shared" si="1"/>
        <v>5360</v>
      </c>
      <c r="I41" s="79">
        <f t="shared" si="1"/>
        <v>280</v>
      </c>
      <c r="J41" s="47"/>
      <c r="K41" s="48"/>
      <c r="L41" s="48"/>
      <c r="M41" s="48"/>
      <c r="N41" s="48"/>
      <c r="O41" s="48"/>
      <c r="P41" s="48"/>
      <c r="Q41" s="49"/>
    </row>
    <row r="42" spans="1:17">
      <c r="B42" s="109"/>
      <c r="C42" s="16"/>
      <c r="D42" s="74"/>
      <c r="E42" s="75"/>
      <c r="F42" s="75"/>
      <c r="G42" s="75"/>
      <c r="H42" s="75"/>
      <c r="I42" s="75"/>
      <c r="M42" s="22"/>
    </row>
    <row r="43" spans="1:17">
      <c r="B43" s="110"/>
      <c r="C43" s="51"/>
      <c r="D43" s="52"/>
      <c r="E43" s="53"/>
      <c r="F43" s="53"/>
      <c r="G43" s="53"/>
      <c r="H43" s="53"/>
      <c r="I43" s="50"/>
    </row>
    <row r="44" spans="1:17">
      <c r="B44" s="110"/>
      <c r="C44" s="51"/>
      <c r="D44" s="52"/>
      <c r="E44" s="53"/>
      <c r="F44" s="53"/>
      <c r="G44" s="53"/>
      <c r="H44" s="53"/>
      <c r="I44" s="50"/>
    </row>
    <row r="45" spans="1:17">
      <c r="B45" s="110"/>
      <c r="C45" s="12"/>
      <c r="D45" s="53"/>
      <c r="E45" s="53"/>
      <c r="F45" s="53"/>
      <c r="G45" s="53"/>
      <c r="H45" s="53"/>
      <c r="I45" s="50"/>
    </row>
    <row r="46" spans="1:17">
      <c r="B46" s="110"/>
      <c r="C46" s="12"/>
      <c r="D46" s="50"/>
      <c r="E46" s="50"/>
      <c r="F46" s="50"/>
      <c r="G46" s="50"/>
      <c r="H46" s="50"/>
      <c r="I46" s="50"/>
    </row>
    <row r="47" spans="1:17">
      <c r="B47" s="110"/>
      <c r="C47" s="12"/>
      <c r="D47" s="54"/>
      <c r="E47" s="55"/>
      <c r="F47" s="50"/>
      <c r="G47" s="50"/>
      <c r="H47" s="50"/>
      <c r="I47" s="50"/>
    </row>
    <row r="48" spans="1:17">
      <c r="B48" s="110"/>
      <c r="C48" s="12"/>
      <c r="D48" s="54"/>
      <c r="E48" s="55"/>
      <c r="F48" s="50"/>
      <c r="G48" s="50"/>
      <c r="H48" s="50"/>
      <c r="I48" s="50"/>
    </row>
    <row r="49" spans="2:9">
      <c r="B49" s="110"/>
      <c r="C49" s="12"/>
      <c r="D49" s="54"/>
      <c r="E49" s="55"/>
      <c r="F49" s="50"/>
      <c r="G49" s="50"/>
      <c r="H49" s="50"/>
      <c r="I49" s="50"/>
    </row>
    <row r="50" spans="2:9">
      <c r="B50" s="110"/>
      <c r="C50" s="12"/>
      <c r="D50" s="54"/>
      <c r="E50" s="55"/>
      <c r="F50" s="50"/>
      <c r="G50" s="50"/>
      <c r="H50" s="50"/>
      <c r="I50" s="50"/>
    </row>
    <row r="51" spans="2:9">
      <c r="B51" s="110"/>
      <c r="C51" s="12"/>
      <c r="D51" s="54"/>
      <c r="E51" s="55"/>
      <c r="F51" s="50"/>
      <c r="G51" s="50"/>
      <c r="H51" s="50"/>
      <c r="I51" s="50"/>
    </row>
    <row r="52" spans="2:9">
      <c r="B52" s="110"/>
      <c r="C52" s="12"/>
      <c r="D52" s="54"/>
      <c r="E52" s="55"/>
      <c r="F52" s="50"/>
      <c r="G52" s="50"/>
      <c r="H52" s="50"/>
      <c r="I52" s="50"/>
    </row>
    <row r="53" spans="2:9">
      <c r="B53" s="110"/>
      <c r="C53" s="12"/>
      <c r="D53" s="54"/>
      <c r="E53" s="55"/>
      <c r="F53" s="50"/>
      <c r="G53" s="50"/>
      <c r="H53" s="50"/>
      <c r="I53" s="50"/>
    </row>
    <row r="54" spans="2:9">
      <c r="B54" s="110"/>
      <c r="C54" s="12"/>
      <c r="D54" s="54"/>
      <c r="E54" s="55"/>
      <c r="F54" s="50"/>
      <c r="G54" s="50"/>
      <c r="H54" s="50"/>
      <c r="I54" s="50"/>
    </row>
    <row r="55" spans="2:9">
      <c r="B55" s="110"/>
      <c r="C55" s="12"/>
      <c r="D55" s="50"/>
      <c r="E55" s="50"/>
      <c r="F55" s="50"/>
      <c r="G55" s="50"/>
      <c r="H55" s="50"/>
      <c r="I55" s="50"/>
    </row>
    <row r="56" spans="2:9">
      <c r="B56" s="110"/>
      <c r="C56" s="12"/>
      <c r="D56" s="56"/>
      <c r="E56" s="50"/>
      <c r="F56" s="50"/>
      <c r="G56" s="50"/>
      <c r="H56" s="50"/>
      <c r="I56" s="50"/>
    </row>
    <row r="57" spans="2:9">
      <c r="B57" s="110"/>
      <c r="C57" s="12"/>
      <c r="D57" s="50"/>
      <c r="E57" s="50"/>
      <c r="F57" s="50"/>
      <c r="G57" s="50"/>
      <c r="H57" s="50"/>
      <c r="I57" s="50"/>
    </row>
    <row r="58" spans="2:9">
      <c r="B58" s="110"/>
      <c r="C58" s="12"/>
      <c r="D58" s="50"/>
      <c r="E58" s="50"/>
      <c r="F58" s="50"/>
      <c r="G58" s="50"/>
      <c r="H58" s="50"/>
      <c r="I58" s="50"/>
    </row>
    <row r="59" spans="2:9">
      <c r="B59" s="110"/>
      <c r="C59" s="12"/>
      <c r="D59" s="50"/>
      <c r="E59" s="50"/>
      <c r="F59" s="50"/>
      <c r="G59" s="50"/>
      <c r="H59" s="50"/>
      <c r="I59" s="50"/>
    </row>
    <row r="60" spans="2:9">
      <c r="B60" s="110"/>
      <c r="C60" s="12"/>
      <c r="D60" s="50"/>
      <c r="E60" s="50"/>
      <c r="F60" s="50"/>
      <c r="G60" s="50"/>
      <c r="H60" s="50"/>
      <c r="I60" s="50"/>
    </row>
    <row r="61" spans="2:9">
      <c r="B61" s="110"/>
      <c r="C61" s="12"/>
      <c r="D61" s="50"/>
      <c r="E61" s="50"/>
      <c r="F61" s="50"/>
      <c r="G61" s="50"/>
      <c r="H61" s="50"/>
      <c r="I61" s="50"/>
    </row>
    <row r="62" spans="2:9">
      <c r="B62" s="110"/>
      <c r="C62" s="12"/>
      <c r="D62" s="50"/>
      <c r="E62" s="50"/>
      <c r="F62" s="50"/>
      <c r="G62" s="50"/>
      <c r="H62" s="50"/>
      <c r="I62" s="50"/>
    </row>
    <row r="63" spans="2:9">
      <c r="B63" s="110"/>
      <c r="C63" s="12"/>
      <c r="D63" s="50"/>
      <c r="E63" s="50"/>
      <c r="F63" s="50"/>
      <c r="G63" s="50"/>
      <c r="H63" s="50"/>
      <c r="I63" s="50"/>
    </row>
    <row r="64" spans="2:9">
      <c r="B64" s="110"/>
      <c r="C64" s="12"/>
      <c r="D64" s="50"/>
      <c r="E64" s="50"/>
      <c r="F64" s="50"/>
      <c r="G64" s="50"/>
      <c r="H64" s="50"/>
      <c r="I64" s="50"/>
    </row>
    <row r="65" spans="2:9">
      <c r="B65" s="110"/>
      <c r="C65" s="12"/>
      <c r="D65" s="50"/>
      <c r="E65" s="50"/>
      <c r="F65" s="50"/>
      <c r="G65" s="50"/>
      <c r="H65" s="50"/>
      <c r="I65" s="50"/>
    </row>
    <row r="66" spans="2:9">
      <c r="B66" s="110"/>
      <c r="C66" s="12"/>
      <c r="D66" s="50"/>
      <c r="E66" s="50"/>
      <c r="F66" s="50"/>
      <c r="G66" s="50"/>
      <c r="H66" s="50"/>
      <c r="I66" s="50"/>
    </row>
    <row r="67" spans="2:9">
      <c r="B67" s="110"/>
      <c r="C67" s="12"/>
      <c r="D67" s="50"/>
      <c r="E67" s="50"/>
      <c r="F67" s="50"/>
      <c r="G67" s="50"/>
      <c r="H67" s="50"/>
      <c r="I67" s="50"/>
    </row>
    <row r="68" spans="2:9">
      <c r="B68" s="110"/>
      <c r="C68" s="12"/>
      <c r="D68" s="50"/>
      <c r="E68" s="50"/>
      <c r="F68" s="50"/>
      <c r="G68" s="50"/>
      <c r="H68" s="50"/>
      <c r="I68" s="50"/>
    </row>
    <row r="69" spans="2:9">
      <c r="B69" s="110"/>
      <c r="C69" s="12"/>
      <c r="D69" s="50"/>
      <c r="E69" s="50"/>
      <c r="F69" s="50"/>
      <c r="G69" s="50"/>
      <c r="H69" s="50"/>
      <c r="I69" s="50"/>
    </row>
    <row r="70" spans="2:9">
      <c r="B70" s="110"/>
      <c r="C70" s="12"/>
      <c r="D70" s="50"/>
      <c r="E70" s="50"/>
      <c r="F70" s="50"/>
      <c r="G70" s="50"/>
      <c r="H70" s="50"/>
      <c r="I70" s="50"/>
    </row>
    <row r="71" spans="2:9">
      <c r="B71" s="110"/>
      <c r="C71" s="12"/>
      <c r="D71" s="50"/>
      <c r="E71" s="50"/>
      <c r="F71" s="50"/>
      <c r="G71" s="50"/>
      <c r="H71" s="50"/>
      <c r="I71" s="50"/>
    </row>
    <row r="72" spans="2:9">
      <c r="B72" s="110"/>
      <c r="C72" s="12"/>
      <c r="D72" s="50"/>
      <c r="E72" s="50"/>
      <c r="F72" s="50"/>
      <c r="G72" s="50"/>
      <c r="H72" s="50"/>
      <c r="I72" s="50"/>
    </row>
    <row r="73" spans="2:9">
      <c r="B73" s="110"/>
      <c r="C73" s="12"/>
      <c r="D73" s="50"/>
      <c r="E73" s="50"/>
      <c r="F73" s="50"/>
      <c r="G73" s="50"/>
      <c r="H73" s="50"/>
      <c r="I73" s="50"/>
    </row>
    <row r="74" spans="2:9">
      <c r="B74" s="110"/>
      <c r="C74" s="12"/>
      <c r="D74" s="50"/>
      <c r="E74" s="50"/>
      <c r="F74" s="50"/>
      <c r="G74" s="50"/>
      <c r="H74" s="50"/>
      <c r="I74" s="50"/>
    </row>
    <row r="75" spans="2:9">
      <c r="B75" s="110"/>
      <c r="C75" s="12"/>
      <c r="D75" s="50"/>
      <c r="E75" s="50"/>
      <c r="F75" s="50"/>
      <c r="G75" s="50"/>
      <c r="H75" s="50"/>
      <c r="I75" s="50"/>
    </row>
    <row r="76" spans="2:9">
      <c r="B76" s="110"/>
      <c r="C76" s="12"/>
      <c r="D76" s="50"/>
      <c r="E76" s="50"/>
      <c r="F76" s="50"/>
      <c r="G76" s="50"/>
      <c r="H76" s="50"/>
      <c r="I76" s="50"/>
    </row>
    <row r="77" spans="2:9">
      <c r="B77" s="110"/>
      <c r="C77" s="12"/>
      <c r="D77" s="50"/>
      <c r="E77" s="50"/>
      <c r="F77" s="50"/>
      <c r="G77" s="50"/>
      <c r="H77" s="50"/>
      <c r="I77" s="50"/>
    </row>
    <row r="78" spans="2:9">
      <c r="B78" s="110"/>
      <c r="C78" s="12"/>
      <c r="D78" s="50"/>
      <c r="E78" s="50"/>
      <c r="F78" s="50"/>
      <c r="G78" s="50"/>
      <c r="H78" s="50"/>
      <c r="I78" s="50"/>
    </row>
    <row r="79" spans="2:9">
      <c r="B79" s="110"/>
      <c r="C79" s="12"/>
      <c r="D79" s="50"/>
      <c r="E79" s="50"/>
      <c r="F79" s="50"/>
      <c r="G79" s="50"/>
      <c r="H79" s="50"/>
      <c r="I79" s="50"/>
    </row>
    <row r="80" spans="2:9">
      <c r="B80" s="110"/>
      <c r="C80" s="12"/>
      <c r="D80" s="50"/>
      <c r="E80" s="50"/>
      <c r="F80" s="50"/>
      <c r="G80" s="50"/>
      <c r="H80" s="50"/>
      <c r="I80" s="50"/>
    </row>
    <row r="81" spans="2:9">
      <c r="B81" s="110"/>
      <c r="C81" s="12"/>
      <c r="D81" s="50"/>
      <c r="E81" s="50"/>
      <c r="F81" s="50"/>
      <c r="G81" s="50"/>
      <c r="H81" s="50"/>
      <c r="I81" s="50"/>
    </row>
    <row r="82" spans="2:9">
      <c r="B82" s="110"/>
      <c r="C82" s="12"/>
      <c r="D82" s="50"/>
      <c r="E82" s="50"/>
      <c r="F82" s="50"/>
      <c r="G82" s="50"/>
      <c r="H82" s="50"/>
      <c r="I82" s="50"/>
    </row>
    <row r="83" spans="2:9">
      <c r="B83" s="110"/>
      <c r="C83" s="12"/>
      <c r="D83" s="50"/>
      <c r="E83" s="50"/>
      <c r="F83" s="50"/>
      <c r="G83" s="50"/>
      <c r="H83" s="50"/>
      <c r="I83" s="50"/>
    </row>
    <row r="84" spans="2:9">
      <c r="B84" s="110"/>
      <c r="C84" s="12"/>
      <c r="D84" s="50"/>
      <c r="E84" s="50"/>
      <c r="F84" s="50"/>
      <c r="G84" s="50"/>
      <c r="H84" s="50"/>
      <c r="I84" s="50"/>
    </row>
    <row r="85" spans="2:9">
      <c r="B85" s="110"/>
      <c r="C85" s="12"/>
      <c r="D85" s="50"/>
      <c r="E85" s="50"/>
      <c r="F85" s="50"/>
      <c r="G85" s="50"/>
      <c r="H85" s="50"/>
      <c r="I85" s="50"/>
    </row>
    <row r="86" spans="2:9">
      <c r="B86" s="110"/>
      <c r="C86" s="12"/>
      <c r="D86" s="50"/>
      <c r="E86" s="50"/>
      <c r="F86" s="50"/>
      <c r="G86" s="50"/>
      <c r="H86" s="50"/>
      <c r="I86" s="50"/>
    </row>
    <row r="87" spans="2:9">
      <c r="B87" s="110"/>
      <c r="C87" s="12"/>
      <c r="D87" s="50"/>
      <c r="E87" s="50"/>
      <c r="F87" s="50"/>
      <c r="G87" s="50"/>
      <c r="H87" s="50"/>
      <c r="I87" s="50"/>
    </row>
    <row r="88" spans="2:9">
      <c r="B88" s="110"/>
      <c r="C88" s="12"/>
      <c r="D88" s="50"/>
      <c r="E88" s="50"/>
      <c r="F88" s="50"/>
      <c r="G88" s="50"/>
      <c r="H88" s="50"/>
      <c r="I88" s="50"/>
    </row>
    <row r="89" spans="2:9">
      <c r="B89" s="110"/>
      <c r="C89" s="12"/>
      <c r="D89" s="50"/>
      <c r="E89" s="50"/>
      <c r="F89" s="50"/>
      <c r="G89" s="50"/>
      <c r="H89" s="50"/>
      <c r="I89" s="50"/>
    </row>
    <row r="90" spans="2:9">
      <c r="B90" s="110"/>
      <c r="C90" s="12"/>
      <c r="D90" s="50"/>
      <c r="E90" s="50"/>
      <c r="F90" s="50"/>
      <c r="G90" s="50"/>
      <c r="H90" s="50"/>
      <c r="I90" s="50"/>
    </row>
    <row r="91" spans="2:9">
      <c r="B91" s="110"/>
      <c r="C91" s="12"/>
      <c r="D91" s="50"/>
      <c r="E91" s="50"/>
      <c r="F91" s="50"/>
      <c r="G91" s="50"/>
      <c r="H91" s="50"/>
      <c r="I91" s="50"/>
    </row>
    <row r="92" spans="2:9">
      <c r="B92" s="110"/>
      <c r="C92" s="12"/>
      <c r="D92" s="50"/>
      <c r="E92" s="50"/>
      <c r="F92" s="50"/>
      <c r="G92" s="50"/>
      <c r="H92" s="50"/>
      <c r="I92" s="50"/>
    </row>
    <row r="93" spans="2:9">
      <c r="B93" s="110"/>
      <c r="C93" s="12"/>
      <c r="D93" s="50"/>
      <c r="E93" s="50"/>
      <c r="F93" s="50"/>
      <c r="G93" s="50"/>
      <c r="H93" s="50"/>
      <c r="I93" s="50"/>
    </row>
    <row r="94" spans="2:9">
      <c r="B94" s="110"/>
      <c r="C94" s="12"/>
      <c r="D94" s="50"/>
      <c r="E94" s="50"/>
      <c r="F94" s="50"/>
      <c r="G94" s="50"/>
      <c r="H94" s="50"/>
      <c r="I94" s="50"/>
    </row>
    <row r="95" spans="2:9">
      <c r="B95" s="110"/>
      <c r="C95" s="12"/>
      <c r="D95" s="50"/>
      <c r="E95" s="50"/>
      <c r="F95" s="50"/>
      <c r="G95" s="50"/>
      <c r="H95" s="50"/>
      <c r="I95" s="50"/>
    </row>
    <row r="96" spans="2:9">
      <c r="B96" s="110"/>
      <c r="C96" s="12"/>
      <c r="D96" s="50"/>
      <c r="E96" s="50"/>
      <c r="F96" s="50"/>
      <c r="G96" s="50"/>
      <c r="H96" s="50"/>
      <c r="I96" s="50"/>
    </row>
    <row r="97" spans="2:9">
      <c r="B97" s="110"/>
      <c r="C97" s="12"/>
      <c r="D97" s="50"/>
      <c r="E97" s="50"/>
      <c r="F97" s="50"/>
      <c r="G97" s="50"/>
      <c r="H97" s="50"/>
      <c r="I97" s="50"/>
    </row>
    <row r="98" spans="2:9">
      <c r="B98" s="110"/>
      <c r="C98" s="12"/>
      <c r="D98" s="50"/>
      <c r="E98" s="50"/>
      <c r="F98" s="50"/>
      <c r="G98" s="50"/>
      <c r="H98" s="50"/>
      <c r="I98" s="50"/>
    </row>
    <row r="99" spans="2:9">
      <c r="B99" s="110"/>
      <c r="C99" s="12"/>
      <c r="D99" s="50"/>
      <c r="E99" s="50"/>
      <c r="F99" s="50"/>
      <c r="G99" s="50"/>
      <c r="H99" s="50"/>
      <c r="I99" s="50"/>
    </row>
    <row r="100" spans="2:9">
      <c r="B100" s="110"/>
      <c r="C100" s="12"/>
      <c r="D100" s="50"/>
      <c r="E100" s="50"/>
      <c r="F100" s="50"/>
      <c r="G100" s="50"/>
      <c r="H100" s="50"/>
      <c r="I100" s="50"/>
    </row>
    <row r="101" spans="2:9">
      <c r="B101" s="110"/>
      <c r="C101" s="12"/>
      <c r="D101" s="50"/>
      <c r="E101" s="50"/>
      <c r="F101" s="50"/>
      <c r="G101" s="50"/>
      <c r="H101" s="50"/>
      <c r="I101" s="50"/>
    </row>
    <row r="102" spans="2:9">
      <c r="B102" s="110"/>
      <c r="C102" s="12"/>
      <c r="D102" s="50"/>
      <c r="E102" s="50"/>
      <c r="F102" s="50"/>
      <c r="G102" s="50"/>
      <c r="H102" s="50"/>
      <c r="I102" s="50"/>
    </row>
    <row r="103" spans="2:9">
      <c r="B103" s="110"/>
      <c r="C103" s="12"/>
      <c r="D103" s="50"/>
      <c r="E103" s="50"/>
      <c r="F103" s="50"/>
      <c r="G103" s="50"/>
      <c r="H103" s="50"/>
      <c r="I103" s="50"/>
    </row>
    <row r="104" spans="2:9">
      <c r="B104" s="110"/>
      <c r="C104" s="12"/>
      <c r="D104" s="50"/>
      <c r="E104" s="50"/>
      <c r="F104" s="50"/>
      <c r="G104" s="50"/>
      <c r="H104" s="50"/>
      <c r="I104" s="50"/>
    </row>
    <row r="105" spans="2:9">
      <c r="B105" s="110"/>
      <c r="C105" s="12"/>
      <c r="D105" s="50"/>
      <c r="E105" s="50"/>
      <c r="F105" s="50"/>
      <c r="G105" s="50"/>
      <c r="H105" s="50"/>
      <c r="I105" s="50"/>
    </row>
    <row r="106" spans="2:9">
      <c r="B106" s="110"/>
      <c r="C106" s="12"/>
      <c r="D106" s="50"/>
      <c r="E106" s="50"/>
      <c r="F106" s="50"/>
      <c r="G106" s="50"/>
      <c r="H106" s="50"/>
      <c r="I106" s="50"/>
    </row>
    <row r="107" spans="2:9">
      <c r="B107" s="110"/>
      <c r="C107" s="12"/>
      <c r="D107" s="50"/>
      <c r="E107" s="50"/>
      <c r="F107" s="50"/>
      <c r="G107" s="50"/>
      <c r="H107" s="50"/>
      <c r="I107" s="50"/>
    </row>
    <row r="108" spans="2:9">
      <c r="B108" s="110"/>
      <c r="C108" s="12"/>
      <c r="D108" s="50"/>
      <c r="E108" s="50"/>
      <c r="F108" s="50"/>
      <c r="G108" s="50"/>
      <c r="H108" s="50"/>
      <c r="I108" s="50"/>
    </row>
    <row r="109" spans="2:9">
      <c r="B109" s="110"/>
      <c r="C109" s="12"/>
      <c r="D109" s="50"/>
      <c r="E109" s="50"/>
      <c r="F109" s="50"/>
      <c r="G109" s="50"/>
      <c r="H109" s="50"/>
      <c r="I109" s="50"/>
    </row>
    <row r="110" spans="2:9">
      <c r="B110" s="110"/>
      <c r="C110" s="12"/>
      <c r="D110" s="50"/>
      <c r="E110" s="50"/>
      <c r="F110" s="50"/>
      <c r="G110" s="50"/>
      <c r="H110" s="50"/>
      <c r="I110" s="50"/>
    </row>
    <row r="111" spans="2:9">
      <c r="B111" s="110"/>
      <c r="C111" s="12"/>
      <c r="D111" s="50"/>
      <c r="E111" s="50"/>
      <c r="F111" s="50"/>
      <c r="G111" s="50"/>
      <c r="H111" s="50"/>
      <c r="I111" s="50"/>
    </row>
    <row r="112" spans="2:9">
      <c r="B112" s="110"/>
      <c r="C112" s="12"/>
      <c r="D112" s="50"/>
      <c r="E112" s="50"/>
      <c r="F112" s="50"/>
      <c r="G112" s="50"/>
      <c r="H112" s="50"/>
      <c r="I112" s="50"/>
    </row>
    <row r="113" spans="2:9">
      <c r="B113" s="110"/>
      <c r="C113" s="12"/>
      <c r="D113" s="50"/>
      <c r="E113" s="50"/>
      <c r="F113" s="50"/>
      <c r="G113" s="50"/>
      <c r="H113" s="50"/>
      <c r="I113" s="50"/>
    </row>
    <row r="114" spans="2:9">
      <c r="B114" s="110"/>
      <c r="C114" s="12"/>
      <c r="D114" s="50"/>
      <c r="E114" s="50"/>
      <c r="F114" s="50"/>
      <c r="G114" s="50"/>
      <c r="H114" s="50"/>
      <c r="I114" s="50"/>
    </row>
    <row r="115" spans="2:9">
      <c r="B115" s="110"/>
      <c r="C115" s="12"/>
      <c r="D115" s="50"/>
      <c r="E115" s="50"/>
      <c r="F115" s="50"/>
      <c r="G115" s="50"/>
      <c r="H115" s="50"/>
      <c r="I115" s="50"/>
    </row>
    <row r="116" spans="2:9">
      <c r="B116" s="110"/>
      <c r="C116" s="12"/>
      <c r="D116" s="50"/>
      <c r="E116" s="50"/>
      <c r="F116" s="50"/>
      <c r="G116" s="50"/>
      <c r="H116" s="50"/>
      <c r="I116" s="50"/>
    </row>
    <row r="117" spans="2:9">
      <c r="B117" s="110"/>
      <c r="C117" s="12"/>
      <c r="D117" s="50"/>
      <c r="E117" s="50"/>
      <c r="F117" s="50"/>
      <c r="G117" s="50"/>
      <c r="H117" s="50"/>
      <c r="I117" s="50"/>
    </row>
    <row r="118" spans="2:9">
      <c r="B118" s="110"/>
      <c r="C118" s="12"/>
      <c r="D118" s="50"/>
      <c r="E118" s="50"/>
      <c r="F118" s="50"/>
      <c r="G118" s="50"/>
      <c r="H118" s="50"/>
      <c r="I118" s="50"/>
    </row>
    <row r="119" spans="2:9">
      <c r="B119" s="110"/>
      <c r="C119" s="12"/>
      <c r="D119" s="50"/>
      <c r="E119" s="50"/>
      <c r="F119" s="50"/>
      <c r="G119" s="50"/>
      <c r="H119" s="50"/>
      <c r="I119" s="50"/>
    </row>
    <row r="120" spans="2:9">
      <c r="B120" s="110"/>
      <c r="C120" s="12"/>
      <c r="D120" s="50"/>
      <c r="E120" s="50"/>
      <c r="F120" s="50"/>
      <c r="G120" s="50"/>
      <c r="H120" s="50"/>
      <c r="I120" s="50"/>
    </row>
    <row r="121" spans="2:9">
      <c r="B121" s="110"/>
      <c r="C121" s="12"/>
      <c r="D121" s="50"/>
      <c r="E121" s="50"/>
      <c r="F121" s="50"/>
      <c r="G121" s="50"/>
      <c r="H121" s="50"/>
      <c r="I121" s="50"/>
    </row>
    <row r="122" spans="2:9">
      <c r="B122" s="110"/>
      <c r="C122" s="12"/>
      <c r="D122" s="50"/>
      <c r="E122" s="50"/>
      <c r="F122" s="50"/>
      <c r="G122" s="50"/>
      <c r="H122" s="50"/>
      <c r="I122" s="50"/>
    </row>
    <row r="123" spans="2:9">
      <c r="B123" s="110"/>
      <c r="C123" s="12"/>
      <c r="D123" s="50"/>
      <c r="E123" s="50"/>
      <c r="F123" s="50"/>
      <c r="G123" s="50"/>
      <c r="H123" s="50"/>
      <c r="I123" s="50"/>
    </row>
    <row r="124" spans="2:9">
      <c r="B124" s="110"/>
      <c r="C124" s="12"/>
      <c r="D124" s="50"/>
      <c r="E124" s="50"/>
      <c r="F124" s="50"/>
      <c r="G124" s="50"/>
      <c r="H124" s="50"/>
      <c r="I124" s="50"/>
    </row>
    <row r="125" spans="2:9">
      <c r="B125" s="110"/>
      <c r="C125" s="12"/>
      <c r="D125" s="50"/>
      <c r="E125" s="50"/>
      <c r="F125" s="50"/>
      <c r="G125" s="50"/>
      <c r="H125" s="50"/>
      <c r="I125" s="50"/>
    </row>
    <row r="126" spans="2:9">
      <c r="B126" s="110"/>
      <c r="C126" s="12"/>
      <c r="D126" s="50"/>
      <c r="E126" s="50"/>
      <c r="F126" s="50"/>
      <c r="G126" s="50"/>
      <c r="H126" s="50"/>
      <c r="I126" s="50"/>
    </row>
    <row r="127" spans="2:9">
      <c r="B127" s="110"/>
      <c r="C127" s="12"/>
      <c r="D127" s="50"/>
      <c r="E127" s="50"/>
      <c r="F127" s="50"/>
      <c r="G127" s="50"/>
      <c r="H127" s="50"/>
      <c r="I127" s="50"/>
    </row>
    <row r="128" spans="2:9">
      <c r="B128" s="110"/>
      <c r="C128" s="12"/>
      <c r="D128" s="50"/>
      <c r="E128" s="50"/>
      <c r="F128" s="50"/>
      <c r="G128" s="50"/>
      <c r="H128" s="50"/>
      <c r="I128" s="50"/>
    </row>
    <row r="129" spans="2:9">
      <c r="B129" s="110"/>
      <c r="C129" s="12"/>
      <c r="D129" s="50"/>
      <c r="E129" s="50"/>
      <c r="F129" s="50"/>
      <c r="G129" s="50"/>
      <c r="H129" s="50"/>
      <c r="I129" s="50"/>
    </row>
    <row r="130" spans="2:9">
      <c r="B130" s="110"/>
      <c r="C130" s="12"/>
      <c r="D130" s="50"/>
      <c r="E130" s="50"/>
      <c r="F130" s="50"/>
      <c r="G130" s="50"/>
      <c r="H130" s="50"/>
      <c r="I130" s="50"/>
    </row>
    <row r="131" spans="2:9">
      <c r="B131" s="110"/>
      <c r="C131" s="12"/>
      <c r="D131" s="50"/>
      <c r="E131" s="50"/>
      <c r="F131" s="50"/>
      <c r="G131" s="50"/>
      <c r="H131" s="50"/>
      <c r="I131" s="50"/>
    </row>
    <row r="132" spans="2:9">
      <c r="B132" s="110"/>
      <c r="C132" s="12"/>
      <c r="D132" s="50"/>
      <c r="E132" s="50"/>
      <c r="F132" s="50"/>
      <c r="G132" s="50"/>
      <c r="H132" s="50"/>
      <c r="I132" s="50"/>
    </row>
    <row r="133" spans="2:9">
      <c r="B133" s="110"/>
      <c r="C133" s="12"/>
      <c r="D133" s="50"/>
      <c r="E133" s="50"/>
      <c r="F133" s="50"/>
      <c r="G133" s="50"/>
      <c r="H133" s="50"/>
      <c r="I133" s="50"/>
    </row>
    <row r="134" spans="2:9">
      <c r="B134" s="110"/>
      <c r="C134" s="12"/>
      <c r="D134" s="50"/>
      <c r="E134" s="50"/>
      <c r="F134" s="50"/>
      <c r="G134" s="50"/>
      <c r="H134" s="50"/>
      <c r="I134" s="50"/>
    </row>
    <row r="135" spans="2:9">
      <c r="B135" s="110"/>
      <c r="C135" s="12"/>
      <c r="D135" s="50"/>
      <c r="E135" s="50"/>
      <c r="F135" s="50"/>
      <c r="G135" s="50"/>
      <c r="H135" s="50"/>
      <c r="I135" s="50"/>
    </row>
    <row r="136" spans="2:9">
      <c r="B136" s="110"/>
      <c r="C136" s="12"/>
      <c r="D136" s="50"/>
      <c r="E136" s="50"/>
      <c r="F136" s="50"/>
      <c r="G136" s="50"/>
      <c r="H136" s="50"/>
      <c r="I136" s="50"/>
    </row>
    <row r="137" spans="2:9">
      <c r="B137" s="110"/>
      <c r="C137" s="12"/>
      <c r="D137" s="50"/>
      <c r="E137" s="50"/>
      <c r="F137" s="50"/>
      <c r="G137" s="50"/>
      <c r="H137" s="50"/>
      <c r="I137" s="50"/>
    </row>
    <row r="138" spans="2:9">
      <c r="B138" s="110"/>
      <c r="C138" s="12"/>
      <c r="D138" s="50"/>
      <c r="E138" s="50"/>
      <c r="F138" s="50"/>
      <c r="G138" s="50"/>
      <c r="H138" s="50"/>
      <c r="I138" s="50"/>
    </row>
    <row r="139" spans="2:9">
      <c r="B139" s="110"/>
      <c r="C139" s="12"/>
      <c r="D139" s="50"/>
      <c r="E139" s="50"/>
      <c r="F139" s="50"/>
      <c r="G139" s="50"/>
      <c r="H139" s="50"/>
      <c r="I139" s="50"/>
    </row>
    <row r="140" spans="2:9">
      <c r="B140" s="110"/>
      <c r="C140" s="12"/>
      <c r="D140" s="50"/>
      <c r="E140" s="50"/>
      <c r="F140" s="50"/>
      <c r="G140" s="50"/>
      <c r="H140" s="50"/>
      <c r="I140" s="50"/>
    </row>
    <row r="141" spans="2:9">
      <c r="B141" s="110"/>
      <c r="C141" s="12"/>
      <c r="D141" s="50"/>
      <c r="E141" s="50"/>
      <c r="F141" s="50"/>
      <c r="G141" s="50"/>
      <c r="H141" s="50"/>
      <c r="I141" s="50"/>
    </row>
    <row r="142" spans="2:9">
      <c r="B142" s="110"/>
      <c r="C142" s="12"/>
      <c r="D142" s="50"/>
      <c r="E142" s="50"/>
      <c r="F142" s="50"/>
      <c r="G142" s="50"/>
      <c r="H142" s="50"/>
      <c r="I142" s="50"/>
    </row>
    <row r="143" spans="2:9">
      <c r="B143" s="110"/>
      <c r="C143" s="12"/>
      <c r="D143" s="50"/>
      <c r="E143" s="50"/>
      <c r="F143" s="50"/>
      <c r="G143" s="50"/>
      <c r="H143" s="50"/>
      <c r="I143" s="50"/>
    </row>
    <row r="144" spans="2:9">
      <c r="B144" s="110"/>
      <c r="C144" s="12"/>
      <c r="D144" s="50"/>
      <c r="E144" s="50"/>
      <c r="F144" s="50"/>
      <c r="G144" s="50"/>
      <c r="H144" s="50"/>
      <c r="I144" s="50"/>
    </row>
    <row r="145" spans="2:9">
      <c r="B145" s="110"/>
      <c r="C145" s="12"/>
      <c r="D145" s="50"/>
      <c r="E145" s="50"/>
      <c r="F145" s="50"/>
      <c r="G145" s="50"/>
      <c r="H145" s="50"/>
      <c r="I145" s="50"/>
    </row>
    <row r="146" spans="2:9">
      <c r="B146" s="110"/>
      <c r="C146" s="12"/>
      <c r="D146" s="50"/>
      <c r="E146" s="50"/>
      <c r="F146" s="50"/>
      <c r="G146" s="50"/>
      <c r="H146" s="50"/>
      <c r="I146" s="50"/>
    </row>
    <row r="147" spans="2:9">
      <c r="B147" s="110"/>
      <c r="C147" s="12"/>
      <c r="D147" s="50"/>
      <c r="E147" s="50"/>
      <c r="F147" s="50"/>
      <c r="G147" s="50"/>
      <c r="H147" s="50"/>
      <c r="I147" s="50"/>
    </row>
    <row r="148" spans="2:9">
      <c r="B148" s="110"/>
      <c r="C148" s="12"/>
      <c r="D148" s="50"/>
      <c r="E148" s="50"/>
      <c r="F148" s="50"/>
      <c r="G148" s="50"/>
      <c r="H148" s="50"/>
      <c r="I148" s="50"/>
    </row>
    <row r="149" spans="2:9">
      <c r="B149" s="110"/>
      <c r="C149" s="12"/>
      <c r="D149" s="50"/>
      <c r="E149" s="50"/>
      <c r="F149" s="50"/>
      <c r="G149" s="50"/>
      <c r="H149" s="50"/>
      <c r="I149" s="50"/>
    </row>
    <row r="150" spans="2:9">
      <c r="B150" s="110"/>
      <c r="C150" s="12"/>
      <c r="D150" s="50"/>
      <c r="E150" s="50"/>
      <c r="F150" s="50"/>
      <c r="G150" s="50"/>
      <c r="H150" s="50"/>
      <c r="I150" s="50"/>
    </row>
    <row r="151" spans="2:9">
      <c r="B151" s="110"/>
      <c r="C151" s="12"/>
      <c r="D151" s="50"/>
      <c r="E151" s="50"/>
      <c r="F151" s="50"/>
      <c r="G151" s="50"/>
      <c r="H151" s="50"/>
      <c r="I151" s="50"/>
    </row>
    <row r="152" spans="2:9">
      <c r="B152" s="110"/>
      <c r="C152" s="12"/>
      <c r="D152" s="50"/>
      <c r="E152" s="50"/>
      <c r="F152" s="50"/>
      <c r="G152" s="50"/>
      <c r="H152" s="50"/>
      <c r="I152" s="50"/>
    </row>
    <row r="153" spans="2:9">
      <c r="B153" s="110"/>
      <c r="C153" s="12"/>
      <c r="D153" s="50"/>
      <c r="E153" s="50"/>
      <c r="F153" s="50"/>
      <c r="G153" s="50"/>
      <c r="H153" s="50"/>
      <c r="I153" s="50"/>
    </row>
    <row r="154" spans="2:9">
      <c r="B154" s="110"/>
      <c r="C154" s="12"/>
      <c r="D154" s="50"/>
      <c r="E154" s="50"/>
      <c r="F154" s="50"/>
      <c r="G154" s="50"/>
      <c r="H154" s="50"/>
      <c r="I154" s="50"/>
    </row>
    <row r="155" spans="2:9">
      <c r="B155" s="110"/>
      <c r="C155" s="12"/>
      <c r="D155" s="50"/>
      <c r="E155" s="50"/>
      <c r="F155" s="50"/>
      <c r="G155" s="50"/>
      <c r="H155" s="50"/>
      <c r="I155" s="50"/>
    </row>
    <row r="156" spans="2:9">
      <c r="B156" s="110"/>
      <c r="C156" s="12"/>
      <c r="D156" s="50"/>
      <c r="E156" s="50"/>
      <c r="F156" s="50"/>
      <c r="G156" s="50"/>
      <c r="H156" s="50"/>
      <c r="I156" s="50"/>
    </row>
    <row r="157" spans="2:9">
      <c r="B157" s="110"/>
      <c r="C157" s="12"/>
      <c r="D157" s="50"/>
      <c r="E157" s="50"/>
      <c r="F157" s="50"/>
      <c r="G157" s="50"/>
      <c r="H157" s="50"/>
      <c r="I157" s="50"/>
    </row>
    <row r="158" spans="2:9">
      <c r="B158" s="110"/>
      <c r="C158" s="12"/>
      <c r="D158" s="50"/>
      <c r="E158" s="50"/>
      <c r="F158" s="50"/>
      <c r="G158" s="50"/>
      <c r="H158" s="50"/>
      <c r="I158" s="50"/>
    </row>
    <row r="159" spans="2:9">
      <c r="B159" s="110"/>
      <c r="C159" s="12"/>
      <c r="D159" s="50"/>
      <c r="E159" s="50"/>
      <c r="F159" s="50"/>
      <c r="G159" s="50"/>
      <c r="H159" s="50"/>
      <c r="I159" s="50"/>
    </row>
    <row r="160" spans="2:9">
      <c r="B160" s="110"/>
      <c r="C160" s="12"/>
      <c r="D160" s="50"/>
      <c r="E160" s="50"/>
      <c r="F160" s="50"/>
      <c r="G160" s="50"/>
      <c r="H160" s="50"/>
      <c r="I160" s="50"/>
    </row>
    <row r="161" spans="2:9">
      <c r="B161" s="110"/>
      <c r="C161" s="12"/>
      <c r="D161" s="50"/>
      <c r="E161" s="50"/>
      <c r="F161" s="50"/>
      <c r="G161" s="50"/>
      <c r="H161" s="50"/>
      <c r="I161" s="50"/>
    </row>
    <row r="162" spans="2:9">
      <c r="B162" s="110"/>
      <c r="C162" s="12"/>
      <c r="D162" s="50"/>
      <c r="E162" s="50"/>
      <c r="F162" s="50"/>
      <c r="G162" s="50"/>
      <c r="H162" s="50"/>
      <c r="I162" s="50"/>
    </row>
    <row r="163" spans="2:9">
      <c r="B163" s="110"/>
      <c r="C163" s="12"/>
      <c r="D163" s="50"/>
      <c r="E163" s="50"/>
      <c r="F163" s="50"/>
      <c r="G163" s="50"/>
      <c r="H163" s="50"/>
      <c r="I163" s="50"/>
    </row>
    <row r="164" spans="2:9">
      <c r="B164" s="110"/>
      <c r="C164" s="12"/>
      <c r="D164" s="50"/>
      <c r="E164" s="50"/>
      <c r="F164" s="50"/>
      <c r="G164" s="50"/>
      <c r="H164" s="50"/>
      <c r="I164" s="50"/>
    </row>
    <row r="165" spans="2:9">
      <c r="B165" s="110"/>
      <c r="C165" s="12"/>
      <c r="D165" s="50"/>
      <c r="E165" s="50"/>
      <c r="F165" s="50"/>
      <c r="G165" s="50"/>
      <c r="H165" s="50"/>
      <c r="I165" s="50"/>
    </row>
    <row r="166" spans="2:9">
      <c r="B166" s="110"/>
      <c r="C166" s="12"/>
      <c r="D166" s="50"/>
      <c r="E166" s="50"/>
      <c r="F166" s="50"/>
      <c r="G166" s="50"/>
      <c r="H166" s="50"/>
      <c r="I166" s="50"/>
    </row>
    <row r="167" spans="2:9">
      <c r="B167" s="110"/>
      <c r="C167" s="12"/>
      <c r="D167" s="50"/>
      <c r="E167" s="50"/>
      <c r="F167" s="50"/>
      <c r="G167" s="50"/>
      <c r="H167" s="50"/>
      <c r="I167" s="50"/>
    </row>
    <row r="168" spans="2:9">
      <c r="B168" s="110"/>
      <c r="C168" s="12"/>
      <c r="D168" s="50"/>
      <c r="E168" s="50"/>
      <c r="F168" s="50"/>
      <c r="G168" s="50"/>
      <c r="H168" s="50"/>
      <c r="I168" s="50"/>
    </row>
    <row r="169" spans="2:9">
      <c r="B169" s="110"/>
      <c r="C169" s="12"/>
      <c r="D169" s="50"/>
      <c r="E169" s="50"/>
      <c r="F169" s="50"/>
      <c r="G169" s="50"/>
      <c r="H169" s="50"/>
      <c r="I169" s="50"/>
    </row>
    <row r="170" spans="2:9">
      <c r="B170" s="110"/>
      <c r="C170" s="12"/>
      <c r="D170" s="50"/>
      <c r="E170" s="50"/>
      <c r="F170" s="50"/>
      <c r="G170" s="50"/>
      <c r="H170" s="50"/>
      <c r="I170" s="50"/>
    </row>
    <row r="171" spans="2:9">
      <c r="B171" s="110"/>
      <c r="C171" s="12"/>
      <c r="D171" s="50"/>
      <c r="E171" s="50"/>
      <c r="F171" s="50"/>
      <c r="G171" s="50"/>
      <c r="H171" s="50"/>
      <c r="I171" s="50"/>
    </row>
    <row r="172" spans="2:9">
      <c r="B172" s="110"/>
      <c r="C172" s="12"/>
      <c r="D172" s="50"/>
      <c r="E172" s="50"/>
      <c r="F172" s="50"/>
      <c r="G172" s="50"/>
      <c r="H172" s="50"/>
      <c r="I172" s="50"/>
    </row>
    <row r="173" spans="2:9">
      <c r="B173" s="110"/>
      <c r="C173" s="12"/>
      <c r="D173" s="50"/>
      <c r="E173" s="50"/>
      <c r="F173" s="50"/>
      <c r="G173" s="50"/>
      <c r="H173" s="50"/>
      <c r="I173" s="50"/>
    </row>
    <row r="174" spans="2:9">
      <c r="B174" s="110"/>
      <c r="C174" s="12"/>
      <c r="D174" s="50"/>
      <c r="E174" s="50"/>
      <c r="F174" s="50"/>
      <c r="G174" s="50"/>
      <c r="H174" s="50"/>
      <c r="I174" s="50"/>
    </row>
    <row r="175" spans="2:9">
      <c r="B175" s="110"/>
      <c r="C175" s="12"/>
      <c r="D175" s="50"/>
      <c r="E175" s="50"/>
      <c r="F175" s="50"/>
      <c r="G175" s="50"/>
      <c r="H175" s="50"/>
      <c r="I175" s="50"/>
    </row>
    <row r="176" spans="2:9">
      <c r="B176" s="110"/>
      <c r="C176" s="12"/>
      <c r="D176" s="50"/>
      <c r="E176" s="50"/>
      <c r="F176" s="50"/>
      <c r="G176" s="50"/>
      <c r="H176" s="50"/>
      <c r="I176" s="50"/>
    </row>
    <row r="177" spans="2:9">
      <c r="B177" s="110"/>
      <c r="C177" s="12"/>
      <c r="D177" s="50"/>
      <c r="E177" s="50"/>
      <c r="F177" s="50"/>
      <c r="G177" s="50"/>
      <c r="H177" s="50"/>
      <c r="I177" s="50"/>
    </row>
    <row r="178" spans="2:9">
      <c r="B178" s="110"/>
      <c r="C178" s="12"/>
      <c r="D178" s="50"/>
      <c r="E178" s="50"/>
      <c r="F178" s="50"/>
      <c r="G178" s="50"/>
      <c r="H178" s="50"/>
      <c r="I178" s="50"/>
    </row>
    <row r="179" spans="2:9">
      <c r="B179" s="110"/>
      <c r="C179" s="12"/>
      <c r="D179" s="50"/>
      <c r="E179" s="50"/>
      <c r="F179" s="50"/>
      <c r="G179" s="50"/>
      <c r="H179" s="50"/>
      <c r="I179" s="50"/>
    </row>
    <row r="180" spans="2:9">
      <c r="B180" s="110"/>
      <c r="C180" s="12"/>
      <c r="D180" s="50"/>
      <c r="E180" s="50"/>
      <c r="F180" s="50"/>
      <c r="G180" s="50"/>
      <c r="H180" s="50"/>
      <c r="I180" s="50"/>
    </row>
    <row r="181" spans="2:9">
      <c r="B181" s="110"/>
      <c r="C181" s="12"/>
      <c r="D181" s="50"/>
      <c r="E181" s="50"/>
      <c r="F181" s="50"/>
      <c r="G181" s="50"/>
      <c r="H181" s="50"/>
      <c r="I181" s="50"/>
    </row>
    <row r="182" spans="2:9">
      <c r="B182" s="110"/>
      <c r="C182" s="12"/>
      <c r="D182" s="50"/>
      <c r="E182" s="50"/>
      <c r="F182" s="50"/>
      <c r="G182" s="50"/>
      <c r="H182" s="50"/>
      <c r="I182" s="50"/>
    </row>
    <row r="183" spans="2:9">
      <c r="B183" s="110"/>
      <c r="C183" s="12"/>
      <c r="D183" s="50"/>
      <c r="E183" s="50"/>
      <c r="F183" s="50"/>
      <c r="G183" s="50"/>
      <c r="H183" s="50"/>
      <c r="I183" s="50"/>
    </row>
    <row r="184" spans="2:9">
      <c r="B184" s="110"/>
      <c r="C184" s="12"/>
      <c r="D184" s="50"/>
      <c r="E184" s="50"/>
      <c r="F184" s="50"/>
      <c r="G184" s="50"/>
      <c r="H184" s="50"/>
      <c r="I184" s="50"/>
    </row>
    <row r="185" spans="2:9">
      <c r="B185" s="110"/>
      <c r="C185" s="12"/>
      <c r="D185" s="50"/>
      <c r="E185" s="50"/>
      <c r="F185" s="50"/>
      <c r="G185" s="50"/>
      <c r="H185" s="50"/>
      <c r="I185" s="50"/>
    </row>
    <row r="186" spans="2:9">
      <c r="B186" s="110"/>
      <c r="C186" s="12"/>
      <c r="D186" s="50"/>
      <c r="E186" s="50"/>
      <c r="F186" s="50"/>
      <c r="G186" s="50"/>
      <c r="H186" s="50"/>
      <c r="I186" s="50"/>
    </row>
    <row r="187" spans="2:9">
      <c r="B187" s="110"/>
      <c r="C187" s="12"/>
      <c r="D187" s="50"/>
      <c r="E187" s="50"/>
      <c r="F187" s="50"/>
      <c r="G187" s="50"/>
      <c r="H187" s="50"/>
      <c r="I187" s="50"/>
    </row>
    <row r="188" spans="2:9">
      <c r="B188" s="110"/>
      <c r="C188" s="12"/>
      <c r="D188" s="50"/>
      <c r="E188" s="50"/>
      <c r="F188" s="50"/>
      <c r="G188" s="50"/>
      <c r="H188" s="50"/>
      <c r="I188" s="50"/>
    </row>
    <row r="189" spans="2:9">
      <c r="B189" s="110"/>
      <c r="C189" s="12"/>
      <c r="D189" s="50"/>
      <c r="E189" s="50"/>
      <c r="F189" s="50"/>
      <c r="G189" s="50"/>
      <c r="H189" s="50"/>
      <c r="I189" s="50"/>
    </row>
    <row r="190" spans="2:9">
      <c r="B190" s="110"/>
      <c r="C190" s="12"/>
      <c r="D190" s="50"/>
      <c r="E190" s="50"/>
      <c r="F190" s="50"/>
      <c r="G190" s="50"/>
      <c r="H190" s="50"/>
      <c r="I190" s="50"/>
    </row>
    <row r="191" spans="2:9">
      <c r="B191" s="110"/>
      <c r="C191" s="12"/>
      <c r="D191" s="50"/>
      <c r="E191" s="50"/>
      <c r="F191" s="50"/>
      <c r="G191" s="50"/>
      <c r="H191" s="50"/>
      <c r="I191" s="50"/>
    </row>
    <row r="192" spans="2:9">
      <c r="B192" s="110"/>
      <c r="C192" s="12"/>
      <c r="D192" s="50"/>
      <c r="E192" s="50"/>
      <c r="F192" s="50"/>
      <c r="G192" s="50"/>
      <c r="H192" s="50"/>
      <c r="I192" s="50"/>
    </row>
    <row r="193" spans="2:9">
      <c r="B193" s="110"/>
      <c r="C193" s="12"/>
      <c r="D193" s="50"/>
      <c r="E193" s="50"/>
      <c r="F193" s="50"/>
      <c r="G193" s="50"/>
      <c r="H193" s="50"/>
      <c r="I193" s="50"/>
    </row>
    <row r="194" spans="2:9">
      <c r="B194" s="110"/>
      <c r="C194" s="12"/>
      <c r="D194" s="50"/>
      <c r="E194" s="50"/>
      <c r="F194" s="50"/>
      <c r="G194" s="50"/>
      <c r="H194" s="50"/>
      <c r="I194" s="50"/>
    </row>
    <row r="195" spans="2:9">
      <c r="B195" s="110"/>
      <c r="C195" s="12"/>
      <c r="D195" s="50"/>
      <c r="E195" s="50"/>
      <c r="F195" s="50"/>
      <c r="G195" s="50"/>
      <c r="H195" s="50"/>
      <c r="I195" s="50"/>
    </row>
    <row r="196" spans="2:9">
      <c r="B196" s="110"/>
      <c r="C196" s="12"/>
      <c r="D196" s="50"/>
      <c r="E196" s="50"/>
      <c r="F196" s="50"/>
      <c r="G196" s="50"/>
      <c r="H196" s="50"/>
      <c r="I196" s="50"/>
    </row>
    <row r="197" spans="2:9">
      <c r="B197" s="110"/>
      <c r="C197" s="12"/>
      <c r="D197" s="50"/>
      <c r="E197" s="50"/>
      <c r="F197" s="50"/>
      <c r="G197" s="50"/>
      <c r="H197" s="50"/>
      <c r="I197" s="50"/>
    </row>
    <row r="198" spans="2:9">
      <c r="B198" s="110"/>
      <c r="C198" s="12"/>
      <c r="D198" s="50"/>
      <c r="E198" s="50"/>
      <c r="F198" s="50"/>
      <c r="G198" s="50"/>
      <c r="H198" s="50"/>
      <c r="I198" s="50"/>
    </row>
    <row r="199" spans="2:9">
      <c r="B199" s="110"/>
      <c r="C199" s="12"/>
      <c r="D199" s="50"/>
      <c r="E199" s="50"/>
      <c r="F199" s="50"/>
      <c r="G199" s="50"/>
      <c r="H199" s="50"/>
      <c r="I199" s="50"/>
    </row>
    <row r="200" spans="2:9">
      <c r="B200" s="110"/>
      <c r="C200" s="12"/>
      <c r="D200" s="50"/>
      <c r="E200" s="50"/>
      <c r="F200" s="50"/>
      <c r="G200" s="50"/>
      <c r="H200" s="50"/>
      <c r="I200" s="50"/>
    </row>
    <row r="201" spans="2:9">
      <c r="B201" s="110"/>
      <c r="C201" s="12"/>
      <c r="D201" s="50"/>
      <c r="E201" s="50"/>
      <c r="F201" s="50"/>
      <c r="G201" s="50"/>
      <c r="H201" s="50"/>
      <c r="I201" s="50"/>
    </row>
    <row r="202" spans="2:9">
      <c r="B202" s="110"/>
      <c r="C202" s="12"/>
      <c r="D202" s="50"/>
      <c r="E202" s="50"/>
      <c r="F202" s="50"/>
      <c r="G202" s="50"/>
      <c r="H202" s="50"/>
      <c r="I202" s="50"/>
    </row>
    <row r="203" spans="2:9">
      <c r="B203" s="110"/>
      <c r="C203" s="12"/>
      <c r="D203" s="50"/>
      <c r="E203" s="50"/>
      <c r="F203" s="50"/>
      <c r="G203" s="50"/>
      <c r="H203" s="50"/>
      <c r="I203" s="50"/>
    </row>
    <row r="204" spans="2:9">
      <c r="B204" s="110"/>
      <c r="C204" s="12"/>
      <c r="D204" s="50"/>
      <c r="E204" s="50"/>
      <c r="F204" s="50"/>
      <c r="G204" s="50"/>
      <c r="H204" s="50"/>
      <c r="I204" s="50"/>
    </row>
    <row r="205" spans="2:9">
      <c r="B205" s="110"/>
      <c r="C205" s="12"/>
      <c r="D205" s="50"/>
      <c r="E205" s="50"/>
      <c r="F205" s="50"/>
      <c r="G205" s="50"/>
      <c r="H205" s="50"/>
      <c r="I205" s="50"/>
    </row>
    <row r="206" spans="2:9">
      <c r="B206" s="110"/>
      <c r="C206" s="12"/>
      <c r="D206" s="50"/>
      <c r="E206" s="50"/>
      <c r="F206" s="50"/>
      <c r="G206" s="50"/>
      <c r="H206" s="50"/>
      <c r="I206" s="50"/>
    </row>
    <row r="207" spans="2:9">
      <c r="B207" s="110"/>
      <c r="C207" s="12"/>
      <c r="D207" s="50"/>
      <c r="E207" s="50"/>
      <c r="F207" s="50"/>
      <c r="G207" s="50"/>
      <c r="H207" s="50"/>
      <c r="I207" s="50"/>
    </row>
    <row r="208" spans="2:9">
      <c r="B208" s="110"/>
      <c r="C208" s="12"/>
      <c r="D208" s="50"/>
      <c r="E208" s="50"/>
      <c r="F208" s="50"/>
      <c r="G208" s="50"/>
      <c r="H208" s="50"/>
      <c r="I208" s="50"/>
    </row>
    <row r="209" spans="2:9">
      <c r="B209" s="110"/>
      <c r="C209" s="12"/>
      <c r="D209" s="50"/>
      <c r="E209" s="50"/>
      <c r="F209" s="50"/>
      <c r="G209" s="50"/>
      <c r="H209" s="50"/>
      <c r="I209" s="50"/>
    </row>
    <row r="210" spans="2:9">
      <c r="B210" s="110"/>
      <c r="C210" s="12"/>
      <c r="D210" s="50"/>
      <c r="E210" s="50"/>
      <c r="F210" s="50"/>
      <c r="G210" s="50"/>
      <c r="H210" s="50"/>
      <c r="I210" s="50"/>
    </row>
    <row r="211" spans="2:9">
      <c r="B211" s="110"/>
      <c r="C211" s="12"/>
      <c r="D211" s="50"/>
      <c r="E211" s="50"/>
      <c r="F211" s="50"/>
      <c r="G211" s="50"/>
      <c r="H211" s="50"/>
      <c r="I211" s="50"/>
    </row>
    <row r="212" spans="2:9">
      <c r="B212" s="110"/>
      <c r="C212" s="12"/>
      <c r="D212" s="50"/>
      <c r="E212" s="50"/>
      <c r="F212" s="50"/>
      <c r="G212" s="50"/>
      <c r="H212" s="50"/>
      <c r="I212" s="50"/>
    </row>
    <row r="213" spans="2:9">
      <c r="B213" s="110"/>
      <c r="C213" s="12"/>
      <c r="D213" s="50"/>
      <c r="E213" s="50"/>
      <c r="F213" s="50"/>
      <c r="G213" s="50"/>
      <c r="H213" s="50"/>
      <c r="I213" s="50"/>
    </row>
    <row r="214" spans="2:9">
      <c r="B214" s="110"/>
      <c r="C214" s="12"/>
      <c r="D214" s="50"/>
      <c r="E214" s="50"/>
      <c r="F214" s="50"/>
      <c r="G214" s="50"/>
      <c r="H214" s="50"/>
      <c r="I214" s="50"/>
    </row>
    <row r="215" spans="2:9">
      <c r="B215" s="110"/>
      <c r="C215" s="12"/>
      <c r="D215" s="50"/>
      <c r="E215" s="50"/>
      <c r="F215" s="50"/>
      <c r="G215" s="50"/>
      <c r="H215" s="50"/>
      <c r="I215" s="50"/>
    </row>
    <row r="216" spans="2:9">
      <c r="B216" s="110"/>
      <c r="C216" s="12"/>
      <c r="D216" s="50"/>
      <c r="E216" s="50"/>
      <c r="F216" s="50"/>
      <c r="G216" s="50"/>
      <c r="H216" s="50"/>
      <c r="I216" s="50"/>
    </row>
    <row r="217" spans="2:9">
      <c r="B217" s="110"/>
      <c r="C217" s="12"/>
      <c r="D217" s="50"/>
      <c r="E217" s="50"/>
      <c r="F217" s="50"/>
      <c r="G217" s="50"/>
      <c r="H217" s="50"/>
      <c r="I217" s="50"/>
    </row>
    <row r="218" spans="2:9">
      <c r="B218" s="110"/>
      <c r="C218" s="12"/>
      <c r="D218" s="50"/>
      <c r="E218" s="50"/>
      <c r="F218" s="50"/>
      <c r="G218" s="50"/>
      <c r="H218" s="50"/>
      <c r="I218" s="50"/>
    </row>
    <row r="219" spans="2:9">
      <c r="B219" s="110"/>
      <c r="C219" s="12"/>
      <c r="D219" s="50"/>
      <c r="E219" s="50"/>
      <c r="F219" s="50"/>
      <c r="G219" s="50"/>
      <c r="H219" s="50"/>
      <c r="I219" s="50"/>
    </row>
    <row r="220" spans="2:9">
      <c r="B220" s="110"/>
      <c r="C220" s="12"/>
      <c r="D220" s="50"/>
      <c r="E220" s="50"/>
      <c r="F220" s="50"/>
      <c r="G220" s="50"/>
      <c r="H220" s="50"/>
      <c r="I220" s="50"/>
    </row>
    <row r="221" spans="2:9">
      <c r="B221" s="110"/>
      <c r="C221" s="12"/>
      <c r="D221" s="50"/>
      <c r="E221" s="50"/>
      <c r="F221" s="50"/>
      <c r="G221" s="50"/>
      <c r="H221" s="50"/>
      <c r="I221" s="50"/>
    </row>
    <row r="222" spans="2:9">
      <c r="B222" s="110"/>
      <c r="C222" s="12"/>
      <c r="D222" s="50"/>
      <c r="E222" s="50"/>
      <c r="F222" s="50"/>
      <c r="G222" s="50"/>
      <c r="H222" s="50"/>
      <c r="I222" s="50"/>
    </row>
    <row r="223" spans="2:9">
      <c r="B223" s="110"/>
      <c r="C223" s="12"/>
      <c r="D223" s="50"/>
      <c r="E223" s="50"/>
      <c r="F223" s="50"/>
      <c r="G223" s="50"/>
      <c r="H223" s="50"/>
      <c r="I223" s="50"/>
    </row>
    <row r="224" spans="2:9">
      <c r="B224" s="110"/>
      <c r="C224" s="12"/>
      <c r="D224" s="50"/>
      <c r="E224" s="50"/>
      <c r="F224" s="50"/>
      <c r="G224" s="50"/>
      <c r="H224" s="50"/>
      <c r="I224" s="50"/>
    </row>
    <row r="225" spans="2:9">
      <c r="B225" s="110"/>
      <c r="C225" s="12"/>
      <c r="D225" s="50"/>
      <c r="E225" s="50"/>
      <c r="F225" s="50"/>
      <c r="G225" s="50"/>
      <c r="H225" s="50"/>
      <c r="I225" s="50"/>
    </row>
    <row r="226" spans="2:9">
      <c r="B226" s="110"/>
      <c r="C226" s="12"/>
      <c r="D226" s="50"/>
      <c r="E226" s="50"/>
      <c r="F226" s="50"/>
      <c r="G226" s="50"/>
      <c r="H226" s="50"/>
      <c r="I226" s="50"/>
    </row>
    <row r="227" spans="2:9">
      <c r="B227" s="110"/>
      <c r="C227" s="12"/>
      <c r="D227" s="50"/>
      <c r="E227" s="50"/>
      <c r="F227" s="50"/>
      <c r="G227" s="50"/>
      <c r="H227" s="50"/>
      <c r="I227" s="50"/>
    </row>
    <row r="228" spans="2:9">
      <c r="B228" s="110"/>
      <c r="C228" s="12"/>
      <c r="D228" s="50"/>
      <c r="E228" s="50"/>
      <c r="F228" s="50"/>
      <c r="G228" s="50"/>
      <c r="H228" s="50"/>
      <c r="I228" s="50"/>
    </row>
    <row r="229" spans="2:9">
      <c r="B229" s="110"/>
      <c r="C229" s="12"/>
      <c r="D229" s="50"/>
      <c r="E229" s="50"/>
      <c r="F229" s="50"/>
      <c r="G229" s="50"/>
      <c r="H229" s="50"/>
      <c r="I229" s="50"/>
    </row>
    <row r="230" spans="2:9">
      <c r="B230" s="110"/>
      <c r="C230" s="12"/>
      <c r="D230" s="50"/>
      <c r="E230" s="50"/>
      <c r="F230" s="50"/>
      <c r="G230" s="50"/>
      <c r="H230" s="50"/>
      <c r="I230" s="50"/>
    </row>
    <row r="231" spans="2:9">
      <c r="B231" s="110"/>
      <c r="C231" s="12"/>
      <c r="D231" s="50"/>
      <c r="E231" s="50"/>
      <c r="F231" s="50"/>
      <c r="G231" s="50"/>
      <c r="H231" s="50"/>
      <c r="I231" s="50"/>
    </row>
    <row r="232" spans="2:9">
      <c r="B232" s="110"/>
      <c r="C232" s="12"/>
      <c r="D232" s="50"/>
      <c r="E232" s="50"/>
      <c r="F232" s="50"/>
      <c r="G232" s="50"/>
      <c r="H232" s="50"/>
      <c r="I232" s="50"/>
    </row>
    <row r="233" spans="2:9">
      <c r="B233" s="110"/>
      <c r="C233" s="12"/>
      <c r="D233" s="50"/>
      <c r="E233" s="50"/>
      <c r="F233" s="50"/>
      <c r="G233" s="50"/>
      <c r="H233" s="50"/>
      <c r="I233" s="50"/>
    </row>
    <row r="234" spans="2:9">
      <c r="B234" s="110"/>
      <c r="C234" s="12"/>
      <c r="D234" s="50"/>
      <c r="E234" s="50"/>
      <c r="F234" s="50"/>
      <c r="G234" s="50"/>
      <c r="H234" s="50"/>
      <c r="I234" s="50"/>
    </row>
    <row r="235" spans="2:9">
      <c r="B235" s="110"/>
      <c r="C235" s="12"/>
      <c r="D235" s="50"/>
      <c r="E235" s="50"/>
      <c r="F235" s="50"/>
      <c r="G235" s="50"/>
      <c r="H235" s="50"/>
      <c r="I235" s="50"/>
    </row>
    <row r="236" spans="2:9">
      <c r="B236" s="110"/>
      <c r="C236" s="12"/>
      <c r="D236" s="50"/>
      <c r="E236" s="50"/>
      <c r="F236" s="50"/>
      <c r="G236" s="50"/>
      <c r="H236" s="50"/>
      <c r="I236" s="50"/>
    </row>
    <row r="237" spans="2:9">
      <c r="B237" s="110"/>
      <c r="C237" s="12"/>
      <c r="D237" s="50"/>
      <c r="E237" s="50"/>
      <c r="F237" s="50"/>
      <c r="G237" s="50"/>
      <c r="H237" s="50"/>
      <c r="I237" s="50"/>
    </row>
    <row r="238" spans="2:9">
      <c r="B238" s="110"/>
      <c r="C238" s="12"/>
      <c r="D238" s="50"/>
      <c r="E238" s="50"/>
      <c r="F238" s="50"/>
      <c r="G238" s="50"/>
      <c r="H238" s="50"/>
      <c r="I238" s="50"/>
    </row>
    <row r="239" spans="2:9">
      <c r="B239" s="110"/>
      <c r="C239" s="12"/>
      <c r="D239" s="50"/>
      <c r="E239" s="50"/>
      <c r="F239" s="50"/>
      <c r="G239" s="50"/>
      <c r="H239" s="50"/>
      <c r="I239" s="50"/>
    </row>
    <row r="240" spans="2:9">
      <c r="B240" s="110"/>
      <c r="C240" s="12"/>
      <c r="D240" s="50"/>
      <c r="E240" s="50"/>
      <c r="F240" s="50"/>
      <c r="G240" s="50"/>
      <c r="H240" s="50"/>
      <c r="I240" s="50"/>
    </row>
    <row r="241" spans="2:9">
      <c r="B241" s="110"/>
      <c r="C241" s="12"/>
      <c r="D241" s="50"/>
      <c r="E241" s="50"/>
      <c r="F241" s="50"/>
      <c r="G241" s="50"/>
      <c r="H241" s="50"/>
      <c r="I241" s="50"/>
    </row>
    <row r="242" spans="2:9">
      <c r="B242" s="110"/>
      <c r="C242" s="12"/>
      <c r="D242" s="50"/>
      <c r="E242" s="50"/>
      <c r="F242" s="50"/>
      <c r="G242" s="50"/>
      <c r="H242" s="50"/>
      <c r="I242" s="50"/>
    </row>
    <row r="243" spans="2:9">
      <c r="B243" s="110"/>
      <c r="C243" s="12"/>
      <c r="D243" s="50"/>
      <c r="E243" s="50"/>
      <c r="F243" s="50"/>
      <c r="G243" s="50"/>
      <c r="H243" s="50"/>
      <c r="I243" s="50"/>
    </row>
    <row r="244" spans="2:9">
      <c r="B244" s="110"/>
      <c r="C244" s="12"/>
      <c r="D244" s="50"/>
      <c r="E244" s="50"/>
      <c r="F244" s="50"/>
      <c r="G244" s="50"/>
      <c r="H244" s="50"/>
      <c r="I244" s="50"/>
    </row>
    <row r="245" spans="2:9">
      <c r="B245" s="110"/>
      <c r="C245" s="12"/>
      <c r="D245" s="50"/>
      <c r="E245" s="50"/>
      <c r="F245" s="50"/>
      <c r="G245" s="50"/>
      <c r="H245" s="50"/>
      <c r="I245" s="50"/>
    </row>
    <row r="246" spans="2:9">
      <c r="B246" s="110"/>
      <c r="C246" s="12"/>
      <c r="D246" s="50"/>
      <c r="E246" s="50"/>
      <c r="F246" s="50"/>
      <c r="G246" s="50"/>
      <c r="H246" s="50"/>
      <c r="I246" s="50"/>
    </row>
    <row r="247" spans="2:9">
      <c r="B247" s="110"/>
      <c r="C247" s="12"/>
      <c r="D247" s="50"/>
      <c r="E247" s="50"/>
      <c r="F247" s="50"/>
      <c r="G247" s="50"/>
      <c r="H247" s="50"/>
      <c r="I247" s="50"/>
    </row>
    <row r="248" spans="2:9">
      <c r="B248" s="110"/>
      <c r="C248" s="12"/>
      <c r="D248" s="50"/>
      <c r="E248" s="50"/>
      <c r="F248" s="50"/>
      <c r="G248" s="50"/>
      <c r="H248" s="50"/>
      <c r="I248" s="50"/>
    </row>
    <row r="249" spans="2:9">
      <c r="B249" s="110"/>
      <c r="C249" s="12"/>
      <c r="D249" s="50"/>
      <c r="E249" s="50"/>
      <c r="F249" s="50"/>
      <c r="G249" s="50"/>
      <c r="H249" s="50"/>
      <c r="I249" s="50"/>
    </row>
    <row r="250" spans="2:9">
      <c r="B250" s="110"/>
      <c r="C250" s="12"/>
      <c r="D250" s="50"/>
      <c r="E250" s="50"/>
      <c r="F250" s="50"/>
      <c r="G250" s="50"/>
      <c r="H250" s="50"/>
      <c r="I250" s="50"/>
    </row>
    <row r="251" spans="2:9">
      <c r="B251" s="110"/>
      <c r="C251" s="12"/>
      <c r="D251" s="50"/>
      <c r="E251" s="50"/>
      <c r="F251" s="50"/>
      <c r="G251" s="50"/>
      <c r="H251" s="50"/>
      <c r="I251" s="50"/>
    </row>
    <row r="252" spans="2:9">
      <c r="B252" s="110"/>
      <c r="C252" s="12"/>
      <c r="D252" s="50"/>
      <c r="E252" s="50"/>
      <c r="F252" s="50"/>
      <c r="G252" s="50"/>
      <c r="H252" s="50"/>
      <c r="I252" s="50"/>
    </row>
    <row r="253" spans="2:9">
      <c r="B253" s="110"/>
      <c r="C253" s="12"/>
      <c r="D253" s="50"/>
      <c r="E253" s="50"/>
      <c r="F253" s="50"/>
      <c r="G253" s="50"/>
      <c r="H253" s="50"/>
      <c r="I253" s="50"/>
    </row>
    <row r="254" spans="2:9">
      <c r="B254" s="110"/>
      <c r="C254" s="12"/>
      <c r="D254" s="50"/>
      <c r="E254" s="50"/>
      <c r="F254" s="50"/>
      <c r="G254" s="50"/>
      <c r="H254" s="50"/>
      <c r="I254" s="50"/>
    </row>
    <row r="255" spans="2:9">
      <c r="B255" s="110"/>
      <c r="C255" s="12"/>
      <c r="D255" s="50"/>
      <c r="E255" s="50"/>
      <c r="F255" s="50"/>
      <c r="G255" s="50"/>
      <c r="H255" s="50"/>
      <c r="I255" s="50"/>
    </row>
    <row r="256" spans="2:9">
      <c r="B256" s="110"/>
      <c r="C256" s="12"/>
      <c r="D256" s="50"/>
      <c r="E256" s="50"/>
      <c r="F256" s="50"/>
      <c r="G256" s="50"/>
      <c r="H256" s="50"/>
      <c r="I256" s="50"/>
    </row>
    <row r="257" spans="2:9">
      <c r="B257" s="110"/>
      <c r="C257" s="12"/>
      <c r="D257" s="50"/>
      <c r="E257" s="50"/>
      <c r="F257" s="50"/>
      <c r="G257" s="50"/>
      <c r="H257" s="50"/>
      <c r="I257" s="50"/>
    </row>
    <row r="258" spans="2:9">
      <c r="B258" s="110"/>
      <c r="C258" s="12"/>
      <c r="D258" s="50"/>
      <c r="E258" s="50"/>
      <c r="F258" s="50"/>
      <c r="G258" s="50"/>
      <c r="H258" s="50"/>
      <c r="I258" s="50"/>
    </row>
    <row r="259" spans="2:9">
      <c r="B259" s="110"/>
      <c r="C259" s="12"/>
      <c r="D259" s="50"/>
      <c r="E259" s="50"/>
      <c r="F259" s="50"/>
      <c r="G259" s="50"/>
      <c r="H259" s="50"/>
      <c r="I259" s="50"/>
    </row>
    <row r="260" spans="2:9">
      <c r="B260" s="110"/>
      <c r="C260" s="12"/>
      <c r="D260" s="50"/>
      <c r="E260" s="50"/>
      <c r="F260" s="50"/>
      <c r="G260" s="50"/>
      <c r="H260" s="50"/>
      <c r="I260" s="50"/>
    </row>
    <row r="261" spans="2:9">
      <c r="B261" s="110"/>
      <c r="C261" s="12"/>
      <c r="D261" s="50"/>
      <c r="E261" s="50"/>
      <c r="F261" s="50"/>
      <c r="G261" s="50"/>
      <c r="H261" s="50"/>
      <c r="I261" s="50"/>
    </row>
    <row r="262" spans="2:9">
      <c r="B262" s="110"/>
      <c r="C262" s="12"/>
      <c r="D262" s="50"/>
      <c r="E262" s="50"/>
      <c r="F262" s="50"/>
      <c r="G262" s="50"/>
      <c r="H262" s="50"/>
      <c r="I262" s="50"/>
    </row>
    <row r="263" spans="2:9">
      <c r="B263" s="110"/>
      <c r="C263" s="12"/>
      <c r="D263" s="50"/>
      <c r="E263" s="50"/>
      <c r="F263" s="50"/>
      <c r="G263" s="50"/>
      <c r="H263" s="50"/>
      <c r="I263" s="50"/>
    </row>
    <row r="264" spans="2:9">
      <c r="B264" s="110"/>
      <c r="C264" s="12"/>
      <c r="D264" s="50"/>
      <c r="E264" s="50"/>
      <c r="F264" s="50"/>
      <c r="G264" s="50"/>
      <c r="H264" s="50"/>
      <c r="I264" s="50"/>
    </row>
    <row r="265" spans="2:9">
      <c r="B265" s="110"/>
      <c r="C265" s="12"/>
      <c r="D265" s="50"/>
      <c r="E265" s="50"/>
      <c r="F265" s="50"/>
      <c r="G265" s="50"/>
      <c r="H265" s="50"/>
      <c r="I265" s="50"/>
    </row>
    <row r="266" spans="2:9">
      <c r="B266" s="110"/>
      <c r="C266" s="12"/>
      <c r="D266" s="50"/>
      <c r="E266" s="50"/>
      <c r="F266" s="50"/>
      <c r="G266" s="50"/>
      <c r="H266" s="50"/>
      <c r="I266" s="50"/>
    </row>
    <row r="267" spans="2:9">
      <c r="B267" s="110"/>
      <c r="C267" s="12"/>
      <c r="D267" s="50"/>
      <c r="E267" s="50"/>
      <c r="F267" s="50"/>
      <c r="G267" s="50"/>
      <c r="H267" s="50"/>
      <c r="I267" s="50"/>
    </row>
    <row r="268" spans="2:9">
      <c r="B268" s="110"/>
      <c r="C268" s="12"/>
      <c r="D268" s="50"/>
      <c r="E268" s="50"/>
      <c r="F268" s="50"/>
      <c r="G268" s="50"/>
      <c r="H268" s="50"/>
      <c r="I268" s="50"/>
    </row>
    <row r="269" spans="2:9">
      <c r="B269" s="110"/>
      <c r="C269" s="12"/>
      <c r="D269" s="50"/>
      <c r="E269" s="50"/>
      <c r="F269" s="50"/>
      <c r="G269" s="50"/>
      <c r="H269" s="50"/>
      <c r="I269" s="50"/>
    </row>
    <row r="270" spans="2:9">
      <c r="B270" s="110"/>
      <c r="C270" s="12"/>
      <c r="D270" s="50"/>
      <c r="E270" s="50"/>
      <c r="F270" s="50"/>
      <c r="G270" s="50"/>
      <c r="H270" s="50"/>
      <c r="I270" s="50"/>
    </row>
    <row r="271" spans="2:9">
      <c r="B271" s="110"/>
      <c r="C271" s="12"/>
      <c r="D271" s="50"/>
      <c r="E271" s="50"/>
      <c r="F271" s="50"/>
      <c r="G271" s="50"/>
      <c r="H271" s="50"/>
      <c r="I271" s="50"/>
    </row>
    <row r="272" spans="2:9">
      <c r="B272" s="110"/>
      <c r="C272" s="12"/>
      <c r="D272" s="50"/>
      <c r="E272" s="50"/>
      <c r="F272" s="50"/>
      <c r="G272" s="50"/>
      <c r="H272" s="50"/>
      <c r="I272" s="50"/>
    </row>
    <row r="273" spans="2:9">
      <c r="B273" s="110"/>
      <c r="C273" s="12"/>
      <c r="D273" s="50"/>
      <c r="E273" s="50"/>
      <c r="F273" s="50"/>
      <c r="G273" s="50"/>
      <c r="H273" s="50"/>
      <c r="I273" s="50"/>
    </row>
    <row r="274" spans="2:9">
      <c r="B274" s="110"/>
      <c r="C274" s="12"/>
      <c r="D274" s="50"/>
      <c r="E274" s="50"/>
      <c r="F274" s="50"/>
      <c r="G274" s="50"/>
      <c r="H274" s="50"/>
      <c r="I274" s="50"/>
    </row>
    <row r="275" spans="2:9">
      <c r="B275" s="110"/>
      <c r="C275" s="12"/>
      <c r="D275" s="50"/>
      <c r="E275" s="50"/>
      <c r="F275" s="50"/>
      <c r="G275" s="50"/>
      <c r="H275" s="50"/>
      <c r="I275" s="50"/>
    </row>
    <row r="276" spans="2:9">
      <c r="B276" s="110"/>
      <c r="C276" s="12"/>
      <c r="D276" s="50"/>
      <c r="E276" s="50"/>
      <c r="F276" s="50"/>
      <c r="G276" s="50"/>
      <c r="H276" s="50"/>
      <c r="I276" s="50"/>
    </row>
    <row r="277" spans="2:9">
      <c r="B277" s="110"/>
      <c r="C277" s="12"/>
      <c r="D277" s="50"/>
      <c r="E277" s="50"/>
      <c r="F277" s="50"/>
      <c r="G277" s="50"/>
      <c r="H277" s="50"/>
      <c r="I277" s="50"/>
    </row>
    <row r="278" spans="2:9">
      <c r="B278" s="110"/>
      <c r="C278" s="12"/>
      <c r="D278" s="50"/>
      <c r="E278" s="50"/>
      <c r="F278" s="50"/>
      <c r="G278" s="50"/>
      <c r="H278" s="50"/>
      <c r="I278" s="50"/>
    </row>
    <row r="279" spans="2:9">
      <c r="B279" s="110"/>
      <c r="C279" s="12"/>
      <c r="D279" s="50"/>
      <c r="E279" s="50"/>
      <c r="F279" s="50"/>
      <c r="G279" s="50"/>
      <c r="H279" s="50"/>
      <c r="I279" s="50"/>
    </row>
    <row r="280" spans="2:9">
      <c r="B280" s="110"/>
      <c r="C280" s="12"/>
      <c r="D280" s="50"/>
      <c r="E280" s="50"/>
      <c r="F280" s="50"/>
      <c r="G280" s="50"/>
      <c r="H280" s="50"/>
      <c r="I280" s="50"/>
    </row>
    <row r="281" spans="2:9">
      <c r="B281" s="110"/>
      <c r="C281" s="12"/>
      <c r="D281" s="50"/>
      <c r="E281" s="50"/>
      <c r="F281" s="50"/>
      <c r="G281" s="50"/>
      <c r="H281" s="50"/>
      <c r="I281" s="50"/>
    </row>
    <row r="282" spans="2:9">
      <c r="B282" s="110"/>
      <c r="C282" s="12"/>
      <c r="D282" s="50"/>
      <c r="E282" s="50"/>
      <c r="F282" s="50"/>
      <c r="G282" s="50"/>
      <c r="H282" s="50"/>
      <c r="I282" s="50"/>
    </row>
    <row r="283" spans="2:9">
      <c r="B283" s="110"/>
      <c r="C283" s="12"/>
      <c r="D283" s="50"/>
      <c r="E283" s="50"/>
      <c r="F283" s="50"/>
      <c r="G283" s="50"/>
      <c r="H283" s="50"/>
      <c r="I283" s="50"/>
    </row>
    <row r="284" spans="2:9">
      <c r="B284" s="110"/>
      <c r="C284" s="12"/>
      <c r="D284" s="50"/>
      <c r="E284" s="50"/>
      <c r="F284" s="50"/>
      <c r="G284" s="50"/>
      <c r="H284" s="50"/>
      <c r="I284" s="50"/>
    </row>
    <row r="285" spans="2:9">
      <c r="B285" s="110"/>
      <c r="C285" s="12"/>
      <c r="D285" s="50"/>
      <c r="E285" s="50"/>
      <c r="F285" s="50"/>
      <c r="G285" s="50"/>
      <c r="H285" s="50"/>
      <c r="I285" s="50"/>
    </row>
    <row r="286" spans="2:9">
      <c r="B286" s="110"/>
      <c r="C286" s="12"/>
      <c r="D286" s="50"/>
      <c r="E286" s="50"/>
      <c r="F286" s="50"/>
      <c r="G286" s="50"/>
      <c r="H286" s="50"/>
      <c r="I286" s="50"/>
    </row>
    <row r="287" spans="2:9">
      <c r="B287" s="110"/>
      <c r="C287" s="12"/>
      <c r="D287" s="50"/>
      <c r="E287" s="50"/>
      <c r="F287" s="50"/>
      <c r="G287" s="50"/>
      <c r="H287" s="50"/>
      <c r="I287" s="50"/>
    </row>
    <row r="288" spans="2:9">
      <c r="B288" s="110"/>
      <c r="C288" s="12"/>
      <c r="D288" s="50"/>
      <c r="E288" s="50"/>
      <c r="F288" s="50"/>
      <c r="G288" s="50"/>
      <c r="H288" s="50"/>
      <c r="I288" s="50"/>
    </row>
    <row r="289" spans="2:9">
      <c r="B289" s="110"/>
      <c r="C289" s="12"/>
      <c r="D289" s="50"/>
      <c r="E289" s="50"/>
      <c r="F289" s="50"/>
      <c r="G289" s="50"/>
      <c r="H289" s="50"/>
      <c r="I289" s="50"/>
    </row>
    <row r="290" spans="2:9">
      <c r="B290" s="110"/>
      <c r="C290" s="12"/>
      <c r="D290" s="50"/>
      <c r="E290" s="50"/>
      <c r="F290" s="50"/>
      <c r="G290" s="50"/>
      <c r="H290" s="50"/>
      <c r="I290" s="50"/>
    </row>
    <row r="291" spans="2:9">
      <c r="B291" s="110"/>
      <c r="C291" s="12"/>
      <c r="D291" s="50"/>
      <c r="E291" s="50"/>
      <c r="F291" s="50"/>
      <c r="G291" s="50"/>
      <c r="H291" s="50"/>
      <c r="I291" s="50"/>
    </row>
    <row r="292" spans="2:9">
      <c r="B292" s="110"/>
      <c r="C292" s="12"/>
      <c r="D292" s="50"/>
      <c r="E292" s="50"/>
      <c r="F292" s="50"/>
      <c r="G292" s="50"/>
      <c r="H292" s="50"/>
      <c r="I292" s="50"/>
    </row>
    <row r="293" spans="2:9">
      <c r="B293" s="110"/>
      <c r="C293" s="12"/>
      <c r="D293" s="50"/>
      <c r="E293" s="50"/>
      <c r="F293" s="50"/>
      <c r="G293" s="50"/>
      <c r="H293" s="50"/>
      <c r="I293" s="50"/>
    </row>
    <row r="294" spans="2:9">
      <c r="B294" s="110"/>
      <c r="C294" s="12"/>
      <c r="D294" s="50"/>
      <c r="E294" s="50"/>
      <c r="F294" s="50"/>
      <c r="G294" s="50"/>
      <c r="H294" s="50"/>
      <c r="I294" s="50"/>
    </row>
    <row r="295" spans="2:9">
      <c r="B295" s="110"/>
      <c r="C295" s="12"/>
      <c r="D295" s="50"/>
      <c r="E295" s="50"/>
      <c r="F295" s="50"/>
      <c r="G295" s="50"/>
      <c r="H295" s="50"/>
      <c r="I295" s="50"/>
    </row>
    <row r="296" spans="2:9">
      <c r="B296" s="110"/>
      <c r="C296" s="12"/>
      <c r="D296" s="50"/>
      <c r="E296" s="50"/>
      <c r="F296" s="50"/>
      <c r="G296" s="50"/>
      <c r="H296" s="50"/>
      <c r="I296" s="50"/>
    </row>
    <row r="297" spans="2:9">
      <c r="B297" s="110"/>
      <c r="C297" s="12"/>
      <c r="D297" s="50"/>
      <c r="E297" s="50"/>
      <c r="F297" s="50"/>
      <c r="G297" s="50"/>
      <c r="H297" s="50"/>
      <c r="I297" s="50"/>
    </row>
    <row r="298" spans="2:9">
      <c r="B298" s="110"/>
      <c r="C298" s="12"/>
      <c r="D298" s="50"/>
      <c r="E298" s="50"/>
      <c r="F298" s="50"/>
      <c r="G298" s="50"/>
      <c r="H298" s="50"/>
      <c r="I298" s="50"/>
    </row>
    <row r="299" spans="2:9">
      <c r="B299" s="110"/>
      <c r="C299" s="12"/>
      <c r="D299" s="50"/>
      <c r="E299" s="50"/>
      <c r="F299" s="50"/>
      <c r="G299" s="50"/>
      <c r="H299" s="50"/>
      <c r="I299" s="50"/>
    </row>
    <row r="300" spans="2:9">
      <c r="B300" s="110"/>
      <c r="C300" s="12"/>
      <c r="D300" s="50"/>
      <c r="E300" s="50"/>
      <c r="F300" s="50"/>
      <c r="G300" s="50"/>
      <c r="H300" s="50"/>
      <c r="I300" s="50"/>
    </row>
    <row r="301" spans="2:9">
      <c r="B301" s="110"/>
      <c r="C301" s="12"/>
      <c r="D301" s="50"/>
      <c r="E301" s="50"/>
      <c r="F301" s="50"/>
      <c r="G301" s="50"/>
      <c r="H301" s="50"/>
      <c r="I301" s="50"/>
    </row>
    <row r="302" spans="2:9">
      <c r="B302" s="110"/>
      <c r="C302" s="12"/>
      <c r="D302" s="50"/>
      <c r="E302" s="50"/>
      <c r="F302" s="50"/>
      <c r="G302" s="50"/>
      <c r="H302" s="50"/>
      <c r="I302" s="50"/>
    </row>
    <row r="303" spans="2:9">
      <c r="B303" s="110"/>
      <c r="C303" s="12"/>
      <c r="D303" s="50"/>
      <c r="E303" s="50"/>
      <c r="F303" s="50"/>
      <c r="G303" s="50"/>
      <c r="H303" s="50"/>
      <c r="I303" s="50"/>
    </row>
    <row r="304" spans="2:9">
      <c r="B304" s="110"/>
      <c r="C304" s="12"/>
      <c r="D304" s="50"/>
      <c r="E304" s="50"/>
      <c r="F304" s="50"/>
      <c r="G304" s="50"/>
      <c r="H304" s="50"/>
      <c r="I304" s="50"/>
    </row>
    <row r="305" spans="2:9">
      <c r="B305" s="110"/>
      <c r="C305" s="12"/>
      <c r="D305" s="50"/>
      <c r="E305" s="50"/>
      <c r="F305" s="50"/>
      <c r="G305" s="50"/>
      <c r="H305" s="50"/>
      <c r="I305" s="50"/>
    </row>
    <row r="306" spans="2:9">
      <c r="B306" s="110"/>
      <c r="C306" s="12"/>
      <c r="D306" s="50"/>
      <c r="E306" s="50"/>
      <c r="F306" s="50"/>
      <c r="G306" s="50"/>
      <c r="H306" s="50"/>
      <c r="I306" s="50"/>
    </row>
    <row r="307" spans="2:9">
      <c r="B307" s="110"/>
      <c r="C307" s="12"/>
      <c r="D307" s="50"/>
      <c r="E307" s="50"/>
      <c r="F307" s="50"/>
      <c r="G307" s="50"/>
      <c r="H307" s="50"/>
      <c r="I307" s="50"/>
    </row>
    <row r="308" spans="2:9">
      <c r="B308" s="110"/>
      <c r="C308" s="12"/>
      <c r="D308" s="50"/>
      <c r="E308" s="50"/>
      <c r="F308" s="50"/>
      <c r="G308" s="50"/>
      <c r="H308" s="50"/>
      <c r="I308" s="50"/>
    </row>
    <row r="309" spans="2:9">
      <c r="B309" s="110"/>
      <c r="C309" s="12"/>
      <c r="D309" s="50"/>
      <c r="E309" s="50"/>
      <c r="F309" s="50"/>
      <c r="G309" s="50"/>
      <c r="H309" s="50"/>
      <c r="I309" s="50"/>
    </row>
    <row r="310" spans="2:9">
      <c r="B310" s="110"/>
      <c r="C310" s="12"/>
      <c r="D310" s="50"/>
      <c r="E310" s="50"/>
      <c r="F310" s="50"/>
      <c r="G310" s="50"/>
      <c r="H310" s="50"/>
      <c r="I310" s="50"/>
    </row>
    <row r="311" spans="2:9">
      <c r="B311" s="110"/>
      <c r="C311" s="12"/>
      <c r="D311" s="50"/>
      <c r="E311" s="50"/>
      <c r="F311" s="50"/>
      <c r="G311" s="50"/>
      <c r="H311" s="50"/>
      <c r="I311" s="50"/>
    </row>
    <row r="312" spans="2:9">
      <c r="B312" s="110"/>
      <c r="C312" s="12"/>
      <c r="D312" s="50"/>
      <c r="E312" s="50"/>
      <c r="F312" s="50"/>
      <c r="G312" s="50"/>
      <c r="H312" s="50"/>
      <c r="I312" s="50"/>
    </row>
    <row r="313" spans="2:9">
      <c r="B313" s="110"/>
      <c r="C313" s="12"/>
      <c r="D313" s="50"/>
      <c r="E313" s="50"/>
      <c r="F313" s="50"/>
      <c r="G313" s="50"/>
      <c r="H313" s="50"/>
      <c r="I313" s="50"/>
    </row>
    <row r="314" spans="2:9">
      <c r="B314" s="110"/>
      <c r="C314" s="12"/>
      <c r="D314" s="50"/>
      <c r="E314" s="50"/>
      <c r="F314" s="50"/>
      <c r="G314" s="50"/>
      <c r="H314" s="50"/>
      <c r="I314" s="50"/>
    </row>
    <row r="315" spans="2:9">
      <c r="B315" s="110"/>
      <c r="C315" s="12"/>
      <c r="D315" s="50"/>
      <c r="E315" s="50"/>
      <c r="F315" s="50"/>
      <c r="G315" s="50"/>
      <c r="H315" s="50"/>
      <c r="I315" s="50"/>
    </row>
    <row r="316" spans="2:9">
      <c r="B316" s="110"/>
      <c r="C316" s="12"/>
      <c r="D316" s="50"/>
      <c r="E316" s="50"/>
      <c r="F316" s="50"/>
      <c r="G316" s="50"/>
      <c r="H316" s="50"/>
      <c r="I316" s="50"/>
    </row>
    <row r="317" spans="2:9">
      <c r="B317" s="110"/>
      <c r="C317" s="12"/>
      <c r="D317" s="50"/>
      <c r="E317" s="50"/>
      <c r="F317" s="50"/>
      <c r="G317" s="50"/>
      <c r="H317" s="50"/>
      <c r="I317" s="50"/>
    </row>
    <row r="318" spans="2:9">
      <c r="B318" s="110"/>
      <c r="C318" s="12"/>
      <c r="D318" s="50"/>
      <c r="E318" s="50"/>
      <c r="F318" s="50"/>
      <c r="G318" s="50"/>
      <c r="H318" s="50"/>
      <c r="I318" s="50"/>
    </row>
    <row r="319" spans="2:9">
      <c r="B319" s="110"/>
      <c r="C319" s="12"/>
      <c r="D319" s="50"/>
      <c r="E319" s="50"/>
      <c r="F319" s="50"/>
      <c r="G319" s="50"/>
      <c r="H319" s="50"/>
      <c r="I319" s="50"/>
    </row>
    <row r="320" spans="2:9">
      <c r="B320" s="110"/>
      <c r="C320" s="12"/>
      <c r="D320" s="50"/>
      <c r="E320" s="50"/>
      <c r="F320" s="50"/>
      <c r="G320" s="50"/>
      <c r="H320" s="50"/>
      <c r="I320" s="50"/>
    </row>
    <row r="321" spans="2:9">
      <c r="B321" s="110"/>
      <c r="C321" s="12"/>
      <c r="D321" s="50"/>
      <c r="E321" s="50"/>
      <c r="F321" s="50"/>
      <c r="G321" s="50"/>
      <c r="H321" s="50"/>
      <c r="I321" s="50"/>
    </row>
    <row r="322" spans="2:9">
      <c r="B322" s="110"/>
      <c r="C322" s="12"/>
      <c r="D322" s="50"/>
      <c r="E322" s="50"/>
      <c r="F322" s="50"/>
      <c r="G322" s="50"/>
      <c r="H322" s="50"/>
      <c r="I322" s="50"/>
    </row>
    <row r="323" spans="2:9">
      <c r="B323" s="110"/>
      <c r="C323" s="12"/>
      <c r="D323" s="50"/>
      <c r="E323" s="50"/>
      <c r="F323" s="50"/>
      <c r="G323" s="50"/>
      <c r="H323" s="50"/>
      <c r="I323" s="50"/>
    </row>
    <row r="324" spans="2:9">
      <c r="B324" s="110"/>
      <c r="C324" s="12"/>
      <c r="D324" s="50"/>
      <c r="E324" s="50"/>
      <c r="F324" s="50"/>
      <c r="G324" s="50"/>
      <c r="H324" s="50"/>
      <c r="I324" s="50"/>
    </row>
    <row r="325" spans="2:9">
      <c r="B325" s="110"/>
      <c r="C325" s="12"/>
      <c r="D325" s="50"/>
      <c r="E325" s="50"/>
      <c r="F325" s="50"/>
      <c r="G325" s="50"/>
      <c r="H325" s="50"/>
      <c r="I325" s="50"/>
    </row>
    <row r="326" spans="2:9">
      <c r="B326" s="110"/>
      <c r="C326" s="12"/>
      <c r="D326" s="50"/>
      <c r="E326" s="50"/>
      <c r="F326" s="50"/>
      <c r="G326" s="50"/>
      <c r="H326" s="50"/>
      <c r="I326" s="50"/>
    </row>
    <row r="327" spans="2:9">
      <c r="B327" s="110"/>
      <c r="C327" s="12"/>
      <c r="D327" s="50"/>
      <c r="E327" s="50"/>
      <c r="F327" s="50"/>
      <c r="G327" s="50"/>
      <c r="H327" s="50"/>
      <c r="I327" s="50"/>
    </row>
    <row r="328" spans="2:9">
      <c r="B328" s="110"/>
      <c r="C328" s="12"/>
      <c r="D328" s="50"/>
      <c r="E328" s="50"/>
      <c r="F328" s="50"/>
      <c r="G328" s="50"/>
      <c r="H328" s="50"/>
      <c r="I328" s="50"/>
    </row>
    <row r="329" spans="2:9">
      <c r="B329" s="110"/>
      <c r="C329" s="12"/>
      <c r="D329" s="50"/>
      <c r="E329" s="50"/>
      <c r="F329" s="50"/>
      <c r="G329" s="50"/>
      <c r="H329" s="50"/>
      <c r="I329" s="50"/>
    </row>
    <row r="330" spans="2:9">
      <c r="B330" s="110"/>
      <c r="C330" s="12"/>
      <c r="D330" s="50"/>
      <c r="E330" s="50"/>
      <c r="F330" s="50"/>
      <c r="G330" s="50"/>
      <c r="H330" s="50"/>
      <c r="I330" s="50"/>
    </row>
    <row r="331" spans="2:9">
      <c r="B331" s="110"/>
      <c r="C331" s="12"/>
      <c r="D331" s="50"/>
      <c r="E331" s="50"/>
      <c r="F331" s="50"/>
      <c r="G331" s="50"/>
      <c r="H331" s="50"/>
      <c r="I331" s="50"/>
    </row>
  </sheetData>
  <mergeCells count="3">
    <mergeCell ref="K6:N7"/>
    <mergeCell ref="K8:N8"/>
    <mergeCell ref="B2:I2"/>
  </mergeCells>
  <phoneticPr fontId="1" type="noConversion"/>
  <printOptions horizontalCentered="1"/>
  <pageMargins left="0.78740157480314965" right="0.78740157480314965" top="0.78740157480314965" bottom="0.59055118110236227" header="0.51181102362204722" footer="0.51181102362204722"/>
  <pageSetup paperSize="9" scale="84" fitToHeight="3" orientation="landscape" horizontalDpi="300" verticalDpi="300"/>
  <headerFooter alignWithMargins="0"/>
  <ignoredErrors>
    <ignoredError sqref="B5:B40" numberStoredAsText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372"/>
  <sheetViews>
    <sheetView topLeftCell="A22" workbookViewId="0">
      <selection activeCell="I16" sqref="I16"/>
    </sheetView>
  </sheetViews>
  <sheetFormatPr defaultColWidth="8.88671875" defaultRowHeight="11.4"/>
  <cols>
    <col min="1" max="1" width="3.109375" style="12" customWidth="1"/>
    <col min="2" max="2" width="11.6640625" style="13" customWidth="1"/>
    <col min="3" max="3" width="23.33203125" style="13" customWidth="1"/>
    <col min="4" max="4" width="10.44140625" style="13" customWidth="1"/>
    <col min="5" max="5" width="9.33203125" style="13" customWidth="1"/>
    <col min="6" max="6" width="8.88671875" style="13"/>
    <col min="7" max="7" width="12.33203125" style="13" customWidth="1"/>
    <col min="8" max="10" width="11.44140625" style="13" customWidth="1"/>
    <col min="11" max="11" width="10.44140625" style="13" customWidth="1"/>
    <col min="12" max="28" width="8.88671875" style="12"/>
    <col min="29" max="16384" width="8.88671875" style="13"/>
  </cols>
  <sheetData>
    <row r="1" spans="1:28" ht="12" thickBot="1"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28" ht="27" customHeight="1" thickBot="1">
      <c r="B2" s="240" t="s">
        <v>159</v>
      </c>
      <c r="C2" s="241"/>
      <c r="D2" s="241"/>
      <c r="E2" s="241"/>
      <c r="F2" s="241"/>
      <c r="G2" s="241"/>
      <c r="H2" s="241"/>
      <c r="I2" s="241"/>
      <c r="J2" s="241"/>
      <c r="K2" s="242"/>
      <c r="L2" s="11"/>
    </row>
    <row r="3" spans="1:28" s="38" customFormat="1" ht="12" thickBot="1">
      <c r="A3" s="12"/>
      <c r="B3" s="227"/>
      <c r="C3" s="227"/>
      <c r="D3" s="16"/>
      <c r="E3" s="16"/>
      <c r="F3" s="16"/>
      <c r="G3" s="16"/>
      <c r="H3" s="16"/>
      <c r="I3" s="16"/>
      <c r="J3" s="16"/>
      <c r="K3" s="16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spans="1:28" ht="15" customHeight="1" thickBot="1">
      <c r="A4" s="91"/>
      <c r="B4" s="228" t="s">
        <v>117</v>
      </c>
      <c r="C4" s="230"/>
      <c r="D4" s="115"/>
      <c r="E4" s="116"/>
      <c r="F4" s="117"/>
      <c r="G4" s="117"/>
      <c r="H4" s="84"/>
      <c r="I4" s="117"/>
      <c r="J4" s="117"/>
      <c r="K4" s="84"/>
      <c r="L4" s="89"/>
      <c r="M4" s="15"/>
      <c r="N4" s="15"/>
      <c r="O4" s="15"/>
      <c r="P4" s="15"/>
    </row>
    <row r="5" spans="1:28" ht="15" customHeight="1">
      <c r="A5" s="91"/>
      <c r="B5" s="143" t="s">
        <v>118</v>
      </c>
      <c r="C5" s="185">
        <v>6.4999999999999997E-3</v>
      </c>
      <c r="D5" s="80"/>
      <c r="E5" s="40"/>
      <c r="F5" s="39"/>
      <c r="G5" s="39"/>
      <c r="H5" s="41"/>
      <c r="I5" s="39"/>
      <c r="J5" s="39"/>
      <c r="K5" s="41"/>
      <c r="L5" s="98"/>
      <c r="M5" s="231" t="s">
        <v>149</v>
      </c>
      <c r="N5" s="232"/>
      <c r="O5" s="232"/>
      <c r="P5" s="233"/>
      <c r="Q5" s="11"/>
    </row>
    <row r="6" spans="1:28" ht="15" customHeight="1">
      <c r="A6" s="91"/>
      <c r="B6" s="143" t="s">
        <v>119</v>
      </c>
      <c r="C6" s="185">
        <v>0.03</v>
      </c>
      <c r="D6" s="80"/>
      <c r="E6" s="40"/>
      <c r="F6" s="39"/>
      <c r="G6" s="39"/>
      <c r="H6" s="41"/>
      <c r="I6" s="39"/>
      <c r="J6" s="39"/>
      <c r="K6" s="41"/>
      <c r="L6" s="98"/>
      <c r="M6" s="234"/>
      <c r="N6" s="235"/>
      <c r="O6" s="235"/>
      <c r="P6" s="236"/>
      <c r="Q6" s="11"/>
    </row>
    <row r="7" spans="1:28" s="27" customFormat="1" ht="24.6" thickBot="1">
      <c r="A7" s="113"/>
      <c r="B7" s="146" t="s">
        <v>148</v>
      </c>
      <c r="C7" s="185">
        <v>1.0800000000000001E-2</v>
      </c>
      <c r="D7" s="81"/>
      <c r="E7" s="43"/>
      <c r="F7" s="42"/>
      <c r="G7" s="42"/>
      <c r="H7" s="44"/>
      <c r="I7" s="42"/>
      <c r="J7" s="42"/>
      <c r="K7" s="44"/>
      <c r="L7" s="114"/>
      <c r="M7" s="237" t="s">
        <v>150</v>
      </c>
      <c r="N7" s="238"/>
      <c r="O7" s="238"/>
      <c r="P7" s="239"/>
      <c r="Q7" s="25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5" customHeight="1">
      <c r="A8" s="91"/>
      <c r="B8" s="143" t="s">
        <v>120</v>
      </c>
      <c r="C8" s="185">
        <v>4.8000000000000001E-2</v>
      </c>
      <c r="D8" s="80"/>
      <c r="E8" s="40"/>
      <c r="F8" s="39"/>
      <c r="G8" s="39"/>
      <c r="H8" s="41"/>
      <c r="I8" s="39"/>
      <c r="J8" s="39"/>
      <c r="K8" s="41"/>
      <c r="L8" s="11"/>
      <c r="M8" s="16"/>
      <c r="N8" s="16"/>
      <c r="O8" s="16"/>
      <c r="P8" s="16"/>
    </row>
    <row r="9" spans="1:28" ht="15" customHeight="1">
      <c r="A9" s="91"/>
      <c r="B9" s="247" t="s">
        <v>121</v>
      </c>
      <c r="C9" s="248"/>
      <c r="D9" s="11"/>
      <c r="E9" s="41"/>
      <c r="F9" s="40"/>
      <c r="G9" s="40"/>
      <c r="H9" s="41"/>
      <c r="I9" s="45"/>
      <c r="J9" s="46"/>
      <c r="K9" s="41"/>
      <c r="L9" s="11"/>
    </row>
    <row r="10" spans="1:28" ht="15" customHeight="1">
      <c r="A10" s="91"/>
      <c r="B10" s="245">
        <f>SUM(C5:C8)</f>
        <v>9.5299999999999996E-2</v>
      </c>
      <c r="C10" s="246"/>
      <c r="D10" s="82"/>
      <c r="E10" s="41"/>
      <c r="F10" s="40"/>
      <c r="G10" s="40"/>
      <c r="H10" s="41"/>
      <c r="I10" s="45"/>
      <c r="J10" s="46"/>
      <c r="K10" s="41"/>
      <c r="L10" s="11"/>
    </row>
    <row r="11" spans="1:28" ht="15" customHeight="1">
      <c r="A11" s="91"/>
      <c r="B11" s="247" t="s">
        <v>122</v>
      </c>
      <c r="C11" s="248"/>
      <c r="D11" s="11"/>
      <c r="E11" s="41"/>
      <c r="F11" s="41"/>
      <c r="G11" s="41"/>
      <c r="H11" s="41"/>
      <c r="I11" s="41"/>
      <c r="J11" s="41"/>
      <c r="K11" s="41"/>
      <c r="L11" s="11"/>
    </row>
    <row r="12" spans="1:28" ht="15" customHeight="1" thickBot="1">
      <c r="A12" s="91"/>
      <c r="B12" s="243">
        <v>0.3</v>
      </c>
      <c r="C12" s="244"/>
      <c r="D12" s="83"/>
      <c r="E12" s="41"/>
      <c r="F12" s="41"/>
      <c r="G12" s="41"/>
      <c r="H12" s="41"/>
      <c r="I12" s="41"/>
      <c r="J12" s="41"/>
      <c r="K12" s="41"/>
      <c r="L12" s="11"/>
    </row>
    <row r="13" spans="1:28" ht="15" customHeight="1" thickBot="1">
      <c r="B13" s="99"/>
      <c r="C13" s="86"/>
      <c r="D13" s="87"/>
      <c r="E13" s="87"/>
      <c r="F13" s="87"/>
      <c r="G13" s="87"/>
      <c r="H13" s="87"/>
      <c r="I13" s="87"/>
      <c r="J13" s="87"/>
      <c r="K13" s="87"/>
      <c r="L13" s="11"/>
    </row>
    <row r="14" spans="1:28" ht="15" customHeight="1">
      <c r="A14" s="91"/>
      <c r="B14" s="92" t="s">
        <v>27</v>
      </c>
      <c r="C14" s="92" t="s">
        <v>28</v>
      </c>
      <c r="D14" s="93" t="s">
        <v>106</v>
      </c>
      <c r="E14" s="93" t="s">
        <v>107</v>
      </c>
      <c r="F14" s="93" t="s">
        <v>108</v>
      </c>
      <c r="G14" s="93" t="s">
        <v>109</v>
      </c>
      <c r="H14" s="93" t="s">
        <v>110</v>
      </c>
      <c r="I14" s="93" t="s">
        <v>111</v>
      </c>
      <c r="J14" s="93" t="s">
        <v>112</v>
      </c>
      <c r="K14" s="94" t="s">
        <v>113</v>
      </c>
      <c r="L14" s="11"/>
    </row>
    <row r="15" spans="1:28">
      <c r="A15" s="91"/>
      <c r="B15" s="147" t="str">
        <f>Clientes!B5</f>
        <v>001</v>
      </c>
      <c r="C15" s="121" t="str">
        <f>Clientes!C5</f>
        <v>JS</v>
      </c>
      <c r="D15" s="118">
        <f>Clientes!G5*$E$53</f>
        <v>683.91897413900801</v>
      </c>
      <c r="E15" s="129">
        <f>Clientes!H5*$E$54</f>
        <v>547.04779218064084</v>
      </c>
      <c r="F15" s="119">
        <f>Clientes!I5*$E$55</f>
        <v>811.74708413445364</v>
      </c>
      <c r="G15" s="120">
        <f>SUM(D15:F15)</f>
        <v>2042.7138504541024</v>
      </c>
      <c r="H15" s="119">
        <f t="shared" ref="H15:H50" si="0">(G15/(100%-$B$12))/(100%-$B$10)</f>
        <v>3225.5583547096944</v>
      </c>
      <c r="I15" s="177">
        <v>2000</v>
      </c>
      <c r="J15" s="118">
        <f>IF(I15&lt;H15,(H15-I15),0)</f>
        <v>1225.5583547096944</v>
      </c>
      <c r="K15" s="148">
        <f>IF(I15&gt;H15,(I15-H15),0)</f>
        <v>0</v>
      </c>
      <c r="L15" s="11"/>
    </row>
    <row r="16" spans="1:28">
      <c r="A16" s="91"/>
      <c r="B16" s="147" t="str">
        <f>Clientes!B6</f>
        <v>006</v>
      </c>
      <c r="C16" s="121" t="str">
        <f>Clientes!C6</f>
        <v>ABC</v>
      </c>
      <c r="D16" s="118">
        <f>Clientes!G6*$E$53</f>
        <v>23.341944509863755</v>
      </c>
      <c r="E16" s="129">
        <f>Clientes!H6*$E$54</f>
        <v>31.25987383889376</v>
      </c>
      <c r="F16" s="119">
        <f>Clientes!I6*$E$55</f>
        <v>31.221041697478988</v>
      </c>
      <c r="G16" s="120">
        <f t="shared" ref="G16:G50" si="1">SUM(D16:F16)</f>
        <v>85.822860046236514</v>
      </c>
      <c r="H16" s="119">
        <f t="shared" si="0"/>
        <v>135.51905137652025</v>
      </c>
      <c r="I16" s="177">
        <v>180</v>
      </c>
      <c r="J16" s="118">
        <f t="shared" ref="J16:J50" si="2">IF(I16&lt;H16,(H16-I16),0)</f>
        <v>0</v>
      </c>
      <c r="K16" s="148">
        <f t="shared" ref="K16:K50" si="3">IF(I16&gt;H16,(I16-H16),0)</f>
        <v>44.480948623479748</v>
      </c>
      <c r="L16" s="11"/>
    </row>
    <row r="17" spans="1:12">
      <c r="A17" s="91"/>
      <c r="B17" s="147" t="str">
        <f>Clientes!B7</f>
        <v>013</v>
      </c>
      <c r="C17" s="121" t="str">
        <f>Clientes!C7</f>
        <v>XYZ</v>
      </c>
      <c r="D17" s="118">
        <f>Clientes!G7*$E$53</f>
        <v>560.20666823673014</v>
      </c>
      <c r="E17" s="129">
        <f>Clientes!H7*$E$54</f>
        <v>468.89810758340644</v>
      </c>
      <c r="F17" s="119">
        <f>Clientes!I7*$E$55</f>
        <v>124.88416678991595</v>
      </c>
      <c r="G17" s="120">
        <f t="shared" si="1"/>
        <v>1153.9889426100526</v>
      </c>
      <c r="H17" s="119">
        <f t="shared" si="0"/>
        <v>1822.2124818172601</v>
      </c>
      <c r="I17" s="177">
        <v>1500</v>
      </c>
      <c r="J17" s="118">
        <f t="shared" si="2"/>
        <v>322.21248181726014</v>
      </c>
      <c r="K17" s="148">
        <f t="shared" si="3"/>
        <v>0</v>
      </c>
      <c r="L17" s="11"/>
    </row>
    <row r="18" spans="1:12">
      <c r="A18" s="91"/>
      <c r="B18" s="147" t="str">
        <f>Clientes!B8</f>
        <v>015</v>
      </c>
      <c r="C18" s="121" t="str">
        <f>Clientes!C8</f>
        <v>VVV</v>
      </c>
      <c r="D18" s="118">
        <f>Clientes!G8*$E$53</f>
        <v>65.35744462761852</v>
      </c>
      <c r="E18" s="129">
        <f>Clientes!H8*$E$54</f>
        <v>312.59873838893759</v>
      </c>
      <c r="F18" s="119">
        <f>Clientes!I8*$E$55</f>
        <v>1592.2731265714283</v>
      </c>
      <c r="G18" s="120">
        <f t="shared" si="1"/>
        <v>1970.2293095879845</v>
      </c>
      <c r="H18" s="119">
        <f t="shared" si="0"/>
        <v>3111.1012483822337</v>
      </c>
      <c r="I18" s="177">
        <v>2000</v>
      </c>
      <c r="J18" s="118">
        <f t="shared" si="2"/>
        <v>1111.1012483822337</v>
      </c>
      <c r="K18" s="148">
        <f t="shared" si="3"/>
        <v>0</v>
      </c>
      <c r="L18" s="11"/>
    </row>
    <row r="19" spans="1:12">
      <c r="A19" s="91"/>
      <c r="B19" s="147" t="str">
        <f>Clientes!B9</f>
        <v>016</v>
      </c>
      <c r="C19" s="121" t="str">
        <f>Clientes!C9</f>
        <v>TAB</v>
      </c>
      <c r="D19" s="118">
        <f>Clientes!G9*$E$53</f>
        <v>184.40136162792365</v>
      </c>
      <c r="E19" s="129">
        <f>Clientes!H9*$E$54</f>
        <v>125.03949535557504</v>
      </c>
      <c r="F19" s="119">
        <f>Clientes!I9*$E$55</f>
        <v>156.10520848739495</v>
      </c>
      <c r="G19" s="120">
        <f t="shared" si="1"/>
        <v>465.54606547089361</v>
      </c>
      <c r="H19" s="119">
        <f t="shared" si="0"/>
        <v>735.12303284576365</v>
      </c>
      <c r="I19" s="177">
        <v>750</v>
      </c>
      <c r="J19" s="118">
        <f t="shared" si="2"/>
        <v>0</v>
      </c>
      <c r="K19" s="148">
        <f t="shared" si="3"/>
        <v>14.876967154236354</v>
      </c>
      <c r="L19" s="11"/>
    </row>
    <row r="20" spans="1:12">
      <c r="A20" s="91"/>
      <c r="B20" s="147" t="str">
        <f>Clientes!B10</f>
        <v>023</v>
      </c>
      <c r="C20" s="121" t="str">
        <f>Clientes!C10</f>
        <v>YO0O</v>
      </c>
      <c r="D20" s="118">
        <f>Clientes!G10*$E$53</f>
        <v>191.40394498088278</v>
      </c>
      <c r="E20" s="129">
        <f>Clientes!H10*$E$54</f>
        <v>234.44905379170322</v>
      </c>
      <c r="F20" s="119">
        <f>Clientes!I10*$E$55</f>
        <v>93.663125092436957</v>
      </c>
      <c r="G20" s="120">
        <f t="shared" si="1"/>
        <v>519.51612386502302</v>
      </c>
      <c r="H20" s="119">
        <f t="shared" si="0"/>
        <v>820.34474547999025</v>
      </c>
      <c r="I20" s="177">
        <v>450</v>
      </c>
      <c r="J20" s="118">
        <f t="shared" si="2"/>
        <v>370.34474547999025</v>
      </c>
      <c r="K20" s="148">
        <f t="shared" si="3"/>
        <v>0</v>
      </c>
      <c r="L20" s="11"/>
    </row>
    <row r="21" spans="1:12">
      <c r="A21" s="91"/>
      <c r="B21" s="147" t="str">
        <f>Clientes!B11</f>
        <v>024</v>
      </c>
      <c r="C21" s="121" t="str">
        <f>Clientes!C11</f>
        <v>UIO</v>
      </c>
      <c r="D21" s="118">
        <f>Clientes!G11*$E$53</f>
        <v>70.025833529591267</v>
      </c>
      <c r="E21" s="129">
        <f>Clientes!H11*$E$54</f>
        <v>78.149684597234398</v>
      </c>
      <c r="F21" s="119">
        <f>Clientes!I11*$E$55</f>
        <v>62.442083394957976</v>
      </c>
      <c r="G21" s="120">
        <f t="shared" si="1"/>
        <v>210.61760152178363</v>
      </c>
      <c r="H21" s="119">
        <f t="shared" si="0"/>
        <v>332.57686292501637</v>
      </c>
      <c r="I21" s="177">
        <v>400</v>
      </c>
      <c r="J21" s="118">
        <f t="shared" si="2"/>
        <v>0</v>
      </c>
      <c r="K21" s="148">
        <f t="shared" si="3"/>
        <v>67.423137074983629</v>
      </c>
      <c r="L21" s="11"/>
    </row>
    <row r="22" spans="1:12">
      <c r="A22" s="91"/>
      <c r="B22" s="147" t="str">
        <f>Clientes!B12</f>
        <v>025</v>
      </c>
      <c r="C22" s="121" t="str">
        <f>Clientes!C12</f>
        <v>IEO</v>
      </c>
      <c r="D22" s="118">
        <f>Clientes!G12*$E$53</f>
        <v>819.30225229621783</v>
      </c>
      <c r="E22" s="129">
        <f>Clientes!H12*$E$54</f>
        <v>672.08728753621585</v>
      </c>
      <c r="F22" s="119">
        <f>Clientes!I12*$E$55</f>
        <v>280.9893752773109</v>
      </c>
      <c r="G22" s="120">
        <f t="shared" si="1"/>
        <v>1772.3789151097446</v>
      </c>
      <c r="H22" s="119">
        <f t="shared" si="0"/>
        <v>2798.6845127978409</v>
      </c>
      <c r="I22" s="177">
        <v>2500</v>
      </c>
      <c r="J22" s="118">
        <f t="shared" si="2"/>
        <v>298.68451279784085</v>
      </c>
      <c r="K22" s="148">
        <f t="shared" si="3"/>
        <v>0</v>
      </c>
      <c r="L22" s="11"/>
    </row>
    <row r="23" spans="1:12">
      <c r="A23" s="91"/>
      <c r="B23" s="147" t="str">
        <f>Clientes!B13</f>
        <v>027</v>
      </c>
      <c r="C23" s="121" t="str">
        <f>Clientes!C13</f>
        <v>OEI</v>
      </c>
      <c r="D23" s="118">
        <f>Clientes!G13*$E$53</f>
        <v>667.57961298210341</v>
      </c>
      <c r="E23" s="129">
        <f>Clientes!H13*$E$54</f>
        <v>812.75671981123776</v>
      </c>
      <c r="F23" s="119">
        <f>Clientes!I13*$E$55</f>
        <v>218.54729188235291</v>
      </c>
      <c r="G23" s="120">
        <f t="shared" si="1"/>
        <v>1698.8836246756941</v>
      </c>
      <c r="H23" s="119">
        <f t="shared" si="0"/>
        <v>2682.6313768979362</v>
      </c>
      <c r="I23" s="177">
        <v>2500</v>
      </c>
      <c r="J23" s="118">
        <f>IF(I23&lt;H23,(H23-I23),0)</f>
        <v>182.63137689793621</v>
      </c>
      <c r="K23" s="148">
        <f t="shared" si="3"/>
        <v>0</v>
      </c>
      <c r="L23" s="11"/>
    </row>
    <row r="24" spans="1:12">
      <c r="A24" s="91"/>
      <c r="B24" s="147" t="str">
        <f>Clientes!B14</f>
        <v>028</v>
      </c>
      <c r="C24" s="121" t="str">
        <f>Clientes!C14</f>
        <v>OEUI</v>
      </c>
      <c r="D24" s="118">
        <f>Clientes!G14*$E$53</f>
        <v>207.74330613778741</v>
      </c>
      <c r="E24" s="129">
        <f>Clientes!H14*$E$54</f>
        <v>156.2993691944688</v>
      </c>
      <c r="F24" s="119">
        <f>Clientes!I14*$E$55</f>
        <v>249.7683335798319</v>
      </c>
      <c r="G24" s="120">
        <f t="shared" si="1"/>
        <v>613.81100891208803</v>
      </c>
      <c r="H24" s="119">
        <f t="shared" si="0"/>
        <v>969.24159375971203</v>
      </c>
      <c r="I24" s="177">
        <v>900</v>
      </c>
      <c r="J24" s="118">
        <f>IF(I24&lt;H24,(H24-I24),0)</f>
        <v>69.241593759712032</v>
      </c>
      <c r="K24" s="148">
        <f t="shared" si="3"/>
        <v>0</v>
      </c>
      <c r="L24" s="11"/>
    </row>
    <row r="25" spans="1:12">
      <c r="A25" s="91"/>
      <c r="B25" s="147" t="str">
        <f>Clientes!B15</f>
        <v>030</v>
      </c>
      <c r="C25" s="121" t="str">
        <f>Clientes!C15</f>
        <v>ONM</v>
      </c>
      <c r="D25" s="118">
        <f>Clientes!G15*$E$53</f>
        <v>219.4142783927193</v>
      </c>
      <c r="E25" s="129">
        <f>Clientes!H15*$E$54</f>
        <v>156.2993691944688</v>
      </c>
      <c r="F25" s="119">
        <f>Clientes!I15*$E$55</f>
        <v>218.54729188235291</v>
      </c>
      <c r="G25" s="120">
        <f t="shared" si="1"/>
        <v>594.26093946954097</v>
      </c>
      <c r="H25" s="119">
        <f t="shared" si="0"/>
        <v>938.37095085907083</v>
      </c>
      <c r="I25" s="177">
        <v>800</v>
      </c>
      <c r="J25" s="118">
        <f t="shared" si="2"/>
        <v>138.37095085907083</v>
      </c>
      <c r="K25" s="148">
        <f t="shared" si="3"/>
        <v>0</v>
      </c>
      <c r="L25" s="11"/>
    </row>
    <row r="26" spans="1:12">
      <c r="A26" s="91"/>
      <c r="B26" s="147" t="str">
        <f>Clientes!B16</f>
        <v>031</v>
      </c>
      <c r="C26" s="121" t="str">
        <f>Clientes!C16</f>
        <v>IOMB</v>
      </c>
      <c r="D26" s="118">
        <f>Clientes!G16*$E$53</f>
        <v>28.010333411836505</v>
      </c>
      <c r="E26" s="129">
        <f>Clientes!H16*$E$54</f>
        <v>62.519747677787521</v>
      </c>
      <c r="F26" s="119">
        <f>Clientes!I16*$E$55</f>
        <v>156.10520848739495</v>
      </c>
      <c r="G26" s="120">
        <f t="shared" si="1"/>
        <v>246.63528957701897</v>
      </c>
      <c r="H26" s="119">
        <f t="shared" si="0"/>
        <v>389.45078807026636</v>
      </c>
      <c r="I26" s="177">
        <v>290</v>
      </c>
      <c r="J26" s="118">
        <f t="shared" si="2"/>
        <v>99.450788070266356</v>
      </c>
      <c r="K26" s="148">
        <f t="shared" si="3"/>
        <v>0</v>
      </c>
      <c r="L26" s="11"/>
    </row>
    <row r="27" spans="1:12">
      <c r="A27" s="91"/>
      <c r="B27" s="147" t="str">
        <f>Clientes!B17</f>
        <v>036</v>
      </c>
      <c r="C27" s="121" t="str">
        <f>Clientes!C17</f>
        <v>IOO</v>
      </c>
      <c r="D27" s="118">
        <f>Clientes!G17*$E$53</f>
        <v>72.360027980577641</v>
      </c>
      <c r="E27" s="129">
        <f>Clientes!H17*$E$54</f>
        <v>109.40955843612817</v>
      </c>
      <c r="F27" s="119">
        <f>Clientes!I17*$E$55</f>
        <v>62.442083394957976</v>
      </c>
      <c r="G27" s="120">
        <f t="shared" si="1"/>
        <v>244.2116698116638</v>
      </c>
      <c r="H27" s="119">
        <f t="shared" si="0"/>
        <v>385.62375817029135</v>
      </c>
      <c r="I27" s="177">
        <v>400</v>
      </c>
      <c r="J27" s="118">
        <f t="shared" si="2"/>
        <v>0</v>
      </c>
      <c r="K27" s="148">
        <f t="shared" si="3"/>
        <v>14.376241829708647</v>
      </c>
      <c r="L27" s="11"/>
    </row>
    <row r="28" spans="1:12">
      <c r="A28" s="91"/>
      <c r="B28" s="147" t="str">
        <f>Clientes!B18</f>
        <v>041</v>
      </c>
      <c r="C28" s="121" t="str">
        <f>Clientes!C18</f>
        <v>MNN</v>
      </c>
      <c r="D28" s="118">
        <f>Clientes!G18*$E$53</f>
        <v>504.18600141305711</v>
      </c>
      <c r="E28" s="129">
        <f>Clientes!H18*$E$54</f>
        <v>390.74842298617205</v>
      </c>
      <c r="F28" s="119">
        <f>Clientes!I18*$E$55</f>
        <v>249.7683335798319</v>
      </c>
      <c r="G28" s="120">
        <f t="shared" si="1"/>
        <v>1144.7027579790611</v>
      </c>
      <c r="H28" s="119">
        <f t="shared" si="0"/>
        <v>1807.549081746216</v>
      </c>
      <c r="I28" s="177">
        <v>1500</v>
      </c>
      <c r="J28" s="118">
        <f t="shared" si="2"/>
        <v>307.54908174621596</v>
      </c>
      <c r="K28" s="148">
        <f t="shared" si="3"/>
        <v>0</v>
      </c>
      <c r="L28" s="11"/>
    </row>
    <row r="29" spans="1:12">
      <c r="A29" s="91"/>
      <c r="B29" s="147" t="str">
        <f>Clientes!B19</f>
        <v>042</v>
      </c>
      <c r="C29" s="121" t="str">
        <f>Clientes!C19</f>
        <v>MM</v>
      </c>
      <c r="D29" s="118">
        <f>Clientes!G19*$E$53</f>
        <v>84.031000235509509</v>
      </c>
      <c r="E29" s="129">
        <f>Clientes!H19*$E$54</f>
        <v>125.03949535557504</v>
      </c>
      <c r="F29" s="119">
        <f>Clientes!I19*$E$55</f>
        <v>93.663125092436957</v>
      </c>
      <c r="G29" s="120">
        <f t="shared" si="1"/>
        <v>302.73362068352151</v>
      </c>
      <c r="H29" s="119">
        <f t="shared" si="0"/>
        <v>478.03316124290848</v>
      </c>
      <c r="I29" s="177">
        <v>250</v>
      </c>
      <c r="J29" s="118">
        <f t="shared" si="2"/>
        <v>228.03316124290848</v>
      </c>
      <c r="K29" s="148">
        <f t="shared" si="3"/>
        <v>0</v>
      </c>
      <c r="L29" s="11"/>
    </row>
    <row r="30" spans="1:12">
      <c r="A30" s="91"/>
      <c r="B30" s="147" t="str">
        <f>Clientes!B20</f>
        <v>044</v>
      </c>
      <c r="C30" s="121" t="str">
        <f>Clientes!C20</f>
        <v>MEB</v>
      </c>
      <c r="D30" s="118">
        <f>Clientes!G20*$E$53</f>
        <v>142.38586151016889</v>
      </c>
      <c r="E30" s="129">
        <f>Clientes!H20*$E$54</f>
        <v>125.03949535557504</v>
      </c>
      <c r="F30" s="119">
        <f>Clientes!I20*$E$55</f>
        <v>124.88416678991595</v>
      </c>
      <c r="G30" s="120">
        <f t="shared" si="1"/>
        <v>392.30952365565986</v>
      </c>
      <c r="H30" s="119">
        <f t="shared" si="0"/>
        <v>619.47847535198696</v>
      </c>
      <c r="I30" s="177">
        <v>600</v>
      </c>
      <c r="J30" s="118">
        <f t="shared" si="2"/>
        <v>19.478475351986958</v>
      </c>
      <c r="K30" s="148">
        <f t="shared" si="3"/>
        <v>0</v>
      </c>
      <c r="L30" s="11"/>
    </row>
    <row r="31" spans="1:12">
      <c r="A31" s="91"/>
      <c r="B31" s="147" t="str">
        <f>Clientes!B21</f>
        <v>046</v>
      </c>
      <c r="C31" s="121" t="str">
        <f>Clientes!C21</f>
        <v>EAD</v>
      </c>
      <c r="D31" s="118">
        <f>Clientes!G21*$E$53</f>
        <v>91.033583588468645</v>
      </c>
      <c r="E31" s="129">
        <f>Clientes!H21*$E$54</f>
        <v>109.40955843612817</v>
      </c>
      <c r="F31" s="119">
        <f>Clientes!I21*$E$55</f>
        <v>156.10520848739495</v>
      </c>
      <c r="G31" s="120">
        <f t="shared" si="1"/>
        <v>356.54835051199177</v>
      </c>
      <c r="H31" s="119">
        <f t="shared" si="0"/>
        <v>563.00960146535044</v>
      </c>
      <c r="I31" s="177">
        <v>600</v>
      </c>
      <c r="J31" s="118">
        <f t="shared" si="2"/>
        <v>0</v>
      </c>
      <c r="K31" s="148">
        <f t="shared" si="3"/>
        <v>36.990398534649557</v>
      </c>
      <c r="L31" s="11"/>
    </row>
    <row r="32" spans="1:12">
      <c r="A32" s="91"/>
      <c r="B32" s="147" t="str">
        <f>Clientes!B22</f>
        <v>055</v>
      </c>
      <c r="C32" s="121" t="str">
        <f>Clientes!C22</f>
        <v>EIA</v>
      </c>
      <c r="D32" s="118">
        <f>Clientes!G22*$E$53</f>
        <v>49.018083470713883</v>
      </c>
      <c r="E32" s="129">
        <f>Clientes!H22*$E$54</f>
        <v>31.25987383889376</v>
      </c>
      <c r="F32" s="119">
        <f>Clientes!I22*$E$55</f>
        <v>187.32625018487391</v>
      </c>
      <c r="G32" s="120">
        <f t="shared" si="1"/>
        <v>267.60420749448156</v>
      </c>
      <c r="H32" s="119">
        <f t="shared" si="0"/>
        <v>422.56187132985133</v>
      </c>
      <c r="I32" s="177">
        <v>150</v>
      </c>
      <c r="J32" s="118">
        <f t="shared" si="2"/>
        <v>272.56187132985133</v>
      </c>
      <c r="K32" s="148">
        <f t="shared" si="3"/>
        <v>0</v>
      </c>
      <c r="L32" s="11"/>
    </row>
    <row r="33" spans="1:12">
      <c r="A33" s="91"/>
      <c r="B33" s="147" t="str">
        <f>Clientes!B23</f>
        <v>062</v>
      </c>
      <c r="C33" s="121" t="str">
        <f>Clientes!C23</f>
        <v>ILMNB</v>
      </c>
      <c r="D33" s="118">
        <f>Clientes!G23*$E$53</f>
        <v>23.341944509863755</v>
      </c>
      <c r="E33" s="129">
        <f>Clientes!H23*$E$54</f>
        <v>62.519747677787521</v>
      </c>
      <c r="F33" s="119">
        <f>Clientes!I23*$E$55</f>
        <v>93.663125092436957</v>
      </c>
      <c r="G33" s="120">
        <f t="shared" si="1"/>
        <v>179.52481728008823</v>
      </c>
      <c r="H33" s="119">
        <f t="shared" si="0"/>
        <v>283.47963378560883</v>
      </c>
      <c r="I33" s="177">
        <v>150</v>
      </c>
      <c r="J33" s="118">
        <f t="shared" si="2"/>
        <v>133.47963378560883</v>
      </c>
      <c r="K33" s="148">
        <f t="shared" si="3"/>
        <v>0</v>
      </c>
      <c r="L33" s="11"/>
    </row>
    <row r="34" spans="1:12">
      <c r="A34" s="91"/>
      <c r="B34" s="147" t="str">
        <f>Clientes!B24</f>
        <v>063</v>
      </c>
      <c r="C34" s="121" t="str">
        <f>Clientes!C24</f>
        <v>IMM</v>
      </c>
      <c r="D34" s="118">
        <f>Clientes!G24*$E$53</f>
        <v>252.09300070652856</v>
      </c>
      <c r="E34" s="129">
        <f>Clientes!H24*$E$54</f>
        <v>312.59873838893759</v>
      </c>
      <c r="F34" s="119">
        <f>Clientes!I24*$E$55</f>
        <v>249.7683335798319</v>
      </c>
      <c r="G34" s="120">
        <f t="shared" si="1"/>
        <v>814.46007267529808</v>
      </c>
      <c r="H34" s="119">
        <f t="shared" si="0"/>
        <v>1286.0775832166908</v>
      </c>
      <c r="I34" s="177">
        <v>1100</v>
      </c>
      <c r="J34" s="118">
        <f t="shared" si="2"/>
        <v>186.07758321669075</v>
      </c>
      <c r="K34" s="148">
        <f t="shared" si="3"/>
        <v>0</v>
      </c>
      <c r="L34" s="11"/>
    </row>
    <row r="35" spans="1:12">
      <c r="A35" s="91"/>
      <c r="B35" s="147" t="str">
        <f>Clientes!B25</f>
        <v>066</v>
      </c>
      <c r="C35" s="121" t="str">
        <f>Clientes!C25</f>
        <v>IMMB</v>
      </c>
      <c r="D35" s="118">
        <f>Clientes!G25*$E$53</f>
        <v>385.14208441275196</v>
      </c>
      <c r="E35" s="129">
        <f>Clientes!H25*$E$54</f>
        <v>312.59873838893759</v>
      </c>
      <c r="F35" s="119">
        <f>Clientes!I25*$E$55</f>
        <v>655.64187564705878</v>
      </c>
      <c r="G35" s="120">
        <f t="shared" si="1"/>
        <v>1353.3826984487482</v>
      </c>
      <c r="H35" s="119">
        <f t="shared" si="0"/>
        <v>2137.0662705060054</v>
      </c>
      <c r="I35" s="177">
        <v>1100</v>
      </c>
      <c r="J35" s="118">
        <f t="shared" si="2"/>
        <v>1037.0662705060054</v>
      </c>
      <c r="K35" s="148">
        <f t="shared" si="3"/>
        <v>0</v>
      </c>
      <c r="L35" s="11"/>
    </row>
    <row r="36" spans="1:12">
      <c r="A36" s="91"/>
      <c r="B36" s="147" t="str">
        <f>Clientes!B26</f>
        <v>073</v>
      </c>
      <c r="C36" s="121" t="str">
        <f>Clientes!C26</f>
        <v>NBU</v>
      </c>
      <c r="D36" s="118">
        <f>Clientes!G26*$E$53</f>
        <v>11.670972254931877</v>
      </c>
      <c r="E36" s="129">
        <f>Clientes!H26*$E$54</f>
        <v>0</v>
      </c>
      <c r="F36" s="119">
        <f>Clientes!I26*$E$55</f>
        <v>62.442083394957976</v>
      </c>
      <c r="G36" s="120">
        <f t="shared" si="1"/>
        <v>74.113055649889859</v>
      </c>
      <c r="H36" s="119">
        <f t="shared" si="0"/>
        <v>117.02862140550121</v>
      </c>
      <c r="I36" s="177">
        <v>300</v>
      </c>
      <c r="J36" s="118">
        <f t="shared" si="2"/>
        <v>0</v>
      </c>
      <c r="K36" s="148">
        <f t="shared" si="3"/>
        <v>182.97137859449879</v>
      </c>
      <c r="L36" s="11"/>
    </row>
    <row r="37" spans="1:12">
      <c r="A37" s="91"/>
      <c r="B37" s="147" t="str">
        <f>Clientes!B27</f>
        <v>076</v>
      </c>
      <c r="C37" s="121" t="str">
        <f>Clientes!C27</f>
        <v>FIL</v>
      </c>
      <c r="D37" s="118">
        <f>Clientes!G27*$E$53</f>
        <v>714.26350200183094</v>
      </c>
      <c r="E37" s="129">
        <f>Clientes!H27*$E$54</f>
        <v>547.04779218064084</v>
      </c>
      <c r="F37" s="119">
        <f>Clientes!I27*$E$55</f>
        <v>249.7683335798319</v>
      </c>
      <c r="G37" s="120">
        <f t="shared" si="1"/>
        <v>1511.0796277623037</v>
      </c>
      <c r="H37" s="119">
        <f t="shared" si="0"/>
        <v>2386.0784597298293</v>
      </c>
      <c r="I37" s="177">
        <v>4000</v>
      </c>
      <c r="J37" s="118">
        <f t="shared" si="2"/>
        <v>0</v>
      </c>
      <c r="K37" s="148">
        <f t="shared" si="3"/>
        <v>1613.9215402701707</v>
      </c>
      <c r="L37" s="11"/>
    </row>
    <row r="38" spans="1:12">
      <c r="A38" s="91"/>
      <c r="B38" s="147" t="str">
        <f>Clientes!B28</f>
        <v>081</v>
      </c>
      <c r="C38" s="121" t="str">
        <f>Clientes!C28</f>
        <v>INN</v>
      </c>
      <c r="D38" s="118">
        <f>Clientes!G28*$E$53</f>
        <v>23.341944509863755</v>
      </c>
      <c r="E38" s="129">
        <f>Clientes!H28*$E$54</f>
        <v>0</v>
      </c>
      <c r="F38" s="119">
        <f>Clientes!I28*$E$55</f>
        <v>93.663125092436957</v>
      </c>
      <c r="G38" s="120">
        <f t="shared" si="1"/>
        <v>117.00506960230071</v>
      </c>
      <c r="H38" s="119">
        <f t="shared" si="0"/>
        <v>184.75748804228823</v>
      </c>
      <c r="I38" s="177">
        <v>400</v>
      </c>
      <c r="J38" s="118">
        <f t="shared" si="2"/>
        <v>0</v>
      </c>
      <c r="K38" s="148">
        <f t="shared" si="3"/>
        <v>215.24251195771177</v>
      </c>
      <c r="L38" s="11"/>
    </row>
    <row r="39" spans="1:12">
      <c r="A39" s="91"/>
      <c r="B39" s="147" t="str">
        <f>Clientes!B29</f>
        <v>082</v>
      </c>
      <c r="C39" s="121" t="str">
        <f>Clientes!C29</f>
        <v>NBI</v>
      </c>
      <c r="D39" s="118">
        <f>Clientes!G29*$E$53</f>
        <v>88.699389137482271</v>
      </c>
      <c r="E39" s="129">
        <f>Clientes!H29*$E$54</f>
        <v>109.40955843612817</v>
      </c>
      <c r="F39" s="119">
        <f>Clientes!I29*$E$55</f>
        <v>312.21041697478989</v>
      </c>
      <c r="G39" s="120">
        <f t="shared" si="1"/>
        <v>510.31936454840036</v>
      </c>
      <c r="H39" s="119">
        <f t="shared" si="0"/>
        <v>805.8225529353067</v>
      </c>
      <c r="I39" s="177">
        <v>800</v>
      </c>
      <c r="J39" s="118">
        <f t="shared" si="2"/>
        <v>5.8225529353067031</v>
      </c>
      <c r="K39" s="148">
        <f t="shared" si="3"/>
        <v>0</v>
      </c>
      <c r="L39" s="11"/>
    </row>
    <row r="40" spans="1:12">
      <c r="A40" s="91"/>
      <c r="B40" s="147" t="str">
        <f>Clientes!B30</f>
        <v>083</v>
      </c>
      <c r="C40" s="121" t="str">
        <f>Clientes!C30</f>
        <v>UIB</v>
      </c>
      <c r="D40" s="118">
        <f>Clientes!G30*$E$53</f>
        <v>0</v>
      </c>
      <c r="E40" s="129">
        <f>Clientes!H30*$E$54</f>
        <v>500.15798142230017</v>
      </c>
      <c r="F40" s="119">
        <f>Clientes!I30*$E$55</f>
        <v>249.7683335798319</v>
      </c>
      <c r="G40" s="120">
        <f t="shared" si="1"/>
        <v>749.92631500213201</v>
      </c>
      <c r="H40" s="119">
        <f t="shared" si="0"/>
        <v>1184.1752040962781</v>
      </c>
      <c r="I40" s="177">
        <v>650</v>
      </c>
      <c r="J40" s="118">
        <f t="shared" si="2"/>
        <v>534.17520409627809</v>
      </c>
      <c r="K40" s="148">
        <f t="shared" si="3"/>
        <v>0</v>
      </c>
      <c r="L40" s="11"/>
    </row>
    <row r="41" spans="1:12">
      <c r="A41" s="91"/>
      <c r="B41" s="147" t="str">
        <f>Clientes!B31</f>
        <v>090</v>
      </c>
      <c r="C41" s="121" t="str">
        <f>Clientes!C31</f>
        <v>UOO</v>
      </c>
      <c r="D41" s="118">
        <f>Clientes!G31*$E$53</f>
        <v>175.06458382397815</v>
      </c>
      <c r="E41" s="129">
        <f>Clientes!H31*$E$54</f>
        <v>187.55924303336258</v>
      </c>
      <c r="F41" s="119">
        <f>Clientes!I31*$E$55</f>
        <v>249.7683335798319</v>
      </c>
      <c r="G41" s="120">
        <f t="shared" si="1"/>
        <v>612.39216043717261</v>
      </c>
      <c r="H41" s="119">
        <f t="shared" si="0"/>
        <v>967.00115340076843</v>
      </c>
      <c r="I41" s="177">
        <v>1100</v>
      </c>
      <c r="J41" s="118">
        <f t="shared" si="2"/>
        <v>0</v>
      </c>
      <c r="K41" s="148">
        <f t="shared" si="3"/>
        <v>132.99884659923157</v>
      </c>
      <c r="L41" s="11"/>
    </row>
    <row r="42" spans="1:12">
      <c r="A42" s="91"/>
      <c r="B42" s="147" t="str">
        <f>Clientes!B32</f>
        <v>093</v>
      </c>
      <c r="C42" s="121" t="str">
        <f>Clientes!C32</f>
        <v>NMB</v>
      </c>
      <c r="D42" s="118">
        <f>Clientes!G32*$E$53</f>
        <v>30.344527862822879</v>
      </c>
      <c r="E42" s="129">
        <f>Clientes!H32*$E$54</f>
        <v>187.55924303336258</v>
      </c>
      <c r="F42" s="119">
        <f>Clientes!I32*$E$55</f>
        <v>374.65250036974783</v>
      </c>
      <c r="G42" s="120">
        <f t="shared" si="1"/>
        <v>592.55627126593322</v>
      </c>
      <c r="H42" s="119">
        <f t="shared" si="0"/>
        <v>935.67918531152111</v>
      </c>
      <c r="I42" s="177">
        <v>900</v>
      </c>
      <c r="J42" s="118">
        <f t="shared" si="2"/>
        <v>35.67918531152111</v>
      </c>
      <c r="K42" s="148">
        <f t="shared" si="3"/>
        <v>0</v>
      </c>
      <c r="L42" s="11"/>
    </row>
    <row r="43" spans="1:12">
      <c r="A43" s="91"/>
      <c r="B43" s="147" t="str">
        <f>Clientes!B33</f>
        <v>105</v>
      </c>
      <c r="C43" s="121" t="str">
        <f>Clientes!C33</f>
        <v>ABD</v>
      </c>
      <c r="D43" s="118">
        <f>Clientes!G33*$E$53</f>
        <v>39.681305666768381</v>
      </c>
      <c r="E43" s="129">
        <f>Clientes!H33*$E$54</f>
        <v>125.03949535557504</v>
      </c>
      <c r="F43" s="119">
        <f>Clientes!I33*$E$55</f>
        <v>405.87354206722682</v>
      </c>
      <c r="G43" s="120">
        <f t="shared" si="1"/>
        <v>570.5943430895702</v>
      </c>
      <c r="H43" s="119">
        <f t="shared" si="0"/>
        <v>901.00008383137299</v>
      </c>
      <c r="I43" s="177">
        <v>900</v>
      </c>
      <c r="J43" s="118">
        <f t="shared" si="2"/>
        <v>1.0000838313729901</v>
      </c>
      <c r="K43" s="148">
        <f t="shared" si="3"/>
        <v>0</v>
      </c>
      <c r="L43" s="11"/>
    </row>
    <row r="44" spans="1:12">
      <c r="A44" s="91"/>
      <c r="B44" s="147" t="str">
        <f>Clientes!B34</f>
        <v>118</v>
      </c>
      <c r="C44" s="121" t="str">
        <f>Clientes!C34</f>
        <v>OIP</v>
      </c>
      <c r="D44" s="118">
        <f>Clientes!G34*$E$53</f>
        <v>207.74330613778741</v>
      </c>
      <c r="E44" s="129">
        <f>Clientes!H34*$E$54</f>
        <v>156.2993691944688</v>
      </c>
      <c r="F44" s="119">
        <f>Clientes!I34*$E$55</f>
        <v>156.10520848739495</v>
      </c>
      <c r="G44" s="120">
        <f t="shared" si="1"/>
        <v>520.14788381965116</v>
      </c>
      <c r="H44" s="119">
        <f t="shared" si="0"/>
        <v>821.34232945356973</v>
      </c>
      <c r="I44" s="177">
        <v>800</v>
      </c>
      <c r="J44" s="118">
        <f t="shared" si="2"/>
        <v>21.342329453569732</v>
      </c>
      <c r="K44" s="148">
        <f t="shared" si="3"/>
        <v>0</v>
      </c>
      <c r="L44" s="11"/>
    </row>
    <row r="45" spans="1:12">
      <c r="A45" s="91"/>
      <c r="B45" s="147" t="str">
        <f>Clientes!B35</f>
        <v>148</v>
      </c>
      <c r="C45" s="121" t="str">
        <f>Clientes!C35</f>
        <v>OOOU</v>
      </c>
      <c r="D45" s="118">
        <f>Clientes!G35*$E$53</f>
        <v>373.47111215782007</v>
      </c>
      <c r="E45" s="129">
        <f>Clientes!H35*$E$54</f>
        <v>468.89810758340644</v>
      </c>
      <c r="F45" s="119">
        <f>Clientes!I35*$E$55</f>
        <v>249.7683335798319</v>
      </c>
      <c r="G45" s="120">
        <f t="shared" si="1"/>
        <v>1092.1375533210585</v>
      </c>
      <c r="H45" s="119">
        <f t="shared" si="0"/>
        <v>1724.5457110029504</v>
      </c>
      <c r="I45" s="177">
        <v>1500</v>
      </c>
      <c r="J45" s="118">
        <f t="shared" si="2"/>
        <v>224.54571100295038</v>
      </c>
      <c r="K45" s="148">
        <f t="shared" si="3"/>
        <v>0</v>
      </c>
      <c r="L45" s="11"/>
    </row>
    <row r="46" spans="1:12">
      <c r="A46" s="91"/>
      <c r="B46" s="147" t="str">
        <f>Clientes!B36</f>
        <v>158</v>
      </c>
      <c r="C46" s="121" t="str">
        <f>Clientes!C36</f>
        <v>IUI</v>
      </c>
      <c r="D46" s="118">
        <f>Clientes!G36*$E$53</f>
        <v>308.11366753020155</v>
      </c>
      <c r="E46" s="129">
        <f>Clientes!H36*$E$54</f>
        <v>468.89810758340644</v>
      </c>
      <c r="F46" s="119">
        <f>Clientes!I36*$E$55</f>
        <v>93.663125092436957</v>
      </c>
      <c r="G46" s="120">
        <f t="shared" si="1"/>
        <v>870.67490020604498</v>
      </c>
      <c r="H46" s="119">
        <f t="shared" si="0"/>
        <v>1374.8439106981714</v>
      </c>
      <c r="I46" s="177">
        <v>1500</v>
      </c>
      <c r="J46" s="118">
        <f t="shared" si="2"/>
        <v>0</v>
      </c>
      <c r="K46" s="148">
        <f t="shared" si="3"/>
        <v>125.15608930182862</v>
      </c>
      <c r="L46" s="11"/>
    </row>
    <row r="47" spans="1:12">
      <c r="A47" s="91"/>
      <c r="B47" s="147" t="str">
        <f>Clientes!B37</f>
        <v>162</v>
      </c>
      <c r="C47" s="121" t="str">
        <f>Clientes!C37</f>
        <v>XLC</v>
      </c>
      <c r="D47" s="118">
        <f>Clientes!G37*$E$53</f>
        <v>123.7123059022779</v>
      </c>
      <c r="E47" s="129">
        <f>Clientes!H37*$E$54</f>
        <v>109.40955843612817</v>
      </c>
      <c r="F47" s="119">
        <f>Clientes!I37*$E$55</f>
        <v>124.88416678991595</v>
      </c>
      <c r="G47" s="120">
        <f t="shared" si="1"/>
        <v>358.00603112832198</v>
      </c>
      <c r="H47" s="119">
        <f t="shared" si="0"/>
        <v>565.31135992724023</v>
      </c>
      <c r="I47" s="177">
        <v>600</v>
      </c>
      <c r="J47" s="118">
        <f t="shared" si="2"/>
        <v>0</v>
      </c>
      <c r="K47" s="148">
        <f t="shared" si="3"/>
        <v>34.688640072759767</v>
      </c>
      <c r="L47" s="11"/>
    </row>
    <row r="48" spans="1:12">
      <c r="A48" s="91"/>
      <c r="B48" s="147" t="str">
        <f>Clientes!B38</f>
        <v>165</v>
      </c>
      <c r="C48" s="121" t="str">
        <f>Clientes!C38</f>
        <v>UOX</v>
      </c>
      <c r="D48" s="118">
        <f>Clientes!G38*$E$53</f>
        <v>91.033583588468645</v>
      </c>
      <c r="E48" s="129">
        <f>Clientes!H38*$E$54</f>
        <v>78.149684597234398</v>
      </c>
      <c r="F48" s="119">
        <f>Clientes!I38*$E$55</f>
        <v>124.88416678991595</v>
      </c>
      <c r="G48" s="120">
        <f t="shared" si="1"/>
        <v>294.06743497561899</v>
      </c>
      <c r="H48" s="119">
        <f t="shared" si="0"/>
        <v>464.34877382497586</v>
      </c>
      <c r="I48" s="177">
        <v>450</v>
      </c>
      <c r="J48" s="118">
        <f t="shared" si="2"/>
        <v>14.348773824975865</v>
      </c>
      <c r="K48" s="148">
        <f t="shared" si="3"/>
        <v>0</v>
      </c>
      <c r="L48" s="11"/>
    </row>
    <row r="49" spans="1:12">
      <c r="A49" s="91"/>
      <c r="B49" s="147" t="str">
        <f>Clientes!B39</f>
        <v>166</v>
      </c>
      <c r="C49" s="121" t="str">
        <f>Clientes!C39</f>
        <v>ZZI</v>
      </c>
      <c r="D49" s="118">
        <f>Clientes!G39*$E$53</f>
        <v>67.691639078604894</v>
      </c>
      <c r="E49" s="129">
        <f>Clientes!H39*$E$54</f>
        <v>125.03949535557504</v>
      </c>
      <c r="F49" s="119">
        <f>Clientes!I39*$E$55</f>
        <v>31.221041697478988</v>
      </c>
      <c r="G49" s="120">
        <f t="shared" si="1"/>
        <v>223.95217613165892</v>
      </c>
      <c r="H49" s="119">
        <f t="shared" si="0"/>
        <v>353.63289509017818</v>
      </c>
      <c r="I49" s="177">
        <v>200</v>
      </c>
      <c r="J49" s="118">
        <f t="shared" si="2"/>
        <v>153.63289509017818</v>
      </c>
      <c r="K49" s="148">
        <f t="shared" si="3"/>
        <v>0</v>
      </c>
      <c r="L49" s="11"/>
    </row>
    <row r="50" spans="1:12">
      <c r="A50" s="91"/>
      <c r="B50" s="147" t="str">
        <f>Clientes!B40</f>
        <v>168</v>
      </c>
      <c r="C50" s="121" t="str">
        <f>Clientes!C40</f>
        <v>ZIO</v>
      </c>
      <c r="D50" s="118">
        <f>Clientes!G40*$E$53</f>
        <v>70.025833529591267</v>
      </c>
      <c r="E50" s="129">
        <f>Clientes!H40*$E$54</f>
        <v>78.149684597234398</v>
      </c>
      <c r="F50" s="119">
        <f>Clientes!I40*$E$55</f>
        <v>93.663125092436957</v>
      </c>
      <c r="G50" s="120">
        <f t="shared" si="1"/>
        <v>241.83864321926262</v>
      </c>
      <c r="H50" s="119">
        <f t="shared" si="0"/>
        <v>381.87661769373057</v>
      </c>
      <c r="I50" s="177">
        <v>250</v>
      </c>
      <c r="J50" s="118">
        <f t="shared" si="2"/>
        <v>131.87661769373057</v>
      </c>
      <c r="K50" s="148">
        <f t="shared" si="3"/>
        <v>0</v>
      </c>
      <c r="L50" s="11"/>
    </row>
    <row r="51" spans="1:12" ht="12.6" thickBot="1">
      <c r="A51" s="91"/>
      <c r="B51" s="124" t="str">
        <f>Clientes!B41</f>
        <v>TOTAL</v>
      </c>
      <c r="C51" s="77"/>
      <c r="D51" s="125">
        <f t="shared" ref="D51:K51" si="4">SUM(D15:D50)</f>
        <v>7649.1552158823542</v>
      </c>
      <c r="E51" s="126">
        <f t="shared" si="4"/>
        <v>8377.6461888235281</v>
      </c>
      <c r="F51" s="126">
        <f t="shared" si="4"/>
        <v>8741.8916752941132</v>
      </c>
      <c r="G51" s="127">
        <f t="shared" si="4"/>
        <v>24768.693080000001</v>
      </c>
      <c r="H51" s="127">
        <f t="shared" si="4"/>
        <v>39111.138783179886</v>
      </c>
      <c r="I51" s="127">
        <f t="shared" si="4"/>
        <v>34470</v>
      </c>
      <c r="J51" s="127">
        <f t="shared" si="4"/>
        <v>7124.2654831931541</v>
      </c>
      <c r="K51" s="128">
        <f t="shared" si="4"/>
        <v>2483.1267000132593</v>
      </c>
      <c r="L51" s="17"/>
    </row>
    <row r="52" spans="1:12" ht="12" thickBot="1">
      <c r="B52" s="100"/>
      <c r="C52" s="88"/>
      <c r="D52" s="88"/>
      <c r="E52" s="88"/>
      <c r="F52" s="85"/>
      <c r="G52" s="85"/>
      <c r="H52" s="85"/>
      <c r="I52" s="85"/>
      <c r="J52" s="85"/>
      <c r="K52" s="85"/>
      <c r="L52" s="17"/>
    </row>
    <row r="53" spans="1:12" ht="12">
      <c r="B53" s="35"/>
      <c r="C53" s="149" t="s">
        <v>114</v>
      </c>
      <c r="D53" s="150">
        <f>'Custos Gerais'!D38</f>
        <v>7649.1552158823524</v>
      </c>
      <c r="E53" s="151">
        <f>D53/Clientes!G41</f>
        <v>2.3341944509863755</v>
      </c>
      <c r="F53" s="3"/>
      <c r="G53" s="2"/>
      <c r="H53" s="2"/>
      <c r="I53" s="2"/>
      <c r="J53" s="2"/>
      <c r="K53" s="2"/>
      <c r="L53" s="11"/>
    </row>
    <row r="54" spans="1:12" ht="12">
      <c r="B54" s="35"/>
      <c r="C54" s="152" t="s">
        <v>115</v>
      </c>
      <c r="D54" s="136">
        <f>'Custos Gerais'!E38</f>
        <v>8377.6461888235281</v>
      </c>
      <c r="E54" s="153">
        <f>D54/Clientes!H41</f>
        <v>1.5629936919446881</v>
      </c>
      <c r="F54" s="3"/>
      <c r="G54" s="2"/>
      <c r="H54" s="2"/>
      <c r="I54" s="2"/>
      <c r="J54" s="2"/>
      <c r="K54" s="2"/>
      <c r="L54" s="11"/>
    </row>
    <row r="55" spans="1:12" ht="12.6" thickBot="1">
      <c r="B55" s="35"/>
      <c r="C55" s="154" t="s">
        <v>116</v>
      </c>
      <c r="D55" s="155">
        <f>'Custos Gerais'!F38</f>
        <v>8741.8916752941168</v>
      </c>
      <c r="E55" s="156">
        <f>D55/Clientes!I41</f>
        <v>31.221041697478988</v>
      </c>
      <c r="F55" s="3"/>
      <c r="G55" s="2"/>
      <c r="H55" s="2"/>
      <c r="I55" s="2"/>
      <c r="J55" s="2"/>
      <c r="K55" s="2"/>
      <c r="L55" s="11"/>
    </row>
    <row r="56" spans="1:12" s="12" customFormat="1">
      <c r="B56" s="5"/>
      <c r="C56" s="18"/>
      <c r="D56" s="18"/>
      <c r="E56" s="18"/>
      <c r="F56" s="18"/>
      <c r="G56" s="18"/>
      <c r="H56" s="18"/>
      <c r="I56" s="18"/>
      <c r="J56" s="18"/>
      <c r="K56" s="16"/>
    </row>
    <row r="57" spans="1:12" s="12" customFormat="1">
      <c r="B57" s="11"/>
    </row>
    <row r="58" spans="1:12" s="12" customFormat="1">
      <c r="B58" s="11"/>
    </row>
    <row r="59" spans="1:12" s="12" customFormat="1">
      <c r="B59" s="11"/>
    </row>
    <row r="60" spans="1:12" s="12" customFormat="1">
      <c r="B60" s="11"/>
    </row>
    <row r="61" spans="1:12" s="12" customFormat="1">
      <c r="B61" s="11"/>
    </row>
    <row r="62" spans="1:12" s="12" customFormat="1">
      <c r="B62" s="11"/>
    </row>
    <row r="63" spans="1:12" s="12" customFormat="1">
      <c r="B63" s="11"/>
    </row>
    <row r="64" spans="1:12" s="12" customFormat="1">
      <c r="B64" s="11"/>
    </row>
    <row r="65" spans="2:2" s="12" customFormat="1">
      <c r="B65" s="11"/>
    </row>
    <row r="66" spans="2:2" s="12" customFormat="1">
      <c r="B66" s="11"/>
    </row>
    <row r="67" spans="2:2" s="12" customFormat="1">
      <c r="B67" s="11"/>
    </row>
    <row r="68" spans="2:2" s="12" customFormat="1">
      <c r="B68" s="11"/>
    </row>
    <row r="69" spans="2:2" s="12" customFormat="1">
      <c r="B69" s="11"/>
    </row>
    <row r="70" spans="2:2" s="12" customFormat="1">
      <c r="B70" s="11"/>
    </row>
    <row r="71" spans="2:2" s="12" customFormat="1">
      <c r="B71" s="11"/>
    </row>
    <row r="72" spans="2:2" s="12" customFormat="1">
      <c r="B72" s="11"/>
    </row>
    <row r="73" spans="2:2" s="12" customFormat="1">
      <c r="B73" s="11"/>
    </row>
    <row r="74" spans="2:2" s="12" customFormat="1">
      <c r="B74" s="11"/>
    </row>
    <row r="75" spans="2:2" s="12" customFormat="1">
      <c r="B75" s="11"/>
    </row>
    <row r="76" spans="2:2" s="12" customFormat="1">
      <c r="B76" s="11"/>
    </row>
    <row r="77" spans="2:2" s="12" customFormat="1">
      <c r="B77" s="11"/>
    </row>
    <row r="78" spans="2:2" s="12" customFormat="1">
      <c r="B78" s="11"/>
    </row>
    <row r="79" spans="2:2" s="12" customFormat="1">
      <c r="B79" s="11"/>
    </row>
    <row r="80" spans="2:2" s="12" customFormat="1">
      <c r="B80" s="11"/>
    </row>
    <row r="81" spans="2:2" s="12" customFormat="1">
      <c r="B81" s="11"/>
    </row>
    <row r="82" spans="2:2" s="12" customFormat="1">
      <c r="B82" s="11"/>
    </row>
    <row r="83" spans="2:2" s="12" customFormat="1">
      <c r="B83" s="11"/>
    </row>
    <row r="84" spans="2:2" s="12" customFormat="1">
      <c r="B84" s="11"/>
    </row>
    <row r="85" spans="2:2" s="12" customFormat="1">
      <c r="B85" s="11"/>
    </row>
    <row r="86" spans="2:2" s="12" customFormat="1">
      <c r="B86" s="11"/>
    </row>
    <row r="87" spans="2:2" s="12" customFormat="1">
      <c r="B87" s="11"/>
    </row>
    <row r="88" spans="2:2" s="12" customFormat="1">
      <c r="B88" s="11"/>
    </row>
    <row r="89" spans="2:2" s="12" customFormat="1">
      <c r="B89" s="11"/>
    </row>
    <row r="90" spans="2:2" s="12" customFormat="1">
      <c r="B90" s="11"/>
    </row>
    <row r="91" spans="2:2" s="12" customFormat="1">
      <c r="B91" s="11"/>
    </row>
    <row r="92" spans="2:2" s="12" customFormat="1">
      <c r="B92" s="11"/>
    </row>
    <row r="93" spans="2:2" s="12" customFormat="1">
      <c r="B93" s="11"/>
    </row>
    <row r="94" spans="2:2" s="12" customFormat="1">
      <c r="B94" s="11"/>
    </row>
    <row r="95" spans="2:2" s="12" customFormat="1">
      <c r="B95" s="11"/>
    </row>
    <row r="96" spans="2:2" s="12" customFormat="1">
      <c r="B96" s="11"/>
    </row>
    <row r="97" spans="2:2" s="12" customFormat="1">
      <c r="B97" s="11"/>
    </row>
    <row r="98" spans="2:2" s="12" customFormat="1">
      <c r="B98" s="11"/>
    </row>
    <row r="99" spans="2:2" s="12" customFormat="1">
      <c r="B99" s="11"/>
    </row>
    <row r="100" spans="2:2" s="12" customFormat="1">
      <c r="B100" s="11"/>
    </row>
    <row r="101" spans="2:2" s="12" customFormat="1">
      <c r="B101" s="11"/>
    </row>
    <row r="102" spans="2:2" s="12" customFormat="1">
      <c r="B102" s="11"/>
    </row>
    <row r="103" spans="2:2" s="12" customFormat="1">
      <c r="B103" s="11"/>
    </row>
    <row r="104" spans="2:2" s="12" customFormat="1">
      <c r="B104" s="11"/>
    </row>
    <row r="105" spans="2:2" s="12" customFormat="1">
      <c r="B105" s="11"/>
    </row>
    <row r="106" spans="2:2" s="12" customFormat="1">
      <c r="B106" s="11"/>
    </row>
    <row r="107" spans="2:2" s="12" customFormat="1">
      <c r="B107" s="11"/>
    </row>
    <row r="108" spans="2:2" s="12" customFormat="1">
      <c r="B108" s="11"/>
    </row>
    <row r="109" spans="2:2" s="12" customFormat="1">
      <c r="B109" s="11"/>
    </row>
    <row r="110" spans="2:2" s="12" customFormat="1">
      <c r="B110" s="11"/>
    </row>
    <row r="111" spans="2:2" s="12" customFormat="1">
      <c r="B111" s="11"/>
    </row>
    <row r="112" spans="2:2" s="12" customFormat="1">
      <c r="B112" s="11"/>
    </row>
    <row r="113" spans="2:2" s="12" customFormat="1">
      <c r="B113" s="11"/>
    </row>
    <row r="114" spans="2:2" s="12" customFormat="1">
      <c r="B114" s="11"/>
    </row>
    <row r="115" spans="2:2" s="12" customFormat="1">
      <c r="B115" s="11"/>
    </row>
    <row r="116" spans="2:2" s="12" customFormat="1">
      <c r="B116" s="11"/>
    </row>
    <row r="117" spans="2:2" s="12" customFormat="1">
      <c r="B117" s="11"/>
    </row>
    <row r="118" spans="2:2" s="12" customFormat="1">
      <c r="B118" s="11"/>
    </row>
    <row r="119" spans="2:2" s="12" customFormat="1">
      <c r="B119" s="11"/>
    </row>
    <row r="120" spans="2:2" s="12" customFormat="1">
      <c r="B120" s="11"/>
    </row>
    <row r="121" spans="2:2" s="12" customFormat="1">
      <c r="B121" s="11"/>
    </row>
    <row r="122" spans="2:2" s="12" customFormat="1">
      <c r="B122" s="11"/>
    </row>
    <row r="123" spans="2:2" s="12" customFormat="1">
      <c r="B123" s="11"/>
    </row>
    <row r="124" spans="2:2" s="12" customFormat="1">
      <c r="B124" s="11"/>
    </row>
    <row r="125" spans="2:2" s="12" customFormat="1">
      <c r="B125" s="11"/>
    </row>
    <row r="126" spans="2:2" s="12" customFormat="1">
      <c r="B126" s="11"/>
    </row>
    <row r="127" spans="2:2" s="12" customFormat="1">
      <c r="B127" s="11"/>
    </row>
    <row r="128" spans="2:2" s="12" customFormat="1">
      <c r="B128" s="11"/>
    </row>
    <row r="129" spans="2:2" s="12" customFormat="1">
      <c r="B129" s="11"/>
    </row>
    <row r="130" spans="2:2" s="12" customFormat="1">
      <c r="B130" s="11"/>
    </row>
    <row r="131" spans="2:2" s="12" customFormat="1">
      <c r="B131" s="11"/>
    </row>
    <row r="132" spans="2:2" s="12" customFormat="1">
      <c r="B132" s="11"/>
    </row>
    <row r="133" spans="2:2" s="12" customFormat="1">
      <c r="B133" s="11"/>
    </row>
    <row r="134" spans="2:2" s="12" customFormat="1">
      <c r="B134" s="11"/>
    </row>
    <row r="135" spans="2:2" s="12" customFormat="1">
      <c r="B135" s="11"/>
    </row>
    <row r="136" spans="2:2" s="12" customFormat="1">
      <c r="B136" s="11"/>
    </row>
    <row r="137" spans="2:2" s="12" customFormat="1">
      <c r="B137" s="11"/>
    </row>
    <row r="138" spans="2:2" s="12" customFormat="1">
      <c r="B138" s="11"/>
    </row>
    <row r="139" spans="2:2" s="12" customFormat="1">
      <c r="B139" s="11"/>
    </row>
    <row r="140" spans="2:2" s="12" customFormat="1">
      <c r="B140" s="11"/>
    </row>
    <row r="141" spans="2:2" s="12" customFormat="1">
      <c r="B141" s="11"/>
    </row>
    <row r="142" spans="2:2" s="12" customFormat="1">
      <c r="B142" s="11"/>
    </row>
    <row r="143" spans="2:2" s="12" customFormat="1">
      <c r="B143" s="11"/>
    </row>
    <row r="144" spans="2:2" s="12" customFormat="1">
      <c r="B144" s="11"/>
    </row>
    <row r="145" spans="2:2" s="12" customFormat="1">
      <c r="B145" s="11"/>
    </row>
    <row r="146" spans="2:2" s="12" customFormat="1">
      <c r="B146" s="11"/>
    </row>
    <row r="147" spans="2:2" s="12" customFormat="1">
      <c r="B147" s="11"/>
    </row>
    <row r="148" spans="2:2" s="12" customFormat="1">
      <c r="B148" s="11"/>
    </row>
    <row r="149" spans="2:2" s="12" customFormat="1">
      <c r="B149" s="11"/>
    </row>
    <row r="150" spans="2:2" s="12" customFormat="1">
      <c r="B150" s="11"/>
    </row>
    <row r="151" spans="2:2" s="12" customFormat="1">
      <c r="B151" s="11"/>
    </row>
    <row r="152" spans="2:2" s="12" customFormat="1">
      <c r="B152" s="11"/>
    </row>
    <row r="153" spans="2:2" s="12" customFormat="1">
      <c r="B153" s="11"/>
    </row>
    <row r="154" spans="2:2" s="12" customFormat="1">
      <c r="B154" s="11"/>
    </row>
    <row r="155" spans="2:2" s="12" customFormat="1">
      <c r="B155" s="11"/>
    </row>
    <row r="156" spans="2:2" s="12" customFormat="1">
      <c r="B156" s="11"/>
    </row>
    <row r="157" spans="2:2" s="12" customFormat="1">
      <c r="B157" s="11"/>
    </row>
    <row r="158" spans="2:2" s="12" customFormat="1">
      <c r="B158" s="11"/>
    </row>
    <row r="159" spans="2:2" s="12" customFormat="1">
      <c r="B159" s="11"/>
    </row>
    <row r="160" spans="2:2" s="12" customFormat="1">
      <c r="B160" s="11"/>
    </row>
    <row r="161" spans="2:2" s="12" customFormat="1">
      <c r="B161" s="11"/>
    </row>
    <row r="162" spans="2:2" s="12" customFormat="1">
      <c r="B162" s="11"/>
    </row>
    <row r="163" spans="2:2" s="12" customFormat="1">
      <c r="B163" s="11"/>
    </row>
    <row r="164" spans="2:2" s="12" customFormat="1">
      <c r="B164" s="11"/>
    </row>
    <row r="165" spans="2:2" s="12" customFormat="1">
      <c r="B165" s="11"/>
    </row>
    <row r="166" spans="2:2" s="12" customFormat="1">
      <c r="B166" s="11"/>
    </row>
    <row r="167" spans="2:2" s="12" customFormat="1">
      <c r="B167" s="11"/>
    </row>
    <row r="168" spans="2:2" s="12" customFormat="1">
      <c r="B168" s="11"/>
    </row>
    <row r="169" spans="2:2" s="12" customFormat="1">
      <c r="B169" s="11"/>
    </row>
    <row r="170" spans="2:2" s="12" customFormat="1">
      <c r="B170" s="11"/>
    </row>
    <row r="171" spans="2:2" s="12" customFormat="1">
      <c r="B171" s="11"/>
    </row>
    <row r="172" spans="2:2" s="12" customFormat="1">
      <c r="B172" s="11"/>
    </row>
    <row r="173" spans="2:2" s="12" customFormat="1">
      <c r="B173" s="11"/>
    </row>
    <row r="174" spans="2:2" s="12" customFormat="1">
      <c r="B174" s="11"/>
    </row>
    <row r="175" spans="2:2" s="12" customFormat="1">
      <c r="B175" s="11"/>
    </row>
    <row r="176" spans="2:2" s="12" customFormat="1">
      <c r="B176" s="11"/>
    </row>
    <row r="177" spans="2:2" s="12" customFormat="1">
      <c r="B177" s="11"/>
    </row>
    <row r="178" spans="2:2" s="12" customFormat="1">
      <c r="B178" s="11"/>
    </row>
    <row r="179" spans="2:2" s="12" customFormat="1">
      <c r="B179" s="11"/>
    </row>
    <row r="180" spans="2:2" s="12" customFormat="1">
      <c r="B180" s="11"/>
    </row>
    <row r="181" spans="2:2" s="12" customFormat="1">
      <c r="B181" s="11"/>
    </row>
    <row r="182" spans="2:2" s="12" customFormat="1">
      <c r="B182" s="11"/>
    </row>
    <row r="183" spans="2:2" s="12" customFormat="1">
      <c r="B183" s="11"/>
    </row>
    <row r="184" spans="2:2" s="12" customFormat="1">
      <c r="B184" s="11"/>
    </row>
    <row r="185" spans="2:2" s="12" customFormat="1">
      <c r="B185" s="11"/>
    </row>
    <row r="186" spans="2:2" s="12" customFormat="1">
      <c r="B186" s="11"/>
    </row>
    <row r="187" spans="2:2" s="12" customFormat="1">
      <c r="B187" s="11"/>
    </row>
    <row r="188" spans="2:2" s="12" customFormat="1">
      <c r="B188" s="11"/>
    </row>
    <row r="189" spans="2:2" s="12" customFormat="1">
      <c r="B189" s="11"/>
    </row>
    <row r="190" spans="2:2" s="12" customFormat="1">
      <c r="B190" s="11"/>
    </row>
    <row r="191" spans="2:2" s="12" customFormat="1">
      <c r="B191" s="11"/>
    </row>
    <row r="192" spans="2:2" s="12" customFormat="1">
      <c r="B192" s="11"/>
    </row>
    <row r="193" spans="2:2" s="12" customFormat="1">
      <c r="B193" s="11"/>
    </row>
    <row r="194" spans="2:2" s="12" customFormat="1">
      <c r="B194" s="11"/>
    </row>
    <row r="195" spans="2:2" s="12" customFormat="1">
      <c r="B195" s="11"/>
    </row>
    <row r="196" spans="2:2" s="12" customFormat="1">
      <c r="B196" s="11"/>
    </row>
    <row r="197" spans="2:2" s="12" customFormat="1">
      <c r="B197" s="11"/>
    </row>
    <row r="198" spans="2:2" s="12" customFormat="1">
      <c r="B198" s="11"/>
    </row>
    <row r="199" spans="2:2" s="12" customFormat="1">
      <c r="B199" s="11"/>
    </row>
    <row r="200" spans="2:2" s="12" customFormat="1">
      <c r="B200" s="11"/>
    </row>
    <row r="201" spans="2:2" s="12" customFormat="1">
      <c r="B201" s="11"/>
    </row>
    <row r="202" spans="2:2" s="12" customFormat="1">
      <c r="B202" s="11"/>
    </row>
    <row r="203" spans="2:2" s="12" customFormat="1">
      <c r="B203" s="11"/>
    </row>
    <row r="204" spans="2:2" s="12" customFormat="1">
      <c r="B204" s="11"/>
    </row>
    <row r="205" spans="2:2" s="12" customFormat="1">
      <c r="B205" s="11"/>
    </row>
    <row r="206" spans="2:2" s="12" customFormat="1">
      <c r="B206" s="11"/>
    </row>
    <row r="207" spans="2:2" s="12" customFormat="1">
      <c r="B207" s="11"/>
    </row>
    <row r="208" spans="2:2" s="12" customFormat="1">
      <c r="B208" s="11"/>
    </row>
    <row r="209" spans="2:2" s="12" customFormat="1">
      <c r="B209" s="11"/>
    </row>
    <row r="210" spans="2:2" s="12" customFormat="1">
      <c r="B210" s="11"/>
    </row>
    <row r="211" spans="2:2" s="12" customFormat="1">
      <c r="B211" s="11"/>
    </row>
    <row r="212" spans="2:2" s="12" customFormat="1">
      <c r="B212" s="11"/>
    </row>
    <row r="213" spans="2:2" s="12" customFormat="1">
      <c r="B213" s="11"/>
    </row>
    <row r="214" spans="2:2" s="12" customFormat="1">
      <c r="B214" s="11"/>
    </row>
    <row r="215" spans="2:2" s="12" customFormat="1">
      <c r="B215" s="11"/>
    </row>
    <row r="216" spans="2:2" s="12" customFormat="1">
      <c r="B216" s="11"/>
    </row>
    <row r="217" spans="2:2" s="12" customFormat="1">
      <c r="B217" s="11"/>
    </row>
    <row r="218" spans="2:2" s="12" customFormat="1">
      <c r="B218" s="11"/>
    </row>
    <row r="219" spans="2:2" s="12" customFormat="1">
      <c r="B219" s="11"/>
    </row>
    <row r="220" spans="2:2" s="12" customFormat="1">
      <c r="B220" s="11"/>
    </row>
    <row r="221" spans="2:2" s="12" customFormat="1">
      <c r="B221" s="11"/>
    </row>
    <row r="222" spans="2:2" s="12" customFormat="1">
      <c r="B222" s="11"/>
    </row>
    <row r="223" spans="2:2" s="12" customFormat="1">
      <c r="B223" s="11"/>
    </row>
    <row r="224" spans="2:2" s="12" customFormat="1">
      <c r="B224" s="11"/>
    </row>
    <row r="225" spans="2:2" s="12" customFormat="1">
      <c r="B225" s="11"/>
    </row>
    <row r="226" spans="2:2" s="12" customFormat="1">
      <c r="B226" s="11"/>
    </row>
    <row r="227" spans="2:2" s="12" customFormat="1">
      <c r="B227" s="11"/>
    </row>
    <row r="228" spans="2:2" s="12" customFormat="1">
      <c r="B228" s="11"/>
    </row>
    <row r="229" spans="2:2" s="12" customFormat="1">
      <c r="B229" s="11"/>
    </row>
    <row r="230" spans="2:2" s="12" customFormat="1">
      <c r="B230" s="11"/>
    </row>
    <row r="231" spans="2:2" s="12" customFormat="1">
      <c r="B231" s="11"/>
    </row>
    <row r="232" spans="2:2" s="12" customFormat="1">
      <c r="B232" s="11"/>
    </row>
    <row r="233" spans="2:2" s="12" customFormat="1">
      <c r="B233" s="11"/>
    </row>
    <row r="234" spans="2:2" s="12" customFormat="1">
      <c r="B234" s="11"/>
    </row>
    <row r="235" spans="2:2" s="12" customFormat="1">
      <c r="B235" s="11"/>
    </row>
    <row r="236" spans="2:2" s="12" customFormat="1">
      <c r="B236" s="11"/>
    </row>
    <row r="237" spans="2:2" s="12" customFormat="1">
      <c r="B237" s="11"/>
    </row>
    <row r="238" spans="2:2" s="12" customFormat="1">
      <c r="B238" s="11"/>
    </row>
    <row r="239" spans="2:2" s="12" customFormat="1">
      <c r="B239" s="11"/>
    </row>
    <row r="240" spans="2:2" s="12" customFormat="1">
      <c r="B240" s="11"/>
    </row>
    <row r="241" spans="2:2" s="12" customFormat="1">
      <c r="B241" s="11"/>
    </row>
    <row r="242" spans="2:2" s="12" customFormat="1">
      <c r="B242" s="11"/>
    </row>
    <row r="243" spans="2:2" s="12" customFormat="1">
      <c r="B243" s="11"/>
    </row>
    <row r="244" spans="2:2" s="12" customFormat="1">
      <c r="B244" s="11"/>
    </row>
    <row r="245" spans="2:2" s="12" customFormat="1">
      <c r="B245" s="11"/>
    </row>
    <row r="246" spans="2:2" s="12" customFormat="1">
      <c r="B246" s="11"/>
    </row>
    <row r="247" spans="2:2" s="12" customFormat="1">
      <c r="B247" s="11"/>
    </row>
    <row r="248" spans="2:2" s="12" customFormat="1">
      <c r="B248" s="11"/>
    </row>
    <row r="249" spans="2:2" s="12" customFormat="1">
      <c r="B249" s="11"/>
    </row>
    <row r="250" spans="2:2" s="12" customFormat="1">
      <c r="B250" s="11"/>
    </row>
    <row r="251" spans="2:2" s="12" customFormat="1">
      <c r="B251" s="11"/>
    </row>
    <row r="252" spans="2:2" s="12" customFormat="1">
      <c r="B252" s="11"/>
    </row>
    <row r="253" spans="2:2" s="12" customFormat="1">
      <c r="B253" s="11"/>
    </row>
    <row r="254" spans="2:2" s="12" customFormat="1">
      <c r="B254" s="11"/>
    </row>
    <row r="255" spans="2:2" s="12" customFormat="1">
      <c r="B255" s="11"/>
    </row>
    <row r="256" spans="2:2" s="12" customFormat="1">
      <c r="B256" s="11"/>
    </row>
    <row r="257" spans="2:2" s="12" customFormat="1">
      <c r="B257" s="11"/>
    </row>
    <row r="258" spans="2:2" s="12" customFormat="1">
      <c r="B258" s="11"/>
    </row>
    <row r="259" spans="2:2" s="12" customFormat="1">
      <c r="B259" s="11"/>
    </row>
    <row r="260" spans="2:2" s="12" customFormat="1">
      <c r="B260" s="11"/>
    </row>
    <row r="261" spans="2:2" s="12" customFormat="1">
      <c r="B261" s="11"/>
    </row>
    <row r="262" spans="2:2" s="12" customFormat="1">
      <c r="B262" s="11"/>
    </row>
    <row r="263" spans="2:2" s="12" customFormat="1">
      <c r="B263" s="11"/>
    </row>
    <row r="264" spans="2:2" s="12" customFormat="1">
      <c r="B264" s="11"/>
    </row>
    <row r="265" spans="2:2" s="12" customFormat="1">
      <c r="B265" s="11"/>
    </row>
    <row r="266" spans="2:2" s="12" customFormat="1">
      <c r="B266" s="11"/>
    </row>
    <row r="267" spans="2:2" s="12" customFormat="1">
      <c r="B267" s="11"/>
    </row>
    <row r="268" spans="2:2" s="12" customFormat="1">
      <c r="B268" s="11"/>
    </row>
    <row r="269" spans="2:2" s="12" customFormat="1">
      <c r="B269" s="11"/>
    </row>
    <row r="270" spans="2:2" s="12" customFormat="1">
      <c r="B270" s="11"/>
    </row>
    <row r="271" spans="2:2" s="12" customFormat="1">
      <c r="B271" s="11"/>
    </row>
    <row r="272" spans="2:2" s="12" customFormat="1">
      <c r="B272" s="11"/>
    </row>
    <row r="273" spans="2:2" s="12" customFormat="1">
      <c r="B273" s="11"/>
    </row>
    <row r="274" spans="2:2" s="12" customFormat="1">
      <c r="B274" s="11"/>
    </row>
    <row r="275" spans="2:2" s="12" customFormat="1">
      <c r="B275" s="11"/>
    </row>
    <row r="276" spans="2:2" s="12" customFormat="1">
      <c r="B276" s="11"/>
    </row>
    <row r="277" spans="2:2" s="12" customFormat="1">
      <c r="B277" s="11"/>
    </row>
    <row r="278" spans="2:2" s="12" customFormat="1">
      <c r="B278" s="11"/>
    </row>
    <row r="279" spans="2:2" s="12" customFormat="1">
      <c r="B279" s="11"/>
    </row>
    <row r="280" spans="2:2" s="12" customFormat="1">
      <c r="B280" s="11"/>
    </row>
    <row r="281" spans="2:2" s="12" customFormat="1">
      <c r="B281" s="11"/>
    </row>
    <row r="282" spans="2:2" s="12" customFormat="1">
      <c r="B282" s="11"/>
    </row>
    <row r="283" spans="2:2" s="12" customFormat="1">
      <c r="B283" s="11"/>
    </row>
    <row r="284" spans="2:2" s="12" customFormat="1">
      <c r="B284" s="11"/>
    </row>
    <row r="285" spans="2:2" s="12" customFormat="1">
      <c r="B285" s="11"/>
    </row>
    <row r="286" spans="2:2" s="12" customFormat="1">
      <c r="B286" s="11"/>
    </row>
    <row r="287" spans="2:2" s="12" customFormat="1">
      <c r="B287" s="11"/>
    </row>
    <row r="288" spans="2:2" s="12" customFormat="1">
      <c r="B288" s="11"/>
    </row>
    <row r="289" spans="2:2" s="12" customFormat="1">
      <c r="B289" s="11"/>
    </row>
    <row r="290" spans="2:2" s="12" customFormat="1">
      <c r="B290" s="11"/>
    </row>
    <row r="291" spans="2:2" s="12" customFormat="1">
      <c r="B291" s="11"/>
    </row>
    <row r="292" spans="2:2" s="12" customFormat="1">
      <c r="B292" s="11"/>
    </row>
    <row r="293" spans="2:2" s="12" customFormat="1">
      <c r="B293" s="11"/>
    </row>
    <row r="294" spans="2:2" s="12" customFormat="1">
      <c r="B294" s="11"/>
    </row>
    <row r="295" spans="2:2" s="12" customFormat="1">
      <c r="B295" s="11"/>
    </row>
    <row r="296" spans="2:2" s="12" customFormat="1">
      <c r="B296" s="11"/>
    </row>
    <row r="297" spans="2:2" s="12" customFormat="1">
      <c r="B297" s="11"/>
    </row>
    <row r="298" spans="2:2" s="12" customFormat="1">
      <c r="B298" s="11"/>
    </row>
    <row r="299" spans="2:2" s="12" customFormat="1">
      <c r="B299" s="11"/>
    </row>
    <row r="300" spans="2:2" s="12" customFormat="1">
      <c r="B300" s="11"/>
    </row>
    <row r="301" spans="2:2" s="12" customFormat="1">
      <c r="B301" s="11"/>
    </row>
    <row r="302" spans="2:2" s="12" customFormat="1">
      <c r="B302" s="11"/>
    </row>
    <row r="303" spans="2:2" s="12" customFormat="1">
      <c r="B303" s="11"/>
    </row>
    <row r="304" spans="2:2" s="12" customFormat="1">
      <c r="B304" s="11"/>
    </row>
    <row r="305" spans="2:2" s="12" customFormat="1">
      <c r="B305" s="11"/>
    </row>
    <row r="306" spans="2:2" s="12" customFormat="1">
      <c r="B306" s="11"/>
    </row>
    <row r="307" spans="2:2" s="12" customFormat="1">
      <c r="B307" s="11"/>
    </row>
    <row r="308" spans="2:2" s="12" customFormat="1">
      <c r="B308" s="11"/>
    </row>
    <row r="309" spans="2:2" s="12" customFormat="1">
      <c r="B309" s="11"/>
    </row>
    <row r="310" spans="2:2" s="12" customFormat="1">
      <c r="B310" s="11"/>
    </row>
    <row r="311" spans="2:2" s="12" customFormat="1">
      <c r="B311" s="11"/>
    </row>
    <row r="312" spans="2:2" s="12" customFormat="1">
      <c r="B312" s="11"/>
    </row>
    <row r="313" spans="2:2" s="12" customFormat="1">
      <c r="B313" s="11"/>
    </row>
    <row r="314" spans="2:2" s="12" customFormat="1">
      <c r="B314" s="11"/>
    </row>
    <row r="315" spans="2:2" s="12" customFormat="1">
      <c r="B315" s="11"/>
    </row>
    <row r="316" spans="2:2" s="12" customFormat="1">
      <c r="B316" s="11"/>
    </row>
    <row r="317" spans="2:2" s="12" customFormat="1">
      <c r="B317" s="11"/>
    </row>
    <row r="318" spans="2:2" s="12" customFormat="1">
      <c r="B318" s="11"/>
    </row>
    <row r="319" spans="2:2" s="12" customFormat="1">
      <c r="B319" s="11"/>
    </row>
    <row r="320" spans="2:2" s="12" customFormat="1">
      <c r="B320" s="11"/>
    </row>
    <row r="321" spans="2:2" s="12" customFormat="1">
      <c r="B321" s="11"/>
    </row>
    <row r="322" spans="2:2" s="12" customFormat="1">
      <c r="B322" s="11"/>
    </row>
    <row r="323" spans="2:2" s="12" customFormat="1">
      <c r="B323" s="11"/>
    </row>
    <row r="324" spans="2:2" s="12" customFormat="1">
      <c r="B324" s="11"/>
    </row>
    <row r="325" spans="2:2" s="12" customFormat="1">
      <c r="B325" s="11"/>
    </row>
    <row r="326" spans="2:2" s="12" customFormat="1">
      <c r="B326" s="11"/>
    </row>
    <row r="327" spans="2:2" s="12" customFormat="1">
      <c r="B327" s="11"/>
    </row>
    <row r="328" spans="2:2" s="12" customFormat="1">
      <c r="B328" s="11"/>
    </row>
    <row r="329" spans="2:2" s="12" customFormat="1">
      <c r="B329" s="11"/>
    </row>
    <row r="330" spans="2:2" s="12" customFormat="1">
      <c r="B330" s="11"/>
    </row>
    <row r="331" spans="2:2" s="12" customFormat="1">
      <c r="B331" s="11"/>
    </row>
    <row r="332" spans="2:2" s="12" customFormat="1">
      <c r="B332" s="11"/>
    </row>
    <row r="333" spans="2:2" s="12" customFormat="1">
      <c r="B333" s="11"/>
    </row>
    <row r="334" spans="2:2" s="12" customFormat="1">
      <c r="B334" s="11"/>
    </row>
    <row r="335" spans="2:2" s="12" customFormat="1">
      <c r="B335" s="11"/>
    </row>
    <row r="336" spans="2:2" s="12" customFormat="1">
      <c r="B336" s="11"/>
    </row>
    <row r="337" spans="2:2" s="12" customFormat="1">
      <c r="B337" s="11"/>
    </row>
    <row r="338" spans="2:2" s="12" customFormat="1">
      <c r="B338" s="11"/>
    </row>
    <row r="339" spans="2:2" s="12" customFormat="1">
      <c r="B339" s="11"/>
    </row>
    <row r="340" spans="2:2" s="12" customFormat="1">
      <c r="B340" s="11"/>
    </row>
    <row r="341" spans="2:2" s="12" customFormat="1">
      <c r="B341" s="11"/>
    </row>
    <row r="342" spans="2:2" s="12" customFormat="1">
      <c r="B342" s="11"/>
    </row>
    <row r="343" spans="2:2" s="12" customFormat="1">
      <c r="B343" s="11"/>
    </row>
    <row r="344" spans="2:2" s="12" customFormat="1">
      <c r="B344" s="11"/>
    </row>
    <row r="345" spans="2:2" s="12" customFormat="1">
      <c r="B345" s="11"/>
    </row>
    <row r="346" spans="2:2" s="12" customFormat="1">
      <c r="B346" s="11"/>
    </row>
    <row r="347" spans="2:2" s="12" customFormat="1">
      <c r="B347" s="11"/>
    </row>
    <row r="348" spans="2:2" s="12" customFormat="1">
      <c r="B348" s="11"/>
    </row>
    <row r="349" spans="2:2" s="12" customFormat="1">
      <c r="B349" s="11"/>
    </row>
    <row r="350" spans="2:2" s="12" customFormat="1">
      <c r="B350" s="11"/>
    </row>
    <row r="351" spans="2:2" s="12" customFormat="1">
      <c r="B351" s="11"/>
    </row>
    <row r="352" spans="2:2" s="12" customFormat="1">
      <c r="B352" s="11"/>
    </row>
    <row r="353" spans="2:2" s="12" customFormat="1">
      <c r="B353" s="11"/>
    </row>
    <row r="354" spans="2:2" s="12" customFormat="1">
      <c r="B354" s="11"/>
    </row>
    <row r="355" spans="2:2" s="12" customFormat="1">
      <c r="B355" s="11"/>
    </row>
    <row r="356" spans="2:2" s="12" customFormat="1">
      <c r="B356" s="11"/>
    </row>
    <row r="357" spans="2:2" s="12" customFormat="1">
      <c r="B357" s="11"/>
    </row>
    <row r="358" spans="2:2" s="12" customFormat="1">
      <c r="B358" s="11"/>
    </row>
    <row r="359" spans="2:2" s="12" customFormat="1">
      <c r="B359" s="11"/>
    </row>
    <row r="360" spans="2:2" s="12" customFormat="1">
      <c r="B360" s="11"/>
    </row>
    <row r="361" spans="2:2" s="12" customFormat="1">
      <c r="B361" s="11"/>
    </row>
    <row r="362" spans="2:2" s="12" customFormat="1">
      <c r="B362" s="11"/>
    </row>
    <row r="363" spans="2:2" s="12" customFormat="1">
      <c r="B363" s="11"/>
    </row>
    <row r="364" spans="2:2" s="12" customFormat="1">
      <c r="B364" s="11"/>
    </row>
    <row r="365" spans="2:2" s="12" customFormat="1">
      <c r="B365" s="11"/>
    </row>
    <row r="366" spans="2:2" s="12" customFormat="1">
      <c r="B366" s="11"/>
    </row>
    <row r="367" spans="2:2" s="12" customFormat="1">
      <c r="B367" s="11"/>
    </row>
    <row r="368" spans="2:2" s="12" customFormat="1">
      <c r="B368" s="11"/>
    </row>
    <row r="369" spans="2:2" s="12" customFormat="1">
      <c r="B369" s="11"/>
    </row>
    <row r="370" spans="2:2" s="12" customFormat="1">
      <c r="B370" s="11"/>
    </row>
    <row r="371" spans="2:2" s="12" customFormat="1">
      <c r="B371" s="11"/>
    </row>
    <row r="372" spans="2:2" s="12" customFormat="1">
      <c r="B372" s="11"/>
    </row>
  </sheetData>
  <mergeCells count="8">
    <mergeCell ref="B2:K2"/>
    <mergeCell ref="B12:C12"/>
    <mergeCell ref="B10:C10"/>
    <mergeCell ref="B4:C4"/>
    <mergeCell ref="M5:P6"/>
    <mergeCell ref="M7:P7"/>
    <mergeCell ref="B11:C11"/>
    <mergeCell ref="B9:C9"/>
  </mergeCells>
  <phoneticPr fontId="1" type="noConversion"/>
  <pageMargins left="0.78740157499999996" right="0.78740157499999996" top="0.984251969" bottom="0.984251969" header="0.49212598499999999" footer="0.49212598499999999"/>
  <pageSetup paperSize="9" scale="66" orientation="landscape" horizontalDpi="300" verticalDpi="30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513"/>
  <sheetViews>
    <sheetView workbookViewId="0">
      <selection activeCell="B2" sqref="B2:G2"/>
    </sheetView>
  </sheetViews>
  <sheetFormatPr defaultColWidth="8.88671875" defaultRowHeight="11.4"/>
  <cols>
    <col min="1" max="1" width="3" style="12" customWidth="1"/>
    <col min="2" max="2" width="25.109375" style="13" customWidth="1"/>
    <col min="3" max="3" width="9.109375" style="13" customWidth="1"/>
    <col min="4" max="4" width="8.88671875" style="13"/>
    <col min="5" max="5" width="9.33203125" style="13" customWidth="1"/>
    <col min="6" max="7" width="8.88671875" style="13"/>
    <col min="8" max="31" width="8.88671875" style="12"/>
    <col min="32" max="16384" width="8.88671875" style="13"/>
  </cols>
  <sheetData>
    <row r="1" spans="1:31" ht="12" thickBot="1">
      <c r="B1" s="12"/>
      <c r="C1" s="12"/>
      <c r="D1" s="12"/>
      <c r="E1" s="12"/>
      <c r="F1" s="12"/>
      <c r="G1" s="12"/>
    </row>
    <row r="2" spans="1:31" ht="27" customHeight="1" thickBot="1">
      <c r="B2" s="249" t="s">
        <v>160</v>
      </c>
      <c r="C2" s="250"/>
      <c r="D2" s="250"/>
      <c r="E2" s="250"/>
      <c r="F2" s="250"/>
      <c r="G2" s="251"/>
    </row>
    <row r="3" spans="1:31" s="12" customFormat="1" ht="12" thickBot="1">
      <c r="B3" s="15"/>
      <c r="C3" s="15"/>
      <c r="D3" s="15"/>
      <c r="E3" s="15"/>
      <c r="F3" s="15"/>
      <c r="G3" s="15"/>
    </row>
    <row r="4" spans="1:31" ht="15" customHeight="1">
      <c r="A4" s="90"/>
      <c r="B4" s="252" t="s">
        <v>123</v>
      </c>
      <c r="C4" s="253"/>
      <c r="D4" s="253"/>
      <c r="E4" s="253"/>
      <c r="F4" s="253"/>
      <c r="G4" s="254"/>
      <c r="H4" s="89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12.6" thickBot="1">
      <c r="A5" s="91"/>
      <c r="B5" s="137" t="s">
        <v>139</v>
      </c>
      <c r="C5" s="255" t="s">
        <v>34</v>
      </c>
      <c r="D5" s="255"/>
      <c r="E5" s="255"/>
      <c r="F5" s="255"/>
      <c r="G5" s="256"/>
      <c r="H5" s="11"/>
      <c r="I5" s="15"/>
      <c r="J5" s="15"/>
      <c r="K5" s="15"/>
      <c r="L5" s="15"/>
    </row>
    <row r="6" spans="1:31" ht="12">
      <c r="A6" s="91"/>
      <c r="B6" s="137" t="s">
        <v>140</v>
      </c>
      <c r="C6" s="257">
        <v>42447</v>
      </c>
      <c r="D6" s="255"/>
      <c r="E6" s="255"/>
      <c r="F6" s="255"/>
      <c r="G6" s="256"/>
      <c r="H6" s="98"/>
      <c r="I6" s="231" t="s">
        <v>149</v>
      </c>
      <c r="J6" s="232"/>
      <c r="K6" s="232"/>
      <c r="L6" s="233"/>
      <c r="M6" s="11"/>
    </row>
    <row r="7" spans="1:31" ht="12.6" thickBot="1">
      <c r="A7" s="91"/>
      <c r="B7" s="138" t="s">
        <v>141</v>
      </c>
      <c r="C7" s="258">
        <v>1500</v>
      </c>
      <c r="D7" s="258"/>
      <c r="E7" s="258"/>
      <c r="F7" s="258"/>
      <c r="G7" s="259"/>
      <c r="H7" s="98"/>
      <c r="I7" s="234"/>
      <c r="J7" s="235"/>
      <c r="K7" s="235"/>
      <c r="L7" s="236"/>
      <c r="M7" s="11"/>
    </row>
    <row r="8" spans="1:31" ht="12" thickBot="1">
      <c r="B8" s="95"/>
      <c r="C8" s="64"/>
      <c r="D8" s="64"/>
      <c r="E8" s="64"/>
      <c r="F8" s="59"/>
      <c r="G8" s="59"/>
      <c r="H8" s="98"/>
      <c r="I8" s="237" t="s">
        <v>150</v>
      </c>
      <c r="J8" s="238"/>
      <c r="K8" s="238"/>
      <c r="L8" s="239"/>
      <c r="M8" s="11"/>
    </row>
    <row r="9" spans="1:31" ht="12">
      <c r="A9" s="91"/>
      <c r="B9" s="228" t="s">
        <v>124</v>
      </c>
      <c r="C9" s="229"/>
      <c r="D9" s="229"/>
      <c r="E9" s="230"/>
      <c r="F9" s="80"/>
      <c r="G9" s="39"/>
      <c r="H9" s="11"/>
      <c r="I9" s="16"/>
      <c r="J9" s="16"/>
      <c r="K9" s="16"/>
      <c r="L9" s="16"/>
    </row>
    <row r="10" spans="1:31" ht="12">
      <c r="A10" s="91"/>
      <c r="B10" s="139" t="s">
        <v>125</v>
      </c>
      <c r="C10" s="133" t="s">
        <v>126</v>
      </c>
      <c r="D10" s="132" t="s">
        <v>147</v>
      </c>
      <c r="E10" s="140" t="s">
        <v>127</v>
      </c>
      <c r="F10" s="3"/>
      <c r="G10" s="2"/>
      <c r="H10" s="11"/>
    </row>
    <row r="11" spans="1:31">
      <c r="A11" s="91"/>
      <c r="B11" s="141" t="s">
        <v>152</v>
      </c>
      <c r="C11" s="186">
        <v>293</v>
      </c>
      <c r="D11" s="119">
        <f>'Custos x Honorários'!E53</f>
        <v>2.3341944509863755</v>
      </c>
      <c r="E11" s="142">
        <f>C11*D11</f>
        <v>683.91897413900801</v>
      </c>
      <c r="F11" s="3"/>
      <c r="G11" s="2"/>
      <c r="H11" s="11"/>
    </row>
    <row r="12" spans="1:31">
      <c r="A12" s="91"/>
      <c r="B12" s="141" t="s">
        <v>153</v>
      </c>
      <c r="C12" s="186">
        <v>350</v>
      </c>
      <c r="D12" s="119">
        <f>'Custos x Honorários'!E54</f>
        <v>1.5629936919446881</v>
      </c>
      <c r="E12" s="142">
        <f>C12*D12</f>
        <v>547.04779218064084</v>
      </c>
      <c r="F12" s="3"/>
      <c r="G12" s="2"/>
      <c r="H12" s="11"/>
    </row>
    <row r="13" spans="1:31">
      <c r="A13" s="91"/>
      <c r="B13" s="141" t="s">
        <v>32</v>
      </c>
      <c r="C13" s="186">
        <v>26</v>
      </c>
      <c r="D13" s="119">
        <f>'Custos x Honorários'!E55</f>
        <v>31.221041697478988</v>
      </c>
      <c r="E13" s="142">
        <f>C13*D13</f>
        <v>811.74708413445364</v>
      </c>
      <c r="F13" s="3"/>
      <c r="G13" s="2"/>
      <c r="H13" s="11"/>
    </row>
    <row r="14" spans="1:31" ht="12.6" thickBot="1">
      <c r="A14" s="91"/>
      <c r="B14" s="96" t="s">
        <v>128</v>
      </c>
      <c r="C14" s="77"/>
      <c r="D14" s="77"/>
      <c r="E14" s="97">
        <f>SUM(E11:E13)</f>
        <v>2042.7138504541024</v>
      </c>
      <c r="F14" s="3"/>
      <c r="G14" s="2"/>
      <c r="H14" s="11"/>
    </row>
    <row r="15" spans="1:31" ht="12" thickBot="1">
      <c r="B15" s="95"/>
      <c r="C15" s="64"/>
      <c r="D15" s="64"/>
      <c r="E15" s="64"/>
      <c r="F15" s="2"/>
      <c r="G15" s="2"/>
      <c r="H15" s="11"/>
    </row>
    <row r="16" spans="1:31" ht="12">
      <c r="A16" s="91"/>
      <c r="B16" s="228" t="s">
        <v>154</v>
      </c>
      <c r="C16" s="229"/>
      <c r="D16" s="229"/>
      <c r="E16" s="230"/>
      <c r="F16" s="3"/>
      <c r="G16" s="2"/>
      <c r="H16" s="11"/>
    </row>
    <row r="17" spans="1:31" ht="12">
      <c r="A17" s="91"/>
      <c r="B17" s="202" t="s">
        <v>1</v>
      </c>
      <c r="C17" s="203"/>
      <c r="D17" s="201"/>
      <c r="E17" s="190" t="s">
        <v>127</v>
      </c>
      <c r="F17" s="3"/>
      <c r="G17" s="2"/>
      <c r="H17" s="11"/>
    </row>
    <row r="18" spans="1:31">
      <c r="A18" s="91"/>
      <c r="B18" s="199" t="s">
        <v>142</v>
      </c>
      <c r="C18" s="200"/>
      <c r="D18" s="204"/>
      <c r="E18" s="189">
        <f>(E14/(100%-C23))/(100%-C19)</f>
        <v>3225.5583547096944</v>
      </c>
      <c r="F18" s="3"/>
      <c r="G18" s="2"/>
      <c r="H18" s="11"/>
    </row>
    <row r="19" spans="1:31">
      <c r="A19" s="91"/>
      <c r="B19" s="147" t="s">
        <v>143</v>
      </c>
      <c r="C19" s="135">
        <f>'Custos x Honorários'!B10</f>
        <v>9.5299999999999996E-2</v>
      </c>
      <c r="D19" s="188"/>
      <c r="E19" s="142">
        <f>E18*C19</f>
        <v>307.39571120383386</v>
      </c>
      <c r="F19" s="3"/>
      <c r="G19" s="2"/>
      <c r="H19" s="11"/>
    </row>
    <row r="20" spans="1:31">
      <c r="A20" s="91"/>
      <c r="B20" s="147" t="s">
        <v>144</v>
      </c>
      <c r="C20" s="135"/>
      <c r="D20" s="134"/>
      <c r="E20" s="142">
        <f>E18-E19</f>
        <v>2918.1626435058606</v>
      </c>
      <c r="F20" s="3"/>
      <c r="G20" s="2"/>
      <c r="H20" s="11"/>
    </row>
    <row r="21" spans="1:31">
      <c r="A21" s="91"/>
      <c r="B21" s="147" t="s">
        <v>128</v>
      </c>
      <c r="C21" s="121"/>
      <c r="D21" s="134"/>
      <c r="E21" s="142">
        <f>E14</f>
        <v>2042.7138504541024</v>
      </c>
      <c r="F21" s="3"/>
      <c r="G21" s="2"/>
      <c r="H21" s="11"/>
    </row>
    <row r="22" spans="1:31">
      <c r="A22" s="91"/>
      <c r="B22" s="147" t="s">
        <v>145</v>
      </c>
      <c r="C22" s="121"/>
      <c r="D22" s="134"/>
      <c r="E22" s="142">
        <f>E20-E21</f>
        <v>875.44879305175823</v>
      </c>
      <c r="F22" s="3"/>
      <c r="G22" s="2"/>
      <c r="H22" s="11"/>
    </row>
    <row r="23" spans="1:31" ht="12" thickBot="1">
      <c r="A23" s="91"/>
      <c r="B23" s="157" t="s">
        <v>146</v>
      </c>
      <c r="C23" s="187">
        <f>'Custos x Honorários'!B12</f>
        <v>0.3</v>
      </c>
      <c r="D23" s="144"/>
      <c r="E23" s="145"/>
      <c r="F23" s="3"/>
      <c r="G23" s="2"/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spans="1:31" s="12" customFormat="1">
      <c r="B24" s="89"/>
      <c r="C24" s="16"/>
      <c r="D24" s="16"/>
      <c r="E24" s="16"/>
      <c r="F24" s="16"/>
      <c r="G24" s="16"/>
    </row>
    <row r="25" spans="1:31" s="12" customFormat="1">
      <c r="B25" s="11"/>
    </row>
    <row r="26" spans="1:31" s="12" customFormat="1">
      <c r="B26" s="11"/>
    </row>
    <row r="27" spans="1:31" s="12" customFormat="1">
      <c r="B27" s="11"/>
    </row>
    <row r="28" spans="1:31" s="12" customFormat="1">
      <c r="B28" s="11"/>
    </row>
    <row r="29" spans="1:31" s="12" customFormat="1">
      <c r="B29" s="11"/>
    </row>
    <row r="30" spans="1:31" s="12" customFormat="1">
      <c r="B30" s="11"/>
    </row>
    <row r="31" spans="1:31" s="12" customFormat="1">
      <c r="B31" s="11"/>
    </row>
    <row r="32" spans="1:31" s="12" customFormat="1">
      <c r="B32" s="11"/>
    </row>
    <row r="33" spans="2:2" s="12" customFormat="1">
      <c r="B33" s="11"/>
    </row>
    <row r="34" spans="2:2" s="12" customFormat="1">
      <c r="B34" s="11"/>
    </row>
    <row r="35" spans="2:2" s="12" customFormat="1">
      <c r="B35" s="11"/>
    </row>
    <row r="36" spans="2:2" s="12" customFormat="1">
      <c r="B36" s="11"/>
    </row>
    <row r="37" spans="2:2" s="12" customFormat="1">
      <c r="B37" s="11"/>
    </row>
    <row r="38" spans="2:2" s="12" customFormat="1">
      <c r="B38" s="11"/>
    </row>
    <row r="39" spans="2:2" s="12" customFormat="1">
      <c r="B39" s="11"/>
    </row>
    <row r="40" spans="2:2" s="12" customFormat="1">
      <c r="B40" s="11"/>
    </row>
    <row r="41" spans="2:2" s="12" customFormat="1">
      <c r="B41" s="11"/>
    </row>
    <row r="42" spans="2:2" s="12" customFormat="1">
      <c r="B42" s="11"/>
    </row>
    <row r="43" spans="2:2" s="12" customFormat="1">
      <c r="B43" s="11"/>
    </row>
    <row r="44" spans="2:2" s="12" customFormat="1">
      <c r="B44" s="11"/>
    </row>
    <row r="45" spans="2:2" s="12" customFormat="1">
      <c r="B45" s="11"/>
    </row>
    <row r="46" spans="2:2" s="12" customFormat="1">
      <c r="B46" s="11"/>
    </row>
    <row r="47" spans="2:2" s="12" customFormat="1">
      <c r="B47" s="11"/>
    </row>
    <row r="48" spans="2:2" s="12" customFormat="1">
      <c r="B48" s="11"/>
    </row>
    <row r="49" spans="2:2" s="12" customFormat="1">
      <c r="B49" s="11"/>
    </row>
    <row r="50" spans="2:2" s="12" customFormat="1">
      <c r="B50" s="11"/>
    </row>
    <row r="51" spans="2:2" s="12" customFormat="1">
      <c r="B51" s="11"/>
    </row>
    <row r="52" spans="2:2" s="12" customFormat="1">
      <c r="B52" s="11"/>
    </row>
    <row r="53" spans="2:2" s="12" customFormat="1">
      <c r="B53" s="11"/>
    </row>
    <row r="54" spans="2:2" s="12" customFormat="1">
      <c r="B54" s="11"/>
    </row>
    <row r="55" spans="2:2" s="12" customFormat="1">
      <c r="B55" s="11"/>
    </row>
    <row r="56" spans="2:2" s="12" customFormat="1">
      <c r="B56" s="11"/>
    </row>
    <row r="57" spans="2:2" s="12" customFormat="1">
      <c r="B57" s="11"/>
    </row>
    <row r="58" spans="2:2" s="12" customFormat="1">
      <c r="B58" s="11"/>
    </row>
    <row r="59" spans="2:2" s="12" customFormat="1">
      <c r="B59" s="11"/>
    </row>
    <row r="60" spans="2:2" s="12" customFormat="1">
      <c r="B60" s="11"/>
    </row>
    <row r="61" spans="2:2" s="12" customFormat="1">
      <c r="B61" s="11"/>
    </row>
    <row r="62" spans="2:2" s="12" customFormat="1">
      <c r="B62" s="11"/>
    </row>
    <row r="63" spans="2:2" s="12" customFormat="1">
      <c r="B63" s="11"/>
    </row>
    <row r="64" spans="2:2" s="12" customFormat="1">
      <c r="B64" s="11"/>
    </row>
    <row r="65" spans="2:2" s="12" customFormat="1">
      <c r="B65" s="11"/>
    </row>
    <row r="66" spans="2:2" s="12" customFormat="1">
      <c r="B66" s="11"/>
    </row>
    <row r="67" spans="2:2" s="12" customFormat="1">
      <c r="B67" s="11"/>
    </row>
    <row r="68" spans="2:2" s="12" customFormat="1">
      <c r="B68" s="11"/>
    </row>
    <row r="69" spans="2:2" s="12" customFormat="1">
      <c r="B69" s="11"/>
    </row>
    <row r="70" spans="2:2" s="12" customFormat="1">
      <c r="B70" s="11"/>
    </row>
    <row r="71" spans="2:2" s="12" customFormat="1">
      <c r="B71" s="11"/>
    </row>
    <row r="72" spans="2:2" s="12" customFormat="1">
      <c r="B72" s="11"/>
    </row>
    <row r="73" spans="2:2" s="12" customFormat="1">
      <c r="B73" s="11"/>
    </row>
    <row r="74" spans="2:2" s="12" customFormat="1">
      <c r="B74" s="11"/>
    </row>
    <row r="75" spans="2:2" s="12" customFormat="1">
      <c r="B75" s="11"/>
    </row>
    <row r="76" spans="2:2" s="12" customFormat="1">
      <c r="B76" s="11"/>
    </row>
    <row r="77" spans="2:2" s="12" customFormat="1">
      <c r="B77" s="11"/>
    </row>
    <row r="78" spans="2:2" s="12" customFormat="1">
      <c r="B78" s="11"/>
    </row>
    <row r="79" spans="2:2" s="12" customFormat="1">
      <c r="B79" s="11"/>
    </row>
    <row r="80" spans="2:2" s="12" customFormat="1">
      <c r="B80" s="11"/>
    </row>
    <row r="81" spans="2:2" s="12" customFormat="1">
      <c r="B81" s="11"/>
    </row>
    <row r="82" spans="2:2" s="12" customFormat="1">
      <c r="B82" s="11"/>
    </row>
    <row r="83" spans="2:2" s="12" customFormat="1">
      <c r="B83" s="11"/>
    </row>
    <row r="84" spans="2:2" s="12" customFormat="1">
      <c r="B84" s="11"/>
    </row>
    <row r="85" spans="2:2" s="12" customFormat="1">
      <c r="B85" s="11"/>
    </row>
    <row r="86" spans="2:2" s="12" customFormat="1">
      <c r="B86" s="11"/>
    </row>
    <row r="87" spans="2:2" s="12" customFormat="1">
      <c r="B87" s="11"/>
    </row>
    <row r="88" spans="2:2" s="12" customFormat="1">
      <c r="B88" s="11"/>
    </row>
    <row r="89" spans="2:2" s="12" customFormat="1">
      <c r="B89" s="11"/>
    </row>
    <row r="90" spans="2:2" s="12" customFormat="1">
      <c r="B90" s="11"/>
    </row>
    <row r="91" spans="2:2" s="12" customFormat="1">
      <c r="B91" s="11"/>
    </row>
    <row r="92" spans="2:2" s="12" customFormat="1">
      <c r="B92" s="11"/>
    </row>
    <row r="93" spans="2:2" s="12" customFormat="1">
      <c r="B93" s="11"/>
    </row>
    <row r="94" spans="2:2" s="12" customFormat="1">
      <c r="B94" s="11"/>
    </row>
    <row r="95" spans="2:2" s="12" customFormat="1">
      <c r="B95" s="11"/>
    </row>
    <row r="96" spans="2:2" s="12" customFormat="1">
      <c r="B96" s="11"/>
    </row>
    <row r="97" spans="2:2" s="12" customFormat="1">
      <c r="B97" s="11"/>
    </row>
    <row r="98" spans="2:2" s="12" customFormat="1">
      <c r="B98" s="11"/>
    </row>
    <row r="99" spans="2:2" s="12" customFormat="1">
      <c r="B99" s="11"/>
    </row>
    <row r="100" spans="2:2" s="12" customFormat="1">
      <c r="B100" s="11"/>
    </row>
    <row r="101" spans="2:2" s="12" customFormat="1">
      <c r="B101" s="11"/>
    </row>
    <row r="102" spans="2:2" s="12" customFormat="1">
      <c r="B102" s="11"/>
    </row>
    <row r="103" spans="2:2" s="12" customFormat="1">
      <c r="B103" s="11"/>
    </row>
    <row r="104" spans="2:2" s="12" customFormat="1">
      <c r="B104" s="11"/>
    </row>
    <row r="105" spans="2:2" s="12" customFormat="1">
      <c r="B105" s="11"/>
    </row>
    <row r="106" spans="2:2" s="12" customFormat="1">
      <c r="B106" s="11"/>
    </row>
    <row r="107" spans="2:2" s="12" customFormat="1">
      <c r="B107" s="11"/>
    </row>
    <row r="108" spans="2:2" s="12" customFormat="1">
      <c r="B108" s="11"/>
    </row>
    <row r="109" spans="2:2" s="12" customFormat="1">
      <c r="B109" s="11"/>
    </row>
    <row r="110" spans="2:2" s="12" customFormat="1">
      <c r="B110" s="11"/>
    </row>
    <row r="111" spans="2:2" s="12" customFormat="1">
      <c r="B111" s="11"/>
    </row>
    <row r="112" spans="2:2" s="12" customFormat="1">
      <c r="B112" s="11"/>
    </row>
    <row r="113" spans="2:2" s="12" customFormat="1">
      <c r="B113" s="11"/>
    </row>
    <row r="114" spans="2:2" s="12" customFormat="1">
      <c r="B114" s="11"/>
    </row>
    <row r="115" spans="2:2" s="12" customFormat="1">
      <c r="B115" s="11"/>
    </row>
    <row r="116" spans="2:2" s="12" customFormat="1">
      <c r="B116" s="11"/>
    </row>
    <row r="117" spans="2:2" s="12" customFormat="1">
      <c r="B117" s="11"/>
    </row>
    <row r="118" spans="2:2" s="12" customFormat="1">
      <c r="B118" s="11"/>
    </row>
    <row r="119" spans="2:2" s="12" customFormat="1">
      <c r="B119" s="11"/>
    </row>
    <row r="120" spans="2:2" s="12" customFormat="1">
      <c r="B120" s="11"/>
    </row>
    <row r="121" spans="2:2" s="12" customFormat="1">
      <c r="B121" s="11"/>
    </row>
    <row r="122" spans="2:2" s="12" customFormat="1">
      <c r="B122" s="11"/>
    </row>
    <row r="123" spans="2:2" s="12" customFormat="1">
      <c r="B123" s="11"/>
    </row>
    <row r="124" spans="2:2" s="12" customFormat="1">
      <c r="B124" s="11"/>
    </row>
    <row r="125" spans="2:2" s="12" customFormat="1">
      <c r="B125" s="11"/>
    </row>
    <row r="126" spans="2:2" s="12" customFormat="1">
      <c r="B126" s="11"/>
    </row>
    <row r="127" spans="2:2" s="12" customFormat="1">
      <c r="B127" s="11"/>
    </row>
    <row r="128" spans="2:2" s="12" customFormat="1">
      <c r="B128" s="11"/>
    </row>
    <row r="129" spans="2:2" s="12" customFormat="1">
      <c r="B129" s="11"/>
    </row>
    <row r="130" spans="2:2" s="12" customFormat="1">
      <c r="B130" s="11"/>
    </row>
    <row r="131" spans="2:2" s="12" customFormat="1">
      <c r="B131" s="11"/>
    </row>
    <row r="132" spans="2:2" s="12" customFormat="1">
      <c r="B132" s="11"/>
    </row>
    <row r="133" spans="2:2" s="12" customFormat="1">
      <c r="B133" s="11"/>
    </row>
    <row r="134" spans="2:2" s="12" customFormat="1">
      <c r="B134" s="11"/>
    </row>
    <row r="135" spans="2:2" s="12" customFormat="1">
      <c r="B135" s="11"/>
    </row>
    <row r="136" spans="2:2" s="12" customFormat="1">
      <c r="B136" s="11"/>
    </row>
    <row r="137" spans="2:2" s="12" customFormat="1">
      <c r="B137" s="11"/>
    </row>
    <row r="138" spans="2:2" s="12" customFormat="1">
      <c r="B138" s="11"/>
    </row>
    <row r="139" spans="2:2" s="12" customFormat="1">
      <c r="B139" s="11"/>
    </row>
    <row r="140" spans="2:2" s="12" customFormat="1">
      <c r="B140" s="11"/>
    </row>
    <row r="141" spans="2:2" s="12" customFormat="1">
      <c r="B141" s="11"/>
    </row>
    <row r="142" spans="2:2" s="12" customFormat="1">
      <c r="B142" s="11"/>
    </row>
    <row r="143" spans="2:2" s="12" customFormat="1">
      <c r="B143" s="11"/>
    </row>
    <row r="144" spans="2:2" s="12" customFormat="1">
      <c r="B144" s="11"/>
    </row>
    <row r="145" spans="2:2" s="12" customFormat="1">
      <c r="B145" s="11"/>
    </row>
    <row r="146" spans="2:2" s="12" customFormat="1">
      <c r="B146" s="11"/>
    </row>
    <row r="147" spans="2:2" s="12" customFormat="1">
      <c r="B147" s="11"/>
    </row>
    <row r="148" spans="2:2" s="12" customFormat="1">
      <c r="B148" s="11"/>
    </row>
    <row r="149" spans="2:2" s="12" customFormat="1">
      <c r="B149" s="11"/>
    </row>
    <row r="150" spans="2:2" s="12" customFormat="1">
      <c r="B150" s="11"/>
    </row>
    <row r="151" spans="2:2" s="12" customFormat="1">
      <c r="B151" s="11"/>
    </row>
    <row r="152" spans="2:2" s="12" customFormat="1">
      <c r="B152" s="11"/>
    </row>
    <row r="153" spans="2:2" s="12" customFormat="1">
      <c r="B153" s="11"/>
    </row>
    <row r="154" spans="2:2" s="12" customFormat="1">
      <c r="B154" s="11"/>
    </row>
    <row r="155" spans="2:2" s="12" customFormat="1">
      <c r="B155" s="11"/>
    </row>
    <row r="156" spans="2:2" s="12" customFormat="1">
      <c r="B156" s="11"/>
    </row>
    <row r="157" spans="2:2" s="12" customFormat="1">
      <c r="B157" s="11"/>
    </row>
    <row r="158" spans="2:2" s="12" customFormat="1">
      <c r="B158" s="11"/>
    </row>
    <row r="159" spans="2:2" s="12" customFormat="1">
      <c r="B159" s="11"/>
    </row>
    <row r="160" spans="2:2" s="12" customFormat="1">
      <c r="B160" s="11"/>
    </row>
    <row r="161" spans="2:2" s="12" customFormat="1">
      <c r="B161" s="11"/>
    </row>
    <row r="162" spans="2:2" s="12" customFormat="1">
      <c r="B162" s="11"/>
    </row>
    <row r="163" spans="2:2" s="12" customFormat="1">
      <c r="B163" s="11"/>
    </row>
    <row r="164" spans="2:2" s="12" customFormat="1">
      <c r="B164" s="11"/>
    </row>
    <row r="165" spans="2:2" s="12" customFormat="1">
      <c r="B165" s="11"/>
    </row>
    <row r="166" spans="2:2" s="12" customFormat="1">
      <c r="B166" s="11"/>
    </row>
    <row r="167" spans="2:2" s="12" customFormat="1">
      <c r="B167" s="11"/>
    </row>
    <row r="168" spans="2:2" s="12" customFormat="1">
      <c r="B168" s="11"/>
    </row>
    <row r="169" spans="2:2" s="12" customFormat="1">
      <c r="B169" s="11"/>
    </row>
    <row r="170" spans="2:2" s="12" customFormat="1">
      <c r="B170" s="11"/>
    </row>
    <row r="171" spans="2:2" s="12" customFormat="1">
      <c r="B171" s="11"/>
    </row>
    <row r="172" spans="2:2" s="12" customFormat="1">
      <c r="B172" s="11"/>
    </row>
    <row r="173" spans="2:2" s="12" customFormat="1">
      <c r="B173" s="11"/>
    </row>
    <row r="174" spans="2:2" s="12" customFormat="1">
      <c r="B174" s="11"/>
    </row>
    <row r="175" spans="2:2" s="12" customFormat="1">
      <c r="B175" s="11"/>
    </row>
    <row r="176" spans="2:2" s="12" customFormat="1">
      <c r="B176" s="11"/>
    </row>
    <row r="177" spans="2:2" s="12" customFormat="1">
      <c r="B177" s="11"/>
    </row>
    <row r="178" spans="2:2" s="12" customFormat="1">
      <c r="B178" s="11"/>
    </row>
    <row r="179" spans="2:2" s="12" customFormat="1">
      <c r="B179" s="11"/>
    </row>
    <row r="180" spans="2:2" s="12" customFormat="1">
      <c r="B180" s="11"/>
    </row>
    <row r="181" spans="2:2" s="12" customFormat="1">
      <c r="B181" s="11"/>
    </row>
    <row r="182" spans="2:2" s="12" customFormat="1">
      <c r="B182" s="11"/>
    </row>
    <row r="183" spans="2:2" s="12" customFormat="1">
      <c r="B183" s="11"/>
    </row>
    <row r="184" spans="2:2" s="12" customFormat="1">
      <c r="B184" s="11"/>
    </row>
    <row r="185" spans="2:2" s="12" customFormat="1">
      <c r="B185" s="11"/>
    </row>
    <row r="186" spans="2:2" s="12" customFormat="1">
      <c r="B186" s="11"/>
    </row>
    <row r="187" spans="2:2" s="12" customFormat="1">
      <c r="B187" s="11"/>
    </row>
    <row r="188" spans="2:2" s="12" customFormat="1">
      <c r="B188" s="11"/>
    </row>
    <row r="189" spans="2:2" s="12" customFormat="1">
      <c r="B189" s="11"/>
    </row>
    <row r="190" spans="2:2" s="12" customFormat="1">
      <c r="B190" s="11"/>
    </row>
    <row r="191" spans="2:2" s="12" customFormat="1">
      <c r="B191" s="11"/>
    </row>
    <row r="192" spans="2:2" s="12" customFormat="1">
      <c r="B192" s="11"/>
    </row>
    <row r="193" spans="2:2" s="12" customFormat="1">
      <c r="B193" s="11"/>
    </row>
    <row r="194" spans="2:2" s="12" customFormat="1">
      <c r="B194" s="11"/>
    </row>
    <row r="195" spans="2:2" s="12" customFormat="1">
      <c r="B195" s="11"/>
    </row>
    <row r="196" spans="2:2" s="12" customFormat="1">
      <c r="B196" s="11"/>
    </row>
    <row r="197" spans="2:2" s="12" customFormat="1">
      <c r="B197" s="11"/>
    </row>
    <row r="198" spans="2:2" s="12" customFormat="1">
      <c r="B198" s="11"/>
    </row>
    <row r="199" spans="2:2" s="12" customFormat="1">
      <c r="B199" s="11"/>
    </row>
    <row r="200" spans="2:2" s="12" customFormat="1">
      <c r="B200" s="11"/>
    </row>
    <row r="201" spans="2:2" s="12" customFormat="1">
      <c r="B201" s="11"/>
    </row>
    <row r="202" spans="2:2" s="12" customFormat="1">
      <c r="B202" s="11"/>
    </row>
    <row r="203" spans="2:2" s="12" customFormat="1">
      <c r="B203" s="11"/>
    </row>
    <row r="204" spans="2:2" s="12" customFormat="1">
      <c r="B204" s="11"/>
    </row>
    <row r="205" spans="2:2" s="12" customFormat="1">
      <c r="B205" s="11"/>
    </row>
    <row r="206" spans="2:2" s="12" customFormat="1">
      <c r="B206" s="11"/>
    </row>
    <row r="207" spans="2:2" s="12" customFormat="1">
      <c r="B207" s="11"/>
    </row>
    <row r="208" spans="2:2" s="12" customFormat="1">
      <c r="B208" s="11"/>
    </row>
    <row r="209" spans="2:2" s="12" customFormat="1">
      <c r="B209" s="11"/>
    </row>
    <row r="210" spans="2:2" s="12" customFormat="1">
      <c r="B210" s="11"/>
    </row>
    <row r="211" spans="2:2" s="12" customFormat="1">
      <c r="B211" s="11"/>
    </row>
    <row r="212" spans="2:2" s="12" customFormat="1">
      <c r="B212" s="11"/>
    </row>
    <row r="213" spans="2:2" s="12" customFormat="1">
      <c r="B213" s="11"/>
    </row>
    <row r="214" spans="2:2" s="12" customFormat="1">
      <c r="B214" s="11"/>
    </row>
    <row r="215" spans="2:2" s="12" customFormat="1">
      <c r="B215" s="11"/>
    </row>
    <row r="216" spans="2:2" s="12" customFormat="1">
      <c r="B216" s="11"/>
    </row>
    <row r="217" spans="2:2" s="12" customFormat="1">
      <c r="B217" s="11"/>
    </row>
    <row r="218" spans="2:2" s="12" customFormat="1">
      <c r="B218" s="11"/>
    </row>
    <row r="219" spans="2:2" s="12" customFormat="1">
      <c r="B219" s="11"/>
    </row>
    <row r="220" spans="2:2" s="12" customFormat="1">
      <c r="B220" s="11"/>
    </row>
    <row r="221" spans="2:2" s="12" customFormat="1">
      <c r="B221" s="11"/>
    </row>
    <row r="222" spans="2:2" s="12" customFormat="1">
      <c r="B222" s="11"/>
    </row>
    <row r="223" spans="2:2" s="12" customFormat="1">
      <c r="B223" s="11"/>
    </row>
    <row r="224" spans="2:2" s="12" customFormat="1">
      <c r="B224" s="11"/>
    </row>
    <row r="225" spans="2:2" s="12" customFormat="1">
      <c r="B225" s="11"/>
    </row>
    <row r="226" spans="2:2" s="12" customFormat="1">
      <c r="B226" s="11"/>
    </row>
    <row r="227" spans="2:2" s="12" customFormat="1">
      <c r="B227" s="11"/>
    </row>
    <row r="228" spans="2:2" s="12" customFormat="1">
      <c r="B228" s="11"/>
    </row>
    <row r="229" spans="2:2" s="12" customFormat="1">
      <c r="B229" s="11"/>
    </row>
    <row r="230" spans="2:2" s="12" customFormat="1">
      <c r="B230" s="11"/>
    </row>
    <row r="231" spans="2:2" s="12" customFormat="1">
      <c r="B231" s="11"/>
    </row>
    <row r="232" spans="2:2" s="12" customFormat="1">
      <c r="B232" s="11"/>
    </row>
    <row r="233" spans="2:2" s="12" customFormat="1">
      <c r="B233" s="11"/>
    </row>
    <row r="234" spans="2:2" s="12" customFormat="1">
      <c r="B234" s="11"/>
    </row>
    <row r="235" spans="2:2" s="12" customFormat="1">
      <c r="B235" s="11"/>
    </row>
    <row r="236" spans="2:2" s="12" customFormat="1">
      <c r="B236" s="11"/>
    </row>
    <row r="237" spans="2:2" s="12" customFormat="1">
      <c r="B237" s="11"/>
    </row>
    <row r="238" spans="2:2" s="12" customFormat="1">
      <c r="B238" s="11"/>
    </row>
    <row r="239" spans="2:2" s="12" customFormat="1">
      <c r="B239" s="11"/>
    </row>
    <row r="240" spans="2:2" s="12" customFormat="1">
      <c r="B240" s="11"/>
    </row>
    <row r="241" spans="2:2" s="12" customFormat="1">
      <c r="B241" s="11"/>
    </row>
    <row r="242" spans="2:2" s="12" customFormat="1">
      <c r="B242" s="11"/>
    </row>
    <row r="243" spans="2:2" s="12" customFormat="1">
      <c r="B243" s="11"/>
    </row>
    <row r="244" spans="2:2" s="12" customFormat="1">
      <c r="B244" s="11"/>
    </row>
    <row r="245" spans="2:2" s="12" customFormat="1">
      <c r="B245" s="11"/>
    </row>
    <row r="246" spans="2:2" s="12" customFormat="1">
      <c r="B246" s="11"/>
    </row>
    <row r="247" spans="2:2" s="12" customFormat="1">
      <c r="B247" s="11"/>
    </row>
    <row r="248" spans="2:2" s="12" customFormat="1">
      <c r="B248" s="11"/>
    </row>
    <row r="249" spans="2:2" s="12" customFormat="1">
      <c r="B249" s="11"/>
    </row>
    <row r="250" spans="2:2" s="12" customFormat="1">
      <c r="B250" s="11"/>
    </row>
    <row r="251" spans="2:2" s="12" customFormat="1">
      <c r="B251" s="11"/>
    </row>
    <row r="252" spans="2:2" s="12" customFormat="1">
      <c r="B252" s="11"/>
    </row>
    <row r="253" spans="2:2" s="12" customFormat="1">
      <c r="B253" s="11"/>
    </row>
    <row r="254" spans="2:2" s="12" customFormat="1">
      <c r="B254" s="11"/>
    </row>
    <row r="255" spans="2:2" s="12" customFormat="1">
      <c r="B255" s="11"/>
    </row>
    <row r="256" spans="2:2" s="12" customFormat="1">
      <c r="B256" s="11"/>
    </row>
    <row r="257" spans="2:2" s="12" customFormat="1">
      <c r="B257" s="11"/>
    </row>
    <row r="258" spans="2:2" s="12" customFormat="1">
      <c r="B258" s="11"/>
    </row>
    <row r="259" spans="2:2" s="12" customFormat="1">
      <c r="B259" s="11"/>
    </row>
    <row r="260" spans="2:2" s="12" customFormat="1">
      <c r="B260" s="11"/>
    </row>
    <row r="261" spans="2:2" s="12" customFormat="1">
      <c r="B261" s="11"/>
    </row>
    <row r="262" spans="2:2" s="12" customFormat="1">
      <c r="B262" s="11"/>
    </row>
    <row r="263" spans="2:2" s="12" customFormat="1">
      <c r="B263" s="11"/>
    </row>
    <row r="264" spans="2:2" s="12" customFormat="1">
      <c r="B264" s="11"/>
    </row>
    <row r="265" spans="2:2" s="12" customFormat="1">
      <c r="B265" s="11"/>
    </row>
    <row r="266" spans="2:2" s="12" customFormat="1">
      <c r="B266" s="11"/>
    </row>
    <row r="267" spans="2:2" s="12" customFormat="1">
      <c r="B267" s="11"/>
    </row>
    <row r="268" spans="2:2" s="12" customFormat="1">
      <c r="B268" s="11"/>
    </row>
    <row r="269" spans="2:2" s="12" customFormat="1">
      <c r="B269" s="11"/>
    </row>
    <row r="270" spans="2:2" s="12" customFormat="1">
      <c r="B270" s="11"/>
    </row>
    <row r="271" spans="2:2" s="12" customFormat="1">
      <c r="B271" s="11"/>
    </row>
    <row r="272" spans="2:2" s="12" customFormat="1">
      <c r="B272" s="11"/>
    </row>
    <row r="273" spans="2:2" s="12" customFormat="1">
      <c r="B273" s="11"/>
    </row>
    <row r="274" spans="2:2" s="12" customFormat="1">
      <c r="B274" s="11"/>
    </row>
    <row r="275" spans="2:2" s="12" customFormat="1">
      <c r="B275" s="11"/>
    </row>
    <row r="276" spans="2:2" s="12" customFormat="1">
      <c r="B276" s="11"/>
    </row>
    <row r="277" spans="2:2" s="12" customFormat="1">
      <c r="B277" s="11"/>
    </row>
    <row r="278" spans="2:2" s="12" customFormat="1">
      <c r="B278" s="11"/>
    </row>
    <row r="279" spans="2:2" s="12" customFormat="1">
      <c r="B279" s="11"/>
    </row>
    <row r="280" spans="2:2" s="12" customFormat="1">
      <c r="B280" s="11"/>
    </row>
    <row r="281" spans="2:2" s="12" customFormat="1">
      <c r="B281" s="11"/>
    </row>
    <row r="282" spans="2:2" s="12" customFormat="1">
      <c r="B282" s="11"/>
    </row>
    <row r="283" spans="2:2" s="12" customFormat="1">
      <c r="B283" s="11"/>
    </row>
    <row r="284" spans="2:2" s="12" customFormat="1">
      <c r="B284" s="11"/>
    </row>
    <row r="285" spans="2:2" s="12" customFormat="1">
      <c r="B285" s="11"/>
    </row>
    <row r="286" spans="2:2" s="12" customFormat="1">
      <c r="B286" s="11"/>
    </row>
    <row r="287" spans="2:2" s="12" customFormat="1">
      <c r="B287" s="11"/>
    </row>
    <row r="288" spans="2:2" s="12" customFormat="1">
      <c r="B288" s="11"/>
    </row>
    <row r="289" spans="2:2" s="12" customFormat="1">
      <c r="B289" s="11"/>
    </row>
    <row r="290" spans="2:2" s="12" customFormat="1">
      <c r="B290" s="11"/>
    </row>
    <row r="291" spans="2:2" s="12" customFormat="1">
      <c r="B291" s="11"/>
    </row>
    <row r="292" spans="2:2" s="12" customFormat="1">
      <c r="B292" s="11"/>
    </row>
    <row r="293" spans="2:2" s="12" customFormat="1">
      <c r="B293" s="11"/>
    </row>
    <row r="294" spans="2:2" s="12" customFormat="1">
      <c r="B294" s="11"/>
    </row>
    <row r="295" spans="2:2" s="12" customFormat="1">
      <c r="B295" s="11"/>
    </row>
    <row r="296" spans="2:2" s="12" customFormat="1">
      <c r="B296" s="11"/>
    </row>
    <row r="297" spans="2:2" s="12" customFormat="1">
      <c r="B297" s="11"/>
    </row>
    <row r="298" spans="2:2" s="12" customFormat="1">
      <c r="B298" s="11"/>
    </row>
    <row r="299" spans="2:2" s="12" customFormat="1">
      <c r="B299" s="11"/>
    </row>
    <row r="300" spans="2:2" s="12" customFormat="1">
      <c r="B300" s="11"/>
    </row>
    <row r="301" spans="2:2" s="12" customFormat="1">
      <c r="B301" s="11"/>
    </row>
    <row r="302" spans="2:2" s="12" customFormat="1">
      <c r="B302" s="11"/>
    </row>
    <row r="303" spans="2:2" s="12" customFormat="1">
      <c r="B303" s="11"/>
    </row>
    <row r="304" spans="2:2" s="12" customFormat="1">
      <c r="B304" s="11"/>
    </row>
    <row r="305" spans="2:2" s="12" customFormat="1">
      <c r="B305" s="11"/>
    </row>
    <row r="306" spans="2:2" s="12" customFormat="1">
      <c r="B306" s="11"/>
    </row>
    <row r="307" spans="2:2" s="12" customFormat="1">
      <c r="B307" s="11"/>
    </row>
    <row r="308" spans="2:2" s="12" customFormat="1">
      <c r="B308" s="11"/>
    </row>
    <row r="309" spans="2:2" s="12" customFormat="1">
      <c r="B309" s="11"/>
    </row>
    <row r="310" spans="2:2" s="12" customFormat="1">
      <c r="B310" s="11"/>
    </row>
    <row r="311" spans="2:2" s="12" customFormat="1">
      <c r="B311" s="11"/>
    </row>
    <row r="312" spans="2:2" s="12" customFormat="1">
      <c r="B312" s="11"/>
    </row>
    <row r="313" spans="2:2" s="12" customFormat="1">
      <c r="B313" s="11"/>
    </row>
    <row r="314" spans="2:2" s="12" customFormat="1">
      <c r="B314" s="11"/>
    </row>
    <row r="315" spans="2:2" s="12" customFormat="1">
      <c r="B315" s="11"/>
    </row>
    <row r="316" spans="2:2" s="12" customFormat="1">
      <c r="B316" s="11"/>
    </row>
    <row r="317" spans="2:2" s="12" customFormat="1">
      <c r="B317" s="11"/>
    </row>
    <row r="318" spans="2:2" s="12" customFormat="1">
      <c r="B318" s="11"/>
    </row>
    <row r="319" spans="2:2" s="12" customFormat="1">
      <c r="B319" s="11"/>
    </row>
    <row r="320" spans="2:2" s="12" customFormat="1">
      <c r="B320" s="11"/>
    </row>
    <row r="321" spans="2:2" s="12" customFormat="1">
      <c r="B321" s="11"/>
    </row>
    <row r="322" spans="2:2" s="12" customFormat="1">
      <c r="B322" s="11"/>
    </row>
    <row r="323" spans="2:2" s="12" customFormat="1">
      <c r="B323" s="11"/>
    </row>
    <row r="324" spans="2:2" s="12" customFormat="1">
      <c r="B324" s="11"/>
    </row>
    <row r="325" spans="2:2" s="12" customFormat="1">
      <c r="B325" s="11"/>
    </row>
    <row r="326" spans="2:2" s="12" customFormat="1">
      <c r="B326" s="11"/>
    </row>
    <row r="327" spans="2:2" s="12" customFormat="1">
      <c r="B327" s="11"/>
    </row>
    <row r="328" spans="2:2" s="12" customFormat="1">
      <c r="B328" s="11"/>
    </row>
    <row r="329" spans="2:2" s="12" customFormat="1">
      <c r="B329" s="11"/>
    </row>
    <row r="330" spans="2:2" s="12" customFormat="1">
      <c r="B330" s="11"/>
    </row>
    <row r="331" spans="2:2" s="12" customFormat="1">
      <c r="B331" s="11"/>
    </row>
    <row r="332" spans="2:2" s="12" customFormat="1">
      <c r="B332" s="11"/>
    </row>
    <row r="333" spans="2:2" s="12" customFormat="1">
      <c r="B333" s="11"/>
    </row>
    <row r="334" spans="2:2" s="12" customFormat="1">
      <c r="B334" s="11"/>
    </row>
    <row r="335" spans="2:2" s="12" customFormat="1">
      <c r="B335" s="11"/>
    </row>
    <row r="336" spans="2:2" s="12" customFormat="1">
      <c r="B336" s="11"/>
    </row>
    <row r="337" spans="2:2" s="12" customFormat="1">
      <c r="B337" s="11"/>
    </row>
    <row r="338" spans="2:2" s="12" customFormat="1">
      <c r="B338" s="11"/>
    </row>
    <row r="339" spans="2:2" s="12" customFormat="1">
      <c r="B339" s="11"/>
    </row>
    <row r="340" spans="2:2" s="12" customFormat="1">
      <c r="B340" s="11"/>
    </row>
    <row r="341" spans="2:2" s="12" customFormat="1">
      <c r="B341" s="11"/>
    </row>
    <row r="342" spans="2:2" s="12" customFormat="1">
      <c r="B342" s="11"/>
    </row>
    <row r="343" spans="2:2" s="12" customFormat="1">
      <c r="B343" s="11"/>
    </row>
    <row r="344" spans="2:2" s="12" customFormat="1">
      <c r="B344" s="11"/>
    </row>
    <row r="345" spans="2:2" s="12" customFormat="1">
      <c r="B345" s="11"/>
    </row>
    <row r="346" spans="2:2" s="12" customFormat="1">
      <c r="B346" s="11"/>
    </row>
    <row r="347" spans="2:2" s="12" customFormat="1">
      <c r="B347" s="11"/>
    </row>
    <row r="348" spans="2:2" s="12" customFormat="1">
      <c r="B348" s="11"/>
    </row>
    <row r="349" spans="2:2" s="12" customFormat="1">
      <c r="B349" s="11"/>
    </row>
    <row r="350" spans="2:2" s="12" customFormat="1">
      <c r="B350" s="11"/>
    </row>
    <row r="351" spans="2:2" s="12" customFormat="1">
      <c r="B351" s="11"/>
    </row>
    <row r="352" spans="2:2" s="12" customFormat="1">
      <c r="B352" s="11"/>
    </row>
    <row r="353" spans="2:2" s="12" customFormat="1">
      <c r="B353" s="11"/>
    </row>
    <row r="354" spans="2:2" s="12" customFormat="1">
      <c r="B354" s="11"/>
    </row>
    <row r="355" spans="2:2" s="12" customFormat="1">
      <c r="B355" s="11"/>
    </row>
    <row r="356" spans="2:2" s="12" customFormat="1">
      <c r="B356" s="11"/>
    </row>
    <row r="357" spans="2:2" s="12" customFormat="1">
      <c r="B357" s="11"/>
    </row>
    <row r="358" spans="2:2" s="12" customFormat="1">
      <c r="B358" s="11"/>
    </row>
    <row r="359" spans="2:2" s="12" customFormat="1">
      <c r="B359" s="11"/>
    </row>
    <row r="360" spans="2:2" s="12" customFormat="1">
      <c r="B360" s="11"/>
    </row>
    <row r="361" spans="2:2" s="12" customFormat="1">
      <c r="B361" s="11"/>
    </row>
    <row r="362" spans="2:2" s="12" customFormat="1">
      <c r="B362" s="11"/>
    </row>
    <row r="363" spans="2:2" s="12" customFormat="1">
      <c r="B363" s="11"/>
    </row>
    <row r="364" spans="2:2" s="12" customFormat="1">
      <c r="B364" s="11"/>
    </row>
    <row r="365" spans="2:2" s="12" customFormat="1">
      <c r="B365" s="11"/>
    </row>
    <row r="366" spans="2:2" s="12" customFormat="1">
      <c r="B366" s="11"/>
    </row>
    <row r="367" spans="2:2" s="12" customFormat="1">
      <c r="B367" s="11"/>
    </row>
    <row r="368" spans="2:2" s="12" customFormat="1">
      <c r="B368" s="11"/>
    </row>
    <row r="369" spans="2:2" s="12" customFormat="1">
      <c r="B369" s="11"/>
    </row>
    <row r="370" spans="2:2" s="12" customFormat="1">
      <c r="B370" s="11"/>
    </row>
    <row r="371" spans="2:2" s="12" customFormat="1">
      <c r="B371" s="11"/>
    </row>
    <row r="372" spans="2:2" s="12" customFormat="1">
      <c r="B372" s="11"/>
    </row>
    <row r="373" spans="2:2" s="12" customFormat="1">
      <c r="B373" s="11"/>
    </row>
    <row r="374" spans="2:2" s="12" customFormat="1">
      <c r="B374" s="11"/>
    </row>
    <row r="375" spans="2:2" s="12" customFormat="1">
      <c r="B375" s="11"/>
    </row>
    <row r="376" spans="2:2" s="12" customFormat="1">
      <c r="B376" s="11"/>
    </row>
    <row r="377" spans="2:2" s="12" customFormat="1">
      <c r="B377" s="11"/>
    </row>
    <row r="378" spans="2:2" s="12" customFormat="1">
      <c r="B378" s="11"/>
    </row>
    <row r="379" spans="2:2" s="12" customFormat="1">
      <c r="B379" s="11"/>
    </row>
    <row r="380" spans="2:2" s="12" customFormat="1">
      <c r="B380" s="11"/>
    </row>
    <row r="381" spans="2:2" s="12" customFormat="1">
      <c r="B381" s="11"/>
    </row>
    <row r="382" spans="2:2" s="12" customFormat="1">
      <c r="B382" s="11"/>
    </row>
    <row r="383" spans="2:2" s="12" customFormat="1">
      <c r="B383" s="11"/>
    </row>
    <row r="384" spans="2:2" s="12" customFormat="1">
      <c r="B384" s="11"/>
    </row>
    <row r="385" spans="2:2" s="12" customFormat="1">
      <c r="B385" s="11"/>
    </row>
    <row r="386" spans="2:2" s="12" customFormat="1">
      <c r="B386" s="11"/>
    </row>
    <row r="387" spans="2:2" s="12" customFormat="1">
      <c r="B387" s="11"/>
    </row>
    <row r="388" spans="2:2" s="12" customFormat="1">
      <c r="B388" s="11"/>
    </row>
    <row r="389" spans="2:2" s="12" customFormat="1">
      <c r="B389" s="11"/>
    </row>
    <row r="390" spans="2:2" s="12" customFormat="1">
      <c r="B390" s="11"/>
    </row>
    <row r="391" spans="2:2" s="12" customFormat="1">
      <c r="B391" s="11"/>
    </row>
    <row r="392" spans="2:2" s="12" customFormat="1">
      <c r="B392" s="11"/>
    </row>
    <row r="393" spans="2:2" s="12" customFormat="1">
      <c r="B393" s="11"/>
    </row>
    <row r="394" spans="2:2" s="12" customFormat="1">
      <c r="B394" s="11"/>
    </row>
    <row r="395" spans="2:2" s="12" customFormat="1">
      <c r="B395" s="11"/>
    </row>
    <row r="396" spans="2:2" s="12" customFormat="1">
      <c r="B396" s="11"/>
    </row>
    <row r="397" spans="2:2" s="12" customFormat="1">
      <c r="B397" s="11"/>
    </row>
    <row r="398" spans="2:2" s="12" customFormat="1">
      <c r="B398" s="11"/>
    </row>
    <row r="399" spans="2:2" s="12" customFormat="1">
      <c r="B399" s="11"/>
    </row>
    <row r="400" spans="2:2" s="12" customFormat="1">
      <c r="B400" s="11"/>
    </row>
    <row r="401" spans="2:2" s="12" customFormat="1">
      <c r="B401" s="11"/>
    </row>
    <row r="402" spans="2:2" s="12" customFormat="1">
      <c r="B402" s="11"/>
    </row>
    <row r="403" spans="2:2" s="12" customFormat="1">
      <c r="B403" s="11"/>
    </row>
    <row r="404" spans="2:2" s="12" customFormat="1">
      <c r="B404" s="11"/>
    </row>
    <row r="405" spans="2:2" s="12" customFormat="1">
      <c r="B405" s="11"/>
    </row>
    <row r="406" spans="2:2" s="12" customFormat="1">
      <c r="B406" s="11"/>
    </row>
    <row r="407" spans="2:2" s="12" customFormat="1">
      <c r="B407" s="11"/>
    </row>
    <row r="408" spans="2:2" s="12" customFormat="1">
      <c r="B408" s="11"/>
    </row>
    <row r="409" spans="2:2" s="12" customFormat="1">
      <c r="B409" s="11"/>
    </row>
    <row r="410" spans="2:2" s="12" customFormat="1">
      <c r="B410" s="11"/>
    </row>
    <row r="411" spans="2:2" s="12" customFormat="1">
      <c r="B411" s="11"/>
    </row>
    <row r="412" spans="2:2" s="12" customFormat="1">
      <c r="B412" s="11"/>
    </row>
    <row r="413" spans="2:2" s="12" customFormat="1">
      <c r="B413" s="11"/>
    </row>
    <row r="414" spans="2:2" s="12" customFormat="1">
      <c r="B414" s="11"/>
    </row>
    <row r="415" spans="2:2" s="12" customFormat="1">
      <c r="B415" s="11"/>
    </row>
    <row r="416" spans="2:2" s="12" customFormat="1">
      <c r="B416" s="11"/>
    </row>
    <row r="417" spans="2:2" s="12" customFormat="1">
      <c r="B417" s="11"/>
    </row>
    <row r="418" spans="2:2" s="12" customFormat="1">
      <c r="B418" s="11"/>
    </row>
    <row r="419" spans="2:2" s="12" customFormat="1">
      <c r="B419" s="11"/>
    </row>
    <row r="420" spans="2:2" s="12" customFormat="1">
      <c r="B420" s="11"/>
    </row>
    <row r="421" spans="2:2" s="12" customFormat="1">
      <c r="B421" s="11"/>
    </row>
    <row r="422" spans="2:2" s="12" customFormat="1">
      <c r="B422" s="11"/>
    </row>
    <row r="423" spans="2:2" s="12" customFormat="1">
      <c r="B423" s="11"/>
    </row>
    <row r="424" spans="2:2" s="12" customFormat="1">
      <c r="B424" s="11"/>
    </row>
    <row r="425" spans="2:2" s="12" customFormat="1">
      <c r="B425" s="11"/>
    </row>
    <row r="426" spans="2:2" s="12" customFormat="1">
      <c r="B426" s="11"/>
    </row>
    <row r="427" spans="2:2" s="12" customFormat="1">
      <c r="B427" s="11"/>
    </row>
    <row r="428" spans="2:2" s="12" customFormat="1">
      <c r="B428" s="11"/>
    </row>
    <row r="429" spans="2:2" s="12" customFormat="1">
      <c r="B429" s="11"/>
    </row>
    <row r="430" spans="2:2" s="12" customFormat="1">
      <c r="B430" s="11"/>
    </row>
    <row r="431" spans="2:2" s="12" customFormat="1">
      <c r="B431" s="11"/>
    </row>
    <row r="432" spans="2:2" s="12" customFormat="1">
      <c r="B432" s="11"/>
    </row>
    <row r="433" spans="2:2" s="12" customFormat="1">
      <c r="B433" s="11"/>
    </row>
    <row r="434" spans="2:2" s="12" customFormat="1">
      <c r="B434" s="11"/>
    </row>
    <row r="435" spans="2:2" s="12" customFormat="1">
      <c r="B435" s="11"/>
    </row>
    <row r="436" spans="2:2" s="12" customFormat="1">
      <c r="B436" s="11"/>
    </row>
    <row r="437" spans="2:2" s="12" customFormat="1">
      <c r="B437" s="11"/>
    </row>
    <row r="438" spans="2:2" s="12" customFormat="1">
      <c r="B438" s="11"/>
    </row>
    <row r="439" spans="2:2" s="12" customFormat="1">
      <c r="B439" s="11"/>
    </row>
    <row r="440" spans="2:2" s="12" customFormat="1">
      <c r="B440" s="11"/>
    </row>
    <row r="441" spans="2:2" s="12" customFormat="1">
      <c r="B441" s="11"/>
    </row>
    <row r="442" spans="2:2" s="12" customFormat="1">
      <c r="B442" s="11"/>
    </row>
    <row r="443" spans="2:2" s="12" customFormat="1">
      <c r="B443" s="11"/>
    </row>
    <row r="444" spans="2:2" s="12" customFormat="1">
      <c r="B444" s="11"/>
    </row>
    <row r="445" spans="2:2" s="12" customFormat="1">
      <c r="B445" s="11"/>
    </row>
    <row r="446" spans="2:2" s="12" customFormat="1">
      <c r="B446" s="11"/>
    </row>
    <row r="447" spans="2:2" s="12" customFormat="1">
      <c r="B447" s="11"/>
    </row>
    <row r="448" spans="2:2" s="12" customFormat="1">
      <c r="B448" s="11"/>
    </row>
    <row r="449" spans="2:2" s="12" customFormat="1">
      <c r="B449" s="11"/>
    </row>
    <row r="450" spans="2:2" s="12" customFormat="1">
      <c r="B450" s="11"/>
    </row>
    <row r="451" spans="2:2" s="12" customFormat="1">
      <c r="B451" s="11"/>
    </row>
    <row r="452" spans="2:2" s="12" customFormat="1">
      <c r="B452" s="11"/>
    </row>
    <row r="453" spans="2:2" s="12" customFormat="1">
      <c r="B453" s="11"/>
    </row>
    <row r="454" spans="2:2" s="12" customFormat="1">
      <c r="B454" s="11"/>
    </row>
    <row r="455" spans="2:2" s="12" customFormat="1">
      <c r="B455" s="11"/>
    </row>
    <row r="456" spans="2:2" s="12" customFormat="1">
      <c r="B456" s="11"/>
    </row>
    <row r="457" spans="2:2" s="12" customFormat="1">
      <c r="B457" s="11"/>
    </row>
    <row r="458" spans="2:2" s="12" customFormat="1">
      <c r="B458" s="11"/>
    </row>
    <row r="459" spans="2:2" s="12" customFormat="1">
      <c r="B459" s="11"/>
    </row>
    <row r="460" spans="2:2" s="12" customFormat="1">
      <c r="B460" s="11"/>
    </row>
    <row r="461" spans="2:2" s="12" customFormat="1">
      <c r="B461" s="11"/>
    </row>
    <row r="462" spans="2:2" s="12" customFormat="1">
      <c r="B462" s="11"/>
    </row>
    <row r="463" spans="2:2" s="12" customFormat="1">
      <c r="B463" s="11"/>
    </row>
    <row r="464" spans="2:2" s="12" customFormat="1">
      <c r="B464" s="11"/>
    </row>
    <row r="465" spans="2:2" s="12" customFormat="1">
      <c r="B465" s="11"/>
    </row>
    <row r="466" spans="2:2" s="12" customFormat="1">
      <c r="B466" s="11"/>
    </row>
    <row r="467" spans="2:2" s="12" customFormat="1">
      <c r="B467" s="11"/>
    </row>
    <row r="468" spans="2:2" s="12" customFormat="1">
      <c r="B468" s="11"/>
    </row>
    <row r="469" spans="2:2" s="12" customFormat="1">
      <c r="B469" s="11"/>
    </row>
    <row r="470" spans="2:2" s="12" customFormat="1">
      <c r="B470" s="11"/>
    </row>
    <row r="471" spans="2:2" s="12" customFormat="1">
      <c r="B471" s="11"/>
    </row>
    <row r="472" spans="2:2" s="12" customFormat="1">
      <c r="B472" s="11"/>
    </row>
    <row r="473" spans="2:2" s="12" customFormat="1">
      <c r="B473" s="11"/>
    </row>
    <row r="474" spans="2:2" s="12" customFormat="1">
      <c r="B474" s="11"/>
    </row>
    <row r="475" spans="2:2" s="12" customFormat="1">
      <c r="B475" s="11"/>
    </row>
    <row r="476" spans="2:2" s="12" customFormat="1">
      <c r="B476" s="11"/>
    </row>
    <row r="477" spans="2:2" s="12" customFormat="1">
      <c r="B477" s="11"/>
    </row>
    <row r="478" spans="2:2" s="12" customFormat="1">
      <c r="B478" s="11"/>
    </row>
    <row r="479" spans="2:2" s="12" customFormat="1">
      <c r="B479" s="11"/>
    </row>
    <row r="480" spans="2:2" s="12" customFormat="1">
      <c r="B480" s="11"/>
    </row>
    <row r="481" spans="2:2" s="12" customFormat="1">
      <c r="B481" s="11"/>
    </row>
    <row r="482" spans="2:2" s="12" customFormat="1">
      <c r="B482" s="11"/>
    </row>
    <row r="483" spans="2:2" s="12" customFormat="1">
      <c r="B483" s="11"/>
    </row>
    <row r="484" spans="2:2" s="12" customFormat="1">
      <c r="B484" s="11"/>
    </row>
    <row r="485" spans="2:2" s="12" customFormat="1">
      <c r="B485" s="11"/>
    </row>
    <row r="486" spans="2:2" s="12" customFormat="1">
      <c r="B486" s="11"/>
    </row>
    <row r="487" spans="2:2" s="12" customFormat="1">
      <c r="B487" s="11"/>
    </row>
    <row r="488" spans="2:2" s="12" customFormat="1">
      <c r="B488" s="11"/>
    </row>
    <row r="489" spans="2:2" s="12" customFormat="1">
      <c r="B489" s="11"/>
    </row>
    <row r="490" spans="2:2" s="12" customFormat="1">
      <c r="B490" s="11"/>
    </row>
    <row r="491" spans="2:2" s="12" customFormat="1">
      <c r="B491" s="11"/>
    </row>
    <row r="492" spans="2:2" s="12" customFormat="1">
      <c r="B492" s="11"/>
    </row>
    <row r="493" spans="2:2" s="12" customFormat="1">
      <c r="B493" s="11"/>
    </row>
    <row r="494" spans="2:2" s="12" customFormat="1">
      <c r="B494" s="11"/>
    </row>
    <row r="495" spans="2:2" s="12" customFormat="1">
      <c r="B495" s="11"/>
    </row>
    <row r="496" spans="2:2" s="12" customFormat="1">
      <c r="B496" s="11"/>
    </row>
    <row r="497" spans="2:2" s="12" customFormat="1">
      <c r="B497" s="11"/>
    </row>
    <row r="498" spans="2:2" s="12" customFormat="1">
      <c r="B498" s="11"/>
    </row>
    <row r="499" spans="2:2" s="12" customFormat="1">
      <c r="B499" s="11"/>
    </row>
    <row r="500" spans="2:2" s="12" customFormat="1">
      <c r="B500" s="11"/>
    </row>
    <row r="501" spans="2:2" s="12" customFormat="1">
      <c r="B501" s="11"/>
    </row>
    <row r="502" spans="2:2" s="12" customFormat="1">
      <c r="B502" s="11"/>
    </row>
    <row r="503" spans="2:2" s="12" customFormat="1">
      <c r="B503" s="11"/>
    </row>
    <row r="504" spans="2:2" s="12" customFormat="1">
      <c r="B504" s="11"/>
    </row>
    <row r="505" spans="2:2" s="12" customFormat="1">
      <c r="B505" s="11"/>
    </row>
    <row r="506" spans="2:2" s="12" customFormat="1">
      <c r="B506" s="11"/>
    </row>
    <row r="507" spans="2:2" s="12" customFormat="1">
      <c r="B507" s="11"/>
    </row>
    <row r="508" spans="2:2" s="12" customFormat="1">
      <c r="B508" s="11"/>
    </row>
    <row r="509" spans="2:2" s="12" customFormat="1">
      <c r="B509" s="11"/>
    </row>
    <row r="510" spans="2:2" s="12" customFormat="1">
      <c r="B510" s="11"/>
    </row>
    <row r="511" spans="2:2" s="12" customFormat="1">
      <c r="B511" s="11"/>
    </row>
    <row r="512" spans="2:2" s="12" customFormat="1">
      <c r="B512" s="11"/>
    </row>
    <row r="513" spans="2:2" s="12" customFormat="1">
      <c r="B513" s="11"/>
    </row>
  </sheetData>
  <mergeCells count="9">
    <mergeCell ref="B2:G2"/>
    <mergeCell ref="B16:E16"/>
    <mergeCell ref="I6:L7"/>
    <mergeCell ref="I8:L8"/>
    <mergeCell ref="B4:G4"/>
    <mergeCell ref="B9:E9"/>
    <mergeCell ref="C5:G5"/>
    <mergeCell ref="C6:G6"/>
    <mergeCell ref="C7:G7"/>
  </mergeCells>
  <phoneticPr fontId="1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F853-86E7-4D6E-9D22-C138251B95D2}">
  <dimension ref="B1:J19"/>
  <sheetViews>
    <sheetView showGridLines="0" zoomScale="115" zoomScaleNormal="115" workbookViewId="0">
      <selection activeCell="L19" sqref="L19"/>
    </sheetView>
  </sheetViews>
  <sheetFormatPr defaultRowHeight="13.2"/>
  <cols>
    <col min="6" max="6" width="10.109375" customWidth="1"/>
    <col min="7" max="7" width="19.21875" customWidth="1"/>
  </cols>
  <sheetData>
    <row r="1" spans="2:10" ht="13.8" thickBot="1"/>
    <row r="2" spans="2:10" ht="29.4" customHeight="1" thickBot="1">
      <c r="B2" s="249" t="s">
        <v>161</v>
      </c>
      <c r="C2" s="250"/>
      <c r="D2" s="250"/>
      <c r="E2" s="250"/>
      <c r="F2" s="250"/>
      <c r="G2" s="251"/>
    </row>
    <row r="4" spans="2:10" ht="15.6">
      <c r="B4" s="260" t="s">
        <v>162</v>
      </c>
      <c r="C4" s="260"/>
      <c r="D4" s="260"/>
      <c r="E4" s="260"/>
      <c r="F4" s="260"/>
      <c r="G4" s="260"/>
    </row>
    <row r="6" spans="2:10" ht="15.6">
      <c r="B6" s="261" t="s">
        <v>163</v>
      </c>
    </row>
    <row r="7" spans="2:10" ht="19.8">
      <c r="B7" s="261" t="s">
        <v>164</v>
      </c>
    </row>
    <row r="8" spans="2:10" ht="15.6">
      <c r="B8" s="261" t="s">
        <v>165</v>
      </c>
    </row>
    <row r="9" spans="2:10" ht="15.6">
      <c r="B9" s="261" t="s">
        <v>166</v>
      </c>
    </row>
    <row r="10" spans="2:10" ht="15.6">
      <c r="B10" s="261" t="s">
        <v>167</v>
      </c>
    </row>
    <row r="12" spans="2:10" ht="15.6">
      <c r="B12" s="263" t="s">
        <v>168</v>
      </c>
    </row>
    <row r="14" spans="2:10" ht="15.6">
      <c r="B14" s="262" t="s">
        <v>169</v>
      </c>
      <c r="I14" s="264" t="s">
        <v>170</v>
      </c>
      <c r="J14" s="264"/>
    </row>
    <row r="15" spans="2:10" ht="15.6">
      <c r="B15" s="262" t="s">
        <v>171</v>
      </c>
      <c r="G15" s="264" t="s">
        <v>175</v>
      </c>
    </row>
    <row r="16" spans="2:10" ht="15.6">
      <c r="B16" s="262" t="s">
        <v>172</v>
      </c>
      <c r="H16" s="264" t="s">
        <v>176</v>
      </c>
    </row>
    <row r="17" spans="2:8" ht="15.6">
      <c r="B17" s="262" t="s">
        <v>173</v>
      </c>
      <c r="G17" s="264" t="s">
        <v>177</v>
      </c>
    </row>
    <row r="18" spans="2:8" ht="15.6">
      <c r="B18" s="262" t="s">
        <v>174</v>
      </c>
      <c r="H18" s="264" t="s">
        <v>178</v>
      </c>
    </row>
    <row r="19" spans="2:8" ht="15.6">
      <c r="B19" s="262" t="s">
        <v>179</v>
      </c>
      <c r="G19" s="264" t="s">
        <v>180</v>
      </c>
    </row>
  </sheetData>
  <mergeCells count="2">
    <mergeCell ref="B2:G2"/>
    <mergeCell ref="B4:G4"/>
  </mergeCells>
  <hyperlinks>
    <hyperlink ref="G15" r:id="rId1" xr:uid="{531E9CCF-EE84-4F83-BE7C-199ECF79C0B4}"/>
    <hyperlink ref="H16" r:id="rId2" xr:uid="{5C2FC483-633C-4C81-9653-4F1DFE244448}"/>
    <hyperlink ref="G17" r:id="rId3" xr:uid="{DAF9BC94-57A8-40B4-A374-003EBBEE1C42}"/>
    <hyperlink ref="H18" r:id="rId4" xr:uid="{D3C9C04E-05EB-49A2-A854-36915336641B}"/>
    <hyperlink ref="G19" r:id="rId5" xr:uid="{0B7C9BA2-2F3E-42C1-9DAA-FBCC86FBFA3D}"/>
    <hyperlink ref="I14" r:id="rId6" xr:uid="{A0F41062-1E14-4123-83C4-8091727B63E4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Custos Gerais</vt:lpstr>
      <vt:lpstr>Clientes</vt:lpstr>
      <vt:lpstr>Custos x Honorários</vt:lpstr>
      <vt:lpstr>Custos Individualizados</vt:lpstr>
      <vt:lpstr>Dicas Equip NIBO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Custos e Honorários Contábeis</dc:title>
  <dc:creator>Nibo</dc:creator>
  <cp:lastModifiedBy>Renato Carvalho</cp:lastModifiedBy>
  <cp:lastPrinted>2005-06-02T18:30:26Z</cp:lastPrinted>
  <dcterms:created xsi:type="dcterms:W3CDTF">2001-08-22T08:10:35Z</dcterms:created>
  <dcterms:modified xsi:type="dcterms:W3CDTF">2018-10-31T20:12:53Z</dcterms:modified>
</cp:coreProperties>
</file>