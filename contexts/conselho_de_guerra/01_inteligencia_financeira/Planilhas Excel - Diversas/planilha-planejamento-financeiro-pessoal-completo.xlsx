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28\AC\Temp\"/>
    </mc:Choice>
  </mc:AlternateContent>
  <xr:revisionPtr revIDLastSave="0" documentId="8_{E3C7F6C6-C52E-3B41-A94D-D11ACC85CD3E}" xr6:coauthVersionLast="32" xr6:coauthVersionMax="32" xr10:uidLastSave="{00000000-0000-0000-0000-000000000000}"/>
  <bookViews>
    <workbookView xWindow="32760" yWindow="32760" windowWidth="16380" windowHeight="8190" xr2:uid="{00000000-000D-0000-FFFF-FFFF00000000}"/>
  </bookViews>
  <sheets>
    <sheet name="FC-FAMILIAR" sheetId="1" r:id="rId1"/>
    <sheet name="FC-ESTUDANTE" sheetId="2" r:id="rId2"/>
    <sheet name="FC-DONA DE CASA" sheetId="3" r:id="rId3"/>
    <sheet name="Poupança-Investimento" sheetId="4" r:id="rId4"/>
    <sheet name="Banco Conta Corrente" sheetId="5" r:id="rId5"/>
    <sheet name="Cartão de Crédito" sheetId="6" r:id="rId6"/>
  </sheets>
  <calcPr calcId="179016"/>
</workbook>
</file>

<file path=xl/calcChain.xml><?xml version="1.0" encoding="utf-8"?>
<calcChain xmlns="http://schemas.openxmlformats.org/spreadsheetml/2006/main">
  <c r="C4" i="5" l="1"/>
  <c r="D3" i="5"/>
  <c r="D4" i="5"/>
  <c r="E3" i="5"/>
  <c r="E4" i="5"/>
  <c r="F3" i="5"/>
  <c r="F4" i="5"/>
  <c r="G3" i="5"/>
  <c r="G4" i="5"/>
  <c r="H3" i="5"/>
  <c r="H4" i="5"/>
  <c r="I3" i="5"/>
  <c r="I4" i="5"/>
  <c r="J3" i="5"/>
  <c r="J4" i="5"/>
  <c r="K3" i="5"/>
  <c r="K4" i="5"/>
  <c r="L3" i="5"/>
  <c r="L4" i="5"/>
  <c r="M3" i="5"/>
  <c r="M4" i="5"/>
  <c r="N3" i="5"/>
  <c r="N4" i="5"/>
  <c r="C13" i="5"/>
  <c r="D13" i="5"/>
  <c r="E13" i="5"/>
  <c r="F13" i="5"/>
  <c r="G13" i="5"/>
  <c r="H13" i="5"/>
  <c r="I13" i="5"/>
  <c r="J13" i="5"/>
  <c r="K13" i="5"/>
  <c r="L13" i="5"/>
  <c r="M13" i="5"/>
  <c r="N13" i="5"/>
  <c r="D10" i="6"/>
  <c r="C18" i="5"/>
  <c r="E10" i="6"/>
  <c r="D18" i="5"/>
  <c r="F10" i="6"/>
  <c r="E18" i="5"/>
  <c r="G10" i="6"/>
  <c r="F18" i="5"/>
  <c r="H10" i="6"/>
  <c r="G18" i="5"/>
  <c r="I10" i="6"/>
  <c r="H18" i="5"/>
  <c r="J10" i="6"/>
  <c r="I18" i="5"/>
  <c r="K10" i="6"/>
  <c r="J18" i="5"/>
  <c r="L10" i="6"/>
  <c r="K18" i="5"/>
  <c r="M10" i="6"/>
  <c r="L18" i="5"/>
  <c r="N10" i="6"/>
  <c r="M18" i="5"/>
  <c r="O10" i="6"/>
  <c r="N18" i="5"/>
  <c r="C24" i="5"/>
  <c r="D24" i="5"/>
  <c r="E24" i="5"/>
  <c r="F24" i="5"/>
  <c r="G24" i="5"/>
  <c r="H24" i="5"/>
  <c r="I24" i="5"/>
  <c r="J24" i="5"/>
  <c r="K24" i="5"/>
  <c r="L24" i="5"/>
  <c r="M24" i="5"/>
  <c r="N24" i="5"/>
  <c r="C28" i="5"/>
  <c r="D28" i="5"/>
  <c r="E28" i="5"/>
  <c r="F28" i="5"/>
  <c r="G28" i="5"/>
  <c r="H28" i="5"/>
  <c r="I28" i="5"/>
  <c r="J28" i="5"/>
  <c r="K28" i="5"/>
  <c r="L28" i="5"/>
  <c r="M28" i="5"/>
  <c r="N28" i="5"/>
  <c r="C29" i="5"/>
  <c r="D29" i="5"/>
  <c r="E29" i="5"/>
  <c r="F29" i="5"/>
  <c r="G29" i="5"/>
  <c r="H29" i="5"/>
  <c r="I29" i="5"/>
  <c r="J29" i="5"/>
  <c r="K29" i="5"/>
  <c r="L29" i="5"/>
  <c r="M29" i="5"/>
  <c r="N29" i="5"/>
  <c r="C30" i="5"/>
  <c r="D30" i="5"/>
  <c r="E30" i="5"/>
  <c r="F30" i="5"/>
  <c r="G30" i="5"/>
  <c r="H30" i="5"/>
  <c r="I30" i="5"/>
  <c r="J30" i="5"/>
  <c r="K30" i="5"/>
  <c r="L30" i="5"/>
  <c r="M30" i="5"/>
  <c r="N30" i="5"/>
  <c r="C10" i="6"/>
  <c r="D14" i="6"/>
  <c r="E14" i="6"/>
  <c r="F14" i="6"/>
  <c r="G14" i="6"/>
  <c r="H14" i="6"/>
  <c r="I14" i="6"/>
  <c r="J14" i="6"/>
  <c r="K14" i="6"/>
  <c r="L14" i="6"/>
  <c r="M14" i="6"/>
  <c r="N14" i="6"/>
  <c r="O14" i="6"/>
  <c r="C6" i="3"/>
  <c r="D5" i="3"/>
  <c r="D6" i="3"/>
  <c r="E5" i="3"/>
  <c r="E6" i="3"/>
  <c r="F5" i="3"/>
  <c r="F6" i="3"/>
  <c r="G5" i="3"/>
  <c r="G6" i="3"/>
  <c r="H5" i="3"/>
  <c r="H6" i="3"/>
  <c r="I5" i="3"/>
  <c r="I6" i="3"/>
  <c r="J5" i="3"/>
  <c r="J6" i="3"/>
  <c r="K5" i="3"/>
  <c r="K6" i="3"/>
  <c r="L5" i="3"/>
  <c r="L6" i="3"/>
  <c r="M5" i="3"/>
  <c r="M6" i="3"/>
  <c r="N5" i="3"/>
  <c r="N6" i="3"/>
  <c r="C12" i="3"/>
  <c r="D12" i="3"/>
  <c r="E12" i="3"/>
  <c r="F12" i="3"/>
  <c r="G12" i="3"/>
  <c r="H12" i="3"/>
  <c r="I12" i="3"/>
  <c r="J12" i="3"/>
  <c r="K12" i="3"/>
  <c r="L12" i="3"/>
  <c r="M12" i="3"/>
  <c r="N12" i="3"/>
  <c r="C20" i="4"/>
  <c r="C13" i="3"/>
  <c r="D20" i="4"/>
  <c r="D13" i="3"/>
  <c r="E20" i="4"/>
  <c r="E13" i="3"/>
  <c r="F20" i="4"/>
  <c r="F13" i="3"/>
  <c r="G20" i="4"/>
  <c r="G13" i="3"/>
  <c r="H20" i="4"/>
  <c r="H13" i="3"/>
  <c r="I20" i="4"/>
  <c r="I13" i="3"/>
  <c r="J20" i="4"/>
  <c r="J13" i="3"/>
  <c r="K20" i="4"/>
  <c r="K13" i="3"/>
  <c r="L20" i="4"/>
  <c r="L13" i="3"/>
  <c r="M20" i="4"/>
  <c r="M13" i="3"/>
  <c r="N20" i="4"/>
  <c r="N13" i="3"/>
  <c r="C14" i="3"/>
  <c r="D14" i="3"/>
  <c r="E14" i="3"/>
  <c r="F14" i="3"/>
  <c r="G14" i="3"/>
  <c r="H14" i="3"/>
  <c r="I14" i="3"/>
  <c r="J14" i="3"/>
  <c r="K14" i="3"/>
  <c r="L14" i="3"/>
  <c r="M14" i="3"/>
  <c r="N14" i="3"/>
  <c r="C54" i="3"/>
  <c r="D54" i="3"/>
  <c r="E54" i="3"/>
  <c r="F54" i="3"/>
  <c r="G54" i="3"/>
  <c r="H54" i="3"/>
  <c r="I54" i="3"/>
  <c r="J54" i="3"/>
  <c r="K54" i="3"/>
  <c r="L54" i="3"/>
  <c r="M54" i="3"/>
  <c r="N54" i="3"/>
  <c r="C67" i="3"/>
  <c r="D67" i="3"/>
  <c r="E67" i="3"/>
  <c r="F67" i="3"/>
  <c r="G67" i="3"/>
  <c r="H67" i="3"/>
  <c r="I67" i="3"/>
  <c r="J67" i="3"/>
  <c r="K67" i="3"/>
  <c r="L67" i="3"/>
  <c r="M67" i="3"/>
  <c r="N67" i="3"/>
  <c r="C71" i="3"/>
  <c r="D71" i="3"/>
  <c r="E71" i="3"/>
  <c r="F71" i="3"/>
  <c r="G71" i="3"/>
  <c r="H71" i="3"/>
  <c r="I71" i="3"/>
  <c r="J71" i="3"/>
  <c r="K71" i="3"/>
  <c r="L71" i="3"/>
  <c r="M71" i="3"/>
  <c r="N71" i="3"/>
  <c r="C72" i="3"/>
  <c r="D72" i="3"/>
  <c r="E72" i="3"/>
  <c r="F72" i="3"/>
  <c r="G72" i="3"/>
  <c r="H72" i="3"/>
  <c r="I72" i="3"/>
  <c r="J72" i="3"/>
  <c r="K72" i="3"/>
  <c r="L72" i="3"/>
  <c r="M72" i="3"/>
  <c r="N72" i="3"/>
  <c r="C73" i="3"/>
  <c r="D73" i="3"/>
  <c r="E73" i="3"/>
  <c r="F73" i="3"/>
  <c r="G73" i="3"/>
  <c r="H73" i="3"/>
  <c r="I73" i="3"/>
  <c r="J73" i="3"/>
  <c r="K73" i="3"/>
  <c r="L73" i="3"/>
  <c r="M73" i="3"/>
  <c r="N73" i="3"/>
  <c r="C6" i="2"/>
  <c r="D5" i="2"/>
  <c r="D6" i="2"/>
  <c r="E5" i="2"/>
  <c r="E6" i="2"/>
  <c r="F5" i="2"/>
  <c r="F6" i="2"/>
  <c r="G5" i="2"/>
  <c r="G6" i="2"/>
  <c r="H5" i="2"/>
  <c r="H6" i="2"/>
  <c r="I5" i="2"/>
  <c r="I6" i="2"/>
  <c r="J5" i="2"/>
  <c r="J6" i="2"/>
  <c r="K5" i="2"/>
  <c r="K6" i="2"/>
  <c r="L5" i="2"/>
  <c r="L6" i="2"/>
  <c r="M5" i="2"/>
  <c r="M6" i="2"/>
  <c r="N5" i="2"/>
  <c r="N6" i="2"/>
  <c r="C13" i="2"/>
  <c r="D13" i="2"/>
  <c r="E13" i="2"/>
  <c r="F13" i="2"/>
  <c r="G13" i="2"/>
  <c r="H13" i="2"/>
  <c r="I13" i="2"/>
  <c r="J13" i="2"/>
  <c r="K13" i="2"/>
  <c r="L13" i="2"/>
  <c r="M13" i="2"/>
  <c r="N13" i="2"/>
  <c r="C14" i="2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G15" i="2"/>
  <c r="H15" i="2"/>
  <c r="I15" i="2"/>
  <c r="J15" i="2"/>
  <c r="K15" i="2"/>
  <c r="L15" i="2"/>
  <c r="M15" i="2"/>
  <c r="N15" i="2"/>
  <c r="C25" i="2"/>
  <c r="D25" i="2"/>
  <c r="E25" i="2"/>
  <c r="F25" i="2"/>
  <c r="G25" i="2"/>
  <c r="H25" i="2"/>
  <c r="I25" i="2"/>
  <c r="J25" i="2"/>
  <c r="K25" i="2"/>
  <c r="L25" i="2"/>
  <c r="M25" i="2"/>
  <c r="N25" i="2"/>
  <c r="C46" i="2"/>
  <c r="D46" i="2"/>
  <c r="E46" i="2"/>
  <c r="F46" i="2"/>
  <c r="G46" i="2"/>
  <c r="H46" i="2"/>
  <c r="I46" i="2"/>
  <c r="J46" i="2"/>
  <c r="K46" i="2"/>
  <c r="L46" i="2"/>
  <c r="M46" i="2"/>
  <c r="N46" i="2"/>
  <c r="C50" i="2"/>
  <c r="D50" i="2"/>
  <c r="E50" i="2"/>
  <c r="F50" i="2"/>
  <c r="G50" i="2"/>
  <c r="H50" i="2"/>
  <c r="I50" i="2"/>
  <c r="J50" i="2"/>
  <c r="K50" i="2"/>
  <c r="L50" i="2"/>
  <c r="M50" i="2"/>
  <c r="N50" i="2"/>
  <c r="C51" i="2"/>
  <c r="D51" i="2"/>
  <c r="E51" i="2"/>
  <c r="F51" i="2"/>
  <c r="G51" i="2"/>
  <c r="H51" i="2"/>
  <c r="I51" i="2"/>
  <c r="J51" i="2"/>
  <c r="K51" i="2"/>
  <c r="L51" i="2"/>
  <c r="M51" i="2"/>
  <c r="N51" i="2"/>
  <c r="C52" i="2"/>
  <c r="D52" i="2"/>
  <c r="E52" i="2"/>
  <c r="F52" i="2"/>
  <c r="G52" i="2"/>
  <c r="H52" i="2"/>
  <c r="I52" i="2"/>
  <c r="J52" i="2"/>
  <c r="K52" i="2"/>
  <c r="L52" i="2"/>
  <c r="M52" i="2"/>
  <c r="N52" i="2"/>
  <c r="C6" i="1"/>
  <c r="D5" i="1"/>
  <c r="D6" i="1"/>
  <c r="E5" i="1"/>
  <c r="E6" i="1"/>
  <c r="F5" i="1"/>
  <c r="F6" i="1"/>
  <c r="G5" i="1"/>
  <c r="G6" i="1"/>
  <c r="H5" i="1"/>
  <c r="H6" i="1"/>
  <c r="I5" i="1"/>
  <c r="I6" i="1"/>
  <c r="J5" i="1"/>
  <c r="J6" i="1"/>
  <c r="K5" i="1"/>
  <c r="K6" i="1"/>
  <c r="L5" i="1"/>
  <c r="L6" i="1"/>
  <c r="M5" i="1"/>
  <c r="M6" i="1"/>
  <c r="N5" i="1"/>
  <c r="N6" i="1"/>
  <c r="C14" i="1"/>
  <c r="D14" i="1"/>
  <c r="E14" i="1"/>
  <c r="F14" i="1"/>
  <c r="G14" i="1"/>
  <c r="H14" i="1"/>
  <c r="I14" i="1"/>
  <c r="J14" i="1"/>
  <c r="K14" i="1"/>
  <c r="L14" i="1"/>
  <c r="M14" i="1"/>
  <c r="N14" i="1"/>
  <c r="C15" i="1"/>
  <c r="D15" i="1"/>
  <c r="E15" i="1"/>
  <c r="F15" i="1"/>
  <c r="G15" i="1"/>
  <c r="H15" i="1"/>
  <c r="I15" i="1"/>
  <c r="J15" i="1"/>
  <c r="K15" i="1"/>
  <c r="L15" i="1"/>
  <c r="M15" i="1"/>
  <c r="N15" i="1"/>
  <c r="C16" i="1"/>
  <c r="D16" i="1"/>
  <c r="E16" i="1"/>
  <c r="F16" i="1"/>
  <c r="G16" i="1"/>
  <c r="H16" i="1"/>
  <c r="I16" i="1"/>
  <c r="J16" i="1"/>
  <c r="K16" i="1"/>
  <c r="L16" i="1"/>
  <c r="M16" i="1"/>
  <c r="N16" i="1"/>
  <c r="C28" i="1"/>
  <c r="D28" i="1"/>
  <c r="E28" i="1"/>
  <c r="F28" i="1"/>
  <c r="G28" i="1"/>
  <c r="H28" i="1"/>
  <c r="I28" i="1"/>
  <c r="J28" i="1"/>
  <c r="K28" i="1"/>
  <c r="L28" i="1"/>
  <c r="M28" i="1"/>
  <c r="N28" i="1"/>
  <c r="C51" i="1"/>
  <c r="D51" i="1"/>
  <c r="E51" i="1"/>
  <c r="F51" i="1"/>
  <c r="G51" i="1"/>
  <c r="H51" i="1"/>
  <c r="I51" i="1"/>
  <c r="J51" i="1"/>
  <c r="K51" i="1"/>
  <c r="L51" i="1"/>
  <c r="M51" i="1"/>
  <c r="N51" i="1"/>
  <c r="C55" i="1"/>
  <c r="D55" i="1"/>
  <c r="E55" i="1"/>
  <c r="F55" i="1"/>
  <c r="G55" i="1"/>
  <c r="H55" i="1"/>
  <c r="I55" i="1"/>
  <c r="J55" i="1"/>
  <c r="K55" i="1"/>
  <c r="L55" i="1"/>
  <c r="M55" i="1"/>
  <c r="N55" i="1"/>
  <c r="C56" i="1"/>
  <c r="D56" i="1"/>
  <c r="E56" i="1"/>
  <c r="F56" i="1"/>
  <c r="G56" i="1"/>
  <c r="H56" i="1"/>
  <c r="I56" i="1"/>
  <c r="J56" i="1"/>
  <c r="K56" i="1"/>
  <c r="L56" i="1"/>
  <c r="M56" i="1"/>
  <c r="N56" i="1"/>
  <c r="C57" i="1"/>
  <c r="D57" i="1"/>
  <c r="E57" i="1"/>
  <c r="F57" i="1"/>
  <c r="G57" i="1"/>
  <c r="H57" i="1"/>
  <c r="I57" i="1"/>
  <c r="J57" i="1"/>
  <c r="K57" i="1"/>
  <c r="L57" i="1"/>
  <c r="M57" i="1"/>
  <c r="N57" i="1"/>
  <c r="C4" i="4"/>
  <c r="D3" i="4"/>
  <c r="D4" i="4"/>
  <c r="E3" i="4"/>
  <c r="E4" i="4"/>
  <c r="F3" i="4"/>
  <c r="F4" i="4"/>
  <c r="G3" i="4"/>
  <c r="G4" i="4"/>
  <c r="H3" i="4"/>
  <c r="H4" i="4"/>
  <c r="I3" i="4"/>
  <c r="I4" i="4"/>
  <c r="J3" i="4"/>
  <c r="J4" i="4"/>
  <c r="K3" i="4"/>
  <c r="K4" i="4"/>
  <c r="L3" i="4"/>
  <c r="L4" i="4"/>
  <c r="M3" i="4"/>
  <c r="M4" i="4"/>
  <c r="N3" i="4"/>
  <c r="N4" i="4"/>
  <c r="C13" i="4"/>
  <c r="D13" i="4"/>
  <c r="E13" i="4"/>
  <c r="F13" i="4"/>
  <c r="G13" i="4"/>
  <c r="H13" i="4"/>
  <c r="I13" i="4"/>
  <c r="J13" i="4"/>
  <c r="K13" i="4"/>
  <c r="L13" i="4"/>
  <c r="M13" i="4"/>
  <c r="N13" i="4"/>
  <c r="C24" i="4"/>
  <c r="D24" i="4"/>
  <c r="E24" i="4"/>
  <c r="F24" i="4"/>
  <c r="G24" i="4"/>
  <c r="H24" i="4"/>
  <c r="I24" i="4"/>
  <c r="J24" i="4"/>
  <c r="K24" i="4"/>
  <c r="L24" i="4"/>
  <c r="M24" i="4"/>
  <c r="N24" i="4"/>
  <c r="C25" i="4"/>
  <c r="D25" i="4"/>
  <c r="E25" i="4"/>
  <c r="F25" i="4"/>
  <c r="G25" i="4"/>
  <c r="H25" i="4"/>
  <c r="I25" i="4"/>
  <c r="J25" i="4"/>
  <c r="K25" i="4"/>
  <c r="L25" i="4"/>
  <c r="M25" i="4"/>
  <c r="N25" i="4"/>
  <c r="C26" i="4"/>
  <c r="D26" i="4"/>
  <c r="E26" i="4"/>
  <c r="F26" i="4"/>
  <c r="G26" i="4"/>
  <c r="H26" i="4"/>
  <c r="I26" i="4"/>
  <c r="J26" i="4"/>
  <c r="K26" i="4"/>
  <c r="L26" i="4"/>
  <c r="M26" i="4"/>
  <c r="N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0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8" authorId="0" shapeId="0" xr:uid="{00000000-0006-0000-00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7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2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6" authorId="0" shapeId="0" xr:uid="{00000000-0006-0000-02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6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5" authorId="0" shapeId="0" xr:uid="{00000000-0006-0000-0300-000003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5" authorId="0" shapeId="0" xr:uid="{00000000-0006-0000-0400-000003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  <comment ref="A12" authorId="0" shapeId="0" xr:uid="{00000000-0006-0000-0500-000002000000}">
      <text>
        <r>
          <rPr>
            <b/>
            <sz val="8"/>
            <color indexed="8"/>
            <rFont val="Tahoma"/>
            <family val="2"/>
          </rPr>
          <t xml:space="preserve">Você pode alterar a planilha, colocando os dados que fazem parte do seu mês a mês.
</t>
        </r>
      </text>
    </comment>
  </commentList>
</comments>
</file>

<file path=xl/sharedStrings.xml><?xml version="1.0" encoding="utf-8"?>
<sst xmlns="http://schemas.openxmlformats.org/spreadsheetml/2006/main" count="540" uniqueCount="135">
  <si>
    <t>Preencha esta tabela mensalmente com sua renda (quanto sua família ganha) e despesas (quanto vai sair) e saiba se você está organizando bem seu orçamento. Se tiver dúvidas, siga nosso passo a passo na segunda edição do nosso informativo. Disponível em http://www.poa.ifsuldeminas.edu.br/index.php?option=com_content&amp;view=article&amp;id=169&amp;Itemid=132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</si>
  <si>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</si>
  <si>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</si>
  <si>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</si>
  <si>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</si>
  <si>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</si>
  <si>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</si>
  <si>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</si>
  <si>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</si>
  <si>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</si>
  <si>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</si>
  <si>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</si>
  <si>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</si>
  <si>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Anterior</t>
  </si>
  <si>
    <t xml:space="preserve">1- Total do saldo </t>
  </si>
  <si>
    <t>Rendas/Quanto vai entrar</t>
  </si>
  <si>
    <t>Salário da família 1</t>
  </si>
  <si>
    <t>Salário da família 2</t>
  </si>
  <si>
    <t>Aposentadoria</t>
  </si>
  <si>
    <t>Renda extra</t>
  </si>
  <si>
    <t>Entrada Banco</t>
  </si>
  <si>
    <t>Entrada Poupança</t>
  </si>
  <si>
    <t>2- Total de renda da família</t>
  </si>
  <si>
    <t>Gastos/Quanto vai sair</t>
  </si>
  <si>
    <t>Principais gastos</t>
  </si>
  <si>
    <t xml:space="preserve">Aluguel </t>
  </si>
  <si>
    <t>Prestação da casa</t>
  </si>
  <si>
    <t>Condomínio</t>
  </si>
  <si>
    <t>Prestações do carro</t>
  </si>
  <si>
    <t xml:space="preserve">Transporte (ônibus, táxi, gasolina, metrô) </t>
  </si>
  <si>
    <t>Mensalidade escolar</t>
  </si>
  <si>
    <t>Seguros</t>
  </si>
  <si>
    <t>Consórcio</t>
  </si>
  <si>
    <t>Poupança, capitalização, outros investimentos</t>
  </si>
  <si>
    <t>Supermercado e/ou sacolão</t>
  </si>
  <si>
    <t>Fatura do cartão de crédito</t>
  </si>
  <si>
    <t>Fatura de internet</t>
  </si>
  <si>
    <t xml:space="preserve">Conta de telefone </t>
  </si>
  <si>
    <t>Conta de água</t>
  </si>
  <si>
    <t>Conta de luz</t>
  </si>
  <si>
    <t xml:space="preserve">Gás </t>
  </si>
  <si>
    <t>Cheques pré-datados</t>
  </si>
  <si>
    <t>Saúde (consultas, planos)</t>
  </si>
  <si>
    <t>Remédios</t>
  </si>
  <si>
    <t>Outras prestações (empréstimos, financiamentos, carnês)</t>
  </si>
  <si>
    <t>Outros gastos</t>
  </si>
  <si>
    <t>Roupas</t>
  </si>
  <si>
    <t>Gastos com beleza (manicure, cabelo)</t>
  </si>
  <si>
    <t>Presentes</t>
  </si>
  <si>
    <t>Lazer (passeios, cinema, lanchonete)</t>
  </si>
  <si>
    <t>DVD, CD, livros</t>
  </si>
  <si>
    <t xml:space="preserve">Emergências </t>
  </si>
  <si>
    <t>Restaurantes</t>
  </si>
  <si>
    <t>Gastos do dia a dia*</t>
  </si>
  <si>
    <t>3- Total de despesas do mês</t>
  </si>
  <si>
    <t>Seu bolso mês a mês</t>
  </si>
  <si>
    <t>TOTAL de quanto entra</t>
  </si>
  <si>
    <t>TOTAL de quanto sai</t>
  </si>
  <si>
    <t>SALDO</t>
  </si>
  <si>
    <t>* www.meubolsoemdia.com.br</t>
  </si>
  <si>
    <t>*São gastos que você anotou na nossa Tabela Dia a Dia. Basta anotar diariamente e, no final do mês, somar tudo com uma calculadora.</t>
  </si>
  <si>
    <t xml:space="preserve">Salário </t>
  </si>
  <si>
    <t xml:space="preserve">Mesada </t>
  </si>
  <si>
    <t>Aluguel/Condomínio</t>
  </si>
  <si>
    <t>Mensalidade escolar/faculdade</t>
  </si>
  <si>
    <t>Material Escolar</t>
  </si>
  <si>
    <t>Seguro do Carro</t>
  </si>
  <si>
    <t xml:space="preserve">Conta de celular </t>
  </si>
  <si>
    <t>Conta de telefone</t>
  </si>
  <si>
    <t>Lazer (festas, passeios, cinema, lanchonete, restaurante)</t>
  </si>
  <si>
    <t>Salário total da família</t>
  </si>
  <si>
    <t>Conta de gás</t>
  </si>
  <si>
    <t>Conta de telefone (e/ou internet)</t>
  </si>
  <si>
    <t>Conta de TV a cabo</t>
  </si>
  <si>
    <t>Manutenção da casa (eletricista, encanador...)</t>
  </si>
  <si>
    <t>Família</t>
  </si>
  <si>
    <t>Supermercado</t>
  </si>
  <si>
    <t>Açougue</t>
  </si>
  <si>
    <t>Padaria</t>
  </si>
  <si>
    <t>Feira e/ou sacolão</t>
  </si>
  <si>
    <t>Farmácia</t>
  </si>
  <si>
    <t>Transporte</t>
  </si>
  <si>
    <t>Escola</t>
  </si>
  <si>
    <t>Atividades extracurriculares dos filhos</t>
  </si>
  <si>
    <t>Alimentação dos filhos na escola</t>
  </si>
  <si>
    <t>Transporte escolar</t>
  </si>
  <si>
    <t>Mesada para os filhos</t>
  </si>
  <si>
    <t>Saúde</t>
  </si>
  <si>
    <t>Plano de saúde</t>
  </si>
  <si>
    <t>Consultas médicas</t>
  </si>
  <si>
    <t>Exames</t>
  </si>
  <si>
    <t>Financeiro</t>
  </si>
  <si>
    <t>Estacionamento</t>
  </si>
  <si>
    <t>Álcool/Gasolina</t>
  </si>
  <si>
    <t>Fatura do Cartão de Crédito</t>
  </si>
  <si>
    <t>Aplicações Financeiras</t>
  </si>
  <si>
    <t>Aplicações na Poupança</t>
  </si>
  <si>
    <t>Lazer (passeios, cinema, parques, clubes)</t>
  </si>
  <si>
    <t>Viagens</t>
  </si>
  <si>
    <t>Emergências</t>
  </si>
  <si>
    <t>Saldo anterior</t>
  </si>
  <si>
    <t>Entrada na Poupança</t>
  </si>
  <si>
    <t>Entrada Poupança 1</t>
  </si>
  <si>
    <t>Entrada Poupança 2</t>
  </si>
  <si>
    <t>Rendimentos da Poupança</t>
  </si>
  <si>
    <t>2- Total de créditos</t>
  </si>
  <si>
    <t xml:space="preserve">      Saídas da Poupança</t>
  </si>
  <si>
    <t>Saída 1</t>
  </si>
  <si>
    <t>Saída 2</t>
  </si>
  <si>
    <t>Saída 3</t>
  </si>
  <si>
    <t>3- Total de débitos</t>
  </si>
  <si>
    <t>Saldo mês a mês</t>
  </si>
  <si>
    <t>Crédito no Banco</t>
  </si>
  <si>
    <t>Entrada Salário</t>
  </si>
  <si>
    <t>Entrada 1</t>
  </si>
  <si>
    <t>Entrada 2</t>
  </si>
  <si>
    <t>2- Total Créditos</t>
  </si>
  <si>
    <t>Contas em Débito</t>
  </si>
  <si>
    <t>Cartão de Crédito</t>
  </si>
  <si>
    <t>Contas Financiamento</t>
  </si>
  <si>
    <t>Saque 1</t>
  </si>
  <si>
    <t>Saque 2</t>
  </si>
  <si>
    <t>Saque 3</t>
  </si>
  <si>
    <t>Taxa Bancária</t>
  </si>
  <si>
    <t>Valor Total da Despesa</t>
  </si>
  <si>
    <t>Despesa 1</t>
  </si>
  <si>
    <t xml:space="preserve">R$ </t>
  </si>
  <si>
    <t>Despesa 2</t>
  </si>
  <si>
    <t>Despesa 3</t>
  </si>
  <si>
    <t>Estorno Mês anterior</t>
  </si>
  <si>
    <t xml:space="preserve">1- Total </t>
  </si>
  <si>
    <t>Limite do Cartão/data vencimento</t>
  </si>
  <si>
    <t>10/mês</t>
  </si>
  <si>
    <t>Saldo do mês</t>
  </si>
  <si>
    <t>2- Controle do Limite ate a data do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</si>
</sst>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_)"/>
  </numFmts>
  <fonts count="18" x14ac:knownFonts="1"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9"/>
      <name val="Times New Roman"/>
      <family val="1"/>
    </font>
    <font>
      <sz val="9"/>
      <color indexed="9"/>
      <name val="Times New Roman"/>
      <family val="1"/>
    </font>
    <font>
      <b/>
      <sz val="8"/>
      <color indexed="8"/>
      <name val="Tahoma"/>
      <family val="2"/>
    </font>
    <font>
      <b/>
      <sz val="11"/>
      <color indexed="9"/>
      <name val="Verdana"/>
      <family val="2"/>
    </font>
    <font>
      <sz val="8"/>
      <name val="Verdana"/>
      <family val="2"/>
    </font>
    <font>
      <b/>
      <sz val="8"/>
      <color indexed="9"/>
      <name val="Verdana"/>
      <family val="2"/>
    </font>
    <font>
      <b/>
      <sz val="8"/>
      <name val="Verdana"/>
      <family val="2"/>
    </font>
    <font>
      <sz val="8"/>
      <color indexed="56"/>
      <name val="Verdana"/>
      <family val="2"/>
    </font>
    <font>
      <b/>
      <sz val="10"/>
      <color indexed="9"/>
      <name val="Verdana"/>
      <family val="2"/>
    </font>
    <font>
      <b/>
      <sz val="10"/>
      <color indexed="56"/>
      <name val="Verdana"/>
      <family val="2"/>
    </font>
    <font>
      <sz val="10"/>
      <color indexed="56"/>
      <name val="Verdana"/>
      <family val="2"/>
    </font>
    <font>
      <b/>
      <sz val="10"/>
      <color indexed="18"/>
      <name val="Verdana"/>
      <family val="2"/>
    </font>
    <font>
      <b/>
      <sz val="8"/>
      <color indexed="18"/>
      <name val="Verdana"/>
      <family val="2"/>
    </font>
    <font>
      <sz val="8"/>
      <color indexed="8"/>
      <name val="Verdana"/>
      <family val="2"/>
    </font>
    <font>
      <sz val="8"/>
      <color indexed="9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indexed="56"/>
        <bgColor indexed="63"/>
      </patternFill>
    </fill>
    <fill>
      <patternFill patternType="solid">
        <fgColor indexed="41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52"/>
        <bgColor indexed="5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27"/>
        <bgColor indexed="41"/>
      </patternFill>
    </fill>
    <fill>
      <patternFill patternType="solid">
        <fgColor indexed="60"/>
        <bgColor indexed="25"/>
      </patternFill>
    </fill>
    <fill>
      <patternFill patternType="solid">
        <fgColor indexed="13"/>
        <bgColor indexed="34"/>
      </patternFill>
    </fill>
  </fills>
  <borders count="42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9"/>
      </left>
      <right style="thin">
        <color indexed="9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 style="thin">
        <color indexed="9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9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53"/>
      </right>
      <top/>
      <bottom/>
      <diagonal/>
    </border>
    <border>
      <left/>
      <right style="thin">
        <color indexed="53"/>
      </right>
      <top/>
      <bottom/>
      <diagonal/>
    </border>
    <border>
      <left style="thin">
        <color indexed="53"/>
      </left>
      <right style="thin">
        <color indexed="53"/>
      </right>
      <top/>
      <bottom/>
      <diagonal/>
    </border>
    <border>
      <left style="thin">
        <color indexed="53"/>
      </left>
      <right style="thin">
        <color indexed="63"/>
      </right>
      <top/>
      <bottom/>
      <diagonal/>
    </border>
    <border>
      <left/>
      <right style="thin">
        <color indexed="53"/>
      </right>
      <top/>
      <bottom style="thin">
        <color indexed="63"/>
      </bottom>
      <diagonal/>
    </border>
    <border>
      <left style="thin">
        <color indexed="53"/>
      </left>
      <right/>
      <top/>
      <bottom/>
      <diagonal/>
    </border>
    <border>
      <left style="thin">
        <color indexed="9"/>
      </left>
      <right/>
      <top style="thin">
        <color indexed="63"/>
      </top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63"/>
      </right>
      <top/>
      <bottom/>
      <diagonal/>
    </border>
    <border>
      <left/>
      <right style="thin">
        <color indexed="18"/>
      </right>
      <top/>
      <bottom style="thin">
        <color indexed="63"/>
      </bottom>
      <diagonal/>
    </border>
    <border>
      <left style="thin">
        <color indexed="18"/>
      </left>
      <right/>
      <top/>
      <bottom style="thin">
        <color indexed="63"/>
      </bottom>
      <diagonal/>
    </border>
    <border>
      <left style="thin">
        <color indexed="18"/>
      </left>
      <right style="thin">
        <color indexed="63"/>
      </right>
      <top/>
      <bottom style="thin">
        <color indexed="63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56"/>
      </left>
      <right style="thin">
        <color indexed="18"/>
      </right>
      <top/>
      <bottom/>
      <diagonal/>
    </border>
    <border>
      <left/>
      <right/>
      <top/>
      <bottom style="thin">
        <color indexed="53"/>
      </bottom>
      <diagonal/>
    </border>
    <border>
      <left/>
      <right/>
      <top style="thin">
        <color indexed="53"/>
      </top>
      <bottom/>
      <diagonal/>
    </border>
    <border>
      <left style="thin">
        <color indexed="53"/>
      </left>
      <right/>
      <top/>
      <bottom style="thin">
        <color indexed="53"/>
      </bottom>
      <diagonal/>
    </border>
    <border>
      <left/>
      <right style="thin">
        <color indexed="53"/>
      </right>
      <top/>
      <bottom style="thin">
        <color indexed="53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/>
      <top/>
      <bottom style="thin">
        <color indexed="18"/>
      </bottom>
      <diagonal/>
    </border>
    <border>
      <left style="thin">
        <color indexed="18"/>
      </left>
      <right style="thin">
        <color indexed="63"/>
      </right>
      <top/>
      <bottom style="thin">
        <color indexed="18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164" fontId="3" fillId="2" borderId="5" xfId="0" applyNumberFormat="1" applyFont="1" applyFill="1" applyBorder="1" applyAlignment="1" applyProtection="1">
      <alignment horizontal="center" vertical="center" wrapText="1"/>
    </xf>
    <xf numFmtId="164" fontId="3" fillId="2" borderId="6" xfId="0" applyNumberFormat="1" applyFont="1" applyFill="1" applyBorder="1" applyAlignment="1" applyProtection="1">
      <alignment horizontal="center" vertical="center" wrapText="1"/>
    </xf>
    <xf numFmtId="164" fontId="3" fillId="2" borderId="7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vertical="center"/>
    </xf>
    <xf numFmtId="0" fontId="2" fillId="2" borderId="8" xfId="0" applyFont="1" applyFill="1" applyBorder="1" applyAlignment="1" applyProtection="1">
      <alignment vertical="center"/>
    </xf>
    <xf numFmtId="0" fontId="1" fillId="3" borderId="9" xfId="0" applyFont="1" applyFill="1" applyBorder="1" applyAlignment="1" applyProtection="1">
      <alignment horizontal="left" vertical="center"/>
    </xf>
    <xf numFmtId="4" fontId="1" fillId="3" borderId="9" xfId="0" applyNumberFormat="1" applyFont="1" applyFill="1" applyBorder="1" applyAlignment="1" applyProtection="1">
      <alignment horizontal="center" vertical="center"/>
      <protection locked="0"/>
    </xf>
    <xf numFmtId="4" fontId="1" fillId="3" borderId="10" xfId="0" applyNumberFormat="1" applyFont="1" applyFill="1" applyBorder="1" applyAlignment="1" applyProtection="1">
      <alignment horizontal="center" vertical="center"/>
      <protection locked="0"/>
    </xf>
    <xf numFmtId="4" fontId="1" fillId="3" borderId="11" xfId="0" applyNumberFormat="1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left" vertical="center"/>
    </xf>
    <xf numFmtId="0" fontId="4" fillId="2" borderId="13" xfId="0" applyFont="1" applyFill="1" applyBorder="1" applyAlignment="1" applyProtection="1">
      <alignment horizontal="center" vertical="center"/>
    </xf>
    <xf numFmtId="4" fontId="3" fillId="2" borderId="13" xfId="0" applyNumberFormat="1" applyFont="1" applyFill="1" applyBorder="1" applyAlignment="1" applyProtection="1">
      <alignment horizontal="center" vertical="center"/>
    </xf>
    <xf numFmtId="4" fontId="3" fillId="2" borderId="14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15" xfId="0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 wrapText="1"/>
    </xf>
    <xf numFmtId="164" fontId="3" fillId="2" borderId="0" xfId="0" applyNumberFormat="1" applyFont="1" applyFill="1" applyBorder="1" applyAlignment="1" applyProtection="1">
      <alignment horizontal="center" vertical="center" wrapText="1"/>
    </xf>
    <xf numFmtId="164" fontId="3" fillId="2" borderId="17" xfId="0" applyNumberFormat="1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 applyProtection="1">
      <alignment horizontal="left" vertical="center"/>
    </xf>
    <xf numFmtId="4" fontId="1" fillId="0" borderId="9" xfId="0" applyNumberFormat="1" applyFont="1" applyFill="1" applyBorder="1" applyAlignment="1" applyProtection="1">
      <alignment horizontal="center" vertical="center"/>
      <protection locked="0"/>
    </xf>
    <xf numFmtId="4" fontId="1" fillId="0" borderId="10" xfId="0" applyNumberFormat="1" applyFont="1" applyFill="1" applyBorder="1" applyAlignment="1" applyProtection="1">
      <alignment horizontal="center" vertical="center"/>
      <protection locked="0"/>
    </xf>
    <xf numFmtId="4" fontId="1" fillId="0" borderId="11" xfId="0" applyNumberFormat="1" applyFont="1" applyFill="1" applyBorder="1" applyAlignment="1" applyProtection="1">
      <alignment horizontal="center" vertical="center"/>
      <protection locked="0"/>
    </xf>
    <xf numFmtId="4" fontId="1" fillId="3" borderId="18" xfId="0" applyNumberFormat="1" applyFont="1" applyFill="1" applyBorder="1" applyAlignment="1" applyProtection="1">
      <alignment horizontal="center" vertical="center"/>
      <protection locked="0"/>
    </xf>
    <xf numFmtId="4" fontId="1" fillId="4" borderId="9" xfId="0" applyNumberFormat="1" applyFont="1" applyFill="1" applyBorder="1" applyAlignment="1" applyProtection="1">
      <alignment horizontal="center" vertical="center"/>
      <protection locked="0"/>
    </xf>
    <xf numFmtId="4" fontId="1" fillId="4" borderId="18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horizontal="left" vertical="center"/>
    </xf>
    <xf numFmtId="0" fontId="1" fillId="4" borderId="0" xfId="0" applyFont="1" applyFill="1" applyBorder="1" applyAlignment="1" applyProtection="1">
      <alignment horizontal="center" vertical="center"/>
    </xf>
    <xf numFmtId="4" fontId="2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Alignment="1" applyProtection="1">
      <alignment vertical="center"/>
    </xf>
    <xf numFmtId="164" fontId="2" fillId="5" borderId="20" xfId="0" applyNumberFormat="1" applyFont="1" applyFill="1" applyBorder="1" applyAlignment="1" applyProtection="1">
      <alignment horizontal="center" vertical="center" wrapText="1"/>
    </xf>
    <xf numFmtId="164" fontId="2" fillId="5" borderId="21" xfId="0" applyNumberFormat="1" applyFont="1" applyFill="1" applyBorder="1" applyAlignment="1" applyProtection="1">
      <alignment horizontal="center" vertical="center" wrapText="1"/>
    </xf>
    <xf numFmtId="164" fontId="2" fillId="5" borderId="0" xfId="0" applyNumberFormat="1" applyFont="1" applyFill="1" applyBorder="1" applyAlignment="1" applyProtection="1">
      <alignment horizontal="center" vertical="center" wrapText="1"/>
    </xf>
    <xf numFmtId="164" fontId="2" fillId="5" borderId="22" xfId="0" applyNumberFormat="1" applyFont="1" applyFill="1" applyBorder="1" applyAlignment="1" applyProtection="1">
      <alignment horizontal="center" vertical="center" wrapText="1"/>
    </xf>
    <xf numFmtId="0" fontId="2" fillId="5" borderId="8" xfId="0" applyFont="1" applyFill="1" applyBorder="1" applyAlignment="1" applyProtection="1">
      <alignment vertical="center"/>
    </xf>
    <xf numFmtId="0" fontId="1" fillId="6" borderId="20" xfId="0" applyFont="1" applyFill="1" applyBorder="1" applyAlignment="1" applyProtection="1">
      <alignment horizontal="left" vertical="center"/>
    </xf>
    <xf numFmtId="4" fontId="1" fillId="6" borderId="20" xfId="0" applyNumberFormat="1" applyFont="1" applyFill="1" applyBorder="1" applyAlignment="1" applyProtection="1">
      <alignment horizontal="center" vertical="center"/>
      <protection locked="0"/>
    </xf>
    <xf numFmtId="4" fontId="1" fillId="6" borderId="21" xfId="0" applyNumberFormat="1" applyFont="1" applyFill="1" applyBorder="1" applyAlignment="1" applyProtection="1">
      <alignment horizontal="center" vertical="center"/>
      <protection locked="0"/>
    </xf>
    <xf numFmtId="4" fontId="1" fillId="6" borderId="0" xfId="0" applyNumberFormat="1" applyFont="1" applyFill="1" applyBorder="1" applyAlignment="1" applyProtection="1">
      <alignment horizontal="center" vertical="center"/>
      <protection locked="0"/>
    </xf>
    <xf numFmtId="4" fontId="1" fillId="6" borderId="22" xfId="0" applyNumberFormat="1" applyFont="1" applyFill="1" applyBorder="1" applyAlignment="1" applyProtection="1">
      <alignment horizontal="center" vertical="center"/>
      <protection locked="0"/>
    </xf>
    <xf numFmtId="0" fontId="1" fillId="0" borderId="20" xfId="0" applyFont="1" applyFill="1" applyBorder="1" applyAlignment="1" applyProtection="1">
      <alignment horizontal="left" vertical="center"/>
    </xf>
    <xf numFmtId="4" fontId="1" fillId="0" borderId="21" xfId="0" applyNumberFormat="1" applyFont="1" applyFill="1" applyBorder="1" applyAlignment="1" applyProtection="1">
      <alignment horizontal="center" vertical="center"/>
      <protection locked="0"/>
    </xf>
    <xf numFmtId="4" fontId="1" fillId="0" borderId="0" xfId="0" applyNumberFormat="1" applyFont="1" applyFill="1" applyBorder="1" applyAlignment="1" applyProtection="1">
      <alignment horizontal="center" vertical="center"/>
      <protection locked="0"/>
    </xf>
    <xf numFmtId="4" fontId="1" fillId="0" borderId="22" xfId="0" applyNumberFormat="1" applyFont="1" applyFill="1" applyBorder="1" applyAlignment="1" applyProtection="1">
      <alignment horizontal="center" vertical="center"/>
      <protection locked="0"/>
    </xf>
    <xf numFmtId="0" fontId="1" fillId="4" borderId="20" xfId="0" applyFont="1" applyFill="1" applyBorder="1" applyAlignment="1" applyProtection="1">
      <alignment horizontal="left" vertical="center"/>
    </xf>
    <xf numFmtId="0" fontId="1" fillId="0" borderId="20" xfId="0" applyFont="1" applyBorder="1" applyAlignment="1" applyProtection="1">
      <alignment horizontal="left" vertical="center"/>
    </xf>
    <xf numFmtId="4" fontId="1" fillId="0" borderId="20" xfId="0" applyNumberFormat="1" applyFont="1" applyFill="1" applyBorder="1" applyAlignment="1" applyProtection="1">
      <alignment horizontal="center" vertical="center"/>
      <protection locked="0"/>
    </xf>
    <xf numFmtId="0" fontId="1" fillId="6" borderId="20" xfId="0" applyFont="1" applyFill="1" applyBorder="1" applyAlignment="1" applyProtection="1">
      <alignment vertical="center"/>
    </xf>
    <xf numFmtId="0" fontId="2" fillId="5" borderId="12" xfId="0" applyFont="1" applyFill="1" applyBorder="1" applyAlignment="1" applyProtection="1">
      <alignment horizontal="left" vertical="center"/>
    </xf>
    <xf numFmtId="0" fontId="1" fillId="5" borderId="23" xfId="0" applyFont="1" applyFill="1" applyBorder="1" applyAlignment="1" applyProtection="1">
      <alignment horizontal="center" vertical="center"/>
    </xf>
    <xf numFmtId="4" fontId="2" fillId="5" borderId="23" xfId="0" applyNumberFormat="1" applyFont="1" applyFill="1" applyBorder="1" applyAlignment="1" applyProtection="1">
      <alignment horizontal="center" vertical="center"/>
    </xf>
    <xf numFmtId="4" fontId="2" fillId="5" borderId="14" xfId="0" applyNumberFormat="1" applyFont="1" applyFill="1" applyBorder="1" applyAlignment="1" applyProtection="1">
      <alignment horizontal="center" vertical="center"/>
    </xf>
    <xf numFmtId="164" fontId="3" fillId="2" borderId="25" xfId="0" applyNumberFormat="1" applyFont="1" applyFill="1" applyBorder="1" applyAlignment="1" applyProtection="1">
      <alignment horizontal="center" vertical="center" wrapText="1"/>
    </xf>
    <xf numFmtId="0" fontId="2" fillId="7" borderId="8" xfId="0" applyFont="1" applyFill="1" applyBorder="1" applyAlignment="1" applyProtection="1">
      <alignment horizontal="right" vertical="center"/>
    </xf>
    <xf numFmtId="0" fontId="2" fillId="7" borderId="26" xfId="0" applyFont="1" applyFill="1" applyBorder="1" applyAlignment="1" applyProtection="1">
      <alignment vertical="center"/>
    </xf>
    <xf numFmtId="4" fontId="1" fillId="7" borderId="26" xfId="0" applyNumberFormat="1" applyFont="1" applyFill="1" applyBorder="1" applyAlignment="1" applyProtection="1">
      <alignment horizontal="center" vertical="center"/>
      <protection locked="0"/>
    </xf>
    <xf numFmtId="4" fontId="1" fillId="7" borderId="18" xfId="0" applyNumberFormat="1" applyFont="1" applyFill="1" applyBorder="1" applyAlignment="1" applyProtection="1">
      <alignment horizontal="center" vertical="center"/>
      <protection locked="0"/>
    </xf>
    <xf numFmtId="0" fontId="1" fillId="8" borderId="0" xfId="0" applyFont="1" applyFill="1" applyAlignment="1" applyProtection="1">
      <alignment vertical="center"/>
    </xf>
    <xf numFmtId="0" fontId="2" fillId="9" borderId="8" xfId="0" applyFont="1" applyFill="1" applyBorder="1" applyAlignment="1" applyProtection="1">
      <alignment vertical="center"/>
    </xf>
    <xf numFmtId="0" fontId="2" fillId="9" borderId="0" xfId="0" applyFont="1" applyFill="1" applyBorder="1" applyAlignment="1" applyProtection="1">
      <alignment vertical="center"/>
    </xf>
    <xf numFmtId="4" fontId="1" fillId="9" borderId="27" xfId="0" applyNumberFormat="1" applyFont="1" applyFill="1" applyBorder="1" applyAlignment="1" applyProtection="1">
      <alignment horizontal="center" vertical="center"/>
      <protection locked="0"/>
    </xf>
    <xf numFmtId="4" fontId="1" fillId="9" borderId="28" xfId="0" applyNumberFormat="1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Alignment="1" applyProtection="1">
      <alignment vertical="center"/>
    </xf>
    <xf numFmtId="0" fontId="2" fillId="4" borderId="12" xfId="0" applyFont="1" applyFill="1" applyBorder="1" applyAlignment="1" applyProtection="1">
      <alignment vertical="center"/>
    </xf>
    <xf numFmtId="0" fontId="2" fillId="4" borderId="29" xfId="0" applyFont="1" applyFill="1" applyBorder="1" applyAlignment="1" applyProtection="1">
      <alignment vertical="center"/>
    </xf>
    <xf numFmtId="4" fontId="2" fillId="4" borderId="30" xfId="0" applyNumberFormat="1" applyFont="1" applyFill="1" applyBorder="1" applyAlignment="1" applyProtection="1">
      <alignment horizontal="center" vertical="center"/>
    </xf>
    <xf numFmtId="4" fontId="2" fillId="4" borderId="31" xfId="0" applyNumberFormat="1" applyFont="1" applyFill="1" applyBorder="1" applyAlignment="1" applyProtection="1">
      <alignment horizontal="center" vertical="center"/>
    </xf>
    <xf numFmtId="0" fontId="2" fillId="11" borderId="0" xfId="0" applyFont="1" applyFill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4" fillId="0" borderId="0" xfId="0" applyFont="1" applyBorder="1" applyAlignment="1" applyProtection="1">
      <alignment horizontal="center" vertical="center"/>
    </xf>
    <xf numFmtId="0" fontId="1" fillId="6" borderId="18" xfId="0" applyFont="1" applyFill="1" applyBorder="1" applyAlignment="1" applyProtection="1">
      <alignment horizontal="left" indent="1"/>
    </xf>
    <xf numFmtId="0" fontId="1" fillId="0" borderId="18" xfId="0" applyFont="1" applyFill="1" applyBorder="1" applyAlignment="1" applyProtection="1">
      <alignment horizontal="left" indent="1"/>
    </xf>
    <xf numFmtId="0" fontId="1" fillId="4" borderId="18" xfId="0" applyFont="1" applyFill="1" applyBorder="1" applyAlignment="1" applyProtection="1">
      <alignment horizontal="left" indent="1"/>
    </xf>
    <xf numFmtId="0" fontId="1" fillId="6" borderId="20" xfId="0" applyFont="1" applyFill="1" applyBorder="1" applyAlignment="1" applyProtection="1">
      <alignment horizontal="left" vertical="center"/>
      <protection locked="0"/>
    </xf>
    <xf numFmtId="0" fontId="1" fillId="6" borderId="18" xfId="0" applyFont="1" applyFill="1" applyBorder="1" applyAlignment="1" applyProtection="1">
      <alignment horizontal="left" vertical="center"/>
      <protection locked="0"/>
    </xf>
    <xf numFmtId="0" fontId="1" fillId="6" borderId="18" xfId="0" applyFont="1" applyFill="1" applyBorder="1" applyAlignment="1" applyProtection="1">
      <alignment horizontal="left" wrapText="1" indent="1"/>
    </xf>
    <xf numFmtId="0" fontId="1" fillId="4" borderId="18" xfId="0" applyFont="1" applyFill="1" applyBorder="1" applyAlignment="1" applyProtection="1">
      <alignment horizontal="left" wrapText="1" indent="1"/>
    </xf>
    <xf numFmtId="0" fontId="1" fillId="4" borderId="20" xfId="0" applyFont="1" applyFill="1" applyBorder="1" applyAlignment="1" applyProtection="1">
      <alignment horizontal="left" vertical="center"/>
      <protection locked="0"/>
    </xf>
    <xf numFmtId="0" fontId="1" fillId="4" borderId="18" xfId="0" applyFont="1" applyFill="1" applyBorder="1" applyAlignment="1" applyProtection="1">
      <alignment horizontal="left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 wrapText="1"/>
    </xf>
    <xf numFmtId="164" fontId="2" fillId="2" borderId="6" xfId="0" applyNumberFormat="1" applyFont="1" applyFill="1" applyBorder="1" applyAlignment="1" applyProtection="1">
      <alignment horizontal="center" vertical="center" wrapText="1"/>
    </xf>
    <xf numFmtId="164" fontId="2" fillId="2" borderId="25" xfId="0" applyNumberFormat="1" applyFont="1" applyFill="1" applyBorder="1" applyAlignment="1" applyProtection="1">
      <alignment horizontal="center" vertical="center" wrapText="1"/>
    </xf>
    <xf numFmtId="164" fontId="2" fillId="2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6" fillId="2" borderId="0" xfId="0" applyFont="1" applyFill="1" applyBorder="1" applyAlignment="1" applyProtection="1">
      <alignment horizontal="left" vertical="center" wrapText="1" indent="2"/>
    </xf>
    <xf numFmtId="0" fontId="7" fillId="2" borderId="0" xfId="0" applyFont="1" applyFill="1" applyBorder="1" applyAlignment="1" applyProtection="1">
      <alignment horizontal="center"/>
    </xf>
    <xf numFmtId="164" fontId="8" fillId="2" borderId="16" xfId="0" applyNumberFormat="1" applyFont="1" applyFill="1" applyBorder="1" applyAlignment="1" applyProtection="1">
      <alignment horizontal="center" wrapText="1"/>
    </xf>
    <xf numFmtId="164" fontId="8" fillId="2" borderId="0" xfId="0" applyNumberFormat="1" applyFont="1" applyFill="1" applyBorder="1" applyAlignment="1" applyProtection="1">
      <alignment horizontal="center" wrapText="1"/>
    </xf>
    <xf numFmtId="164" fontId="8" fillId="2" borderId="32" xfId="0" applyNumberFormat="1" applyFont="1" applyFill="1" applyBorder="1" applyAlignment="1" applyProtection="1">
      <alignment horizontal="center" wrapText="1"/>
    </xf>
    <xf numFmtId="0" fontId="9" fillId="2" borderId="0" xfId="0" applyFont="1" applyFill="1" applyBorder="1" applyProtection="1"/>
    <xf numFmtId="0" fontId="10" fillId="3" borderId="9" xfId="0" applyFont="1" applyFill="1" applyBorder="1" applyAlignment="1" applyProtection="1">
      <alignment horizontal="left" indent="1"/>
    </xf>
    <xf numFmtId="4" fontId="10" fillId="3" borderId="9" xfId="0" applyNumberFormat="1" applyFont="1" applyFill="1" applyBorder="1" applyAlignment="1" applyProtection="1">
      <alignment horizontal="center"/>
      <protection locked="0"/>
    </xf>
    <xf numFmtId="4" fontId="7" fillId="3" borderId="10" xfId="0" applyNumberFormat="1" applyFont="1" applyFill="1" applyBorder="1" applyAlignment="1" applyProtection="1">
      <alignment horizontal="center"/>
      <protection locked="0"/>
    </xf>
    <xf numFmtId="0" fontId="11" fillId="2" borderId="0" xfId="0" applyFont="1" applyFill="1" applyBorder="1" applyAlignment="1" applyProtection="1">
      <alignment horizontal="left" vertical="center"/>
    </xf>
    <xf numFmtId="0" fontId="10" fillId="2" borderId="33" xfId="0" applyFont="1" applyFill="1" applyBorder="1" applyAlignment="1" applyProtection="1">
      <alignment horizontal="center" vertical="center"/>
    </xf>
    <xf numFmtId="4" fontId="8" fillId="2" borderId="33" xfId="0" applyNumberFormat="1" applyFont="1" applyFill="1" applyBorder="1" applyAlignment="1" applyProtection="1">
      <alignment horizontal="center" vertical="center"/>
    </xf>
    <xf numFmtId="4" fontId="7" fillId="3" borderId="9" xfId="0" applyNumberFormat="1" applyFont="1" applyFill="1" applyBorder="1" applyAlignment="1" applyProtection="1">
      <alignment horizontal="center"/>
      <protection locked="0"/>
    </xf>
    <xf numFmtId="4" fontId="7" fillId="3" borderId="34" xfId="0" applyNumberFormat="1" applyFont="1" applyFill="1" applyBorder="1" applyAlignment="1" applyProtection="1">
      <alignment horizontal="center"/>
      <protection locked="0"/>
    </xf>
    <xf numFmtId="0" fontId="10" fillId="4" borderId="9" xfId="0" applyFont="1" applyFill="1" applyBorder="1" applyAlignment="1" applyProtection="1">
      <alignment horizontal="left" indent="1"/>
    </xf>
    <xf numFmtId="4" fontId="10" fillId="0" borderId="9" xfId="0" applyNumberFormat="1" applyFont="1" applyFill="1" applyBorder="1" applyAlignment="1" applyProtection="1">
      <alignment horizontal="center"/>
      <protection locked="0"/>
    </xf>
    <xf numFmtId="4" fontId="7" fillId="0" borderId="10" xfId="0" applyNumberFormat="1" applyFont="1" applyFill="1" applyBorder="1" applyAlignment="1" applyProtection="1">
      <alignment horizontal="center"/>
      <protection locked="0"/>
    </xf>
    <xf numFmtId="4" fontId="7" fillId="0" borderId="9" xfId="0" applyNumberFormat="1" applyFont="1" applyFill="1" applyBorder="1" applyAlignment="1" applyProtection="1">
      <alignment horizontal="center"/>
      <protection locked="0"/>
    </xf>
    <xf numFmtId="4" fontId="7" fillId="0" borderId="34" xfId="0" applyNumberFormat="1" applyFont="1" applyFill="1" applyBorder="1" applyAlignment="1" applyProtection="1">
      <alignment horizontal="center"/>
      <protection locked="0"/>
    </xf>
    <xf numFmtId="0" fontId="8" fillId="4" borderId="35" xfId="0" applyFont="1" applyFill="1" applyBorder="1" applyAlignment="1" applyProtection="1">
      <alignment horizontal="left"/>
    </xf>
    <xf numFmtId="0" fontId="7" fillId="4" borderId="35" xfId="0" applyFont="1" applyFill="1" applyBorder="1" applyAlignment="1" applyProtection="1">
      <alignment horizontal="center"/>
    </xf>
    <xf numFmtId="4" fontId="8" fillId="4" borderId="35" xfId="0" applyNumberFormat="1" applyFont="1" applyFill="1" applyBorder="1" applyAlignment="1" applyProtection="1">
      <alignment horizontal="center"/>
    </xf>
    <xf numFmtId="164" fontId="8" fillId="5" borderId="20" xfId="0" applyNumberFormat="1" applyFont="1" applyFill="1" applyBorder="1" applyAlignment="1" applyProtection="1">
      <alignment horizontal="center" vertical="center" wrapText="1"/>
    </xf>
    <xf numFmtId="164" fontId="8" fillId="5" borderId="21" xfId="0" applyNumberFormat="1" applyFont="1" applyFill="1" applyBorder="1" applyAlignment="1" applyProtection="1">
      <alignment horizontal="center" vertical="center" wrapText="1"/>
    </xf>
    <xf numFmtId="164" fontId="8" fillId="5" borderId="0" xfId="0" applyNumberFormat="1" applyFont="1" applyFill="1" applyBorder="1" applyAlignment="1" applyProtection="1">
      <alignment horizontal="center" vertical="center" wrapText="1"/>
    </xf>
    <xf numFmtId="0" fontId="9" fillId="5" borderId="24" xfId="0" applyFont="1" applyFill="1" applyBorder="1" applyProtection="1"/>
    <xf numFmtId="0" fontId="7" fillId="6" borderId="20" xfId="0" applyFont="1" applyFill="1" applyBorder="1" applyAlignment="1" applyProtection="1">
      <alignment horizontal="left" indent="1"/>
    </xf>
    <xf numFmtId="4" fontId="7" fillId="6" borderId="20" xfId="0" applyNumberFormat="1" applyFont="1" applyFill="1" applyBorder="1" applyAlignment="1" applyProtection="1">
      <alignment horizontal="center"/>
      <protection locked="0"/>
    </xf>
    <xf numFmtId="4" fontId="7" fillId="6" borderId="21" xfId="0" applyNumberFormat="1" applyFont="1" applyFill="1" applyBorder="1" applyAlignment="1" applyProtection="1">
      <alignment horizontal="center"/>
      <protection locked="0"/>
    </xf>
    <xf numFmtId="4" fontId="7" fillId="6" borderId="0" xfId="0" applyNumberFormat="1" applyFont="1" applyFill="1" applyBorder="1" applyAlignment="1" applyProtection="1">
      <alignment horizontal="center"/>
      <protection locked="0"/>
    </xf>
    <xf numFmtId="0" fontId="7" fillId="0" borderId="20" xfId="0" applyFont="1" applyFill="1" applyBorder="1" applyAlignment="1" applyProtection="1">
      <alignment horizontal="left" indent="1"/>
    </xf>
    <xf numFmtId="4" fontId="7" fillId="0" borderId="21" xfId="0" applyNumberFormat="1" applyFont="1" applyFill="1" applyBorder="1" applyAlignment="1" applyProtection="1">
      <alignment horizontal="center"/>
      <protection locked="0"/>
    </xf>
    <xf numFmtId="4" fontId="7" fillId="0" borderId="0" xfId="0" applyNumberFormat="1" applyFont="1" applyFill="1" applyBorder="1" applyAlignment="1" applyProtection="1">
      <alignment horizontal="center"/>
      <protection locked="0"/>
    </xf>
    <xf numFmtId="0" fontId="11" fillId="5" borderId="37" xfId="0" applyFont="1" applyFill="1" applyBorder="1" applyAlignment="1" applyProtection="1">
      <alignment horizontal="left" vertical="center"/>
    </xf>
    <xf numFmtId="0" fontId="7" fillId="5" borderId="38" xfId="0" applyFont="1" applyFill="1" applyBorder="1" applyAlignment="1" applyProtection="1">
      <alignment horizontal="center" vertical="center"/>
    </xf>
    <xf numFmtId="4" fontId="8" fillId="5" borderId="38" xfId="0" applyNumberFormat="1" applyFont="1" applyFill="1" applyBorder="1" applyAlignment="1" applyProtection="1">
      <alignment horizontal="center" vertical="center"/>
    </xf>
    <xf numFmtId="164" fontId="8" fillId="2" borderId="16" xfId="0" applyNumberFormat="1" applyFont="1" applyFill="1" applyBorder="1" applyAlignment="1" applyProtection="1">
      <alignment horizontal="center" vertical="center" wrapText="1"/>
    </xf>
    <xf numFmtId="164" fontId="8" fillId="2" borderId="0" xfId="0" applyNumberFormat="1" applyFont="1" applyFill="1" applyBorder="1" applyAlignment="1" applyProtection="1">
      <alignment horizontal="center" vertical="center" wrapText="1"/>
    </xf>
    <xf numFmtId="164" fontId="8" fillId="2" borderId="32" xfId="0" applyNumberFormat="1" applyFont="1" applyFill="1" applyBorder="1" applyAlignment="1" applyProtection="1">
      <alignment horizontal="center" vertical="center" wrapText="1"/>
    </xf>
    <xf numFmtId="0" fontId="12" fillId="7" borderId="0" xfId="0" applyFont="1" applyFill="1" applyBorder="1" applyAlignment="1" applyProtection="1">
      <alignment horizontal="right" vertical="center"/>
    </xf>
    <xf numFmtId="0" fontId="12" fillId="7" borderId="26" xfId="0" applyFont="1" applyFill="1" applyBorder="1" applyAlignment="1" applyProtection="1">
      <alignment vertical="center"/>
    </xf>
    <xf numFmtId="4" fontId="13" fillId="7" borderId="26" xfId="0" applyNumberFormat="1" applyFont="1" applyFill="1" applyBorder="1" applyAlignment="1" applyProtection="1">
      <alignment horizontal="center" vertical="center"/>
      <protection locked="0"/>
    </xf>
    <xf numFmtId="0" fontId="12" fillId="9" borderId="0" xfId="0" applyFont="1" applyFill="1" applyBorder="1" applyAlignment="1" applyProtection="1">
      <alignment vertical="center"/>
    </xf>
    <xf numFmtId="4" fontId="13" fillId="9" borderId="27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Border="1" applyAlignment="1" applyProtection="1">
      <alignment vertical="center"/>
    </xf>
    <xf numFmtId="0" fontId="14" fillId="4" borderId="39" xfId="0" applyFont="1" applyFill="1" applyBorder="1" applyAlignment="1" applyProtection="1">
      <alignment vertical="center"/>
    </xf>
    <xf numFmtId="4" fontId="15" fillId="4" borderId="40" xfId="0" applyNumberFormat="1" applyFont="1" applyFill="1" applyBorder="1" applyAlignment="1" applyProtection="1">
      <alignment horizontal="center" vertical="center"/>
    </xf>
    <xf numFmtId="4" fontId="15" fillId="4" borderId="41" xfId="0" applyNumberFormat="1" applyFont="1" applyFill="1" applyBorder="1" applyAlignment="1" applyProtection="1">
      <alignment horizontal="center" vertical="center"/>
    </xf>
    <xf numFmtId="0" fontId="6" fillId="5" borderId="0" xfId="0" applyFont="1" applyFill="1" applyBorder="1" applyAlignment="1" applyProtection="1">
      <alignment horizontal="left" vertical="center" wrapText="1"/>
    </xf>
    <xf numFmtId="0" fontId="7" fillId="6" borderId="20" xfId="0" applyFont="1" applyFill="1" applyBorder="1" applyAlignment="1" applyProtection="1">
      <alignment horizontal="left" indent="1"/>
      <protection locked="0"/>
    </xf>
    <xf numFmtId="0" fontId="16" fillId="4" borderId="20" xfId="0" applyFont="1" applyFill="1" applyBorder="1" applyAlignment="1" applyProtection="1">
      <alignment horizontal="left" indent="1"/>
    </xf>
    <xf numFmtId="0" fontId="16" fillId="4" borderId="20" xfId="0" applyFont="1" applyFill="1" applyBorder="1" applyAlignment="1" applyProtection="1">
      <alignment horizontal="left" indent="1"/>
      <protection locked="0"/>
    </xf>
    <xf numFmtId="164" fontId="8" fillId="2" borderId="33" xfId="0" applyNumberFormat="1" applyFont="1" applyFill="1" applyBorder="1" applyAlignment="1" applyProtection="1">
      <alignment horizontal="center" wrapText="1"/>
    </xf>
    <xf numFmtId="0" fontId="10" fillId="4" borderId="9" xfId="0" applyFont="1" applyFill="1" applyBorder="1" applyAlignment="1" applyProtection="1">
      <alignment horizontal="left" indent="1"/>
      <protection locked="0"/>
    </xf>
    <xf numFmtId="0" fontId="10" fillId="3" borderId="9" xfId="0" applyFont="1" applyFill="1" applyBorder="1" applyAlignment="1" applyProtection="1">
      <alignment horizontal="left" indent="1"/>
      <protection locked="0"/>
    </xf>
    <xf numFmtId="0" fontId="17" fillId="2" borderId="33" xfId="0" applyFont="1" applyFill="1" applyBorder="1" applyAlignment="1" applyProtection="1">
      <alignment horizontal="center" vertical="center"/>
    </xf>
    <xf numFmtId="3" fontId="8" fillId="2" borderId="0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</xf>
    <xf numFmtId="0" fontId="10" fillId="3" borderId="0" xfId="0" applyFont="1" applyFill="1" applyBorder="1" applyAlignment="1" applyProtection="1"/>
    <xf numFmtId="0" fontId="2" fillId="4" borderId="24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left" vertical="center" wrapText="1"/>
    </xf>
    <xf numFmtId="0" fontId="2" fillId="5" borderId="4" xfId="0" applyFont="1" applyFill="1" applyBorder="1" applyAlignment="1" applyProtection="1">
      <alignment horizontal="left" vertical="center" wrapText="1"/>
    </xf>
    <xf numFmtId="0" fontId="1" fillId="5" borderId="15" xfId="0" applyFont="1" applyFill="1" applyBorder="1" applyAlignment="1" applyProtection="1">
      <alignment horizontal="center" vertical="center"/>
    </xf>
    <xf numFmtId="0" fontId="2" fillId="5" borderId="19" xfId="0" applyFont="1" applyFill="1" applyBorder="1" applyAlignment="1" applyProtection="1">
      <alignment horizontal="left" vertical="center"/>
    </xf>
    <xf numFmtId="0" fontId="2" fillId="2" borderId="4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center" wrapText="1" indent="2"/>
    </xf>
    <xf numFmtId="0" fontId="6" fillId="5" borderId="36" xfId="0" applyFont="1" applyFill="1" applyBorder="1" applyAlignment="1" applyProtection="1">
      <alignment horizontal="left" vertical="center" wrapText="1"/>
    </xf>
    <xf numFmtId="0" fontId="7" fillId="5" borderId="20" xfId="0" applyFont="1" applyFill="1" applyBorder="1" applyAlignment="1" applyProtection="1">
      <alignment horizontal="center" vertical="center"/>
    </xf>
    <xf numFmtId="0" fontId="9" fillId="4" borderId="24" xfId="0" applyFont="1" applyFill="1" applyBorder="1" applyAlignment="1" applyProtection="1">
      <alignment horizontal="center"/>
    </xf>
    <xf numFmtId="0" fontId="11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center" vertical="center" wrapText="1"/>
    </xf>
    <xf numFmtId="0" fontId="10" fillId="3" borderId="26" xfId="0" applyFont="1" applyFill="1" applyBorder="1" applyAlignment="1" applyProtection="1">
      <alignment horizontal="left"/>
    </xf>
    <xf numFmtId="0" fontId="11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EC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C2C2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 /><Relationship Id="rId1" Type="http://schemas.openxmlformats.org/officeDocument/2006/relationships/vmlDrawing" Target="../drawings/vmlDrawing5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 /><Relationship Id="rId1" Type="http://schemas.openxmlformats.org/officeDocument/2006/relationships/vmlDrawing" Target="../drawings/vmlDrawing6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BA156"/>
  <sheetViews>
    <sheetView tabSelected="1" topLeftCell="A43" zoomScale="80" zoomScaleNormal="80" workbookViewId="0" xr3:uid="{AEA406A1-0E4B-5B11-9CD5-51D6E497D94C}">
      <selection activeCell="I6" sqref="I6"/>
    </sheetView>
  </sheetViews>
  <sheetFormatPr defaultColWidth="9.16796875" defaultRowHeight="12.75" x14ac:dyDescent="0.15"/>
  <cols>
    <col min="1" max="1" width="2.6953125" style="1" customWidth="1"/>
    <col min="2" max="2" width="51.109375" style="1" customWidth="1"/>
    <col min="3" max="3" width="11.32421875" style="2" customWidth="1"/>
    <col min="4" max="4" width="10.3828125" style="2" customWidth="1"/>
    <col min="5" max="5" width="9.84375" style="2" customWidth="1"/>
    <col min="6" max="6" width="9.57421875" style="2" customWidth="1"/>
    <col min="7" max="7" width="10.11328125" style="2" customWidth="1"/>
    <col min="8" max="8" width="9.57421875" style="2" customWidth="1"/>
    <col min="9" max="11" width="9.4375" style="2" customWidth="1"/>
    <col min="12" max="12" width="8.62890625" style="2" customWidth="1"/>
    <col min="13" max="13" width="10.3828125" style="2" customWidth="1"/>
    <col min="14" max="14" width="9.70703125" style="2" customWidth="1"/>
    <col min="15" max="16384" width="9.16796875" style="1"/>
  </cols>
  <sheetData>
    <row r="1" spans="1:53" ht="48.75" customHeight="1" x14ac:dyDescent="0.15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</row>
    <row r="2" spans="1:53" ht="2.25" customHeight="1" x14ac:dyDescent="0.1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</row>
    <row r="3" spans="1:53" ht="18" hidden="1" customHeight="1" x14ac:dyDescent="0.1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</row>
    <row r="4" spans="1:53" s="6" customFormat="1" ht="18" customHeight="1" x14ac:dyDescent="0.15">
      <c r="A4" s="153"/>
      <c r="B4" s="153"/>
      <c r="C4" s="3" t="s">
        <v>1</v>
      </c>
      <c r="D4" s="3" t="s">
        <v>2</v>
      </c>
      <c r="E4" s="4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4" t="s">
        <v>11</v>
      </c>
      <c r="N4" s="5" t="s">
        <v>12</v>
      </c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</row>
    <row r="5" spans="1:53" ht="18" customHeight="1" x14ac:dyDescent="0.15">
      <c r="A5" s="7"/>
      <c r="B5" s="8" t="s">
        <v>13</v>
      </c>
      <c r="C5" s="9"/>
      <c r="D5" s="10">
        <f>C6</f>
        <v>0</v>
      </c>
      <c r="E5" s="10">
        <f t="shared" ref="E5:N5" si="0">D6</f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1">
        <f t="shared" si="0"/>
        <v>0</v>
      </c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</row>
    <row r="6" spans="1:53" s="6" customFormat="1" ht="18" customHeight="1" x14ac:dyDescent="0.15">
      <c r="A6" s="12" t="s">
        <v>14</v>
      </c>
      <c r="B6" s="13"/>
      <c r="C6" s="14">
        <f t="shared" ref="C6:N6" si="1">SUM(C5:C5)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4">
        <f t="shared" si="1"/>
        <v>0</v>
      </c>
      <c r="I6" s="14">
        <f t="shared" si="1"/>
        <v>0</v>
      </c>
      <c r="J6" s="14">
        <f t="shared" si="1"/>
        <v>0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5">
        <f t="shared" si="1"/>
        <v>0</v>
      </c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</row>
    <row r="7" spans="1:53" ht="18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</row>
    <row r="8" spans="1:53" ht="17.25" customHeight="1" x14ac:dyDescent="0.15">
      <c r="A8" s="153" t="s">
        <v>15</v>
      </c>
      <c r="B8" s="15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</row>
    <row r="9" spans="1:53" ht="16.5" customHeight="1" x14ac:dyDescent="0.15">
      <c r="A9" s="153"/>
      <c r="B9" s="153"/>
      <c r="C9" s="19" t="s">
        <v>1</v>
      </c>
      <c r="D9" s="19" t="s">
        <v>2</v>
      </c>
      <c r="E9" s="20" t="s">
        <v>3</v>
      </c>
      <c r="F9" s="19" t="s">
        <v>4</v>
      </c>
      <c r="G9" s="19" t="s">
        <v>5</v>
      </c>
      <c r="H9" s="19" t="s">
        <v>6</v>
      </c>
      <c r="I9" s="19" t="s">
        <v>7</v>
      </c>
      <c r="J9" s="19" t="s">
        <v>8</v>
      </c>
      <c r="K9" s="19" t="s">
        <v>9</v>
      </c>
      <c r="L9" s="19" t="s">
        <v>10</v>
      </c>
      <c r="M9" s="20" t="s">
        <v>11</v>
      </c>
      <c r="N9" s="21" t="s">
        <v>12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</row>
    <row r="10" spans="1:53" x14ac:dyDescent="0.15">
      <c r="A10" s="7"/>
      <c r="B10" s="8" t="s">
        <v>16</v>
      </c>
      <c r="C10" s="9"/>
      <c r="D10" s="10"/>
      <c r="E10" s="10"/>
      <c r="F10" s="10"/>
      <c r="G10" s="10"/>
      <c r="H10" s="10"/>
      <c r="I10" s="10"/>
      <c r="J10" s="9"/>
      <c r="K10" s="10"/>
      <c r="L10" s="9"/>
      <c r="M10" s="10"/>
      <c r="N10" s="1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</row>
    <row r="11" spans="1:53" x14ac:dyDescent="0.15">
      <c r="A11" s="7"/>
      <c r="B11" s="22" t="s">
        <v>17</v>
      </c>
      <c r="C11" s="23"/>
      <c r="D11" s="24"/>
      <c r="E11" s="24"/>
      <c r="F11" s="24"/>
      <c r="G11" s="24"/>
      <c r="H11" s="24"/>
      <c r="I11" s="24"/>
      <c r="J11" s="23"/>
      <c r="K11" s="24"/>
      <c r="L11" s="23"/>
      <c r="M11" s="24"/>
      <c r="N11" s="25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</row>
    <row r="12" spans="1:53" x14ac:dyDescent="0.15">
      <c r="A12" s="7"/>
      <c r="B12" s="8" t="s">
        <v>18</v>
      </c>
      <c r="C12" s="9"/>
      <c r="D12" s="10"/>
      <c r="E12" s="10"/>
      <c r="F12" s="10"/>
      <c r="G12" s="10"/>
      <c r="H12" s="10"/>
      <c r="I12" s="10"/>
      <c r="J12" s="9"/>
      <c r="K12" s="10"/>
      <c r="L12" s="9"/>
      <c r="M12" s="10"/>
      <c r="N12" s="1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</row>
    <row r="13" spans="1:53" x14ac:dyDescent="0.15">
      <c r="A13" s="7"/>
      <c r="B13" s="22" t="s">
        <v>19</v>
      </c>
      <c r="C13" s="23"/>
      <c r="D13" s="24"/>
      <c r="E13" s="24"/>
      <c r="F13" s="24"/>
      <c r="G13" s="24"/>
      <c r="H13" s="24"/>
      <c r="I13" s="24"/>
      <c r="J13" s="23"/>
      <c r="K13" s="24"/>
      <c r="L13" s="23"/>
      <c r="M13" s="24"/>
      <c r="N13" s="25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</row>
    <row r="14" spans="1:53" x14ac:dyDescent="0.15">
      <c r="A14" s="7"/>
      <c r="B14" s="8" t="s">
        <v>20</v>
      </c>
      <c r="C14" s="9">
        <f>'Banco Conta Corrente'!C20+'Banco Conta Corrente'!C21+'Banco Conta Corrente'!C22</f>
        <v>0</v>
      </c>
      <c r="D14" s="9">
        <f>'Banco Conta Corrente'!D20+'Banco Conta Corrente'!D21+'Banco Conta Corrente'!D22</f>
        <v>0</v>
      </c>
      <c r="E14" s="9">
        <f>'Banco Conta Corrente'!E20+'Banco Conta Corrente'!E21+'Banco Conta Corrente'!E22</f>
        <v>0</v>
      </c>
      <c r="F14" s="9">
        <f>'Banco Conta Corrente'!F20+'Banco Conta Corrente'!F21+'Banco Conta Corrente'!F22</f>
        <v>0</v>
      </c>
      <c r="G14" s="9">
        <f>'Banco Conta Corrente'!G20+'Banco Conta Corrente'!G21+'Banco Conta Corrente'!G22</f>
        <v>0</v>
      </c>
      <c r="H14" s="9">
        <f>'Banco Conta Corrente'!H20+'Banco Conta Corrente'!H21+'Banco Conta Corrente'!H22</f>
        <v>0</v>
      </c>
      <c r="I14" s="9">
        <f>'Banco Conta Corrente'!I20+'Banco Conta Corrente'!I21+'Banco Conta Corrente'!I22</f>
        <v>0</v>
      </c>
      <c r="J14" s="9">
        <f>'Banco Conta Corrente'!J20+'Banco Conta Corrente'!J21+'Banco Conta Corrente'!J22</f>
        <v>0</v>
      </c>
      <c r="K14" s="9">
        <f>'Banco Conta Corrente'!K20+'Banco Conta Corrente'!K21+'Banco Conta Corrente'!K22</f>
        <v>0</v>
      </c>
      <c r="L14" s="9">
        <f>'Banco Conta Corrente'!L20+'Banco Conta Corrente'!L21+'Banco Conta Corrente'!L22</f>
        <v>0</v>
      </c>
      <c r="M14" s="9">
        <f>'Banco Conta Corrente'!M20+'Banco Conta Corrente'!M21+'Banco Conta Corrente'!M22</f>
        <v>0</v>
      </c>
      <c r="N14" s="26">
        <f>'Banco Conta Corrente'!N20+'Banco Conta Corrente'!N21+'Banco Conta Corrente'!N22</f>
        <v>0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</row>
    <row r="15" spans="1:53" x14ac:dyDescent="0.15">
      <c r="A15" s="7"/>
      <c r="B15" s="22" t="s">
        <v>21</v>
      </c>
      <c r="C15" s="27">
        <f>'Poupança-Investimento'!C20</f>
        <v>0</v>
      </c>
      <c r="D15" s="27">
        <f>'Poupança-Investimento'!D20</f>
        <v>0</v>
      </c>
      <c r="E15" s="27">
        <f>'Poupança-Investimento'!E20</f>
        <v>0</v>
      </c>
      <c r="F15" s="27">
        <f>'Poupança-Investimento'!F20</f>
        <v>0</v>
      </c>
      <c r="G15" s="27">
        <f>'Poupança-Investimento'!G20</f>
        <v>0</v>
      </c>
      <c r="H15" s="27">
        <f>'Poupança-Investimento'!H20</f>
        <v>0</v>
      </c>
      <c r="I15" s="27">
        <f>'Poupança-Investimento'!I20</f>
        <v>0</v>
      </c>
      <c r="J15" s="27">
        <f>'Poupança-Investimento'!J20</f>
        <v>0</v>
      </c>
      <c r="K15" s="27">
        <f>'Poupança-Investimento'!K20</f>
        <v>0</v>
      </c>
      <c r="L15" s="27">
        <f>'Poupança-Investimento'!L20</f>
        <v>0</v>
      </c>
      <c r="M15" s="27">
        <f>'Poupança-Investimento'!M20</f>
        <v>0</v>
      </c>
      <c r="N15" s="28">
        <f>'Poupança-Investimento'!N20</f>
        <v>0</v>
      </c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</row>
    <row r="16" spans="1:53" s="6" customFormat="1" ht="19.5" customHeight="1" x14ac:dyDescent="0.15">
      <c r="A16" s="12" t="s">
        <v>22</v>
      </c>
      <c r="B16" s="13"/>
      <c r="C16" s="14">
        <f t="shared" ref="C16:N16" si="2">SUM(C10:C15)</f>
        <v>0</v>
      </c>
      <c r="D16" s="14">
        <f t="shared" si="2"/>
        <v>0</v>
      </c>
      <c r="E16" s="14">
        <f t="shared" si="2"/>
        <v>0</v>
      </c>
      <c r="F16" s="14">
        <f t="shared" si="2"/>
        <v>0</v>
      </c>
      <c r="G16" s="14">
        <f t="shared" si="2"/>
        <v>0</v>
      </c>
      <c r="H16" s="14">
        <f t="shared" si="2"/>
        <v>0</v>
      </c>
      <c r="I16" s="14">
        <f t="shared" si="2"/>
        <v>0</v>
      </c>
      <c r="J16" s="14">
        <f t="shared" si="2"/>
        <v>0</v>
      </c>
      <c r="K16" s="14">
        <f t="shared" si="2"/>
        <v>0</v>
      </c>
      <c r="L16" s="14">
        <f t="shared" si="2"/>
        <v>0</v>
      </c>
      <c r="M16" s="14">
        <f t="shared" si="2"/>
        <v>0</v>
      </c>
      <c r="N16" s="15">
        <f t="shared" si="2"/>
        <v>0</v>
      </c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</row>
    <row r="17" spans="1:53" s="32" customFormat="1" ht="19.5" customHeight="1" x14ac:dyDescent="0.15">
      <c r="A17" s="29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</row>
    <row r="18" spans="1:53" ht="30.75" customHeight="1" x14ac:dyDescent="0.15">
      <c r="A18" s="154" t="s">
        <v>23</v>
      </c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</row>
    <row r="19" spans="1:53" ht="18" customHeight="1" x14ac:dyDescent="0.15">
      <c r="A19" s="156" t="s">
        <v>24</v>
      </c>
      <c r="B19" s="156"/>
      <c r="C19" s="33" t="s">
        <v>1</v>
      </c>
      <c r="D19" s="34" t="s">
        <v>2</v>
      </c>
      <c r="E19" s="34" t="s">
        <v>3</v>
      </c>
      <c r="F19" s="35" t="s">
        <v>4</v>
      </c>
      <c r="G19" s="34" t="s">
        <v>5</v>
      </c>
      <c r="H19" s="34" t="s">
        <v>6</v>
      </c>
      <c r="I19" s="34" t="s">
        <v>7</v>
      </c>
      <c r="J19" s="34" t="s">
        <v>8</v>
      </c>
      <c r="K19" s="34" t="s">
        <v>9</v>
      </c>
      <c r="L19" s="34" t="s">
        <v>10</v>
      </c>
      <c r="M19" s="34" t="s">
        <v>11</v>
      </c>
      <c r="N19" s="36" t="s">
        <v>12</v>
      </c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</row>
    <row r="20" spans="1:53" x14ac:dyDescent="0.15">
      <c r="A20" s="37"/>
      <c r="B20" s="38" t="s">
        <v>25</v>
      </c>
      <c r="C20" s="39"/>
      <c r="D20" s="40"/>
      <c r="E20" s="40"/>
      <c r="F20" s="41"/>
      <c r="G20" s="40"/>
      <c r="H20" s="40"/>
      <c r="I20" s="40"/>
      <c r="J20" s="40"/>
      <c r="K20" s="40"/>
      <c r="L20" s="40"/>
      <c r="M20" s="40"/>
      <c r="N20" s="42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</row>
    <row r="21" spans="1:53" x14ac:dyDescent="0.15">
      <c r="A21" s="37"/>
      <c r="B21" s="43" t="s">
        <v>26</v>
      </c>
      <c r="C21" s="44"/>
      <c r="D21" s="44"/>
      <c r="E21" s="44"/>
      <c r="F21" s="45"/>
      <c r="G21" s="44"/>
      <c r="H21" s="44"/>
      <c r="I21" s="44"/>
      <c r="J21" s="44"/>
      <c r="K21" s="44"/>
      <c r="L21" s="44"/>
      <c r="M21" s="44"/>
      <c r="N21" s="46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</row>
    <row r="22" spans="1:53" x14ac:dyDescent="0.15">
      <c r="A22" s="37"/>
      <c r="B22" s="38" t="s">
        <v>27</v>
      </c>
      <c r="C22" s="40"/>
      <c r="D22" s="40"/>
      <c r="E22" s="40"/>
      <c r="F22" s="41"/>
      <c r="G22" s="40"/>
      <c r="H22" s="40"/>
      <c r="I22" s="40"/>
      <c r="J22" s="40"/>
      <c r="K22" s="40"/>
      <c r="L22" s="40"/>
      <c r="M22" s="40"/>
      <c r="N22" s="42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</row>
    <row r="23" spans="1:53" x14ac:dyDescent="0.15">
      <c r="A23" s="37"/>
      <c r="B23" s="43" t="s">
        <v>28</v>
      </c>
      <c r="C23" s="44"/>
      <c r="D23" s="44"/>
      <c r="E23" s="44"/>
      <c r="F23" s="45"/>
      <c r="G23" s="44"/>
      <c r="H23" s="44"/>
      <c r="I23" s="44"/>
      <c r="J23" s="44"/>
      <c r="K23" s="44"/>
      <c r="L23" s="44"/>
      <c r="M23" s="44"/>
      <c r="N23" s="46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</row>
    <row r="24" spans="1:53" x14ac:dyDescent="0.15">
      <c r="A24" s="37"/>
      <c r="B24" s="38" t="s">
        <v>29</v>
      </c>
      <c r="C24" s="40"/>
      <c r="D24" s="40"/>
      <c r="E24" s="40"/>
      <c r="F24" s="41"/>
      <c r="G24" s="40"/>
      <c r="H24" s="40"/>
      <c r="I24" s="40"/>
      <c r="J24" s="40"/>
      <c r="K24" s="40"/>
      <c r="L24" s="40"/>
      <c r="M24" s="40"/>
      <c r="N24" s="42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</row>
    <row r="25" spans="1:53" x14ac:dyDescent="0.15">
      <c r="A25" s="37"/>
      <c r="B25" s="43" t="s">
        <v>30</v>
      </c>
      <c r="C25" s="44"/>
      <c r="D25" s="44"/>
      <c r="E25" s="44"/>
      <c r="F25" s="45"/>
      <c r="G25" s="44"/>
      <c r="H25" s="44"/>
      <c r="I25" s="44"/>
      <c r="J25" s="44"/>
      <c r="K25" s="44"/>
      <c r="L25" s="44"/>
      <c r="M25" s="44"/>
      <c r="N25" s="46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</row>
    <row r="26" spans="1:53" x14ac:dyDescent="0.15">
      <c r="A26" s="37"/>
      <c r="B26" s="38" t="s">
        <v>31</v>
      </c>
      <c r="C26" s="40"/>
      <c r="D26" s="40"/>
      <c r="E26" s="40"/>
      <c r="F26" s="41"/>
      <c r="G26" s="40"/>
      <c r="H26" s="40"/>
      <c r="I26" s="40"/>
      <c r="J26" s="40"/>
      <c r="K26" s="40"/>
      <c r="L26" s="40"/>
      <c r="M26" s="40"/>
      <c r="N26" s="42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</row>
    <row r="27" spans="1:53" x14ac:dyDescent="0.15">
      <c r="A27" s="37"/>
      <c r="B27" s="43" t="s">
        <v>32</v>
      </c>
      <c r="C27" s="44"/>
      <c r="D27" s="44"/>
      <c r="E27" s="44"/>
      <c r="F27" s="45"/>
      <c r="G27" s="44"/>
      <c r="H27" s="44"/>
      <c r="I27" s="44"/>
      <c r="J27" s="44"/>
      <c r="K27" s="44"/>
      <c r="L27" s="44"/>
      <c r="M27" s="44"/>
      <c r="N27" s="46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</row>
    <row r="28" spans="1:53" x14ac:dyDescent="0.15">
      <c r="A28" s="37"/>
      <c r="B28" s="38" t="s">
        <v>33</v>
      </c>
      <c r="C28" s="40">
        <f>(C10+C11+C13)*10%</f>
        <v>0</v>
      </c>
      <c r="D28" s="40">
        <f t="shared" ref="D28:N28" si="3">(D10+D11+D13)*10%</f>
        <v>0</v>
      </c>
      <c r="E28" s="40">
        <f t="shared" si="3"/>
        <v>0</v>
      </c>
      <c r="F28" s="40">
        <f t="shared" si="3"/>
        <v>0</v>
      </c>
      <c r="G28" s="40">
        <f t="shared" si="3"/>
        <v>0</v>
      </c>
      <c r="H28" s="40">
        <f t="shared" si="3"/>
        <v>0</v>
      </c>
      <c r="I28" s="40">
        <f t="shared" si="3"/>
        <v>0</v>
      </c>
      <c r="J28" s="40">
        <f t="shared" si="3"/>
        <v>0</v>
      </c>
      <c r="K28" s="40">
        <f t="shared" si="3"/>
        <v>0</v>
      </c>
      <c r="L28" s="40">
        <f t="shared" si="3"/>
        <v>0</v>
      </c>
      <c r="M28" s="40">
        <f t="shared" si="3"/>
        <v>0</v>
      </c>
      <c r="N28" s="40">
        <f t="shared" si="3"/>
        <v>0</v>
      </c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</row>
    <row r="29" spans="1:53" x14ac:dyDescent="0.15">
      <c r="A29" s="37"/>
      <c r="B29" s="43" t="s">
        <v>34</v>
      </c>
      <c r="C29" s="44"/>
      <c r="D29" s="44"/>
      <c r="E29" s="44"/>
      <c r="F29" s="45"/>
      <c r="G29" s="44"/>
      <c r="H29" s="44"/>
      <c r="I29" s="44"/>
      <c r="J29" s="44"/>
      <c r="K29" s="44"/>
      <c r="L29" s="44"/>
      <c r="M29" s="44"/>
      <c r="N29" s="46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</row>
    <row r="30" spans="1:53" x14ac:dyDescent="0.15">
      <c r="A30" s="37"/>
      <c r="B30" s="38" t="s">
        <v>35</v>
      </c>
      <c r="C30" s="40"/>
      <c r="D30" s="40"/>
      <c r="E30" s="40"/>
      <c r="F30" s="41"/>
      <c r="G30" s="40"/>
      <c r="H30" s="40"/>
      <c r="I30" s="40"/>
      <c r="J30" s="40"/>
      <c r="K30" s="40"/>
      <c r="L30" s="40"/>
      <c r="M30" s="40"/>
      <c r="N30" s="42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</row>
    <row r="31" spans="1:53" x14ac:dyDescent="0.15">
      <c r="A31" s="37"/>
      <c r="B31" s="43" t="s">
        <v>36</v>
      </c>
      <c r="C31" s="40"/>
      <c r="D31" s="40"/>
      <c r="E31" s="40"/>
      <c r="F31" s="41"/>
      <c r="G31" s="40"/>
      <c r="H31" s="40"/>
      <c r="I31" s="40"/>
      <c r="J31" s="40"/>
      <c r="K31" s="40"/>
      <c r="L31" s="40"/>
      <c r="M31" s="40"/>
      <c r="N31" s="42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</row>
    <row r="32" spans="1:53" x14ac:dyDescent="0.15">
      <c r="A32" s="37"/>
      <c r="B32" s="38" t="s">
        <v>37</v>
      </c>
      <c r="C32" s="44"/>
      <c r="D32" s="44"/>
      <c r="E32" s="44"/>
      <c r="F32" s="45"/>
      <c r="G32" s="44"/>
      <c r="H32" s="44"/>
      <c r="I32" s="44"/>
      <c r="J32" s="44"/>
      <c r="K32" s="44"/>
      <c r="L32" s="44"/>
      <c r="M32" s="44"/>
      <c r="N32" s="46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</row>
    <row r="33" spans="1:53" x14ac:dyDescent="0.15">
      <c r="A33" s="37"/>
      <c r="B33" s="43" t="s">
        <v>38</v>
      </c>
      <c r="C33" s="40"/>
      <c r="D33" s="40"/>
      <c r="E33" s="40"/>
      <c r="F33" s="41"/>
      <c r="G33" s="40"/>
      <c r="H33" s="40"/>
      <c r="I33" s="40"/>
      <c r="J33" s="40"/>
      <c r="K33" s="40"/>
      <c r="L33" s="40"/>
      <c r="M33" s="40"/>
      <c r="N33" s="42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</row>
    <row r="34" spans="1:53" x14ac:dyDescent="0.15">
      <c r="A34" s="37"/>
      <c r="B34" s="38" t="s">
        <v>39</v>
      </c>
      <c r="C34" s="44"/>
      <c r="D34" s="44"/>
      <c r="E34" s="44"/>
      <c r="F34" s="45"/>
      <c r="G34" s="44"/>
      <c r="H34" s="44"/>
      <c r="I34" s="44"/>
      <c r="J34" s="44"/>
      <c r="K34" s="44"/>
      <c r="L34" s="44"/>
      <c r="M34" s="44"/>
      <c r="N34" s="46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</row>
    <row r="35" spans="1:53" x14ac:dyDescent="0.15">
      <c r="A35" s="37"/>
      <c r="B35" s="43" t="s">
        <v>40</v>
      </c>
      <c r="C35" s="40"/>
      <c r="D35" s="40"/>
      <c r="E35" s="40"/>
      <c r="F35" s="41"/>
      <c r="G35" s="40"/>
      <c r="H35" s="40"/>
      <c r="I35" s="40"/>
      <c r="J35" s="40"/>
      <c r="K35" s="40"/>
      <c r="L35" s="40"/>
      <c r="M35" s="40"/>
      <c r="N35" s="42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</row>
    <row r="36" spans="1:53" x14ac:dyDescent="0.15">
      <c r="A36" s="37"/>
      <c r="B36" s="38" t="s">
        <v>41</v>
      </c>
      <c r="C36" s="44"/>
      <c r="D36" s="44"/>
      <c r="E36" s="44"/>
      <c r="F36" s="45"/>
      <c r="G36" s="44"/>
      <c r="H36" s="44"/>
      <c r="I36" s="44"/>
      <c r="J36" s="44"/>
      <c r="K36" s="44"/>
      <c r="L36" s="44"/>
      <c r="M36" s="44"/>
      <c r="N36" s="46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</row>
    <row r="37" spans="1:53" x14ac:dyDescent="0.15">
      <c r="A37" s="37"/>
      <c r="B37" s="43" t="s">
        <v>42</v>
      </c>
      <c r="C37" s="40"/>
      <c r="D37" s="40"/>
      <c r="E37" s="40"/>
      <c r="F37" s="41"/>
      <c r="G37" s="40"/>
      <c r="H37" s="40"/>
      <c r="I37" s="40"/>
      <c r="J37" s="40"/>
      <c r="K37" s="40"/>
      <c r="L37" s="40"/>
      <c r="M37" s="40"/>
      <c r="N37" s="42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</row>
    <row r="38" spans="1:53" x14ac:dyDescent="0.15">
      <c r="A38" s="37"/>
      <c r="B38" s="38" t="s">
        <v>43</v>
      </c>
      <c r="C38" s="44"/>
      <c r="D38" s="44"/>
      <c r="E38" s="44"/>
      <c r="F38" s="45"/>
      <c r="G38" s="44"/>
      <c r="H38" s="44"/>
      <c r="I38" s="44"/>
      <c r="J38" s="44"/>
      <c r="K38" s="44"/>
      <c r="L38" s="44"/>
      <c r="M38" s="44"/>
      <c r="N38" s="46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</row>
    <row r="39" spans="1:53" x14ac:dyDescent="0.15">
      <c r="A39" s="37"/>
      <c r="B39" s="47" t="s">
        <v>44</v>
      </c>
      <c r="C39" s="40"/>
      <c r="D39" s="40"/>
      <c r="E39" s="40"/>
      <c r="F39" s="41"/>
      <c r="G39" s="40"/>
      <c r="H39" s="40"/>
      <c r="I39" s="40"/>
      <c r="J39" s="40"/>
      <c r="K39" s="40"/>
      <c r="L39" s="40"/>
      <c r="M39" s="40"/>
      <c r="N39" s="42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</row>
    <row r="40" spans="1:53" x14ac:dyDescent="0.15">
      <c r="A40" s="37"/>
      <c r="B40" s="38"/>
      <c r="C40" s="44"/>
      <c r="D40" s="44"/>
      <c r="E40" s="44"/>
      <c r="F40" s="45"/>
      <c r="G40" s="44"/>
      <c r="H40" s="44"/>
      <c r="I40" s="44"/>
      <c r="J40" s="44"/>
      <c r="K40" s="44"/>
      <c r="L40" s="44"/>
      <c r="M40" s="44"/>
      <c r="N40" s="46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</row>
    <row r="41" spans="1:53" ht="19.5" customHeight="1" x14ac:dyDescent="0.15">
      <c r="A41" s="156" t="s">
        <v>45</v>
      </c>
      <c r="B41" s="156"/>
      <c r="C41" s="33" t="s">
        <v>1</v>
      </c>
      <c r="D41" s="34" t="s">
        <v>2</v>
      </c>
      <c r="E41" s="34" t="s">
        <v>3</v>
      </c>
      <c r="F41" s="35" t="s">
        <v>4</v>
      </c>
      <c r="G41" s="34" t="s">
        <v>5</v>
      </c>
      <c r="H41" s="34" t="s">
        <v>6</v>
      </c>
      <c r="I41" s="34" t="s">
        <v>7</v>
      </c>
      <c r="J41" s="34" t="s">
        <v>8</v>
      </c>
      <c r="K41" s="34" t="s">
        <v>9</v>
      </c>
      <c r="L41" s="34" t="s">
        <v>10</v>
      </c>
      <c r="M41" s="34" t="s">
        <v>11</v>
      </c>
      <c r="N41" s="36" t="s">
        <v>12</v>
      </c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</row>
    <row r="42" spans="1:53" x14ac:dyDescent="0.15">
      <c r="A42" s="37"/>
      <c r="B42" s="38" t="s">
        <v>46</v>
      </c>
      <c r="C42" s="39"/>
      <c r="D42" s="40"/>
      <c r="E42" s="40"/>
      <c r="F42" s="41"/>
      <c r="G42" s="40"/>
      <c r="H42" s="40"/>
      <c r="I42" s="40"/>
      <c r="J42" s="40"/>
      <c r="K42" s="40"/>
      <c r="L42" s="40"/>
      <c r="M42" s="40"/>
      <c r="N42" s="42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</row>
    <row r="43" spans="1:53" x14ac:dyDescent="0.15">
      <c r="A43" s="37"/>
      <c r="B43" s="48" t="s">
        <v>47</v>
      </c>
      <c r="C43" s="49"/>
      <c r="D43" s="44"/>
      <c r="E43" s="44"/>
      <c r="F43" s="45"/>
      <c r="G43" s="44"/>
      <c r="H43" s="44"/>
      <c r="I43" s="44"/>
      <c r="J43" s="44"/>
      <c r="K43" s="44"/>
      <c r="L43" s="44"/>
      <c r="M43" s="44"/>
      <c r="N43" s="46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</row>
    <row r="44" spans="1:53" x14ac:dyDescent="0.15">
      <c r="A44" s="37"/>
      <c r="B44" s="38" t="s">
        <v>48</v>
      </c>
      <c r="C44" s="39"/>
      <c r="D44" s="40"/>
      <c r="E44" s="40"/>
      <c r="F44" s="41"/>
      <c r="G44" s="40"/>
      <c r="H44" s="40"/>
      <c r="I44" s="40"/>
      <c r="J44" s="40"/>
      <c r="K44" s="40"/>
      <c r="L44" s="40"/>
      <c r="M44" s="40"/>
      <c r="N44" s="42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</row>
    <row r="45" spans="1:53" x14ac:dyDescent="0.15">
      <c r="A45" s="37"/>
      <c r="B45" s="48" t="s">
        <v>49</v>
      </c>
      <c r="C45" s="49"/>
      <c r="D45" s="44"/>
      <c r="E45" s="44"/>
      <c r="F45" s="45"/>
      <c r="G45" s="44"/>
      <c r="H45" s="44"/>
      <c r="I45" s="44"/>
      <c r="J45" s="44"/>
      <c r="K45" s="44"/>
      <c r="L45" s="44"/>
      <c r="M45" s="44"/>
      <c r="N45" s="46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</row>
    <row r="46" spans="1:53" x14ac:dyDescent="0.15">
      <c r="A46" s="37"/>
      <c r="B46" s="38" t="s">
        <v>50</v>
      </c>
      <c r="C46" s="39"/>
      <c r="D46" s="40"/>
      <c r="E46" s="40"/>
      <c r="F46" s="41"/>
      <c r="G46" s="40"/>
      <c r="H46" s="40"/>
      <c r="I46" s="40"/>
      <c r="J46" s="40"/>
      <c r="K46" s="40"/>
      <c r="L46" s="40"/>
      <c r="M46" s="40"/>
      <c r="N46" s="42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</row>
    <row r="47" spans="1:53" x14ac:dyDescent="0.15">
      <c r="A47" s="37"/>
      <c r="B47" s="48" t="s">
        <v>51</v>
      </c>
      <c r="C47" s="49"/>
      <c r="D47" s="44"/>
      <c r="E47" s="44"/>
      <c r="F47" s="45"/>
      <c r="G47" s="44"/>
      <c r="H47" s="44"/>
      <c r="I47" s="44"/>
      <c r="J47" s="44"/>
      <c r="K47" s="44"/>
      <c r="L47" s="44"/>
      <c r="M47" s="44"/>
      <c r="N47" s="46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</row>
    <row r="48" spans="1:53" x14ac:dyDescent="0.15">
      <c r="A48" s="37"/>
      <c r="B48" s="38" t="s">
        <v>52</v>
      </c>
      <c r="C48" s="39"/>
      <c r="D48" s="40"/>
      <c r="E48" s="40"/>
      <c r="F48" s="41"/>
      <c r="G48" s="40"/>
      <c r="H48" s="40"/>
      <c r="I48" s="40"/>
      <c r="J48" s="40"/>
      <c r="K48" s="40"/>
      <c r="L48" s="40"/>
      <c r="M48" s="40"/>
      <c r="N48" s="42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</row>
    <row r="49" spans="1:53" x14ac:dyDescent="0.15">
      <c r="A49" s="37"/>
      <c r="B49" s="47" t="s">
        <v>53</v>
      </c>
      <c r="C49" s="49"/>
      <c r="D49" s="44"/>
      <c r="E49" s="44"/>
      <c r="F49" s="45"/>
      <c r="G49" s="44"/>
      <c r="H49" s="44"/>
      <c r="I49" s="44"/>
      <c r="J49" s="44"/>
      <c r="K49" s="44"/>
      <c r="L49" s="44"/>
      <c r="M49" s="44"/>
      <c r="N49" s="46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</row>
    <row r="50" spans="1:53" x14ac:dyDescent="0.15">
      <c r="A50" s="37"/>
      <c r="B50" s="50"/>
      <c r="C50" s="39"/>
      <c r="D50" s="40"/>
      <c r="E50" s="40"/>
      <c r="F50" s="41"/>
      <c r="G50" s="40"/>
      <c r="H50" s="40"/>
      <c r="I50" s="40"/>
      <c r="J50" s="40"/>
      <c r="K50" s="40"/>
      <c r="L50" s="40"/>
      <c r="M50" s="40"/>
      <c r="N50" s="42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</row>
    <row r="51" spans="1:53" ht="21" customHeight="1" x14ac:dyDescent="0.15">
      <c r="A51" s="51" t="s">
        <v>54</v>
      </c>
      <c r="B51" s="52"/>
      <c r="C51" s="53">
        <f>SUM(C20:C40)+SUM(C42:C50)</f>
        <v>0</v>
      </c>
      <c r="D51" s="53">
        <f t="shared" ref="D51:N51" si="4">SUM(D20:D40)+SUM(D42:D50)</f>
        <v>0</v>
      </c>
      <c r="E51" s="53">
        <f t="shared" si="4"/>
        <v>0</v>
      </c>
      <c r="F51" s="53">
        <f t="shared" si="4"/>
        <v>0</v>
      </c>
      <c r="G51" s="53">
        <f t="shared" si="4"/>
        <v>0</v>
      </c>
      <c r="H51" s="53">
        <f t="shared" si="4"/>
        <v>0</v>
      </c>
      <c r="I51" s="53">
        <f t="shared" si="4"/>
        <v>0</v>
      </c>
      <c r="J51" s="53">
        <f t="shared" si="4"/>
        <v>0</v>
      </c>
      <c r="K51" s="53">
        <f t="shared" si="4"/>
        <v>0</v>
      </c>
      <c r="L51" s="53">
        <f t="shared" si="4"/>
        <v>0</v>
      </c>
      <c r="M51" s="53">
        <f t="shared" si="4"/>
        <v>0</v>
      </c>
      <c r="N51" s="54">
        <f t="shared" si="4"/>
        <v>0</v>
      </c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</row>
    <row r="52" spans="1:53" x14ac:dyDescent="0.15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</row>
    <row r="53" spans="1:53" x14ac:dyDescent="0.15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</row>
    <row r="54" spans="1:53" ht="19.5" customHeight="1" x14ac:dyDescent="0.15">
      <c r="A54" s="149" t="s">
        <v>55</v>
      </c>
      <c r="B54" s="149"/>
      <c r="C54" s="3" t="s">
        <v>1</v>
      </c>
      <c r="D54" s="4" t="s">
        <v>2</v>
      </c>
      <c r="E54" s="55" t="s">
        <v>3</v>
      </c>
      <c r="F54" s="3" t="s">
        <v>4</v>
      </c>
      <c r="G54" s="3" t="s">
        <v>5</v>
      </c>
      <c r="H54" s="3" t="s">
        <v>6</v>
      </c>
      <c r="I54" s="4" t="s">
        <v>7</v>
      </c>
      <c r="J54" s="3" t="s">
        <v>8</v>
      </c>
      <c r="K54" s="4" t="s">
        <v>9</v>
      </c>
      <c r="L54" s="3" t="s">
        <v>10</v>
      </c>
      <c r="M54" s="4" t="s">
        <v>11</v>
      </c>
      <c r="N54" s="5" t="s">
        <v>12</v>
      </c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</row>
    <row r="55" spans="1:53" s="60" customFormat="1" ht="18.75" customHeight="1" x14ac:dyDescent="0.15">
      <c r="A55" s="56">
        <v>1</v>
      </c>
      <c r="B55" s="57" t="s">
        <v>56</v>
      </c>
      <c r="C55" s="58">
        <f>C6+C16</f>
        <v>0</v>
      </c>
      <c r="D55" s="58">
        <f t="shared" ref="D55:N55" si="5">D6+D16</f>
        <v>0</v>
      </c>
      <c r="E55" s="58">
        <f t="shared" si="5"/>
        <v>0</v>
      </c>
      <c r="F55" s="58">
        <f t="shared" si="5"/>
        <v>0</v>
      </c>
      <c r="G55" s="58">
        <f t="shared" si="5"/>
        <v>0</v>
      </c>
      <c r="H55" s="58">
        <f t="shared" si="5"/>
        <v>0</v>
      </c>
      <c r="I55" s="58">
        <f t="shared" si="5"/>
        <v>0</v>
      </c>
      <c r="J55" s="58">
        <f t="shared" si="5"/>
        <v>0</v>
      </c>
      <c r="K55" s="58">
        <f t="shared" si="5"/>
        <v>0</v>
      </c>
      <c r="L55" s="58">
        <f t="shared" si="5"/>
        <v>0</v>
      </c>
      <c r="M55" s="58">
        <f t="shared" si="5"/>
        <v>0</v>
      </c>
      <c r="N55" s="59">
        <f t="shared" si="5"/>
        <v>0</v>
      </c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1:53" s="65" customFormat="1" ht="22.5" customHeight="1" x14ac:dyDescent="0.15">
      <c r="A56" s="61">
        <v>3</v>
      </c>
      <c r="B56" s="62" t="s">
        <v>57</v>
      </c>
      <c r="C56" s="63">
        <f t="shared" ref="C56:N56" si="6">-C51</f>
        <v>0</v>
      </c>
      <c r="D56" s="63">
        <f t="shared" si="6"/>
        <v>0</v>
      </c>
      <c r="E56" s="63">
        <f t="shared" si="6"/>
        <v>0</v>
      </c>
      <c r="F56" s="63">
        <f t="shared" si="6"/>
        <v>0</v>
      </c>
      <c r="G56" s="63">
        <f t="shared" si="6"/>
        <v>0</v>
      </c>
      <c r="H56" s="63">
        <f t="shared" si="6"/>
        <v>0</v>
      </c>
      <c r="I56" s="63">
        <f t="shared" si="6"/>
        <v>0</v>
      </c>
      <c r="J56" s="63">
        <f t="shared" si="6"/>
        <v>0</v>
      </c>
      <c r="K56" s="63">
        <f t="shared" si="6"/>
        <v>0</v>
      </c>
      <c r="L56" s="63">
        <f t="shared" si="6"/>
        <v>0</v>
      </c>
      <c r="M56" s="63">
        <f t="shared" si="6"/>
        <v>0</v>
      </c>
      <c r="N56" s="64">
        <f t="shared" si="6"/>
        <v>0</v>
      </c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</row>
    <row r="57" spans="1:53" s="70" customFormat="1" ht="19.5" customHeight="1" x14ac:dyDescent="0.15">
      <c r="A57" s="66" t="s">
        <v>58</v>
      </c>
      <c r="B57" s="67"/>
      <c r="C57" s="68">
        <f>SUM(C55:C56)</f>
        <v>0</v>
      </c>
      <c r="D57" s="68">
        <f t="shared" ref="D57:N57" si="7">SUM(D55:D56)</f>
        <v>0</v>
      </c>
      <c r="E57" s="68">
        <f t="shared" si="7"/>
        <v>0</v>
      </c>
      <c r="F57" s="68">
        <f t="shared" si="7"/>
        <v>0</v>
      </c>
      <c r="G57" s="68">
        <f t="shared" si="7"/>
        <v>0</v>
      </c>
      <c r="H57" s="68">
        <f t="shared" si="7"/>
        <v>0</v>
      </c>
      <c r="I57" s="68">
        <f t="shared" si="7"/>
        <v>0</v>
      </c>
      <c r="J57" s="68">
        <f t="shared" si="7"/>
        <v>0</v>
      </c>
      <c r="K57" s="68">
        <f t="shared" si="7"/>
        <v>0</v>
      </c>
      <c r="L57" s="68">
        <f t="shared" si="7"/>
        <v>0</v>
      </c>
      <c r="M57" s="68">
        <f t="shared" si="7"/>
        <v>0</v>
      </c>
      <c r="N57" s="69">
        <f t="shared" si="7"/>
        <v>0</v>
      </c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</row>
    <row r="58" spans="1:53" x14ac:dyDescent="0.15">
      <c r="A58" s="71"/>
      <c r="B58" s="72" t="s">
        <v>59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</row>
    <row r="59" spans="1:53" x14ac:dyDescent="0.15">
      <c r="A59" s="73"/>
      <c r="B59" s="72" t="s">
        <v>60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</row>
    <row r="60" spans="1:53" x14ac:dyDescent="0.15">
      <c r="A60" s="2"/>
      <c r="B60" s="2"/>
      <c r="N60" s="16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</row>
    <row r="61" spans="1:53" x14ac:dyDescent="0.15"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</row>
    <row r="62" spans="1:53" x14ac:dyDescent="0.15"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</row>
    <row r="63" spans="1:53" x14ac:dyDescent="0.15"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</row>
    <row r="64" spans="1:53" x14ac:dyDescent="0.15"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</row>
    <row r="65" spans="15:53" x14ac:dyDescent="0.15"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</row>
    <row r="66" spans="15:53" x14ac:dyDescent="0.15"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</row>
    <row r="67" spans="15:53" x14ac:dyDescent="0.15"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</row>
    <row r="68" spans="15:53" x14ac:dyDescent="0.15"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</row>
    <row r="69" spans="15:53" x14ac:dyDescent="0.15"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</row>
    <row r="70" spans="15:53" x14ac:dyDescent="0.15"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</row>
    <row r="71" spans="15:53" x14ac:dyDescent="0.15"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</row>
    <row r="72" spans="15:53" x14ac:dyDescent="0.15"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</row>
    <row r="73" spans="15:53" x14ac:dyDescent="0.15"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</row>
    <row r="74" spans="15:53" x14ac:dyDescent="0.15"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</row>
    <row r="75" spans="15:53" x14ac:dyDescent="0.15"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</row>
    <row r="76" spans="15:53" x14ac:dyDescent="0.15"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</row>
    <row r="77" spans="15:53" x14ac:dyDescent="0.15"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</row>
    <row r="78" spans="15:53" x14ac:dyDescent="0.15"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</row>
    <row r="79" spans="15:53" x14ac:dyDescent="0.15"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</row>
    <row r="80" spans="15:53" x14ac:dyDescent="0.15"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</row>
    <row r="81" spans="15:53" x14ac:dyDescent="0.15"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</row>
    <row r="82" spans="15:53" x14ac:dyDescent="0.15"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</row>
    <row r="83" spans="15:53" x14ac:dyDescent="0.15"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</row>
    <row r="84" spans="15:53" x14ac:dyDescent="0.15"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</row>
    <row r="85" spans="15:53" x14ac:dyDescent="0.15"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</row>
    <row r="86" spans="15:53" x14ac:dyDescent="0.15"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</row>
    <row r="87" spans="15:53" x14ac:dyDescent="0.15"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</row>
    <row r="88" spans="15:53" x14ac:dyDescent="0.15"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</row>
    <row r="89" spans="15:53" x14ac:dyDescent="0.15"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</row>
    <row r="90" spans="15:53" x14ac:dyDescent="0.15"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1"/>
      <c r="BA90" s="151"/>
    </row>
    <row r="91" spans="15:53" x14ac:dyDescent="0.15"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</row>
    <row r="92" spans="15:53" x14ac:dyDescent="0.15"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</row>
    <row r="93" spans="15:53" x14ac:dyDescent="0.15"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</row>
    <row r="94" spans="15:53" x14ac:dyDescent="0.15"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</row>
    <row r="95" spans="15:53" x14ac:dyDescent="0.15"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</row>
    <row r="96" spans="15:53" x14ac:dyDescent="0.15"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</row>
    <row r="97" spans="15:53" x14ac:dyDescent="0.15"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</row>
    <row r="98" spans="15:53" x14ac:dyDescent="0.15"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</row>
    <row r="99" spans="15:53" x14ac:dyDescent="0.15"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</row>
    <row r="100" spans="15:53" x14ac:dyDescent="0.15"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</row>
    <row r="101" spans="15:53" x14ac:dyDescent="0.15"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</row>
    <row r="102" spans="15:53" x14ac:dyDescent="0.15"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</row>
    <row r="103" spans="15:53" x14ac:dyDescent="0.15"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</row>
    <row r="104" spans="15:53" x14ac:dyDescent="0.15"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</row>
    <row r="105" spans="15:53" x14ac:dyDescent="0.15"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</row>
    <row r="106" spans="15:53" x14ac:dyDescent="0.15"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</row>
    <row r="107" spans="15:53" x14ac:dyDescent="0.15"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</row>
    <row r="108" spans="15:53" x14ac:dyDescent="0.15"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</row>
    <row r="109" spans="15:53" x14ac:dyDescent="0.15"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</row>
    <row r="110" spans="15:53" x14ac:dyDescent="0.15"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</row>
    <row r="111" spans="15:53" x14ac:dyDescent="0.15"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</row>
    <row r="112" spans="15:53" x14ac:dyDescent="0.15"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</row>
    <row r="113" spans="15:53" x14ac:dyDescent="0.15"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</row>
    <row r="114" spans="15:53" x14ac:dyDescent="0.15"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</row>
    <row r="115" spans="15:53" x14ac:dyDescent="0.15"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</row>
    <row r="116" spans="15:53" x14ac:dyDescent="0.15"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</row>
    <row r="117" spans="15:53" x14ac:dyDescent="0.15"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</row>
    <row r="118" spans="15:53" x14ac:dyDescent="0.15"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</row>
    <row r="119" spans="15:53" x14ac:dyDescent="0.15"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</row>
    <row r="120" spans="15:53" x14ac:dyDescent="0.15"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</row>
    <row r="121" spans="15:53" x14ac:dyDescent="0.15"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</row>
    <row r="122" spans="15:53" x14ac:dyDescent="0.15"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</row>
    <row r="123" spans="15:53" x14ac:dyDescent="0.15"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</row>
    <row r="124" spans="15:53" x14ac:dyDescent="0.15"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</row>
    <row r="125" spans="15:53" x14ac:dyDescent="0.15"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</row>
    <row r="126" spans="15:53" x14ac:dyDescent="0.15"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</row>
    <row r="127" spans="15:53" x14ac:dyDescent="0.15"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</row>
    <row r="128" spans="15:53" x14ac:dyDescent="0.15"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</row>
    <row r="129" spans="15:53" x14ac:dyDescent="0.15"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</row>
    <row r="130" spans="15:53" x14ac:dyDescent="0.15"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</row>
    <row r="131" spans="15:53" x14ac:dyDescent="0.15"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</row>
    <row r="132" spans="15:53" x14ac:dyDescent="0.15"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</row>
    <row r="133" spans="15:53" x14ac:dyDescent="0.15"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</row>
    <row r="134" spans="15:53" x14ac:dyDescent="0.15"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</row>
    <row r="135" spans="15:53" x14ac:dyDescent="0.15"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</row>
    <row r="136" spans="15:53" x14ac:dyDescent="0.15"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</row>
    <row r="137" spans="15:53" x14ac:dyDescent="0.15"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</row>
    <row r="138" spans="15:53" x14ac:dyDescent="0.15"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</row>
    <row r="139" spans="15:53" x14ac:dyDescent="0.15"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</row>
    <row r="140" spans="15:53" x14ac:dyDescent="0.15"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</row>
    <row r="141" spans="15:53" x14ac:dyDescent="0.15"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</row>
    <row r="142" spans="15:53" x14ac:dyDescent="0.15"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</row>
    <row r="143" spans="15:53" x14ac:dyDescent="0.15"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</row>
    <row r="144" spans="15:53" x14ac:dyDescent="0.15"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</row>
    <row r="145" spans="15:53" x14ac:dyDescent="0.15"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</row>
    <row r="146" spans="15:53" x14ac:dyDescent="0.15"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</row>
    <row r="147" spans="15:53" x14ac:dyDescent="0.15"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</row>
    <row r="148" spans="15:53" x14ac:dyDescent="0.15"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</row>
    <row r="149" spans="15:53" x14ac:dyDescent="0.15"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</row>
    <row r="150" spans="15:53" x14ac:dyDescent="0.15"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</row>
    <row r="151" spans="15:53" x14ac:dyDescent="0.15"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</row>
    <row r="152" spans="15:53" x14ac:dyDescent="0.15"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</row>
    <row r="153" spans="15:53" x14ac:dyDescent="0.15"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</row>
    <row r="154" spans="15:53" x14ac:dyDescent="0.15"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</row>
    <row r="155" spans="15:53" x14ac:dyDescent="0.15"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</row>
    <row r="156" spans="15:53" x14ac:dyDescent="0.15"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</row>
  </sheetData>
  <sheetProtection password="C7BC" sheet="1"/>
  <mergeCells count="12">
    <mergeCell ref="A52:N53"/>
    <mergeCell ref="A54:B54"/>
    <mergeCell ref="A1:N2"/>
    <mergeCell ref="O1:BA156"/>
    <mergeCell ref="A3:B3"/>
    <mergeCell ref="C3:N3"/>
    <mergeCell ref="A4:B4"/>
    <mergeCell ref="A8:B9"/>
    <mergeCell ref="A18:B18"/>
    <mergeCell ref="C18:N18"/>
    <mergeCell ref="A19:B19"/>
    <mergeCell ref="A41:B41"/>
  </mergeCell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51"/>
  <sheetViews>
    <sheetView topLeftCell="A40" workbookViewId="0" xr3:uid="{958C4451-9541-5A59-BF78-D2F731DF1C81}">
      <selection activeCell="F51" sqref="F51"/>
    </sheetView>
  </sheetViews>
  <sheetFormatPr defaultColWidth="9.16796875" defaultRowHeight="11.25" x14ac:dyDescent="0.15"/>
  <cols>
    <col min="1" max="1" width="2.6953125" style="1" customWidth="1"/>
    <col min="2" max="2" width="51.109375" style="1" customWidth="1"/>
    <col min="3" max="3" width="11.32421875" style="2" customWidth="1"/>
    <col min="4" max="4" width="10.3828125" style="2" customWidth="1"/>
    <col min="5" max="5" width="9.84375" style="2" customWidth="1"/>
    <col min="6" max="6" width="9.57421875" style="2" customWidth="1"/>
    <col min="7" max="7" width="10.11328125" style="2" customWidth="1"/>
    <col min="8" max="8" width="9.57421875" style="2" customWidth="1"/>
    <col min="9" max="11" width="9.4375" style="2" customWidth="1"/>
    <col min="12" max="12" width="8.62890625" style="2" customWidth="1"/>
    <col min="13" max="13" width="10.3828125" style="2" customWidth="1"/>
    <col min="14" max="14" width="9.70703125" style="2" customWidth="1"/>
    <col min="15" max="16384" width="9.16796875" style="1"/>
  </cols>
  <sheetData>
    <row r="1" spans="1:53" ht="48.75" customHeight="1" x14ac:dyDescent="0.15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</row>
    <row r="2" spans="1:53" ht="2.25" customHeight="1" x14ac:dyDescent="0.1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</row>
    <row r="3" spans="1:53" ht="18" hidden="1" customHeight="1" x14ac:dyDescent="0.1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</row>
    <row r="4" spans="1:53" ht="18" customHeight="1" x14ac:dyDescent="0.15">
      <c r="A4" s="153"/>
      <c r="B4" s="153"/>
      <c r="C4" s="3" t="s">
        <v>1</v>
      </c>
      <c r="D4" s="3" t="s">
        <v>2</v>
      </c>
      <c r="E4" s="4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4" t="s">
        <v>11</v>
      </c>
      <c r="N4" s="5" t="s">
        <v>12</v>
      </c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</row>
    <row r="5" spans="1:53" ht="18" customHeight="1" x14ac:dyDescent="0.15">
      <c r="A5" s="7"/>
      <c r="B5" s="8" t="s">
        <v>13</v>
      </c>
      <c r="C5" s="9"/>
      <c r="D5" s="10">
        <f>C6</f>
        <v>0</v>
      </c>
      <c r="E5" s="10">
        <f t="shared" ref="E5:N5" si="0">D6</f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1">
        <f t="shared" si="0"/>
        <v>0</v>
      </c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</row>
    <row r="6" spans="1:53" ht="18" customHeight="1" x14ac:dyDescent="0.15">
      <c r="A6" s="12" t="s">
        <v>14</v>
      </c>
      <c r="B6" s="13"/>
      <c r="C6" s="14">
        <f t="shared" ref="C6:N6" si="1">SUM(C5:C5)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4">
        <f t="shared" si="1"/>
        <v>0</v>
      </c>
      <c r="I6" s="14">
        <f t="shared" si="1"/>
        <v>0</v>
      </c>
      <c r="J6" s="14">
        <f t="shared" si="1"/>
        <v>0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5">
        <f t="shared" si="1"/>
        <v>0</v>
      </c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</row>
    <row r="7" spans="1:53" ht="18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</row>
    <row r="8" spans="1:53" ht="17.25" customHeight="1" x14ac:dyDescent="0.15">
      <c r="A8" s="153" t="s">
        <v>15</v>
      </c>
      <c r="B8" s="15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</row>
    <row r="9" spans="1:53" ht="16.5" customHeight="1" x14ac:dyDescent="0.15">
      <c r="A9" s="153"/>
      <c r="B9" s="153"/>
      <c r="C9" s="19" t="s">
        <v>1</v>
      </c>
      <c r="D9" s="19" t="s">
        <v>2</v>
      </c>
      <c r="E9" s="20" t="s">
        <v>3</v>
      </c>
      <c r="F9" s="19" t="s">
        <v>4</v>
      </c>
      <c r="G9" s="19" t="s">
        <v>5</v>
      </c>
      <c r="H9" s="19" t="s">
        <v>6</v>
      </c>
      <c r="I9" s="19" t="s">
        <v>7</v>
      </c>
      <c r="J9" s="19" t="s">
        <v>8</v>
      </c>
      <c r="K9" s="19" t="s">
        <v>9</v>
      </c>
      <c r="L9" s="19" t="s">
        <v>10</v>
      </c>
      <c r="M9" s="20" t="s">
        <v>11</v>
      </c>
      <c r="N9" s="21" t="s">
        <v>12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</row>
    <row r="10" spans="1:53" ht="12.75" x14ac:dyDescent="0.15">
      <c r="A10" s="7"/>
      <c r="B10" s="8" t="s">
        <v>61</v>
      </c>
      <c r="C10" s="9"/>
      <c r="D10" s="10"/>
      <c r="E10" s="10"/>
      <c r="F10" s="10"/>
      <c r="G10" s="10"/>
      <c r="H10" s="10"/>
      <c r="I10" s="10"/>
      <c r="J10" s="9"/>
      <c r="K10" s="10"/>
      <c r="L10" s="9"/>
      <c r="M10" s="10"/>
      <c r="N10" s="1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</row>
    <row r="11" spans="1:53" ht="12.75" x14ac:dyDescent="0.15">
      <c r="A11" s="7"/>
      <c r="B11" s="22" t="s">
        <v>62</v>
      </c>
      <c r="C11" s="23"/>
      <c r="D11" s="24"/>
      <c r="E11" s="24"/>
      <c r="F11" s="24"/>
      <c r="G11" s="24"/>
      <c r="H11" s="24"/>
      <c r="I11" s="24"/>
      <c r="J11" s="23"/>
      <c r="K11" s="24"/>
      <c r="L11" s="23"/>
      <c r="M11" s="24"/>
      <c r="N11" s="25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</row>
    <row r="12" spans="1:53" ht="12.75" x14ac:dyDescent="0.15">
      <c r="A12" s="7"/>
      <c r="B12" s="22" t="s">
        <v>19</v>
      </c>
      <c r="C12" s="23"/>
      <c r="D12" s="24"/>
      <c r="E12" s="24"/>
      <c r="F12" s="24"/>
      <c r="G12" s="24"/>
      <c r="H12" s="24"/>
      <c r="I12" s="24"/>
      <c r="J12" s="23"/>
      <c r="K12" s="24"/>
      <c r="L12" s="23"/>
      <c r="M12" s="24"/>
      <c r="N12" s="25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</row>
    <row r="13" spans="1:53" ht="12.75" x14ac:dyDescent="0.15">
      <c r="A13" s="7"/>
      <c r="B13" s="8" t="s">
        <v>20</v>
      </c>
      <c r="C13" s="9">
        <f>'Banco Conta Corrente'!C20+'Banco Conta Corrente'!C21+'Banco Conta Corrente'!C22</f>
        <v>0</v>
      </c>
      <c r="D13" s="9">
        <f>'Banco Conta Corrente'!D20+'Banco Conta Corrente'!D21+'Banco Conta Corrente'!D22</f>
        <v>0</v>
      </c>
      <c r="E13" s="9">
        <f>'Banco Conta Corrente'!E20+'Banco Conta Corrente'!E21+'Banco Conta Corrente'!E22</f>
        <v>0</v>
      </c>
      <c r="F13" s="9">
        <f>'Banco Conta Corrente'!F20+'Banco Conta Corrente'!F21+'Banco Conta Corrente'!F22</f>
        <v>0</v>
      </c>
      <c r="G13" s="9">
        <f>'Banco Conta Corrente'!G20+'Banco Conta Corrente'!G21+'Banco Conta Corrente'!G22</f>
        <v>0</v>
      </c>
      <c r="H13" s="9">
        <f>'Banco Conta Corrente'!H20+'Banco Conta Corrente'!H21+'Banco Conta Corrente'!H22</f>
        <v>0</v>
      </c>
      <c r="I13" s="9">
        <f>'Banco Conta Corrente'!I20+'Banco Conta Corrente'!I21+'Banco Conta Corrente'!I22</f>
        <v>0</v>
      </c>
      <c r="J13" s="9">
        <f>'Banco Conta Corrente'!J20+'Banco Conta Corrente'!J21+'Banco Conta Corrente'!J22</f>
        <v>0</v>
      </c>
      <c r="K13" s="9">
        <f>'Banco Conta Corrente'!K20+'Banco Conta Corrente'!K21+'Banco Conta Corrente'!K22</f>
        <v>0</v>
      </c>
      <c r="L13" s="9">
        <f>'Banco Conta Corrente'!L20+'Banco Conta Corrente'!L21+'Banco Conta Corrente'!L22</f>
        <v>0</v>
      </c>
      <c r="M13" s="9">
        <f>'Banco Conta Corrente'!M20+'Banco Conta Corrente'!M21+'Banco Conta Corrente'!M22</f>
        <v>0</v>
      </c>
      <c r="N13" s="26">
        <f>'Banco Conta Corrente'!N20+'Banco Conta Corrente'!N21+'Banco Conta Corrente'!N22</f>
        <v>0</v>
      </c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</row>
    <row r="14" spans="1:53" ht="12.75" x14ac:dyDescent="0.15">
      <c r="A14" s="7"/>
      <c r="B14" s="22" t="s">
        <v>21</v>
      </c>
      <c r="C14" s="27">
        <f>'Poupança-Investimento'!C20</f>
        <v>0</v>
      </c>
      <c r="D14" s="27">
        <f>'Poupança-Investimento'!D20</f>
        <v>0</v>
      </c>
      <c r="E14" s="27">
        <f>'Poupança-Investimento'!E20</f>
        <v>0</v>
      </c>
      <c r="F14" s="27">
        <f>'Poupança-Investimento'!F20</f>
        <v>0</v>
      </c>
      <c r="G14" s="27">
        <f>'Poupança-Investimento'!G20</f>
        <v>0</v>
      </c>
      <c r="H14" s="27">
        <f>'Poupança-Investimento'!H20</f>
        <v>0</v>
      </c>
      <c r="I14" s="27">
        <f>'Poupança-Investimento'!I20</f>
        <v>0</v>
      </c>
      <c r="J14" s="27">
        <f>'Poupança-Investimento'!J20</f>
        <v>0</v>
      </c>
      <c r="K14" s="27">
        <f>'Poupança-Investimento'!K20</f>
        <v>0</v>
      </c>
      <c r="L14" s="27">
        <f>'Poupança-Investimento'!L20</f>
        <v>0</v>
      </c>
      <c r="M14" s="27">
        <f>'Poupança-Investimento'!M20</f>
        <v>0</v>
      </c>
      <c r="N14" s="28">
        <f>'Poupança-Investimento'!N20</f>
        <v>0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</row>
    <row r="15" spans="1:53" ht="19.5" customHeight="1" x14ac:dyDescent="0.15">
      <c r="A15" s="12" t="s">
        <v>22</v>
      </c>
      <c r="B15" s="13"/>
      <c r="C15" s="14">
        <f t="shared" ref="C15:N15" si="2">SUM(C10:C14)</f>
        <v>0</v>
      </c>
      <c r="D15" s="14">
        <f t="shared" si="2"/>
        <v>0</v>
      </c>
      <c r="E15" s="14">
        <f t="shared" si="2"/>
        <v>0</v>
      </c>
      <c r="F15" s="14">
        <f t="shared" si="2"/>
        <v>0</v>
      </c>
      <c r="G15" s="14">
        <f t="shared" si="2"/>
        <v>0</v>
      </c>
      <c r="H15" s="14">
        <f t="shared" si="2"/>
        <v>0</v>
      </c>
      <c r="I15" s="14">
        <f t="shared" si="2"/>
        <v>0</v>
      </c>
      <c r="J15" s="14">
        <f t="shared" si="2"/>
        <v>0</v>
      </c>
      <c r="K15" s="14">
        <f t="shared" si="2"/>
        <v>0</v>
      </c>
      <c r="L15" s="14">
        <f t="shared" si="2"/>
        <v>0</v>
      </c>
      <c r="M15" s="14">
        <f t="shared" si="2"/>
        <v>0</v>
      </c>
      <c r="N15" s="15">
        <f t="shared" si="2"/>
        <v>0</v>
      </c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</row>
    <row r="16" spans="1:53" s="32" customFormat="1" ht="19.5" customHeight="1" x14ac:dyDescent="0.15">
      <c r="A16" s="29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</row>
    <row r="17" spans="1:53" ht="30.75" customHeight="1" x14ac:dyDescent="0.15">
      <c r="A17" s="154" t="s">
        <v>23</v>
      </c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</row>
    <row r="18" spans="1:53" ht="18" customHeight="1" x14ac:dyDescent="0.15">
      <c r="A18" s="156" t="s">
        <v>24</v>
      </c>
      <c r="B18" s="156"/>
      <c r="C18" s="33" t="s">
        <v>1</v>
      </c>
      <c r="D18" s="34" t="s">
        <v>2</v>
      </c>
      <c r="E18" s="34" t="s">
        <v>3</v>
      </c>
      <c r="F18" s="35" t="s">
        <v>4</v>
      </c>
      <c r="G18" s="34" t="s">
        <v>5</v>
      </c>
      <c r="H18" s="34" t="s">
        <v>6</v>
      </c>
      <c r="I18" s="34" t="s">
        <v>7</v>
      </c>
      <c r="J18" s="34" t="s">
        <v>8</v>
      </c>
      <c r="K18" s="34" t="s">
        <v>9</v>
      </c>
      <c r="L18" s="34" t="s">
        <v>10</v>
      </c>
      <c r="M18" s="34" t="s">
        <v>11</v>
      </c>
      <c r="N18" s="36" t="s">
        <v>12</v>
      </c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</row>
    <row r="19" spans="1:53" ht="12.75" x14ac:dyDescent="0.15">
      <c r="A19" s="37"/>
      <c r="B19" s="38" t="s">
        <v>63</v>
      </c>
      <c r="C19" s="39"/>
      <c r="D19" s="40"/>
      <c r="E19" s="40"/>
      <c r="F19" s="41"/>
      <c r="G19" s="40"/>
      <c r="H19" s="40"/>
      <c r="I19" s="40"/>
      <c r="J19" s="40"/>
      <c r="K19" s="40"/>
      <c r="L19" s="40"/>
      <c r="M19" s="40"/>
      <c r="N19" s="42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</row>
    <row r="20" spans="1:53" ht="12.75" x14ac:dyDescent="0.15">
      <c r="A20" s="37"/>
      <c r="B20" s="43" t="s">
        <v>64</v>
      </c>
      <c r="C20" s="44"/>
      <c r="D20" s="44"/>
      <c r="E20" s="44"/>
      <c r="F20" s="45"/>
      <c r="G20" s="44"/>
      <c r="H20" s="44"/>
      <c r="I20" s="44"/>
      <c r="J20" s="44"/>
      <c r="K20" s="44"/>
      <c r="L20" s="44"/>
      <c r="M20" s="44"/>
      <c r="N20" s="46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</row>
    <row r="21" spans="1:53" ht="12.75" x14ac:dyDescent="0.15">
      <c r="A21" s="37"/>
      <c r="B21" s="38" t="s">
        <v>65</v>
      </c>
      <c r="C21" s="40"/>
      <c r="D21" s="40"/>
      <c r="E21" s="40"/>
      <c r="F21" s="41"/>
      <c r="G21" s="40"/>
      <c r="H21" s="40"/>
      <c r="I21" s="40"/>
      <c r="J21" s="40"/>
      <c r="K21" s="40"/>
      <c r="L21" s="40"/>
      <c r="M21" s="40"/>
      <c r="N21" s="42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</row>
    <row r="22" spans="1:53" ht="12.75" x14ac:dyDescent="0.15">
      <c r="A22" s="37"/>
      <c r="B22" s="43" t="s">
        <v>28</v>
      </c>
      <c r="C22" s="44"/>
      <c r="D22" s="44"/>
      <c r="E22" s="44"/>
      <c r="F22" s="45"/>
      <c r="G22" s="44"/>
      <c r="H22" s="44"/>
      <c r="I22" s="44"/>
      <c r="J22" s="44"/>
      <c r="K22" s="44"/>
      <c r="L22" s="44"/>
      <c r="M22" s="44"/>
      <c r="N22" s="46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</row>
    <row r="23" spans="1:53" ht="12.75" x14ac:dyDescent="0.15">
      <c r="A23" s="37"/>
      <c r="B23" s="38" t="s">
        <v>66</v>
      </c>
      <c r="C23" s="40"/>
      <c r="D23" s="40"/>
      <c r="E23" s="40"/>
      <c r="F23" s="41"/>
      <c r="G23" s="40"/>
      <c r="H23" s="40"/>
      <c r="I23" s="40"/>
      <c r="J23" s="40"/>
      <c r="K23" s="40"/>
      <c r="L23" s="40"/>
      <c r="M23" s="40"/>
      <c r="N23" s="42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</row>
    <row r="24" spans="1:53" ht="12.75" x14ac:dyDescent="0.15">
      <c r="A24" s="37"/>
      <c r="B24" s="43" t="s">
        <v>29</v>
      </c>
      <c r="C24" s="44"/>
      <c r="D24" s="44"/>
      <c r="E24" s="44"/>
      <c r="F24" s="45"/>
      <c r="G24" s="44"/>
      <c r="H24" s="44"/>
      <c r="I24" s="44"/>
      <c r="J24" s="44"/>
      <c r="K24" s="44"/>
      <c r="L24" s="44"/>
      <c r="M24" s="44"/>
      <c r="N24" s="46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</row>
    <row r="25" spans="1:53" ht="12.75" x14ac:dyDescent="0.15">
      <c r="A25" s="37"/>
      <c r="B25" s="38" t="s">
        <v>33</v>
      </c>
      <c r="C25" s="40">
        <f t="shared" ref="C25:N25" si="3">(C10+C11+C12)*10%</f>
        <v>0</v>
      </c>
      <c r="D25" s="40">
        <f t="shared" si="3"/>
        <v>0</v>
      </c>
      <c r="E25" s="40">
        <f t="shared" si="3"/>
        <v>0</v>
      </c>
      <c r="F25" s="40">
        <f t="shared" si="3"/>
        <v>0</v>
      </c>
      <c r="G25" s="40">
        <f t="shared" si="3"/>
        <v>0</v>
      </c>
      <c r="H25" s="40">
        <f t="shared" si="3"/>
        <v>0</v>
      </c>
      <c r="I25" s="40">
        <f t="shared" si="3"/>
        <v>0</v>
      </c>
      <c r="J25" s="40">
        <f t="shared" si="3"/>
        <v>0</v>
      </c>
      <c r="K25" s="40">
        <f t="shared" si="3"/>
        <v>0</v>
      </c>
      <c r="L25" s="40">
        <f t="shared" si="3"/>
        <v>0</v>
      </c>
      <c r="M25" s="40">
        <f t="shared" si="3"/>
        <v>0</v>
      </c>
      <c r="N25" s="40">
        <f t="shared" si="3"/>
        <v>0</v>
      </c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</row>
    <row r="26" spans="1:53" ht="12.75" x14ac:dyDescent="0.15">
      <c r="A26" s="37"/>
      <c r="B26" s="43" t="s">
        <v>34</v>
      </c>
      <c r="C26" s="44"/>
      <c r="D26" s="44"/>
      <c r="E26" s="44"/>
      <c r="F26" s="45"/>
      <c r="G26" s="44"/>
      <c r="H26" s="44"/>
      <c r="I26" s="44"/>
      <c r="J26" s="44"/>
      <c r="K26" s="44"/>
      <c r="L26" s="44"/>
      <c r="M26" s="44"/>
      <c r="N26" s="46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</row>
    <row r="27" spans="1:53" ht="12.75" x14ac:dyDescent="0.15">
      <c r="A27" s="37"/>
      <c r="B27" s="38" t="s">
        <v>35</v>
      </c>
      <c r="C27" s="40"/>
      <c r="D27" s="40"/>
      <c r="E27" s="40"/>
      <c r="F27" s="41"/>
      <c r="G27" s="40"/>
      <c r="H27" s="40"/>
      <c r="I27" s="40"/>
      <c r="J27" s="40"/>
      <c r="K27" s="40"/>
      <c r="L27" s="40"/>
      <c r="M27" s="40"/>
      <c r="N27" s="42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</row>
    <row r="28" spans="1:53" ht="12.75" x14ac:dyDescent="0.15">
      <c r="A28" s="37"/>
      <c r="B28" s="43" t="s">
        <v>36</v>
      </c>
      <c r="C28" s="40"/>
      <c r="D28" s="40"/>
      <c r="E28" s="40"/>
      <c r="F28" s="41"/>
      <c r="G28" s="40"/>
      <c r="H28" s="40"/>
      <c r="I28" s="40"/>
      <c r="J28" s="40"/>
      <c r="K28" s="40"/>
      <c r="L28" s="40"/>
      <c r="M28" s="40"/>
      <c r="N28" s="42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</row>
    <row r="29" spans="1:53" ht="12.75" x14ac:dyDescent="0.15">
      <c r="A29" s="37"/>
      <c r="B29" s="38" t="s">
        <v>67</v>
      </c>
      <c r="C29" s="44"/>
      <c r="D29" s="44"/>
      <c r="E29" s="44"/>
      <c r="F29" s="45"/>
      <c r="G29" s="44"/>
      <c r="H29" s="44"/>
      <c r="I29" s="44"/>
      <c r="J29" s="44"/>
      <c r="K29" s="44"/>
      <c r="L29" s="44"/>
      <c r="M29" s="44"/>
      <c r="N29" s="46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</row>
    <row r="30" spans="1:53" ht="12.75" x14ac:dyDescent="0.15">
      <c r="A30" s="37"/>
      <c r="B30" s="43" t="s">
        <v>68</v>
      </c>
      <c r="C30" s="40"/>
      <c r="D30" s="40"/>
      <c r="E30" s="40"/>
      <c r="F30" s="41"/>
      <c r="G30" s="40"/>
      <c r="H30" s="40"/>
      <c r="I30" s="40"/>
      <c r="J30" s="40"/>
      <c r="K30" s="40"/>
      <c r="L30" s="40"/>
      <c r="M30" s="40"/>
      <c r="N30" s="42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</row>
    <row r="31" spans="1:53" ht="12.75" x14ac:dyDescent="0.15">
      <c r="A31" s="37"/>
      <c r="B31" s="38" t="s">
        <v>38</v>
      </c>
      <c r="C31" s="44"/>
      <c r="D31" s="44"/>
      <c r="E31" s="44"/>
      <c r="F31" s="45"/>
      <c r="G31" s="44"/>
      <c r="H31" s="44"/>
      <c r="I31" s="44"/>
      <c r="J31" s="44"/>
      <c r="K31" s="44"/>
      <c r="L31" s="44"/>
      <c r="M31" s="44"/>
      <c r="N31" s="46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</row>
    <row r="32" spans="1:53" ht="12.75" x14ac:dyDescent="0.15">
      <c r="A32" s="37"/>
      <c r="B32" s="43" t="s">
        <v>39</v>
      </c>
      <c r="C32" s="40"/>
      <c r="D32" s="40"/>
      <c r="E32" s="40"/>
      <c r="F32" s="41"/>
      <c r="G32" s="40"/>
      <c r="H32" s="40"/>
      <c r="I32" s="40"/>
      <c r="J32" s="40"/>
      <c r="K32" s="40"/>
      <c r="L32" s="40"/>
      <c r="M32" s="40"/>
      <c r="N32" s="42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</row>
    <row r="33" spans="1:53" ht="12.75" x14ac:dyDescent="0.15">
      <c r="A33" s="37"/>
      <c r="B33" s="38" t="s">
        <v>40</v>
      </c>
      <c r="C33" s="44"/>
      <c r="D33" s="44"/>
      <c r="E33" s="44"/>
      <c r="F33" s="45"/>
      <c r="G33" s="44"/>
      <c r="H33" s="44"/>
      <c r="I33" s="44"/>
      <c r="J33" s="44"/>
      <c r="K33" s="44"/>
      <c r="L33" s="44"/>
      <c r="M33" s="44"/>
      <c r="N33" s="46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</row>
    <row r="34" spans="1:53" ht="12.75" x14ac:dyDescent="0.15">
      <c r="A34" s="37"/>
      <c r="B34" s="47" t="s">
        <v>41</v>
      </c>
      <c r="C34" s="40"/>
      <c r="D34" s="40"/>
      <c r="E34" s="40"/>
      <c r="F34" s="41"/>
      <c r="G34" s="40"/>
      <c r="H34" s="40"/>
      <c r="I34" s="40"/>
      <c r="J34" s="40"/>
      <c r="K34" s="40"/>
      <c r="L34" s="40"/>
      <c r="M34" s="40"/>
      <c r="N34" s="42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</row>
    <row r="35" spans="1:53" ht="12.75" x14ac:dyDescent="0.15">
      <c r="A35" s="37"/>
      <c r="B35" s="38"/>
      <c r="C35" s="44"/>
      <c r="D35" s="44"/>
      <c r="E35" s="44"/>
      <c r="F35" s="45"/>
      <c r="G35" s="44"/>
      <c r="H35" s="44"/>
      <c r="I35" s="44"/>
      <c r="J35" s="44"/>
      <c r="K35" s="44"/>
      <c r="L35" s="44"/>
      <c r="M35" s="44"/>
      <c r="N35" s="46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</row>
    <row r="36" spans="1:53" ht="19.5" customHeight="1" x14ac:dyDescent="0.15">
      <c r="A36" s="156" t="s">
        <v>45</v>
      </c>
      <c r="B36" s="156"/>
      <c r="C36" s="33" t="s">
        <v>1</v>
      </c>
      <c r="D36" s="34" t="s">
        <v>2</v>
      </c>
      <c r="E36" s="34" t="s">
        <v>3</v>
      </c>
      <c r="F36" s="35" t="s">
        <v>4</v>
      </c>
      <c r="G36" s="34" t="s">
        <v>5</v>
      </c>
      <c r="H36" s="34" t="s">
        <v>6</v>
      </c>
      <c r="I36" s="34" t="s">
        <v>7</v>
      </c>
      <c r="J36" s="34" t="s">
        <v>8</v>
      </c>
      <c r="K36" s="34" t="s">
        <v>9</v>
      </c>
      <c r="L36" s="34" t="s">
        <v>10</v>
      </c>
      <c r="M36" s="34" t="s">
        <v>11</v>
      </c>
      <c r="N36" s="36" t="s">
        <v>12</v>
      </c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</row>
    <row r="37" spans="1:53" ht="12.75" x14ac:dyDescent="0.15">
      <c r="A37" s="37"/>
      <c r="B37" s="38" t="s">
        <v>46</v>
      </c>
      <c r="C37" s="39"/>
      <c r="D37" s="40"/>
      <c r="E37" s="40"/>
      <c r="F37" s="41"/>
      <c r="G37" s="40"/>
      <c r="H37" s="40"/>
      <c r="I37" s="40"/>
      <c r="J37" s="40"/>
      <c r="K37" s="40"/>
      <c r="L37" s="40"/>
      <c r="M37" s="40"/>
      <c r="N37" s="42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</row>
    <row r="38" spans="1:53" ht="12.75" x14ac:dyDescent="0.15">
      <c r="A38" s="37"/>
      <c r="B38" s="48" t="s">
        <v>47</v>
      </c>
      <c r="C38" s="49"/>
      <c r="D38" s="44"/>
      <c r="E38" s="44"/>
      <c r="F38" s="45"/>
      <c r="G38" s="44"/>
      <c r="H38" s="44"/>
      <c r="I38" s="44"/>
      <c r="J38" s="44"/>
      <c r="K38" s="44"/>
      <c r="L38" s="44"/>
      <c r="M38" s="44"/>
      <c r="N38" s="46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</row>
    <row r="39" spans="1:53" ht="12.75" x14ac:dyDescent="0.15">
      <c r="A39" s="37"/>
      <c r="B39" s="38" t="s">
        <v>48</v>
      </c>
      <c r="C39" s="39"/>
      <c r="D39" s="40"/>
      <c r="E39" s="40"/>
      <c r="F39" s="41"/>
      <c r="G39" s="40"/>
      <c r="H39" s="40"/>
      <c r="I39" s="40"/>
      <c r="J39" s="40"/>
      <c r="K39" s="40"/>
      <c r="L39" s="40"/>
      <c r="M39" s="40"/>
      <c r="N39" s="42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</row>
    <row r="40" spans="1:53" ht="12.75" x14ac:dyDescent="0.15">
      <c r="A40" s="37"/>
      <c r="B40" s="48" t="s">
        <v>69</v>
      </c>
      <c r="C40" s="49"/>
      <c r="D40" s="44"/>
      <c r="E40" s="44"/>
      <c r="F40" s="45"/>
      <c r="G40" s="44"/>
      <c r="H40" s="44"/>
      <c r="I40" s="44"/>
      <c r="J40" s="44"/>
      <c r="K40" s="44"/>
      <c r="L40" s="44"/>
      <c r="M40" s="44"/>
      <c r="N40" s="46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</row>
    <row r="41" spans="1:53" ht="12.75" x14ac:dyDescent="0.15">
      <c r="A41" s="37"/>
      <c r="B41" s="38" t="s">
        <v>50</v>
      </c>
      <c r="C41" s="39"/>
      <c r="D41" s="40"/>
      <c r="E41" s="40"/>
      <c r="F41" s="41"/>
      <c r="G41" s="40"/>
      <c r="H41" s="40"/>
      <c r="I41" s="40"/>
      <c r="J41" s="40"/>
      <c r="K41" s="40"/>
      <c r="L41" s="40"/>
      <c r="M41" s="40"/>
      <c r="N41" s="42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</row>
    <row r="42" spans="1:53" ht="12.75" x14ac:dyDescent="0.15">
      <c r="A42" s="37"/>
      <c r="B42" s="48" t="s">
        <v>51</v>
      </c>
      <c r="C42" s="49"/>
      <c r="D42" s="44"/>
      <c r="E42" s="44"/>
      <c r="F42" s="45"/>
      <c r="G42" s="44"/>
      <c r="H42" s="44"/>
      <c r="I42" s="44"/>
      <c r="J42" s="44"/>
      <c r="K42" s="44"/>
      <c r="L42" s="44"/>
      <c r="M42" s="44"/>
      <c r="N42" s="46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</row>
    <row r="43" spans="1:53" ht="12.75" x14ac:dyDescent="0.15">
      <c r="A43" s="37"/>
      <c r="B43" s="38" t="s">
        <v>43</v>
      </c>
      <c r="C43" s="39"/>
      <c r="D43" s="40"/>
      <c r="E43" s="40"/>
      <c r="F43" s="41"/>
      <c r="G43" s="40"/>
      <c r="H43" s="40"/>
      <c r="I43" s="40"/>
      <c r="J43" s="40"/>
      <c r="K43" s="40"/>
      <c r="L43" s="40"/>
      <c r="M43" s="40"/>
      <c r="N43" s="42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</row>
    <row r="44" spans="1:53" ht="12.75" x14ac:dyDescent="0.15">
      <c r="A44" s="37"/>
      <c r="B44" s="47" t="s">
        <v>53</v>
      </c>
      <c r="C44" s="49"/>
      <c r="D44" s="44"/>
      <c r="E44" s="44"/>
      <c r="F44" s="45"/>
      <c r="G44" s="44"/>
      <c r="H44" s="44"/>
      <c r="I44" s="44"/>
      <c r="J44" s="44"/>
      <c r="K44" s="44"/>
      <c r="L44" s="44"/>
      <c r="M44" s="44"/>
      <c r="N44" s="46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</row>
    <row r="45" spans="1:53" ht="12.75" x14ac:dyDescent="0.15">
      <c r="A45" s="37"/>
      <c r="B45" s="50"/>
      <c r="C45" s="39"/>
      <c r="D45" s="40"/>
      <c r="E45" s="40"/>
      <c r="F45" s="41"/>
      <c r="G45" s="40"/>
      <c r="H45" s="40"/>
      <c r="I45" s="40"/>
      <c r="J45" s="40"/>
      <c r="K45" s="40"/>
      <c r="L45" s="40"/>
      <c r="M45" s="40"/>
      <c r="N45" s="42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</row>
    <row r="46" spans="1:53" ht="21" customHeight="1" x14ac:dyDescent="0.15">
      <c r="A46" s="51" t="s">
        <v>54</v>
      </c>
      <c r="B46" s="52"/>
      <c r="C46" s="53">
        <f t="shared" ref="C46:N46" si="4">SUM(C19:C35)+SUM(C37:C45)</f>
        <v>0</v>
      </c>
      <c r="D46" s="53">
        <f t="shared" si="4"/>
        <v>0</v>
      </c>
      <c r="E46" s="53">
        <f t="shared" si="4"/>
        <v>0</v>
      </c>
      <c r="F46" s="53">
        <f t="shared" si="4"/>
        <v>0</v>
      </c>
      <c r="G46" s="53">
        <f t="shared" si="4"/>
        <v>0</v>
      </c>
      <c r="H46" s="53">
        <f t="shared" si="4"/>
        <v>0</v>
      </c>
      <c r="I46" s="53">
        <f t="shared" si="4"/>
        <v>0</v>
      </c>
      <c r="J46" s="53">
        <f t="shared" si="4"/>
        <v>0</v>
      </c>
      <c r="K46" s="53">
        <f t="shared" si="4"/>
        <v>0</v>
      </c>
      <c r="L46" s="53">
        <f t="shared" si="4"/>
        <v>0</v>
      </c>
      <c r="M46" s="53">
        <f t="shared" si="4"/>
        <v>0</v>
      </c>
      <c r="N46" s="54">
        <f t="shared" si="4"/>
        <v>0</v>
      </c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</row>
    <row r="47" spans="1:53" ht="12.75" x14ac:dyDescent="0.15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</row>
    <row r="48" spans="1:53" ht="12.75" x14ac:dyDescent="0.15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</row>
    <row r="49" spans="1:53" ht="19.5" customHeight="1" x14ac:dyDescent="0.15">
      <c r="A49" s="149" t="s">
        <v>55</v>
      </c>
      <c r="B49" s="149"/>
      <c r="C49" s="3" t="s">
        <v>1</v>
      </c>
      <c r="D49" s="4" t="s">
        <v>2</v>
      </c>
      <c r="E49" s="55" t="s">
        <v>3</v>
      </c>
      <c r="F49" s="3" t="s">
        <v>4</v>
      </c>
      <c r="G49" s="3" t="s">
        <v>5</v>
      </c>
      <c r="H49" s="3" t="s">
        <v>6</v>
      </c>
      <c r="I49" s="4" t="s">
        <v>7</v>
      </c>
      <c r="J49" s="3" t="s">
        <v>8</v>
      </c>
      <c r="K49" s="4" t="s">
        <v>9</v>
      </c>
      <c r="L49" s="3" t="s">
        <v>10</v>
      </c>
      <c r="M49" s="4" t="s">
        <v>11</v>
      </c>
      <c r="N49" s="5" t="s">
        <v>12</v>
      </c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</row>
    <row r="50" spans="1:53" s="60" customFormat="1" ht="18.75" customHeight="1" x14ac:dyDescent="0.15">
      <c r="A50" s="56">
        <v>1</v>
      </c>
      <c r="B50" s="57" t="s">
        <v>56</v>
      </c>
      <c r="C50" s="58">
        <f t="shared" ref="C50:N50" si="5">C6+C15</f>
        <v>0</v>
      </c>
      <c r="D50" s="58">
        <f t="shared" si="5"/>
        <v>0</v>
      </c>
      <c r="E50" s="58">
        <f t="shared" si="5"/>
        <v>0</v>
      </c>
      <c r="F50" s="58">
        <f t="shared" si="5"/>
        <v>0</v>
      </c>
      <c r="G50" s="58">
        <f t="shared" si="5"/>
        <v>0</v>
      </c>
      <c r="H50" s="58">
        <f t="shared" si="5"/>
        <v>0</v>
      </c>
      <c r="I50" s="58">
        <f t="shared" si="5"/>
        <v>0</v>
      </c>
      <c r="J50" s="58">
        <f t="shared" si="5"/>
        <v>0</v>
      </c>
      <c r="K50" s="58">
        <f t="shared" si="5"/>
        <v>0</v>
      </c>
      <c r="L50" s="58">
        <f t="shared" si="5"/>
        <v>0</v>
      </c>
      <c r="M50" s="58">
        <f t="shared" si="5"/>
        <v>0</v>
      </c>
      <c r="N50" s="59">
        <f t="shared" si="5"/>
        <v>0</v>
      </c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</row>
    <row r="51" spans="1:53" s="65" customFormat="1" ht="22.5" customHeight="1" x14ac:dyDescent="0.15">
      <c r="A51" s="61">
        <v>3</v>
      </c>
      <c r="B51" s="62" t="s">
        <v>57</v>
      </c>
      <c r="C51" s="63">
        <f t="shared" ref="C51:N51" si="6">-C46</f>
        <v>0</v>
      </c>
      <c r="D51" s="63">
        <f t="shared" si="6"/>
        <v>0</v>
      </c>
      <c r="E51" s="63">
        <f t="shared" si="6"/>
        <v>0</v>
      </c>
      <c r="F51" s="63">
        <f t="shared" si="6"/>
        <v>0</v>
      </c>
      <c r="G51" s="63">
        <f t="shared" si="6"/>
        <v>0</v>
      </c>
      <c r="H51" s="63">
        <f t="shared" si="6"/>
        <v>0</v>
      </c>
      <c r="I51" s="63">
        <f t="shared" si="6"/>
        <v>0</v>
      </c>
      <c r="J51" s="63">
        <f t="shared" si="6"/>
        <v>0</v>
      </c>
      <c r="K51" s="63">
        <f t="shared" si="6"/>
        <v>0</v>
      </c>
      <c r="L51" s="63">
        <f t="shared" si="6"/>
        <v>0</v>
      </c>
      <c r="M51" s="63">
        <f t="shared" si="6"/>
        <v>0</v>
      </c>
      <c r="N51" s="64">
        <f t="shared" si="6"/>
        <v>0</v>
      </c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</row>
    <row r="52" spans="1:53" s="70" customFormat="1" ht="19.5" customHeight="1" x14ac:dyDescent="0.15">
      <c r="A52" s="66" t="s">
        <v>58</v>
      </c>
      <c r="B52" s="67"/>
      <c r="C52" s="68">
        <f>SUM(C50:C51)</f>
        <v>0</v>
      </c>
      <c r="D52" s="68">
        <f t="shared" ref="D52:N52" si="7">SUM(D50:D51)</f>
        <v>0</v>
      </c>
      <c r="E52" s="68">
        <f t="shared" si="7"/>
        <v>0</v>
      </c>
      <c r="F52" s="68">
        <f t="shared" si="7"/>
        <v>0</v>
      </c>
      <c r="G52" s="68">
        <f t="shared" si="7"/>
        <v>0</v>
      </c>
      <c r="H52" s="68">
        <f t="shared" si="7"/>
        <v>0</v>
      </c>
      <c r="I52" s="68">
        <f t="shared" si="7"/>
        <v>0</v>
      </c>
      <c r="J52" s="68">
        <f t="shared" si="7"/>
        <v>0</v>
      </c>
      <c r="K52" s="68">
        <f t="shared" si="7"/>
        <v>0</v>
      </c>
      <c r="L52" s="68">
        <f t="shared" si="7"/>
        <v>0</v>
      </c>
      <c r="M52" s="68">
        <f t="shared" si="7"/>
        <v>0</v>
      </c>
      <c r="N52" s="69">
        <f t="shared" si="7"/>
        <v>0</v>
      </c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</row>
    <row r="53" spans="1:53" ht="12.75" x14ac:dyDescent="0.15">
      <c r="A53" s="71"/>
      <c r="B53" s="72" t="s">
        <v>59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</row>
    <row r="54" spans="1:53" ht="12.75" x14ac:dyDescent="0.15">
      <c r="A54" s="73"/>
      <c r="B54" s="72" t="s">
        <v>60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</row>
    <row r="55" spans="1:53" ht="12.75" x14ac:dyDescent="0.15">
      <c r="A55" s="2"/>
      <c r="B55" s="2"/>
      <c r="N55" s="16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1:53" ht="12.75" x14ac:dyDescent="0.15"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</row>
    <row r="57" spans="1:53" ht="12.75" x14ac:dyDescent="0.15"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</row>
    <row r="58" spans="1:53" ht="12.75" x14ac:dyDescent="0.15"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</row>
    <row r="59" spans="1:53" ht="12.75" x14ac:dyDescent="0.15"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</row>
    <row r="60" spans="1:53" ht="12.75" x14ac:dyDescent="0.15"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</row>
    <row r="61" spans="1:53" ht="12.75" x14ac:dyDescent="0.15"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</row>
    <row r="62" spans="1:53" ht="12.75" x14ac:dyDescent="0.15"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</row>
    <row r="63" spans="1:53" ht="12.75" x14ac:dyDescent="0.15"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</row>
    <row r="64" spans="1:53" ht="12.75" x14ac:dyDescent="0.15"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</row>
    <row r="65" spans="15:53" ht="12.75" x14ac:dyDescent="0.15"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</row>
    <row r="66" spans="15:53" ht="12.75" x14ac:dyDescent="0.15"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</row>
    <row r="67" spans="15:53" ht="12.75" x14ac:dyDescent="0.15"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</row>
    <row r="68" spans="15:53" ht="12.75" x14ac:dyDescent="0.15"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</row>
    <row r="69" spans="15:53" ht="12.75" x14ac:dyDescent="0.15"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</row>
    <row r="70" spans="15:53" ht="12.75" x14ac:dyDescent="0.15"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</row>
    <row r="71" spans="15:53" ht="12.75" x14ac:dyDescent="0.15"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</row>
    <row r="72" spans="15:53" ht="12.75" x14ac:dyDescent="0.15"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</row>
    <row r="73" spans="15:53" ht="12.75" x14ac:dyDescent="0.15"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</row>
    <row r="74" spans="15:53" ht="12.75" x14ac:dyDescent="0.15"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</row>
    <row r="75" spans="15:53" ht="12.75" x14ac:dyDescent="0.15"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</row>
    <row r="76" spans="15:53" ht="12.75" x14ac:dyDescent="0.15"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</row>
    <row r="77" spans="15:53" ht="12.75" x14ac:dyDescent="0.15"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</row>
    <row r="78" spans="15:53" ht="12.75" x14ac:dyDescent="0.15"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</row>
    <row r="79" spans="15:53" ht="12.75" x14ac:dyDescent="0.15"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</row>
    <row r="80" spans="15:53" ht="12.75" x14ac:dyDescent="0.15"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</row>
    <row r="81" spans="15:53" ht="12.75" x14ac:dyDescent="0.15"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</row>
    <row r="82" spans="15:53" ht="12.75" x14ac:dyDescent="0.15"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</row>
    <row r="83" spans="15:53" ht="12.75" x14ac:dyDescent="0.15"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</row>
    <row r="84" spans="15:53" ht="12.75" x14ac:dyDescent="0.15"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</row>
    <row r="85" spans="15:53" ht="12.75" x14ac:dyDescent="0.15"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</row>
    <row r="86" spans="15:53" ht="12.75" x14ac:dyDescent="0.15"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</row>
    <row r="87" spans="15:53" ht="12.75" x14ac:dyDescent="0.15"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</row>
    <row r="88" spans="15:53" ht="12.75" x14ac:dyDescent="0.15"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</row>
    <row r="89" spans="15:53" ht="12.75" x14ac:dyDescent="0.15"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</row>
    <row r="90" spans="15:53" ht="12.75" x14ac:dyDescent="0.15"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1"/>
      <c r="BA90" s="151"/>
    </row>
    <row r="91" spans="15:53" ht="12.75" x14ac:dyDescent="0.15"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</row>
    <row r="92" spans="15:53" ht="12.75" x14ac:dyDescent="0.15"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</row>
    <row r="93" spans="15:53" ht="12.75" x14ac:dyDescent="0.15"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</row>
    <row r="94" spans="15:53" ht="12.75" x14ac:dyDescent="0.15"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</row>
    <row r="95" spans="15:53" ht="12.75" x14ac:dyDescent="0.15"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</row>
    <row r="96" spans="15:53" ht="12.75" x14ac:dyDescent="0.15"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</row>
    <row r="97" spans="15:53" ht="12.75" x14ac:dyDescent="0.15"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</row>
    <row r="98" spans="15:53" ht="12.75" x14ac:dyDescent="0.15"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</row>
    <row r="99" spans="15:53" ht="12.75" x14ac:dyDescent="0.15"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</row>
    <row r="100" spans="15:53" ht="12.75" x14ac:dyDescent="0.15"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</row>
    <row r="101" spans="15:53" ht="12.75" x14ac:dyDescent="0.15"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</row>
    <row r="102" spans="15:53" ht="12.75" x14ac:dyDescent="0.15"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</row>
    <row r="103" spans="15:53" ht="12.75" x14ac:dyDescent="0.15"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</row>
    <row r="104" spans="15:53" ht="12.75" x14ac:dyDescent="0.15"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</row>
    <row r="105" spans="15:53" ht="12.75" x14ac:dyDescent="0.15"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</row>
    <row r="106" spans="15:53" ht="12.75" x14ac:dyDescent="0.15"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</row>
    <row r="107" spans="15:53" ht="12.75" x14ac:dyDescent="0.15"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</row>
    <row r="108" spans="15:53" ht="12.75" x14ac:dyDescent="0.15"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</row>
    <row r="109" spans="15:53" ht="12.75" x14ac:dyDescent="0.15"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</row>
    <row r="110" spans="15:53" ht="12.75" x14ac:dyDescent="0.15"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</row>
    <row r="111" spans="15:53" ht="12.75" x14ac:dyDescent="0.15"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</row>
    <row r="112" spans="15:53" ht="12.75" x14ac:dyDescent="0.15"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</row>
    <row r="113" spans="15:53" ht="12.75" x14ac:dyDescent="0.15"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</row>
    <row r="114" spans="15:53" ht="12.75" x14ac:dyDescent="0.15"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</row>
    <row r="115" spans="15:53" ht="12.75" x14ac:dyDescent="0.15"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</row>
    <row r="116" spans="15:53" ht="12.75" x14ac:dyDescent="0.15"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</row>
    <row r="117" spans="15:53" ht="12.75" x14ac:dyDescent="0.15"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</row>
    <row r="118" spans="15:53" ht="12.75" x14ac:dyDescent="0.15"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</row>
    <row r="119" spans="15:53" ht="12.75" x14ac:dyDescent="0.15"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</row>
    <row r="120" spans="15:53" ht="12.75" x14ac:dyDescent="0.15"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</row>
    <row r="121" spans="15:53" ht="12.75" x14ac:dyDescent="0.15"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</row>
    <row r="122" spans="15:53" ht="12.75" x14ac:dyDescent="0.15"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</row>
    <row r="123" spans="15:53" ht="12.75" x14ac:dyDescent="0.15"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</row>
    <row r="124" spans="15:53" ht="12.75" x14ac:dyDescent="0.15"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</row>
    <row r="125" spans="15:53" ht="12.75" x14ac:dyDescent="0.15"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</row>
    <row r="126" spans="15:53" ht="12.75" x14ac:dyDescent="0.15"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</row>
    <row r="127" spans="15:53" ht="12.75" x14ac:dyDescent="0.15"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</row>
    <row r="128" spans="15:53" ht="12.75" x14ac:dyDescent="0.15"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</row>
    <row r="129" spans="15:53" ht="12.75" x14ac:dyDescent="0.15"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</row>
    <row r="130" spans="15:53" ht="12.75" x14ac:dyDescent="0.15"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</row>
    <row r="131" spans="15:53" ht="12.75" x14ac:dyDescent="0.15"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</row>
    <row r="132" spans="15:53" ht="12.75" x14ac:dyDescent="0.15"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</row>
    <row r="133" spans="15:53" ht="12.75" x14ac:dyDescent="0.15"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</row>
    <row r="134" spans="15:53" ht="12.75" x14ac:dyDescent="0.15"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</row>
    <row r="135" spans="15:53" ht="12.75" x14ac:dyDescent="0.15"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</row>
    <row r="136" spans="15:53" ht="12.75" x14ac:dyDescent="0.15"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</row>
    <row r="137" spans="15:53" ht="12.75" x14ac:dyDescent="0.15"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</row>
    <row r="138" spans="15:53" ht="12.75" x14ac:dyDescent="0.15"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</row>
    <row r="139" spans="15:53" ht="12.75" x14ac:dyDescent="0.15"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</row>
    <row r="140" spans="15:53" ht="12.75" x14ac:dyDescent="0.15"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</row>
    <row r="141" spans="15:53" ht="12.75" x14ac:dyDescent="0.15"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</row>
    <row r="142" spans="15:53" ht="12.75" x14ac:dyDescent="0.15"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</row>
    <row r="143" spans="15:53" ht="12.75" x14ac:dyDescent="0.15"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</row>
    <row r="144" spans="15:53" ht="12.75" x14ac:dyDescent="0.15"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</row>
    <row r="145" spans="15:53" ht="12.75" x14ac:dyDescent="0.15"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</row>
    <row r="146" spans="15:53" ht="12.75" x14ac:dyDescent="0.15"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</row>
    <row r="147" spans="15:53" ht="12.75" x14ac:dyDescent="0.15"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</row>
    <row r="148" spans="15:53" ht="12.75" x14ac:dyDescent="0.15"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</row>
    <row r="149" spans="15:53" ht="12.75" x14ac:dyDescent="0.15"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</row>
    <row r="150" spans="15:53" ht="12.75" x14ac:dyDescent="0.15"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</row>
    <row r="151" spans="15:53" ht="12.75" x14ac:dyDescent="0.15"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</row>
  </sheetData>
  <sheetProtection password="C7BC" sheet="1"/>
  <mergeCells count="12">
    <mergeCell ref="A47:N48"/>
    <mergeCell ref="A49:B49"/>
    <mergeCell ref="A1:N2"/>
    <mergeCell ref="O1:BA151"/>
    <mergeCell ref="A3:B3"/>
    <mergeCell ref="C3:N3"/>
    <mergeCell ref="A4:B4"/>
    <mergeCell ref="A8:B9"/>
    <mergeCell ref="A17:B17"/>
    <mergeCell ref="C17:N17"/>
    <mergeCell ref="A18:B18"/>
    <mergeCell ref="A36:B36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72"/>
  <sheetViews>
    <sheetView workbookViewId="0" xr3:uid="{842E5F09-E766-5B8D-85AF-A39847EA96FD}">
      <selection activeCell="E6" sqref="E6"/>
    </sheetView>
  </sheetViews>
  <sheetFormatPr defaultColWidth="9.16796875" defaultRowHeight="11.25" x14ac:dyDescent="0.15"/>
  <cols>
    <col min="1" max="1" width="2.6953125" style="1" customWidth="1"/>
    <col min="2" max="2" width="51.109375" style="1" customWidth="1"/>
    <col min="3" max="3" width="11.32421875" style="2" customWidth="1"/>
    <col min="4" max="4" width="10.3828125" style="2" customWidth="1"/>
    <col min="5" max="5" width="9.84375" style="2" customWidth="1"/>
    <col min="6" max="6" width="9.57421875" style="2" customWidth="1"/>
    <col min="7" max="7" width="10.11328125" style="2" customWidth="1"/>
    <col min="8" max="8" width="9.57421875" style="2" customWidth="1"/>
    <col min="9" max="11" width="9.4375" style="2" customWidth="1"/>
    <col min="12" max="12" width="8.62890625" style="2" customWidth="1"/>
    <col min="13" max="13" width="10.3828125" style="2" customWidth="1"/>
    <col min="14" max="14" width="9.70703125" style="2" customWidth="1"/>
    <col min="15" max="16384" width="9.16796875" style="1"/>
  </cols>
  <sheetData>
    <row r="1" spans="1:53" ht="48.75" customHeight="1" x14ac:dyDescent="0.15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</row>
    <row r="2" spans="1:53" ht="2.25" customHeight="1" x14ac:dyDescent="0.1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</row>
    <row r="3" spans="1:53" ht="18" hidden="1" customHeight="1" x14ac:dyDescent="0.1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</row>
    <row r="4" spans="1:53" ht="18" customHeight="1" x14ac:dyDescent="0.15">
      <c r="A4" s="153"/>
      <c r="B4" s="153"/>
      <c r="C4" s="3" t="s">
        <v>1</v>
      </c>
      <c r="D4" s="3" t="s">
        <v>2</v>
      </c>
      <c r="E4" s="4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4" t="s">
        <v>11</v>
      </c>
      <c r="N4" s="5" t="s">
        <v>12</v>
      </c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</row>
    <row r="5" spans="1:53" ht="18" customHeight="1" x14ac:dyDescent="0.15">
      <c r="A5" s="7"/>
      <c r="B5" s="8" t="s">
        <v>13</v>
      </c>
      <c r="C5" s="9"/>
      <c r="D5" s="10">
        <f>C6</f>
        <v>0</v>
      </c>
      <c r="E5" s="10">
        <f t="shared" ref="E5:N5" si="0">D6</f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1">
        <f t="shared" si="0"/>
        <v>0</v>
      </c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</row>
    <row r="6" spans="1:53" ht="18" customHeight="1" x14ac:dyDescent="0.15">
      <c r="A6" s="12" t="s">
        <v>14</v>
      </c>
      <c r="B6" s="13"/>
      <c r="C6" s="14">
        <f t="shared" ref="C6:N6" si="1">SUM(C5:C5)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4">
        <f t="shared" si="1"/>
        <v>0</v>
      </c>
      <c r="I6" s="14">
        <f t="shared" si="1"/>
        <v>0</v>
      </c>
      <c r="J6" s="14">
        <f t="shared" si="1"/>
        <v>0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5">
        <f t="shared" si="1"/>
        <v>0</v>
      </c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</row>
    <row r="7" spans="1:53" ht="18" customHeight="1" x14ac:dyDescent="0.1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</row>
    <row r="8" spans="1:53" ht="17.25" customHeight="1" x14ac:dyDescent="0.15">
      <c r="A8" s="153" t="s">
        <v>15</v>
      </c>
      <c r="B8" s="15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</row>
    <row r="9" spans="1:53" ht="16.5" customHeight="1" x14ac:dyDescent="0.15">
      <c r="A9" s="153"/>
      <c r="B9" s="153"/>
      <c r="C9" s="19" t="s">
        <v>1</v>
      </c>
      <c r="D9" s="19" t="s">
        <v>2</v>
      </c>
      <c r="E9" s="20" t="s">
        <v>3</v>
      </c>
      <c r="F9" s="19" t="s">
        <v>4</v>
      </c>
      <c r="G9" s="19" t="s">
        <v>5</v>
      </c>
      <c r="H9" s="19" t="s">
        <v>6</v>
      </c>
      <c r="I9" s="19" t="s">
        <v>7</v>
      </c>
      <c r="J9" s="19" t="s">
        <v>8</v>
      </c>
      <c r="K9" s="19" t="s">
        <v>9</v>
      </c>
      <c r="L9" s="19" t="s">
        <v>10</v>
      </c>
      <c r="M9" s="20" t="s">
        <v>11</v>
      </c>
      <c r="N9" s="21" t="s">
        <v>12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</row>
    <row r="10" spans="1:53" ht="12.75" x14ac:dyDescent="0.15">
      <c r="A10" s="7"/>
      <c r="B10" s="8" t="s">
        <v>70</v>
      </c>
      <c r="C10" s="9"/>
      <c r="D10" s="10"/>
      <c r="E10" s="10"/>
      <c r="F10" s="10"/>
      <c r="G10" s="10"/>
      <c r="H10" s="10"/>
      <c r="I10" s="10"/>
      <c r="J10" s="9"/>
      <c r="K10" s="10"/>
      <c r="L10" s="9"/>
      <c r="M10" s="10"/>
      <c r="N10" s="1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</row>
    <row r="11" spans="1:53" ht="12.75" x14ac:dyDescent="0.15">
      <c r="A11" s="7"/>
      <c r="B11" s="22" t="s">
        <v>19</v>
      </c>
      <c r="C11" s="23"/>
      <c r="D11" s="24"/>
      <c r="E11" s="24"/>
      <c r="F11" s="24"/>
      <c r="G11" s="24"/>
      <c r="H11" s="24"/>
      <c r="I11" s="24"/>
      <c r="J11" s="23"/>
      <c r="K11" s="24"/>
      <c r="L11" s="23"/>
      <c r="M11" s="24"/>
      <c r="N11" s="25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</row>
    <row r="12" spans="1:53" ht="12.75" x14ac:dyDescent="0.15">
      <c r="A12" s="7"/>
      <c r="B12" s="8" t="s">
        <v>20</v>
      </c>
      <c r="C12" s="9">
        <f>'Banco Conta Corrente'!C20+'Banco Conta Corrente'!C21+'Banco Conta Corrente'!C22</f>
        <v>0</v>
      </c>
      <c r="D12" s="9">
        <f>'Banco Conta Corrente'!D20+'Banco Conta Corrente'!D21+'Banco Conta Corrente'!D22</f>
        <v>0</v>
      </c>
      <c r="E12" s="9">
        <f>'Banco Conta Corrente'!E20+'Banco Conta Corrente'!E21+'Banco Conta Corrente'!E22</f>
        <v>0</v>
      </c>
      <c r="F12" s="9">
        <f>'Banco Conta Corrente'!F20+'Banco Conta Corrente'!F21+'Banco Conta Corrente'!F22</f>
        <v>0</v>
      </c>
      <c r="G12" s="9">
        <f>'Banco Conta Corrente'!G20+'Banco Conta Corrente'!G21+'Banco Conta Corrente'!G22</f>
        <v>0</v>
      </c>
      <c r="H12" s="9">
        <f>'Banco Conta Corrente'!H20+'Banco Conta Corrente'!H21+'Banco Conta Corrente'!H22</f>
        <v>0</v>
      </c>
      <c r="I12" s="9">
        <f>'Banco Conta Corrente'!I20+'Banco Conta Corrente'!I21+'Banco Conta Corrente'!I22</f>
        <v>0</v>
      </c>
      <c r="J12" s="9">
        <f>'Banco Conta Corrente'!J20+'Banco Conta Corrente'!J21+'Banco Conta Corrente'!J22</f>
        <v>0</v>
      </c>
      <c r="K12" s="9">
        <f>'Banco Conta Corrente'!K20+'Banco Conta Corrente'!K21+'Banco Conta Corrente'!K22</f>
        <v>0</v>
      </c>
      <c r="L12" s="9">
        <f>'Banco Conta Corrente'!L20+'Banco Conta Corrente'!L21+'Banco Conta Corrente'!L22</f>
        <v>0</v>
      </c>
      <c r="M12" s="9">
        <f>'Banco Conta Corrente'!M20+'Banco Conta Corrente'!M21+'Banco Conta Corrente'!M22</f>
        <v>0</v>
      </c>
      <c r="N12" s="26">
        <f>'Banco Conta Corrente'!N20+'Banco Conta Corrente'!N21+'Banco Conta Corrente'!N22</f>
        <v>0</v>
      </c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</row>
    <row r="13" spans="1:53" ht="12.75" x14ac:dyDescent="0.15">
      <c r="A13" s="7"/>
      <c r="B13" s="22" t="s">
        <v>21</v>
      </c>
      <c r="C13" s="27">
        <f>'Poupança-Investimento'!C20</f>
        <v>0</v>
      </c>
      <c r="D13" s="27">
        <f>'Poupança-Investimento'!D20</f>
        <v>0</v>
      </c>
      <c r="E13" s="27">
        <f>'Poupança-Investimento'!E20</f>
        <v>0</v>
      </c>
      <c r="F13" s="27">
        <f>'Poupança-Investimento'!F20</f>
        <v>0</v>
      </c>
      <c r="G13" s="27">
        <f>'Poupança-Investimento'!G20</f>
        <v>0</v>
      </c>
      <c r="H13" s="27">
        <f>'Poupança-Investimento'!H20</f>
        <v>0</v>
      </c>
      <c r="I13" s="27">
        <f>'Poupança-Investimento'!I20</f>
        <v>0</v>
      </c>
      <c r="J13" s="27">
        <f>'Poupança-Investimento'!J20</f>
        <v>0</v>
      </c>
      <c r="K13" s="27">
        <f>'Poupança-Investimento'!K20</f>
        <v>0</v>
      </c>
      <c r="L13" s="27">
        <f>'Poupança-Investimento'!L20</f>
        <v>0</v>
      </c>
      <c r="M13" s="27">
        <f>'Poupança-Investimento'!M20</f>
        <v>0</v>
      </c>
      <c r="N13" s="28">
        <f>'Poupança-Investimento'!N20</f>
        <v>0</v>
      </c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</row>
    <row r="14" spans="1:53" ht="19.5" customHeight="1" x14ac:dyDescent="0.15">
      <c r="A14" s="12" t="s">
        <v>22</v>
      </c>
      <c r="B14" s="13"/>
      <c r="C14" s="14">
        <f t="shared" ref="C14:N14" si="2">SUM(C10:C13)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14">
        <f t="shared" si="2"/>
        <v>0</v>
      </c>
      <c r="K14" s="14">
        <f t="shared" si="2"/>
        <v>0</v>
      </c>
      <c r="L14" s="14">
        <f t="shared" si="2"/>
        <v>0</v>
      </c>
      <c r="M14" s="14">
        <f t="shared" si="2"/>
        <v>0</v>
      </c>
      <c r="N14" s="15">
        <f t="shared" si="2"/>
        <v>0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</row>
    <row r="15" spans="1:53" s="32" customFormat="1" ht="19.5" customHeight="1" x14ac:dyDescent="0.15">
      <c r="A15" s="29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</row>
    <row r="16" spans="1:53" ht="30.75" customHeight="1" x14ac:dyDescent="0.15">
      <c r="A16" s="154" t="s">
        <v>23</v>
      </c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</row>
    <row r="17" spans="1:53" ht="18" customHeight="1" x14ac:dyDescent="0.15">
      <c r="A17" s="156" t="s">
        <v>24</v>
      </c>
      <c r="B17" s="156"/>
      <c r="C17" s="33" t="s">
        <v>1</v>
      </c>
      <c r="D17" s="34" t="s">
        <v>2</v>
      </c>
      <c r="E17" s="34" t="s">
        <v>3</v>
      </c>
      <c r="F17" s="35" t="s">
        <v>4</v>
      </c>
      <c r="G17" s="34" t="s">
        <v>5</v>
      </c>
      <c r="H17" s="34" t="s">
        <v>6</v>
      </c>
      <c r="I17" s="34" t="s">
        <v>7</v>
      </c>
      <c r="J17" s="34" t="s">
        <v>8</v>
      </c>
      <c r="K17" s="34" t="s">
        <v>9</v>
      </c>
      <c r="L17" s="34" t="s">
        <v>10</v>
      </c>
      <c r="M17" s="34" t="s">
        <v>11</v>
      </c>
      <c r="N17" s="36" t="s">
        <v>12</v>
      </c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</row>
    <row r="18" spans="1:53" ht="12.75" x14ac:dyDescent="0.15">
      <c r="A18" s="37"/>
      <c r="B18" s="75" t="s">
        <v>25</v>
      </c>
      <c r="C18" s="39"/>
      <c r="D18" s="40"/>
      <c r="E18" s="40"/>
      <c r="F18" s="41"/>
      <c r="G18" s="40"/>
      <c r="H18" s="40"/>
      <c r="I18" s="40"/>
      <c r="J18" s="40"/>
      <c r="K18" s="40"/>
      <c r="L18" s="40"/>
      <c r="M18" s="40"/>
      <c r="N18" s="42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</row>
    <row r="19" spans="1:53" ht="12.75" x14ac:dyDescent="0.15">
      <c r="A19" s="37"/>
      <c r="B19" s="76" t="s">
        <v>39</v>
      </c>
      <c r="C19" s="44"/>
      <c r="D19" s="44"/>
      <c r="E19" s="44"/>
      <c r="F19" s="45"/>
      <c r="G19" s="44"/>
      <c r="H19" s="44"/>
      <c r="I19" s="44"/>
      <c r="J19" s="44"/>
      <c r="K19" s="44"/>
      <c r="L19" s="44"/>
      <c r="M19" s="44"/>
      <c r="N19" s="46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</row>
    <row r="20" spans="1:53" ht="12.75" x14ac:dyDescent="0.15">
      <c r="A20" s="37"/>
      <c r="B20" s="75" t="s">
        <v>38</v>
      </c>
      <c r="C20" s="40"/>
      <c r="D20" s="40"/>
      <c r="E20" s="40"/>
      <c r="F20" s="41"/>
      <c r="G20" s="40"/>
      <c r="H20" s="40"/>
      <c r="I20" s="40"/>
      <c r="J20" s="40"/>
      <c r="K20" s="40"/>
      <c r="L20" s="40"/>
      <c r="M20" s="40"/>
      <c r="N20" s="42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</row>
    <row r="21" spans="1:53" ht="12.75" x14ac:dyDescent="0.15">
      <c r="A21" s="37"/>
      <c r="B21" s="76" t="s">
        <v>71</v>
      </c>
      <c r="C21" s="44"/>
      <c r="D21" s="44"/>
      <c r="E21" s="44"/>
      <c r="F21" s="45"/>
      <c r="G21" s="44"/>
      <c r="H21" s="44"/>
      <c r="I21" s="44"/>
      <c r="J21" s="44"/>
      <c r="K21" s="44"/>
      <c r="L21" s="44"/>
      <c r="M21" s="44"/>
      <c r="N21" s="46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</row>
    <row r="22" spans="1:53" ht="12.75" x14ac:dyDescent="0.15">
      <c r="A22" s="37"/>
      <c r="B22" s="75" t="s">
        <v>72</v>
      </c>
      <c r="C22" s="40"/>
      <c r="D22" s="40"/>
      <c r="E22" s="40"/>
      <c r="F22" s="41"/>
      <c r="G22" s="40"/>
      <c r="H22" s="40"/>
      <c r="I22" s="40"/>
      <c r="J22" s="40"/>
      <c r="K22" s="40"/>
      <c r="L22" s="40"/>
      <c r="M22" s="40"/>
      <c r="N22" s="42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</row>
    <row r="23" spans="1:53" ht="12.75" x14ac:dyDescent="0.15">
      <c r="A23" s="37"/>
      <c r="B23" s="77" t="s">
        <v>67</v>
      </c>
      <c r="C23" s="44"/>
      <c r="D23" s="44"/>
      <c r="E23" s="44"/>
      <c r="F23" s="45"/>
      <c r="G23" s="44"/>
      <c r="H23" s="44"/>
      <c r="I23" s="44"/>
      <c r="J23" s="44"/>
      <c r="K23" s="44"/>
      <c r="L23" s="44"/>
      <c r="M23" s="44"/>
      <c r="N23" s="46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</row>
    <row r="24" spans="1:53" ht="12.75" x14ac:dyDescent="0.15">
      <c r="A24" s="37"/>
      <c r="B24" s="75" t="s">
        <v>73</v>
      </c>
      <c r="C24" s="40"/>
      <c r="D24" s="40"/>
      <c r="E24" s="40"/>
      <c r="F24" s="41"/>
      <c r="G24" s="40"/>
      <c r="H24" s="40"/>
      <c r="I24" s="40"/>
      <c r="J24" s="40"/>
      <c r="K24" s="40"/>
      <c r="L24" s="40"/>
      <c r="M24" s="40"/>
      <c r="N24" s="42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</row>
    <row r="25" spans="1:53" ht="12.75" x14ac:dyDescent="0.15">
      <c r="A25" s="37"/>
      <c r="B25" s="77" t="s">
        <v>74</v>
      </c>
      <c r="C25" s="44"/>
      <c r="D25" s="44"/>
      <c r="E25" s="44"/>
      <c r="F25" s="45"/>
      <c r="G25" s="44"/>
      <c r="H25" s="44"/>
      <c r="I25" s="44"/>
      <c r="J25" s="44"/>
      <c r="K25" s="44"/>
      <c r="L25" s="44"/>
      <c r="M25" s="44"/>
      <c r="N25" s="46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</row>
    <row r="26" spans="1:53" ht="12.75" x14ac:dyDescent="0.15">
      <c r="A26" s="37"/>
      <c r="B26" s="3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9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</row>
    <row r="27" spans="1:53" ht="19.5" customHeight="1" x14ac:dyDescent="0.15">
      <c r="A27" s="156" t="s">
        <v>75</v>
      </c>
      <c r="B27" s="156"/>
      <c r="C27" s="33" t="s">
        <v>1</v>
      </c>
      <c r="D27" s="34" t="s">
        <v>2</v>
      </c>
      <c r="E27" s="34" t="s">
        <v>3</v>
      </c>
      <c r="F27" s="35" t="s">
        <v>4</v>
      </c>
      <c r="G27" s="34" t="s">
        <v>5</v>
      </c>
      <c r="H27" s="34" t="s">
        <v>6</v>
      </c>
      <c r="I27" s="34" t="s">
        <v>7</v>
      </c>
      <c r="J27" s="34" t="s">
        <v>8</v>
      </c>
      <c r="K27" s="34" t="s">
        <v>9</v>
      </c>
      <c r="L27" s="34" t="s">
        <v>10</v>
      </c>
      <c r="M27" s="34" t="s">
        <v>11</v>
      </c>
      <c r="N27" s="36" t="s">
        <v>12</v>
      </c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</row>
    <row r="28" spans="1:53" ht="12.75" x14ac:dyDescent="0.15">
      <c r="A28" s="37"/>
      <c r="B28" s="80" t="s">
        <v>76</v>
      </c>
      <c r="C28" s="39"/>
      <c r="D28" s="40"/>
      <c r="E28" s="40"/>
      <c r="F28" s="41"/>
      <c r="G28" s="40"/>
      <c r="H28" s="40"/>
      <c r="I28" s="40"/>
      <c r="J28" s="40"/>
      <c r="K28" s="40"/>
      <c r="L28" s="40"/>
      <c r="M28" s="40"/>
      <c r="N28" s="42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</row>
    <row r="29" spans="1:53" ht="12.75" x14ac:dyDescent="0.15">
      <c r="A29" s="37"/>
      <c r="B29" s="81" t="s">
        <v>77</v>
      </c>
      <c r="C29" s="49"/>
      <c r="D29" s="44"/>
      <c r="E29" s="44"/>
      <c r="F29" s="45"/>
      <c r="G29" s="44"/>
      <c r="H29" s="44"/>
      <c r="I29" s="44"/>
      <c r="J29" s="44"/>
      <c r="K29" s="44"/>
      <c r="L29" s="44"/>
      <c r="M29" s="44"/>
      <c r="N29" s="46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</row>
    <row r="30" spans="1:53" ht="12.75" x14ac:dyDescent="0.15">
      <c r="A30" s="37"/>
      <c r="B30" s="80" t="s">
        <v>78</v>
      </c>
      <c r="C30" s="39"/>
      <c r="D30" s="40"/>
      <c r="E30" s="40"/>
      <c r="F30" s="41"/>
      <c r="G30" s="40"/>
      <c r="H30" s="40"/>
      <c r="I30" s="40"/>
      <c r="J30" s="40"/>
      <c r="K30" s="40"/>
      <c r="L30" s="40"/>
      <c r="M30" s="40"/>
      <c r="N30" s="42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</row>
    <row r="31" spans="1:53" ht="12.75" x14ac:dyDescent="0.15">
      <c r="A31" s="37"/>
      <c r="B31" s="81" t="s">
        <v>79</v>
      </c>
      <c r="C31" s="49"/>
      <c r="D31" s="44"/>
      <c r="E31" s="44"/>
      <c r="F31" s="45"/>
      <c r="G31" s="44"/>
      <c r="H31" s="44"/>
      <c r="I31" s="44"/>
      <c r="J31" s="44"/>
      <c r="K31" s="44"/>
      <c r="L31" s="44"/>
      <c r="M31" s="44"/>
      <c r="N31" s="46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</row>
    <row r="32" spans="1:53" ht="12.75" x14ac:dyDescent="0.15">
      <c r="A32" s="37"/>
      <c r="B32" s="75" t="s">
        <v>80</v>
      </c>
      <c r="C32" s="39"/>
      <c r="D32" s="40"/>
      <c r="E32" s="40"/>
      <c r="F32" s="41"/>
      <c r="G32" s="40"/>
      <c r="H32" s="40"/>
      <c r="I32" s="40"/>
      <c r="J32" s="40"/>
      <c r="K32" s="40"/>
      <c r="L32" s="40"/>
      <c r="M32" s="40"/>
      <c r="N32" s="42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</row>
    <row r="33" spans="1:53" ht="12.75" x14ac:dyDescent="0.15">
      <c r="A33" s="37"/>
      <c r="B33" s="77" t="s">
        <v>81</v>
      </c>
      <c r="C33" s="49"/>
      <c r="D33" s="44"/>
      <c r="E33" s="44"/>
      <c r="F33" s="45"/>
      <c r="G33" s="44"/>
      <c r="H33" s="44"/>
      <c r="I33" s="44"/>
      <c r="J33" s="44"/>
      <c r="K33" s="44"/>
      <c r="L33" s="44"/>
      <c r="M33" s="44"/>
      <c r="N33" s="46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</row>
    <row r="34" spans="1:53" ht="12.75" x14ac:dyDescent="0.15">
      <c r="A34" s="37"/>
      <c r="B34" s="75" t="s">
        <v>82</v>
      </c>
      <c r="C34" s="39"/>
      <c r="D34" s="40"/>
      <c r="E34" s="40"/>
      <c r="F34" s="41"/>
      <c r="G34" s="40"/>
      <c r="H34" s="40"/>
      <c r="I34" s="40"/>
      <c r="J34" s="40"/>
      <c r="K34" s="40"/>
      <c r="L34" s="40"/>
      <c r="M34" s="40"/>
      <c r="N34" s="42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</row>
    <row r="35" spans="1:53" ht="12.75" x14ac:dyDescent="0.15">
      <c r="A35" s="37"/>
      <c r="B35" s="77" t="s">
        <v>83</v>
      </c>
      <c r="C35" s="49"/>
      <c r="D35" s="44"/>
      <c r="E35" s="44"/>
      <c r="F35" s="45"/>
      <c r="G35" s="44"/>
      <c r="H35" s="44"/>
      <c r="I35" s="44"/>
      <c r="J35" s="44"/>
      <c r="K35" s="44"/>
      <c r="L35" s="44"/>
      <c r="M35" s="44"/>
      <c r="N35" s="46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</row>
    <row r="36" spans="1:53" ht="12.75" x14ac:dyDescent="0.15">
      <c r="A36" s="37"/>
      <c r="B36" s="75" t="s">
        <v>84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9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</row>
    <row r="37" spans="1:53" ht="12.75" x14ac:dyDescent="0.15">
      <c r="A37" s="37"/>
      <c r="B37" s="77" t="s">
        <v>85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3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</row>
    <row r="38" spans="1:53" ht="12.75" x14ac:dyDescent="0.15">
      <c r="A38" s="37"/>
      <c r="B38" s="75" t="s">
        <v>86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9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</row>
    <row r="39" spans="1:53" ht="12.75" x14ac:dyDescent="0.15">
      <c r="A39" s="37"/>
      <c r="B39" s="77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3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</row>
    <row r="40" spans="1:53" ht="12.75" x14ac:dyDescent="0.15">
      <c r="A40" s="37"/>
      <c r="B40" s="75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9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</row>
    <row r="41" spans="1:53" ht="19.5" customHeight="1" x14ac:dyDescent="0.15">
      <c r="A41" s="156" t="s">
        <v>87</v>
      </c>
      <c r="B41" s="156"/>
      <c r="C41" s="33" t="s">
        <v>1</v>
      </c>
      <c r="D41" s="34" t="s">
        <v>2</v>
      </c>
      <c r="E41" s="34" t="s">
        <v>3</v>
      </c>
      <c r="F41" s="35" t="s">
        <v>4</v>
      </c>
      <c r="G41" s="34" t="s">
        <v>5</v>
      </c>
      <c r="H41" s="34" t="s">
        <v>6</v>
      </c>
      <c r="I41" s="34" t="s">
        <v>7</v>
      </c>
      <c r="J41" s="34" t="s">
        <v>8</v>
      </c>
      <c r="K41" s="34" t="s">
        <v>9</v>
      </c>
      <c r="L41" s="34" t="s">
        <v>10</v>
      </c>
      <c r="M41" s="34" t="s">
        <v>11</v>
      </c>
      <c r="N41" s="36" t="s">
        <v>12</v>
      </c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</row>
    <row r="42" spans="1:53" ht="12.75" x14ac:dyDescent="0.15">
      <c r="A42" s="37"/>
      <c r="B42" s="75" t="s">
        <v>88</v>
      </c>
      <c r="C42" s="39"/>
      <c r="D42" s="40"/>
      <c r="E42" s="40"/>
      <c r="F42" s="41"/>
      <c r="G42" s="40"/>
      <c r="H42" s="40"/>
      <c r="I42" s="40"/>
      <c r="J42" s="40"/>
      <c r="K42" s="40"/>
      <c r="L42" s="40"/>
      <c r="M42" s="40"/>
      <c r="N42" s="42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</row>
    <row r="43" spans="1:53" ht="12.75" x14ac:dyDescent="0.15">
      <c r="A43" s="37"/>
      <c r="B43" s="77" t="s">
        <v>89</v>
      </c>
      <c r="C43" s="49"/>
      <c r="D43" s="44"/>
      <c r="E43" s="44"/>
      <c r="F43" s="45"/>
      <c r="G43" s="44"/>
      <c r="H43" s="44"/>
      <c r="I43" s="44"/>
      <c r="J43" s="44"/>
      <c r="K43" s="44"/>
      <c r="L43" s="44"/>
      <c r="M43" s="44"/>
      <c r="N43" s="46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</row>
    <row r="44" spans="1:53" ht="12.75" x14ac:dyDescent="0.15">
      <c r="A44" s="37"/>
      <c r="B44" s="75" t="s">
        <v>90</v>
      </c>
      <c r="C44" s="39"/>
      <c r="D44" s="40"/>
      <c r="E44" s="40"/>
      <c r="F44" s="41"/>
      <c r="G44" s="40"/>
      <c r="H44" s="40"/>
      <c r="I44" s="40"/>
      <c r="J44" s="40"/>
      <c r="K44" s="40"/>
      <c r="L44" s="40"/>
      <c r="M44" s="40"/>
      <c r="N44" s="42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</row>
    <row r="45" spans="1:53" ht="12.75" x14ac:dyDescent="0.15">
      <c r="A45" s="37"/>
      <c r="B45" s="77"/>
      <c r="C45" s="49"/>
      <c r="D45" s="44"/>
      <c r="E45" s="44"/>
      <c r="F45" s="45"/>
      <c r="G45" s="44"/>
      <c r="H45" s="44"/>
      <c r="I45" s="44"/>
      <c r="J45" s="44"/>
      <c r="K45" s="44"/>
      <c r="L45" s="44"/>
      <c r="M45" s="44"/>
      <c r="N45" s="46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</row>
    <row r="46" spans="1:53" ht="12.75" x14ac:dyDescent="0.15">
      <c r="A46" s="37"/>
      <c r="B46" s="75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9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</row>
    <row r="47" spans="1:53" ht="12.75" x14ac:dyDescent="0.15">
      <c r="A47" s="156" t="s">
        <v>91</v>
      </c>
      <c r="B47" s="156"/>
      <c r="C47" s="33" t="s">
        <v>1</v>
      </c>
      <c r="D47" s="34" t="s">
        <v>2</v>
      </c>
      <c r="E47" s="34" t="s">
        <v>3</v>
      </c>
      <c r="F47" s="35" t="s">
        <v>4</v>
      </c>
      <c r="G47" s="34" t="s">
        <v>5</v>
      </c>
      <c r="H47" s="34" t="s">
        <v>6</v>
      </c>
      <c r="I47" s="34" t="s">
        <v>7</v>
      </c>
      <c r="J47" s="34" t="s">
        <v>8</v>
      </c>
      <c r="K47" s="34" t="s">
        <v>9</v>
      </c>
      <c r="L47" s="34" t="s">
        <v>10</v>
      </c>
      <c r="M47" s="34" t="s">
        <v>11</v>
      </c>
      <c r="N47" s="36" t="s">
        <v>12</v>
      </c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</row>
    <row r="48" spans="1:53" ht="12.75" x14ac:dyDescent="0.15">
      <c r="A48" s="37"/>
      <c r="B48" s="75" t="s">
        <v>66</v>
      </c>
      <c r="C48" s="39"/>
      <c r="D48" s="40"/>
      <c r="E48" s="40"/>
      <c r="F48" s="41"/>
      <c r="G48" s="40"/>
      <c r="H48" s="40"/>
      <c r="I48" s="40"/>
      <c r="J48" s="40"/>
      <c r="K48" s="40"/>
      <c r="L48" s="40"/>
      <c r="M48" s="40"/>
      <c r="N48" s="42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</row>
    <row r="49" spans="1:53" ht="12.75" x14ac:dyDescent="0.15">
      <c r="A49" s="37"/>
      <c r="B49" s="77" t="s">
        <v>28</v>
      </c>
      <c r="C49" s="49"/>
      <c r="D49" s="44"/>
      <c r="E49" s="44"/>
      <c r="F49" s="45"/>
      <c r="G49" s="44"/>
      <c r="H49" s="44"/>
      <c r="I49" s="44"/>
      <c r="J49" s="44"/>
      <c r="K49" s="44"/>
      <c r="L49" s="44"/>
      <c r="M49" s="44"/>
      <c r="N49" s="46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</row>
    <row r="50" spans="1:53" ht="12.75" x14ac:dyDescent="0.15">
      <c r="A50" s="37"/>
      <c r="B50" s="75" t="s">
        <v>92</v>
      </c>
      <c r="C50" s="39"/>
      <c r="D50" s="40"/>
      <c r="E50" s="40"/>
      <c r="F50" s="41"/>
      <c r="G50" s="40"/>
      <c r="H50" s="40"/>
      <c r="I50" s="40"/>
      <c r="J50" s="40"/>
      <c r="K50" s="40"/>
      <c r="L50" s="40"/>
      <c r="M50" s="40"/>
      <c r="N50" s="42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</row>
    <row r="51" spans="1:53" ht="12.75" x14ac:dyDescent="0.15">
      <c r="A51" s="37"/>
      <c r="B51" s="77" t="s">
        <v>93</v>
      </c>
      <c r="C51" s="49"/>
      <c r="D51" s="44"/>
      <c r="E51" s="44"/>
      <c r="F51" s="45"/>
      <c r="G51" s="44"/>
      <c r="H51" s="44"/>
      <c r="I51" s="44"/>
      <c r="J51" s="44"/>
      <c r="K51" s="44"/>
      <c r="L51" s="44"/>
      <c r="M51" s="44"/>
      <c r="N51" s="46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</row>
    <row r="52" spans="1:53" ht="12.75" x14ac:dyDescent="0.15">
      <c r="A52" s="37"/>
      <c r="B52" s="75" t="s">
        <v>94</v>
      </c>
      <c r="C52" s="39"/>
      <c r="D52" s="40"/>
      <c r="E52" s="40"/>
      <c r="F52" s="41"/>
      <c r="G52" s="40"/>
      <c r="H52" s="40"/>
      <c r="I52" s="40"/>
      <c r="J52" s="40"/>
      <c r="K52" s="40"/>
      <c r="L52" s="40"/>
      <c r="M52" s="40"/>
      <c r="N52" s="42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</row>
    <row r="53" spans="1:53" ht="12.75" x14ac:dyDescent="0.15">
      <c r="A53" s="37"/>
      <c r="B53" s="77" t="s">
        <v>95</v>
      </c>
      <c r="C53" s="49"/>
      <c r="D53" s="44"/>
      <c r="E53" s="44"/>
      <c r="F53" s="45"/>
      <c r="G53" s="44"/>
      <c r="H53" s="44"/>
      <c r="I53" s="44"/>
      <c r="J53" s="44"/>
      <c r="K53" s="44"/>
      <c r="L53" s="44"/>
      <c r="M53" s="44"/>
      <c r="N53" s="46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</row>
    <row r="54" spans="1:53" ht="12.75" x14ac:dyDescent="0.15">
      <c r="A54" s="37"/>
      <c r="B54" s="75" t="s">
        <v>96</v>
      </c>
      <c r="C54" s="39">
        <f>(C10+C11)*10%</f>
        <v>0</v>
      </c>
      <c r="D54" s="39">
        <f t="shared" ref="D54:N54" si="3">(D10+D11)*10%</f>
        <v>0</v>
      </c>
      <c r="E54" s="39">
        <f t="shared" si="3"/>
        <v>0</v>
      </c>
      <c r="F54" s="39">
        <f t="shared" si="3"/>
        <v>0</v>
      </c>
      <c r="G54" s="39">
        <f t="shared" si="3"/>
        <v>0</v>
      </c>
      <c r="H54" s="39">
        <f t="shared" si="3"/>
        <v>0</v>
      </c>
      <c r="I54" s="39">
        <f t="shared" si="3"/>
        <v>0</v>
      </c>
      <c r="J54" s="39">
        <f t="shared" si="3"/>
        <v>0</v>
      </c>
      <c r="K54" s="39">
        <f t="shared" si="3"/>
        <v>0</v>
      </c>
      <c r="L54" s="39">
        <f t="shared" si="3"/>
        <v>0</v>
      </c>
      <c r="M54" s="39">
        <f t="shared" si="3"/>
        <v>0</v>
      </c>
      <c r="N54" s="39">
        <f t="shared" si="3"/>
        <v>0</v>
      </c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</row>
    <row r="55" spans="1:53" ht="12.75" x14ac:dyDescent="0.15">
      <c r="A55" s="37"/>
      <c r="B55" s="77"/>
      <c r="C55" s="49"/>
      <c r="D55" s="44"/>
      <c r="E55" s="44"/>
      <c r="F55" s="45"/>
      <c r="G55" s="44"/>
      <c r="H55" s="44"/>
      <c r="I55" s="44"/>
      <c r="J55" s="44"/>
      <c r="K55" s="44"/>
      <c r="L55" s="44"/>
      <c r="M55" s="44"/>
      <c r="N55" s="46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1:53" ht="12.75" x14ac:dyDescent="0.15">
      <c r="A56" s="37"/>
      <c r="B56" s="75"/>
      <c r="C56" s="39"/>
      <c r="D56" s="40"/>
      <c r="E56" s="40"/>
      <c r="F56" s="41"/>
      <c r="G56" s="40"/>
      <c r="H56" s="40"/>
      <c r="I56" s="40"/>
      <c r="J56" s="40"/>
      <c r="K56" s="40"/>
      <c r="L56" s="40"/>
      <c r="M56" s="40"/>
      <c r="N56" s="42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</row>
    <row r="57" spans="1:53" ht="12.75" x14ac:dyDescent="0.15">
      <c r="A57" s="156" t="s">
        <v>91</v>
      </c>
      <c r="B57" s="156"/>
      <c r="C57" s="33" t="s">
        <v>1</v>
      </c>
      <c r="D57" s="34" t="s">
        <v>2</v>
      </c>
      <c r="E57" s="34" t="s">
        <v>3</v>
      </c>
      <c r="F57" s="35" t="s">
        <v>4</v>
      </c>
      <c r="G57" s="34" t="s">
        <v>5</v>
      </c>
      <c r="H57" s="34" t="s">
        <v>6</v>
      </c>
      <c r="I57" s="34" t="s">
        <v>7</v>
      </c>
      <c r="J57" s="34" t="s">
        <v>8</v>
      </c>
      <c r="K57" s="34" t="s">
        <v>9</v>
      </c>
      <c r="L57" s="34" t="s">
        <v>10</v>
      </c>
      <c r="M57" s="34" t="s">
        <v>11</v>
      </c>
      <c r="N57" s="36" t="s">
        <v>12</v>
      </c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</row>
    <row r="58" spans="1:53" ht="12.75" x14ac:dyDescent="0.15">
      <c r="A58" s="37"/>
      <c r="B58" s="75" t="s">
        <v>46</v>
      </c>
      <c r="C58" s="39"/>
      <c r="D58" s="40"/>
      <c r="E58" s="40"/>
      <c r="F58" s="41"/>
      <c r="G58" s="40"/>
      <c r="H58" s="40"/>
      <c r="I58" s="40"/>
      <c r="J58" s="40"/>
      <c r="K58" s="40"/>
      <c r="L58" s="40"/>
      <c r="M58" s="40"/>
      <c r="N58" s="42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</row>
    <row r="59" spans="1:53" ht="12.75" x14ac:dyDescent="0.15">
      <c r="A59" s="37"/>
      <c r="B59" s="77" t="s">
        <v>47</v>
      </c>
      <c r="C59" s="49"/>
      <c r="D59" s="44"/>
      <c r="E59" s="44"/>
      <c r="F59" s="45"/>
      <c r="G59" s="44"/>
      <c r="H59" s="44"/>
      <c r="I59" s="44"/>
      <c r="J59" s="44"/>
      <c r="K59" s="44"/>
      <c r="L59" s="44"/>
      <c r="M59" s="44"/>
      <c r="N59" s="46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</row>
    <row r="60" spans="1:53" ht="12.75" x14ac:dyDescent="0.15">
      <c r="A60" s="37"/>
      <c r="B60" s="75" t="s">
        <v>48</v>
      </c>
      <c r="C60" s="39"/>
      <c r="D60" s="40"/>
      <c r="E60" s="40"/>
      <c r="F60" s="41"/>
      <c r="G60" s="40"/>
      <c r="H60" s="40"/>
      <c r="I60" s="40"/>
      <c r="J60" s="40"/>
      <c r="K60" s="40"/>
      <c r="L60" s="40"/>
      <c r="M60" s="40"/>
      <c r="N60" s="42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</row>
    <row r="61" spans="1:53" ht="12.75" x14ac:dyDescent="0.15">
      <c r="A61" s="37"/>
      <c r="B61" s="77" t="s">
        <v>97</v>
      </c>
      <c r="C61" s="49"/>
      <c r="D61" s="44"/>
      <c r="E61" s="44"/>
      <c r="F61" s="45"/>
      <c r="G61" s="44"/>
      <c r="H61" s="44"/>
      <c r="I61" s="44"/>
      <c r="J61" s="44"/>
      <c r="K61" s="44"/>
      <c r="L61" s="44"/>
      <c r="M61" s="44"/>
      <c r="N61" s="46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</row>
    <row r="62" spans="1:53" ht="12.75" x14ac:dyDescent="0.15">
      <c r="A62" s="37"/>
      <c r="B62" s="75" t="s">
        <v>98</v>
      </c>
      <c r="C62" s="39"/>
      <c r="D62" s="40"/>
      <c r="E62" s="40"/>
      <c r="F62" s="41"/>
      <c r="G62" s="40"/>
      <c r="H62" s="40"/>
      <c r="I62" s="40"/>
      <c r="J62" s="40"/>
      <c r="K62" s="40"/>
      <c r="L62" s="40"/>
      <c r="M62" s="40"/>
      <c r="N62" s="42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</row>
    <row r="63" spans="1:53" ht="12.75" x14ac:dyDescent="0.15">
      <c r="A63" s="37"/>
      <c r="B63" s="77" t="s">
        <v>99</v>
      </c>
      <c r="C63" s="49"/>
      <c r="D63" s="44"/>
      <c r="E63" s="44"/>
      <c r="F63" s="45"/>
      <c r="G63" s="44"/>
      <c r="H63" s="44"/>
      <c r="I63" s="44"/>
      <c r="J63" s="44"/>
      <c r="K63" s="44"/>
      <c r="L63" s="44"/>
      <c r="M63" s="44"/>
      <c r="N63" s="46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</row>
    <row r="64" spans="1:53" ht="12.75" x14ac:dyDescent="0.15">
      <c r="A64" s="37"/>
      <c r="B64" s="75" t="s">
        <v>53</v>
      </c>
      <c r="C64" s="39"/>
      <c r="D64" s="40"/>
      <c r="E64" s="40"/>
      <c r="F64" s="41"/>
      <c r="G64" s="40"/>
      <c r="H64" s="40"/>
      <c r="I64" s="40"/>
      <c r="J64" s="40"/>
      <c r="K64" s="40"/>
      <c r="L64" s="40"/>
      <c r="M64" s="40"/>
      <c r="N64" s="42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</row>
    <row r="65" spans="1:53" ht="12.75" x14ac:dyDescent="0.15">
      <c r="A65" s="37"/>
      <c r="B65" s="77"/>
      <c r="C65" s="49"/>
      <c r="D65" s="44"/>
      <c r="E65" s="44"/>
      <c r="F65" s="45"/>
      <c r="G65" s="44"/>
      <c r="H65" s="44"/>
      <c r="I65" s="44"/>
      <c r="J65" s="44"/>
      <c r="K65" s="44"/>
      <c r="L65" s="44"/>
      <c r="M65" s="44"/>
      <c r="N65" s="46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</row>
    <row r="66" spans="1:53" ht="12.75" x14ac:dyDescent="0.15">
      <c r="A66" s="37"/>
      <c r="B66" s="75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</row>
    <row r="67" spans="1:53" ht="21" customHeight="1" x14ac:dyDescent="0.15">
      <c r="A67" s="51" t="s">
        <v>54</v>
      </c>
      <c r="B67" s="52"/>
      <c r="C67" s="53">
        <f t="shared" ref="C67:N67" si="4">SUM(C18:C26)+SUM(C28:C66)</f>
        <v>0</v>
      </c>
      <c r="D67" s="53">
        <f t="shared" si="4"/>
        <v>0</v>
      </c>
      <c r="E67" s="53">
        <f t="shared" si="4"/>
        <v>0</v>
      </c>
      <c r="F67" s="53">
        <f t="shared" si="4"/>
        <v>0</v>
      </c>
      <c r="G67" s="53">
        <f t="shared" si="4"/>
        <v>0</v>
      </c>
      <c r="H67" s="53">
        <f t="shared" si="4"/>
        <v>0</v>
      </c>
      <c r="I67" s="53">
        <f t="shared" si="4"/>
        <v>0</v>
      </c>
      <c r="J67" s="53">
        <f t="shared" si="4"/>
        <v>0</v>
      </c>
      <c r="K67" s="53">
        <f t="shared" si="4"/>
        <v>0</v>
      </c>
      <c r="L67" s="53">
        <f t="shared" si="4"/>
        <v>0</v>
      </c>
      <c r="M67" s="53">
        <f t="shared" si="4"/>
        <v>0</v>
      </c>
      <c r="N67" s="54">
        <f t="shared" si="4"/>
        <v>0</v>
      </c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</row>
    <row r="68" spans="1:53" ht="12.75" x14ac:dyDescent="0.15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</row>
    <row r="69" spans="1:53" ht="12.75" x14ac:dyDescent="0.15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</row>
    <row r="70" spans="1:53" ht="19.5" customHeight="1" x14ac:dyDescent="0.15">
      <c r="A70" s="157" t="s">
        <v>55</v>
      </c>
      <c r="B70" s="157"/>
      <c r="C70" s="84" t="s">
        <v>1</v>
      </c>
      <c r="D70" s="85" t="s">
        <v>2</v>
      </c>
      <c r="E70" s="86" t="s">
        <v>3</v>
      </c>
      <c r="F70" s="84" t="s">
        <v>4</v>
      </c>
      <c r="G70" s="84" t="s">
        <v>5</v>
      </c>
      <c r="H70" s="84" t="s">
        <v>6</v>
      </c>
      <c r="I70" s="85" t="s">
        <v>7</v>
      </c>
      <c r="J70" s="84" t="s">
        <v>8</v>
      </c>
      <c r="K70" s="85" t="s">
        <v>9</v>
      </c>
      <c r="L70" s="84" t="s">
        <v>10</v>
      </c>
      <c r="M70" s="85" t="s">
        <v>11</v>
      </c>
      <c r="N70" s="87" t="s">
        <v>12</v>
      </c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</row>
    <row r="71" spans="1:53" s="60" customFormat="1" ht="18.75" customHeight="1" x14ac:dyDescent="0.15">
      <c r="A71" s="56">
        <v>1</v>
      </c>
      <c r="B71" s="57" t="s">
        <v>56</v>
      </c>
      <c r="C71" s="58">
        <f t="shared" ref="C71:N71" si="5">C6+C14</f>
        <v>0</v>
      </c>
      <c r="D71" s="58">
        <f t="shared" si="5"/>
        <v>0</v>
      </c>
      <c r="E71" s="58">
        <f t="shared" si="5"/>
        <v>0</v>
      </c>
      <c r="F71" s="58">
        <f t="shared" si="5"/>
        <v>0</v>
      </c>
      <c r="G71" s="58">
        <f t="shared" si="5"/>
        <v>0</v>
      </c>
      <c r="H71" s="58">
        <f t="shared" si="5"/>
        <v>0</v>
      </c>
      <c r="I71" s="58">
        <f t="shared" si="5"/>
        <v>0</v>
      </c>
      <c r="J71" s="58">
        <f t="shared" si="5"/>
        <v>0</v>
      </c>
      <c r="K71" s="58">
        <f t="shared" si="5"/>
        <v>0</v>
      </c>
      <c r="L71" s="58">
        <f t="shared" si="5"/>
        <v>0</v>
      </c>
      <c r="M71" s="58">
        <f t="shared" si="5"/>
        <v>0</v>
      </c>
      <c r="N71" s="59">
        <f t="shared" si="5"/>
        <v>0</v>
      </c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</row>
    <row r="72" spans="1:53" s="65" customFormat="1" ht="22.5" customHeight="1" x14ac:dyDescent="0.15">
      <c r="A72" s="61">
        <v>3</v>
      </c>
      <c r="B72" s="62" t="s">
        <v>57</v>
      </c>
      <c r="C72" s="63">
        <f t="shared" ref="C72:N72" si="6">-C67</f>
        <v>0</v>
      </c>
      <c r="D72" s="63">
        <f t="shared" si="6"/>
        <v>0</v>
      </c>
      <c r="E72" s="63">
        <f t="shared" si="6"/>
        <v>0</v>
      </c>
      <c r="F72" s="63">
        <f t="shared" si="6"/>
        <v>0</v>
      </c>
      <c r="G72" s="63">
        <f t="shared" si="6"/>
        <v>0</v>
      </c>
      <c r="H72" s="63">
        <f t="shared" si="6"/>
        <v>0</v>
      </c>
      <c r="I72" s="63">
        <f t="shared" si="6"/>
        <v>0</v>
      </c>
      <c r="J72" s="63">
        <f t="shared" si="6"/>
        <v>0</v>
      </c>
      <c r="K72" s="63">
        <f t="shared" si="6"/>
        <v>0</v>
      </c>
      <c r="L72" s="63">
        <f t="shared" si="6"/>
        <v>0</v>
      </c>
      <c r="M72" s="63">
        <f t="shared" si="6"/>
        <v>0</v>
      </c>
      <c r="N72" s="64">
        <f t="shared" si="6"/>
        <v>0</v>
      </c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</row>
    <row r="73" spans="1:53" s="70" customFormat="1" ht="19.5" customHeight="1" x14ac:dyDescent="0.15">
      <c r="A73" s="66" t="s">
        <v>58</v>
      </c>
      <c r="B73" s="67"/>
      <c r="C73" s="68">
        <f>SUM(C71:C72)</f>
        <v>0</v>
      </c>
      <c r="D73" s="68">
        <f t="shared" ref="D73:N73" si="7">SUM(D71:D72)</f>
        <v>0</v>
      </c>
      <c r="E73" s="68">
        <f t="shared" si="7"/>
        <v>0</v>
      </c>
      <c r="F73" s="68">
        <f t="shared" si="7"/>
        <v>0</v>
      </c>
      <c r="G73" s="68">
        <f t="shared" si="7"/>
        <v>0</v>
      </c>
      <c r="H73" s="68">
        <f t="shared" si="7"/>
        <v>0</v>
      </c>
      <c r="I73" s="68">
        <f t="shared" si="7"/>
        <v>0</v>
      </c>
      <c r="J73" s="68">
        <f t="shared" si="7"/>
        <v>0</v>
      </c>
      <c r="K73" s="68">
        <f t="shared" si="7"/>
        <v>0</v>
      </c>
      <c r="L73" s="68">
        <f t="shared" si="7"/>
        <v>0</v>
      </c>
      <c r="M73" s="68">
        <f t="shared" si="7"/>
        <v>0</v>
      </c>
      <c r="N73" s="69">
        <f t="shared" si="7"/>
        <v>0</v>
      </c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</row>
    <row r="74" spans="1:53" ht="12.75" x14ac:dyDescent="0.15">
      <c r="A74" s="71"/>
      <c r="B74" s="72" t="s">
        <v>59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</row>
    <row r="75" spans="1:53" ht="12.75" x14ac:dyDescent="0.15">
      <c r="A75" s="73"/>
      <c r="B75" s="72" t="s">
        <v>60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</row>
    <row r="76" spans="1:53" ht="12.75" x14ac:dyDescent="0.15">
      <c r="A76" s="2"/>
      <c r="B76" s="2"/>
      <c r="N76" s="16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</row>
    <row r="77" spans="1:53" ht="12.75" x14ac:dyDescent="0.15"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</row>
    <row r="78" spans="1:53" ht="12.75" x14ac:dyDescent="0.15"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</row>
    <row r="79" spans="1:53" ht="12.75" x14ac:dyDescent="0.15"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</row>
    <row r="80" spans="1:53" ht="12.75" x14ac:dyDescent="0.15"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</row>
    <row r="81" spans="15:53" ht="12.75" x14ac:dyDescent="0.15"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</row>
    <row r="82" spans="15:53" ht="12.75" x14ac:dyDescent="0.15"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</row>
    <row r="83" spans="15:53" ht="12.75" x14ac:dyDescent="0.15"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</row>
    <row r="84" spans="15:53" ht="12.75" x14ac:dyDescent="0.15"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</row>
    <row r="85" spans="15:53" ht="12.75" x14ac:dyDescent="0.15"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</row>
    <row r="86" spans="15:53" ht="12.75" x14ac:dyDescent="0.15"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</row>
    <row r="87" spans="15:53" ht="12.75" x14ac:dyDescent="0.15"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</row>
    <row r="88" spans="15:53" ht="12.75" x14ac:dyDescent="0.15"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</row>
    <row r="89" spans="15:53" ht="12.75" x14ac:dyDescent="0.15"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</row>
    <row r="90" spans="15:53" ht="12.75" x14ac:dyDescent="0.15"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1"/>
      <c r="BA90" s="151"/>
    </row>
    <row r="91" spans="15:53" ht="12.75" x14ac:dyDescent="0.15"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</row>
    <row r="92" spans="15:53" ht="12.75" x14ac:dyDescent="0.15"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</row>
    <row r="93" spans="15:53" ht="12.75" x14ac:dyDescent="0.15"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</row>
    <row r="94" spans="15:53" ht="12.75" x14ac:dyDescent="0.15"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</row>
    <row r="95" spans="15:53" ht="12.75" x14ac:dyDescent="0.15"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</row>
    <row r="96" spans="15:53" ht="12.75" x14ac:dyDescent="0.15"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</row>
    <row r="97" spans="15:53" ht="12.75" x14ac:dyDescent="0.15"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</row>
    <row r="98" spans="15:53" ht="12.75" x14ac:dyDescent="0.15"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</row>
    <row r="99" spans="15:53" ht="12.75" x14ac:dyDescent="0.15"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</row>
    <row r="100" spans="15:53" ht="12.75" x14ac:dyDescent="0.15"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</row>
    <row r="101" spans="15:53" ht="12.75" x14ac:dyDescent="0.15"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</row>
    <row r="102" spans="15:53" ht="12.75" x14ac:dyDescent="0.15"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</row>
    <row r="103" spans="15:53" ht="12.75" x14ac:dyDescent="0.15"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</row>
    <row r="104" spans="15:53" ht="12.75" x14ac:dyDescent="0.15"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</row>
    <row r="105" spans="15:53" ht="12.75" x14ac:dyDescent="0.15"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</row>
    <row r="106" spans="15:53" ht="12.75" x14ac:dyDescent="0.15"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</row>
    <row r="107" spans="15:53" ht="12.75" x14ac:dyDescent="0.15"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</row>
    <row r="108" spans="15:53" ht="12.75" x14ac:dyDescent="0.15"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</row>
    <row r="109" spans="15:53" ht="12.75" x14ac:dyDescent="0.15"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</row>
    <row r="110" spans="15:53" ht="12.75" x14ac:dyDescent="0.15"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</row>
    <row r="111" spans="15:53" ht="12.75" x14ac:dyDescent="0.15"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</row>
    <row r="112" spans="15:53" ht="12.75" x14ac:dyDescent="0.15"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</row>
    <row r="113" spans="15:53" ht="12.75" x14ac:dyDescent="0.15"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</row>
    <row r="114" spans="15:53" ht="12.75" x14ac:dyDescent="0.15"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</row>
    <row r="115" spans="15:53" ht="12.75" x14ac:dyDescent="0.15"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</row>
    <row r="116" spans="15:53" ht="12.75" x14ac:dyDescent="0.15"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</row>
    <row r="117" spans="15:53" ht="12.75" x14ac:dyDescent="0.15"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</row>
    <row r="118" spans="15:53" ht="12.75" x14ac:dyDescent="0.15"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</row>
    <row r="119" spans="15:53" ht="12.75" x14ac:dyDescent="0.15"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</row>
    <row r="120" spans="15:53" ht="12.75" x14ac:dyDescent="0.15"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</row>
    <row r="121" spans="15:53" ht="12.75" x14ac:dyDescent="0.15"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</row>
    <row r="122" spans="15:53" ht="12.75" x14ac:dyDescent="0.15"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</row>
    <row r="123" spans="15:53" ht="12.75" x14ac:dyDescent="0.15"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</row>
    <row r="124" spans="15:53" ht="12.75" x14ac:dyDescent="0.15"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</row>
    <row r="125" spans="15:53" ht="12.75" x14ac:dyDescent="0.15"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</row>
    <row r="126" spans="15:53" ht="12.75" x14ac:dyDescent="0.15"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</row>
    <row r="127" spans="15:53" ht="12.75" x14ac:dyDescent="0.15"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</row>
    <row r="128" spans="15:53" ht="12.75" x14ac:dyDescent="0.15"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</row>
    <row r="129" spans="15:53" ht="12.75" x14ac:dyDescent="0.15"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</row>
    <row r="130" spans="15:53" ht="12.75" x14ac:dyDescent="0.15"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</row>
    <row r="131" spans="15:53" ht="12.75" x14ac:dyDescent="0.15"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</row>
    <row r="132" spans="15:53" ht="12.75" x14ac:dyDescent="0.15"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</row>
    <row r="133" spans="15:53" ht="12.75" x14ac:dyDescent="0.15"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</row>
    <row r="134" spans="15:53" ht="12.75" x14ac:dyDescent="0.15"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</row>
    <row r="135" spans="15:53" ht="12.75" x14ac:dyDescent="0.15"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</row>
    <row r="136" spans="15:53" ht="12.75" x14ac:dyDescent="0.15"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</row>
    <row r="137" spans="15:53" ht="12.75" x14ac:dyDescent="0.15"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</row>
    <row r="138" spans="15:53" ht="12.75" x14ac:dyDescent="0.15"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</row>
    <row r="139" spans="15:53" ht="12.75" x14ac:dyDescent="0.15"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</row>
    <row r="140" spans="15:53" ht="12.75" x14ac:dyDescent="0.15"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</row>
    <row r="141" spans="15:53" ht="12.75" x14ac:dyDescent="0.15"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</row>
    <row r="142" spans="15:53" ht="12.75" x14ac:dyDescent="0.15"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</row>
    <row r="143" spans="15:53" ht="12.75" x14ac:dyDescent="0.15"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</row>
    <row r="144" spans="15:53" ht="12.75" x14ac:dyDescent="0.15"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</row>
    <row r="145" spans="15:53" ht="12.75" x14ac:dyDescent="0.15"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</row>
    <row r="146" spans="15:53" ht="12.75" x14ac:dyDescent="0.15"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</row>
    <row r="147" spans="15:53" ht="12.75" x14ac:dyDescent="0.15"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</row>
    <row r="148" spans="15:53" ht="12.75" x14ac:dyDescent="0.15"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</row>
    <row r="149" spans="15:53" ht="12.75" x14ac:dyDescent="0.15"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</row>
    <row r="150" spans="15:53" ht="12.75" x14ac:dyDescent="0.15"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</row>
    <row r="151" spans="15:53" ht="12.75" x14ac:dyDescent="0.15"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</row>
    <row r="152" spans="15:53" ht="12.75" x14ac:dyDescent="0.15"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</row>
    <row r="153" spans="15:53" ht="12.75" x14ac:dyDescent="0.15"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</row>
    <row r="154" spans="15:53" ht="12.75" x14ac:dyDescent="0.15"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</row>
    <row r="155" spans="15:53" ht="12.75" x14ac:dyDescent="0.15"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</row>
    <row r="156" spans="15:53" ht="12.75" x14ac:dyDescent="0.15"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</row>
    <row r="157" spans="15:53" ht="12.75" x14ac:dyDescent="0.15"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</row>
    <row r="158" spans="15:53" ht="12.75" x14ac:dyDescent="0.15"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</row>
    <row r="159" spans="15:53" ht="12.75" x14ac:dyDescent="0.15"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</row>
    <row r="160" spans="15:53" ht="12.75" x14ac:dyDescent="0.15"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</row>
    <row r="161" spans="15:53" ht="12.75" x14ac:dyDescent="0.15"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</row>
    <row r="162" spans="15:53" ht="12.75" x14ac:dyDescent="0.15"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</row>
    <row r="163" spans="15:53" ht="12.75" x14ac:dyDescent="0.15"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</row>
    <row r="164" spans="15:53" ht="12.75" x14ac:dyDescent="0.15"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</row>
    <row r="165" spans="15:53" ht="12.75" x14ac:dyDescent="0.15"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</row>
    <row r="166" spans="15:53" ht="12.75" x14ac:dyDescent="0.15"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</row>
    <row r="167" spans="15:53" ht="12.75" x14ac:dyDescent="0.15"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</row>
    <row r="168" spans="15:53" ht="12.75" x14ac:dyDescent="0.15"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</row>
    <row r="169" spans="15:53" ht="12.75" x14ac:dyDescent="0.15"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</row>
    <row r="170" spans="15:53" ht="12.75" x14ac:dyDescent="0.15"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</row>
    <row r="171" spans="15:53" ht="12.75" x14ac:dyDescent="0.15"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</row>
    <row r="172" spans="15:53" ht="12.75" x14ac:dyDescent="0.15"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</row>
  </sheetData>
  <sheetProtection password="C7BC" sheet="1"/>
  <mergeCells count="15">
    <mergeCell ref="A1:N2"/>
    <mergeCell ref="O1:BA172"/>
    <mergeCell ref="A3:B3"/>
    <mergeCell ref="C3:N3"/>
    <mergeCell ref="A4:B4"/>
    <mergeCell ref="A8:B9"/>
    <mergeCell ref="A16:B16"/>
    <mergeCell ref="C16:N16"/>
    <mergeCell ref="A17:B17"/>
    <mergeCell ref="A27:B27"/>
    <mergeCell ref="A41:B41"/>
    <mergeCell ref="A47:B47"/>
    <mergeCell ref="A57:B57"/>
    <mergeCell ref="A68:N69"/>
    <mergeCell ref="A70:B70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workbookViewId="0" xr3:uid="{51F8DEE0-4D01-5F28-A812-FC0BD7CAC4A5}">
      <selection activeCell="D27" sqref="D27"/>
    </sheetView>
  </sheetViews>
  <sheetFormatPr defaultColWidth="9.03515625" defaultRowHeight="12.75" x14ac:dyDescent="0.15"/>
  <cols>
    <col min="1" max="1" width="2.2890625" style="88" customWidth="1"/>
    <col min="2" max="2" width="51.51171875" style="88" customWidth="1"/>
    <col min="3" max="16384" width="9.03515625" style="88"/>
  </cols>
  <sheetData>
    <row r="1" spans="1:14" ht="12.75" customHeight="1" x14ac:dyDescent="0.15">
      <c r="A1" s="158"/>
      <c r="B1" s="158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2.75" customHeight="1" x14ac:dyDescent="0.15">
      <c r="A2" s="158"/>
      <c r="B2" s="158"/>
      <c r="C2" s="91" t="s">
        <v>1</v>
      </c>
      <c r="D2" s="91" t="s">
        <v>2</v>
      </c>
      <c r="E2" s="92" t="s">
        <v>3</v>
      </c>
      <c r="F2" s="91" t="s">
        <v>4</v>
      </c>
      <c r="G2" s="91" t="s">
        <v>5</v>
      </c>
      <c r="H2" s="91" t="s">
        <v>6</v>
      </c>
      <c r="I2" s="91" t="s">
        <v>7</v>
      </c>
      <c r="J2" s="91" t="s">
        <v>8</v>
      </c>
      <c r="K2" s="91" t="s">
        <v>9</v>
      </c>
      <c r="L2" s="91" t="s">
        <v>10</v>
      </c>
      <c r="M2" s="92" t="s">
        <v>11</v>
      </c>
      <c r="N2" s="93" t="s">
        <v>12</v>
      </c>
    </row>
    <row r="3" spans="1:14" ht="12.75" customHeight="1" x14ac:dyDescent="0.15">
      <c r="A3" s="94"/>
      <c r="B3" s="95" t="s">
        <v>100</v>
      </c>
      <c r="C3" s="96"/>
      <c r="D3" s="97">
        <f>C4</f>
        <v>0</v>
      </c>
      <c r="E3" s="97">
        <f t="shared" ref="E3:N3" si="0">D4</f>
        <v>0</v>
      </c>
      <c r="F3" s="97">
        <f t="shared" si="0"/>
        <v>0</v>
      </c>
      <c r="G3" s="97">
        <f t="shared" si="0"/>
        <v>0</v>
      </c>
      <c r="H3" s="97">
        <f t="shared" si="0"/>
        <v>0</v>
      </c>
      <c r="I3" s="97">
        <f t="shared" si="0"/>
        <v>0</v>
      </c>
      <c r="J3" s="97">
        <f t="shared" si="0"/>
        <v>0</v>
      </c>
      <c r="K3" s="97">
        <f t="shared" si="0"/>
        <v>0</v>
      </c>
      <c r="L3" s="97">
        <f t="shared" si="0"/>
        <v>0</v>
      </c>
      <c r="M3" s="97">
        <f t="shared" si="0"/>
        <v>0</v>
      </c>
      <c r="N3" s="97">
        <f t="shared" si="0"/>
        <v>0</v>
      </c>
    </row>
    <row r="4" spans="1:14" x14ac:dyDescent="0.15">
      <c r="A4" s="98" t="s">
        <v>14</v>
      </c>
      <c r="B4" s="99"/>
      <c r="C4" s="100">
        <f t="shared" ref="C4:N4" si="1">SUM(C3:C3)</f>
        <v>0</v>
      </c>
      <c r="D4" s="100">
        <f t="shared" si="1"/>
        <v>0</v>
      </c>
      <c r="E4" s="100">
        <f t="shared" si="1"/>
        <v>0</v>
      </c>
      <c r="F4" s="100">
        <f t="shared" si="1"/>
        <v>0</v>
      </c>
      <c r="G4" s="100">
        <f t="shared" si="1"/>
        <v>0</v>
      </c>
      <c r="H4" s="100">
        <f t="shared" si="1"/>
        <v>0</v>
      </c>
      <c r="I4" s="100">
        <f t="shared" si="1"/>
        <v>0</v>
      </c>
      <c r="J4" s="100">
        <f t="shared" si="1"/>
        <v>0</v>
      </c>
      <c r="K4" s="100">
        <f t="shared" si="1"/>
        <v>0</v>
      </c>
      <c r="L4" s="100">
        <f t="shared" si="1"/>
        <v>0</v>
      </c>
      <c r="M4" s="100">
        <f t="shared" si="1"/>
        <v>0</v>
      </c>
      <c r="N4" s="100">
        <f t="shared" si="1"/>
        <v>0</v>
      </c>
    </row>
    <row r="6" spans="1:14" ht="15" customHeight="1" x14ac:dyDescent="0.15">
      <c r="A6" s="158" t="s">
        <v>101</v>
      </c>
      <c r="B6" s="158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4" ht="15" customHeight="1" x14ac:dyDescent="0.15">
      <c r="A7" s="158"/>
      <c r="B7" s="158"/>
      <c r="C7" s="91" t="s">
        <v>1</v>
      </c>
      <c r="D7" s="91" t="s">
        <v>2</v>
      </c>
      <c r="E7" s="92" t="s">
        <v>3</v>
      </c>
      <c r="F7" s="91" t="s">
        <v>4</v>
      </c>
      <c r="G7" s="91" t="s">
        <v>5</v>
      </c>
      <c r="H7" s="91" t="s">
        <v>6</v>
      </c>
      <c r="I7" s="91" t="s">
        <v>7</v>
      </c>
      <c r="J7" s="91" t="s">
        <v>8</v>
      </c>
      <c r="K7" s="91" t="s">
        <v>9</v>
      </c>
      <c r="L7" s="91" t="s">
        <v>10</v>
      </c>
      <c r="M7" s="92" t="s">
        <v>11</v>
      </c>
      <c r="N7" s="93" t="s">
        <v>12</v>
      </c>
    </row>
    <row r="8" spans="1:14" x14ac:dyDescent="0.15">
      <c r="A8" s="94"/>
      <c r="B8" s="95" t="s">
        <v>102</v>
      </c>
      <c r="C8" s="96"/>
      <c r="D8" s="97"/>
      <c r="E8" s="97"/>
      <c r="F8" s="97"/>
      <c r="G8" s="97"/>
      <c r="H8" s="97"/>
      <c r="I8" s="97"/>
      <c r="J8" s="101"/>
      <c r="K8" s="97"/>
      <c r="L8" s="101"/>
      <c r="M8" s="97"/>
      <c r="N8" s="102"/>
    </row>
    <row r="9" spans="1:14" x14ac:dyDescent="0.15">
      <c r="A9" s="94"/>
      <c r="B9" s="103" t="s">
        <v>103</v>
      </c>
      <c r="C9" s="104"/>
      <c r="D9" s="105"/>
      <c r="E9" s="105"/>
      <c r="F9" s="105"/>
      <c r="G9" s="105"/>
      <c r="H9" s="105"/>
      <c r="I9" s="105"/>
      <c r="J9" s="106"/>
      <c r="K9" s="105"/>
      <c r="L9" s="106"/>
      <c r="M9" s="105"/>
      <c r="N9" s="107"/>
    </row>
    <row r="10" spans="1:14" x14ac:dyDescent="0.15">
      <c r="A10" s="94"/>
      <c r="B10" s="95" t="s">
        <v>104</v>
      </c>
      <c r="C10" s="96"/>
      <c r="D10" s="97"/>
      <c r="E10" s="97"/>
      <c r="F10" s="97"/>
      <c r="G10" s="97"/>
      <c r="H10" s="97"/>
      <c r="I10" s="97"/>
      <c r="J10" s="101"/>
      <c r="K10" s="97"/>
      <c r="L10" s="101"/>
      <c r="M10" s="97"/>
      <c r="N10" s="102"/>
    </row>
    <row r="11" spans="1:14" x14ac:dyDescent="0.15">
      <c r="A11" s="94"/>
      <c r="B11" s="103"/>
      <c r="C11" s="106"/>
      <c r="D11" s="105"/>
      <c r="E11" s="105"/>
      <c r="F11" s="105"/>
      <c r="G11" s="105"/>
      <c r="H11" s="105"/>
      <c r="I11" s="105"/>
      <c r="J11" s="106"/>
      <c r="K11" s="105"/>
      <c r="L11" s="106"/>
      <c r="M11" s="105"/>
      <c r="N11" s="107"/>
    </row>
    <row r="12" spans="1:14" x14ac:dyDescent="0.15">
      <c r="A12" s="94"/>
      <c r="B12" s="95"/>
      <c r="C12" s="101"/>
      <c r="D12" s="97"/>
      <c r="E12" s="97"/>
      <c r="F12" s="97"/>
      <c r="G12" s="97"/>
      <c r="H12" s="97"/>
      <c r="I12" s="97"/>
      <c r="J12" s="101"/>
      <c r="K12" s="97"/>
      <c r="L12" s="101"/>
      <c r="M12" s="97"/>
      <c r="N12" s="102"/>
    </row>
    <row r="13" spans="1:14" x14ac:dyDescent="0.15">
      <c r="A13" s="98" t="s">
        <v>105</v>
      </c>
      <c r="B13" s="99"/>
      <c r="C13" s="100">
        <f t="shared" ref="C13:N13" si="2">SUM(C8:C12)</f>
        <v>0</v>
      </c>
      <c r="D13" s="100">
        <f t="shared" si="2"/>
        <v>0</v>
      </c>
      <c r="E13" s="100">
        <f t="shared" si="2"/>
        <v>0</v>
      </c>
      <c r="F13" s="100">
        <f t="shared" si="2"/>
        <v>0</v>
      </c>
      <c r="G13" s="100">
        <f t="shared" si="2"/>
        <v>0</v>
      </c>
      <c r="H13" s="100">
        <f t="shared" si="2"/>
        <v>0</v>
      </c>
      <c r="I13" s="100">
        <f t="shared" si="2"/>
        <v>0</v>
      </c>
      <c r="J13" s="100">
        <f t="shared" si="2"/>
        <v>0</v>
      </c>
      <c r="K13" s="100">
        <f t="shared" si="2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</row>
    <row r="14" spans="1:14" x14ac:dyDescent="0.15">
      <c r="A14" s="108"/>
      <c r="B14" s="109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r="15" spans="1:14" ht="19.5" customHeight="1" x14ac:dyDescent="0.15">
      <c r="A15" s="159" t="s">
        <v>106</v>
      </c>
      <c r="B15" s="159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</row>
    <row r="16" spans="1:14" ht="21" customHeight="1" x14ac:dyDescent="0.15">
      <c r="A16" s="159"/>
      <c r="B16" s="159"/>
      <c r="C16" s="111" t="s">
        <v>1</v>
      </c>
      <c r="D16" s="112" t="s">
        <v>2</v>
      </c>
      <c r="E16" s="112" t="s">
        <v>3</v>
      </c>
      <c r="F16" s="113" t="s">
        <v>4</v>
      </c>
      <c r="G16" s="112" t="s">
        <v>5</v>
      </c>
      <c r="H16" s="112" t="s">
        <v>6</v>
      </c>
      <c r="I16" s="112" t="s">
        <v>7</v>
      </c>
      <c r="J16" s="112" t="s">
        <v>8</v>
      </c>
      <c r="K16" s="112" t="s">
        <v>9</v>
      </c>
      <c r="L16" s="112" t="s">
        <v>10</v>
      </c>
      <c r="M16" s="112" t="s">
        <v>11</v>
      </c>
      <c r="N16" s="112" t="s">
        <v>12</v>
      </c>
    </row>
    <row r="17" spans="1:14" x14ac:dyDescent="0.15">
      <c r="A17" s="114"/>
      <c r="B17" s="115" t="s">
        <v>107</v>
      </c>
      <c r="C17" s="116"/>
      <c r="D17" s="117"/>
      <c r="E17" s="117"/>
      <c r="F17" s="118"/>
      <c r="G17" s="117"/>
      <c r="H17" s="117"/>
      <c r="I17" s="117"/>
      <c r="J17" s="117"/>
      <c r="K17" s="117"/>
      <c r="L17" s="117"/>
      <c r="M17" s="117"/>
      <c r="N17" s="117"/>
    </row>
    <row r="18" spans="1:14" x14ac:dyDescent="0.15">
      <c r="A18" s="114"/>
      <c r="B18" s="119" t="s">
        <v>108</v>
      </c>
      <c r="C18" s="120"/>
      <c r="D18" s="120"/>
      <c r="E18" s="120"/>
      <c r="F18" s="121"/>
      <c r="G18" s="120"/>
      <c r="H18" s="120"/>
      <c r="I18" s="120"/>
      <c r="J18" s="120"/>
      <c r="K18" s="120"/>
      <c r="L18" s="120"/>
      <c r="M18" s="120"/>
      <c r="N18" s="120"/>
    </row>
    <row r="19" spans="1:14" x14ac:dyDescent="0.15">
      <c r="A19" s="114"/>
      <c r="B19" s="115" t="s">
        <v>109</v>
      </c>
      <c r="C19" s="117"/>
      <c r="D19" s="117"/>
      <c r="E19" s="117"/>
      <c r="F19" s="118"/>
      <c r="G19" s="117"/>
      <c r="H19" s="117"/>
      <c r="I19" s="117"/>
      <c r="J19" s="117"/>
      <c r="K19" s="117"/>
      <c r="L19" s="117"/>
      <c r="M19" s="117"/>
      <c r="N19" s="117"/>
    </row>
    <row r="20" spans="1:14" x14ac:dyDescent="0.15">
      <c r="A20" s="122" t="s">
        <v>110</v>
      </c>
      <c r="B20" s="123"/>
      <c r="C20" s="124">
        <f>SUM(C17:C19)</f>
        <v>0</v>
      </c>
      <c r="D20" s="124">
        <f t="shared" ref="D20:N20" si="3">SUM(D17:D19)</f>
        <v>0</v>
      </c>
      <c r="E20" s="124">
        <f t="shared" si="3"/>
        <v>0</v>
      </c>
      <c r="F20" s="124">
        <f t="shared" si="3"/>
        <v>0</v>
      </c>
      <c r="G20" s="124">
        <f t="shared" si="3"/>
        <v>0</v>
      </c>
      <c r="H20" s="124">
        <f t="shared" si="3"/>
        <v>0</v>
      </c>
      <c r="I20" s="124">
        <f t="shared" si="3"/>
        <v>0</v>
      </c>
      <c r="J20" s="124">
        <f t="shared" si="3"/>
        <v>0</v>
      </c>
      <c r="K20" s="124">
        <f t="shared" si="3"/>
        <v>0</v>
      </c>
      <c r="L20" s="124">
        <f t="shared" si="3"/>
        <v>0</v>
      </c>
      <c r="M20" s="124">
        <f t="shared" si="3"/>
        <v>0</v>
      </c>
      <c r="N20" s="124">
        <f t="shared" si="3"/>
        <v>0</v>
      </c>
    </row>
    <row r="21" spans="1:14" x14ac:dyDescent="0.15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</row>
    <row r="22" spans="1:14" x14ac:dyDescent="0.15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</row>
    <row r="23" spans="1:14" x14ac:dyDescent="0.15">
      <c r="A23" s="162" t="s">
        <v>111</v>
      </c>
      <c r="B23" s="162"/>
      <c r="C23" s="125" t="s">
        <v>1</v>
      </c>
      <c r="D23" s="126" t="s">
        <v>2</v>
      </c>
      <c r="E23" s="127" t="s">
        <v>3</v>
      </c>
      <c r="F23" s="125" t="s">
        <v>4</v>
      </c>
      <c r="G23" s="125" t="s">
        <v>5</v>
      </c>
      <c r="H23" s="125" t="s">
        <v>6</v>
      </c>
      <c r="I23" s="126" t="s">
        <v>7</v>
      </c>
      <c r="J23" s="125" t="s">
        <v>8</v>
      </c>
      <c r="K23" s="126" t="s">
        <v>9</v>
      </c>
      <c r="L23" s="125" t="s">
        <v>10</v>
      </c>
      <c r="M23" s="126" t="s">
        <v>11</v>
      </c>
      <c r="N23" s="127" t="s">
        <v>12</v>
      </c>
    </row>
    <row r="24" spans="1:14" x14ac:dyDescent="0.15">
      <c r="A24" s="128">
        <v>1</v>
      </c>
      <c r="B24" s="129" t="s">
        <v>56</v>
      </c>
      <c r="C24" s="130">
        <f>C4+C13</f>
        <v>0</v>
      </c>
      <c r="D24" s="130">
        <f t="shared" ref="D24:N24" si="4">D4+D13</f>
        <v>0</v>
      </c>
      <c r="E24" s="130">
        <f t="shared" si="4"/>
        <v>0</v>
      </c>
      <c r="F24" s="130">
        <f t="shared" si="4"/>
        <v>0</v>
      </c>
      <c r="G24" s="130">
        <f t="shared" si="4"/>
        <v>0</v>
      </c>
      <c r="H24" s="130">
        <f t="shared" si="4"/>
        <v>0</v>
      </c>
      <c r="I24" s="130">
        <f t="shared" si="4"/>
        <v>0</v>
      </c>
      <c r="J24" s="130">
        <f t="shared" si="4"/>
        <v>0</v>
      </c>
      <c r="K24" s="130">
        <f t="shared" si="4"/>
        <v>0</v>
      </c>
      <c r="L24" s="130">
        <f t="shared" si="4"/>
        <v>0</v>
      </c>
      <c r="M24" s="130">
        <f t="shared" si="4"/>
        <v>0</v>
      </c>
      <c r="N24" s="130">
        <f t="shared" si="4"/>
        <v>0</v>
      </c>
    </row>
    <row r="25" spans="1:14" x14ac:dyDescent="0.15">
      <c r="A25" s="131">
        <v>3</v>
      </c>
      <c r="B25" s="131" t="s">
        <v>57</v>
      </c>
      <c r="C25" s="132">
        <f t="shared" ref="C25:N25" si="5">-C20</f>
        <v>0</v>
      </c>
      <c r="D25" s="132">
        <f t="shared" si="5"/>
        <v>0</v>
      </c>
      <c r="E25" s="132">
        <f t="shared" si="5"/>
        <v>0</v>
      </c>
      <c r="F25" s="132">
        <f t="shared" si="5"/>
        <v>0</v>
      </c>
      <c r="G25" s="132">
        <f t="shared" si="5"/>
        <v>0</v>
      </c>
      <c r="H25" s="132">
        <f t="shared" si="5"/>
        <v>0</v>
      </c>
      <c r="I25" s="132">
        <f t="shared" si="5"/>
        <v>0</v>
      </c>
      <c r="J25" s="132">
        <f t="shared" si="5"/>
        <v>0</v>
      </c>
      <c r="K25" s="132">
        <f t="shared" si="5"/>
        <v>0</v>
      </c>
      <c r="L25" s="132">
        <f t="shared" si="5"/>
        <v>0</v>
      </c>
      <c r="M25" s="132">
        <f t="shared" si="5"/>
        <v>0</v>
      </c>
      <c r="N25" s="132">
        <f t="shared" si="5"/>
        <v>0</v>
      </c>
    </row>
    <row r="26" spans="1:14" x14ac:dyDescent="0.15">
      <c r="A26" s="133" t="s">
        <v>58</v>
      </c>
      <c r="B26" s="134"/>
      <c r="C26" s="135">
        <f t="shared" ref="C26:N26" si="6">SUM(C24:C25)</f>
        <v>0</v>
      </c>
      <c r="D26" s="135">
        <f t="shared" si="6"/>
        <v>0</v>
      </c>
      <c r="E26" s="135">
        <f t="shared" si="6"/>
        <v>0</v>
      </c>
      <c r="F26" s="135">
        <f t="shared" si="6"/>
        <v>0</v>
      </c>
      <c r="G26" s="135">
        <f t="shared" si="6"/>
        <v>0</v>
      </c>
      <c r="H26" s="135">
        <f t="shared" si="6"/>
        <v>0</v>
      </c>
      <c r="I26" s="135">
        <f t="shared" si="6"/>
        <v>0</v>
      </c>
      <c r="J26" s="135">
        <f t="shared" si="6"/>
        <v>0</v>
      </c>
      <c r="K26" s="135">
        <f t="shared" si="6"/>
        <v>0</v>
      </c>
      <c r="L26" s="135">
        <f t="shared" si="6"/>
        <v>0</v>
      </c>
      <c r="M26" s="135">
        <f t="shared" si="6"/>
        <v>0</v>
      </c>
      <c r="N26" s="136">
        <f t="shared" si="6"/>
        <v>0</v>
      </c>
    </row>
  </sheetData>
  <sheetProtection password="C7BC" sheet="1"/>
  <mergeCells count="6">
    <mergeCell ref="A23:B23"/>
    <mergeCell ref="A1:B2"/>
    <mergeCell ref="A6:B7"/>
    <mergeCell ref="A15:B16"/>
    <mergeCell ref="C15:N15"/>
    <mergeCell ref="A21:N22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workbookViewId="0" xr3:uid="{F9CF3CF3-643B-5BE6-8B46-32C596A47465}">
      <selection activeCell="A25" sqref="A25"/>
    </sheetView>
  </sheetViews>
  <sheetFormatPr defaultColWidth="9.03515625" defaultRowHeight="12.75" x14ac:dyDescent="0.15"/>
  <cols>
    <col min="1" max="1" width="3.50390625" style="88" customWidth="1"/>
    <col min="2" max="2" width="27.23828125" style="88" customWidth="1"/>
    <col min="3" max="16384" width="9.03515625" style="88"/>
  </cols>
  <sheetData>
    <row r="1" spans="1:14" x14ac:dyDescent="0.15">
      <c r="A1" s="158"/>
      <c r="B1" s="158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x14ac:dyDescent="0.15">
      <c r="A2" s="158"/>
      <c r="B2" s="158"/>
      <c r="C2" s="91" t="s">
        <v>1</v>
      </c>
      <c r="D2" s="91" t="s">
        <v>2</v>
      </c>
      <c r="E2" s="92" t="s">
        <v>3</v>
      </c>
      <c r="F2" s="91" t="s">
        <v>4</v>
      </c>
      <c r="G2" s="91" t="s">
        <v>5</v>
      </c>
      <c r="H2" s="91" t="s">
        <v>6</v>
      </c>
      <c r="I2" s="91" t="s">
        <v>7</v>
      </c>
      <c r="J2" s="91" t="s">
        <v>8</v>
      </c>
      <c r="K2" s="91" t="s">
        <v>9</v>
      </c>
      <c r="L2" s="91" t="s">
        <v>10</v>
      </c>
      <c r="M2" s="92" t="s">
        <v>11</v>
      </c>
      <c r="N2" s="93" t="s">
        <v>12</v>
      </c>
    </row>
    <row r="3" spans="1:14" x14ac:dyDescent="0.15">
      <c r="A3" s="94"/>
      <c r="B3" s="95" t="s">
        <v>100</v>
      </c>
      <c r="C3" s="96"/>
      <c r="D3" s="97">
        <f>C4</f>
        <v>0</v>
      </c>
      <c r="E3" s="97">
        <f t="shared" ref="E3:N3" si="0">D4</f>
        <v>0</v>
      </c>
      <c r="F3" s="97">
        <f t="shared" si="0"/>
        <v>0</v>
      </c>
      <c r="G3" s="97">
        <f t="shared" si="0"/>
        <v>0</v>
      </c>
      <c r="H3" s="97">
        <f t="shared" si="0"/>
        <v>0</v>
      </c>
      <c r="I3" s="97">
        <f t="shared" si="0"/>
        <v>0</v>
      </c>
      <c r="J3" s="97">
        <f t="shared" si="0"/>
        <v>0</v>
      </c>
      <c r="K3" s="97">
        <f t="shared" si="0"/>
        <v>0</v>
      </c>
      <c r="L3" s="97">
        <f t="shared" si="0"/>
        <v>0</v>
      </c>
      <c r="M3" s="97">
        <f t="shared" si="0"/>
        <v>0</v>
      </c>
      <c r="N3" s="97">
        <f t="shared" si="0"/>
        <v>0</v>
      </c>
    </row>
    <row r="4" spans="1:14" x14ac:dyDescent="0.15">
      <c r="A4" s="98" t="s">
        <v>14</v>
      </c>
      <c r="B4" s="99"/>
      <c r="C4" s="100">
        <f t="shared" ref="C4:N4" si="1">SUM(C3:C3)</f>
        <v>0</v>
      </c>
      <c r="D4" s="100">
        <f t="shared" si="1"/>
        <v>0</v>
      </c>
      <c r="E4" s="100">
        <f t="shared" si="1"/>
        <v>0</v>
      </c>
      <c r="F4" s="100">
        <f t="shared" si="1"/>
        <v>0</v>
      </c>
      <c r="G4" s="100">
        <f t="shared" si="1"/>
        <v>0</v>
      </c>
      <c r="H4" s="100">
        <f t="shared" si="1"/>
        <v>0</v>
      </c>
      <c r="I4" s="100">
        <f t="shared" si="1"/>
        <v>0</v>
      </c>
      <c r="J4" s="100">
        <f t="shared" si="1"/>
        <v>0</v>
      </c>
      <c r="K4" s="100">
        <f t="shared" si="1"/>
        <v>0</v>
      </c>
      <c r="L4" s="100">
        <f t="shared" si="1"/>
        <v>0</v>
      </c>
      <c r="M4" s="100">
        <f t="shared" si="1"/>
        <v>0</v>
      </c>
      <c r="N4" s="100">
        <f t="shared" si="1"/>
        <v>0</v>
      </c>
    </row>
    <row r="6" spans="1:14" ht="14.1" customHeight="1" x14ac:dyDescent="0.15">
      <c r="A6" s="158" t="s">
        <v>112</v>
      </c>
      <c r="B6" s="158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4" x14ac:dyDescent="0.15">
      <c r="A7" s="158"/>
      <c r="B7" s="158"/>
      <c r="C7" s="91" t="s">
        <v>1</v>
      </c>
      <c r="D7" s="91" t="s">
        <v>2</v>
      </c>
      <c r="E7" s="92" t="s">
        <v>3</v>
      </c>
      <c r="F7" s="91" t="s">
        <v>4</v>
      </c>
      <c r="G7" s="91" t="s">
        <v>5</v>
      </c>
      <c r="H7" s="91" t="s">
        <v>6</v>
      </c>
      <c r="I7" s="91" t="s">
        <v>7</v>
      </c>
      <c r="J7" s="91" t="s">
        <v>8</v>
      </c>
      <c r="K7" s="91" t="s">
        <v>9</v>
      </c>
      <c r="L7" s="91" t="s">
        <v>10</v>
      </c>
      <c r="M7" s="92" t="s">
        <v>11</v>
      </c>
      <c r="N7" s="93" t="s">
        <v>12</v>
      </c>
    </row>
    <row r="8" spans="1:14" x14ac:dyDescent="0.15">
      <c r="A8" s="94"/>
      <c r="B8" s="95" t="s">
        <v>113</v>
      </c>
      <c r="C8" s="96"/>
      <c r="D8" s="97"/>
      <c r="E8" s="97"/>
      <c r="F8" s="97"/>
      <c r="G8" s="97"/>
      <c r="H8" s="97"/>
      <c r="I8" s="97"/>
      <c r="J8" s="101"/>
      <c r="K8" s="97"/>
      <c r="L8" s="101"/>
      <c r="M8" s="97"/>
      <c r="N8" s="102"/>
    </row>
    <row r="9" spans="1:14" x14ac:dyDescent="0.15">
      <c r="A9" s="94"/>
      <c r="B9" s="103" t="s">
        <v>114</v>
      </c>
      <c r="C9" s="104"/>
      <c r="D9" s="105"/>
      <c r="E9" s="105"/>
      <c r="F9" s="105"/>
      <c r="G9" s="105"/>
      <c r="H9" s="105"/>
      <c r="I9" s="105"/>
      <c r="J9" s="106"/>
      <c r="K9" s="105"/>
      <c r="L9" s="106"/>
      <c r="M9" s="105"/>
      <c r="N9" s="107"/>
    </row>
    <row r="10" spans="1:14" x14ac:dyDescent="0.15">
      <c r="A10" s="94"/>
      <c r="B10" s="95" t="s">
        <v>115</v>
      </c>
      <c r="C10" s="96"/>
      <c r="D10" s="97"/>
      <c r="E10" s="97"/>
      <c r="F10" s="97"/>
      <c r="G10" s="97"/>
      <c r="H10" s="97"/>
      <c r="I10" s="97"/>
      <c r="J10" s="101"/>
      <c r="K10" s="97"/>
      <c r="L10" s="101"/>
      <c r="M10" s="97"/>
      <c r="N10" s="102"/>
    </row>
    <row r="11" spans="1:14" x14ac:dyDescent="0.15">
      <c r="A11" s="94"/>
      <c r="B11" s="103"/>
      <c r="C11" s="106"/>
      <c r="D11" s="105"/>
      <c r="E11" s="105"/>
      <c r="F11" s="105"/>
      <c r="G11" s="105"/>
      <c r="H11" s="105"/>
      <c r="I11" s="105"/>
      <c r="J11" s="106"/>
      <c r="K11" s="105"/>
      <c r="L11" s="106"/>
      <c r="M11" s="105"/>
      <c r="N11" s="107"/>
    </row>
    <row r="12" spans="1:14" x14ac:dyDescent="0.15">
      <c r="A12" s="94"/>
      <c r="B12" s="95"/>
      <c r="C12" s="101"/>
      <c r="D12" s="97"/>
      <c r="E12" s="97"/>
      <c r="F12" s="97"/>
      <c r="G12" s="97"/>
      <c r="H12" s="97"/>
      <c r="I12" s="97"/>
      <c r="J12" s="101"/>
      <c r="K12" s="97"/>
      <c r="L12" s="101"/>
      <c r="M12" s="97"/>
      <c r="N12" s="102"/>
    </row>
    <row r="13" spans="1:14" x14ac:dyDescent="0.15">
      <c r="A13" s="98" t="s">
        <v>116</v>
      </c>
      <c r="B13" s="99"/>
      <c r="C13" s="100">
        <f t="shared" ref="C13:N13" si="2">SUM(C8:C12)</f>
        <v>0</v>
      </c>
      <c r="D13" s="100">
        <f t="shared" si="2"/>
        <v>0</v>
      </c>
      <c r="E13" s="100">
        <f t="shared" si="2"/>
        <v>0</v>
      </c>
      <c r="F13" s="100">
        <f t="shared" si="2"/>
        <v>0</v>
      </c>
      <c r="G13" s="100">
        <f t="shared" si="2"/>
        <v>0</v>
      </c>
      <c r="H13" s="100">
        <f t="shared" si="2"/>
        <v>0</v>
      </c>
      <c r="I13" s="100">
        <f t="shared" si="2"/>
        <v>0</v>
      </c>
      <c r="J13" s="100">
        <f t="shared" si="2"/>
        <v>0</v>
      </c>
      <c r="K13" s="100">
        <f t="shared" si="2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</row>
    <row r="14" spans="1:14" x14ac:dyDescent="0.15">
      <c r="A14" s="108"/>
      <c r="B14" s="109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r="15" spans="1:14" ht="14.1" customHeight="1" x14ac:dyDescent="0.15">
      <c r="A15" s="159" t="s">
        <v>106</v>
      </c>
      <c r="B15" s="159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</row>
    <row r="16" spans="1:14" x14ac:dyDescent="0.15">
      <c r="A16" s="159"/>
      <c r="B16" s="159"/>
      <c r="C16" s="111" t="s">
        <v>1</v>
      </c>
      <c r="D16" s="112" t="s">
        <v>2</v>
      </c>
      <c r="E16" s="112" t="s">
        <v>3</v>
      </c>
      <c r="F16" s="113" t="s">
        <v>4</v>
      </c>
      <c r="G16" s="112" t="s">
        <v>5</v>
      </c>
      <c r="H16" s="112" t="s">
        <v>6</v>
      </c>
      <c r="I16" s="112" t="s">
        <v>7</v>
      </c>
      <c r="J16" s="112" t="s">
        <v>8</v>
      </c>
      <c r="K16" s="112" t="s">
        <v>9</v>
      </c>
      <c r="L16" s="112" t="s">
        <v>10</v>
      </c>
      <c r="M16" s="112" t="s">
        <v>11</v>
      </c>
      <c r="N16" s="112" t="s">
        <v>12</v>
      </c>
    </row>
    <row r="17" spans="1:14" ht="14.25" x14ac:dyDescent="0.15">
      <c r="A17" s="137"/>
      <c r="B17" s="115" t="s">
        <v>117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</row>
    <row r="18" spans="1:14" ht="14.25" x14ac:dyDescent="0.15">
      <c r="A18" s="137"/>
      <c r="B18" s="139" t="s">
        <v>118</v>
      </c>
      <c r="C18" s="140">
        <f>'Cartão de Crédito'!D10</f>
        <v>0</v>
      </c>
      <c r="D18" s="140">
        <f>'Cartão de Crédito'!E10</f>
        <v>0</v>
      </c>
      <c r="E18" s="140">
        <f>'Cartão de Crédito'!F10</f>
        <v>0</v>
      </c>
      <c r="F18" s="140">
        <f>'Cartão de Crédito'!G10</f>
        <v>0</v>
      </c>
      <c r="G18" s="140">
        <f>'Cartão de Crédito'!H10</f>
        <v>0</v>
      </c>
      <c r="H18" s="140">
        <f>'Cartão de Crédito'!I10</f>
        <v>0</v>
      </c>
      <c r="I18" s="140">
        <f>'Cartão de Crédito'!J10</f>
        <v>0</v>
      </c>
      <c r="J18" s="140">
        <f>'Cartão de Crédito'!K10</f>
        <v>0</v>
      </c>
      <c r="K18" s="140">
        <f>'Cartão de Crédito'!L10</f>
        <v>0</v>
      </c>
      <c r="L18" s="140">
        <f>'Cartão de Crédito'!M10</f>
        <v>0</v>
      </c>
      <c r="M18" s="140">
        <f>'Cartão de Crédito'!N10</f>
        <v>0</v>
      </c>
      <c r="N18" s="140">
        <f>'Cartão de Crédito'!O10</f>
        <v>0</v>
      </c>
    </row>
    <row r="19" spans="1:14" ht="14.25" x14ac:dyDescent="0.15">
      <c r="A19" s="137"/>
      <c r="B19" s="115" t="s">
        <v>119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</row>
    <row r="20" spans="1:14" ht="14.25" x14ac:dyDescent="0.15">
      <c r="A20" s="137"/>
      <c r="B20" s="139" t="s">
        <v>120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</row>
    <row r="21" spans="1:14" x14ac:dyDescent="0.15">
      <c r="A21" s="114"/>
      <c r="B21" s="115" t="s">
        <v>121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</row>
    <row r="22" spans="1:14" x14ac:dyDescent="0.15">
      <c r="A22" s="114"/>
      <c r="B22" s="139" t="s">
        <v>122</v>
      </c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</row>
    <row r="23" spans="1:14" x14ac:dyDescent="0.15">
      <c r="A23" s="114"/>
      <c r="B23" s="115" t="s">
        <v>123</v>
      </c>
      <c r="C23" s="138">
        <v>13.5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1:14" x14ac:dyDescent="0.15">
      <c r="A24" s="122" t="s">
        <v>110</v>
      </c>
      <c r="B24" s="123"/>
      <c r="C24" s="124">
        <f>SUM(C17:C23)</f>
        <v>13.5</v>
      </c>
      <c r="D24" s="124">
        <f t="shared" ref="D24:N24" si="3">SUM(D17:D23)</f>
        <v>0</v>
      </c>
      <c r="E24" s="124">
        <f t="shared" si="3"/>
        <v>0</v>
      </c>
      <c r="F24" s="124">
        <f t="shared" si="3"/>
        <v>0</v>
      </c>
      <c r="G24" s="124">
        <f t="shared" si="3"/>
        <v>0</v>
      </c>
      <c r="H24" s="124">
        <f t="shared" si="3"/>
        <v>0</v>
      </c>
      <c r="I24" s="124">
        <f t="shared" si="3"/>
        <v>0</v>
      </c>
      <c r="J24" s="124">
        <f t="shared" si="3"/>
        <v>0</v>
      </c>
      <c r="K24" s="124">
        <f t="shared" si="3"/>
        <v>0</v>
      </c>
      <c r="L24" s="124">
        <f t="shared" si="3"/>
        <v>0</v>
      </c>
      <c r="M24" s="124">
        <f t="shared" si="3"/>
        <v>0</v>
      </c>
      <c r="N24" s="124">
        <f t="shared" si="3"/>
        <v>0</v>
      </c>
    </row>
    <row r="25" spans="1:14" x14ac:dyDescent="0.15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</row>
    <row r="26" spans="1:14" x14ac:dyDescent="0.15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</row>
    <row r="27" spans="1:14" x14ac:dyDescent="0.15">
      <c r="A27" s="162" t="s">
        <v>111</v>
      </c>
      <c r="B27" s="162"/>
      <c r="C27" s="125" t="s">
        <v>1</v>
      </c>
      <c r="D27" s="126" t="s">
        <v>2</v>
      </c>
      <c r="E27" s="127" t="s">
        <v>3</v>
      </c>
      <c r="F27" s="125" t="s">
        <v>4</v>
      </c>
      <c r="G27" s="125" t="s">
        <v>5</v>
      </c>
      <c r="H27" s="125" t="s">
        <v>6</v>
      </c>
      <c r="I27" s="126" t="s">
        <v>7</v>
      </c>
      <c r="J27" s="125" t="s">
        <v>8</v>
      </c>
      <c r="K27" s="126" t="s">
        <v>9</v>
      </c>
      <c r="L27" s="125" t="s">
        <v>10</v>
      </c>
      <c r="M27" s="126" t="s">
        <v>11</v>
      </c>
      <c r="N27" s="127" t="s">
        <v>12</v>
      </c>
    </row>
    <row r="28" spans="1:14" x14ac:dyDescent="0.15">
      <c r="A28" s="128">
        <v>1</v>
      </c>
      <c r="B28" s="129" t="s">
        <v>56</v>
      </c>
      <c r="C28" s="130">
        <f>C4+C13</f>
        <v>0</v>
      </c>
      <c r="D28" s="130">
        <f t="shared" ref="D28:N28" si="4">D4+D13</f>
        <v>0</v>
      </c>
      <c r="E28" s="130">
        <f t="shared" si="4"/>
        <v>0</v>
      </c>
      <c r="F28" s="130">
        <f t="shared" si="4"/>
        <v>0</v>
      </c>
      <c r="G28" s="130">
        <f t="shared" si="4"/>
        <v>0</v>
      </c>
      <c r="H28" s="130">
        <f t="shared" si="4"/>
        <v>0</v>
      </c>
      <c r="I28" s="130">
        <f t="shared" si="4"/>
        <v>0</v>
      </c>
      <c r="J28" s="130">
        <f t="shared" si="4"/>
        <v>0</v>
      </c>
      <c r="K28" s="130">
        <f t="shared" si="4"/>
        <v>0</v>
      </c>
      <c r="L28" s="130">
        <f t="shared" si="4"/>
        <v>0</v>
      </c>
      <c r="M28" s="130">
        <f t="shared" si="4"/>
        <v>0</v>
      </c>
      <c r="N28" s="130">
        <f t="shared" si="4"/>
        <v>0</v>
      </c>
    </row>
    <row r="29" spans="1:14" x14ac:dyDescent="0.15">
      <c r="A29" s="131">
        <v>3</v>
      </c>
      <c r="B29" s="131" t="s">
        <v>57</v>
      </c>
      <c r="C29" s="132">
        <f t="shared" ref="C29:N29" si="5">-C24</f>
        <v>-13.5</v>
      </c>
      <c r="D29" s="132">
        <f t="shared" si="5"/>
        <v>0</v>
      </c>
      <c r="E29" s="132">
        <f t="shared" si="5"/>
        <v>0</v>
      </c>
      <c r="F29" s="132">
        <f t="shared" si="5"/>
        <v>0</v>
      </c>
      <c r="G29" s="132">
        <f t="shared" si="5"/>
        <v>0</v>
      </c>
      <c r="H29" s="132">
        <f t="shared" si="5"/>
        <v>0</v>
      </c>
      <c r="I29" s="132">
        <f t="shared" si="5"/>
        <v>0</v>
      </c>
      <c r="J29" s="132">
        <f t="shared" si="5"/>
        <v>0</v>
      </c>
      <c r="K29" s="132">
        <f t="shared" si="5"/>
        <v>0</v>
      </c>
      <c r="L29" s="132">
        <f t="shared" si="5"/>
        <v>0</v>
      </c>
      <c r="M29" s="132">
        <f t="shared" si="5"/>
        <v>0</v>
      </c>
      <c r="N29" s="132">
        <f t="shared" si="5"/>
        <v>0</v>
      </c>
    </row>
    <row r="30" spans="1:14" x14ac:dyDescent="0.15">
      <c r="A30" s="133" t="s">
        <v>58</v>
      </c>
      <c r="B30" s="134"/>
      <c r="C30" s="135">
        <f t="shared" ref="C30:N30" si="6">SUM(C28:C29)</f>
        <v>-13.5</v>
      </c>
      <c r="D30" s="135">
        <f t="shared" si="6"/>
        <v>0</v>
      </c>
      <c r="E30" s="135">
        <f t="shared" si="6"/>
        <v>0</v>
      </c>
      <c r="F30" s="135">
        <f t="shared" si="6"/>
        <v>0</v>
      </c>
      <c r="G30" s="135">
        <f t="shared" si="6"/>
        <v>0</v>
      </c>
      <c r="H30" s="135">
        <f t="shared" si="6"/>
        <v>0</v>
      </c>
      <c r="I30" s="135">
        <f t="shared" si="6"/>
        <v>0</v>
      </c>
      <c r="J30" s="135">
        <f t="shared" si="6"/>
        <v>0</v>
      </c>
      <c r="K30" s="135">
        <f t="shared" si="6"/>
        <v>0</v>
      </c>
      <c r="L30" s="135">
        <f t="shared" si="6"/>
        <v>0</v>
      </c>
      <c r="M30" s="135">
        <f t="shared" si="6"/>
        <v>0</v>
      </c>
      <c r="N30" s="136">
        <f t="shared" si="6"/>
        <v>0</v>
      </c>
    </row>
  </sheetData>
  <sheetProtection password="C7BC" sheet="1"/>
  <mergeCells count="6">
    <mergeCell ref="A27:B27"/>
    <mergeCell ref="A1:B2"/>
    <mergeCell ref="A6:B7"/>
    <mergeCell ref="A15:B16"/>
    <mergeCell ref="C15:N15"/>
    <mergeCell ref="A25:N26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 xr3:uid="{78B4E459-6924-5F8B-B7BA-2DD04133E49E}">
      <selection activeCell="C21" sqref="C21"/>
    </sheetView>
  </sheetViews>
  <sheetFormatPr defaultColWidth="9.03515625" defaultRowHeight="12.75" x14ac:dyDescent="0.15"/>
  <cols>
    <col min="1" max="1" width="9.03515625" style="88"/>
    <col min="2" max="3" width="21.44140625" style="88" customWidth="1"/>
    <col min="4" max="16384" width="9.03515625" style="88"/>
  </cols>
  <sheetData>
    <row r="1" spans="1:15" ht="12.75" customHeight="1" x14ac:dyDescent="0.15">
      <c r="A1" s="163" t="s">
        <v>118</v>
      </c>
      <c r="B1" s="163"/>
      <c r="C1" s="89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5" ht="12.75" customHeight="1" x14ac:dyDescent="0.15">
      <c r="A2" s="163"/>
      <c r="B2" s="163"/>
      <c r="C2" s="89"/>
      <c r="D2" s="141" t="s">
        <v>1</v>
      </c>
      <c r="E2" s="91" t="s">
        <v>2</v>
      </c>
      <c r="F2" s="92" t="s">
        <v>3</v>
      </c>
      <c r="G2" s="91" t="s">
        <v>4</v>
      </c>
      <c r="H2" s="91" t="s">
        <v>5</v>
      </c>
      <c r="I2" s="91" t="s">
        <v>6</v>
      </c>
      <c r="J2" s="91" t="s">
        <v>7</v>
      </c>
      <c r="K2" s="91" t="s">
        <v>8</v>
      </c>
      <c r="L2" s="91" t="s">
        <v>9</v>
      </c>
      <c r="M2" s="91" t="s">
        <v>10</v>
      </c>
      <c r="N2" s="92" t="s">
        <v>11</v>
      </c>
      <c r="O2" s="93" t="s">
        <v>12</v>
      </c>
    </row>
    <row r="3" spans="1:15" x14ac:dyDescent="0.15">
      <c r="A3" s="163"/>
      <c r="B3" s="163"/>
      <c r="C3" s="164" t="s">
        <v>124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</row>
    <row r="4" spans="1:15" x14ac:dyDescent="0.15">
      <c r="A4" s="94"/>
      <c r="B4" s="141"/>
      <c r="C4" s="141"/>
      <c r="D4" s="91"/>
      <c r="E4" s="92"/>
      <c r="F4" s="91"/>
      <c r="G4" s="91"/>
      <c r="H4" s="91"/>
      <c r="I4" s="91"/>
      <c r="J4" s="91"/>
      <c r="K4" s="91"/>
      <c r="L4" s="91"/>
      <c r="M4" s="92"/>
      <c r="N4" s="93"/>
      <c r="O4" s="141"/>
    </row>
    <row r="5" spans="1:15" x14ac:dyDescent="0.15">
      <c r="A5" s="94"/>
      <c r="B5" s="103" t="s">
        <v>125</v>
      </c>
      <c r="C5" s="142" t="s">
        <v>126</v>
      </c>
      <c r="D5" s="104"/>
      <c r="E5" s="105"/>
      <c r="F5" s="105"/>
      <c r="G5" s="105"/>
      <c r="H5" s="105"/>
      <c r="I5" s="105"/>
      <c r="J5" s="105"/>
      <c r="K5" s="106"/>
      <c r="L5" s="105"/>
      <c r="M5" s="106"/>
      <c r="N5" s="105"/>
      <c r="O5" s="107"/>
    </row>
    <row r="6" spans="1:15" x14ac:dyDescent="0.15">
      <c r="A6" s="94"/>
      <c r="B6" s="95" t="s">
        <v>127</v>
      </c>
      <c r="C6" s="143" t="s">
        <v>126</v>
      </c>
      <c r="D6" s="96"/>
      <c r="E6" s="97"/>
      <c r="F6" s="97"/>
      <c r="G6" s="97"/>
      <c r="H6" s="97"/>
      <c r="I6" s="97"/>
      <c r="J6" s="97"/>
      <c r="K6" s="101"/>
      <c r="L6" s="97"/>
      <c r="M6" s="101"/>
      <c r="N6" s="97"/>
      <c r="O6" s="102"/>
    </row>
    <row r="7" spans="1:15" x14ac:dyDescent="0.15">
      <c r="A7" s="94"/>
      <c r="B7" s="103" t="s">
        <v>128</v>
      </c>
      <c r="C7" s="142" t="s">
        <v>126</v>
      </c>
      <c r="D7" s="104"/>
      <c r="E7" s="105"/>
      <c r="F7" s="105"/>
      <c r="G7" s="105"/>
      <c r="H7" s="105"/>
      <c r="I7" s="105"/>
      <c r="J7" s="105"/>
      <c r="K7" s="106"/>
      <c r="L7" s="105"/>
      <c r="M7" s="106"/>
      <c r="N7" s="105"/>
      <c r="O7" s="107"/>
    </row>
    <row r="8" spans="1:15" x14ac:dyDescent="0.15">
      <c r="A8" s="94"/>
      <c r="B8" s="95" t="s">
        <v>128</v>
      </c>
      <c r="C8" s="143" t="s">
        <v>126</v>
      </c>
      <c r="D8" s="96"/>
      <c r="E8" s="97"/>
      <c r="F8" s="97"/>
      <c r="G8" s="97"/>
      <c r="H8" s="97"/>
      <c r="I8" s="97"/>
      <c r="J8" s="97"/>
      <c r="K8" s="101"/>
      <c r="L8" s="97"/>
      <c r="M8" s="101"/>
      <c r="N8" s="97"/>
      <c r="O8" s="102"/>
    </row>
    <row r="9" spans="1:15" x14ac:dyDescent="0.15">
      <c r="A9" s="94"/>
      <c r="B9" s="103" t="s">
        <v>129</v>
      </c>
      <c r="C9" s="142" t="s">
        <v>126</v>
      </c>
      <c r="D9" s="104"/>
      <c r="E9" s="105"/>
      <c r="F9" s="105"/>
      <c r="G9" s="105"/>
      <c r="H9" s="105"/>
      <c r="I9" s="105"/>
      <c r="J9" s="105"/>
      <c r="K9" s="106"/>
      <c r="L9" s="105"/>
      <c r="M9" s="106"/>
      <c r="N9" s="105"/>
      <c r="O9" s="107"/>
    </row>
    <row r="10" spans="1:15" x14ac:dyDescent="0.15">
      <c r="A10" s="98" t="s">
        <v>130</v>
      </c>
      <c r="B10" s="99"/>
      <c r="C10" s="144">
        <f>SUM(C5:C9)</f>
        <v>0</v>
      </c>
      <c r="D10" s="144">
        <f t="shared" ref="D10:O10" si="0">SUM(D5:D9)</f>
        <v>0</v>
      </c>
      <c r="E10" s="144">
        <f t="shared" si="0"/>
        <v>0</v>
      </c>
      <c r="F10" s="144">
        <f t="shared" si="0"/>
        <v>0</v>
      </c>
      <c r="G10" s="144">
        <f t="shared" si="0"/>
        <v>0</v>
      </c>
      <c r="H10" s="144">
        <f t="shared" si="0"/>
        <v>0</v>
      </c>
      <c r="I10" s="144">
        <f t="shared" si="0"/>
        <v>0</v>
      </c>
      <c r="J10" s="144">
        <f t="shared" si="0"/>
        <v>0</v>
      </c>
      <c r="K10" s="144">
        <f t="shared" si="0"/>
        <v>0</v>
      </c>
      <c r="L10" s="144">
        <f t="shared" si="0"/>
        <v>0</v>
      </c>
      <c r="M10" s="144">
        <f t="shared" si="0"/>
        <v>0</v>
      </c>
      <c r="N10" s="144">
        <f t="shared" si="0"/>
        <v>0</v>
      </c>
      <c r="O10" s="144">
        <f t="shared" si="0"/>
        <v>0</v>
      </c>
    </row>
    <row r="12" spans="1:15" ht="12.75" customHeight="1" x14ac:dyDescent="0.15">
      <c r="A12" s="163" t="s">
        <v>131</v>
      </c>
      <c r="B12" s="163"/>
      <c r="C12" s="145">
        <v>5000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</row>
    <row r="13" spans="1:15" ht="12.75" customHeight="1" x14ac:dyDescent="0.15">
      <c r="A13" s="163"/>
      <c r="B13" s="163"/>
      <c r="C13" s="146" t="s">
        <v>132</v>
      </c>
      <c r="D13" s="91" t="s">
        <v>1</v>
      </c>
      <c r="E13" s="91" t="s">
        <v>2</v>
      </c>
      <c r="F13" s="92" t="s">
        <v>3</v>
      </c>
      <c r="G13" s="91" t="s">
        <v>4</v>
      </c>
      <c r="H13" s="91" t="s">
        <v>5</v>
      </c>
      <c r="I13" s="91" t="s">
        <v>6</v>
      </c>
      <c r="J13" s="91" t="s">
        <v>7</v>
      </c>
      <c r="K13" s="91" t="s">
        <v>8</v>
      </c>
      <c r="L13" s="91" t="s">
        <v>9</v>
      </c>
      <c r="M13" s="91" t="s">
        <v>10</v>
      </c>
      <c r="N13" s="92" t="s">
        <v>11</v>
      </c>
      <c r="O13" s="93" t="s">
        <v>12</v>
      </c>
    </row>
    <row r="14" spans="1:15" x14ac:dyDescent="0.15">
      <c r="A14" s="163"/>
      <c r="B14" s="163"/>
      <c r="C14" s="147" t="s">
        <v>133</v>
      </c>
      <c r="D14" s="96">
        <f>D10</f>
        <v>0</v>
      </c>
      <c r="E14" s="96">
        <f t="shared" ref="E14:N14" si="1">E10</f>
        <v>0</v>
      </c>
      <c r="F14" s="96">
        <f t="shared" si="1"/>
        <v>0</v>
      </c>
      <c r="G14" s="96">
        <f t="shared" si="1"/>
        <v>0</v>
      </c>
      <c r="H14" s="96">
        <f t="shared" si="1"/>
        <v>0</v>
      </c>
      <c r="I14" s="96">
        <f t="shared" si="1"/>
        <v>0</v>
      </c>
      <c r="J14" s="96">
        <f t="shared" si="1"/>
        <v>0</v>
      </c>
      <c r="K14" s="96">
        <f t="shared" si="1"/>
        <v>0</v>
      </c>
      <c r="L14" s="96">
        <f t="shared" si="1"/>
        <v>0</v>
      </c>
      <c r="M14" s="96">
        <f t="shared" si="1"/>
        <v>0</v>
      </c>
      <c r="N14" s="96">
        <f t="shared" si="1"/>
        <v>0</v>
      </c>
      <c r="O14" s="96">
        <f>O10</f>
        <v>0</v>
      </c>
    </row>
    <row r="15" spans="1:15" ht="14.25" customHeight="1" x14ac:dyDescent="0.15">
      <c r="A15" s="165" t="s">
        <v>134</v>
      </c>
      <c r="B15" s="165"/>
      <c r="C15" s="165"/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7" ht="12.75" customHeight="1" x14ac:dyDescent="0.15"/>
  </sheetData>
  <sheetProtection password="C7BC" sheet="1"/>
  <mergeCells count="4">
    <mergeCell ref="A1:B3"/>
    <mergeCell ref="C3:O3"/>
    <mergeCell ref="A12:B14"/>
    <mergeCell ref="A15:C15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FC-FAMILIAR</vt:lpstr>
      <vt:lpstr>FC-ESTUDANTE</vt:lpstr>
      <vt:lpstr>FC-DONA DE CASA</vt:lpstr>
      <vt:lpstr>Poupança-Investimento</vt:lpstr>
      <vt:lpstr>Banco Conta Corrente</vt:lpstr>
      <vt:lpstr>Cartão de Crédito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>X</cp:lastModifiedBy>
  <dcterms:created xsi:type="dcterms:W3CDTF">2018-04-23T18:54:45Z</dcterms:created>
  <dcterms:modified xsi:type="dcterms:W3CDTF">2018-04-23T18:54:46Z</dcterms:modified>
</cp:coreProperties>
</file>