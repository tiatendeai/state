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228"/>
  <workbookPr defaultThemeVersion="166925"/>
  <mc:AlternateContent xmlns:mc="http://schemas.openxmlformats.org/markup-compatibility/2006">
    <mc:Choice Requires="x15">
      <x15ac:absPath xmlns:x15ac="http://schemas.microsoft.com/office/spreadsheetml/2010/11/ac" url="C:\Users\ProCont Soluções\Desktop\"/>
    </mc:Choice>
  </mc:AlternateContent>
  <xr:revisionPtr revIDLastSave="0" documentId="10_ncr:8100000_{DD6CAB14-77B5-4EDA-98EF-622E0B446513}" xr6:coauthVersionLast="34" xr6:coauthVersionMax="34" xr10:uidLastSave="{00000000-0000-0000-0000-000000000000}"/>
  <bookViews>
    <workbookView xWindow="0" yWindow="0" windowWidth="28800" windowHeight="12810" firstSheet="1" activeTab="1" xr2:uid="{9F88115E-5E45-4FA0-912A-CBE7C043F979}"/>
  </bookViews>
  <sheets>
    <sheet name="Planilha2" sheetId="2" state="hidden" r:id="rId1"/>
    <sheet name="Planilha1" sheetId="1" r:id="rId2"/>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23" i="1" l="1"/>
  <c r="D3" i="1"/>
  <c r="F24" i="1"/>
  <c r="F25" i="1"/>
  <c r="F26" i="1"/>
  <c r="F27" i="1"/>
  <c r="F28" i="1"/>
  <c r="F29" i="1"/>
  <c r="F30" i="1"/>
  <c r="F31" i="1"/>
  <c r="F32" i="1"/>
  <c r="F33" i="1"/>
  <c r="F34" i="1"/>
  <c r="F23" i="1"/>
  <c r="C24" i="1"/>
  <c r="C25" i="1"/>
  <c r="C26" i="1"/>
  <c r="C27" i="1"/>
  <c r="C28" i="1"/>
  <c r="C29" i="1"/>
  <c r="C30" i="1"/>
  <c r="C31" i="1"/>
  <c r="C32" i="1"/>
  <c r="C33" i="1"/>
  <c r="C34" i="1"/>
  <c r="C23" i="1"/>
  <c r="C18" i="1"/>
  <c r="B18" i="1"/>
  <c r="D7" i="1"/>
  <c r="D8" i="1"/>
  <c r="D9" i="1"/>
  <c r="D10" i="1"/>
  <c r="D11" i="1"/>
  <c r="D12" i="1"/>
  <c r="D13" i="1"/>
  <c r="D14" i="1"/>
  <c r="D15" i="1"/>
  <c r="D16" i="1"/>
  <c r="D17" i="1"/>
  <c r="D6" i="1"/>
  <c r="K3" i="2" s="1"/>
  <c r="O3" i="2" s="1"/>
  <c r="N3" i="2" l="1"/>
  <c r="P3" i="2"/>
  <c r="E23" i="1" s="1"/>
  <c r="M3" i="2"/>
  <c r="K14" i="2"/>
  <c r="K7" i="2"/>
  <c r="K11" i="2"/>
  <c r="K12" i="2"/>
  <c r="K4" i="2"/>
  <c r="K8" i="2"/>
  <c r="K5" i="2"/>
  <c r="K9" i="2"/>
  <c r="K13" i="2"/>
  <c r="K6" i="2"/>
  <c r="K10" i="2"/>
  <c r="D18" i="1"/>
  <c r="D23" i="1" l="1"/>
  <c r="G23" i="1"/>
  <c r="P10" i="2"/>
  <c r="N10" i="2"/>
  <c r="P5" i="2"/>
  <c r="N5" i="2"/>
  <c r="P11" i="2"/>
  <c r="N11" i="2"/>
  <c r="N6" i="2"/>
  <c r="P6" i="2"/>
  <c r="P8" i="2"/>
  <c r="N8" i="2"/>
  <c r="P7" i="2"/>
  <c r="N7" i="2"/>
  <c r="P13" i="2"/>
  <c r="N13" i="2"/>
  <c r="P4" i="2"/>
  <c r="N4" i="2"/>
  <c r="N14" i="2"/>
  <c r="P14" i="2"/>
  <c r="P9" i="2"/>
  <c r="N9" i="2"/>
  <c r="P12" i="2"/>
  <c r="N12" i="2"/>
  <c r="O13" i="2"/>
  <c r="M13" i="2"/>
  <c r="O9" i="2"/>
  <c r="M9" i="2"/>
  <c r="O12" i="2"/>
  <c r="M12" i="2"/>
  <c r="O10" i="2"/>
  <c r="E30" i="1" s="1"/>
  <c r="M10" i="2"/>
  <c r="B30" i="1" s="1"/>
  <c r="M5" i="2"/>
  <c r="O5" i="2"/>
  <c r="M11" i="2"/>
  <c r="O11" i="2"/>
  <c r="O6" i="2"/>
  <c r="M6" i="2"/>
  <c r="O8" i="2"/>
  <c r="E28" i="1" s="1"/>
  <c r="M8" i="2"/>
  <c r="M7" i="2"/>
  <c r="O7" i="2"/>
  <c r="O4" i="2"/>
  <c r="M4" i="2"/>
  <c r="O14" i="2"/>
  <c r="M14" i="2"/>
  <c r="B31" i="1" l="1"/>
  <c r="D31" i="1" s="1"/>
  <c r="E33" i="1"/>
  <c r="G33" i="1" s="1"/>
  <c r="B24" i="1"/>
  <c r="E24" i="1"/>
  <c r="G24" i="1" s="1"/>
  <c r="E29" i="1"/>
  <c r="G29" i="1" s="1"/>
  <c r="B26" i="1"/>
  <c r="D26" i="1" s="1"/>
  <c r="E25" i="1"/>
  <c r="G25" i="1" s="1"/>
  <c r="B33" i="1"/>
  <c r="D33" i="1" s="1"/>
  <c r="H23" i="1"/>
  <c r="B34" i="1"/>
  <c r="D34" i="1" s="1"/>
  <c r="E31" i="1"/>
  <c r="G31" i="1" s="1"/>
  <c r="B29" i="1"/>
  <c r="D29" i="1" s="1"/>
  <c r="B32" i="1"/>
  <c r="D32" i="1" s="1"/>
  <c r="E34" i="1"/>
  <c r="G34" i="1" s="1"/>
  <c r="B27" i="1"/>
  <c r="D27" i="1" s="1"/>
  <c r="E26" i="1"/>
  <c r="G26" i="1" s="1"/>
  <c r="B25" i="1"/>
  <c r="D25" i="1" s="1"/>
  <c r="E32" i="1"/>
  <c r="G32" i="1" s="1"/>
  <c r="B28" i="1"/>
  <c r="D28" i="1" s="1"/>
  <c r="G28" i="1"/>
  <c r="G30" i="1"/>
  <c r="D30" i="1"/>
  <c r="E27" i="1"/>
  <c r="G27" i="1" s="1"/>
  <c r="D24" i="1"/>
  <c r="H28" i="1" l="1"/>
  <c r="H31" i="1"/>
  <c r="H26" i="1"/>
  <c r="H24" i="1"/>
  <c r="H25" i="1"/>
  <c r="H27" i="1"/>
  <c r="H32" i="1"/>
  <c r="H34" i="1"/>
  <c r="H33" i="1"/>
  <c r="H29" i="1"/>
  <c r="H30"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ProCont Soluções</author>
  </authors>
  <commentList>
    <comment ref="B3" authorId="0" shapeId="0" xr:uid="{69B2C277-13E5-44F1-B5F3-C80477569FDC}">
      <text>
        <r>
          <rPr>
            <b/>
            <sz val="9"/>
            <color indexed="81"/>
            <rFont val="Segoe UI"/>
            <family val="2"/>
          </rPr>
          <t>ProCont Soluções:</t>
        </r>
        <r>
          <rPr>
            <sz val="9"/>
            <color indexed="81"/>
            <rFont val="Segoe UI"/>
            <family val="2"/>
          </rPr>
          <t xml:space="preserve">
Informar aqui o valor do salário mensal desejado.</t>
        </r>
      </text>
    </comment>
  </commentList>
</comments>
</file>

<file path=xl/sharedStrings.xml><?xml version="1.0" encoding="utf-8"?>
<sst xmlns="http://schemas.openxmlformats.org/spreadsheetml/2006/main" count="94" uniqueCount="38">
  <si>
    <t>Planilha para Cálculo do Simples Nacional - Representantação e Comércio</t>
  </si>
  <si>
    <t>Faturamento</t>
  </si>
  <si>
    <t>Mês 01</t>
  </si>
  <si>
    <t>Mês 02</t>
  </si>
  <si>
    <t>Mês 03</t>
  </si>
  <si>
    <t>Mês 04</t>
  </si>
  <si>
    <t>Mês 05</t>
  </si>
  <si>
    <t>Mês 06</t>
  </si>
  <si>
    <t>Mês 07</t>
  </si>
  <si>
    <t>Mês 08</t>
  </si>
  <si>
    <t>Mês 09</t>
  </si>
  <si>
    <t>Mês 10</t>
  </si>
  <si>
    <t>Mês 11</t>
  </si>
  <si>
    <t>Mês 12</t>
  </si>
  <si>
    <t>Pró-Labore</t>
  </si>
  <si>
    <t>Representação</t>
  </si>
  <si>
    <t>Comércio</t>
  </si>
  <si>
    <t>Total</t>
  </si>
  <si>
    <t>Tabelas de Alíquotas Simples Nacional</t>
  </si>
  <si>
    <t>Receita Bruta Total em 12 meses</t>
  </si>
  <si>
    <t>Alíquota</t>
  </si>
  <si>
    <t>Quanto descontar do valor recolhido</t>
  </si>
  <si>
    <t>De</t>
  </si>
  <si>
    <t>Até</t>
  </si>
  <si>
    <t>Obs: As alíquotas aqui listadas, não são aplicadas diretamente no faturamento da empresa, com exceção da primeira faixa de enquadramento, elas são variáveis de acordo com uma formula pré definida pela Receita Federal do Brasil.</t>
  </si>
  <si>
    <t>Cálculo Simples Nacional</t>
  </si>
  <si>
    <t>Alíquota Efetiva</t>
  </si>
  <si>
    <t>Competência</t>
  </si>
  <si>
    <t>Alíquota mês</t>
  </si>
  <si>
    <t>Receita Bruta 12</t>
  </si>
  <si>
    <t>Alíquota Rep</t>
  </si>
  <si>
    <t>Alíquota Com</t>
  </si>
  <si>
    <t>Dedução</t>
  </si>
  <si>
    <t>Base de Cálculo</t>
  </si>
  <si>
    <t>Imposto</t>
  </si>
  <si>
    <t>Esse é o salário do sócio da empresa. Ao menos um dos sócios é obrigado a ter um salário de pelo menos um salário mínimo nacional vigênte.</t>
  </si>
  <si>
    <t>INSS Pró-Labore</t>
  </si>
  <si>
    <t>Total a pagar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</si>
</sst>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8" formatCode="&quot;R$&quot;\ #,##0.00;[Red]\-&quot;R$&quot;\ #,##0.00"/>
    <numFmt numFmtId="44" formatCode="_-&quot;R$&quot;\ * #,##0.00_-;\-&quot;R$&quot;\ * #,##0.00_-;_-&quot;R$&quot;\ * &quot;-&quot;??_-;_-@_-"/>
    <numFmt numFmtId="170" formatCode="0.0000%"/>
    <numFmt numFmtId="175" formatCode="_-&quot;R$&quot;\ * #,##0.0000_-;\-&quot;R$&quot;\ * #,##0.0000_-;_-&quot;R$&quot;\ * &quot;-&quot;????_-;_-@_-"/>
  </numFmts>
  <fonts count="9" x14ac:knownFonts="1">
    <font>
      <sz val="11"/>
      <color theme="1"/>
      <name val="Calibri"/>
      <family val="2"/>
      <scheme val="minor"/>
    </font>
    <font>
      <sz val="11"/>
      <color theme="1"/>
      <name val="Calibri"/>
      <family val="2"/>
      <scheme val="minor"/>
    </font>
    <font>
      <b/>
      <sz val="11"/>
      <color theme="1"/>
      <name val="Calibri"/>
      <family val="2"/>
      <scheme val="minor"/>
    </font>
    <font>
      <sz val="11"/>
      <color theme="0"/>
      <name val="Calibri"/>
      <family val="2"/>
      <scheme val="minor"/>
    </font>
    <font>
      <sz val="11"/>
      <color rgb="FF333333"/>
      <name val="Arial"/>
      <family val="2"/>
    </font>
    <font>
      <b/>
      <sz val="11"/>
      <color rgb="FF333333"/>
      <name val="Arial"/>
      <family val="2"/>
    </font>
    <font>
      <b/>
      <sz val="20"/>
      <color theme="1"/>
      <name val="Calibri"/>
      <family val="2"/>
      <scheme val="minor"/>
    </font>
    <font>
      <sz val="9"/>
      <color indexed="81"/>
      <name val="Segoe UI"/>
      <family val="2"/>
    </font>
    <font>
      <b/>
      <sz val="9"/>
      <color indexed="81"/>
      <name val="Segoe UI"/>
      <family val="2"/>
    </font>
  </fonts>
  <fills count="7">
    <fill>
      <patternFill patternType="none"/>
    </fill>
    <fill>
      <patternFill patternType="gray125"/>
    </fill>
    <fill>
      <patternFill patternType="solid">
        <fgColor rgb="FFFFFFFF"/>
        <bgColor indexed="64"/>
      </patternFill>
    </fill>
    <fill>
      <patternFill patternType="solid">
        <fgColor theme="0" tint="-0.14999847407452621"/>
        <bgColor indexed="64"/>
      </patternFill>
    </fill>
    <fill>
      <patternFill patternType="solid">
        <fgColor theme="0"/>
        <bgColor indexed="64"/>
      </patternFill>
    </fill>
    <fill>
      <patternFill patternType="solid">
        <fgColor rgb="FFFFC000"/>
        <bgColor indexed="64"/>
      </patternFill>
    </fill>
    <fill>
      <patternFill patternType="solid">
        <fgColor theme="7" tint="0.59999389629810485"/>
        <bgColor indexed="64"/>
      </patternFill>
    </fill>
  </fills>
  <borders count="28">
    <border>
      <left/>
      <right/>
      <top/>
      <bottom/>
      <diagonal/>
    </border>
    <border>
      <left style="thin">
        <color indexed="64"/>
      </left>
      <right/>
      <top/>
      <bottom/>
      <diagonal/>
    </border>
    <border>
      <left/>
      <right style="thin">
        <color indexed="64"/>
      </right>
      <top/>
      <bottom/>
      <diagonal/>
    </border>
    <border>
      <left/>
      <right/>
      <top/>
      <bottom style="thin">
        <color indexed="64"/>
      </bottom>
      <diagonal/>
    </border>
    <border>
      <left/>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style="medium">
        <color indexed="64"/>
      </left>
      <right style="thin">
        <color indexed="64"/>
      </right>
      <top/>
      <bottom/>
      <diagonal/>
    </border>
    <border>
      <left/>
      <right style="medium">
        <color indexed="64"/>
      </right>
      <top/>
      <bottom/>
      <diagonal/>
    </border>
    <border>
      <left style="medium">
        <color indexed="64"/>
      </left>
      <right style="thin">
        <color indexed="64"/>
      </right>
      <top/>
      <bottom style="medium">
        <color indexed="64"/>
      </bottom>
      <diagonal/>
    </border>
    <border>
      <left style="medium">
        <color indexed="64"/>
      </left>
      <right style="medium">
        <color indexed="64"/>
      </right>
      <top/>
      <bottom/>
      <diagonal/>
    </border>
    <border>
      <left/>
      <right style="thin">
        <color indexed="64"/>
      </right>
      <top style="medium">
        <color indexed="64"/>
      </top>
      <bottom/>
      <diagonal/>
    </border>
  </borders>
  <cellStyleXfs count="3">
    <xf numFmtId="0" fontId="0" fillId="0" borderId="0"/>
    <xf numFmtId="44" fontId="1" fillId="0" borderId="0" applyFont="0" applyFill="0" applyBorder="0" applyAlignment="0" applyProtection="0"/>
    <xf numFmtId="9" fontId="1" fillId="0" borderId="0" applyFont="0" applyFill="0" applyBorder="0" applyAlignment="0" applyProtection="0"/>
  </cellStyleXfs>
  <cellXfs count="91">
    <xf numFmtId="0" fontId="0" fillId="0" borderId="0" xfId="0"/>
    <xf numFmtId="0" fontId="0" fillId="0" borderId="0" xfId="0" applyProtection="1">
      <protection hidden="1"/>
    </xf>
    <xf numFmtId="0" fontId="5" fillId="2" borderId="13" xfId="0" applyFont="1" applyFill="1" applyBorder="1" applyAlignment="1" applyProtection="1">
      <alignment horizontal="center" vertical="center"/>
      <protection hidden="1"/>
    </xf>
    <xf numFmtId="0" fontId="5" fillId="2" borderId="14" xfId="0" applyFont="1" applyFill="1" applyBorder="1" applyAlignment="1" applyProtection="1">
      <alignment horizontal="center" vertical="center"/>
      <protection hidden="1"/>
    </xf>
    <xf numFmtId="0" fontId="5" fillId="2" borderId="15" xfId="0" applyFont="1" applyFill="1" applyBorder="1" applyAlignment="1" applyProtection="1">
      <alignment horizontal="center" vertical="center"/>
      <protection hidden="1"/>
    </xf>
    <xf numFmtId="0" fontId="5" fillId="2" borderId="15" xfId="0" applyFont="1" applyFill="1" applyBorder="1" applyAlignment="1" applyProtection="1">
      <alignment horizontal="center" vertical="center"/>
      <protection hidden="1"/>
    </xf>
    <xf numFmtId="0" fontId="5" fillId="2" borderId="5" xfId="0" applyFont="1" applyFill="1" applyBorder="1" applyAlignment="1" applyProtection="1">
      <alignment horizontal="center" vertical="center"/>
      <protection hidden="1"/>
    </xf>
    <xf numFmtId="0" fontId="0" fillId="0" borderId="11" xfId="0" applyBorder="1" applyProtection="1">
      <protection hidden="1"/>
    </xf>
    <xf numFmtId="44" fontId="0" fillId="0" borderId="3" xfId="1" applyFont="1" applyBorder="1" applyProtection="1">
      <protection hidden="1"/>
    </xf>
    <xf numFmtId="0" fontId="0" fillId="0" borderId="3" xfId="0" applyBorder="1" applyProtection="1">
      <protection hidden="1"/>
    </xf>
    <xf numFmtId="9" fontId="0" fillId="0" borderId="3" xfId="2" applyFont="1" applyBorder="1" applyAlignment="1" applyProtection="1">
      <alignment horizontal="center"/>
      <protection hidden="1"/>
    </xf>
    <xf numFmtId="0" fontId="4" fillId="2" borderId="12" xfId="0" applyFont="1" applyFill="1" applyBorder="1" applyAlignment="1" applyProtection="1">
      <alignment horizontal="center" vertical="center"/>
      <protection hidden="1"/>
    </xf>
    <xf numFmtId="0" fontId="0" fillId="0" borderId="6" xfId="0" applyBorder="1" applyProtection="1">
      <protection hidden="1"/>
    </xf>
    <xf numFmtId="44" fontId="0" fillId="0" borderId="4" xfId="1" applyFont="1" applyBorder="1" applyProtection="1">
      <protection hidden="1"/>
    </xf>
    <xf numFmtId="0" fontId="0" fillId="0" borderId="4" xfId="0" applyBorder="1" applyProtection="1">
      <protection hidden="1"/>
    </xf>
    <xf numFmtId="9" fontId="0" fillId="0" borderId="4" xfId="2" applyFont="1" applyBorder="1" applyAlignment="1" applyProtection="1">
      <alignment horizontal="center"/>
      <protection hidden="1"/>
    </xf>
    <xf numFmtId="8" fontId="4" fillId="2" borderId="7" xfId="0" applyNumberFormat="1" applyFont="1" applyFill="1" applyBorder="1" applyAlignment="1" applyProtection="1">
      <alignment horizontal="center" vertical="center"/>
      <protection hidden="1"/>
    </xf>
    <xf numFmtId="0" fontId="0" fillId="0" borderId="8" xfId="0" applyBorder="1" applyProtection="1">
      <protection hidden="1"/>
    </xf>
    <xf numFmtId="44" fontId="0" fillId="0" borderId="9" xfId="1" applyFont="1" applyBorder="1" applyProtection="1">
      <protection hidden="1"/>
    </xf>
    <xf numFmtId="0" fontId="0" fillId="0" borderId="9" xfId="0" applyBorder="1" applyProtection="1">
      <protection hidden="1"/>
    </xf>
    <xf numFmtId="9" fontId="0" fillId="0" borderId="9" xfId="2" applyFont="1" applyBorder="1" applyAlignment="1" applyProtection="1">
      <alignment horizontal="center"/>
      <protection hidden="1"/>
    </xf>
    <xf numFmtId="8" fontId="4" fillId="2" borderId="10" xfId="0" applyNumberFormat="1" applyFont="1" applyFill="1" applyBorder="1" applyAlignment="1" applyProtection="1">
      <alignment horizontal="center" vertical="center"/>
      <protection hidden="1"/>
    </xf>
    <xf numFmtId="9" fontId="0" fillId="0" borderId="3" xfId="2" applyFont="1" applyBorder="1" applyAlignment="1" applyProtection="1">
      <alignment horizontal="center" vertical="center"/>
      <protection hidden="1"/>
    </xf>
    <xf numFmtId="9" fontId="0" fillId="0" borderId="4" xfId="2" applyFont="1" applyBorder="1" applyAlignment="1" applyProtection="1">
      <alignment horizontal="center" vertical="center"/>
      <protection hidden="1"/>
    </xf>
    <xf numFmtId="9" fontId="0" fillId="0" borderId="9" xfId="2" applyFont="1" applyBorder="1" applyAlignment="1" applyProtection="1">
      <alignment horizontal="center" vertical="center"/>
      <protection hidden="1"/>
    </xf>
    <xf numFmtId="0" fontId="2" fillId="0" borderId="0" xfId="0" applyFont="1" applyAlignment="1" applyProtection="1">
      <alignment horizontal="left" vertical="top" wrapText="1"/>
      <protection hidden="1"/>
    </xf>
    <xf numFmtId="0" fontId="2" fillId="0" borderId="13" xfId="0" applyFont="1" applyBorder="1" applyAlignment="1" applyProtection="1">
      <alignment horizontal="center"/>
      <protection hidden="1"/>
    </xf>
    <xf numFmtId="0" fontId="2" fillId="0" borderId="14" xfId="0" applyFont="1" applyBorder="1" applyAlignment="1" applyProtection="1">
      <alignment horizontal="center"/>
      <protection hidden="1"/>
    </xf>
    <xf numFmtId="0" fontId="2" fillId="0" borderId="15" xfId="0" applyFont="1" applyBorder="1" applyAlignment="1" applyProtection="1">
      <alignment horizontal="center"/>
      <protection hidden="1"/>
    </xf>
    <xf numFmtId="0" fontId="3" fillId="0" borderId="0" xfId="0" applyFont="1" applyAlignment="1" applyProtection="1">
      <alignment horizontal="left"/>
      <protection hidden="1"/>
    </xf>
    <xf numFmtId="0" fontId="3" fillId="0" borderId="0" xfId="0" applyFont="1" applyProtection="1">
      <protection hidden="1"/>
    </xf>
    <xf numFmtId="44" fontId="3" fillId="0" borderId="0" xfId="0" applyNumberFormat="1" applyFont="1" applyAlignment="1" applyProtection="1">
      <alignment horizontal="center"/>
      <protection hidden="1"/>
    </xf>
    <xf numFmtId="0" fontId="3" fillId="0" borderId="0" xfId="0" applyFont="1" applyAlignment="1" applyProtection="1">
      <alignment horizontal="center"/>
      <protection hidden="1"/>
    </xf>
    <xf numFmtId="9" fontId="3" fillId="0" borderId="0" xfId="2" applyFont="1" applyProtection="1">
      <protection hidden="1"/>
    </xf>
    <xf numFmtId="44" fontId="3" fillId="0" borderId="0" xfId="1" applyFont="1" applyProtection="1">
      <protection hidden="1"/>
    </xf>
    <xf numFmtId="44" fontId="3" fillId="0" borderId="0" xfId="1" applyFont="1" applyAlignment="1" applyProtection="1">
      <alignment horizontal="center"/>
      <protection hidden="1"/>
    </xf>
    <xf numFmtId="0" fontId="0" fillId="3" borderId="0" xfId="0" applyFill="1" applyAlignment="1" applyProtection="1">
      <protection hidden="1"/>
    </xf>
    <xf numFmtId="0" fontId="0" fillId="3" borderId="0" xfId="0" applyFill="1" applyProtection="1">
      <protection hidden="1"/>
    </xf>
    <xf numFmtId="0" fontId="2" fillId="3" borderId="0" xfId="0" applyFont="1" applyFill="1" applyAlignment="1" applyProtection="1">
      <protection hidden="1"/>
    </xf>
    <xf numFmtId="0" fontId="2" fillId="3" borderId="0" xfId="0" applyFont="1" applyFill="1" applyProtection="1">
      <protection hidden="1"/>
    </xf>
    <xf numFmtId="44" fontId="0" fillId="3" borderId="0" xfId="0" applyNumberFormat="1" applyFill="1" applyProtection="1">
      <protection hidden="1"/>
    </xf>
    <xf numFmtId="17" fontId="0" fillId="3" borderId="13" xfId="0" applyNumberFormat="1" applyFill="1" applyBorder="1" applyAlignment="1" applyProtection="1">
      <alignment horizontal="center"/>
      <protection hidden="1"/>
    </xf>
    <xf numFmtId="17" fontId="0" fillId="3" borderId="14" xfId="0" applyNumberFormat="1" applyFill="1" applyBorder="1" applyAlignment="1" applyProtection="1">
      <alignment horizontal="center"/>
      <protection hidden="1"/>
    </xf>
    <xf numFmtId="17" fontId="0" fillId="3" borderId="15" xfId="0" applyNumberFormat="1" applyFill="1" applyBorder="1" applyAlignment="1" applyProtection="1">
      <alignment horizontal="center"/>
      <protection hidden="1"/>
    </xf>
    <xf numFmtId="0" fontId="2" fillId="3" borderId="16" xfId="0" applyFont="1" applyFill="1" applyBorder="1" applyAlignment="1" applyProtection="1">
      <alignment horizontal="center" vertical="center"/>
      <protection hidden="1"/>
    </xf>
    <xf numFmtId="0" fontId="2" fillId="3" borderId="13" xfId="0" applyFont="1" applyFill="1" applyBorder="1" applyAlignment="1" applyProtection="1">
      <alignment horizontal="center"/>
      <protection hidden="1"/>
    </xf>
    <xf numFmtId="0" fontId="2" fillId="3" borderId="14" xfId="0" applyFont="1" applyFill="1" applyBorder="1" applyAlignment="1" applyProtection="1">
      <alignment horizontal="center"/>
      <protection hidden="1"/>
    </xf>
    <xf numFmtId="0" fontId="2" fillId="3" borderId="15" xfId="0" applyFont="1" applyFill="1" applyBorder="1" applyAlignment="1" applyProtection="1">
      <alignment horizontal="center"/>
      <protection hidden="1"/>
    </xf>
    <xf numFmtId="0" fontId="2" fillId="3" borderId="17" xfId="0" applyFont="1" applyFill="1" applyBorder="1" applyAlignment="1" applyProtection="1">
      <alignment horizontal="center" vertical="center"/>
      <protection hidden="1"/>
    </xf>
    <xf numFmtId="0" fontId="2" fillId="3" borderId="18" xfId="0" applyFont="1" applyFill="1" applyBorder="1" applyProtection="1">
      <protection hidden="1"/>
    </xf>
    <xf numFmtId="0" fontId="2" fillId="3" borderId="20" xfId="0" applyFont="1" applyFill="1" applyBorder="1" applyProtection="1">
      <protection hidden="1"/>
    </xf>
    <xf numFmtId="0" fontId="2" fillId="3" borderId="19" xfId="0" applyFont="1" applyFill="1" applyBorder="1" applyProtection="1">
      <protection hidden="1"/>
    </xf>
    <xf numFmtId="0" fontId="0" fillId="3" borderId="23" xfId="0" applyFill="1" applyBorder="1" applyAlignment="1" applyProtection="1">
      <protection hidden="1"/>
    </xf>
    <xf numFmtId="170" fontId="0" fillId="3" borderId="1" xfId="2" applyNumberFormat="1" applyFont="1" applyFill="1" applyBorder="1" applyAlignment="1" applyProtection="1">
      <protection hidden="1"/>
    </xf>
    <xf numFmtId="44" fontId="0" fillId="3" borderId="0" xfId="0" applyNumberFormat="1" applyFill="1" applyBorder="1" applyProtection="1">
      <protection hidden="1"/>
    </xf>
    <xf numFmtId="0" fontId="0" fillId="3" borderId="25" xfId="0" applyFill="1" applyBorder="1" applyAlignment="1" applyProtection="1">
      <protection hidden="1"/>
    </xf>
    <xf numFmtId="170" fontId="0" fillId="3" borderId="21" xfId="2" applyNumberFormat="1" applyFont="1" applyFill="1" applyBorder="1" applyAlignment="1" applyProtection="1">
      <protection hidden="1"/>
    </xf>
    <xf numFmtId="44" fontId="0" fillId="3" borderId="20" xfId="0" applyNumberFormat="1" applyFill="1" applyBorder="1" applyProtection="1">
      <protection hidden="1"/>
    </xf>
    <xf numFmtId="44" fontId="0" fillId="4" borderId="0" xfId="1" applyFont="1" applyFill="1" applyBorder="1" applyAlignment="1" applyProtection="1">
      <protection locked="0" hidden="1"/>
    </xf>
    <xf numFmtId="44" fontId="0" fillId="4" borderId="2" xfId="1" applyFont="1" applyFill="1" applyBorder="1" applyAlignment="1" applyProtection="1">
      <protection locked="0" hidden="1"/>
    </xf>
    <xf numFmtId="0" fontId="2" fillId="3" borderId="5" xfId="0" applyFont="1" applyFill="1" applyBorder="1" applyAlignment="1" applyProtection="1">
      <protection hidden="1"/>
    </xf>
    <xf numFmtId="0" fontId="2" fillId="3" borderId="5" xfId="0" applyFont="1" applyFill="1" applyBorder="1" applyProtection="1">
      <protection hidden="1"/>
    </xf>
    <xf numFmtId="44" fontId="2" fillId="3" borderId="16" xfId="0" applyNumberFormat="1" applyFont="1" applyFill="1" applyBorder="1" applyProtection="1">
      <protection hidden="1"/>
    </xf>
    <xf numFmtId="44" fontId="2" fillId="3" borderId="26" xfId="0" applyNumberFormat="1" applyFont="1" applyFill="1" applyBorder="1" applyProtection="1">
      <protection hidden="1"/>
    </xf>
    <xf numFmtId="17" fontId="2" fillId="3" borderId="13" xfId="0" applyNumberFormat="1" applyFont="1" applyFill="1" applyBorder="1" applyProtection="1">
      <protection hidden="1"/>
    </xf>
    <xf numFmtId="44" fontId="2" fillId="3" borderId="5" xfId="0" applyNumberFormat="1" applyFont="1" applyFill="1" applyBorder="1" applyProtection="1">
      <protection hidden="1"/>
    </xf>
    <xf numFmtId="17" fontId="0" fillId="3" borderId="16" xfId="0" applyNumberFormat="1" applyFill="1" applyBorder="1" applyProtection="1">
      <protection hidden="1"/>
    </xf>
    <xf numFmtId="17" fontId="0" fillId="3" borderId="26" xfId="0" applyNumberFormat="1" applyFill="1" applyBorder="1" applyProtection="1">
      <protection hidden="1"/>
    </xf>
    <xf numFmtId="17" fontId="0" fillId="3" borderId="17" xfId="0" applyNumberFormat="1" applyFill="1" applyBorder="1" applyProtection="1">
      <protection hidden="1"/>
    </xf>
    <xf numFmtId="44" fontId="0" fillId="4" borderId="5" xfId="1" applyFont="1" applyFill="1" applyBorder="1" applyProtection="1">
      <protection hidden="1"/>
    </xf>
    <xf numFmtId="0" fontId="6" fillId="3" borderId="13" xfId="0" applyFont="1" applyFill="1" applyBorder="1" applyAlignment="1" applyProtection="1">
      <alignment horizontal="center"/>
      <protection hidden="1"/>
    </xf>
    <xf numFmtId="0" fontId="6" fillId="3" borderId="14" xfId="0" applyFont="1" applyFill="1" applyBorder="1" applyAlignment="1" applyProtection="1">
      <alignment horizontal="center"/>
      <protection hidden="1"/>
    </xf>
    <xf numFmtId="0" fontId="6" fillId="3" borderId="15" xfId="0" applyFont="1" applyFill="1" applyBorder="1" applyAlignment="1" applyProtection="1">
      <alignment horizontal="center"/>
      <protection hidden="1"/>
    </xf>
    <xf numFmtId="44" fontId="2" fillId="6" borderId="5" xfId="0" applyNumberFormat="1" applyFont="1" applyFill="1" applyBorder="1" applyProtection="1">
      <protection hidden="1"/>
    </xf>
    <xf numFmtId="44" fontId="2" fillId="6" borderId="2" xfId="0" applyNumberFormat="1" applyFont="1" applyFill="1" applyBorder="1" applyProtection="1">
      <protection hidden="1"/>
    </xf>
    <xf numFmtId="44" fontId="2" fillId="6" borderId="22" xfId="0" applyNumberFormat="1" applyFont="1" applyFill="1" applyBorder="1" applyProtection="1">
      <protection hidden="1"/>
    </xf>
    <xf numFmtId="175" fontId="2" fillId="6" borderId="24" xfId="0" applyNumberFormat="1" applyFont="1" applyFill="1" applyBorder="1" applyProtection="1">
      <protection hidden="1"/>
    </xf>
    <xf numFmtId="175" fontId="2" fillId="6" borderId="19" xfId="0" applyNumberFormat="1" applyFont="1" applyFill="1" applyBorder="1" applyProtection="1">
      <protection hidden="1"/>
    </xf>
    <xf numFmtId="0" fontId="2" fillId="3" borderId="0" xfId="0" applyFont="1" applyFill="1" applyBorder="1" applyProtection="1">
      <protection hidden="1"/>
    </xf>
    <xf numFmtId="175" fontId="2" fillId="6" borderId="27" xfId="0" applyNumberFormat="1" applyFont="1" applyFill="1" applyBorder="1" applyProtection="1">
      <protection hidden="1"/>
    </xf>
    <xf numFmtId="175" fontId="2" fillId="6" borderId="2" xfId="0" applyNumberFormat="1" applyFont="1" applyFill="1" applyBorder="1" applyProtection="1">
      <protection hidden="1"/>
    </xf>
    <xf numFmtId="175" fontId="2" fillId="6" borderId="22" xfId="0" applyNumberFormat="1" applyFont="1" applyFill="1" applyBorder="1" applyProtection="1">
      <protection hidden="1"/>
    </xf>
    <xf numFmtId="0" fontId="2" fillId="5" borderId="0" xfId="0" applyFont="1" applyFill="1" applyBorder="1" applyAlignment="1" applyProtection="1">
      <protection hidden="1"/>
    </xf>
    <xf numFmtId="44" fontId="2" fillId="3" borderId="0" xfId="0" applyNumberFormat="1" applyFont="1" applyFill="1" applyBorder="1" applyProtection="1">
      <protection hidden="1"/>
    </xf>
    <xf numFmtId="0" fontId="2" fillId="5" borderId="13" xfId="0" applyFont="1" applyFill="1" applyBorder="1" applyAlignment="1" applyProtection="1">
      <alignment horizontal="left"/>
      <protection hidden="1"/>
    </xf>
    <xf numFmtId="0" fontId="2" fillId="5" borderId="14" xfId="0" applyFont="1" applyFill="1" applyBorder="1" applyAlignment="1" applyProtection="1">
      <alignment horizontal="left"/>
      <protection hidden="1"/>
    </xf>
    <xf numFmtId="0" fontId="2" fillId="5" borderId="14" xfId="0" applyFont="1" applyFill="1" applyBorder="1" applyAlignment="1" applyProtection="1">
      <alignment horizontal="left"/>
      <protection hidden="1"/>
    </xf>
    <xf numFmtId="0" fontId="2" fillId="5" borderId="15" xfId="0" applyFont="1" applyFill="1" applyBorder="1" applyAlignment="1" applyProtection="1">
      <alignment horizontal="left"/>
      <protection hidden="1"/>
    </xf>
    <xf numFmtId="0" fontId="2" fillId="3" borderId="13" xfId="0" applyFont="1" applyFill="1" applyBorder="1" applyAlignment="1" applyProtection="1">
      <protection hidden="1"/>
    </xf>
    <xf numFmtId="44" fontId="2" fillId="3" borderId="14" xfId="1" applyFont="1" applyFill="1" applyBorder="1" applyProtection="1">
      <protection hidden="1"/>
    </xf>
    <xf numFmtId="44" fontId="2" fillId="3" borderId="15" xfId="1" applyFont="1" applyFill="1" applyBorder="1" applyProtection="1">
      <protection hidden="1"/>
    </xf>
  </cellXfs>
  <cellStyles count="3">
    <cellStyle name="Moeda" xfId="1" builtinId="4"/>
    <cellStyle name="Normal" xfId="0" builtinId="0"/>
    <cellStyle name="Porcentagem"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37B3E-6FF7-487D-8467-61EA39CAC83C}">
  <dimension ref="A1:P23"/>
  <sheetViews>
    <sheetView showGridLines="0" workbookViewId="0">
      <selection activeCell="F24" sqref="F24"/>
    </sheetView>
  </sheetViews>
  <sheetFormatPr defaultRowHeight="15" x14ac:dyDescent="0.25"/>
  <cols>
    <col min="1" max="1" width="5.7109375" style="1" customWidth="1"/>
    <col min="2" max="2" width="17.7109375" style="1" customWidth="1"/>
    <col min="3" max="3" width="5.7109375" style="1" customWidth="1"/>
    <col min="4" max="4" width="17.7109375" style="1" customWidth="1"/>
    <col min="5" max="5" width="10.7109375" style="1" customWidth="1"/>
    <col min="6" max="6" width="39.140625" style="1" bestFit="1" customWidth="1"/>
    <col min="7" max="12" width="9.140625" style="1"/>
    <col min="13" max="13" width="12.5703125" style="1" bestFit="1" customWidth="1"/>
    <col min="14" max="14" width="13.28515625" style="1" bestFit="1" customWidth="1"/>
    <col min="15" max="15" width="12.85546875" style="1" bestFit="1" customWidth="1"/>
    <col min="16" max="16" width="13.28515625" style="1" bestFit="1" customWidth="1"/>
    <col min="17" max="16384" width="9.140625" style="1"/>
  </cols>
  <sheetData>
    <row r="1" spans="1:16" ht="15.75" thickBot="1" x14ac:dyDescent="0.3">
      <c r="A1" s="26" t="s">
        <v>18</v>
      </c>
      <c r="B1" s="27"/>
      <c r="C1" s="27"/>
      <c r="D1" s="27"/>
      <c r="E1" s="27"/>
      <c r="F1" s="28"/>
    </row>
    <row r="2" spans="1:16" ht="15.75" thickBot="1" x14ac:dyDescent="0.3">
      <c r="I2" s="29" t="s">
        <v>28</v>
      </c>
      <c r="J2" s="29"/>
      <c r="K2" s="30" t="s">
        <v>29</v>
      </c>
      <c r="L2" s="30"/>
      <c r="M2" s="30" t="s">
        <v>30</v>
      </c>
      <c r="N2" s="30" t="s">
        <v>32</v>
      </c>
      <c r="O2" s="30" t="s">
        <v>31</v>
      </c>
      <c r="P2" s="30" t="s">
        <v>32</v>
      </c>
    </row>
    <row r="3" spans="1:16" ht="15.75" thickBot="1" x14ac:dyDescent="0.3">
      <c r="A3" s="2" t="s">
        <v>19</v>
      </c>
      <c r="B3" s="3"/>
      <c r="C3" s="3"/>
      <c r="D3" s="4"/>
      <c r="E3" s="5" t="s">
        <v>20</v>
      </c>
      <c r="F3" s="6" t="s">
        <v>21</v>
      </c>
      <c r="I3" s="30" t="s">
        <v>2</v>
      </c>
      <c r="J3" s="30"/>
      <c r="K3" s="31">
        <f>Planilha1!D6*12</f>
        <v>0</v>
      </c>
      <c r="L3" s="32"/>
      <c r="M3" s="33">
        <f>LOOKUP($K3,$B$12:$D$17,$E$12:$E$17)</f>
        <v>0.06</v>
      </c>
      <c r="N3" s="34">
        <f>LOOKUP($K3,$B$12:$D$17,$F$12:$F$17)</f>
        <v>0</v>
      </c>
      <c r="O3" s="33">
        <f>LOOKUP($K3,$B$4:$D$9,$E$4:$E$9)</f>
        <v>0.04</v>
      </c>
      <c r="P3" s="34">
        <f>LOOKUP($K3,$B$12:$D$17,$F$12:$F$17)</f>
        <v>0</v>
      </c>
    </row>
    <row r="4" spans="1:16" x14ac:dyDescent="0.25">
      <c r="A4" s="7" t="s">
        <v>22</v>
      </c>
      <c r="B4" s="8">
        <v>0</v>
      </c>
      <c r="C4" s="9" t="s">
        <v>23</v>
      </c>
      <c r="D4" s="8">
        <v>180000</v>
      </c>
      <c r="E4" s="10">
        <v>0.04</v>
      </c>
      <c r="F4" s="11">
        <v>0</v>
      </c>
      <c r="I4" s="30" t="s">
        <v>3</v>
      </c>
      <c r="J4" s="30"/>
      <c r="K4" s="35">
        <f>((Planilha1!D7+Planilha1!D6)/2)*12</f>
        <v>0</v>
      </c>
      <c r="L4" s="35"/>
      <c r="M4" s="33">
        <f t="shared" ref="M4:M14" si="0">LOOKUP(K4,$B$12:$D$17,$E$12:$E$17)</f>
        <v>0.06</v>
      </c>
      <c r="N4" s="34">
        <f t="shared" ref="N4:P14" si="1">LOOKUP($K4,$B$12:$D$17,$F$12:$F$17)</f>
        <v>0</v>
      </c>
      <c r="O4" s="33">
        <f t="shared" ref="O4:O14" si="2">LOOKUP($K4,$B$4:$D$9,$E$4:$E$9)</f>
        <v>0.04</v>
      </c>
      <c r="P4" s="34">
        <f t="shared" si="1"/>
        <v>0</v>
      </c>
    </row>
    <row r="5" spans="1:16" x14ac:dyDescent="0.25">
      <c r="A5" s="12" t="s">
        <v>22</v>
      </c>
      <c r="B5" s="13">
        <v>180000.01</v>
      </c>
      <c r="C5" s="14" t="s">
        <v>23</v>
      </c>
      <c r="D5" s="13">
        <v>360000</v>
      </c>
      <c r="E5" s="15">
        <v>7.2999999999999995E-2</v>
      </c>
      <c r="F5" s="16">
        <v>5940</v>
      </c>
      <c r="I5" s="30" t="s">
        <v>4</v>
      </c>
      <c r="J5" s="30"/>
      <c r="K5" s="35">
        <f>((Planilha1!D6+Planilha1!D7+Planilha1!D8)/3)*12</f>
        <v>0</v>
      </c>
      <c r="L5" s="35"/>
      <c r="M5" s="33">
        <f t="shared" si="0"/>
        <v>0.06</v>
      </c>
      <c r="N5" s="34">
        <f t="shared" si="1"/>
        <v>0</v>
      </c>
      <c r="O5" s="33">
        <f t="shared" si="2"/>
        <v>0.04</v>
      </c>
      <c r="P5" s="34">
        <f t="shared" si="1"/>
        <v>0</v>
      </c>
    </row>
    <row r="6" spans="1:16" x14ac:dyDescent="0.25">
      <c r="A6" s="12" t="s">
        <v>22</v>
      </c>
      <c r="B6" s="13">
        <v>360000.01</v>
      </c>
      <c r="C6" s="14" t="s">
        <v>23</v>
      </c>
      <c r="D6" s="13">
        <v>720000</v>
      </c>
      <c r="E6" s="15">
        <v>9.5000000000000001E-2</v>
      </c>
      <c r="F6" s="16">
        <v>13860</v>
      </c>
      <c r="I6" s="30" t="s">
        <v>5</v>
      </c>
      <c r="J6" s="30"/>
      <c r="K6" s="35">
        <f>((Planilha1!D6+Planilha1!D7+Planilha1!D8+Planilha1!D9)/4)*12</f>
        <v>0</v>
      </c>
      <c r="L6" s="35"/>
      <c r="M6" s="33">
        <f t="shared" si="0"/>
        <v>0.06</v>
      </c>
      <c r="N6" s="34">
        <f t="shared" si="1"/>
        <v>0</v>
      </c>
      <c r="O6" s="33">
        <f t="shared" si="2"/>
        <v>0.04</v>
      </c>
      <c r="P6" s="34">
        <f t="shared" si="1"/>
        <v>0</v>
      </c>
    </row>
    <row r="7" spans="1:16" x14ac:dyDescent="0.25">
      <c r="A7" s="12" t="s">
        <v>22</v>
      </c>
      <c r="B7" s="13">
        <v>720000.01</v>
      </c>
      <c r="C7" s="14" t="s">
        <v>23</v>
      </c>
      <c r="D7" s="13">
        <v>1800000</v>
      </c>
      <c r="E7" s="15">
        <v>0.107</v>
      </c>
      <c r="F7" s="16">
        <v>22500</v>
      </c>
      <c r="I7" s="30" t="s">
        <v>6</v>
      </c>
      <c r="J7" s="30"/>
      <c r="K7" s="35">
        <f>((Planilha1!D10+Planilha1!D9+Planilha1!D8+Planilha1!D7+Planilha1!D6)/5)*12</f>
        <v>0</v>
      </c>
      <c r="L7" s="35"/>
      <c r="M7" s="33">
        <f t="shared" si="0"/>
        <v>0.06</v>
      </c>
      <c r="N7" s="34">
        <f t="shared" si="1"/>
        <v>0</v>
      </c>
      <c r="O7" s="33">
        <f t="shared" si="2"/>
        <v>0.04</v>
      </c>
      <c r="P7" s="34">
        <f t="shared" si="1"/>
        <v>0</v>
      </c>
    </row>
    <row r="8" spans="1:16" x14ac:dyDescent="0.25">
      <c r="A8" s="12" t="s">
        <v>22</v>
      </c>
      <c r="B8" s="13">
        <v>1800000.01</v>
      </c>
      <c r="C8" s="14" t="s">
        <v>23</v>
      </c>
      <c r="D8" s="13">
        <v>3600000</v>
      </c>
      <c r="E8" s="15">
        <v>0.14299999999999999</v>
      </c>
      <c r="F8" s="16">
        <v>87300</v>
      </c>
      <c r="I8" s="30" t="s">
        <v>7</v>
      </c>
      <c r="J8" s="30"/>
      <c r="K8" s="35">
        <f>((Planilha1!D6+Planilha1!D7+Planilha1!D8+Planilha1!D9+Planilha1!D10+Planilha1!D11)/6)*12</f>
        <v>0</v>
      </c>
      <c r="L8" s="35"/>
      <c r="M8" s="33">
        <f t="shared" si="0"/>
        <v>0.06</v>
      </c>
      <c r="N8" s="34">
        <f t="shared" si="1"/>
        <v>0</v>
      </c>
      <c r="O8" s="33">
        <f t="shared" si="2"/>
        <v>0.04</v>
      </c>
      <c r="P8" s="34">
        <f t="shared" si="1"/>
        <v>0</v>
      </c>
    </row>
    <row r="9" spans="1:16" ht="15.75" thickBot="1" x14ac:dyDescent="0.3">
      <c r="A9" s="17" t="s">
        <v>22</v>
      </c>
      <c r="B9" s="18">
        <v>3600000.01</v>
      </c>
      <c r="C9" s="19" t="s">
        <v>23</v>
      </c>
      <c r="D9" s="18">
        <v>4800000</v>
      </c>
      <c r="E9" s="20">
        <v>0.19</v>
      </c>
      <c r="F9" s="21">
        <v>378000</v>
      </c>
      <c r="I9" s="30" t="s">
        <v>8</v>
      </c>
      <c r="J9" s="30"/>
      <c r="K9" s="35">
        <f>((Planilha1!D6+Planilha1!D7+Planilha1!D8+Planilha1!D9+Planilha1!D10+Planilha1!D11+Planilha1!D12)/7)*12</f>
        <v>0</v>
      </c>
      <c r="L9" s="35"/>
      <c r="M9" s="33">
        <f t="shared" si="0"/>
        <v>0.06</v>
      </c>
      <c r="N9" s="34">
        <f t="shared" si="1"/>
        <v>0</v>
      </c>
      <c r="O9" s="33">
        <f t="shared" si="2"/>
        <v>0.04</v>
      </c>
      <c r="P9" s="34">
        <f t="shared" si="1"/>
        <v>0</v>
      </c>
    </row>
    <row r="10" spans="1:16" ht="15.75" thickBot="1" x14ac:dyDescent="0.3">
      <c r="I10" s="30" t="s">
        <v>9</v>
      </c>
      <c r="J10" s="30"/>
      <c r="K10" s="35">
        <f>((Planilha1!D6+Planilha1!D7+Planilha1!D8+Planilha1!D9+Planilha1!D10+Planilha1!D11+Planilha1!D12+Planilha1!D13)/8)*12</f>
        <v>0</v>
      </c>
      <c r="L10" s="35"/>
      <c r="M10" s="33">
        <f t="shared" si="0"/>
        <v>0.06</v>
      </c>
      <c r="N10" s="34">
        <f t="shared" si="1"/>
        <v>0</v>
      </c>
      <c r="O10" s="33">
        <f t="shared" si="2"/>
        <v>0.04</v>
      </c>
      <c r="P10" s="34">
        <f t="shared" si="1"/>
        <v>0</v>
      </c>
    </row>
    <row r="11" spans="1:16" ht="15.75" thickBot="1" x14ac:dyDescent="0.3">
      <c r="A11" s="2" t="s">
        <v>19</v>
      </c>
      <c r="B11" s="3"/>
      <c r="C11" s="3"/>
      <c r="D11" s="4"/>
      <c r="E11" s="5" t="s">
        <v>20</v>
      </c>
      <c r="F11" s="6" t="s">
        <v>21</v>
      </c>
      <c r="I11" s="30" t="s">
        <v>10</v>
      </c>
      <c r="J11" s="30"/>
      <c r="K11" s="35">
        <f>(SUM(Planilha1!D6:D14)/9)*12</f>
        <v>0</v>
      </c>
      <c r="L11" s="35"/>
      <c r="M11" s="33">
        <f t="shared" si="0"/>
        <v>0.06</v>
      </c>
      <c r="N11" s="34">
        <f t="shared" si="1"/>
        <v>0</v>
      </c>
      <c r="O11" s="33">
        <f t="shared" si="2"/>
        <v>0.04</v>
      </c>
      <c r="P11" s="34">
        <f t="shared" si="1"/>
        <v>0</v>
      </c>
    </row>
    <row r="12" spans="1:16" x14ac:dyDescent="0.25">
      <c r="A12" s="7" t="s">
        <v>22</v>
      </c>
      <c r="B12" s="8">
        <v>0</v>
      </c>
      <c r="C12" s="9" t="s">
        <v>23</v>
      </c>
      <c r="D12" s="8">
        <v>180000</v>
      </c>
      <c r="E12" s="22">
        <v>0.06</v>
      </c>
      <c r="F12" s="11">
        <v>0</v>
      </c>
      <c r="I12" s="30" t="s">
        <v>11</v>
      </c>
      <c r="J12" s="30"/>
      <c r="K12" s="35">
        <f>(SUM(Planilha1!D6:D15)/10)*12</f>
        <v>0</v>
      </c>
      <c r="L12" s="35"/>
      <c r="M12" s="33">
        <f t="shared" si="0"/>
        <v>0.06</v>
      </c>
      <c r="N12" s="34">
        <f t="shared" si="1"/>
        <v>0</v>
      </c>
      <c r="O12" s="33">
        <f t="shared" si="2"/>
        <v>0.04</v>
      </c>
      <c r="P12" s="34">
        <f t="shared" si="1"/>
        <v>0</v>
      </c>
    </row>
    <row r="13" spans="1:16" x14ac:dyDescent="0.25">
      <c r="A13" s="12" t="s">
        <v>22</v>
      </c>
      <c r="B13" s="13">
        <v>180000.01</v>
      </c>
      <c r="C13" s="14" t="s">
        <v>23</v>
      </c>
      <c r="D13" s="13">
        <v>360000</v>
      </c>
      <c r="E13" s="23">
        <v>0.112</v>
      </c>
      <c r="F13" s="16">
        <v>5940</v>
      </c>
      <c r="I13" s="30" t="s">
        <v>12</v>
      </c>
      <c r="J13" s="30"/>
      <c r="K13" s="35">
        <f>(SUM(Planilha1!$D$6:D16)/11)*12</f>
        <v>0</v>
      </c>
      <c r="L13" s="35"/>
      <c r="M13" s="33">
        <f t="shared" si="0"/>
        <v>0.06</v>
      </c>
      <c r="N13" s="34">
        <f t="shared" si="1"/>
        <v>0</v>
      </c>
      <c r="O13" s="33">
        <f t="shared" si="2"/>
        <v>0.04</v>
      </c>
      <c r="P13" s="34">
        <f t="shared" si="1"/>
        <v>0</v>
      </c>
    </row>
    <row r="14" spans="1:16" x14ac:dyDescent="0.25">
      <c r="A14" s="12" t="s">
        <v>22</v>
      </c>
      <c r="B14" s="13">
        <v>360000.01</v>
      </c>
      <c r="C14" s="14" t="s">
        <v>23</v>
      </c>
      <c r="D14" s="13">
        <v>720000</v>
      </c>
      <c r="E14" s="23">
        <v>0.13500000000000001</v>
      </c>
      <c r="F14" s="16">
        <v>13860</v>
      </c>
      <c r="I14" s="30" t="s">
        <v>13</v>
      </c>
      <c r="J14" s="30"/>
      <c r="K14" s="35">
        <f>(SUM(Planilha1!$D$6:D17))</f>
        <v>0</v>
      </c>
      <c r="L14" s="35"/>
      <c r="M14" s="33">
        <f t="shared" si="0"/>
        <v>0.06</v>
      </c>
      <c r="N14" s="34">
        <f t="shared" si="1"/>
        <v>0</v>
      </c>
      <c r="O14" s="33">
        <f t="shared" si="2"/>
        <v>0.04</v>
      </c>
      <c r="P14" s="34">
        <f t="shared" si="1"/>
        <v>0</v>
      </c>
    </row>
    <row r="15" spans="1:16" x14ac:dyDescent="0.25">
      <c r="A15" s="12" t="s">
        <v>22</v>
      </c>
      <c r="B15" s="13">
        <v>720000.01</v>
      </c>
      <c r="C15" s="14" t="s">
        <v>23</v>
      </c>
      <c r="D15" s="13">
        <v>1800000</v>
      </c>
      <c r="E15" s="23">
        <v>0.16</v>
      </c>
      <c r="F15" s="16">
        <v>22500</v>
      </c>
    </row>
    <row r="16" spans="1:16" x14ac:dyDescent="0.25">
      <c r="A16" s="12" t="s">
        <v>22</v>
      </c>
      <c r="B16" s="13">
        <v>1800000.01</v>
      </c>
      <c r="C16" s="14" t="s">
        <v>23</v>
      </c>
      <c r="D16" s="13">
        <v>3600000</v>
      </c>
      <c r="E16" s="23">
        <v>0.21</v>
      </c>
      <c r="F16" s="16">
        <v>87300</v>
      </c>
    </row>
    <row r="17" spans="1:6" ht="15.75" thickBot="1" x14ac:dyDescent="0.3">
      <c r="A17" s="17" t="s">
        <v>22</v>
      </c>
      <c r="B17" s="18">
        <v>3600000.01</v>
      </c>
      <c r="C17" s="19" t="s">
        <v>23</v>
      </c>
      <c r="D17" s="18">
        <v>4800000</v>
      </c>
      <c r="E17" s="24">
        <v>0.33</v>
      </c>
      <c r="F17" s="21">
        <v>378000</v>
      </c>
    </row>
    <row r="20" spans="1:6" ht="15" customHeight="1" x14ac:dyDescent="0.25">
      <c r="A20" s="25" t="s">
        <v>24</v>
      </c>
      <c r="B20" s="25"/>
      <c r="C20" s="25"/>
      <c r="D20" s="25"/>
      <c r="E20" s="25"/>
      <c r="F20" s="25"/>
    </row>
    <row r="21" spans="1:6" x14ac:dyDescent="0.25">
      <c r="A21" s="25"/>
      <c r="B21" s="25"/>
      <c r="C21" s="25"/>
      <c r="D21" s="25"/>
      <c r="E21" s="25"/>
      <c r="F21" s="25"/>
    </row>
    <row r="22" spans="1:6" x14ac:dyDescent="0.25">
      <c r="A22" s="25"/>
      <c r="B22" s="25"/>
      <c r="C22" s="25"/>
      <c r="D22" s="25"/>
      <c r="E22" s="25"/>
      <c r="F22" s="25"/>
    </row>
    <row r="23" spans="1:6" x14ac:dyDescent="0.25">
      <c r="A23" s="25"/>
      <c r="B23" s="25"/>
      <c r="C23" s="25"/>
      <c r="D23" s="25"/>
      <c r="E23" s="25"/>
      <c r="F23" s="25"/>
    </row>
  </sheetData>
  <mergeCells count="17">
    <mergeCell ref="K9:L9"/>
    <mergeCell ref="K10:L10"/>
    <mergeCell ref="K11:L11"/>
    <mergeCell ref="K12:L12"/>
    <mergeCell ref="K13:L13"/>
    <mergeCell ref="K14:L14"/>
    <mergeCell ref="K3:L3"/>
    <mergeCell ref="K4:L4"/>
    <mergeCell ref="K5:L5"/>
    <mergeCell ref="K6:L6"/>
    <mergeCell ref="K7:L7"/>
    <mergeCell ref="K8:L8"/>
    <mergeCell ref="A3:D3"/>
    <mergeCell ref="A11:D11"/>
    <mergeCell ref="A20:F23"/>
    <mergeCell ref="I2:J2"/>
    <mergeCell ref="A1:F1"/>
  </mergeCells>
  <pageMargins left="0.511811024" right="0.511811024" top="0.78740157499999996" bottom="0.78740157499999996" header="0.31496062000000002" footer="0.31496062000000002"/>
  <ignoredErrors>
    <ignoredError sqref="O3:O14" formula="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C9B348-2B09-4680-AFEC-920DBF628378}">
  <dimension ref="A1:AD34"/>
  <sheetViews>
    <sheetView tabSelected="1" workbookViewId="0">
      <selection activeCell="F12" sqref="F12"/>
    </sheetView>
  </sheetViews>
  <sheetFormatPr defaultRowHeight="15" x14ac:dyDescent="0.25"/>
  <cols>
    <col min="1" max="10" width="20.7109375" style="37" customWidth="1"/>
    <col min="11" max="11" width="14.28515625" style="37" customWidth="1"/>
    <col min="12" max="16384" width="9.140625" style="37"/>
  </cols>
  <sheetData>
    <row r="1" spans="1:30" ht="27" thickBot="1" x14ac:dyDescent="0.45">
      <c r="A1" s="70" t="s">
        <v>0</v>
      </c>
      <c r="B1" s="71"/>
      <c r="C1" s="71"/>
      <c r="D1" s="71"/>
      <c r="E1" s="71"/>
      <c r="F1" s="71"/>
      <c r="G1" s="71"/>
      <c r="H1" s="71"/>
      <c r="I1" s="71"/>
      <c r="J1" s="71"/>
      <c r="K1" s="71"/>
      <c r="L1" s="71"/>
      <c r="M1" s="71"/>
      <c r="N1" s="71"/>
      <c r="O1" s="71"/>
      <c r="P1" s="71"/>
      <c r="Q1" s="71"/>
      <c r="R1" s="71"/>
      <c r="S1" s="71"/>
      <c r="T1" s="71"/>
      <c r="U1" s="71"/>
      <c r="V1" s="71"/>
      <c r="W1" s="71"/>
      <c r="X1" s="72"/>
      <c r="Y1" s="36"/>
      <c r="Z1" s="36"/>
      <c r="AA1" s="36"/>
      <c r="AB1" s="36"/>
      <c r="AC1" s="36"/>
      <c r="AD1" s="36"/>
    </row>
    <row r="2" spans="1:30" ht="6" customHeight="1" thickBot="1" x14ac:dyDescent="0.3"/>
    <row r="3" spans="1:30" ht="15.75" thickBot="1" x14ac:dyDescent="0.3">
      <c r="A3" s="88" t="s">
        <v>14</v>
      </c>
      <c r="B3" s="69"/>
      <c r="C3" s="61" t="s">
        <v>36</v>
      </c>
      <c r="D3" s="73">
        <f>IF(B3&lt;=5645.8,B3*11%,5645.8*11%)</f>
        <v>0</v>
      </c>
      <c r="E3" s="84" t="s">
        <v>35</v>
      </c>
      <c r="F3" s="85"/>
      <c r="G3" s="85"/>
      <c r="H3" s="85"/>
      <c r="I3" s="85"/>
      <c r="J3" s="85"/>
      <c r="K3" s="85"/>
      <c r="L3" s="85"/>
      <c r="M3" s="85"/>
      <c r="N3" s="85"/>
      <c r="O3" s="85"/>
      <c r="P3" s="85"/>
      <c r="Q3" s="86"/>
      <c r="R3" s="86"/>
      <c r="S3" s="86"/>
      <c r="T3" s="86"/>
      <c r="U3" s="86"/>
      <c r="V3" s="86"/>
      <c r="W3" s="87"/>
      <c r="X3" s="82"/>
    </row>
    <row r="4" spans="1:30" ht="15.75" thickBot="1" x14ac:dyDescent="0.3"/>
    <row r="5" spans="1:30" ht="15.75" thickBot="1" x14ac:dyDescent="0.3">
      <c r="A5" s="60" t="s">
        <v>1</v>
      </c>
      <c r="B5" s="60" t="s">
        <v>15</v>
      </c>
      <c r="C5" s="61" t="s">
        <v>16</v>
      </c>
      <c r="D5" s="61" t="s">
        <v>17</v>
      </c>
      <c r="F5" s="39"/>
      <c r="I5" s="39"/>
      <c r="J5" s="39"/>
      <c r="K5" s="39"/>
    </row>
    <row r="6" spans="1:30" x14ac:dyDescent="0.25">
      <c r="A6" s="66" t="s">
        <v>2</v>
      </c>
      <c r="B6" s="59"/>
      <c r="C6" s="58"/>
      <c r="D6" s="62">
        <f>B6+C6</f>
        <v>0</v>
      </c>
      <c r="F6" s="38"/>
      <c r="G6" s="38"/>
      <c r="H6" s="38"/>
    </row>
    <row r="7" spans="1:30" x14ac:dyDescent="0.25">
      <c r="A7" s="67" t="s">
        <v>3</v>
      </c>
      <c r="B7" s="59"/>
      <c r="C7" s="58"/>
      <c r="D7" s="63">
        <f t="shared" ref="D7:D18" si="0">B7+C7</f>
        <v>0</v>
      </c>
      <c r="F7" s="38"/>
      <c r="G7" s="38"/>
      <c r="H7" s="38"/>
    </row>
    <row r="8" spans="1:30" x14ac:dyDescent="0.25">
      <c r="A8" s="67" t="s">
        <v>4</v>
      </c>
      <c r="B8" s="59"/>
      <c r="C8" s="58"/>
      <c r="D8" s="63">
        <f t="shared" si="0"/>
        <v>0</v>
      </c>
      <c r="F8" s="38"/>
      <c r="G8" s="38"/>
      <c r="H8" s="38"/>
    </row>
    <row r="9" spans="1:30" x14ac:dyDescent="0.25">
      <c r="A9" s="67" t="s">
        <v>5</v>
      </c>
      <c r="B9" s="59"/>
      <c r="C9" s="58"/>
      <c r="D9" s="63">
        <f t="shared" si="0"/>
        <v>0</v>
      </c>
      <c r="F9" s="38"/>
      <c r="G9" s="38"/>
      <c r="H9" s="38"/>
    </row>
    <row r="10" spans="1:30" x14ac:dyDescent="0.25">
      <c r="A10" s="67" t="s">
        <v>6</v>
      </c>
      <c r="B10" s="59"/>
      <c r="C10" s="58"/>
      <c r="D10" s="63">
        <f t="shared" si="0"/>
        <v>0</v>
      </c>
      <c r="F10" s="38"/>
      <c r="G10" s="38"/>
      <c r="H10" s="38"/>
    </row>
    <row r="11" spans="1:30" x14ac:dyDescent="0.25">
      <c r="A11" s="67" t="s">
        <v>7</v>
      </c>
      <c r="B11" s="59"/>
      <c r="C11" s="58"/>
      <c r="D11" s="63">
        <f t="shared" si="0"/>
        <v>0</v>
      </c>
      <c r="F11" s="38"/>
      <c r="G11" s="38"/>
      <c r="H11" s="38"/>
    </row>
    <row r="12" spans="1:30" x14ac:dyDescent="0.25">
      <c r="A12" s="67" t="s">
        <v>8</v>
      </c>
      <c r="B12" s="59"/>
      <c r="C12" s="58"/>
      <c r="D12" s="63">
        <f t="shared" si="0"/>
        <v>0</v>
      </c>
      <c r="F12" s="38"/>
      <c r="G12" s="38"/>
      <c r="H12" s="38"/>
    </row>
    <row r="13" spans="1:30" x14ac:dyDescent="0.25">
      <c r="A13" s="67" t="s">
        <v>9</v>
      </c>
      <c r="B13" s="59"/>
      <c r="C13" s="58"/>
      <c r="D13" s="63">
        <f t="shared" si="0"/>
        <v>0</v>
      </c>
      <c r="F13" s="38"/>
      <c r="G13" s="38"/>
      <c r="H13" s="38"/>
    </row>
    <row r="14" spans="1:30" x14ac:dyDescent="0.25">
      <c r="A14" s="67" t="s">
        <v>10</v>
      </c>
      <c r="B14" s="59"/>
      <c r="C14" s="58"/>
      <c r="D14" s="63">
        <f t="shared" si="0"/>
        <v>0</v>
      </c>
      <c r="F14" s="38"/>
      <c r="G14" s="38"/>
      <c r="H14" s="38"/>
    </row>
    <row r="15" spans="1:30" x14ac:dyDescent="0.25">
      <c r="A15" s="67" t="s">
        <v>11</v>
      </c>
      <c r="B15" s="59"/>
      <c r="C15" s="58"/>
      <c r="D15" s="63">
        <f t="shared" si="0"/>
        <v>0</v>
      </c>
      <c r="F15" s="38"/>
      <c r="G15" s="38"/>
      <c r="H15" s="38"/>
    </row>
    <row r="16" spans="1:30" x14ac:dyDescent="0.25">
      <c r="A16" s="67" t="s">
        <v>12</v>
      </c>
      <c r="B16" s="59"/>
      <c r="C16" s="58"/>
      <c r="D16" s="63">
        <f t="shared" si="0"/>
        <v>0</v>
      </c>
      <c r="F16" s="38"/>
      <c r="G16" s="38"/>
      <c r="H16" s="38"/>
    </row>
    <row r="17" spans="1:11" ht="15.75" thickBot="1" x14ac:dyDescent="0.3">
      <c r="A17" s="68" t="s">
        <v>13</v>
      </c>
      <c r="B17" s="59"/>
      <c r="C17" s="58"/>
      <c r="D17" s="63">
        <f t="shared" si="0"/>
        <v>0</v>
      </c>
      <c r="F17" s="38"/>
      <c r="G17" s="38"/>
      <c r="H17" s="38"/>
    </row>
    <row r="18" spans="1:11" ht="15.75" thickBot="1" x14ac:dyDescent="0.3">
      <c r="A18" s="64" t="s">
        <v>17</v>
      </c>
      <c r="B18" s="89">
        <f>SUM(B6:B17)</f>
        <v>0</v>
      </c>
      <c r="C18" s="90">
        <f>SUM(C6:C17)</f>
        <v>0</v>
      </c>
      <c r="D18" s="65">
        <f t="shared" si="0"/>
        <v>0</v>
      </c>
      <c r="F18" s="38"/>
      <c r="G18" s="38"/>
      <c r="H18" s="38"/>
    </row>
    <row r="19" spans="1:11" ht="15.75" thickBot="1" x14ac:dyDescent="0.3">
      <c r="F19" s="38"/>
      <c r="G19" s="38"/>
      <c r="H19" s="38"/>
      <c r="I19" s="40"/>
    </row>
    <row r="20" spans="1:11" ht="15.75" thickBot="1" x14ac:dyDescent="0.3">
      <c r="A20" s="41" t="s">
        <v>25</v>
      </c>
      <c r="B20" s="42"/>
      <c r="C20" s="42"/>
      <c r="D20" s="42"/>
      <c r="E20" s="42"/>
      <c r="F20" s="42"/>
      <c r="G20" s="42"/>
      <c r="H20" s="43"/>
      <c r="I20" s="40"/>
      <c r="J20" s="78"/>
      <c r="K20" s="83"/>
    </row>
    <row r="21" spans="1:11" ht="15.75" thickBot="1" x14ac:dyDescent="0.3">
      <c r="A21" s="44" t="s">
        <v>27</v>
      </c>
      <c r="B21" s="45" t="s">
        <v>15</v>
      </c>
      <c r="C21" s="46"/>
      <c r="D21" s="47"/>
      <c r="E21" s="45" t="s">
        <v>16</v>
      </c>
      <c r="F21" s="46"/>
      <c r="G21" s="47"/>
      <c r="H21" s="44" t="s">
        <v>37</v>
      </c>
    </row>
    <row r="22" spans="1:11" ht="15.75" thickBot="1" x14ac:dyDescent="0.3">
      <c r="A22" s="48"/>
      <c r="B22" s="49" t="s">
        <v>26</v>
      </c>
      <c r="C22" s="50" t="s">
        <v>33</v>
      </c>
      <c r="D22" s="51" t="s">
        <v>34</v>
      </c>
      <c r="E22" s="49" t="s">
        <v>26</v>
      </c>
      <c r="F22" s="50" t="s">
        <v>33</v>
      </c>
      <c r="G22" s="51" t="s">
        <v>34</v>
      </c>
      <c r="H22" s="48"/>
    </row>
    <row r="23" spans="1:11" x14ac:dyDescent="0.25">
      <c r="A23" s="52" t="s">
        <v>2</v>
      </c>
      <c r="B23" s="53">
        <f>IFERROR((Planilha2!K3*Planilha2!M3-Planilha2!N3)/Planilha2!K3,)</f>
        <v>0</v>
      </c>
      <c r="C23" s="54">
        <f>B6</f>
        <v>0</v>
      </c>
      <c r="D23" s="74">
        <f>C23*B23</f>
        <v>0</v>
      </c>
      <c r="E23" s="53">
        <f>IFERROR((Planilha2!K3*Planilha2!O3-Planilha2!P3)/Planilha2!K3,0)</f>
        <v>0</v>
      </c>
      <c r="F23" s="54">
        <f>C6</f>
        <v>0</v>
      </c>
      <c r="G23" s="79">
        <f>F23*E23</f>
        <v>0</v>
      </c>
      <c r="H23" s="76">
        <f>G23+D23</f>
        <v>0</v>
      </c>
    </row>
    <row r="24" spans="1:11" x14ac:dyDescent="0.25">
      <c r="A24" s="52" t="s">
        <v>3</v>
      </c>
      <c r="B24" s="53">
        <f>IFERROR((Planilha2!K4*Planilha2!M4-Planilha2!N4)/Planilha2!K4,0)</f>
        <v>0</v>
      </c>
      <c r="C24" s="54">
        <f t="shared" ref="C24:C34" si="1">B7</f>
        <v>0</v>
      </c>
      <c r="D24" s="74">
        <f t="shared" ref="D24:D34" si="2">C24*B24</f>
        <v>0</v>
      </c>
      <c r="E24" s="53">
        <f>IFERROR((Planilha2!K4*Planilha2!O4-Planilha2!P4)/Planilha2!K4,0)</f>
        <v>0</v>
      </c>
      <c r="F24" s="54">
        <f t="shared" ref="F24:F34" si="3">C7</f>
        <v>0</v>
      </c>
      <c r="G24" s="80">
        <f t="shared" ref="G24:G34" si="4">F24*E24</f>
        <v>0</v>
      </c>
      <c r="H24" s="76">
        <f t="shared" ref="H24:H34" si="5">G24+D24</f>
        <v>0</v>
      </c>
    </row>
    <row r="25" spans="1:11" x14ac:dyDescent="0.25">
      <c r="A25" s="52" t="s">
        <v>4</v>
      </c>
      <c r="B25" s="53">
        <f>IFERROR((Planilha2!K5*Planilha2!M5-Planilha2!N5)/Planilha2!K5,0)</f>
        <v>0</v>
      </c>
      <c r="C25" s="54">
        <f t="shared" si="1"/>
        <v>0</v>
      </c>
      <c r="D25" s="74">
        <f t="shared" si="2"/>
        <v>0</v>
      </c>
      <c r="E25" s="53">
        <f>IFERROR((Planilha2!K5*Planilha2!O5-Planilha2!P5)/Planilha2!K5,0)</f>
        <v>0</v>
      </c>
      <c r="F25" s="54">
        <f t="shared" si="3"/>
        <v>0</v>
      </c>
      <c r="G25" s="80">
        <f t="shared" si="4"/>
        <v>0</v>
      </c>
      <c r="H25" s="76">
        <f t="shared" si="5"/>
        <v>0</v>
      </c>
    </row>
    <row r="26" spans="1:11" x14ac:dyDescent="0.25">
      <c r="A26" s="52" t="s">
        <v>5</v>
      </c>
      <c r="B26" s="53">
        <f>IFERROR((Planilha2!K6*Planilha2!M6-Planilha2!N6)/Planilha2!K6,0)</f>
        <v>0</v>
      </c>
      <c r="C26" s="54">
        <f t="shared" si="1"/>
        <v>0</v>
      </c>
      <c r="D26" s="74">
        <f t="shared" si="2"/>
        <v>0</v>
      </c>
      <c r="E26" s="53">
        <f>IFERROR((Planilha2!K6*Planilha2!O6-Planilha2!P6)/Planilha2!K6,0)</f>
        <v>0</v>
      </c>
      <c r="F26" s="54">
        <f t="shared" si="3"/>
        <v>0</v>
      </c>
      <c r="G26" s="80">
        <f t="shared" si="4"/>
        <v>0</v>
      </c>
      <c r="H26" s="76">
        <f t="shared" si="5"/>
        <v>0</v>
      </c>
    </row>
    <row r="27" spans="1:11" x14ac:dyDescent="0.25">
      <c r="A27" s="52" t="s">
        <v>6</v>
      </c>
      <c r="B27" s="53">
        <f>IFERROR((Planilha2!K7*Planilha2!M7-Planilha2!N7)/Planilha2!K7,0)</f>
        <v>0</v>
      </c>
      <c r="C27" s="54">
        <f t="shared" si="1"/>
        <v>0</v>
      </c>
      <c r="D27" s="74">
        <f t="shared" si="2"/>
        <v>0</v>
      </c>
      <c r="E27" s="53">
        <f>IFERROR((Planilha2!K7*Planilha2!O7-Planilha2!P7)/Planilha2!K7,0)</f>
        <v>0</v>
      </c>
      <c r="F27" s="54">
        <f t="shared" si="3"/>
        <v>0</v>
      </c>
      <c r="G27" s="80">
        <f t="shared" si="4"/>
        <v>0</v>
      </c>
      <c r="H27" s="76">
        <f t="shared" si="5"/>
        <v>0</v>
      </c>
    </row>
    <row r="28" spans="1:11" x14ac:dyDescent="0.25">
      <c r="A28" s="52" t="s">
        <v>7</v>
      </c>
      <c r="B28" s="53">
        <f>IFERROR((Planilha2!K8*Planilha2!M8-Planilha2!N8)/Planilha2!K8,0)</f>
        <v>0</v>
      </c>
      <c r="C28" s="54">
        <f t="shared" si="1"/>
        <v>0</v>
      </c>
      <c r="D28" s="74">
        <f t="shared" si="2"/>
        <v>0</v>
      </c>
      <c r="E28" s="53">
        <f>IFERROR((Planilha2!K8*Planilha2!O8-Planilha2!P8)/Planilha2!K8,0)</f>
        <v>0</v>
      </c>
      <c r="F28" s="54">
        <f t="shared" si="3"/>
        <v>0</v>
      </c>
      <c r="G28" s="80">
        <f t="shared" si="4"/>
        <v>0</v>
      </c>
      <c r="H28" s="76">
        <f t="shared" si="5"/>
        <v>0</v>
      </c>
    </row>
    <row r="29" spans="1:11" x14ac:dyDescent="0.25">
      <c r="A29" s="52" t="s">
        <v>8</v>
      </c>
      <c r="B29" s="53">
        <f>IFERROR((Planilha2!K9*Planilha2!M9-Planilha2!N9)/Planilha2!K9,0)</f>
        <v>0</v>
      </c>
      <c r="C29" s="54">
        <f t="shared" si="1"/>
        <v>0</v>
      </c>
      <c r="D29" s="74">
        <f t="shared" si="2"/>
        <v>0</v>
      </c>
      <c r="E29" s="53">
        <f>IFERROR((Planilha2!K9*Planilha2!O9-Planilha2!P9)/Planilha2!K9,0)</f>
        <v>0</v>
      </c>
      <c r="F29" s="54">
        <f t="shared" si="3"/>
        <v>0</v>
      </c>
      <c r="G29" s="80">
        <f t="shared" si="4"/>
        <v>0</v>
      </c>
      <c r="H29" s="76">
        <f t="shared" si="5"/>
        <v>0</v>
      </c>
    </row>
    <row r="30" spans="1:11" x14ac:dyDescent="0.25">
      <c r="A30" s="52" t="s">
        <v>9</v>
      </c>
      <c r="B30" s="53">
        <f>IFERROR((Planilha2!K10*Planilha2!M10-Planilha2!N10)/Planilha2!K10,0)</f>
        <v>0</v>
      </c>
      <c r="C30" s="54">
        <f t="shared" si="1"/>
        <v>0</v>
      </c>
      <c r="D30" s="74">
        <f t="shared" si="2"/>
        <v>0</v>
      </c>
      <c r="E30" s="53">
        <f>IFERROR((Planilha2!K10*Planilha2!O10-Planilha2!P10)/Planilha2!K10,0)</f>
        <v>0</v>
      </c>
      <c r="F30" s="54">
        <f t="shared" si="3"/>
        <v>0</v>
      </c>
      <c r="G30" s="80">
        <f t="shared" si="4"/>
        <v>0</v>
      </c>
      <c r="H30" s="76">
        <f t="shared" si="5"/>
        <v>0</v>
      </c>
    </row>
    <row r="31" spans="1:11" x14ac:dyDescent="0.25">
      <c r="A31" s="52" t="s">
        <v>10</v>
      </c>
      <c r="B31" s="53">
        <f>IFERROR((Planilha2!K11*Planilha2!M11-Planilha2!N11)/Planilha2!K11,0)</f>
        <v>0</v>
      </c>
      <c r="C31" s="54">
        <f t="shared" si="1"/>
        <v>0</v>
      </c>
      <c r="D31" s="74">
        <f t="shared" si="2"/>
        <v>0</v>
      </c>
      <c r="E31" s="53">
        <f>IFERROR((Planilha2!K11*Planilha2!O11-Planilha2!P11)/Planilha2!K11,0)</f>
        <v>0</v>
      </c>
      <c r="F31" s="54">
        <f t="shared" si="3"/>
        <v>0</v>
      </c>
      <c r="G31" s="80">
        <f t="shared" si="4"/>
        <v>0</v>
      </c>
      <c r="H31" s="76">
        <f t="shared" si="5"/>
        <v>0</v>
      </c>
    </row>
    <row r="32" spans="1:11" x14ac:dyDescent="0.25">
      <c r="A32" s="52" t="s">
        <v>11</v>
      </c>
      <c r="B32" s="53">
        <f>IFERROR((Planilha2!K12*Planilha2!M12-Planilha2!N12)/Planilha2!K12,0)</f>
        <v>0</v>
      </c>
      <c r="C32" s="54">
        <f t="shared" si="1"/>
        <v>0</v>
      </c>
      <c r="D32" s="74">
        <f t="shared" si="2"/>
        <v>0</v>
      </c>
      <c r="E32" s="53">
        <f>IFERROR((Planilha2!K12*Planilha2!O12-Planilha2!P12)/Planilha2!K12,0)</f>
        <v>0</v>
      </c>
      <c r="F32" s="54">
        <f t="shared" si="3"/>
        <v>0</v>
      </c>
      <c r="G32" s="80">
        <f t="shared" si="4"/>
        <v>0</v>
      </c>
      <c r="H32" s="76">
        <f t="shared" si="5"/>
        <v>0</v>
      </c>
    </row>
    <row r="33" spans="1:8" x14ac:dyDescent="0.25">
      <c r="A33" s="52" t="s">
        <v>12</v>
      </c>
      <c r="B33" s="53">
        <f>IFERROR((Planilha2!K13*Planilha2!M13-Planilha2!N13)/Planilha2!K13,0)</f>
        <v>0</v>
      </c>
      <c r="C33" s="54">
        <f t="shared" si="1"/>
        <v>0</v>
      </c>
      <c r="D33" s="74">
        <f t="shared" si="2"/>
        <v>0</v>
      </c>
      <c r="E33" s="53">
        <f>IFERROR((Planilha2!K13*Planilha2!O13-Planilha2!P13)/Planilha2!K13,0)</f>
        <v>0</v>
      </c>
      <c r="F33" s="54">
        <f t="shared" si="3"/>
        <v>0</v>
      </c>
      <c r="G33" s="80">
        <f t="shared" si="4"/>
        <v>0</v>
      </c>
      <c r="H33" s="76">
        <f t="shared" si="5"/>
        <v>0</v>
      </c>
    </row>
    <row r="34" spans="1:8" ht="15.75" thickBot="1" x14ac:dyDescent="0.3">
      <c r="A34" s="55" t="s">
        <v>13</v>
      </c>
      <c r="B34" s="56">
        <f>IFERROR((Planilha2!K14*Planilha2!M14-Planilha2!N14)/Planilha2!K14,0)</f>
        <v>0</v>
      </c>
      <c r="C34" s="57">
        <f t="shared" si="1"/>
        <v>0</v>
      </c>
      <c r="D34" s="75">
        <f t="shared" si="2"/>
        <v>0</v>
      </c>
      <c r="E34" s="56">
        <f>IFERROR((Planilha2!K14*Planilha2!O14-Planilha2!P14)/Planilha2!K14,0)</f>
        <v>0</v>
      </c>
      <c r="F34" s="57">
        <f t="shared" si="3"/>
        <v>0</v>
      </c>
      <c r="G34" s="81">
        <f t="shared" si="4"/>
        <v>0</v>
      </c>
      <c r="H34" s="77">
        <f t="shared" si="5"/>
        <v>0</v>
      </c>
    </row>
  </sheetData>
  <mergeCells count="7">
    <mergeCell ref="A20:H20"/>
    <mergeCell ref="H21:H22"/>
    <mergeCell ref="E3:P3"/>
    <mergeCell ref="A21:A22"/>
    <mergeCell ref="B21:D21"/>
    <mergeCell ref="E21:G21"/>
    <mergeCell ref="A1:X1"/>
  </mergeCells>
  <pageMargins left="0.511811024" right="0.511811024" top="0.78740157499999996" bottom="0.78740157499999996" header="0.31496062000000002" footer="0.31496062000000002"/>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2</vt:i4>
      </vt:variant>
    </vt:vector>
  </HeadingPairs>
  <TitlesOfParts>
    <vt:vector size="2" baseType="lpstr">
      <vt:lpstr>Planilha2</vt:lpstr>
      <vt:lpstr>Planilha1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ProCont Soluções</dc:creator>
  <cp:lastModifiedBy>ProCont Soluções</cp:lastModifiedBy>
  <dcterms:created xsi:type="dcterms:W3CDTF">2018-07-25T11:01:28Z</dcterms:created>
  <dcterms:modified xsi:type="dcterms:W3CDTF">2018-07-25T14:05:51Z</dcterms:modified>
</cp:coreProperties>
</file>