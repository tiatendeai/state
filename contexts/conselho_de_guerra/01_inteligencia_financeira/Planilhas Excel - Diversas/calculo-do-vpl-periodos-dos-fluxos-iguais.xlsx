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c_Infor_Adm\Desktop\"/>
    </mc:Choice>
  </mc:AlternateContent>
  <bookViews>
    <workbookView xWindow="0" yWindow="0" windowWidth="24000" windowHeight="9135"/>
  </bookViews>
  <sheets>
    <sheet name="VPL 1" sheetId="1" r:id="rId1"/>
    <sheet name="VPL 2" sheetId="2" r:id="rId2"/>
    <sheet name="VPL FLUXOS DIFERENT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3" l="1"/>
  <c r="N28" i="3"/>
  <c r="N27" i="3"/>
  <c r="N26" i="3"/>
  <c r="E25" i="3"/>
  <c r="E29" i="3"/>
  <c r="E79" i="3" s="1"/>
  <c r="E33" i="3"/>
  <c r="E37" i="3"/>
  <c r="E41" i="3"/>
  <c r="E45" i="3"/>
  <c r="E49" i="3"/>
  <c r="E53" i="3"/>
  <c r="E57" i="3"/>
  <c r="E61" i="3"/>
  <c r="E65" i="3"/>
  <c r="E69" i="3"/>
  <c r="E73" i="3"/>
  <c r="E21" i="3"/>
  <c r="K79" i="3"/>
  <c r="K27" i="3"/>
  <c r="K32" i="3"/>
  <c r="K37" i="3"/>
  <c r="K42" i="3"/>
  <c r="K47" i="3"/>
  <c r="K52" i="3"/>
  <c r="K57" i="3"/>
  <c r="K62" i="3"/>
  <c r="K67" i="3"/>
  <c r="K72" i="3"/>
  <c r="K22" i="3"/>
  <c r="B79" i="3"/>
  <c r="B32" i="3"/>
  <c r="B37" i="3"/>
  <c r="B42" i="3"/>
  <c r="B47" i="3"/>
  <c r="B52" i="3"/>
  <c r="B57" i="3"/>
  <c r="B62" i="3"/>
  <c r="B67" i="3"/>
  <c r="B72" i="3"/>
  <c r="B27" i="3"/>
  <c r="B22" i="3"/>
  <c r="Q16" i="3"/>
  <c r="Q15" i="3"/>
  <c r="H23" i="3" s="1"/>
  <c r="Q14" i="3"/>
  <c r="Q13" i="3"/>
  <c r="K77" i="3"/>
  <c r="H77" i="3"/>
  <c r="E77" i="3"/>
  <c r="B77" i="3"/>
  <c r="J23" i="3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G23" i="3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D23" i="3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A71" i="3"/>
  <c r="A72" i="3" s="1"/>
  <c r="A73" i="3" s="1"/>
  <c r="A74" i="3" s="1"/>
  <c r="A75" i="3" s="1"/>
  <c r="A76" i="3" s="1"/>
  <c r="A77" i="3" s="1"/>
  <c r="A24" i="3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23" i="3"/>
  <c r="N9" i="3"/>
  <c r="K21" i="2"/>
  <c r="H21" i="2"/>
  <c r="E21" i="2"/>
  <c r="B21" i="2"/>
  <c r="N10" i="2"/>
  <c r="N9" i="2"/>
  <c r="N8" i="2"/>
  <c r="N7" i="2"/>
  <c r="N8" i="1"/>
  <c r="N7" i="1"/>
  <c r="B21" i="1"/>
  <c r="E21" i="1"/>
  <c r="K21" i="1"/>
  <c r="N10" i="1" s="1"/>
  <c r="H74" i="3" l="1"/>
  <c r="H68" i="3"/>
  <c r="H62" i="3"/>
  <c r="H56" i="3"/>
  <c r="H50" i="3"/>
  <c r="H44" i="3"/>
  <c r="H38" i="3"/>
  <c r="H32" i="3"/>
  <c r="H26" i="3"/>
  <c r="H20" i="3"/>
  <c r="H71" i="3"/>
  <c r="H65" i="3"/>
  <c r="H59" i="3"/>
  <c r="H53" i="3"/>
  <c r="H47" i="3"/>
  <c r="H41" i="3"/>
  <c r="H35" i="3"/>
  <c r="H29" i="3"/>
  <c r="H21" i="1"/>
  <c r="N9" i="1" s="1"/>
  <c r="H79" i="3" l="1"/>
</calcChain>
</file>

<file path=xl/sharedStrings.xml><?xml version="1.0" encoding="utf-8"?>
<sst xmlns="http://schemas.openxmlformats.org/spreadsheetml/2006/main" count="117" uniqueCount="40">
  <si>
    <t>CÁLCULO DO VPL (PERÍODOS DOS FLUXOS IGUAIS)</t>
  </si>
  <si>
    <t>PROJETO A</t>
  </si>
  <si>
    <t>PROJETO B</t>
  </si>
  <si>
    <t>PROJETO C</t>
  </si>
  <si>
    <t>PROJETO D</t>
  </si>
  <si>
    <t>PERÍODO</t>
  </si>
  <si>
    <t>FLUXOS</t>
  </si>
  <si>
    <t>TMA</t>
  </si>
  <si>
    <t>VPL A</t>
  </si>
  <si>
    <t>VPL B</t>
  </si>
  <si>
    <t>VPL C</t>
  </si>
  <si>
    <t>VPL D</t>
  </si>
  <si>
    <t>R$</t>
  </si>
  <si>
    <t>1º</t>
  </si>
  <si>
    <t>2º</t>
  </si>
  <si>
    <t>3º</t>
  </si>
  <si>
    <t>INVIÁVEL</t>
  </si>
  <si>
    <t>PRIORIDADE DE INVESTIMENTO</t>
  </si>
  <si>
    <t>4º</t>
  </si>
  <si>
    <t>OBSERVE QUE O PERÍODO DA FÓRMULA DOS VPL A FOI ESTENDIDA (AGORA FOI: =VPL(B3;B8:B14)-B7.</t>
  </si>
  <si>
    <t>A FÓRMULA PARA CALCULAR O VPL NO EXCEL É: =VPL(TMA;SELECIONAR AS CÉLULAS INICIANDO DO PERÍODO 1 ATÉ O DESEJADO)+CÉLULA DO PERIODO 0. No VPL A, a fórmula foi: =VPL(B3;B8:B12)+B7. CASO O FLUXO SEJA MAIOR OU MENOR, VOCÊ DEVE SELECIONAR ESSE PERÍODO NA FÓRMULA. VEJA A ABA AO LADO.</t>
  </si>
  <si>
    <t>CÁLCULO DO VPL (PERÍODOS DOS FLUXOS DIFERENTES</t>
  </si>
  <si>
    <t>nA</t>
  </si>
  <si>
    <t>nB</t>
  </si>
  <si>
    <t>nC</t>
  </si>
  <si>
    <t>nD</t>
  </si>
  <si>
    <t>MMC</t>
  </si>
  <si>
    <t>calcula automaticamente</t>
  </si>
  <si>
    <t>Projeto</t>
  </si>
  <si>
    <t>A</t>
  </si>
  <si>
    <t>B</t>
  </si>
  <si>
    <t>C</t>
  </si>
  <si>
    <t>D</t>
  </si>
  <si>
    <t xml:space="preserve"> =P0 + Pn</t>
  </si>
  <si>
    <t xml:space="preserve"> =-4.500.000,00 + 1.200.000,00</t>
  </si>
  <si>
    <t xml:space="preserve"> =-3.800.000,00 + 870.000,00</t>
  </si>
  <si>
    <t xml:space="preserve"> =-2.500.000,00 + 410.000,00</t>
  </si>
  <si>
    <t xml:space="preserve"> =3.200.000,00 + 850.000,00</t>
  </si>
  <si>
    <t>VALORES</t>
  </si>
  <si>
    <t>ÚLTIMA CÉLULA SEMPRE IGUAL AO ÚLTIMO VALOR DO FLUXO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</si>
</sst>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0.0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5" fillId="6" borderId="1" xfId="2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44" fontId="0" fillId="7" borderId="1" xfId="1" applyFont="1" applyFill="1" applyBorder="1" applyAlignment="1">
      <alignment horizontal="center" vertical="center" wrapText="1"/>
    </xf>
    <xf numFmtId="44" fontId="0" fillId="0" borderId="0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4" fontId="0" fillId="3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center" vertical="center" wrapText="1"/>
    </xf>
    <xf numFmtId="44" fontId="0" fillId="5" borderId="1" xfId="1" applyFont="1" applyFill="1" applyBorder="1" applyAlignment="1">
      <alignment horizontal="center" vertical="center" wrapText="1"/>
    </xf>
    <xf numFmtId="44" fontId="0" fillId="9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activeCell="D4" sqref="D4"/>
    </sheetView>
  </sheetViews>
  <sheetFormatPr defaultRowHeight="15" x14ac:dyDescent="0.25"/>
  <cols>
    <col min="1" max="1" width="9.140625" style="1"/>
    <col min="2" max="2" width="25.42578125" style="1" customWidth="1"/>
    <col min="3" max="3" width="9.140625" style="5"/>
    <col min="4" max="4" width="9" style="1" bestFit="1" customWidth="1"/>
    <col min="5" max="5" width="25.42578125" style="1" customWidth="1"/>
    <col min="6" max="6" width="9.140625" style="5"/>
    <col min="7" max="7" width="9.140625" style="1"/>
    <col min="8" max="8" width="25.42578125" style="1" customWidth="1"/>
    <col min="9" max="9" width="9.140625" style="5"/>
    <col min="10" max="10" width="9" style="1" bestFit="1" customWidth="1"/>
    <col min="11" max="11" width="25.42578125" style="1" customWidth="1"/>
    <col min="12" max="12" width="9.140625" style="1"/>
    <col min="13" max="13" width="12" style="1" bestFit="1" customWidth="1"/>
    <col min="14" max="14" width="13.85546875" style="1" customWidth="1"/>
    <col min="15" max="15" width="17" style="1" customWidth="1"/>
    <col min="16" max="16384" width="9.140625" style="1"/>
  </cols>
  <sheetData>
    <row r="1" spans="1:15" ht="36.75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5" x14ac:dyDescent="0.25">
      <c r="B2" s="2"/>
      <c r="C2" s="1"/>
      <c r="F2" s="1"/>
      <c r="I2" s="1"/>
    </row>
    <row r="3" spans="1:15" ht="45" customHeight="1" x14ac:dyDescent="0.25">
      <c r="A3" s="3" t="s">
        <v>7</v>
      </c>
      <c r="B3" s="4">
        <v>0.12</v>
      </c>
      <c r="C3" s="1"/>
      <c r="D3" s="26" t="s">
        <v>20</v>
      </c>
      <c r="E3" s="26"/>
      <c r="F3" s="26"/>
      <c r="G3" s="26"/>
      <c r="H3" s="26"/>
      <c r="I3" s="26"/>
      <c r="J3" s="26"/>
      <c r="K3" s="26"/>
    </row>
    <row r="4" spans="1:15" ht="18" customHeight="1" x14ac:dyDescent="0.25"/>
    <row r="5" spans="1:15" x14ac:dyDescent="0.25">
      <c r="A5" s="25" t="s">
        <v>1</v>
      </c>
      <c r="B5" s="25"/>
      <c r="D5" s="25" t="s">
        <v>2</v>
      </c>
      <c r="E5" s="25"/>
      <c r="G5" s="28" t="s">
        <v>3</v>
      </c>
      <c r="H5" s="29"/>
      <c r="J5" s="25" t="s">
        <v>4</v>
      </c>
      <c r="K5" s="25"/>
      <c r="M5" s="5"/>
      <c r="N5" s="25" t="s">
        <v>12</v>
      </c>
      <c r="O5" s="25" t="s">
        <v>17</v>
      </c>
    </row>
    <row r="6" spans="1:15" x14ac:dyDescent="0.25">
      <c r="A6" s="6" t="s">
        <v>5</v>
      </c>
      <c r="B6" s="6" t="s">
        <v>6</v>
      </c>
      <c r="D6" s="6" t="s">
        <v>5</v>
      </c>
      <c r="E6" s="6" t="s">
        <v>6</v>
      </c>
      <c r="G6" s="6" t="s">
        <v>5</v>
      </c>
      <c r="H6" s="6" t="s">
        <v>6</v>
      </c>
      <c r="J6" s="6" t="s">
        <v>5</v>
      </c>
      <c r="K6" s="7" t="s">
        <v>6</v>
      </c>
      <c r="N6" s="25"/>
      <c r="O6" s="25"/>
    </row>
    <row r="7" spans="1:15" x14ac:dyDescent="0.25">
      <c r="A7" s="8">
        <v>0</v>
      </c>
      <c r="B7" s="9">
        <v>-4500000</v>
      </c>
      <c r="D7" s="8">
        <v>0</v>
      </c>
      <c r="E7" s="9">
        <v>-3800000</v>
      </c>
      <c r="G7" s="8">
        <v>0</v>
      </c>
      <c r="H7" s="9">
        <v>-2500000</v>
      </c>
      <c r="J7" s="8">
        <v>0</v>
      </c>
      <c r="K7" s="9">
        <v>-3200000</v>
      </c>
      <c r="M7" s="6" t="s">
        <v>8</v>
      </c>
      <c r="N7" s="10">
        <f>B21</f>
        <v>240773.75916656666</v>
      </c>
      <c r="O7" s="8" t="s">
        <v>13</v>
      </c>
    </row>
    <row r="8" spans="1:15" x14ac:dyDescent="0.25">
      <c r="A8" s="8">
        <v>1</v>
      </c>
      <c r="B8" s="9">
        <v>1390000</v>
      </c>
      <c r="D8" s="8">
        <v>1</v>
      </c>
      <c r="E8" s="9">
        <v>857000</v>
      </c>
      <c r="G8" s="8">
        <v>1</v>
      </c>
      <c r="H8" s="9">
        <v>490000</v>
      </c>
      <c r="J8" s="8">
        <v>1</v>
      </c>
      <c r="K8" s="9">
        <v>110000</v>
      </c>
      <c r="M8" s="6" t="s">
        <v>9</v>
      </c>
      <c r="N8" s="10">
        <f>E21</f>
        <v>112000</v>
      </c>
      <c r="O8" s="8" t="s">
        <v>14</v>
      </c>
    </row>
    <row r="9" spans="1:15" x14ac:dyDescent="0.25">
      <c r="A9" s="8">
        <v>2</v>
      </c>
      <c r="B9" s="9">
        <v>1107000</v>
      </c>
      <c r="D9" s="8">
        <v>2</v>
      </c>
      <c r="E9" s="9">
        <v>630000</v>
      </c>
      <c r="G9" s="8">
        <v>2</v>
      </c>
      <c r="H9" s="9">
        <v>640000</v>
      </c>
      <c r="J9" s="8">
        <v>2</v>
      </c>
      <c r="K9" s="9">
        <v>860000</v>
      </c>
      <c r="M9" s="6" t="s">
        <v>10</v>
      </c>
      <c r="N9" s="10">
        <f>H21</f>
        <v>-40000</v>
      </c>
      <c r="O9" s="8" t="s">
        <v>16</v>
      </c>
    </row>
    <row r="10" spans="1:15" x14ac:dyDescent="0.25">
      <c r="A10" s="8">
        <v>3</v>
      </c>
      <c r="B10" s="9">
        <v>1390000</v>
      </c>
      <c r="D10" s="8">
        <v>3</v>
      </c>
      <c r="E10" s="9">
        <v>875000</v>
      </c>
      <c r="G10" s="8">
        <v>3</v>
      </c>
      <c r="H10" s="9">
        <v>410000</v>
      </c>
      <c r="J10" s="8">
        <v>3</v>
      </c>
      <c r="K10" s="9">
        <v>570000</v>
      </c>
      <c r="M10" s="6" t="s">
        <v>11</v>
      </c>
      <c r="N10" s="10">
        <f>K21</f>
        <v>90000</v>
      </c>
      <c r="O10" s="8" t="s">
        <v>15</v>
      </c>
    </row>
    <row r="11" spans="1:15" x14ac:dyDescent="0.25">
      <c r="A11" s="8">
        <v>4</v>
      </c>
      <c r="B11" s="9">
        <v>1490000</v>
      </c>
      <c r="D11" s="8">
        <v>4</v>
      </c>
      <c r="E11" s="9">
        <v>870000</v>
      </c>
      <c r="G11" s="8">
        <v>4</v>
      </c>
      <c r="H11" s="9">
        <v>430000</v>
      </c>
      <c r="J11" s="8">
        <v>4</v>
      </c>
      <c r="K11" s="9">
        <v>900000</v>
      </c>
    </row>
    <row r="12" spans="1:15" x14ac:dyDescent="0.25">
      <c r="A12" s="8">
        <v>5</v>
      </c>
      <c r="B12" s="9">
        <v>1200000</v>
      </c>
      <c r="D12" s="8">
        <v>5</v>
      </c>
      <c r="E12" s="9">
        <v>680000</v>
      </c>
      <c r="G12" s="8">
        <v>5</v>
      </c>
      <c r="H12" s="9">
        <v>490000</v>
      </c>
      <c r="J12" s="8">
        <v>5</v>
      </c>
      <c r="K12" s="9">
        <v>850000</v>
      </c>
    </row>
    <row r="13" spans="1:15" x14ac:dyDescent="0.25">
      <c r="A13" s="8">
        <v>6</v>
      </c>
      <c r="B13" s="9"/>
      <c r="D13" s="8">
        <v>6</v>
      </c>
      <c r="E13" s="9"/>
      <c r="G13" s="8">
        <v>6</v>
      </c>
      <c r="H13" s="9"/>
      <c r="J13" s="8">
        <v>6</v>
      </c>
      <c r="K13" s="9"/>
    </row>
    <row r="14" spans="1:15" x14ac:dyDescent="0.25">
      <c r="A14" s="8">
        <v>7</v>
      </c>
      <c r="B14" s="9"/>
      <c r="D14" s="8">
        <v>7</v>
      </c>
      <c r="E14" s="9"/>
      <c r="G14" s="8">
        <v>7</v>
      </c>
      <c r="H14" s="9"/>
      <c r="J14" s="8">
        <v>7</v>
      </c>
      <c r="K14" s="9"/>
    </row>
    <row r="15" spans="1:15" x14ac:dyDescent="0.25">
      <c r="A15" s="8">
        <v>8</v>
      </c>
      <c r="B15" s="9"/>
      <c r="D15" s="8">
        <v>8</v>
      </c>
      <c r="E15" s="9"/>
      <c r="G15" s="8">
        <v>8</v>
      </c>
      <c r="H15" s="9"/>
      <c r="J15" s="8">
        <v>8</v>
      </c>
      <c r="K15" s="9"/>
    </row>
    <row r="16" spans="1:15" x14ac:dyDescent="0.25">
      <c r="A16" s="8">
        <v>9</v>
      </c>
      <c r="B16" s="9"/>
      <c r="D16" s="8">
        <v>9</v>
      </c>
      <c r="E16" s="9"/>
      <c r="G16" s="8">
        <v>9</v>
      </c>
      <c r="H16" s="9"/>
      <c r="J16" s="8">
        <v>9</v>
      </c>
      <c r="K16" s="9"/>
    </row>
    <row r="17" spans="1:11" x14ac:dyDescent="0.25">
      <c r="A17" s="8">
        <v>10</v>
      </c>
      <c r="B17" s="9"/>
      <c r="D17" s="8">
        <v>10</v>
      </c>
      <c r="E17" s="9"/>
      <c r="G17" s="8">
        <v>10</v>
      </c>
      <c r="H17" s="9"/>
      <c r="J17" s="8">
        <v>10</v>
      </c>
      <c r="K17" s="9"/>
    </row>
    <row r="18" spans="1:11" x14ac:dyDescent="0.25">
      <c r="A18" s="8">
        <v>11</v>
      </c>
      <c r="B18" s="9"/>
      <c r="D18" s="8">
        <v>11</v>
      </c>
      <c r="E18" s="9"/>
      <c r="G18" s="8">
        <v>11</v>
      </c>
      <c r="H18" s="9"/>
      <c r="J18" s="8">
        <v>11</v>
      </c>
      <c r="K18" s="9"/>
    </row>
    <row r="19" spans="1:11" x14ac:dyDescent="0.25">
      <c r="A19" s="8">
        <v>12</v>
      </c>
      <c r="B19" s="9"/>
      <c r="D19" s="8">
        <v>12</v>
      </c>
      <c r="E19" s="9"/>
      <c r="G19" s="8">
        <v>12</v>
      </c>
      <c r="H19" s="9"/>
      <c r="J19" s="8">
        <v>12</v>
      </c>
      <c r="K19" s="9"/>
    </row>
    <row r="21" spans="1:11" x14ac:dyDescent="0.25">
      <c r="A21" s="6" t="s">
        <v>8</v>
      </c>
      <c r="B21" s="11">
        <f>NPV(B3,B8:B12)+B7</f>
        <v>240773.75916656666</v>
      </c>
      <c r="D21" s="6" t="s">
        <v>9</v>
      </c>
      <c r="E21" s="11">
        <f>NPV(E3,E8:E12)+E7</f>
        <v>112000</v>
      </c>
      <c r="G21" s="6" t="s">
        <v>10</v>
      </c>
      <c r="H21" s="11">
        <f>NPV(H3,H8:H12)+H7</f>
        <v>-40000</v>
      </c>
      <c r="J21" s="6" t="s">
        <v>11</v>
      </c>
      <c r="K21" s="11">
        <f>NPV(K3,K8:K12)+K7</f>
        <v>90000</v>
      </c>
    </row>
  </sheetData>
  <mergeCells count="8">
    <mergeCell ref="A1:K1"/>
    <mergeCell ref="G5:H5"/>
    <mergeCell ref="O5:O6"/>
    <mergeCell ref="N5:N6"/>
    <mergeCell ref="D3:K3"/>
    <mergeCell ref="A5:B5"/>
    <mergeCell ref="D5:E5"/>
    <mergeCell ref="J5:K5"/>
  </mergeCells>
  <conditionalFormatting sqref="N7:N10">
    <cfRule type="cellIs" dxfId="3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M5" sqref="M5:O10"/>
    </sheetView>
  </sheetViews>
  <sheetFormatPr defaultRowHeight="15" x14ac:dyDescent="0.25"/>
  <cols>
    <col min="1" max="1" width="9.140625" style="1"/>
    <col min="2" max="2" width="25.42578125" style="1" customWidth="1"/>
    <col min="3" max="3" width="9.140625" style="5"/>
    <col min="4" max="4" width="9" style="1" bestFit="1" customWidth="1"/>
    <col min="5" max="5" width="25.42578125" style="1" customWidth="1"/>
    <col min="6" max="6" width="9.140625" style="5"/>
    <col min="7" max="7" width="9.140625" style="1"/>
    <col min="8" max="8" width="25.42578125" style="1" customWidth="1"/>
    <col min="9" max="9" width="9.140625" style="5"/>
    <col min="10" max="10" width="9" style="1" bestFit="1" customWidth="1"/>
    <col min="11" max="11" width="25.42578125" style="1" customWidth="1"/>
    <col min="12" max="12" width="9.140625" style="1"/>
    <col min="13" max="13" width="12" style="1" bestFit="1" customWidth="1"/>
    <col min="14" max="14" width="15.28515625" style="1" bestFit="1" customWidth="1"/>
    <col min="15" max="15" width="17" style="1" customWidth="1"/>
    <col min="16" max="16384" width="9.140625" style="1"/>
  </cols>
  <sheetData>
    <row r="1" spans="1:15" ht="36.75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5" x14ac:dyDescent="0.25">
      <c r="B2" s="2"/>
      <c r="C2" s="1"/>
      <c r="F2" s="1"/>
      <c r="I2" s="1"/>
    </row>
    <row r="3" spans="1:15" ht="45" customHeight="1" x14ac:dyDescent="0.25">
      <c r="A3" s="3" t="s">
        <v>7</v>
      </c>
      <c r="B3" s="4">
        <v>0.12</v>
      </c>
      <c r="C3" s="1"/>
      <c r="D3" s="26" t="s">
        <v>19</v>
      </c>
      <c r="E3" s="26"/>
      <c r="F3" s="26"/>
      <c r="G3" s="26"/>
      <c r="H3" s="26"/>
      <c r="I3" s="26"/>
      <c r="J3" s="26"/>
      <c r="K3" s="26"/>
    </row>
    <row r="4" spans="1:15" ht="18" customHeight="1" x14ac:dyDescent="0.25"/>
    <row r="5" spans="1:15" x14ac:dyDescent="0.25">
      <c r="A5" s="25" t="s">
        <v>1</v>
      </c>
      <c r="B5" s="25"/>
      <c r="D5" s="25" t="s">
        <v>2</v>
      </c>
      <c r="E5" s="25"/>
      <c r="G5" s="28" t="s">
        <v>3</v>
      </c>
      <c r="H5" s="29"/>
      <c r="J5" s="25" t="s">
        <v>4</v>
      </c>
      <c r="K5" s="25"/>
      <c r="M5" s="5"/>
      <c r="N5" s="25" t="s">
        <v>12</v>
      </c>
      <c r="O5" s="25" t="s">
        <v>17</v>
      </c>
    </row>
    <row r="6" spans="1:15" x14ac:dyDescent="0.25">
      <c r="A6" s="6" t="s">
        <v>5</v>
      </c>
      <c r="B6" s="6" t="s">
        <v>6</v>
      </c>
      <c r="D6" s="6" t="s">
        <v>5</v>
      </c>
      <c r="E6" s="6" t="s">
        <v>6</v>
      </c>
      <c r="G6" s="6" t="s">
        <v>5</v>
      </c>
      <c r="H6" s="6" t="s">
        <v>6</v>
      </c>
      <c r="J6" s="6" t="s">
        <v>5</v>
      </c>
      <c r="K6" s="7" t="s">
        <v>6</v>
      </c>
      <c r="N6" s="25"/>
      <c r="O6" s="25"/>
    </row>
    <row r="7" spans="1:15" x14ac:dyDescent="0.25">
      <c r="A7" s="12">
        <v>0</v>
      </c>
      <c r="B7" s="13">
        <v>-4500000</v>
      </c>
      <c r="D7" s="12">
        <v>0</v>
      </c>
      <c r="E7" s="13">
        <v>-3800000</v>
      </c>
      <c r="G7" s="12">
        <v>0</v>
      </c>
      <c r="H7" s="13">
        <v>-2500000</v>
      </c>
      <c r="J7" s="12">
        <v>0</v>
      </c>
      <c r="K7" s="13">
        <v>-3200000</v>
      </c>
      <c r="M7" s="6" t="s">
        <v>8</v>
      </c>
      <c r="N7" s="10">
        <f>B21</f>
        <v>894870.7245437149</v>
      </c>
      <c r="O7" s="8" t="s">
        <v>15</v>
      </c>
    </row>
    <row r="8" spans="1:15" x14ac:dyDescent="0.25">
      <c r="A8" s="8">
        <v>1</v>
      </c>
      <c r="B8" s="9">
        <v>1390000</v>
      </c>
      <c r="D8" s="8">
        <v>1</v>
      </c>
      <c r="E8" s="9">
        <v>857000</v>
      </c>
      <c r="G8" s="8">
        <v>1</v>
      </c>
      <c r="H8" s="9">
        <v>490000</v>
      </c>
      <c r="J8" s="8">
        <v>1</v>
      </c>
      <c r="K8" s="9">
        <v>110000</v>
      </c>
      <c r="M8" s="6" t="s">
        <v>9</v>
      </c>
      <c r="N8" s="10">
        <f>E21</f>
        <v>912000</v>
      </c>
      <c r="O8" s="8" t="s">
        <v>14</v>
      </c>
    </row>
    <row r="9" spans="1:15" x14ac:dyDescent="0.25">
      <c r="A9" s="8">
        <v>2</v>
      </c>
      <c r="B9" s="9">
        <v>1107000</v>
      </c>
      <c r="D9" s="8">
        <v>2</v>
      </c>
      <c r="E9" s="9">
        <v>630000</v>
      </c>
      <c r="G9" s="8">
        <v>2</v>
      </c>
      <c r="H9" s="9">
        <v>640000</v>
      </c>
      <c r="J9" s="8">
        <v>2</v>
      </c>
      <c r="K9" s="9">
        <v>860000</v>
      </c>
      <c r="M9" s="6" t="s">
        <v>10</v>
      </c>
      <c r="N9" s="10">
        <f>H21</f>
        <v>790000</v>
      </c>
      <c r="O9" s="8" t="s">
        <v>18</v>
      </c>
    </row>
    <row r="10" spans="1:15" x14ac:dyDescent="0.25">
      <c r="A10" s="8">
        <v>3</v>
      </c>
      <c r="B10" s="9">
        <v>1390000</v>
      </c>
      <c r="D10" s="8">
        <v>3</v>
      </c>
      <c r="E10" s="9">
        <v>875000</v>
      </c>
      <c r="G10" s="8">
        <v>3</v>
      </c>
      <c r="H10" s="9">
        <v>410000</v>
      </c>
      <c r="J10" s="8">
        <v>3</v>
      </c>
      <c r="K10" s="9">
        <v>570000</v>
      </c>
      <c r="M10" s="6" t="s">
        <v>11</v>
      </c>
      <c r="N10" s="10">
        <f>K21</f>
        <v>1110000</v>
      </c>
      <c r="O10" s="8" t="s">
        <v>13</v>
      </c>
    </row>
    <row r="11" spans="1:15" x14ac:dyDescent="0.25">
      <c r="A11" s="8">
        <v>4</v>
      </c>
      <c r="B11" s="9">
        <v>1490000</v>
      </c>
      <c r="D11" s="8">
        <v>4</v>
      </c>
      <c r="E11" s="9">
        <v>870000</v>
      </c>
      <c r="G11" s="8">
        <v>4</v>
      </c>
      <c r="H11" s="9">
        <v>430000</v>
      </c>
      <c r="J11" s="8">
        <v>4</v>
      </c>
      <c r="K11" s="9">
        <v>900000</v>
      </c>
    </row>
    <row r="12" spans="1:15" x14ac:dyDescent="0.25">
      <c r="A12" s="8">
        <v>5</v>
      </c>
      <c r="B12" s="9">
        <v>1200000</v>
      </c>
      <c r="D12" s="8">
        <v>5</v>
      </c>
      <c r="E12" s="9">
        <v>680000</v>
      </c>
      <c r="G12" s="8">
        <v>5</v>
      </c>
      <c r="H12" s="9">
        <v>490000</v>
      </c>
      <c r="J12" s="8">
        <v>5</v>
      </c>
      <c r="K12" s="9">
        <v>850000</v>
      </c>
    </row>
    <row r="13" spans="1:15" x14ac:dyDescent="0.25">
      <c r="A13" s="8">
        <v>6</v>
      </c>
      <c r="B13" s="9">
        <v>800000</v>
      </c>
      <c r="D13" s="8">
        <v>6</v>
      </c>
      <c r="E13" s="9">
        <v>480000</v>
      </c>
      <c r="G13" s="8">
        <v>6</v>
      </c>
      <c r="H13" s="9">
        <v>420000</v>
      </c>
      <c r="J13" s="8">
        <v>6</v>
      </c>
      <c r="K13" s="9">
        <v>550000</v>
      </c>
    </row>
    <row r="14" spans="1:15" x14ac:dyDescent="0.25">
      <c r="A14" s="8">
        <v>7</v>
      </c>
      <c r="B14" s="9">
        <v>550000</v>
      </c>
      <c r="D14" s="8">
        <v>7</v>
      </c>
      <c r="E14" s="9">
        <v>320000</v>
      </c>
      <c r="G14" s="8">
        <v>7</v>
      </c>
      <c r="H14" s="9">
        <v>410000</v>
      </c>
      <c r="J14" s="8">
        <v>7</v>
      </c>
      <c r="K14" s="9">
        <v>470000</v>
      </c>
    </row>
    <row r="15" spans="1:15" x14ac:dyDescent="0.25">
      <c r="A15" s="8">
        <v>8</v>
      </c>
      <c r="B15" s="9"/>
      <c r="D15" s="8">
        <v>8</v>
      </c>
      <c r="E15" s="9"/>
      <c r="G15" s="8">
        <v>8</v>
      </c>
      <c r="H15" s="9"/>
      <c r="J15" s="8">
        <v>8</v>
      </c>
      <c r="K15" s="9"/>
    </row>
    <row r="16" spans="1:15" x14ac:dyDescent="0.25">
      <c r="A16" s="8">
        <v>9</v>
      </c>
      <c r="B16" s="9"/>
      <c r="D16" s="8">
        <v>9</v>
      </c>
      <c r="E16" s="9"/>
      <c r="G16" s="8">
        <v>9</v>
      </c>
      <c r="H16" s="9"/>
      <c r="J16" s="8">
        <v>9</v>
      </c>
      <c r="K16" s="9"/>
    </row>
    <row r="17" spans="1:11" x14ac:dyDescent="0.25">
      <c r="A17" s="8">
        <v>10</v>
      </c>
      <c r="B17" s="9"/>
      <c r="D17" s="8">
        <v>10</v>
      </c>
      <c r="E17" s="9"/>
      <c r="G17" s="8">
        <v>10</v>
      </c>
      <c r="H17" s="9"/>
      <c r="J17" s="8">
        <v>10</v>
      </c>
      <c r="K17" s="9"/>
    </row>
    <row r="18" spans="1:11" x14ac:dyDescent="0.25">
      <c r="A18" s="8">
        <v>11</v>
      </c>
      <c r="B18" s="9"/>
      <c r="D18" s="8">
        <v>11</v>
      </c>
      <c r="E18" s="9"/>
      <c r="G18" s="8">
        <v>11</v>
      </c>
      <c r="H18" s="9"/>
      <c r="J18" s="8">
        <v>11</v>
      </c>
      <c r="K18" s="9"/>
    </row>
    <row r="19" spans="1:11" x14ac:dyDescent="0.25">
      <c r="A19" s="8">
        <v>12</v>
      </c>
      <c r="B19" s="9"/>
      <c r="D19" s="8">
        <v>12</v>
      </c>
      <c r="E19" s="9"/>
      <c r="G19" s="8">
        <v>12</v>
      </c>
      <c r="H19" s="9"/>
      <c r="J19" s="8">
        <v>12</v>
      </c>
      <c r="K19" s="9"/>
    </row>
    <row r="21" spans="1:11" x14ac:dyDescent="0.25">
      <c r="A21" s="6" t="s">
        <v>8</v>
      </c>
      <c r="B21" s="11">
        <f>NPV(B3,B8:B14)+B7</f>
        <v>894870.7245437149</v>
      </c>
      <c r="D21" s="6" t="s">
        <v>9</v>
      </c>
      <c r="E21" s="11">
        <f>NPV(E3,E8:E14)+E7</f>
        <v>912000</v>
      </c>
      <c r="G21" s="6" t="s">
        <v>10</v>
      </c>
      <c r="H21" s="11">
        <f>NPV(H3,H8:H14)+H7</f>
        <v>790000</v>
      </c>
      <c r="J21" s="6" t="s">
        <v>11</v>
      </c>
      <c r="K21" s="11">
        <f>NPV(K3,K8:K14)+K7</f>
        <v>1110000</v>
      </c>
    </row>
  </sheetData>
  <mergeCells count="8">
    <mergeCell ref="N5:N6"/>
    <mergeCell ref="O5:O6"/>
    <mergeCell ref="A1:K1"/>
    <mergeCell ref="D3:K3"/>
    <mergeCell ref="A5:B5"/>
    <mergeCell ref="D5:E5"/>
    <mergeCell ref="G5:H5"/>
    <mergeCell ref="J5:K5"/>
  </mergeCells>
  <conditionalFormatting sqref="N7:N10">
    <cfRule type="cellIs" dxfId="2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topLeftCell="A4" zoomScale="85" zoomScaleNormal="85" workbookViewId="0">
      <selection activeCell="O34" sqref="O34"/>
    </sheetView>
  </sheetViews>
  <sheetFormatPr defaultRowHeight="15" x14ac:dyDescent="0.25"/>
  <cols>
    <col min="1" max="1" width="14.140625" style="1" bestFit="1" customWidth="1"/>
    <col min="2" max="2" width="25.42578125" style="1" customWidth="1"/>
    <col min="3" max="3" width="9.140625" style="5"/>
    <col min="4" max="4" width="9" style="1" bestFit="1" customWidth="1"/>
    <col min="5" max="5" width="25.42578125" style="1" customWidth="1"/>
    <col min="6" max="6" width="9.140625" style="5"/>
    <col min="7" max="7" width="9.140625" style="1"/>
    <col min="8" max="8" width="25.42578125" style="1" customWidth="1"/>
    <col min="9" max="9" width="9.140625" style="5"/>
    <col min="10" max="10" width="9" style="1" bestFit="1" customWidth="1"/>
    <col min="11" max="11" width="25.42578125" style="1" customWidth="1"/>
    <col min="12" max="13" width="9.140625" style="1"/>
    <col min="14" max="14" width="15.5703125" style="1" bestFit="1" customWidth="1"/>
    <col min="15" max="15" width="29.140625" style="1" bestFit="1" customWidth="1"/>
    <col min="16" max="17" width="9.140625" style="1"/>
    <col min="18" max="18" width="22.28515625" style="1" customWidth="1"/>
    <col min="19" max="16384" width="9.140625" style="1"/>
  </cols>
  <sheetData>
    <row r="1" spans="1:18" ht="36.75" customHeight="1" x14ac:dyDescent="0.25">
      <c r="A1" s="27" t="s">
        <v>21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8" x14ac:dyDescent="0.25">
      <c r="B2" s="2"/>
      <c r="C2" s="1"/>
      <c r="F2" s="1"/>
      <c r="I2" s="1"/>
    </row>
    <row r="3" spans="1:18" ht="45" customHeight="1" x14ac:dyDescent="0.25">
      <c r="A3" s="3" t="s">
        <v>7</v>
      </c>
      <c r="B3" s="4">
        <v>0.12</v>
      </c>
      <c r="C3" s="1"/>
      <c r="D3" s="26" t="s">
        <v>19</v>
      </c>
      <c r="E3" s="26"/>
      <c r="F3" s="26"/>
      <c r="G3" s="26"/>
      <c r="H3" s="26"/>
      <c r="I3" s="26"/>
      <c r="J3" s="26"/>
      <c r="K3" s="26"/>
    </row>
    <row r="4" spans="1:18" ht="18" customHeight="1" x14ac:dyDescent="0.25"/>
    <row r="5" spans="1:18" ht="15" customHeight="1" x14ac:dyDescent="0.25">
      <c r="A5" s="25" t="s">
        <v>1</v>
      </c>
      <c r="B5" s="25"/>
      <c r="D5" s="25" t="s">
        <v>2</v>
      </c>
      <c r="E5" s="25"/>
      <c r="G5" s="28" t="s">
        <v>3</v>
      </c>
      <c r="H5" s="29"/>
      <c r="J5" s="25" t="s">
        <v>4</v>
      </c>
      <c r="K5" s="25"/>
      <c r="M5" s="15" t="s">
        <v>22</v>
      </c>
      <c r="N5" s="8">
        <v>5</v>
      </c>
      <c r="O5" s="5"/>
    </row>
    <row r="6" spans="1:18" x14ac:dyDescent="0.25">
      <c r="A6" s="6" t="s">
        <v>5</v>
      </c>
      <c r="B6" s="6" t="s">
        <v>6</v>
      </c>
      <c r="D6" s="6" t="s">
        <v>5</v>
      </c>
      <c r="E6" s="6" t="s">
        <v>6</v>
      </c>
      <c r="G6" s="6" t="s">
        <v>5</v>
      </c>
      <c r="H6" s="6" t="s">
        <v>6</v>
      </c>
      <c r="J6" s="6" t="s">
        <v>5</v>
      </c>
      <c r="K6" s="7" t="s">
        <v>6</v>
      </c>
      <c r="M6" s="15" t="s">
        <v>23</v>
      </c>
      <c r="N6" s="8">
        <v>4</v>
      </c>
      <c r="O6" s="5"/>
    </row>
    <row r="7" spans="1:18" x14ac:dyDescent="0.25">
      <c r="A7" s="12">
        <v>0</v>
      </c>
      <c r="B7" s="13">
        <v>-4500000</v>
      </c>
      <c r="D7" s="12">
        <v>0</v>
      </c>
      <c r="E7" s="13">
        <v>-3800000</v>
      </c>
      <c r="G7" s="12">
        <v>0</v>
      </c>
      <c r="H7" s="13">
        <v>-2500000</v>
      </c>
      <c r="J7" s="12">
        <v>0</v>
      </c>
      <c r="K7" s="13">
        <v>-3200000</v>
      </c>
      <c r="M7" s="15" t="s">
        <v>24</v>
      </c>
      <c r="N7" s="8">
        <v>3</v>
      </c>
      <c r="O7" s="5"/>
    </row>
    <row r="8" spans="1:18" x14ac:dyDescent="0.25">
      <c r="A8" s="8">
        <v>1</v>
      </c>
      <c r="B8" s="9">
        <v>1390000</v>
      </c>
      <c r="D8" s="8">
        <v>1</v>
      </c>
      <c r="E8" s="9">
        <v>1570000</v>
      </c>
      <c r="G8" s="8">
        <v>1</v>
      </c>
      <c r="H8" s="9">
        <v>1590000</v>
      </c>
      <c r="J8" s="8">
        <v>1</v>
      </c>
      <c r="K8" s="9">
        <v>410000</v>
      </c>
      <c r="M8" s="15" t="s">
        <v>25</v>
      </c>
      <c r="N8" s="8">
        <v>5</v>
      </c>
      <c r="O8" s="5"/>
    </row>
    <row r="9" spans="1:18" ht="15" customHeight="1" x14ac:dyDescent="0.25">
      <c r="A9" s="8">
        <v>2</v>
      </c>
      <c r="B9" s="9">
        <v>1107000</v>
      </c>
      <c r="D9" s="8">
        <v>2</v>
      </c>
      <c r="E9" s="9">
        <v>830000</v>
      </c>
      <c r="G9" s="8">
        <v>2</v>
      </c>
      <c r="H9" s="9">
        <v>1140000</v>
      </c>
      <c r="J9" s="8">
        <v>2</v>
      </c>
      <c r="K9" s="9">
        <v>860000</v>
      </c>
      <c r="M9" s="16" t="s">
        <v>26</v>
      </c>
      <c r="N9" s="16">
        <f>LCM(N5:N8)</f>
        <v>60</v>
      </c>
      <c r="O9" s="34" t="s">
        <v>27</v>
      </c>
      <c r="P9" s="35"/>
      <c r="Q9" s="36"/>
    </row>
    <row r="10" spans="1:18" x14ac:dyDescent="0.25">
      <c r="A10" s="8">
        <v>3</v>
      </c>
      <c r="B10" s="9">
        <v>1390000</v>
      </c>
      <c r="D10" s="8">
        <v>3</v>
      </c>
      <c r="E10" s="9">
        <v>875000</v>
      </c>
      <c r="G10" s="8">
        <v>3</v>
      </c>
      <c r="H10" s="9">
        <v>750000</v>
      </c>
      <c r="J10" s="8">
        <v>3</v>
      </c>
      <c r="K10" s="9">
        <v>770000</v>
      </c>
    </row>
    <row r="11" spans="1:18" x14ac:dyDescent="0.25">
      <c r="A11" s="8">
        <v>4</v>
      </c>
      <c r="B11" s="9">
        <v>1490000</v>
      </c>
      <c r="D11" s="8">
        <v>4</v>
      </c>
      <c r="E11" s="9">
        <v>870000</v>
      </c>
      <c r="G11" s="5"/>
      <c r="H11" s="14"/>
      <c r="J11" s="8">
        <v>4</v>
      </c>
      <c r="K11" s="9">
        <v>1200000</v>
      </c>
    </row>
    <row r="12" spans="1:18" ht="15" customHeight="1" x14ac:dyDescent="0.25">
      <c r="A12" s="8">
        <v>5</v>
      </c>
      <c r="B12" s="9">
        <v>1200000</v>
      </c>
      <c r="D12" s="5"/>
      <c r="E12" s="14"/>
      <c r="G12" s="5"/>
      <c r="H12" s="14"/>
      <c r="J12" s="8">
        <v>5</v>
      </c>
      <c r="K12" s="9">
        <v>850000</v>
      </c>
      <c r="M12" s="15" t="s">
        <v>28</v>
      </c>
      <c r="N12" s="37" t="s">
        <v>33</v>
      </c>
      <c r="O12" s="38"/>
      <c r="P12" s="39"/>
      <c r="Q12" s="33" t="s">
        <v>38</v>
      </c>
      <c r="R12" s="33"/>
    </row>
    <row r="13" spans="1:18" x14ac:dyDescent="0.25">
      <c r="M13" s="15" t="s">
        <v>29</v>
      </c>
      <c r="N13" s="31" t="s">
        <v>34</v>
      </c>
      <c r="O13" s="32"/>
      <c r="P13" s="32"/>
      <c r="Q13" s="31">
        <f>B7+B12</f>
        <v>-3300000</v>
      </c>
      <c r="R13" s="32"/>
    </row>
    <row r="14" spans="1:18" x14ac:dyDescent="0.25">
      <c r="M14" s="15" t="s">
        <v>30</v>
      </c>
      <c r="N14" s="31" t="s">
        <v>35</v>
      </c>
      <c r="O14" s="32"/>
      <c r="P14" s="32"/>
      <c r="Q14" s="31">
        <f>E7+E11</f>
        <v>-2930000</v>
      </c>
      <c r="R14" s="32"/>
    </row>
    <row r="15" spans="1:18" x14ac:dyDescent="0.25">
      <c r="A15" s="25" t="s">
        <v>1</v>
      </c>
      <c r="B15" s="25"/>
      <c r="D15" s="25" t="s">
        <v>2</v>
      </c>
      <c r="E15" s="25"/>
      <c r="G15" s="28" t="s">
        <v>3</v>
      </c>
      <c r="H15" s="29"/>
      <c r="J15" s="25" t="s">
        <v>4</v>
      </c>
      <c r="K15" s="25"/>
      <c r="M15" s="15" t="s">
        <v>31</v>
      </c>
      <c r="N15" s="31" t="s">
        <v>36</v>
      </c>
      <c r="O15" s="32"/>
      <c r="P15" s="32"/>
      <c r="Q15" s="31">
        <f>H7+H10</f>
        <v>-1750000</v>
      </c>
      <c r="R15" s="32"/>
    </row>
    <row r="16" spans="1:18" x14ac:dyDescent="0.25">
      <c r="A16" s="6" t="s">
        <v>5</v>
      </c>
      <c r="B16" s="6" t="s">
        <v>6</v>
      </c>
      <c r="D16" s="6" t="s">
        <v>5</v>
      </c>
      <c r="E16" s="6" t="s">
        <v>6</v>
      </c>
      <c r="G16" s="6" t="s">
        <v>5</v>
      </c>
      <c r="H16" s="6" t="s">
        <v>6</v>
      </c>
      <c r="J16" s="6" t="s">
        <v>5</v>
      </c>
      <c r="K16" s="7" t="s">
        <v>6</v>
      </c>
      <c r="M16" s="15" t="s">
        <v>32</v>
      </c>
      <c r="N16" s="31" t="s">
        <v>37</v>
      </c>
      <c r="O16" s="32"/>
      <c r="P16" s="32"/>
      <c r="Q16" s="31">
        <f>K7+K12</f>
        <v>-2350000</v>
      </c>
      <c r="R16" s="32"/>
    </row>
    <row r="17" spans="1:18" x14ac:dyDescent="0.25">
      <c r="A17" s="21">
        <v>0</v>
      </c>
      <c r="B17" s="22">
        <v>-4500000</v>
      </c>
      <c r="D17" s="21">
        <v>0</v>
      </c>
      <c r="E17" s="22">
        <v>-3800000</v>
      </c>
      <c r="G17" s="21">
        <v>0</v>
      </c>
      <c r="H17" s="22">
        <v>-2500000</v>
      </c>
      <c r="J17" s="21">
        <v>0</v>
      </c>
      <c r="K17" s="22">
        <v>-3200000</v>
      </c>
    </row>
    <row r="18" spans="1:18" ht="15" customHeight="1" x14ac:dyDescent="0.25">
      <c r="A18" s="8">
        <v>1</v>
      </c>
      <c r="B18" s="9">
        <v>1390000</v>
      </c>
      <c r="D18" s="8">
        <v>1</v>
      </c>
      <c r="E18" s="9">
        <v>1570000</v>
      </c>
      <c r="G18" s="8">
        <v>1</v>
      </c>
      <c r="H18" s="9">
        <v>1590000</v>
      </c>
      <c r="J18" s="8">
        <v>1</v>
      </c>
      <c r="K18" s="9">
        <v>410000</v>
      </c>
      <c r="M18" s="30" t="s">
        <v>39</v>
      </c>
      <c r="N18" s="30"/>
      <c r="O18" s="30"/>
      <c r="P18" s="30"/>
      <c r="Q18" s="30"/>
      <c r="R18" s="30"/>
    </row>
    <row r="19" spans="1:18" ht="15" customHeight="1" x14ac:dyDescent="0.25">
      <c r="A19" s="8">
        <v>2</v>
      </c>
      <c r="B19" s="9">
        <v>1107000</v>
      </c>
      <c r="D19" s="8">
        <v>2</v>
      </c>
      <c r="E19" s="9">
        <v>830000</v>
      </c>
      <c r="G19" s="8">
        <v>2</v>
      </c>
      <c r="H19" s="9">
        <v>1140000</v>
      </c>
      <c r="J19" s="8">
        <v>2</v>
      </c>
      <c r="K19" s="9">
        <v>860000</v>
      </c>
      <c r="M19" s="30"/>
      <c r="N19" s="30"/>
      <c r="O19" s="30"/>
      <c r="P19" s="30"/>
      <c r="Q19" s="30"/>
      <c r="R19" s="30"/>
    </row>
    <row r="20" spans="1:18" ht="15" customHeight="1" x14ac:dyDescent="0.25">
      <c r="A20" s="8">
        <v>3</v>
      </c>
      <c r="B20" s="9">
        <v>1390000</v>
      </c>
      <c r="D20" s="8">
        <v>3</v>
      </c>
      <c r="E20" s="9">
        <v>875000</v>
      </c>
      <c r="G20" s="18">
        <v>3</v>
      </c>
      <c r="H20" s="24">
        <f>$Q$15</f>
        <v>-1750000</v>
      </c>
      <c r="J20" s="8">
        <v>3</v>
      </c>
      <c r="K20" s="9">
        <v>770000</v>
      </c>
      <c r="M20" s="30"/>
      <c r="N20" s="30"/>
      <c r="O20" s="30"/>
      <c r="P20" s="30"/>
      <c r="Q20" s="30"/>
      <c r="R20" s="30"/>
    </row>
    <row r="21" spans="1:18" x14ac:dyDescent="0.25">
      <c r="A21" s="8">
        <v>4</v>
      </c>
      <c r="B21" s="9">
        <v>1490000</v>
      </c>
      <c r="D21" s="17">
        <v>4</v>
      </c>
      <c r="E21" s="23">
        <f>$Q$14</f>
        <v>-2930000</v>
      </c>
      <c r="G21" s="8">
        <v>4</v>
      </c>
      <c r="H21" s="9">
        <v>1590000</v>
      </c>
      <c r="J21" s="8">
        <v>4</v>
      </c>
      <c r="K21" s="9">
        <v>1200000</v>
      </c>
      <c r="M21" s="30"/>
      <c r="N21" s="30"/>
      <c r="O21" s="30"/>
      <c r="P21" s="30"/>
      <c r="Q21" s="30"/>
      <c r="R21" s="30"/>
    </row>
    <row r="22" spans="1:18" x14ac:dyDescent="0.25">
      <c r="A22" s="12">
        <v>5</v>
      </c>
      <c r="B22" s="13">
        <f>$Q$13</f>
        <v>-3300000</v>
      </c>
      <c r="D22" s="8">
        <v>5</v>
      </c>
      <c r="E22" s="9">
        <v>1570000</v>
      </c>
      <c r="G22" s="8">
        <v>5</v>
      </c>
      <c r="H22" s="9">
        <v>1140000</v>
      </c>
      <c r="J22" s="12">
        <v>5</v>
      </c>
      <c r="K22" s="13">
        <f>$Q$16</f>
        <v>-2350000</v>
      </c>
    </row>
    <row r="23" spans="1:18" x14ac:dyDescent="0.25">
      <c r="A23" s="8">
        <f>A22+1</f>
        <v>6</v>
      </c>
      <c r="B23" s="9">
        <v>1390000</v>
      </c>
      <c r="D23" s="8">
        <f>D22+1</f>
        <v>6</v>
      </c>
      <c r="E23" s="9">
        <v>830000</v>
      </c>
      <c r="G23" s="18">
        <f>G22+1</f>
        <v>6</v>
      </c>
      <c r="H23" s="24">
        <f t="shared" ref="H23" si="0">$Q$15</f>
        <v>-1750000</v>
      </c>
      <c r="J23" s="8">
        <f>J22+1</f>
        <v>6</v>
      </c>
      <c r="K23" s="9">
        <v>410000</v>
      </c>
    </row>
    <row r="24" spans="1:18" x14ac:dyDescent="0.25">
      <c r="A24" s="8">
        <f t="shared" ref="A24:A77" si="1">A23+1</f>
        <v>7</v>
      </c>
      <c r="B24" s="9">
        <v>1107000</v>
      </c>
      <c r="D24" s="8">
        <f t="shared" ref="D24:D77" si="2">D23+1</f>
        <v>7</v>
      </c>
      <c r="E24" s="9">
        <v>875000</v>
      </c>
      <c r="G24" s="8">
        <f t="shared" ref="G24:G77" si="3">G23+1</f>
        <v>7</v>
      </c>
      <c r="H24" s="9">
        <v>1590000</v>
      </c>
      <c r="J24" s="8">
        <f t="shared" ref="J24:J77" si="4">J23+1</f>
        <v>7</v>
      </c>
      <c r="K24" s="9">
        <v>860000</v>
      </c>
      <c r="M24" s="5"/>
      <c r="N24" s="25" t="s">
        <v>12</v>
      </c>
      <c r="O24" s="25" t="s">
        <v>17</v>
      </c>
    </row>
    <row r="25" spans="1:18" x14ac:dyDescent="0.25">
      <c r="A25" s="8">
        <f t="shared" si="1"/>
        <v>8</v>
      </c>
      <c r="B25" s="9">
        <v>1390000</v>
      </c>
      <c r="D25" s="17">
        <f t="shared" si="2"/>
        <v>8</v>
      </c>
      <c r="E25" s="23">
        <f t="shared" ref="E25" si="5">$Q$14</f>
        <v>-2930000</v>
      </c>
      <c r="G25" s="8">
        <f t="shared" si="3"/>
        <v>8</v>
      </c>
      <c r="H25" s="9">
        <v>1140000</v>
      </c>
      <c r="J25" s="8">
        <f t="shared" si="4"/>
        <v>8</v>
      </c>
      <c r="K25" s="9">
        <v>770000</v>
      </c>
      <c r="N25" s="25"/>
      <c r="O25" s="25"/>
    </row>
    <row r="26" spans="1:18" x14ac:dyDescent="0.25">
      <c r="A26" s="8">
        <f t="shared" si="1"/>
        <v>9</v>
      </c>
      <c r="B26" s="9">
        <v>1490000</v>
      </c>
      <c r="D26" s="8">
        <f t="shared" si="2"/>
        <v>9</v>
      </c>
      <c r="E26" s="9">
        <v>1570000</v>
      </c>
      <c r="G26" s="18">
        <f t="shared" si="3"/>
        <v>9</v>
      </c>
      <c r="H26" s="24">
        <f t="shared" ref="H26" si="6">$Q$15</f>
        <v>-1750000</v>
      </c>
      <c r="J26" s="8">
        <f t="shared" si="4"/>
        <v>9</v>
      </c>
      <c r="K26" s="9">
        <v>1200000</v>
      </c>
      <c r="M26" s="6" t="s">
        <v>8</v>
      </c>
      <c r="N26" s="10">
        <f>B79</f>
        <v>555988.09061387647</v>
      </c>
      <c r="O26" s="8" t="s">
        <v>14</v>
      </c>
    </row>
    <row r="27" spans="1:18" x14ac:dyDescent="0.25">
      <c r="A27" s="12">
        <f t="shared" si="1"/>
        <v>10</v>
      </c>
      <c r="B27" s="13">
        <f>$Q$13</f>
        <v>-3300000</v>
      </c>
      <c r="D27" s="8">
        <f t="shared" si="2"/>
        <v>10</v>
      </c>
      <c r="E27" s="9">
        <v>830000</v>
      </c>
      <c r="G27" s="8">
        <f t="shared" si="3"/>
        <v>10</v>
      </c>
      <c r="H27" s="9">
        <v>1590000</v>
      </c>
      <c r="J27" s="12">
        <f t="shared" si="4"/>
        <v>10</v>
      </c>
      <c r="K27" s="13">
        <f t="shared" ref="K27" si="7">$Q$16</f>
        <v>-2350000</v>
      </c>
      <c r="M27" s="6" t="s">
        <v>9</v>
      </c>
      <c r="N27" s="10">
        <f>E79</f>
        <v>-1537003.8152282671</v>
      </c>
      <c r="O27" s="8" t="s">
        <v>16</v>
      </c>
    </row>
    <row r="28" spans="1:18" x14ac:dyDescent="0.25">
      <c r="A28" s="8">
        <f t="shared" si="1"/>
        <v>11</v>
      </c>
      <c r="B28" s="9">
        <v>1390000</v>
      </c>
      <c r="D28" s="8">
        <f t="shared" si="2"/>
        <v>11</v>
      </c>
      <c r="E28" s="9">
        <v>875000</v>
      </c>
      <c r="G28" s="8">
        <f t="shared" si="3"/>
        <v>11</v>
      </c>
      <c r="H28" s="9">
        <v>1140000</v>
      </c>
      <c r="J28" s="8">
        <f t="shared" si="4"/>
        <v>11</v>
      </c>
      <c r="K28" s="9">
        <v>410000</v>
      </c>
      <c r="M28" s="6" t="s">
        <v>10</v>
      </c>
      <c r="N28" s="10">
        <f>H79</f>
        <v>1255553.9677783903</v>
      </c>
      <c r="O28" s="8" t="s">
        <v>13</v>
      </c>
    </row>
    <row r="29" spans="1:18" x14ac:dyDescent="0.25">
      <c r="A29" s="8">
        <f t="shared" si="1"/>
        <v>12</v>
      </c>
      <c r="B29" s="9">
        <v>1107000</v>
      </c>
      <c r="D29" s="17">
        <f t="shared" si="2"/>
        <v>12</v>
      </c>
      <c r="E29" s="23">
        <f t="shared" ref="E29" si="8">$Q$14</f>
        <v>-2930000</v>
      </c>
      <c r="G29" s="18">
        <f t="shared" si="3"/>
        <v>12</v>
      </c>
      <c r="H29" s="24">
        <f t="shared" ref="H29" si="9">$Q$15</f>
        <v>-1750000</v>
      </c>
      <c r="J29" s="8">
        <f t="shared" si="4"/>
        <v>12</v>
      </c>
      <c r="K29" s="9">
        <v>860000</v>
      </c>
      <c r="M29" s="6" t="s">
        <v>11</v>
      </c>
      <c r="N29" s="10">
        <f>K79</f>
        <v>-820533.25266957982</v>
      </c>
      <c r="O29" s="8" t="s">
        <v>16</v>
      </c>
    </row>
    <row r="30" spans="1:18" x14ac:dyDescent="0.25">
      <c r="A30" s="8">
        <f t="shared" si="1"/>
        <v>13</v>
      </c>
      <c r="B30" s="9">
        <v>1390000</v>
      </c>
      <c r="D30" s="8">
        <f t="shared" si="2"/>
        <v>13</v>
      </c>
      <c r="E30" s="9">
        <v>1570000</v>
      </c>
      <c r="G30" s="8">
        <f t="shared" si="3"/>
        <v>13</v>
      </c>
      <c r="H30" s="9">
        <v>1590000</v>
      </c>
      <c r="J30" s="8">
        <f t="shared" si="4"/>
        <v>13</v>
      </c>
      <c r="K30" s="9">
        <v>770000</v>
      </c>
    </row>
    <row r="31" spans="1:18" x14ac:dyDescent="0.25">
      <c r="A31" s="8">
        <f t="shared" si="1"/>
        <v>14</v>
      </c>
      <c r="B31" s="9">
        <v>1490000</v>
      </c>
      <c r="D31" s="8">
        <f t="shared" si="2"/>
        <v>14</v>
      </c>
      <c r="E31" s="9">
        <v>830000</v>
      </c>
      <c r="G31" s="8">
        <f t="shared" si="3"/>
        <v>14</v>
      </c>
      <c r="H31" s="9">
        <v>1140000</v>
      </c>
      <c r="J31" s="8">
        <f t="shared" si="4"/>
        <v>14</v>
      </c>
      <c r="K31" s="9">
        <v>1200000</v>
      </c>
    </row>
    <row r="32" spans="1:18" x14ac:dyDescent="0.25">
      <c r="A32" s="12">
        <f t="shared" si="1"/>
        <v>15</v>
      </c>
      <c r="B32" s="13">
        <f t="shared" ref="B32" si="10">$Q$13</f>
        <v>-3300000</v>
      </c>
      <c r="D32" s="8">
        <f t="shared" si="2"/>
        <v>15</v>
      </c>
      <c r="E32" s="9">
        <v>875000</v>
      </c>
      <c r="G32" s="18">
        <f t="shared" si="3"/>
        <v>15</v>
      </c>
      <c r="H32" s="24">
        <f t="shared" ref="H32" si="11">$Q$15</f>
        <v>-1750000</v>
      </c>
      <c r="J32" s="12">
        <f t="shared" si="4"/>
        <v>15</v>
      </c>
      <c r="K32" s="13">
        <f t="shared" ref="K32" si="12">$Q$16</f>
        <v>-2350000</v>
      </c>
    </row>
    <row r="33" spans="1:11" x14ac:dyDescent="0.25">
      <c r="A33" s="8">
        <f t="shared" si="1"/>
        <v>16</v>
      </c>
      <c r="B33" s="9">
        <v>1390000</v>
      </c>
      <c r="D33" s="17">
        <f t="shared" si="2"/>
        <v>16</v>
      </c>
      <c r="E33" s="23">
        <f t="shared" ref="E33" si="13">$Q$14</f>
        <v>-2930000</v>
      </c>
      <c r="G33" s="8">
        <f t="shared" si="3"/>
        <v>16</v>
      </c>
      <c r="H33" s="9">
        <v>1590000</v>
      </c>
      <c r="J33" s="8">
        <f t="shared" si="4"/>
        <v>16</v>
      </c>
      <c r="K33" s="9">
        <v>410000</v>
      </c>
    </row>
    <row r="34" spans="1:11" x14ac:dyDescent="0.25">
      <c r="A34" s="8">
        <f t="shared" si="1"/>
        <v>17</v>
      </c>
      <c r="B34" s="9">
        <v>1107000</v>
      </c>
      <c r="D34" s="8">
        <f t="shared" si="2"/>
        <v>17</v>
      </c>
      <c r="E34" s="9">
        <v>1570000</v>
      </c>
      <c r="G34" s="8">
        <f t="shared" si="3"/>
        <v>17</v>
      </c>
      <c r="H34" s="9">
        <v>1140000</v>
      </c>
      <c r="J34" s="8">
        <f t="shared" si="4"/>
        <v>17</v>
      </c>
      <c r="K34" s="9">
        <v>860000</v>
      </c>
    </row>
    <row r="35" spans="1:11" x14ac:dyDescent="0.25">
      <c r="A35" s="8">
        <f t="shared" si="1"/>
        <v>18</v>
      </c>
      <c r="B35" s="9">
        <v>1390000</v>
      </c>
      <c r="D35" s="8">
        <f t="shared" si="2"/>
        <v>18</v>
      </c>
      <c r="E35" s="9">
        <v>830000</v>
      </c>
      <c r="G35" s="18">
        <f t="shared" si="3"/>
        <v>18</v>
      </c>
      <c r="H35" s="24">
        <f t="shared" ref="H35" si="14">$Q$15</f>
        <v>-1750000</v>
      </c>
      <c r="J35" s="8">
        <f t="shared" si="4"/>
        <v>18</v>
      </c>
      <c r="K35" s="9">
        <v>770000</v>
      </c>
    </row>
    <row r="36" spans="1:11" x14ac:dyDescent="0.25">
      <c r="A36" s="8">
        <f t="shared" si="1"/>
        <v>19</v>
      </c>
      <c r="B36" s="9">
        <v>1490000</v>
      </c>
      <c r="D36" s="8">
        <f t="shared" si="2"/>
        <v>19</v>
      </c>
      <c r="E36" s="9">
        <v>875000</v>
      </c>
      <c r="G36" s="8">
        <f t="shared" si="3"/>
        <v>19</v>
      </c>
      <c r="H36" s="9">
        <v>1590000</v>
      </c>
      <c r="J36" s="8">
        <f t="shared" si="4"/>
        <v>19</v>
      </c>
      <c r="K36" s="9">
        <v>1200000</v>
      </c>
    </row>
    <row r="37" spans="1:11" x14ac:dyDescent="0.25">
      <c r="A37" s="12">
        <f t="shared" si="1"/>
        <v>20</v>
      </c>
      <c r="B37" s="13">
        <f t="shared" ref="B37" si="15">$Q$13</f>
        <v>-3300000</v>
      </c>
      <c r="D37" s="17">
        <f t="shared" si="2"/>
        <v>20</v>
      </c>
      <c r="E37" s="23">
        <f t="shared" ref="E37" si="16">$Q$14</f>
        <v>-2930000</v>
      </c>
      <c r="G37" s="8">
        <f t="shared" si="3"/>
        <v>20</v>
      </c>
      <c r="H37" s="9">
        <v>1140000</v>
      </c>
      <c r="J37" s="12">
        <f t="shared" si="4"/>
        <v>20</v>
      </c>
      <c r="K37" s="13">
        <f t="shared" ref="K37" si="17">$Q$16</f>
        <v>-2350000</v>
      </c>
    </row>
    <row r="38" spans="1:11" x14ac:dyDescent="0.25">
      <c r="A38" s="8">
        <f t="shared" si="1"/>
        <v>21</v>
      </c>
      <c r="B38" s="9">
        <v>1390000</v>
      </c>
      <c r="D38" s="8">
        <f t="shared" si="2"/>
        <v>21</v>
      </c>
      <c r="E38" s="9">
        <v>1570000</v>
      </c>
      <c r="G38" s="18">
        <f t="shared" si="3"/>
        <v>21</v>
      </c>
      <c r="H38" s="24">
        <f t="shared" ref="H38" si="18">$Q$15</f>
        <v>-1750000</v>
      </c>
      <c r="J38" s="8">
        <f t="shared" si="4"/>
        <v>21</v>
      </c>
      <c r="K38" s="9">
        <v>410000</v>
      </c>
    </row>
    <row r="39" spans="1:11" x14ac:dyDescent="0.25">
      <c r="A39" s="8">
        <f t="shared" si="1"/>
        <v>22</v>
      </c>
      <c r="B39" s="9">
        <v>1107000</v>
      </c>
      <c r="D39" s="8">
        <f t="shared" si="2"/>
        <v>22</v>
      </c>
      <c r="E39" s="9">
        <v>830000</v>
      </c>
      <c r="G39" s="8">
        <f t="shared" si="3"/>
        <v>22</v>
      </c>
      <c r="H39" s="9">
        <v>1590000</v>
      </c>
      <c r="J39" s="8">
        <f t="shared" si="4"/>
        <v>22</v>
      </c>
      <c r="K39" s="9">
        <v>860000</v>
      </c>
    </row>
    <row r="40" spans="1:11" x14ac:dyDescent="0.25">
      <c r="A40" s="8">
        <f t="shared" si="1"/>
        <v>23</v>
      </c>
      <c r="B40" s="9">
        <v>1390000</v>
      </c>
      <c r="D40" s="8">
        <f t="shared" si="2"/>
        <v>23</v>
      </c>
      <c r="E40" s="9">
        <v>875000</v>
      </c>
      <c r="G40" s="8">
        <f t="shared" si="3"/>
        <v>23</v>
      </c>
      <c r="H40" s="9">
        <v>1140000</v>
      </c>
      <c r="J40" s="8">
        <f t="shared" si="4"/>
        <v>23</v>
      </c>
      <c r="K40" s="9">
        <v>770000</v>
      </c>
    </row>
    <row r="41" spans="1:11" x14ac:dyDescent="0.25">
      <c r="A41" s="8">
        <f t="shared" si="1"/>
        <v>24</v>
      </c>
      <c r="B41" s="9">
        <v>1490000</v>
      </c>
      <c r="D41" s="17">
        <f t="shared" si="2"/>
        <v>24</v>
      </c>
      <c r="E41" s="23">
        <f t="shared" ref="E41" si="19">$Q$14</f>
        <v>-2930000</v>
      </c>
      <c r="G41" s="18">
        <f t="shared" si="3"/>
        <v>24</v>
      </c>
      <c r="H41" s="24">
        <f t="shared" ref="H41" si="20">$Q$15</f>
        <v>-1750000</v>
      </c>
      <c r="J41" s="8">
        <f t="shared" si="4"/>
        <v>24</v>
      </c>
      <c r="K41" s="9">
        <v>1200000</v>
      </c>
    </row>
    <row r="42" spans="1:11" x14ac:dyDescent="0.25">
      <c r="A42" s="12">
        <f t="shared" si="1"/>
        <v>25</v>
      </c>
      <c r="B42" s="13">
        <f t="shared" ref="B42" si="21">$Q$13</f>
        <v>-3300000</v>
      </c>
      <c r="D42" s="8">
        <f t="shared" si="2"/>
        <v>25</v>
      </c>
      <c r="E42" s="9">
        <v>1570000</v>
      </c>
      <c r="G42" s="8">
        <f t="shared" si="3"/>
        <v>25</v>
      </c>
      <c r="H42" s="9">
        <v>1590000</v>
      </c>
      <c r="J42" s="12">
        <f t="shared" si="4"/>
        <v>25</v>
      </c>
      <c r="K42" s="13">
        <f t="shared" ref="K42" si="22">$Q$16</f>
        <v>-2350000</v>
      </c>
    </row>
    <row r="43" spans="1:11" x14ac:dyDescent="0.25">
      <c r="A43" s="8">
        <f t="shared" si="1"/>
        <v>26</v>
      </c>
      <c r="B43" s="9">
        <v>1390000</v>
      </c>
      <c r="D43" s="8">
        <f t="shared" si="2"/>
        <v>26</v>
      </c>
      <c r="E43" s="9">
        <v>830000</v>
      </c>
      <c r="G43" s="8">
        <f t="shared" si="3"/>
        <v>26</v>
      </c>
      <c r="H43" s="9">
        <v>1140000</v>
      </c>
      <c r="J43" s="8">
        <f t="shared" si="4"/>
        <v>26</v>
      </c>
      <c r="K43" s="9">
        <v>410000</v>
      </c>
    </row>
    <row r="44" spans="1:11" x14ac:dyDescent="0.25">
      <c r="A44" s="8">
        <f t="shared" si="1"/>
        <v>27</v>
      </c>
      <c r="B44" s="9">
        <v>1107000</v>
      </c>
      <c r="D44" s="8">
        <f t="shared" si="2"/>
        <v>27</v>
      </c>
      <c r="E44" s="9">
        <v>875000</v>
      </c>
      <c r="G44" s="18">
        <f t="shared" si="3"/>
        <v>27</v>
      </c>
      <c r="H44" s="24">
        <f t="shared" ref="H44" si="23">$Q$15</f>
        <v>-1750000</v>
      </c>
      <c r="J44" s="8">
        <f t="shared" si="4"/>
        <v>27</v>
      </c>
      <c r="K44" s="9">
        <v>860000</v>
      </c>
    </row>
    <row r="45" spans="1:11" x14ac:dyDescent="0.25">
      <c r="A45" s="8">
        <f t="shared" si="1"/>
        <v>28</v>
      </c>
      <c r="B45" s="9">
        <v>1390000</v>
      </c>
      <c r="D45" s="17">
        <f t="shared" si="2"/>
        <v>28</v>
      </c>
      <c r="E45" s="23">
        <f t="shared" ref="E45" si="24">$Q$14</f>
        <v>-2930000</v>
      </c>
      <c r="G45" s="8">
        <f t="shared" si="3"/>
        <v>28</v>
      </c>
      <c r="H45" s="9">
        <v>1590000</v>
      </c>
      <c r="J45" s="8">
        <f t="shared" si="4"/>
        <v>28</v>
      </c>
      <c r="K45" s="9">
        <v>770000</v>
      </c>
    </row>
    <row r="46" spans="1:11" x14ac:dyDescent="0.25">
      <c r="A46" s="8">
        <f t="shared" si="1"/>
        <v>29</v>
      </c>
      <c r="B46" s="9">
        <v>1490000</v>
      </c>
      <c r="D46" s="8">
        <f t="shared" si="2"/>
        <v>29</v>
      </c>
      <c r="E46" s="9">
        <v>1570000</v>
      </c>
      <c r="G46" s="8">
        <f t="shared" si="3"/>
        <v>29</v>
      </c>
      <c r="H46" s="9">
        <v>1140000</v>
      </c>
      <c r="J46" s="8">
        <f t="shared" si="4"/>
        <v>29</v>
      </c>
      <c r="K46" s="9">
        <v>1200000</v>
      </c>
    </row>
    <row r="47" spans="1:11" x14ac:dyDescent="0.25">
      <c r="A47" s="12">
        <f t="shared" si="1"/>
        <v>30</v>
      </c>
      <c r="B47" s="13">
        <f t="shared" ref="B47" si="25">$Q$13</f>
        <v>-3300000</v>
      </c>
      <c r="D47" s="8">
        <f t="shared" si="2"/>
        <v>30</v>
      </c>
      <c r="E47" s="9">
        <v>830000</v>
      </c>
      <c r="G47" s="18">
        <f t="shared" si="3"/>
        <v>30</v>
      </c>
      <c r="H47" s="24">
        <f t="shared" ref="H47" si="26">$Q$15</f>
        <v>-1750000</v>
      </c>
      <c r="J47" s="12">
        <f t="shared" si="4"/>
        <v>30</v>
      </c>
      <c r="K47" s="13">
        <f t="shared" ref="K47" si="27">$Q$16</f>
        <v>-2350000</v>
      </c>
    </row>
    <row r="48" spans="1:11" x14ac:dyDescent="0.25">
      <c r="A48" s="8">
        <f t="shared" si="1"/>
        <v>31</v>
      </c>
      <c r="B48" s="9">
        <v>1390000</v>
      </c>
      <c r="D48" s="8">
        <f t="shared" si="2"/>
        <v>31</v>
      </c>
      <c r="E48" s="9">
        <v>875000</v>
      </c>
      <c r="G48" s="8">
        <f t="shared" si="3"/>
        <v>31</v>
      </c>
      <c r="H48" s="9">
        <v>1590000</v>
      </c>
      <c r="J48" s="8">
        <f t="shared" si="4"/>
        <v>31</v>
      </c>
      <c r="K48" s="9">
        <v>410000</v>
      </c>
    </row>
    <row r="49" spans="1:11" x14ac:dyDescent="0.25">
      <c r="A49" s="8">
        <f t="shared" si="1"/>
        <v>32</v>
      </c>
      <c r="B49" s="9">
        <v>1107000</v>
      </c>
      <c r="D49" s="17">
        <f t="shared" si="2"/>
        <v>32</v>
      </c>
      <c r="E49" s="23">
        <f t="shared" ref="E49" si="28">$Q$14</f>
        <v>-2930000</v>
      </c>
      <c r="G49" s="8">
        <f t="shared" si="3"/>
        <v>32</v>
      </c>
      <c r="H49" s="9">
        <v>1140000</v>
      </c>
      <c r="J49" s="8">
        <f t="shared" si="4"/>
        <v>32</v>
      </c>
      <c r="K49" s="9">
        <v>860000</v>
      </c>
    </row>
    <row r="50" spans="1:11" x14ac:dyDescent="0.25">
      <c r="A50" s="8">
        <f t="shared" si="1"/>
        <v>33</v>
      </c>
      <c r="B50" s="9">
        <v>1390000</v>
      </c>
      <c r="D50" s="8">
        <f t="shared" si="2"/>
        <v>33</v>
      </c>
      <c r="E50" s="9">
        <v>1570000</v>
      </c>
      <c r="G50" s="18">
        <f t="shared" si="3"/>
        <v>33</v>
      </c>
      <c r="H50" s="24">
        <f t="shared" ref="H50" si="29">$Q$15</f>
        <v>-1750000</v>
      </c>
      <c r="J50" s="8">
        <f t="shared" si="4"/>
        <v>33</v>
      </c>
      <c r="K50" s="9">
        <v>770000</v>
      </c>
    </row>
    <row r="51" spans="1:11" x14ac:dyDescent="0.25">
      <c r="A51" s="8">
        <f t="shared" si="1"/>
        <v>34</v>
      </c>
      <c r="B51" s="9">
        <v>1490000</v>
      </c>
      <c r="D51" s="8">
        <f t="shared" si="2"/>
        <v>34</v>
      </c>
      <c r="E51" s="9">
        <v>830000</v>
      </c>
      <c r="G51" s="8">
        <f t="shared" si="3"/>
        <v>34</v>
      </c>
      <c r="H51" s="9">
        <v>1590000</v>
      </c>
      <c r="J51" s="8">
        <f t="shared" si="4"/>
        <v>34</v>
      </c>
      <c r="K51" s="9">
        <v>1200000</v>
      </c>
    </row>
    <row r="52" spans="1:11" x14ac:dyDescent="0.25">
      <c r="A52" s="12">
        <f t="shared" si="1"/>
        <v>35</v>
      </c>
      <c r="B52" s="13">
        <f t="shared" ref="B52" si="30">$Q$13</f>
        <v>-3300000</v>
      </c>
      <c r="D52" s="8">
        <f t="shared" si="2"/>
        <v>35</v>
      </c>
      <c r="E52" s="9">
        <v>875000</v>
      </c>
      <c r="G52" s="8">
        <f t="shared" si="3"/>
        <v>35</v>
      </c>
      <c r="H52" s="9">
        <v>1140000</v>
      </c>
      <c r="J52" s="12">
        <f t="shared" si="4"/>
        <v>35</v>
      </c>
      <c r="K52" s="13">
        <f t="shared" ref="K52" si="31">$Q$16</f>
        <v>-2350000</v>
      </c>
    </row>
    <row r="53" spans="1:11" x14ac:dyDescent="0.25">
      <c r="A53" s="8">
        <f t="shared" si="1"/>
        <v>36</v>
      </c>
      <c r="B53" s="9">
        <v>1390000</v>
      </c>
      <c r="D53" s="17">
        <f t="shared" si="2"/>
        <v>36</v>
      </c>
      <c r="E53" s="23">
        <f t="shared" ref="E53" si="32">$Q$14</f>
        <v>-2930000</v>
      </c>
      <c r="G53" s="18">
        <f t="shared" si="3"/>
        <v>36</v>
      </c>
      <c r="H53" s="24">
        <f t="shared" ref="H53" si="33">$Q$15</f>
        <v>-1750000</v>
      </c>
      <c r="J53" s="8">
        <f t="shared" si="4"/>
        <v>36</v>
      </c>
      <c r="K53" s="9">
        <v>410000</v>
      </c>
    </row>
    <row r="54" spans="1:11" x14ac:dyDescent="0.25">
      <c r="A54" s="8">
        <f t="shared" si="1"/>
        <v>37</v>
      </c>
      <c r="B54" s="9">
        <v>1107000</v>
      </c>
      <c r="D54" s="8">
        <f t="shared" si="2"/>
        <v>37</v>
      </c>
      <c r="E54" s="9">
        <v>1570000</v>
      </c>
      <c r="G54" s="8">
        <f t="shared" si="3"/>
        <v>37</v>
      </c>
      <c r="H54" s="9">
        <v>1590000</v>
      </c>
      <c r="J54" s="8">
        <f t="shared" si="4"/>
        <v>37</v>
      </c>
      <c r="K54" s="9">
        <v>860000</v>
      </c>
    </row>
    <row r="55" spans="1:11" x14ac:dyDescent="0.25">
      <c r="A55" s="8">
        <f t="shared" si="1"/>
        <v>38</v>
      </c>
      <c r="B55" s="9">
        <v>1390000</v>
      </c>
      <c r="D55" s="8">
        <f t="shared" si="2"/>
        <v>38</v>
      </c>
      <c r="E55" s="9">
        <v>830000</v>
      </c>
      <c r="G55" s="8">
        <f t="shared" si="3"/>
        <v>38</v>
      </c>
      <c r="H55" s="9">
        <v>1140000</v>
      </c>
      <c r="J55" s="8">
        <f t="shared" si="4"/>
        <v>38</v>
      </c>
      <c r="K55" s="9">
        <v>770000</v>
      </c>
    </row>
    <row r="56" spans="1:11" x14ac:dyDescent="0.25">
      <c r="A56" s="8">
        <f t="shared" si="1"/>
        <v>39</v>
      </c>
      <c r="B56" s="9">
        <v>1490000</v>
      </c>
      <c r="D56" s="8">
        <f t="shared" si="2"/>
        <v>39</v>
      </c>
      <c r="E56" s="9">
        <v>875000</v>
      </c>
      <c r="G56" s="18">
        <f t="shared" si="3"/>
        <v>39</v>
      </c>
      <c r="H56" s="24">
        <f t="shared" ref="H56" si="34">$Q$15</f>
        <v>-1750000</v>
      </c>
      <c r="J56" s="8">
        <f t="shared" si="4"/>
        <v>39</v>
      </c>
      <c r="K56" s="9">
        <v>1200000</v>
      </c>
    </row>
    <row r="57" spans="1:11" x14ac:dyDescent="0.25">
      <c r="A57" s="12">
        <f t="shared" si="1"/>
        <v>40</v>
      </c>
      <c r="B57" s="13">
        <f t="shared" ref="B57" si="35">$Q$13</f>
        <v>-3300000</v>
      </c>
      <c r="D57" s="17">
        <f t="shared" si="2"/>
        <v>40</v>
      </c>
      <c r="E57" s="23">
        <f t="shared" ref="E57" si="36">$Q$14</f>
        <v>-2930000</v>
      </c>
      <c r="G57" s="8">
        <f t="shared" si="3"/>
        <v>40</v>
      </c>
      <c r="H57" s="9">
        <v>1590000</v>
      </c>
      <c r="J57" s="12">
        <f t="shared" si="4"/>
        <v>40</v>
      </c>
      <c r="K57" s="13">
        <f t="shared" ref="K57" si="37">$Q$16</f>
        <v>-2350000</v>
      </c>
    </row>
    <row r="58" spans="1:11" x14ac:dyDescent="0.25">
      <c r="A58" s="8">
        <f t="shared" si="1"/>
        <v>41</v>
      </c>
      <c r="B58" s="9">
        <v>1390000</v>
      </c>
      <c r="D58" s="8">
        <f t="shared" si="2"/>
        <v>41</v>
      </c>
      <c r="E58" s="9">
        <v>1570000</v>
      </c>
      <c r="G58" s="8">
        <f t="shared" si="3"/>
        <v>41</v>
      </c>
      <c r="H58" s="9">
        <v>1140000</v>
      </c>
      <c r="J58" s="8">
        <f t="shared" si="4"/>
        <v>41</v>
      </c>
      <c r="K58" s="9">
        <v>410000</v>
      </c>
    </row>
    <row r="59" spans="1:11" x14ac:dyDescent="0.25">
      <c r="A59" s="8">
        <f t="shared" si="1"/>
        <v>42</v>
      </c>
      <c r="B59" s="9">
        <v>1107000</v>
      </c>
      <c r="D59" s="8">
        <f t="shared" si="2"/>
        <v>42</v>
      </c>
      <c r="E59" s="9">
        <v>830000</v>
      </c>
      <c r="G59" s="18">
        <f t="shared" si="3"/>
        <v>42</v>
      </c>
      <c r="H59" s="24">
        <f t="shared" ref="H59" si="38">$Q$15</f>
        <v>-1750000</v>
      </c>
      <c r="J59" s="8">
        <f t="shared" si="4"/>
        <v>42</v>
      </c>
      <c r="K59" s="9">
        <v>860000</v>
      </c>
    </row>
    <row r="60" spans="1:11" x14ac:dyDescent="0.25">
      <c r="A60" s="8">
        <f t="shared" si="1"/>
        <v>43</v>
      </c>
      <c r="B60" s="9">
        <v>1390000</v>
      </c>
      <c r="D60" s="8">
        <f t="shared" si="2"/>
        <v>43</v>
      </c>
      <c r="E60" s="9">
        <v>875000</v>
      </c>
      <c r="G60" s="8">
        <f t="shared" si="3"/>
        <v>43</v>
      </c>
      <c r="H60" s="9">
        <v>1590000</v>
      </c>
      <c r="J60" s="8">
        <f t="shared" si="4"/>
        <v>43</v>
      </c>
      <c r="K60" s="9">
        <v>770000</v>
      </c>
    </row>
    <row r="61" spans="1:11" x14ac:dyDescent="0.25">
      <c r="A61" s="8">
        <f t="shared" si="1"/>
        <v>44</v>
      </c>
      <c r="B61" s="9">
        <v>1490000</v>
      </c>
      <c r="D61" s="17">
        <f t="shared" si="2"/>
        <v>44</v>
      </c>
      <c r="E61" s="23">
        <f t="shared" ref="E61" si="39">$Q$14</f>
        <v>-2930000</v>
      </c>
      <c r="G61" s="8">
        <f t="shared" si="3"/>
        <v>44</v>
      </c>
      <c r="H61" s="9">
        <v>1140000</v>
      </c>
      <c r="J61" s="8">
        <f t="shared" si="4"/>
        <v>44</v>
      </c>
      <c r="K61" s="9">
        <v>1200000</v>
      </c>
    </row>
    <row r="62" spans="1:11" x14ac:dyDescent="0.25">
      <c r="A62" s="12">
        <f t="shared" si="1"/>
        <v>45</v>
      </c>
      <c r="B62" s="13">
        <f t="shared" ref="B62" si="40">$Q$13</f>
        <v>-3300000</v>
      </c>
      <c r="D62" s="8">
        <f t="shared" si="2"/>
        <v>45</v>
      </c>
      <c r="E62" s="9">
        <v>1570000</v>
      </c>
      <c r="G62" s="18">
        <f t="shared" si="3"/>
        <v>45</v>
      </c>
      <c r="H62" s="24">
        <f t="shared" ref="H62" si="41">$Q$15</f>
        <v>-1750000</v>
      </c>
      <c r="J62" s="12">
        <f t="shared" si="4"/>
        <v>45</v>
      </c>
      <c r="K62" s="13">
        <f t="shared" ref="K62" si="42">$Q$16</f>
        <v>-2350000</v>
      </c>
    </row>
    <row r="63" spans="1:11" x14ac:dyDescent="0.25">
      <c r="A63" s="8">
        <f t="shared" si="1"/>
        <v>46</v>
      </c>
      <c r="B63" s="9">
        <v>1390000</v>
      </c>
      <c r="D63" s="8">
        <f t="shared" si="2"/>
        <v>46</v>
      </c>
      <c r="E63" s="9">
        <v>830000</v>
      </c>
      <c r="G63" s="8">
        <f t="shared" si="3"/>
        <v>46</v>
      </c>
      <c r="H63" s="9">
        <v>1590000</v>
      </c>
      <c r="J63" s="8">
        <f t="shared" si="4"/>
        <v>46</v>
      </c>
      <c r="K63" s="9">
        <v>410000</v>
      </c>
    </row>
    <row r="64" spans="1:11" x14ac:dyDescent="0.25">
      <c r="A64" s="8">
        <f t="shared" si="1"/>
        <v>47</v>
      </c>
      <c r="B64" s="9">
        <v>1107000</v>
      </c>
      <c r="D64" s="8">
        <f t="shared" si="2"/>
        <v>47</v>
      </c>
      <c r="E64" s="9">
        <v>875000</v>
      </c>
      <c r="G64" s="8">
        <f t="shared" si="3"/>
        <v>47</v>
      </c>
      <c r="H64" s="9">
        <v>1140000</v>
      </c>
      <c r="J64" s="8">
        <f t="shared" si="4"/>
        <v>47</v>
      </c>
      <c r="K64" s="9">
        <v>860000</v>
      </c>
    </row>
    <row r="65" spans="1:11" x14ac:dyDescent="0.25">
      <c r="A65" s="8">
        <f t="shared" si="1"/>
        <v>48</v>
      </c>
      <c r="B65" s="9">
        <v>1390000</v>
      </c>
      <c r="D65" s="17">
        <f t="shared" si="2"/>
        <v>48</v>
      </c>
      <c r="E65" s="23">
        <f t="shared" ref="E65" si="43">$Q$14</f>
        <v>-2930000</v>
      </c>
      <c r="G65" s="18">
        <f t="shared" si="3"/>
        <v>48</v>
      </c>
      <c r="H65" s="24">
        <f t="shared" ref="H65" si="44">$Q$15</f>
        <v>-1750000</v>
      </c>
      <c r="J65" s="8">
        <f t="shared" si="4"/>
        <v>48</v>
      </c>
      <c r="K65" s="9">
        <v>770000</v>
      </c>
    </row>
    <row r="66" spans="1:11" x14ac:dyDescent="0.25">
      <c r="A66" s="8">
        <f t="shared" si="1"/>
        <v>49</v>
      </c>
      <c r="B66" s="9">
        <v>1490000</v>
      </c>
      <c r="D66" s="8">
        <f t="shared" si="2"/>
        <v>49</v>
      </c>
      <c r="E66" s="9">
        <v>1570000</v>
      </c>
      <c r="G66" s="8">
        <f t="shared" si="3"/>
        <v>49</v>
      </c>
      <c r="H66" s="9">
        <v>1590000</v>
      </c>
      <c r="J66" s="8">
        <f t="shared" si="4"/>
        <v>49</v>
      </c>
      <c r="K66" s="9">
        <v>1200000</v>
      </c>
    </row>
    <row r="67" spans="1:11" x14ac:dyDescent="0.25">
      <c r="A67" s="12">
        <f t="shared" si="1"/>
        <v>50</v>
      </c>
      <c r="B67" s="13">
        <f t="shared" ref="B67" si="45">$Q$13</f>
        <v>-3300000</v>
      </c>
      <c r="D67" s="8">
        <f t="shared" si="2"/>
        <v>50</v>
      </c>
      <c r="E67" s="9">
        <v>830000</v>
      </c>
      <c r="G67" s="8">
        <f t="shared" si="3"/>
        <v>50</v>
      </c>
      <c r="H67" s="9">
        <v>1140000</v>
      </c>
      <c r="J67" s="12">
        <f t="shared" si="4"/>
        <v>50</v>
      </c>
      <c r="K67" s="13">
        <f t="shared" ref="K67" si="46">$Q$16</f>
        <v>-2350000</v>
      </c>
    </row>
    <row r="68" spans="1:11" x14ac:dyDescent="0.25">
      <c r="A68" s="8">
        <f t="shared" si="1"/>
        <v>51</v>
      </c>
      <c r="B68" s="9">
        <v>1390000</v>
      </c>
      <c r="D68" s="8">
        <f t="shared" si="2"/>
        <v>51</v>
      </c>
      <c r="E68" s="9">
        <v>875000</v>
      </c>
      <c r="G68" s="18">
        <f t="shared" si="3"/>
        <v>51</v>
      </c>
      <c r="H68" s="24">
        <f t="shared" ref="H68" si="47">$Q$15</f>
        <v>-1750000</v>
      </c>
      <c r="J68" s="8">
        <f t="shared" si="4"/>
        <v>51</v>
      </c>
      <c r="K68" s="9">
        <v>410000</v>
      </c>
    </row>
    <row r="69" spans="1:11" x14ac:dyDescent="0.25">
      <c r="A69" s="8">
        <f t="shared" si="1"/>
        <v>52</v>
      </c>
      <c r="B69" s="9">
        <v>1107000</v>
      </c>
      <c r="D69" s="17">
        <f t="shared" si="2"/>
        <v>52</v>
      </c>
      <c r="E69" s="23">
        <f t="shared" ref="E69" si="48">$Q$14</f>
        <v>-2930000</v>
      </c>
      <c r="G69" s="8">
        <f t="shared" si="3"/>
        <v>52</v>
      </c>
      <c r="H69" s="9">
        <v>1590000</v>
      </c>
      <c r="J69" s="8">
        <f t="shared" si="4"/>
        <v>52</v>
      </c>
      <c r="K69" s="9">
        <v>860000</v>
      </c>
    </row>
    <row r="70" spans="1:11" x14ac:dyDescent="0.25">
      <c r="A70" s="8">
        <f t="shared" si="1"/>
        <v>53</v>
      </c>
      <c r="B70" s="9">
        <v>1390000</v>
      </c>
      <c r="D70" s="8">
        <f t="shared" si="2"/>
        <v>53</v>
      </c>
      <c r="E70" s="9">
        <v>1570000</v>
      </c>
      <c r="G70" s="8">
        <f t="shared" si="3"/>
        <v>53</v>
      </c>
      <c r="H70" s="9">
        <v>1140000</v>
      </c>
      <c r="J70" s="8">
        <f t="shared" si="4"/>
        <v>53</v>
      </c>
      <c r="K70" s="9">
        <v>770000</v>
      </c>
    </row>
    <row r="71" spans="1:11" x14ac:dyDescent="0.25">
      <c r="A71" s="8">
        <f>A70+1</f>
        <v>54</v>
      </c>
      <c r="B71" s="9">
        <v>1490000</v>
      </c>
      <c r="D71" s="8">
        <f>D70+1</f>
        <v>54</v>
      </c>
      <c r="E71" s="9">
        <v>830000</v>
      </c>
      <c r="G71" s="18">
        <f>G70+1</f>
        <v>54</v>
      </c>
      <c r="H71" s="24">
        <f t="shared" ref="H71" si="49">$Q$15</f>
        <v>-1750000</v>
      </c>
      <c r="J71" s="8">
        <f>J70+1</f>
        <v>54</v>
      </c>
      <c r="K71" s="9">
        <v>1200000</v>
      </c>
    </row>
    <row r="72" spans="1:11" x14ac:dyDescent="0.25">
      <c r="A72" s="12">
        <f t="shared" si="1"/>
        <v>55</v>
      </c>
      <c r="B72" s="13">
        <f t="shared" ref="B72" si="50">$Q$13</f>
        <v>-3300000</v>
      </c>
      <c r="D72" s="8">
        <f t="shared" si="2"/>
        <v>55</v>
      </c>
      <c r="E72" s="9">
        <v>875000</v>
      </c>
      <c r="G72" s="8">
        <f t="shared" si="3"/>
        <v>55</v>
      </c>
      <c r="H72" s="9">
        <v>1590000</v>
      </c>
      <c r="J72" s="12">
        <f t="shared" si="4"/>
        <v>55</v>
      </c>
      <c r="K72" s="13">
        <f t="shared" ref="K72" si="51">$Q$16</f>
        <v>-2350000</v>
      </c>
    </row>
    <row r="73" spans="1:11" x14ac:dyDescent="0.25">
      <c r="A73" s="8">
        <f t="shared" si="1"/>
        <v>56</v>
      </c>
      <c r="B73" s="9">
        <v>1390000</v>
      </c>
      <c r="D73" s="17">
        <f t="shared" si="2"/>
        <v>56</v>
      </c>
      <c r="E73" s="23">
        <f t="shared" ref="E73" si="52">$Q$14</f>
        <v>-2930000</v>
      </c>
      <c r="G73" s="8">
        <f t="shared" si="3"/>
        <v>56</v>
      </c>
      <c r="H73" s="9">
        <v>1140000</v>
      </c>
      <c r="J73" s="8">
        <f t="shared" si="4"/>
        <v>56</v>
      </c>
      <c r="K73" s="9">
        <v>410000</v>
      </c>
    </row>
    <row r="74" spans="1:11" x14ac:dyDescent="0.25">
      <c r="A74" s="8">
        <f t="shared" si="1"/>
        <v>57</v>
      </c>
      <c r="B74" s="9">
        <v>1107000</v>
      </c>
      <c r="D74" s="8">
        <f t="shared" si="2"/>
        <v>57</v>
      </c>
      <c r="E74" s="9">
        <v>1570000</v>
      </c>
      <c r="G74" s="18">
        <f t="shared" si="3"/>
        <v>57</v>
      </c>
      <c r="H74" s="24">
        <f t="shared" ref="H74" si="53">$Q$15</f>
        <v>-1750000</v>
      </c>
      <c r="J74" s="8">
        <f t="shared" si="4"/>
        <v>57</v>
      </c>
      <c r="K74" s="9">
        <v>860000</v>
      </c>
    </row>
    <row r="75" spans="1:11" x14ac:dyDescent="0.25">
      <c r="A75" s="8">
        <f t="shared" si="1"/>
        <v>58</v>
      </c>
      <c r="B75" s="9">
        <v>1390000</v>
      </c>
      <c r="D75" s="8">
        <f t="shared" si="2"/>
        <v>58</v>
      </c>
      <c r="E75" s="9">
        <v>830000</v>
      </c>
      <c r="G75" s="8">
        <f t="shared" si="3"/>
        <v>58</v>
      </c>
      <c r="H75" s="9">
        <v>1590000</v>
      </c>
      <c r="J75" s="8">
        <f t="shared" si="4"/>
        <v>58</v>
      </c>
      <c r="K75" s="9">
        <v>770000</v>
      </c>
    </row>
    <row r="76" spans="1:11" x14ac:dyDescent="0.25">
      <c r="A76" s="8">
        <f t="shared" si="1"/>
        <v>59</v>
      </c>
      <c r="B76" s="9">
        <v>1490000</v>
      </c>
      <c r="D76" s="8">
        <f t="shared" si="2"/>
        <v>59</v>
      </c>
      <c r="E76" s="9">
        <v>875000</v>
      </c>
      <c r="G76" s="8">
        <f t="shared" si="3"/>
        <v>59</v>
      </c>
      <c r="H76" s="9">
        <v>1140000</v>
      </c>
      <c r="J76" s="8">
        <f t="shared" si="4"/>
        <v>59</v>
      </c>
      <c r="K76" s="9">
        <v>1200000</v>
      </c>
    </row>
    <row r="77" spans="1:11" x14ac:dyDescent="0.25">
      <c r="A77" s="19">
        <f t="shared" si="1"/>
        <v>60</v>
      </c>
      <c r="B77" s="20">
        <f>B12</f>
        <v>1200000</v>
      </c>
      <c r="D77" s="19">
        <f t="shared" si="2"/>
        <v>60</v>
      </c>
      <c r="E77" s="20">
        <f>E11</f>
        <v>870000</v>
      </c>
      <c r="G77" s="19">
        <f t="shared" si="3"/>
        <v>60</v>
      </c>
      <c r="H77" s="20">
        <f>H10</f>
        <v>750000</v>
      </c>
      <c r="J77" s="19">
        <f t="shared" si="4"/>
        <v>60</v>
      </c>
      <c r="K77" s="20">
        <f>K12</f>
        <v>850000</v>
      </c>
    </row>
    <row r="79" spans="1:11" x14ac:dyDescent="0.25">
      <c r="A79" s="11" t="s">
        <v>8</v>
      </c>
      <c r="B79" s="11">
        <f>NPV(B3,B18:B77)+B17</f>
        <v>555988.09061387647</v>
      </c>
      <c r="D79" s="11" t="s">
        <v>9</v>
      </c>
      <c r="E79" s="11">
        <f>NPV(B3,E18:E77)+E17</f>
        <v>-1537003.8152282671</v>
      </c>
      <c r="G79" s="11" t="s">
        <v>10</v>
      </c>
      <c r="H79" s="11">
        <f>NPV(B3,H18:H77)+H17</f>
        <v>1255553.9677783903</v>
      </c>
      <c r="J79" s="11" t="s">
        <v>11</v>
      </c>
      <c r="K79" s="11">
        <f>NPV(B3,K18:K77)+K17</f>
        <v>-820533.25266957982</v>
      </c>
    </row>
  </sheetData>
  <mergeCells count="24">
    <mergeCell ref="A1:K1"/>
    <mergeCell ref="D3:K3"/>
    <mergeCell ref="A5:B5"/>
    <mergeCell ref="D5:E5"/>
    <mergeCell ref="G5:H5"/>
    <mergeCell ref="J5:K5"/>
    <mergeCell ref="O9:Q9"/>
    <mergeCell ref="A15:B15"/>
    <mergeCell ref="D15:E15"/>
    <mergeCell ref="G15:H15"/>
    <mergeCell ref="J15:K15"/>
    <mergeCell ref="N12:P12"/>
    <mergeCell ref="N13:P13"/>
    <mergeCell ref="N14:P14"/>
    <mergeCell ref="N15:P15"/>
    <mergeCell ref="N16:P16"/>
    <mergeCell ref="Q12:R12"/>
    <mergeCell ref="Q13:R13"/>
    <mergeCell ref="M18:R21"/>
    <mergeCell ref="N24:N25"/>
    <mergeCell ref="O24:O25"/>
    <mergeCell ref="Q14:R14"/>
    <mergeCell ref="Q15:R15"/>
    <mergeCell ref="Q16:R16"/>
  </mergeCells>
  <conditionalFormatting sqref="B79 E79 H79 K79">
    <cfRule type="cellIs" dxfId="1" priority="2" operator="lessThan">
      <formula>0</formula>
    </cfRule>
  </conditionalFormatting>
  <conditionalFormatting sqref="N26:N29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VPL 1</vt:lpstr>
      <vt:lpstr>VPL 2</vt:lpstr>
      <vt:lpstr>VPL FLUXOS DIFERENTES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Sec_Infor_Adm</dc:creator>
  <cp:lastModifiedBy>Sec_Infor_Adm</cp:lastModifiedBy>
  <dcterms:created xsi:type="dcterms:W3CDTF">2016-09-14T12:27:40Z</dcterms:created>
  <dcterms:modified xsi:type="dcterms:W3CDTF">2016-09-14T13:30:34Z</dcterms:modified>
</cp:coreProperties>
</file>