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TERCEIRO\Clientes\EP BORGES\FISCAL - EP BORGES\SIMPLES NACIONAL\2018\"/>
    </mc:Choice>
  </mc:AlternateContent>
  <bookViews>
    <workbookView xWindow="0" yWindow="0" windowWidth="21600" windowHeight="9135" activeTab="1"/>
  </bookViews>
  <sheets>
    <sheet name="SERV 5" sheetId="1" r:id="rId1"/>
    <sheet name="SERV 3" sheetId="2" r:id="rId2"/>
  </sheets>
  <calcPr calcId="162913"/>
</workbook>
</file>

<file path=xl/calcChain.xml><?xml version="1.0" encoding="utf-8"?>
<calcChain xmlns="http://schemas.openxmlformats.org/spreadsheetml/2006/main">
  <c r="D30" i="2" l="1"/>
  <c r="D38" i="2" s="1"/>
  <c r="E30" i="2"/>
  <c r="E38" i="2" s="1"/>
  <c r="F30" i="2"/>
  <c r="F38" i="2" s="1"/>
  <c r="G30" i="2"/>
  <c r="G38" i="2" s="1"/>
  <c r="H30" i="2"/>
  <c r="H38" i="2" s="1"/>
  <c r="C30" i="2"/>
  <c r="C38" i="2" s="1"/>
  <c r="F112" i="2" l="1"/>
  <c r="L112" i="2" s="1"/>
  <c r="H107" i="2"/>
  <c r="I82" i="2"/>
  <c r="G82" i="2"/>
  <c r="L82" i="2" s="1"/>
  <c r="G106" i="2" s="1"/>
  <c r="G107" i="2" s="1"/>
  <c r="F35" i="2"/>
  <c r="L35" i="2" s="1"/>
  <c r="E16" i="2"/>
  <c r="I16" i="2" s="1"/>
  <c r="G17" i="2" l="1"/>
  <c r="C97" i="2"/>
  <c r="G97" i="2"/>
  <c r="D106" i="2"/>
  <c r="D107" i="2" s="1"/>
  <c r="G16" i="2"/>
  <c r="L16" i="2" s="1"/>
  <c r="D97" i="2"/>
  <c r="H97" i="2"/>
  <c r="E106" i="2"/>
  <c r="E107" i="2" s="1"/>
  <c r="E97" i="2"/>
  <c r="F106" i="2"/>
  <c r="F107" i="2" s="1"/>
  <c r="F97" i="2"/>
  <c r="C106" i="2"/>
  <c r="C107" i="2" s="1"/>
  <c r="I97" i="2" l="1"/>
  <c r="E31" i="2"/>
  <c r="H31" i="2"/>
  <c r="D31" i="2"/>
  <c r="G31" i="2"/>
  <c r="C31" i="2"/>
  <c r="F31" i="2"/>
  <c r="I107" i="2"/>
  <c r="F37" i="1"/>
  <c r="E18" i="1"/>
  <c r="G18" i="1" s="1"/>
  <c r="G19" i="1"/>
  <c r="L8" i="1"/>
  <c r="I18" i="1"/>
  <c r="L18" i="1" l="1"/>
  <c r="I37" i="1" s="1"/>
  <c r="L37" i="1" s="1"/>
  <c r="C33" i="1" l="1"/>
  <c r="D33" i="1"/>
  <c r="G33" i="1"/>
  <c r="E33" i="1"/>
  <c r="H33" i="1"/>
  <c r="F33" i="1"/>
</calcChain>
</file>

<file path=xl/sharedStrings.xml><?xml version="1.0" encoding="utf-8"?>
<sst xmlns="http://schemas.openxmlformats.org/spreadsheetml/2006/main" count="167" uniqueCount="52">
  <si>
    <t>CALCULO DO SIMPLES NACIONAL</t>
  </si>
  <si>
    <t>ANEXO 5 - SERVIÇOS</t>
  </si>
  <si>
    <t>PRESTAÇÃO DE SERVIÇO</t>
  </si>
  <si>
    <t>RECEITA BRUTA DOS ULTIMOS 12 MESES</t>
  </si>
  <si>
    <t>FOLHA DE PAGAMENTO DOS ULTIMOS 12 MESES</t>
  </si>
  <si>
    <t>RAZÃO ENTRE A FOLHA E A RECEITA</t>
  </si>
  <si>
    <t>Receita Bruta em 12 Meses (em R$)</t>
  </si>
  <si>
    <t>Alíquota</t>
  </si>
  <si>
    <t>Valor a Deduzir      (em R$)</t>
  </si>
  <si>
    <t>1ª Faixa</t>
  </si>
  <si>
    <t>Até 180.000,00</t>
  </si>
  <si>
    <t>ALIQUOTA EFETIVA:</t>
  </si>
  <si>
    <t>2ª Faixa</t>
  </si>
  <si>
    <t>De 180.000,01 a 360.000,00</t>
  </si>
  <si>
    <t>3ª Faixa</t>
  </si>
  <si>
    <t>De 360.000,01 a 720.000,00</t>
  </si>
  <si>
    <t>4ª Faixa</t>
  </si>
  <si>
    <t>De 720.000,01 a 1.800.000,00</t>
  </si>
  <si>
    <t>5ª Faixa</t>
  </si>
  <si>
    <t>De 1.800.000,01 a 3.600.000,00</t>
  </si>
  <si>
    <t>6ª Faixa</t>
  </si>
  <si>
    <t>De 3.600.000,01 a 4.800.000,00</t>
  </si>
  <si>
    <t>ALÍQUOTA EFETIVA:</t>
  </si>
  <si>
    <t>=</t>
  </si>
  <si>
    <t>PERCENTUAL DE REPARTIÇÃO DOS TRIBUTOS</t>
  </si>
  <si>
    <t>IRPJ</t>
  </si>
  <si>
    <t xml:space="preserve">CSLL </t>
  </si>
  <si>
    <t>Cofins</t>
  </si>
  <si>
    <t xml:space="preserve">PIS/Pasep </t>
  </si>
  <si>
    <t xml:space="preserve">CPP </t>
  </si>
  <si>
    <t xml:space="preserve">ISS </t>
  </si>
  <si>
    <t xml:space="preserve">– </t>
  </si>
  <si>
    <t>PERCENTUAL DE REPARTIÇÃO:</t>
  </si>
  <si>
    <t>CSLL</t>
  </si>
  <si>
    <t>PIS/Pasep</t>
  </si>
  <si>
    <t>RECEITA:</t>
  </si>
  <si>
    <t>VALOR DO IMPOSTO:</t>
  </si>
  <si>
    <t>ANEXO 3 - SERVIÇOS</t>
  </si>
  <si>
    <t xml:space="preserve">ISS (*) </t>
  </si>
  <si>
    <t xml:space="preserve">33,50% (*) </t>
  </si>
  <si>
    <t xml:space="preserve">- </t>
  </si>
  <si>
    <t>CPP</t>
  </si>
  <si>
    <t>A PARTIR DA 5° FAIXA</t>
  </si>
  <si>
    <t>ALÍQUOTA EFETIVA</t>
  </si>
  <si>
    <t>Faixa</t>
  </si>
  <si>
    <t xml:space="preserve">5ª Faixa, com alíquota efetiva superior a 14,92537% </t>
  </si>
  <si>
    <t xml:space="preserve">(Alíquota efetiva - 5%) x6,02% </t>
  </si>
  <si>
    <t xml:space="preserve">(Alíquota efetiva - 5%) x5,26% </t>
  </si>
  <si>
    <t xml:space="preserve">(Alíquota efetiva - 5%) x19,28% </t>
  </si>
  <si>
    <t xml:space="preserve">(Alíquota efetiva - 5%) x4,18% </t>
  </si>
  <si>
    <t xml:space="preserve">(Alíquota efetiva - 5%) x 65,26% </t>
  </si>
  <si>
    <t>Percentual de ISS fixo em 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</si>
</sst>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1" xfId="0" applyNumberFormat="1" applyFill="1" applyBorder="1" applyAlignment="1"/>
    <xf numFmtId="0" fontId="0" fillId="2" borderId="0" xfId="0" applyFill="1" applyBorder="1"/>
    <xf numFmtId="164" fontId="0" fillId="2" borderId="0" xfId="0" applyNumberFormat="1" applyFill="1" applyBorder="1"/>
    <xf numFmtId="10" fontId="3" fillId="2" borderId="2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0" fontId="3" fillId="2" borderId="0" xfId="0" applyNumberFormat="1" applyFont="1" applyFill="1" applyBorder="1" applyAlignment="1">
      <alignment horizontal="center" vertical="center" wrapText="1"/>
    </xf>
    <xf numFmtId="4" fontId="3" fillId="2" borderId="0" xfId="0" applyNumberFormat="1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10" fontId="0" fillId="4" borderId="6" xfId="1" applyNumberFormat="1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0" fillId="2" borderId="10" xfId="0" applyFill="1" applyBorder="1"/>
    <xf numFmtId="10" fontId="0" fillId="2" borderId="0" xfId="1" applyNumberFormat="1" applyFont="1" applyFill="1" applyBorder="1"/>
    <xf numFmtId="10" fontId="0" fillId="2" borderId="0" xfId="0" applyNumberFormat="1" applyFill="1" applyBorder="1"/>
    <xf numFmtId="0" fontId="3" fillId="2" borderId="11" xfId="0" applyFont="1" applyFill="1" applyBorder="1" applyAlignment="1">
      <alignment horizontal="center" vertical="center" wrapText="1"/>
    </xf>
    <xf numFmtId="10" fontId="3" fillId="5" borderId="2" xfId="0" applyNumberFormat="1" applyFont="1" applyFill="1" applyBorder="1" applyAlignment="1">
      <alignment horizontal="center" vertical="center" wrapText="1"/>
    </xf>
    <xf numFmtId="10" fontId="0" fillId="2" borderId="1" xfId="0" applyNumberFormat="1" applyFill="1" applyBorder="1"/>
    <xf numFmtId="164" fontId="0" fillId="2" borderId="0" xfId="0" applyNumberFormat="1" applyFill="1"/>
    <xf numFmtId="4" fontId="0" fillId="2" borderId="1" xfId="0" applyNumberFormat="1" applyFill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9" fontId="0" fillId="2" borderId="1" xfId="1" applyNumberFormat="1" applyFont="1" applyFill="1" applyBorder="1" applyAlignment="1"/>
    <xf numFmtId="0" fontId="4" fillId="2" borderId="0" xfId="2" applyFill="1"/>
    <xf numFmtId="10" fontId="0" fillId="2" borderId="0" xfId="0" applyNumberFormat="1" applyFill="1"/>
    <xf numFmtId="0" fontId="2" fillId="3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43" fontId="0" fillId="2" borderId="0" xfId="3" applyFont="1" applyFill="1"/>
    <xf numFmtId="164" fontId="0" fillId="2" borderId="1" xfId="0" applyNumberForma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164" fontId="0" fillId="2" borderId="5" xfId="0" applyNumberFormat="1" applyFill="1" applyBorder="1" applyAlignment="1">
      <alignment horizontal="center"/>
    </xf>
    <xf numFmtId="10" fontId="0" fillId="2" borderId="5" xfId="1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</cellXfs>
  <cellStyles count="4">
    <cellStyle name="Hiperlink" xfId="2" builtinId="8"/>
    <cellStyle name="Normal" xfId="0" builtinId="0"/>
    <cellStyle name="Porcentagem" xfId="1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95250</xdr:colOff>
      <xdr:row>9</xdr:row>
      <xdr:rowOff>409575</xdr:rowOff>
    </xdr:from>
    <xdr:ext cx="1190625" cy="43678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10275" y="2124075"/>
          <a:ext cx="1190625" cy="43678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RBT12 x Aliq - PD </a:t>
          </a:r>
          <a:endParaRPr lang="pt-BR" sz="110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        RBT12</a:t>
          </a:r>
          <a:endParaRPr lang="pt-BR">
            <a:effectLst/>
          </a:endParaRPr>
        </a:p>
      </xdr:txBody>
    </xdr:sp>
    <xdr:clientData/>
  </xdr:oneCellAnchor>
  <xdr:oneCellAnchor>
    <xdr:from>
      <xdr:col>5</xdr:col>
      <xdr:colOff>600075</xdr:colOff>
      <xdr:row>16</xdr:row>
      <xdr:rowOff>161925</xdr:rowOff>
    </xdr:from>
    <xdr:ext cx="25789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81375" y="350520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16</xdr:row>
      <xdr:rowOff>152400</xdr:rowOff>
    </xdr:from>
    <xdr:ext cx="227883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600575" y="349567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62</xdr:row>
      <xdr:rowOff>0</xdr:rowOff>
    </xdr:from>
    <xdr:ext cx="25789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381375" y="1212532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62</xdr:row>
      <xdr:rowOff>0</xdr:rowOff>
    </xdr:from>
    <xdr:ext cx="227883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600575" y="1212532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16</xdr:row>
      <xdr:rowOff>161925</xdr:rowOff>
    </xdr:from>
    <xdr:ext cx="25789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381375" y="350520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16</xdr:row>
      <xdr:rowOff>152400</xdr:rowOff>
    </xdr:from>
    <xdr:ext cx="227883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600575" y="349567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16</xdr:row>
      <xdr:rowOff>161925</xdr:rowOff>
    </xdr:from>
    <xdr:ext cx="25789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381375" y="350520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16</xdr:row>
      <xdr:rowOff>152400</xdr:rowOff>
    </xdr:from>
    <xdr:ext cx="227883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600575" y="349567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16</xdr:row>
      <xdr:rowOff>161925</xdr:rowOff>
    </xdr:from>
    <xdr:ext cx="25789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381375" y="350520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16</xdr:row>
      <xdr:rowOff>152400</xdr:rowOff>
    </xdr:from>
    <xdr:ext cx="227883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600575" y="349567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16</xdr:row>
      <xdr:rowOff>161925</xdr:rowOff>
    </xdr:from>
    <xdr:ext cx="25789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381375" y="350520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16</xdr:row>
      <xdr:rowOff>152400</xdr:rowOff>
    </xdr:from>
    <xdr:ext cx="227883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600575" y="349567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16</xdr:row>
      <xdr:rowOff>161925</xdr:rowOff>
    </xdr:from>
    <xdr:ext cx="25789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3381375" y="350520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16</xdr:row>
      <xdr:rowOff>152400</xdr:rowOff>
    </xdr:from>
    <xdr:ext cx="227883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600575" y="349567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62</xdr:row>
      <xdr:rowOff>0</xdr:rowOff>
    </xdr:from>
    <xdr:ext cx="25789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381375" y="1212532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62</xdr:row>
      <xdr:rowOff>0</xdr:rowOff>
    </xdr:from>
    <xdr:ext cx="227883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600575" y="1212532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62</xdr:row>
      <xdr:rowOff>0</xdr:rowOff>
    </xdr:from>
    <xdr:ext cx="25789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381375" y="1212532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62</xdr:row>
      <xdr:rowOff>0</xdr:rowOff>
    </xdr:from>
    <xdr:ext cx="227883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600575" y="1212532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62</xdr:row>
      <xdr:rowOff>0</xdr:rowOff>
    </xdr:from>
    <xdr:ext cx="25789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381375" y="1212532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62</xdr:row>
      <xdr:rowOff>0</xdr:rowOff>
    </xdr:from>
    <xdr:ext cx="227883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600575" y="1212532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7</xdr:col>
      <xdr:colOff>514350</xdr:colOff>
      <xdr:row>62</xdr:row>
      <xdr:rowOff>0</xdr:rowOff>
    </xdr:from>
    <xdr:ext cx="227883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600575" y="1212532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95250</xdr:colOff>
      <xdr:row>7</xdr:row>
      <xdr:rowOff>409575</xdr:rowOff>
    </xdr:from>
    <xdr:ext cx="1190625" cy="43678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10275" y="1743075"/>
          <a:ext cx="1190625" cy="43678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RBT12 x Aliq - PD </a:t>
          </a:r>
          <a:endParaRPr lang="pt-BR" sz="110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        RBT12</a:t>
          </a:r>
          <a:endParaRPr lang="pt-BR">
            <a:effectLst/>
          </a:endParaRPr>
        </a:p>
      </xdr:txBody>
    </xdr:sp>
    <xdr:clientData/>
  </xdr:oneCellAnchor>
  <xdr:oneCellAnchor>
    <xdr:from>
      <xdr:col>5</xdr:col>
      <xdr:colOff>600075</xdr:colOff>
      <xdr:row>14</xdr:row>
      <xdr:rowOff>161925</xdr:rowOff>
    </xdr:from>
    <xdr:ext cx="25789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81375" y="312420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14</xdr:row>
      <xdr:rowOff>152400</xdr:rowOff>
    </xdr:from>
    <xdr:ext cx="227883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600575" y="311467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10</xdr:col>
      <xdr:colOff>95250</xdr:colOff>
      <xdr:row>73</xdr:row>
      <xdr:rowOff>409575</xdr:rowOff>
    </xdr:from>
    <xdr:ext cx="1190625" cy="436786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10275" y="14630400"/>
          <a:ext cx="1190625" cy="43678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RBT12 x Aliq - PD </a:t>
          </a:r>
          <a:endParaRPr lang="pt-BR" sz="110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        RBT12</a:t>
          </a:r>
          <a:endParaRPr lang="pt-BR">
            <a:effectLst/>
          </a:endParaRPr>
        </a:p>
      </xdr:txBody>
    </xdr:sp>
    <xdr:clientData/>
  </xdr:oneCellAnchor>
  <xdr:oneCellAnchor>
    <xdr:from>
      <xdr:col>5</xdr:col>
      <xdr:colOff>600075</xdr:colOff>
      <xdr:row>80</xdr:row>
      <xdr:rowOff>161925</xdr:rowOff>
    </xdr:from>
    <xdr:ext cx="25789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381375" y="1601152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80</xdr:row>
      <xdr:rowOff>152400</xdr:rowOff>
    </xdr:from>
    <xdr:ext cx="227883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00575" y="16002000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1</xdr:col>
      <xdr:colOff>19050</xdr:colOff>
      <xdr:row>97</xdr:row>
      <xdr:rowOff>85725</xdr:rowOff>
    </xdr:from>
    <xdr:ext cx="6915150" cy="436786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61950" y="19192875"/>
          <a:ext cx="69151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"o percentual efetivo máximo destinado  ao ISS será de 5% (cinco por cento), transferindo-se eventual diferença, de </a:t>
          </a:r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 proporcional, aos tributos federais da mesma faixa de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receita bruta anual"</a:t>
          </a:r>
          <a:endParaRPr lang="pt-BR" sz="1100"/>
        </a:p>
      </xdr:txBody>
    </xdr:sp>
    <xdr:clientData/>
  </xdr:oneCellAnchor>
  <xdr:oneCellAnchor>
    <xdr:from>
      <xdr:col>8</xdr:col>
      <xdr:colOff>171450</xdr:colOff>
      <xdr:row>28</xdr:row>
      <xdr:rowOff>0</xdr:rowOff>
    </xdr:from>
    <xdr:ext cx="2638425" cy="609013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867275" y="5648325"/>
          <a:ext cx="2638425" cy="60901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*Se o ISS for</a:t>
          </a:r>
          <a:r>
            <a:rPr lang="pt-BR" sz="110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maior que 5% - fazer repartição da diferença entre os demais tributos</a:t>
          </a:r>
          <a:endParaRPr lang="pt-BR" u="none">
            <a:effectLst/>
          </a:endParaRPr>
        </a:p>
      </xdr:txBody>
    </xdr:sp>
    <xdr:clientData/>
  </xdr:oneCellAnchor>
  <xdr:oneCellAnchor>
    <xdr:from>
      <xdr:col>5</xdr:col>
      <xdr:colOff>600075</xdr:colOff>
      <xdr:row>14</xdr:row>
      <xdr:rowOff>161925</xdr:rowOff>
    </xdr:from>
    <xdr:ext cx="25789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1375" y="312420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14</xdr:row>
      <xdr:rowOff>152400</xdr:rowOff>
    </xdr:from>
    <xdr:ext cx="227883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600575" y="311467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14</xdr:row>
      <xdr:rowOff>161925</xdr:rowOff>
    </xdr:from>
    <xdr:ext cx="25789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381375" y="3124200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14</xdr:row>
      <xdr:rowOff>152400</xdr:rowOff>
    </xdr:from>
    <xdr:ext cx="227883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600575" y="3114675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80</xdr:row>
      <xdr:rowOff>161925</xdr:rowOff>
    </xdr:from>
    <xdr:ext cx="25789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381375" y="1601152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80</xdr:row>
      <xdr:rowOff>152400</xdr:rowOff>
    </xdr:from>
    <xdr:ext cx="227883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600575" y="16002000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80</xdr:row>
      <xdr:rowOff>161925</xdr:rowOff>
    </xdr:from>
    <xdr:ext cx="25789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381375" y="1601152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80</xdr:row>
      <xdr:rowOff>152400</xdr:rowOff>
    </xdr:from>
    <xdr:ext cx="227883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600575" y="16002000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  <xdr:oneCellAnchor>
    <xdr:from>
      <xdr:col>5</xdr:col>
      <xdr:colOff>600075</xdr:colOff>
      <xdr:row>80</xdr:row>
      <xdr:rowOff>161925</xdr:rowOff>
    </xdr:from>
    <xdr:ext cx="25789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381375" y="1601152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X</a:t>
          </a:r>
        </a:p>
      </xdr:txBody>
    </xdr:sp>
    <xdr:clientData/>
  </xdr:oneCellAnchor>
  <xdr:oneCellAnchor>
    <xdr:from>
      <xdr:col>7</xdr:col>
      <xdr:colOff>514350</xdr:colOff>
      <xdr:row>80</xdr:row>
      <xdr:rowOff>152400</xdr:rowOff>
    </xdr:from>
    <xdr:ext cx="227883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600575" y="16002000"/>
          <a:ext cx="2278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-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0"/>
  <sheetViews>
    <sheetView topLeftCell="B1" workbookViewId="0">
      <selection activeCell="L6" sqref="L6"/>
    </sheetView>
  </sheetViews>
  <sheetFormatPr defaultColWidth="9.140625" defaultRowHeight="15" x14ac:dyDescent="0.25"/>
  <cols>
    <col min="1" max="1" width="5.140625" style="1" customWidth="1"/>
    <col min="2" max="6" width="9.140625" style="1" customWidth="1"/>
    <col min="7" max="7" width="10.42578125" style="1" customWidth="1"/>
    <col min="8" max="11" width="9.140625" style="1" customWidth="1"/>
    <col min="12" max="12" width="14.5703125" style="1" customWidth="1"/>
    <col min="13" max="17" width="4.42578125" style="1" customWidth="1"/>
    <col min="18" max="16384" width="9.140625" style="1"/>
  </cols>
  <sheetData>
    <row r="2" spans="2:12" x14ac:dyDescent="0.25">
      <c r="B2" s="1" t="s">
        <v>0</v>
      </c>
    </row>
    <row r="3" spans="2:12" x14ac:dyDescent="0.25">
      <c r="B3" s="1" t="s">
        <v>1</v>
      </c>
    </row>
    <row r="5" spans="2:12" x14ac:dyDescent="0.25"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3">
        <v>6130</v>
      </c>
    </row>
    <row r="6" spans="2:12" x14ac:dyDescent="0.25"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25">
        <v>75560</v>
      </c>
    </row>
    <row r="7" spans="2:12" x14ac:dyDescent="0.25">
      <c r="B7" s="2" t="s">
        <v>4</v>
      </c>
      <c r="C7" s="2"/>
      <c r="D7" s="2"/>
      <c r="E7" s="2"/>
      <c r="F7" s="2"/>
      <c r="G7" s="2"/>
      <c r="H7" s="2"/>
      <c r="I7" s="2"/>
      <c r="J7" s="2"/>
      <c r="K7" s="2"/>
      <c r="L7" s="3">
        <v>26629.11</v>
      </c>
    </row>
    <row r="8" spans="2:12" x14ac:dyDescent="0.25">
      <c r="B8" s="2" t="s">
        <v>5</v>
      </c>
      <c r="C8" s="2"/>
      <c r="D8" s="2"/>
      <c r="E8" s="2"/>
      <c r="F8" s="2"/>
      <c r="G8" s="2"/>
      <c r="H8" s="2"/>
      <c r="I8" s="2"/>
      <c r="J8" s="2"/>
      <c r="K8" s="2"/>
      <c r="L8" s="30">
        <f>L7/L6</f>
        <v>0.35242337215457914</v>
      </c>
    </row>
    <row r="9" spans="2:12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spans="2:12" ht="38.25" x14ac:dyDescent="0.25">
      <c r="B10" s="43" t="s">
        <v>6</v>
      </c>
      <c r="C10" s="43"/>
      <c r="D10" s="43"/>
      <c r="E10" s="43"/>
      <c r="F10" s="27" t="s">
        <v>7</v>
      </c>
      <c r="G10" s="27" t="s">
        <v>8</v>
      </c>
      <c r="H10" s="4"/>
      <c r="I10" s="4"/>
      <c r="J10" s="4"/>
      <c r="K10" s="4"/>
      <c r="L10" s="5"/>
    </row>
    <row r="11" spans="2:12" x14ac:dyDescent="0.25">
      <c r="B11" s="26" t="s">
        <v>9</v>
      </c>
      <c r="C11" s="37" t="s">
        <v>10</v>
      </c>
      <c r="D11" s="37"/>
      <c r="E11" s="37"/>
      <c r="F11" s="6">
        <v>0.155</v>
      </c>
      <c r="G11" s="26">
        <v>0</v>
      </c>
      <c r="H11" s="4"/>
      <c r="I11" s="1" t="s">
        <v>11</v>
      </c>
      <c r="J11" s="4"/>
      <c r="K11" s="4"/>
      <c r="L11" s="5"/>
    </row>
    <row r="12" spans="2:12" x14ac:dyDescent="0.25">
      <c r="B12" s="26" t="s">
        <v>12</v>
      </c>
      <c r="C12" s="37" t="s">
        <v>13</v>
      </c>
      <c r="D12" s="37"/>
      <c r="E12" s="37"/>
      <c r="F12" s="6">
        <v>0.18</v>
      </c>
      <c r="G12" s="7">
        <v>4500</v>
      </c>
      <c r="H12" s="4"/>
      <c r="I12" s="4"/>
      <c r="J12" s="4"/>
      <c r="K12" s="4"/>
      <c r="L12" s="5"/>
    </row>
    <row r="13" spans="2:12" x14ac:dyDescent="0.25">
      <c r="B13" s="26" t="s">
        <v>14</v>
      </c>
      <c r="C13" s="37" t="s">
        <v>15</v>
      </c>
      <c r="D13" s="37"/>
      <c r="E13" s="37"/>
      <c r="F13" s="6">
        <v>0.19500000000000001</v>
      </c>
      <c r="G13" s="7">
        <v>9900</v>
      </c>
      <c r="H13" s="4"/>
      <c r="I13" s="4"/>
      <c r="J13" s="4"/>
      <c r="K13" s="4"/>
      <c r="L13" s="5"/>
    </row>
    <row r="14" spans="2:12" x14ac:dyDescent="0.25">
      <c r="B14" s="26" t="s">
        <v>16</v>
      </c>
      <c r="C14" s="37" t="s">
        <v>17</v>
      </c>
      <c r="D14" s="37"/>
      <c r="E14" s="37"/>
      <c r="F14" s="6">
        <v>0.20499999999999999</v>
      </c>
      <c r="G14" s="7">
        <v>17100</v>
      </c>
      <c r="H14" s="4"/>
      <c r="I14" s="4"/>
      <c r="J14" s="4"/>
      <c r="K14" s="4"/>
      <c r="L14" s="5"/>
    </row>
    <row r="15" spans="2:12" x14ac:dyDescent="0.25">
      <c r="B15" s="26" t="s">
        <v>18</v>
      </c>
      <c r="C15" s="37" t="s">
        <v>19</v>
      </c>
      <c r="D15" s="37"/>
      <c r="E15" s="37"/>
      <c r="F15" s="6">
        <v>0.23</v>
      </c>
      <c r="G15" s="7">
        <v>62100</v>
      </c>
      <c r="H15" s="4"/>
      <c r="I15" s="4"/>
      <c r="J15" s="4"/>
      <c r="K15" s="4"/>
      <c r="L15" s="5"/>
    </row>
    <row r="16" spans="2:12" x14ac:dyDescent="0.25">
      <c r="B16" s="26" t="s">
        <v>20</v>
      </c>
      <c r="C16" s="37" t="s">
        <v>21</v>
      </c>
      <c r="D16" s="37"/>
      <c r="E16" s="37"/>
      <c r="F16" s="6">
        <v>0.30499999999999999</v>
      </c>
      <c r="G16" s="7">
        <v>540000</v>
      </c>
      <c r="H16" s="4"/>
      <c r="I16" s="4"/>
      <c r="J16" s="4"/>
      <c r="K16" s="4"/>
      <c r="L16" s="5"/>
    </row>
    <row r="17" spans="2:13" ht="15.75" thickBot="1" x14ac:dyDescent="0.3">
      <c r="B17" s="8"/>
      <c r="C17" s="8"/>
      <c r="D17" s="8"/>
      <c r="E17" s="8"/>
      <c r="F17" s="9"/>
      <c r="G17" s="10"/>
      <c r="H17" s="4"/>
      <c r="I17" s="4"/>
      <c r="J17" s="4"/>
      <c r="K17" s="4"/>
      <c r="L17" s="5"/>
    </row>
    <row r="18" spans="2:13" x14ac:dyDescent="0.25">
      <c r="B18" s="11" t="s">
        <v>22</v>
      </c>
      <c r="C18" s="12"/>
      <c r="D18" s="12"/>
      <c r="E18" s="38">
        <f>L6</f>
        <v>75560</v>
      </c>
      <c r="F18" s="38"/>
      <c r="G18" s="39">
        <f>IF(E18&lt;180000.01,F11,IF(E18&lt;360000.01,F12,IF(E18&lt;720000.01,F13,IF(E18&lt;1800000.01,F14,IF(E18&lt;3600000.01,F15,IF(E18&lt;4800000.01,F16,0))))))</f>
        <v>0.155</v>
      </c>
      <c r="H18" s="39"/>
      <c r="I18" s="38">
        <f>IF(E18&lt;180000.01,G11,IF(E18&lt;360000.01,G12,IF(E18&lt;720000.01,G13,IF(E18&lt;1800000.01,G14,IF(E18&lt;3600000.01,G15,IF(E18&lt;4800000.01,G16,))))))</f>
        <v>0</v>
      </c>
      <c r="J18" s="40"/>
      <c r="K18" s="13" t="s">
        <v>23</v>
      </c>
      <c r="L18" s="14">
        <f>((E18*G18)-I18)/G19</f>
        <v>0.155</v>
      </c>
    </row>
    <row r="19" spans="2:13" ht="15.75" thickBot="1" x14ac:dyDescent="0.3">
      <c r="B19" s="15"/>
      <c r="C19" s="16"/>
      <c r="D19" s="16"/>
      <c r="E19" s="16"/>
      <c r="F19" s="16"/>
      <c r="G19" s="41">
        <f>E18</f>
        <v>75560</v>
      </c>
      <c r="H19" s="41"/>
      <c r="I19" s="17"/>
      <c r="J19" s="17"/>
      <c r="K19" s="16"/>
      <c r="L19" s="18"/>
    </row>
    <row r="21" spans="2:13" x14ac:dyDescent="0.25">
      <c r="B21" s="1" t="s">
        <v>24</v>
      </c>
      <c r="J21" s="4"/>
      <c r="K21" s="4"/>
      <c r="L21" s="4"/>
      <c r="M21" s="4"/>
    </row>
    <row r="22" spans="2:13" x14ac:dyDescent="0.25">
      <c r="C22" s="27" t="s">
        <v>25</v>
      </c>
      <c r="D22" s="27" t="s">
        <v>26</v>
      </c>
      <c r="E22" s="27" t="s">
        <v>27</v>
      </c>
      <c r="F22" s="27" t="s">
        <v>28</v>
      </c>
      <c r="G22" s="27" t="s">
        <v>29</v>
      </c>
      <c r="H22" s="27" t="s">
        <v>30</v>
      </c>
      <c r="J22" s="4"/>
      <c r="K22" s="19"/>
      <c r="L22" s="20"/>
      <c r="M22" s="4"/>
    </row>
    <row r="23" spans="2:13" x14ac:dyDescent="0.25">
      <c r="B23" s="21" t="s">
        <v>9</v>
      </c>
      <c r="C23" s="6">
        <v>0.25</v>
      </c>
      <c r="D23" s="6">
        <v>0.15</v>
      </c>
      <c r="E23" s="6">
        <v>0.14099999999999999</v>
      </c>
      <c r="F23" s="6">
        <v>3.0499999999999999E-2</v>
      </c>
      <c r="G23" s="6">
        <v>0.28849999999999998</v>
      </c>
      <c r="H23" s="6">
        <v>0.14000000000000001</v>
      </c>
      <c r="J23" s="4"/>
      <c r="K23" s="19"/>
      <c r="L23" s="20"/>
      <c r="M23" s="4"/>
    </row>
    <row r="24" spans="2:13" x14ac:dyDescent="0.25">
      <c r="B24" s="21" t="s">
        <v>12</v>
      </c>
      <c r="C24" s="6">
        <v>0.23</v>
      </c>
      <c r="D24" s="6">
        <v>0.15</v>
      </c>
      <c r="E24" s="6">
        <v>0.14099999999999999</v>
      </c>
      <c r="F24" s="6">
        <v>3.0499999999999999E-2</v>
      </c>
      <c r="G24" s="6">
        <v>0.27850000000000003</v>
      </c>
      <c r="H24" s="6">
        <v>0.17</v>
      </c>
      <c r="J24" s="4"/>
      <c r="K24" s="19"/>
      <c r="L24" s="20"/>
      <c r="M24" s="4"/>
    </row>
    <row r="25" spans="2:13" x14ac:dyDescent="0.25">
      <c r="B25" s="21" t="s">
        <v>14</v>
      </c>
      <c r="C25" s="6">
        <v>0.24</v>
      </c>
      <c r="D25" s="6">
        <v>0.15</v>
      </c>
      <c r="E25" s="6">
        <v>0.1492</v>
      </c>
      <c r="F25" s="6">
        <v>3.2300000000000002E-2</v>
      </c>
      <c r="G25" s="6">
        <v>0.23849999999999999</v>
      </c>
      <c r="H25" s="6">
        <v>0.19</v>
      </c>
      <c r="J25" s="4"/>
      <c r="K25" s="19"/>
      <c r="L25" s="20"/>
      <c r="M25" s="4"/>
    </row>
    <row r="26" spans="2:13" x14ac:dyDescent="0.25">
      <c r="B26" s="21" t="s">
        <v>16</v>
      </c>
      <c r="C26" s="6">
        <v>0.21</v>
      </c>
      <c r="D26" s="6">
        <v>0.15</v>
      </c>
      <c r="E26" s="6">
        <v>0.15740000000000001</v>
      </c>
      <c r="F26" s="6">
        <v>3.4099999999999998E-2</v>
      </c>
      <c r="G26" s="6">
        <v>0.23849999999999999</v>
      </c>
      <c r="H26" s="6">
        <v>0.21</v>
      </c>
      <c r="J26" s="4"/>
      <c r="K26" s="19"/>
      <c r="L26" s="20"/>
      <c r="M26" s="4"/>
    </row>
    <row r="27" spans="2:13" x14ac:dyDescent="0.25">
      <c r="B27" s="21" t="s">
        <v>18</v>
      </c>
      <c r="C27" s="6">
        <v>0.23</v>
      </c>
      <c r="D27" s="6">
        <v>0.125</v>
      </c>
      <c r="E27" s="6">
        <v>0.14099999999999999</v>
      </c>
      <c r="F27" s="6">
        <v>3.0499999999999999E-2</v>
      </c>
      <c r="G27" s="6">
        <v>0.23849999999999999</v>
      </c>
      <c r="H27" s="6">
        <v>0.23499999999999999</v>
      </c>
      <c r="J27" s="4"/>
      <c r="K27" s="19"/>
      <c r="L27" s="20"/>
      <c r="M27" s="4"/>
    </row>
    <row r="28" spans="2:13" x14ac:dyDescent="0.25">
      <c r="B28" s="21" t="s">
        <v>20</v>
      </c>
      <c r="C28" s="6">
        <v>0.35</v>
      </c>
      <c r="D28" s="6">
        <v>0.155</v>
      </c>
      <c r="E28" s="6">
        <v>0.16439999999999999</v>
      </c>
      <c r="F28" s="6">
        <v>3.56E-2</v>
      </c>
      <c r="G28" s="6">
        <v>0.29499999999999998</v>
      </c>
      <c r="H28" s="26" t="s">
        <v>31</v>
      </c>
    </row>
    <row r="30" spans="2:13" x14ac:dyDescent="0.25">
      <c r="B30" s="1" t="s">
        <v>32</v>
      </c>
    </row>
    <row r="31" spans="2:13" x14ac:dyDescent="0.25">
      <c r="C31" s="27" t="s">
        <v>25</v>
      </c>
      <c r="D31" s="27" t="s">
        <v>33</v>
      </c>
      <c r="E31" s="27" t="s">
        <v>27</v>
      </c>
      <c r="F31" s="27" t="s">
        <v>34</v>
      </c>
      <c r="G31" s="27" t="s">
        <v>29</v>
      </c>
      <c r="H31" s="27" t="s">
        <v>30</v>
      </c>
    </row>
    <row r="32" spans="2:13" x14ac:dyDescent="0.25">
      <c r="C32" s="6">
        <v>0.24</v>
      </c>
      <c r="D32" s="6">
        <v>0.15</v>
      </c>
      <c r="E32" s="6">
        <v>0.1492</v>
      </c>
      <c r="F32" s="6">
        <v>3.2300000000000002E-2</v>
      </c>
      <c r="G32" s="6">
        <v>0.23849999999999999</v>
      </c>
      <c r="H32" s="6">
        <v>0.19</v>
      </c>
    </row>
    <row r="33" spans="2:12" x14ac:dyDescent="0.25">
      <c r="C33" s="22">
        <f>L18*C32</f>
        <v>3.7199999999999997E-2</v>
      </c>
      <c r="D33" s="22">
        <f>L18*D32</f>
        <v>2.325E-2</v>
      </c>
      <c r="E33" s="22">
        <f>L18*E32</f>
        <v>2.3126000000000001E-2</v>
      </c>
      <c r="F33" s="22">
        <f>L18*F32</f>
        <v>5.0065000000000005E-3</v>
      </c>
      <c r="G33" s="22">
        <f>L18*G32</f>
        <v>3.69675E-2</v>
      </c>
      <c r="H33" s="22">
        <f>L18*H32</f>
        <v>2.945E-2</v>
      </c>
    </row>
    <row r="36" spans="2:12" x14ac:dyDescent="0.25">
      <c r="F36" s="42" t="s">
        <v>35</v>
      </c>
      <c r="G36" s="42"/>
      <c r="H36" s="1" t="s">
        <v>11</v>
      </c>
      <c r="K36" s="1" t="s">
        <v>36</v>
      </c>
    </row>
    <row r="37" spans="2:12" x14ac:dyDescent="0.25">
      <c r="B37" s="2" t="s">
        <v>2</v>
      </c>
      <c r="C37" s="2"/>
      <c r="D37" s="2"/>
      <c r="E37" s="2"/>
      <c r="F37" s="36">
        <f>L5</f>
        <v>6130</v>
      </c>
      <c r="G37" s="36"/>
      <c r="H37" s="2"/>
      <c r="I37" s="23">
        <f>L18</f>
        <v>0.155</v>
      </c>
      <c r="J37" s="2"/>
      <c r="K37" s="2"/>
      <c r="L37" s="3">
        <f>F37*I37</f>
        <v>950.15</v>
      </c>
    </row>
    <row r="40" spans="2:12" x14ac:dyDescent="0.25">
      <c r="L40" s="24"/>
    </row>
  </sheetData>
  <mergeCells count="13">
    <mergeCell ref="C15:E15"/>
    <mergeCell ref="B10:E10"/>
    <mergeCell ref="C11:E11"/>
    <mergeCell ref="C12:E12"/>
    <mergeCell ref="C13:E13"/>
    <mergeCell ref="C14:E14"/>
    <mergeCell ref="F37:G37"/>
    <mergeCell ref="C16:E16"/>
    <mergeCell ref="E18:F18"/>
    <mergeCell ref="G18:H18"/>
    <mergeCell ref="I18:J18"/>
    <mergeCell ref="G19:H19"/>
    <mergeCell ref="F36:G3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12"/>
  <sheetViews>
    <sheetView tabSelected="1" topLeftCell="A19" workbookViewId="0">
      <selection activeCell="Q8" sqref="Q8"/>
    </sheetView>
  </sheetViews>
  <sheetFormatPr defaultColWidth="9.140625" defaultRowHeight="15" x14ac:dyDescent="0.25"/>
  <cols>
    <col min="1" max="1" width="5.140625" style="1" customWidth="1"/>
    <col min="2" max="6" width="9.140625" style="1" customWidth="1"/>
    <col min="7" max="7" width="10.42578125" style="1" customWidth="1"/>
    <col min="8" max="11" width="9.140625" style="1" customWidth="1"/>
    <col min="12" max="12" width="14.5703125" style="1" customWidth="1"/>
    <col min="13" max="17" width="4.42578125" style="1" customWidth="1"/>
    <col min="18" max="16384" width="9.140625" style="1"/>
  </cols>
  <sheetData>
    <row r="2" spans="2:19" x14ac:dyDescent="0.25">
      <c r="B2" s="1" t="s">
        <v>0</v>
      </c>
    </row>
    <row r="3" spans="2:19" x14ac:dyDescent="0.25">
      <c r="B3" s="1" t="s">
        <v>37</v>
      </c>
    </row>
    <row r="5" spans="2:19" x14ac:dyDescent="0.25"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3">
        <v>3380</v>
      </c>
    </row>
    <row r="6" spans="2:19" x14ac:dyDescent="0.25"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3">
        <v>63268</v>
      </c>
      <c r="S6" s="31"/>
    </row>
    <row r="7" spans="2:19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5"/>
      <c r="S7" s="31"/>
    </row>
    <row r="8" spans="2:19" ht="38.25" x14ac:dyDescent="0.25">
      <c r="B8" s="43" t="s">
        <v>6</v>
      </c>
      <c r="C8" s="43"/>
      <c r="D8" s="43"/>
      <c r="E8" s="43"/>
      <c r="F8" s="29" t="s">
        <v>7</v>
      </c>
      <c r="G8" s="29" t="s">
        <v>8</v>
      </c>
      <c r="H8" s="4"/>
      <c r="I8" s="4"/>
      <c r="J8" s="4"/>
      <c r="K8" s="4"/>
      <c r="L8" s="5"/>
    </row>
    <row r="9" spans="2:19" x14ac:dyDescent="0.25">
      <c r="B9" s="28" t="s">
        <v>9</v>
      </c>
      <c r="C9" s="37" t="s">
        <v>10</v>
      </c>
      <c r="D9" s="37"/>
      <c r="E9" s="37"/>
      <c r="F9" s="6">
        <v>0.06</v>
      </c>
      <c r="G9" s="28">
        <v>0</v>
      </c>
      <c r="H9" s="4"/>
      <c r="I9" s="1" t="s">
        <v>11</v>
      </c>
      <c r="J9" s="4"/>
      <c r="K9" s="4"/>
      <c r="L9" s="5"/>
    </row>
    <row r="10" spans="2:19" x14ac:dyDescent="0.25">
      <c r="B10" s="28" t="s">
        <v>12</v>
      </c>
      <c r="C10" s="37" t="s">
        <v>13</v>
      </c>
      <c r="D10" s="37"/>
      <c r="E10" s="37"/>
      <c r="F10" s="6">
        <v>0.112</v>
      </c>
      <c r="G10" s="7">
        <v>9360</v>
      </c>
      <c r="H10" s="4"/>
      <c r="I10" s="4"/>
      <c r="J10" s="4"/>
      <c r="K10" s="4"/>
      <c r="L10" s="5"/>
    </row>
    <row r="11" spans="2:19" x14ac:dyDescent="0.25">
      <c r="B11" s="28" t="s">
        <v>14</v>
      </c>
      <c r="C11" s="37" t="s">
        <v>15</v>
      </c>
      <c r="D11" s="37"/>
      <c r="E11" s="37"/>
      <c r="F11" s="6">
        <v>0.13500000000000001</v>
      </c>
      <c r="G11" s="7">
        <v>17640</v>
      </c>
      <c r="H11" s="4"/>
      <c r="I11" s="4"/>
      <c r="J11" s="4"/>
      <c r="K11" s="4"/>
      <c r="L11" s="5"/>
    </row>
    <row r="12" spans="2:19" x14ac:dyDescent="0.25">
      <c r="B12" s="28" t="s">
        <v>16</v>
      </c>
      <c r="C12" s="37" t="s">
        <v>17</v>
      </c>
      <c r="D12" s="37"/>
      <c r="E12" s="37"/>
      <c r="F12" s="6">
        <v>0.16</v>
      </c>
      <c r="G12" s="7">
        <v>35640</v>
      </c>
      <c r="H12" s="4"/>
      <c r="I12" s="4"/>
      <c r="J12" s="4"/>
      <c r="K12" s="4"/>
      <c r="L12" s="5"/>
    </row>
    <row r="13" spans="2:19" x14ac:dyDescent="0.25">
      <c r="B13" s="28" t="s">
        <v>18</v>
      </c>
      <c r="C13" s="37" t="s">
        <v>19</v>
      </c>
      <c r="D13" s="37"/>
      <c r="E13" s="37"/>
      <c r="F13" s="6">
        <v>0.21</v>
      </c>
      <c r="G13" s="7">
        <v>125640</v>
      </c>
      <c r="H13" s="4"/>
      <c r="I13" s="4"/>
      <c r="J13" s="4"/>
      <c r="K13" s="4"/>
      <c r="L13" s="5"/>
    </row>
    <row r="14" spans="2:19" x14ac:dyDescent="0.25">
      <c r="B14" s="28" t="s">
        <v>20</v>
      </c>
      <c r="C14" s="37" t="s">
        <v>21</v>
      </c>
      <c r="D14" s="37"/>
      <c r="E14" s="37"/>
      <c r="F14" s="6">
        <v>0.33</v>
      </c>
      <c r="G14" s="7">
        <v>648000</v>
      </c>
      <c r="H14" s="4"/>
      <c r="I14" s="4"/>
      <c r="J14" s="4"/>
      <c r="K14" s="4"/>
      <c r="L14" s="5"/>
    </row>
    <row r="15" spans="2:19" ht="15.75" thickBot="1" x14ac:dyDescent="0.3">
      <c r="B15" s="8"/>
      <c r="C15" s="8"/>
      <c r="D15" s="8"/>
      <c r="E15" s="8"/>
      <c r="F15" s="9"/>
      <c r="G15" s="10"/>
      <c r="H15" s="4"/>
      <c r="I15" s="4"/>
      <c r="J15" s="4"/>
      <c r="K15" s="4"/>
      <c r="L15" s="5"/>
    </row>
    <row r="16" spans="2:19" x14ac:dyDescent="0.25">
      <c r="B16" s="11" t="s">
        <v>22</v>
      </c>
      <c r="C16" s="12"/>
      <c r="D16" s="12"/>
      <c r="E16" s="38">
        <f>L6</f>
        <v>63268</v>
      </c>
      <c r="F16" s="38"/>
      <c r="G16" s="39">
        <f>IF(E16&lt;180000.01,F9,IF(E16&lt;360000.01,F10,IF(E16&lt;720000.01,F11,IF(E16&lt;1800000.01,F12,IF(E16&lt;3600000.01,F13,IF(E16&lt;4800000.01,F14,0))))))</f>
        <v>0.06</v>
      </c>
      <c r="H16" s="39"/>
      <c r="I16" s="38">
        <f>IF(E16&lt;180000.01,G9,IF(E16&lt;360000.01,G10,IF(E16&lt;720000.01,G11,IF(E16&lt;1800000.01,G12,IF(E16&lt;3600000.01,G13,IF(E16&lt;4800000.01,G14,))))))</f>
        <v>0</v>
      </c>
      <c r="J16" s="40"/>
      <c r="K16" s="12" t="s">
        <v>23</v>
      </c>
      <c r="L16" s="14">
        <f>((E16*G16)-I16)/G17</f>
        <v>0.06</v>
      </c>
    </row>
    <row r="17" spans="2:18" ht="15.75" thickBot="1" x14ac:dyDescent="0.3">
      <c r="B17" s="15"/>
      <c r="C17" s="16"/>
      <c r="D17" s="16"/>
      <c r="E17" s="16"/>
      <c r="F17" s="16"/>
      <c r="G17" s="41">
        <f>E16</f>
        <v>63268</v>
      </c>
      <c r="H17" s="41"/>
      <c r="I17" s="17"/>
      <c r="J17" s="17"/>
      <c r="K17" s="16"/>
      <c r="L17" s="18"/>
    </row>
    <row r="19" spans="2:18" x14ac:dyDescent="0.25">
      <c r="B19" s="1" t="s">
        <v>24</v>
      </c>
      <c r="J19" s="4"/>
      <c r="K19" s="4"/>
      <c r="L19" s="4"/>
      <c r="M19" s="4"/>
    </row>
    <row r="20" spans="2:18" x14ac:dyDescent="0.25">
      <c r="C20" s="29" t="s">
        <v>25</v>
      </c>
      <c r="D20" s="29" t="s">
        <v>26</v>
      </c>
      <c r="E20" s="29" t="s">
        <v>27</v>
      </c>
      <c r="F20" s="29" t="s">
        <v>28</v>
      </c>
      <c r="G20" s="29" t="s">
        <v>29</v>
      </c>
      <c r="H20" s="29" t="s">
        <v>38</v>
      </c>
      <c r="J20" s="4"/>
      <c r="K20" s="19"/>
      <c r="L20" s="20"/>
      <c r="M20" s="4"/>
    </row>
    <row r="21" spans="2:18" x14ac:dyDescent="0.25">
      <c r="B21" s="21" t="s">
        <v>9</v>
      </c>
      <c r="C21" s="6">
        <v>0.04</v>
      </c>
      <c r="D21" s="6">
        <v>3.5000000000000003E-2</v>
      </c>
      <c r="E21" s="6">
        <v>0.12820000000000001</v>
      </c>
      <c r="F21" s="6">
        <v>2.7799999999999998E-2</v>
      </c>
      <c r="G21" s="6">
        <v>0.434</v>
      </c>
      <c r="H21" s="6">
        <v>0.33500000000000002</v>
      </c>
      <c r="J21" s="4"/>
      <c r="K21" s="19"/>
      <c r="L21" s="20"/>
      <c r="M21" s="4"/>
    </row>
    <row r="22" spans="2:18" x14ac:dyDescent="0.25">
      <c r="B22" s="21" t="s">
        <v>12</v>
      </c>
      <c r="C22" s="6">
        <v>0.04</v>
      </c>
      <c r="D22" s="6">
        <v>3.5000000000000003E-2</v>
      </c>
      <c r="E22" s="6">
        <v>0.14050000000000001</v>
      </c>
      <c r="F22" s="6">
        <v>3.0499999999999999E-2</v>
      </c>
      <c r="G22" s="6">
        <v>0.434</v>
      </c>
      <c r="H22" s="6">
        <v>0.32</v>
      </c>
      <c r="J22" s="4"/>
      <c r="K22" s="19"/>
      <c r="L22" s="20"/>
      <c r="M22" s="4"/>
      <c r="R22"/>
    </row>
    <row r="23" spans="2:18" x14ac:dyDescent="0.25">
      <c r="B23" s="21" t="s">
        <v>14</v>
      </c>
      <c r="C23" s="6">
        <v>0.04</v>
      </c>
      <c r="D23" s="6">
        <v>3.5000000000000003E-2</v>
      </c>
      <c r="E23" s="6">
        <v>0.13639999999999999</v>
      </c>
      <c r="F23" s="6">
        <v>2.9600000000000001E-2</v>
      </c>
      <c r="G23" s="6">
        <v>0.434</v>
      </c>
      <c r="H23" s="6">
        <v>0.32500000000000001</v>
      </c>
      <c r="J23" s="4"/>
      <c r="K23" s="19"/>
      <c r="L23" s="20"/>
      <c r="M23" s="4"/>
    </row>
    <row r="24" spans="2:18" x14ac:dyDescent="0.25">
      <c r="B24" s="21" t="s">
        <v>16</v>
      </c>
      <c r="C24" s="6">
        <v>0.04</v>
      </c>
      <c r="D24" s="6">
        <v>3.5000000000000003E-2</v>
      </c>
      <c r="E24" s="6">
        <v>0.13639999999999999</v>
      </c>
      <c r="F24" s="6">
        <v>2.9600000000000001E-2</v>
      </c>
      <c r="G24" s="6">
        <v>0.434</v>
      </c>
      <c r="H24" s="6">
        <v>0.32500000000000001</v>
      </c>
      <c r="J24" s="4"/>
      <c r="K24" s="19"/>
      <c r="L24" s="20"/>
      <c r="M24" s="4"/>
    </row>
    <row r="25" spans="2:18" x14ac:dyDescent="0.25">
      <c r="B25" s="21" t="s">
        <v>18</v>
      </c>
      <c r="C25" s="6">
        <v>0.04</v>
      </c>
      <c r="D25" s="6">
        <v>3.5000000000000003E-2</v>
      </c>
      <c r="E25" s="6">
        <v>0.12820000000000001</v>
      </c>
      <c r="F25" s="6">
        <v>2.7799999999999998E-2</v>
      </c>
      <c r="G25" s="6">
        <v>0.434</v>
      </c>
      <c r="H25" s="28" t="s">
        <v>39</v>
      </c>
      <c r="J25" s="4"/>
      <c r="K25" s="19"/>
      <c r="L25" s="20"/>
      <c r="M25" s="4"/>
    </row>
    <row r="26" spans="2:18" x14ac:dyDescent="0.25">
      <c r="B26" s="21" t="s">
        <v>20</v>
      </c>
      <c r="C26" s="6">
        <v>0.35</v>
      </c>
      <c r="D26" s="6">
        <v>0.15</v>
      </c>
      <c r="E26" s="6">
        <v>0.1603</v>
      </c>
      <c r="F26" s="6">
        <v>3.4700000000000002E-2</v>
      </c>
      <c r="G26" s="6">
        <v>0.30499999999999999</v>
      </c>
      <c r="H26" s="28" t="s">
        <v>40</v>
      </c>
    </row>
    <row r="28" spans="2:18" x14ac:dyDescent="0.25">
      <c r="B28" s="1" t="s">
        <v>32</v>
      </c>
    </row>
    <row r="29" spans="2:18" x14ac:dyDescent="0.25">
      <c r="C29" s="29" t="s">
        <v>25</v>
      </c>
      <c r="D29" s="29" t="s">
        <v>33</v>
      </c>
      <c r="E29" s="29" t="s">
        <v>27</v>
      </c>
      <c r="F29" s="29" t="s">
        <v>34</v>
      </c>
      <c r="G29" s="29" t="s">
        <v>41</v>
      </c>
      <c r="H29" s="29" t="s">
        <v>38</v>
      </c>
    </row>
    <row r="30" spans="2:18" x14ac:dyDescent="0.25">
      <c r="C30" s="6">
        <f>C21</f>
        <v>0.04</v>
      </c>
      <c r="D30" s="6">
        <f t="shared" ref="D30:H30" si="0">D21</f>
        <v>3.5000000000000003E-2</v>
      </c>
      <c r="E30" s="6">
        <f t="shared" si="0"/>
        <v>0.12820000000000001</v>
      </c>
      <c r="F30" s="6">
        <f t="shared" si="0"/>
        <v>2.7799999999999998E-2</v>
      </c>
      <c r="G30" s="6">
        <f t="shared" si="0"/>
        <v>0.434</v>
      </c>
      <c r="H30" s="6">
        <f t="shared" si="0"/>
        <v>0.33500000000000002</v>
      </c>
    </row>
    <row r="31" spans="2:18" x14ac:dyDescent="0.25">
      <c r="C31" s="22">
        <f>L16*C30</f>
        <v>2.3999999999999998E-3</v>
      </c>
      <c r="D31" s="22">
        <f>L16*D30</f>
        <v>2.1000000000000003E-3</v>
      </c>
      <c r="E31" s="22">
        <f>L16*E30</f>
        <v>7.6920000000000001E-3</v>
      </c>
      <c r="F31" s="22">
        <f>L16*F30</f>
        <v>1.6679999999999998E-3</v>
      </c>
      <c r="G31" s="22">
        <f>L16*G30</f>
        <v>2.6039999999999997E-2</v>
      </c>
      <c r="H31" s="22">
        <f>L16*H30</f>
        <v>2.01E-2</v>
      </c>
    </row>
    <row r="34" spans="2:12" x14ac:dyDescent="0.25">
      <c r="F34" s="42" t="s">
        <v>35</v>
      </c>
      <c r="G34" s="42"/>
      <c r="H34" s="1" t="s">
        <v>11</v>
      </c>
      <c r="K34" s="1" t="s">
        <v>36</v>
      </c>
    </row>
    <row r="35" spans="2:12" x14ac:dyDescent="0.25">
      <c r="B35" s="2" t="s">
        <v>2</v>
      </c>
      <c r="C35" s="2"/>
      <c r="D35" s="2"/>
      <c r="E35" s="2"/>
      <c r="F35" s="36">
        <f>L5</f>
        <v>3380</v>
      </c>
      <c r="G35" s="36"/>
      <c r="H35" s="2"/>
      <c r="I35" s="23">
        <v>0.06</v>
      </c>
      <c r="J35" s="2"/>
      <c r="K35" s="2"/>
      <c r="L35" s="3">
        <f>F35*I35</f>
        <v>202.79999999999998</v>
      </c>
    </row>
    <row r="38" spans="2:12" s="35" customFormat="1" x14ac:dyDescent="0.25">
      <c r="B38" s="35">
        <v>335.27</v>
      </c>
      <c r="C38" s="35">
        <f>$B$38*C30</f>
        <v>13.4108</v>
      </c>
      <c r="D38" s="35">
        <f t="shared" ref="D38:H38" si="1">$B$38*D30</f>
        <v>11.734450000000001</v>
      </c>
      <c r="E38" s="35">
        <f t="shared" si="1"/>
        <v>42.981614</v>
      </c>
      <c r="F38" s="35">
        <f t="shared" si="1"/>
        <v>9.3205059999999982</v>
      </c>
      <c r="G38" s="35">
        <f t="shared" si="1"/>
        <v>145.50717999999998</v>
      </c>
      <c r="H38" s="35">
        <f t="shared" si="1"/>
        <v>112.31545</v>
      </c>
    </row>
    <row r="67" spans="2:12" x14ac:dyDescent="0.25">
      <c r="B67" s="1" t="s">
        <v>0</v>
      </c>
    </row>
    <row r="68" spans="2:12" x14ac:dyDescent="0.25">
      <c r="B68" s="1" t="s">
        <v>37</v>
      </c>
    </row>
    <row r="69" spans="2:12" x14ac:dyDescent="0.25">
      <c r="B69" s="1" t="s">
        <v>42</v>
      </c>
    </row>
    <row r="71" spans="2:12" x14ac:dyDescent="0.25">
      <c r="B71" s="2" t="s">
        <v>2</v>
      </c>
      <c r="C71" s="2"/>
      <c r="D71" s="2"/>
      <c r="E71" s="2"/>
      <c r="F71" s="2"/>
      <c r="G71" s="2"/>
      <c r="H71" s="2"/>
      <c r="I71" s="2"/>
      <c r="J71" s="2"/>
      <c r="K71" s="2"/>
      <c r="L71" s="3">
        <v>295000</v>
      </c>
    </row>
    <row r="72" spans="2:12" x14ac:dyDescent="0.25">
      <c r="B72" s="2" t="s">
        <v>3</v>
      </c>
      <c r="C72" s="2"/>
      <c r="D72" s="2"/>
      <c r="E72" s="2"/>
      <c r="F72" s="2"/>
      <c r="G72" s="2"/>
      <c r="H72" s="2"/>
      <c r="I72" s="2"/>
      <c r="J72" s="2"/>
      <c r="K72" s="2"/>
      <c r="L72" s="3">
        <v>2400000</v>
      </c>
    </row>
    <row r="73" spans="2:12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</row>
    <row r="74" spans="2:12" ht="38.25" x14ac:dyDescent="0.25">
      <c r="B74" s="43" t="s">
        <v>6</v>
      </c>
      <c r="C74" s="43"/>
      <c r="D74" s="43"/>
      <c r="E74" s="43"/>
      <c r="F74" s="29" t="s">
        <v>7</v>
      </c>
      <c r="G74" s="29" t="s">
        <v>8</v>
      </c>
      <c r="H74" s="4"/>
      <c r="I74" s="4"/>
      <c r="J74" s="4"/>
      <c r="K74" s="4"/>
      <c r="L74" s="5"/>
    </row>
    <row r="75" spans="2:12" x14ac:dyDescent="0.25">
      <c r="B75" s="28" t="s">
        <v>9</v>
      </c>
      <c r="C75" s="37" t="s">
        <v>10</v>
      </c>
      <c r="D75" s="37"/>
      <c r="E75" s="37"/>
      <c r="F75" s="6">
        <v>0.06</v>
      </c>
      <c r="G75" s="28">
        <v>0</v>
      </c>
      <c r="H75" s="4"/>
      <c r="I75" s="1" t="s">
        <v>11</v>
      </c>
      <c r="J75" s="4"/>
      <c r="K75" s="4"/>
      <c r="L75" s="5"/>
    </row>
    <row r="76" spans="2:12" x14ac:dyDescent="0.25">
      <c r="B76" s="28" t="s">
        <v>12</v>
      </c>
      <c r="C76" s="37" t="s">
        <v>13</v>
      </c>
      <c r="D76" s="37"/>
      <c r="E76" s="37"/>
      <c r="F76" s="6">
        <v>0.112</v>
      </c>
      <c r="G76" s="7">
        <v>9360</v>
      </c>
      <c r="H76" s="4"/>
      <c r="I76" s="4"/>
      <c r="J76" s="4"/>
      <c r="K76" s="4"/>
      <c r="L76" s="5"/>
    </row>
    <row r="77" spans="2:12" x14ac:dyDescent="0.25">
      <c r="B77" s="28" t="s">
        <v>14</v>
      </c>
      <c r="C77" s="37" t="s">
        <v>15</v>
      </c>
      <c r="D77" s="37"/>
      <c r="E77" s="37"/>
      <c r="F77" s="6">
        <v>0.13500000000000001</v>
      </c>
      <c r="G77" s="7">
        <v>17640</v>
      </c>
      <c r="H77" s="4"/>
      <c r="I77" s="4"/>
      <c r="J77" s="4"/>
      <c r="K77" s="4"/>
      <c r="L77" s="5"/>
    </row>
    <row r="78" spans="2:12" x14ac:dyDescent="0.25">
      <c r="B78" s="28" t="s">
        <v>16</v>
      </c>
      <c r="C78" s="37" t="s">
        <v>17</v>
      </c>
      <c r="D78" s="37"/>
      <c r="E78" s="37"/>
      <c r="F78" s="6">
        <v>0.16</v>
      </c>
      <c r="G78" s="7">
        <v>35640</v>
      </c>
      <c r="H78" s="4"/>
      <c r="I78" s="4"/>
      <c r="J78" s="4"/>
      <c r="K78" s="4"/>
      <c r="L78" s="5"/>
    </row>
    <row r="79" spans="2:12" x14ac:dyDescent="0.25">
      <c r="B79" s="28" t="s">
        <v>18</v>
      </c>
      <c r="C79" s="37" t="s">
        <v>19</v>
      </c>
      <c r="D79" s="37"/>
      <c r="E79" s="37"/>
      <c r="F79" s="6">
        <v>0.21</v>
      </c>
      <c r="G79" s="7">
        <v>125640</v>
      </c>
      <c r="H79" s="4"/>
      <c r="I79" s="4"/>
      <c r="J79" s="4"/>
      <c r="K79" s="4"/>
      <c r="L79" s="5"/>
    </row>
    <row r="80" spans="2:12" x14ac:dyDescent="0.25">
      <c r="B80" s="28" t="s">
        <v>20</v>
      </c>
      <c r="C80" s="37" t="s">
        <v>21</v>
      </c>
      <c r="D80" s="37"/>
      <c r="E80" s="37"/>
      <c r="F80" s="6">
        <v>0.33</v>
      </c>
      <c r="G80" s="7">
        <v>648000</v>
      </c>
      <c r="H80" s="4"/>
      <c r="I80" s="4"/>
      <c r="J80" s="4"/>
      <c r="K80" s="4"/>
      <c r="L80" s="5"/>
    </row>
    <row r="81" spans="2:12" ht="15.75" thickBot="1" x14ac:dyDescent="0.3">
      <c r="B81" s="8"/>
      <c r="C81" s="8"/>
      <c r="D81" s="8"/>
      <c r="E81" s="8"/>
      <c r="F81" s="9"/>
      <c r="G81" s="10"/>
      <c r="H81" s="4"/>
      <c r="I81" s="4"/>
      <c r="J81" s="4"/>
      <c r="K81" s="4"/>
      <c r="L81" s="5"/>
    </row>
    <row r="82" spans="2:12" x14ac:dyDescent="0.25">
      <c r="B82" s="11" t="s">
        <v>43</v>
      </c>
      <c r="C82" s="12"/>
      <c r="D82" s="12"/>
      <c r="E82" s="38">
        <v>2400000</v>
      </c>
      <c r="F82" s="38"/>
      <c r="G82" s="39">
        <f>IF(E82&lt;180000.01,F75,IF(E82&lt;360000.01,F76,IF(E82&lt;720000.01,F77,IF(E82&lt;1800000.01,F78,IF(E82&lt;3600000.01,F79,IF(E82&lt;4800000.01,F80,0))))))</f>
        <v>0.21</v>
      </c>
      <c r="H82" s="39"/>
      <c r="I82" s="38">
        <f>IF(E82&lt;180000.01,G75,IF(E82&lt;360000.01,G76,IF(E82&lt;720000.01,G77,IF(E82&lt;1800000.01,G78,IF(E82&lt;3600000.01,G79,IF(E82&lt;4800000.01,G80,))))))</f>
        <v>125640</v>
      </c>
      <c r="J82" s="40"/>
      <c r="K82" s="12" t="s">
        <v>23</v>
      </c>
      <c r="L82" s="14">
        <f>((E82*G82)-I82)/G83</f>
        <v>0.15765000000000001</v>
      </c>
    </row>
    <row r="83" spans="2:12" ht="15.75" thickBot="1" x14ac:dyDescent="0.3">
      <c r="B83" s="15"/>
      <c r="C83" s="16"/>
      <c r="D83" s="16"/>
      <c r="E83" s="16"/>
      <c r="F83" s="16"/>
      <c r="G83" s="41">
        <v>2400000</v>
      </c>
      <c r="H83" s="41"/>
      <c r="I83" s="17"/>
      <c r="J83" s="17"/>
      <c r="K83" s="16"/>
      <c r="L83" s="18"/>
    </row>
    <row r="85" spans="2:12" x14ac:dyDescent="0.25">
      <c r="B85" s="1" t="s">
        <v>24</v>
      </c>
      <c r="J85" s="4"/>
      <c r="K85" s="4"/>
      <c r="L85" s="4"/>
    </row>
    <row r="86" spans="2:12" x14ac:dyDescent="0.25">
      <c r="C86" s="29" t="s">
        <v>25</v>
      </c>
      <c r="D86" s="29" t="s">
        <v>26</v>
      </c>
      <c r="E86" s="29" t="s">
        <v>27</v>
      </c>
      <c r="F86" s="29" t="s">
        <v>28</v>
      </c>
      <c r="G86" s="29" t="s">
        <v>29</v>
      </c>
      <c r="H86" s="29" t="s">
        <v>38</v>
      </c>
      <c r="J86" s="4"/>
      <c r="K86" s="19"/>
      <c r="L86" s="20"/>
    </row>
    <row r="87" spans="2:12" x14ac:dyDescent="0.25">
      <c r="B87" s="21" t="s">
        <v>9</v>
      </c>
      <c r="C87" s="6">
        <v>0.04</v>
      </c>
      <c r="D87" s="6">
        <v>3.5000000000000003E-2</v>
      </c>
      <c r="E87" s="6">
        <v>0.12820000000000001</v>
      </c>
      <c r="F87" s="6">
        <v>2.7799999999999998E-2</v>
      </c>
      <c r="G87" s="6">
        <v>0.434</v>
      </c>
      <c r="H87" s="6">
        <v>0.33500000000000002</v>
      </c>
      <c r="J87" s="4"/>
      <c r="K87" s="19"/>
      <c r="L87" s="20"/>
    </row>
    <row r="88" spans="2:12" x14ac:dyDescent="0.25">
      <c r="B88" s="21" t="s">
        <v>12</v>
      </c>
      <c r="C88" s="6">
        <v>0.04</v>
      </c>
      <c r="D88" s="6">
        <v>3.5000000000000003E-2</v>
      </c>
      <c r="E88" s="6">
        <v>0.14050000000000001</v>
      </c>
      <c r="F88" s="6">
        <v>3.0499999999999999E-2</v>
      </c>
      <c r="G88" s="6">
        <v>0.434</v>
      </c>
      <c r="H88" s="6">
        <v>0.32</v>
      </c>
      <c r="J88" s="4"/>
      <c r="K88" s="19"/>
      <c r="L88" s="20"/>
    </row>
    <row r="89" spans="2:12" x14ac:dyDescent="0.25">
      <c r="B89" s="21" t="s">
        <v>14</v>
      </c>
      <c r="C89" s="6">
        <v>0.04</v>
      </c>
      <c r="D89" s="6">
        <v>3.5000000000000003E-2</v>
      </c>
      <c r="E89" s="6">
        <v>0.13639999999999999</v>
      </c>
      <c r="F89" s="6">
        <v>2.9600000000000001E-2</v>
      </c>
      <c r="G89" s="6">
        <v>0.434</v>
      </c>
      <c r="H89" s="6">
        <v>0.32500000000000001</v>
      </c>
      <c r="J89" s="4"/>
      <c r="K89" s="19"/>
      <c r="L89" s="20"/>
    </row>
    <row r="90" spans="2:12" x14ac:dyDescent="0.25">
      <c r="B90" s="21" t="s">
        <v>16</v>
      </c>
      <c r="C90" s="6">
        <v>0.04</v>
      </c>
      <c r="D90" s="6">
        <v>3.5000000000000003E-2</v>
      </c>
      <c r="E90" s="6">
        <v>0.13639999999999999</v>
      </c>
      <c r="F90" s="6">
        <v>2.9600000000000001E-2</v>
      </c>
      <c r="G90" s="6">
        <v>0.434</v>
      </c>
      <c r="H90" s="6">
        <v>0.32500000000000001</v>
      </c>
      <c r="J90" s="4"/>
      <c r="K90" s="19"/>
      <c r="L90" s="20"/>
    </row>
    <row r="91" spans="2:12" x14ac:dyDescent="0.25">
      <c r="B91" s="21" t="s">
        <v>18</v>
      </c>
      <c r="C91" s="6">
        <v>0.04</v>
      </c>
      <c r="D91" s="6">
        <v>3.5000000000000003E-2</v>
      </c>
      <c r="E91" s="6">
        <v>0.12820000000000001</v>
      </c>
      <c r="F91" s="6">
        <v>2.7799999999999998E-2</v>
      </c>
      <c r="G91" s="6">
        <v>0.434</v>
      </c>
      <c r="H91" s="28" t="s">
        <v>39</v>
      </c>
      <c r="J91" s="4"/>
      <c r="K91" s="19"/>
      <c r="L91" s="20"/>
    </row>
    <row r="92" spans="2:12" x14ac:dyDescent="0.25">
      <c r="B92" s="21" t="s">
        <v>20</v>
      </c>
      <c r="C92" s="6">
        <v>0.35</v>
      </c>
      <c r="D92" s="6">
        <v>0.15</v>
      </c>
      <c r="E92" s="6">
        <v>0.1603</v>
      </c>
      <c r="F92" s="6">
        <v>3.4700000000000002E-2</v>
      </c>
      <c r="G92" s="6">
        <v>0.30499999999999999</v>
      </c>
      <c r="H92" s="28" t="s">
        <v>40</v>
      </c>
    </row>
    <row r="94" spans="2:12" x14ac:dyDescent="0.25">
      <c r="B94" s="1" t="s">
        <v>32</v>
      </c>
    </row>
    <row r="95" spans="2:12" x14ac:dyDescent="0.25">
      <c r="C95" s="29" t="s">
        <v>25</v>
      </c>
      <c r="D95" s="29" t="s">
        <v>33</v>
      </c>
      <c r="E95" s="29" t="s">
        <v>27</v>
      </c>
      <c r="F95" s="29" t="s">
        <v>34</v>
      </c>
      <c r="G95" s="29" t="s">
        <v>41</v>
      </c>
      <c r="H95" s="29" t="s">
        <v>38</v>
      </c>
    </row>
    <row r="96" spans="2:12" x14ac:dyDescent="0.25">
      <c r="C96" s="6">
        <v>0.04</v>
      </c>
      <c r="D96" s="6">
        <v>3.5000000000000003E-2</v>
      </c>
      <c r="E96" s="6">
        <v>0.12820000000000001</v>
      </c>
      <c r="F96" s="6">
        <v>2.7799999999999998E-2</v>
      </c>
      <c r="G96" s="6">
        <v>0.434</v>
      </c>
      <c r="H96" s="6">
        <v>0.33500000000000002</v>
      </c>
    </row>
    <row r="97" spans="2:12" x14ac:dyDescent="0.25">
      <c r="C97" s="22">
        <f>L82*C96</f>
        <v>6.3060000000000008E-3</v>
      </c>
      <c r="D97" s="22">
        <f>L82*D96</f>
        <v>5.517750000000001E-3</v>
      </c>
      <c r="E97" s="22">
        <f>L82*E96</f>
        <v>2.0210730000000003E-2</v>
      </c>
      <c r="F97" s="22">
        <f>L82*F96</f>
        <v>4.38267E-3</v>
      </c>
      <c r="G97" s="22">
        <f>L82*G96</f>
        <v>6.8420100000000011E-2</v>
      </c>
      <c r="H97" s="22">
        <f>L82*H96</f>
        <v>5.2812750000000006E-2</v>
      </c>
      <c r="I97" s="32">
        <f>SUM(C97:H97)</f>
        <v>0.15765000000000001</v>
      </c>
    </row>
    <row r="101" spans="2:12" x14ac:dyDescent="0.25">
      <c r="B101" s="29" t="s">
        <v>44</v>
      </c>
      <c r="C101" s="29" t="s">
        <v>25</v>
      </c>
      <c r="D101" s="33" t="s">
        <v>26</v>
      </c>
      <c r="E101" s="29" t="s">
        <v>27</v>
      </c>
      <c r="F101" s="29" t="s">
        <v>28</v>
      </c>
      <c r="G101" s="29" t="s">
        <v>29</v>
      </c>
      <c r="H101" s="29" t="s">
        <v>30</v>
      </c>
    </row>
    <row r="102" spans="2:12" ht="89.25" x14ac:dyDescent="0.25">
      <c r="B102" s="28" t="s">
        <v>45</v>
      </c>
      <c r="C102" s="28" t="s">
        <v>46</v>
      </c>
      <c r="D102" s="34" t="s">
        <v>47</v>
      </c>
      <c r="E102" s="28" t="s">
        <v>48</v>
      </c>
      <c r="F102" s="28" t="s">
        <v>49</v>
      </c>
      <c r="G102" s="28" t="s">
        <v>50</v>
      </c>
      <c r="H102" s="28" t="s">
        <v>51</v>
      </c>
    </row>
    <row r="104" spans="2:12" x14ac:dyDescent="0.25">
      <c r="B104" s="1" t="s">
        <v>32</v>
      </c>
      <c r="I104" s="32">
        <v>2.8E-3</v>
      </c>
    </row>
    <row r="105" spans="2:12" x14ac:dyDescent="0.25">
      <c r="C105" s="29" t="s">
        <v>25</v>
      </c>
      <c r="D105" s="29" t="s">
        <v>33</v>
      </c>
      <c r="E105" s="29" t="s">
        <v>27</v>
      </c>
      <c r="F105" s="29" t="s">
        <v>34</v>
      </c>
      <c r="G105" s="29" t="s">
        <v>41</v>
      </c>
      <c r="H105" s="29" t="s">
        <v>38</v>
      </c>
    </row>
    <row r="106" spans="2:12" x14ac:dyDescent="0.25">
      <c r="C106" s="6">
        <f>L82-5%</f>
        <v>0.10765000000000001</v>
      </c>
      <c r="D106" s="6">
        <f>L82-5%</f>
        <v>0.10765000000000001</v>
      </c>
      <c r="E106" s="6">
        <f>L82-5%</f>
        <v>0.10765000000000001</v>
      </c>
      <c r="F106" s="6">
        <f>L82-5%</f>
        <v>0.10765000000000001</v>
      </c>
      <c r="G106" s="6">
        <f>L82-5%</f>
        <v>0.10765000000000001</v>
      </c>
      <c r="H106" s="6">
        <v>0.05</v>
      </c>
    </row>
    <row r="107" spans="2:12" x14ac:dyDescent="0.25">
      <c r="C107" s="22">
        <f>C106*6.02%</f>
        <v>6.48053E-3</v>
      </c>
      <c r="D107" s="22">
        <f>D106*5.26%</f>
        <v>5.6623900000000007E-3</v>
      </c>
      <c r="E107" s="22">
        <f>E106*19.28%</f>
        <v>2.0754920000000003E-2</v>
      </c>
      <c r="F107" s="22">
        <f>F106*4.18%</f>
        <v>4.4997700000000002E-3</v>
      </c>
      <c r="G107" s="22">
        <f>G106*65.26%</f>
        <v>7.0252390000000012E-2</v>
      </c>
      <c r="H107" s="22">
        <f>H106</f>
        <v>0.05</v>
      </c>
      <c r="I107" s="32">
        <f>SUM(C107:H107)</f>
        <v>0.15765000000000001</v>
      </c>
    </row>
    <row r="108" spans="2:12" x14ac:dyDescent="0.25">
      <c r="C108" s="9"/>
      <c r="D108" s="9"/>
      <c r="E108" s="9"/>
      <c r="F108" s="9"/>
      <c r="G108" s="9"/>
      <c r="H108" s="9"/>
    </row>
    <row r="111" spans="2:12" x14ac:dyDescent="0.25">
      <c r="F111" s="42" t="s">
        <v>35</v>
      </c>
      <c r="G111" s="42"/>
      <c r="H111" s="1" t="s">
        <v>11</v>
      </c>
      <c r="K111" s="1" t="s">
        <v>36</v>
      </c>
    </row>
    <row r="112" spans="2:12" x14ac:dyDescent="0.25">
      <c r="B112" s="2" t="s">
        <v>2</v>
      </c>
      <c r="C112" s="2"/>
      <c r="D112" s="2"/>
      <c r="E112" s="2"/>
      <c r="F112" s="36">
        <f>L71</f>
        <v>295000</v>
      </c>
      <c r="G112" s="36"/>
      <c r="H112" s="2"/>
      <c r="I112" s="23">
        <v>0.15770000000000001</v>
      </c>
      <c r="J112" s="2"/>
      <c r="K112" s="2"/>
      <c r="L112" s="3">
        <f>F112*I112</f>
        <v>46521.5</v>
      </c>
    </row>
  </sheetData>
  <mergeCells count="26">
    <mergeCell ref="C13:E13"/>
    <mergeCell ref="C14:E14"/>
    <mergeCell ref="E16:F16"/>
    <mergeCell ref="G16:H16"/>
    <mergeCell ref="B8:E8"/>
    <mergeCell ref="C9:E9"/>
    <mergeCell ref="C10:E10"/>
    <mergeCell ref="C11:E11"/>
    <mergeCell ref="C12:E12"/>
    <mergeCell ref="I16:J16"/>
    <mergeCell ref="G17:H17"/>
    <mergeCell ref="I82:J82"/>
    <mergeCell ref="G83:H83"/>
    <mergeCell ref="F35:G35"/>
    <mergeCell ref="F34:G34"/>
    <mergeCell ref="B74:E74"/>
    <mergeCell ref="C75:E75"/>
    <mergeCell ref="C76:E76"/>
    <mergeCell ref="C77:E77"/>
    <mergeCell ref="C78:E78"/>
    <mergeCell ref="F111:G111"/>
    <mergeCell ref="F112:G112"/>
    <mergeCell ref="C79:E79"/>
    <mergeCell ref="C80:E80"/>
    <mergeCell ref="E82:F82"/>
    <mergeCell ref="G82:H8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SERV 5</vt:lpstr>
      <vt:lpstr>SERV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Jully 2</dc:creator>
  <cp:keywords/>
  <dc:description/>
  <cp:lastModifiedBy>Condominios</cp:lastModifiedBy>
  <cp:revision/>
  <dcterms:created xsi:type="dcterms:W3CDTF">2017-10-24T15:03:49Z</dcterms:created>
  <dcterms:modified xsi:type="dcterms:W3CDTF">2018-10-10T14:32:37Z</dcterms:modified>
  <cp:category/>
  <cp:contentStatus/>
</cp:coreProperties>
</file>