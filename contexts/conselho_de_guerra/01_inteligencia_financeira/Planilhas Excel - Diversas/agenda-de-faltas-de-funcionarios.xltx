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4"/>
  <workbookPr/>
  <mc:AlternateContent xmlns:mc="http://schemas.openxmlformats.org/markup-compatibility/2006">
    <mc:Choice Requires="x15">
      <x15ac:absPath xmlns:x15ac="http://schemas.microsoft.com/office/spreadsheetml/2010/11/ac" url="C:\Users\admin\Desktop\pt-BR\"/>
    </mc:Choice>
  </mc:AlternateContent>
  <xr:revisionPtr revIDLastSave="0" documentId="13_ncr:1_{F2F28486-5644-4AD5-8C00-59E4A8AB8FC2}" xr6:coauthVersionLast="44" xr6:coauthVersionMax="44" xr10:uidLastSave="{00000000-0000-0000-0000-000000000000}"/>
  <bookViews>
    <workbookView xWindow="-120" yWindow="-120" windowWidth="28890" windowHeight="16110" tabRatio="686" xr2:uid="{00000000-000D-0000-FFFF-FFFF00000000}"/>
  </bookViews>
  <sheets>
    <sheet name="Janeiro" sheetId="4" r:id="rId1"/>
    <sheet name="Fevereiro" sheetId="5" r:id="rId2"/>
    <sheet name="Março" sheetId="17" r:id="rId3"/>
    <sheet name="Abril" sheetId="18" r:id="rId4"/>
    <sheet name="Maio" sheetId="19" r:id="rId5"/>
    <sheet name="Junho" sheetId="20" r:id="rId6"/>
    <sheet name="Julho" sheetId="21" r:id="rId7"/>
    <sheet name="Agosto" sheetId="22" r:id="rId8"/>
    <sheet name="Setembro" sheetId="23" r:id="rId9"/>
    <sheet name="Outubro" sheetId="24" r:id="rId10"/>
    <sheet name="Novembro" sheetId="25" r:id="rId11"/>
    <sheet name="Dezembro" sheetId="15" r:id="rId12"/>
    <sheet name="Nomes dos Funcionários" sheetId="16" r:id="rId13"/>
  </sheets>
  <definedNames>
    <definedName name="AnoCalendário">Janeiro!$AH$4</definedName>
    <definedName name="ChaveFérias">Janeiro!$C$2</definedName>
    <definedName name="ChaveLicençaMédica">Janeiro!$K$2</definedName>
    <definedName name="ChavePersonalizada1">Janeiro!$N$2</definedName>
    <definedName name="ChavePersonalizada2">Janeiro!$R$2</definedName>
    <definedName name="ChavePessoal">Janeiro!$G$2</definedName>
    <definedName name="Nome_da_chave">Janeiro!$B$2</definedName>
    <definedName name="NomeMês" localSheetId="3">Abril!$B$4</definedName>
    <definedName name="NomeMês" localSheetId="7">Agosto!$B$4</definedName>
    <definedName name="NomeMês" localSheetId="11">Dezembro!$B$4</definedName>
    <definedName name="NomeMês" localSheetId="1">Fevereiro!$B$4</definedName>
    <definedName name="NomeMês" localSheetId="0">Janeiro!$B$4</definedName>
    <definedName name="NomeMês" localSheetId="6">Julho!$B$4</definedName>
    <definedName name="NomeMês" localSheetId="5">Junho!$B$4</definedName>
    <definedName name="NomeMês" localSheetId="4">Maio!$B$4</definedName>
    <definedName name="NomeMês" localSheetId="2">Março!$B$4</definedName>
    <definedName name="NomeMês" localSheetId="10">Novembro!$B$4</definedName>
    <definedName name="NomeMês" localSheetId="9">Outubro!$B$4</definedName>
    <definedName name="NomeMês" localSheetId="8">Setembro!$B$4</definedName>
    <definedName name="RótuloChaveLicençaMédica">Janeiro!$L$2</definedName>
    <definedName name="RótulodeChavedeFérias">Janeiro!$D$2</definedName>
    <definedName name="RótulodeChavePersonalizada1">Janeiro!$O$2</definedName>
    <definedName name="RótulodeChavePersonalizada2">Janeiro!$S$2</definedName>
    <definedName name="RótuloDeChavePessoal">Janeiro!$H$2</definedName>
    <definedName name="Título_de_Falta_do_Funcionário">Janeiro!$B$1</definedName>
    <definedName name="Título1">Janeiro[[#Headers],[Nome do Funcionário]]</definedName>
    <definedName name="Título10">Outubro[[#Headers],[Nome do Funcionário]]</definedName>
    <definedName name="Título11">Novembro[[#Headers],[Nome do Funcionário]]</definedName>
    <definedName name="Título12">Dezembro[[#Headers],[Nome do Funcionário]]</definedName>
    <definedName name="Título2">Fevereiro[[#Headers],[Nome do Funcionário]]</definedName>
    <definedName name="Título3">Março[[#Headers],[Nome do Funcionário]]</definedName>
    <definedName name="Título4">Abril[[#Headers],[Nome do Funcionário]]</definedName>
    <definedName name="Título5">Maio[[#Headers],[Nome do Funcionário]]</definedName>
    <definedName name="Título6">Junho[[#Headers],[Nome do Funcionário]]</definedName>
    <definedName name="Título7">Julho[[#Headers],[Nome do Funcionário]]</definedName>
    <definedName name="Título8">Agosto[[#Headers],[Nome do Funcionário]]</definedName>
    <definedName name="Título9">Setembro[[#Headers],[Nome do Funcionário]]</definedName>
    <definedName name="TítuloColuna13">NomeDoFuncionário[[#Headers],[Nomes dos Funcionários]]</definedName>
    <definedName name="_xlnm.Print_Titles" localSheetId="3">Abril!$4:$6</definedName>
    <definedName name="_xlnm.Print_Titles" localSheetId="7">Agosto!$4:$6</definedName>
    <definedName name="_xlnm.Print_Titles" localSheetId="11">Dezembro!$4:$6</definedName>
    <definedName name="_xlnm.Print_Titles" localSheetId="1">Fevereiro!$4:$6</definedName>
    <definedName name="_xlnm.Print_Titles" localSheetId="0">Janeiro!$4:$6</definedName>
    <definedName name="_xlnm.Print_Titles" localSheetId="6">Julho!$4:$6</definedName>
    <definedName name="_xlnm.Print_Titles" localSheetId="5">Junho!$4:$6</definedName>
    <definedName name="_xlnm.Print_Titles" localSheetId="4">Maio!$4:$6</definedName>
    <definedName name="_xlnm.Print_Titles" localSheetId="2">Março!$4:$6</definedName>
    <definedName name="_xlnm.Print_Titles" localSheetId="10">Novembro!$4:$6</definedName>
    <definedName name="_xlnm.Print_Titles" localSheetId="9">Outubro!$4:$6</definedName>
    <definedName name="_xlnm.Print_Titles" localSheetId="8">Setembro!$4:$6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2" i="15" l="1"/>
  <c r="B12" i="25"/>
  <c r="B12" i="24"/>
  <c r="B12" i="23"/>
  <c r="B12" i="22"/>
  <c r="B12" i="21"/>
  <c r="B12" i="20"/>
  <c r="B12" i="19"/>
  <c r="B12" i="18"/>
  <c r="B12" i="17"/>
  <c r="B12" i="5"/>
  <c r="B12" i="4"/>
  <c r="AG5" i="17" l="1"/>
  <c r="AF5" i="17"/>
  <c r="AE5" i="17"/>
  <c r="AD5" i="17"/>
  <c r="AC5" i="17"/>
  <c r="AB5" i="17"/>
  <c r="AA5" i="17"/>
  <c r="Z5" i="17"/>
  <c r="Y5" i="17"/>
  <c r="X5" i="17"/>
  <c r="W5" i="17"/>
  <c r="V5" i="17"/>
  <c r="U5" i="17"/>
  <c r="T5" i="17"/>
  <c r="S5" i="17"/>
  <c r="R5" i="17"/>
  <c r="Q5" i="17"/>
  <c r="P5" i="17"/>
  <c r="O5" i="17"/>
  <c r="N5" i="17"/>
  <c r="M5" i="17"/>
  <c r="L5" i="17"/>
  <c r="K5" i="17"/>
  <c r="J5" i="17"/>
  <c r="I5" i="17"/>
  <c r="H5" i="17"/>
  <c r="G5" i="17"/>
  <c r="F5" i="17"/>
  <c r="E5" i="17"/>
  <c r="D5" i="17"/>
  <c r="C5" i="17"/>
  <c r="AF5" i="18"/>
  <c r="AE5" i="18"/>
  <c r="AD5" i="18"/>
  <c r="AC5" i="18"/>
  <c r="AB5" i="18"/>
  <c r="AA5" i="18"/>
  <c r="Z5" i="18"/>
  <c r="Y5" i="18"/>
  <c r="X5" i="18"/>
  <c r="W5" i="18"/>
  <c r="V5" i="18"/>
  <c r="U5" i="18"/>
  <c r="T5" i="18"/>
  <c r="S5" i="18"/>
  <c r="R5" i="18"/>
  <c r="Q5" i="18"/>
  <c r="P5" i="18"/>
  <c r="O5" i="18"/>
  <c r="N5" i="18"/>
  <c r="M5" i="18"/>
  <c r="L5" i="18"/>
  <c r="K5" i="18"/>
  <c r="J5" i="18"/>
  <c r="I5" i="18"/>
  <c r="H5" i="18"/>
  <c r="G5" i="18"/>
  <c r="F5" i="18"/>
  <c r="E5" i="18"/>
  <c r="D5" i="18"/>
  <c r="C5" i="18"/>
  <c r="AG5" i="19"/>
  <c r="AF5" i="19"/>
  <c r="AE5" i="19"/>
  <c r="AD5" i="19"/>
  <c r="AC5" i="19"/>
  <c r="AB5" i="19"/>
  <c r="AA5" i="19"/>
  <c r="Z5" i="19"/>
  <c r="Y5" i="19"/>
  <c r="X5" i="19"/>
  <c r="W5" i="19"/>
  <c r="V5" i="19"/>
  <c r="U5" i="19"/>
  <c r="T5" i="19"/>
  <c r="S5" i="19"/>
  <c r="R5" i="19"/>
  <c r="Q5" i="19"/>
  <c r="P5" i="19"/>
  <c r="O5" i="19"/>
  <c r="N5" i="19"/>
  <c r="M5" i="19"/>
  <c r="L5" i="19"/>
  <c r="K5" i="19"/>
  <c r="J5" i="19"/>
  <c r="I5" i="19"/>
  <c r="H5" i="19"/>
  <c r="G5" i="19"/>
  <c r="F5" i="19"/>
  <c r="E5" i="19"/>
  <c r="D5" i="19"/>
  <c r="C5" i="19"/>
  <c r="AF5" i="20"/>
  <c r="AE5" i="20"/>
  <c r="AD5" i="20"/>
  <c r="AC5" i="20"/>
  <c r="AB5" i="20"/>
  <c r="AA5" i="20"/>
  <c r="Z5" i="20"/>
  <c r="Y5" i="20"/>
  <c r="X5" i="20"/>
  <c r="W5" i="20"/>
  <c r="V5" i="20"/>
  <c r="U5" i="20"/>
  <c r="T5" i="20"/>
  <c r="S5" i="20"/>
  <c r="R5" i="20"/>
  <c r="Q5" i="20"/>
  <c r="P5" i="20"/>
  <c r="O5" i="20"/>
  <c r="N5" i="20"/>
  <c r="M5" i="20"/>
  <c r="L5" i="20"/>
  <c r="K5" i="20"/>
  <c r="J5" i="20"/>
  <c r="I5" i="20"/>
  <c r="H5" i="20"/>
  <c r="G5" i="20"/>
  <c r="F5" i="20"/>
  <c r="E5" i="20"/>
  <c r="D5" i="20"/>
  <c r="C5" i="20"/>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AG5" i="22"/>
  <c r="AF5" i="22"/>
  <c r="AE5" i="22"/>
  <c r="AD5" i="22"/>
  <c r="AC5" i="22"/>
  <c r="AB5" i="22"/>
  <c r="AA5" i="22"/>
  <c r="Z5" i="22"/>
  <c r="Y5" i="22"/>
  <c r="X5" i="22"/>
  <c r="W5" i="22"/>
  <c r="V5" i="22"/>
  <c r="U5" i="22"/>
  <c r="T5" i="22"/>
  <c r="S5" i="22"/>
  <c r="R5" i="22"/>
  <c r="Q5" i="22"/>
  <c r="P5" i="22"/>
  <c r="O5" i="22"/>
  <c r="N5" i="22"/>
  <c r="M5" i="22"/>
  <c r="L5" i="22"/>
  <c r="K5" i="22"/>
  <c r="J5" i="22"/>
  <c r="I5" i="22"/>
  <c r="H5" i="22"/>
  <c r="G5" i="22"/>
  <c r="F5" i="22"/>
  <c r="E5" i="22"/>
  <c r="D5" i="22"/>
  <c r="C5" i="22"/>
  <c r="AF5" i="23"/>
  <c r="AE5" i="23"/>
  <c r="AD5" i="23"/>
  <c r="AC5" i="23"/>
  <c r="AB5" i="23"/>
  <c r="AA5" i="23"/>
  <c r="Z5" i="23"/>
  <c r="Y5" i="23"/>
  <c r="X5" i="23"/>
  <c r="W5" i="23"/>
  <c r="V5" i="23"/>
  <c r="U5" i="23"/>
  <c r="T5" i="23"/>
  <c r="S5" i="23"/>
  <c r="R5" i="23"/>
  <c r="Q5" i="23"/>
  <c r="P5" i="23"/>
  <c r="O5" i="23"/>
  <c r="N5" i="23"/>
  <c r="M5" i="23"/>
  <c r="L5" i="23"/>
  <c r="K5" i="23"/>
  <c r="J5" i="23"/>
  <c r="I5" i="23"/>
  <c r="H5" i="23"/>
  <c r="G5" i="23"/>
  <c r="F5" i="23"/>
  <c r="E5" i="23"/>
  <c r="D5" i="23"/>
  <c r="C5" i="23"/>
  <c r="AG5" i="24"/>
  <c r="AF5" i="24"/>
  <c r="AE5" i="24"/>
  <c r="AD5" i="24"/>
  <c r="AC5" i="24"/>
  <c r="AB5" i="24"/>
  <c r="AA5" i="24"/>
  <c r="Z5" i="24"/>
  <c r="Y5" i="24"/>
  <c r="X5" i="24"/>
  <c r="W5" i="24"/>
  <c r="V5" i="24"/>
  <c r="U5" i="24"/>
  <c r="T5" i="24"/>
  <c r="S5" i="24"/>
  <c r="R5" i="24"/>
  <c r="Q5" i="24"/>
  <c r="P5" i="24"/>
  <c r="O5" i="24"/>
  <c r="N5" i="24"/>
  <c r="M5" i="24"/>
  <c r="L5" i="24"/>
  <c r="K5" i="24"/>
  <c r="J5" i="24"/>
  <c r="I5" i="24"/>
  <c r="H5" i="24"/>
  <c r="G5" i="24"/>
  <c r="F5" i="24"/>
  <c r="E5" i="24"/>
  <c r="D5" i="24"/>
  <c r="C5" i="24"/>
  <c r="AF5" i="25"/>
  <c r="AE5" i="25"/>
  <c r="AD5" i="25"/>
  <c r="AC5" i="25"/>
  <c r="AB5" i="25"/>
  <c r="AA5" i="25"/>
  <c r="Z5" i="25"/>
  <c r="Y5" i="25"/>
  <c r="X5" i="25"/>
  <c r="W5" i="25"/>
  <c r="V5" i="25"/>
  <c r="U5" i="25"/>
  <c r="T5" i="25"/>
  <c r="S5" i="25"/>
  <c r="R5" i="25"/>
  <c r="Q5" i="25"/>
  <c r="P5" i="25"/>
  <c r="O5" i="25"/>
  <c r="N5" i="25"/>
  <c r="M5" i="25"/>
  <c r="L5" i="25"/>
  <c r="K5" i="25"/>
  <c r="J5" i="25"/>
  <c r="I5" i="25"/>
  <c r="H5" i="25"/>
  <c r="G5" i="25"/>
  <c r="F5" i="25"/>
  <c r="E5" i="25"/>
  <c r="D5" i="25"/>
  <c r="C5" i="25"/>
  <c r="AG5" i="15"/>
  <c r="AF5" i="15"/>
  <c r="AE5" i="15"/>
  <c r="AD5" i="15"/>
  <c r="AC5" i="15"/>
  <c r="AB5" i="15"/>
  <c r="AA5" i="15"/>
  <c r="Z5" i="15"/>
  <c r="Y5" i="15"/>
  <c r="X5" i="15"/>
  <c r="W5" i="15"/>
  <c r="V5" i="15"/>
  <c r="U5" i="15"/>
  <c r="T5" i="15"/>
  <c r="S5" i="15"/>
  <c r="R5" i="15"/>
  <c r="Q5" i="15"/>
  <c r="P5" i="15"/>
  <c r="O5" i="15"/>
  <c r="N5" i="15"/>
  <c r="M5" i="15"/>
  <c r="L5" i="15"/>
  <c r="K5" i="15"/>
  <c r="J5" i="15"/>
  <c r="I5" i="15"/>
  <c r="H5" i="15"/>
  <c r="G5" i="15"/>
  <c r="F5" i="15"/>
  <c r="E5" i="15"/>
  <c r="D5" i="15"/>
  <c r="C5" i="15"/>
  <c r="AE5" i="5"/>
  <c r="AD5" i="5"/>
  <c r="AC5" i="5"/>
  <c r="AB5" i="5"/>
  <c r="AA5" i="5"/>
  <c r="Z5" i="5"/>
  <c r="Y5" i="5"/>
  <c r="X5" i="5"/>
  <c r="W5" i="5"/>
  <c r="V5" i="5"/>
  <c r="U5" i="5"/>
  <c r="T5" i="5"/>
  <c r="S5" i="5"/>
  <c r="R5" i="5"/>
  <c r="Q5" i="5"/>
  <c r="P5" i="5"/>
  <c r="O5" i="5"/>
  <c r="N5" i="5"/>
  <c r="M5" i="5"/>
  <c r="L5" i="5"/>
  <c r="K5" i="5"/>
  <c r="J5" i="5"/>
  <c r="I5" i="5"/>
  <c r="H5" i="5"/>
  <c r="G5" i="5"/>
  <c r="F5" i="5"/>
  <c r="E5" i="5"/>
  <c r="D5" i="5"/>
  <c r="C5" i="5"/>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AH7" i="25" l="1"/>
  <c r="AH8" i="25"/>
  <c r="AH9" i="25"/>
  <c r="AH10" i="25"/>
  <c r="AH11" i="25"/>
  <c r="AH7" i="23"/>
  <c r="AH8" i="23"/>
  <c r="AH9" i="23"/>
  <c r="AH10" i="23"/>
  <c r="AH11" i="23"/>
  <c r="AH7" i="20"/>
  <c r="AH8" i="20"/>
  <c r="AH9" i="20"/>
  <c r="AH10" i="20"/>
  <c r="AH11" i="20"/>
  <c r="AH7" i="18"/>
  <c r="AH8" i="18"/>
  <c r="AH9" i="18"/>
  <c r="AH10" i="18"/>
  <c r="AH11" i="18"/>
  <c r="AD12" i="15"/>
  <c r="AE12" i="15"/>
  <c r="AF12" i="15"/>
  <c r="AG12" i="15"/>
  <c r="AE12" i="25"/>
  <c r="AF12" i="25"/>
  <c r="AG12" i="25"/>
  <c r="AE12" i="24"/>
  <c r="AF12" i="24"/>
  <c r="AG12" i="24"/>
  <c r="AE12" i="23"/>
  <c r="AF12" i="23"/>
  <c r="AG12" i="23"/>
  <c r="AF12" i="22"/>
  <c r="AG12" i="22"/>
  <c r="AF12" i="21"/>
  <c r="AG12" i="21"/>
  <c r="AF12" i="20"/>
  <c r="AG12" i="20"/>
  <c r="AF12" i="19"/>
  <c r="AG12" i="19"/>
  <c r="AG12" i="18"/>
  <c r="AF12" i="18"/>
  <c r="AF12" i="17"/>
  <c r="AG12" i="17"/>
  <c r="AH9" i="4" l="1"/>
  <c r="AH10" i="4"/>
  <c r="AD12" i="25" l="1"/>
  <c r="AC12" i="25"/>
  <c r="AB12" i="25"/>
  <c r="AA12" i="25"/>
  <c r="Z12" i="25"/>
  <c r="Y12" i="25"/>
  <c r="X12" i="25"/>
  <c r="W12" i="25"/>
  <c r="V12" i="25"/>
  <c r="U12" i="25"/>
  <c r="T12" i="25"/>
  <c r="S12" i="25"/>
  <c r="R12" i="25"/>
  <c r="Q12" i="25"/>
  <c r="P12" i="25"/>
  <c r="O12" i="25"/>
  <c r="N12" i="25"/>
  <c r="M12" i="25"/>
  <c r="L12" i="25"/>
  <c r="K12" i="25"/>
  <c r="J12" i="25"/>
  <c r="I12" i="25"/>
  <c r="H12" i="25"/>
  <c r="G12" i="25"/>
  <c r="F12" i="25"/>
  <c r="E12" i="25"/>
  <c r="D12" i="25"/>
  <c r="C12" i="25"/>
  <c r="AH4" i="25"/>
  <c r="B1" i="25"/>
  <c r="AD12" i="24"/>
  <c r="AC12" i="24"/>
  <c r="AB12" i="24"/>
  <c r="AA12" i="24"/>
  <c r="Z12" i="24"/>
  <c r="Y12" i="24"/>
  <c r="X12" i="24"/>
  <c r="W12" i="24"/>
  <c r="V12" i="24"/>
  <c r="U12" i="24"/>
  <c r="T12" i="24"/>
  <c r="S12" i="24"/>
  <c r="R12" i="24"/>
  <c r="Q12" i="24"/>
  <c r="P12" i="24"/>
  <c r="O12" i="24"/>
  <c r="N12" i="24"/>
  <c r="M12" i="24"/>
  <c r="L12" i="24"/>
  <c r="K12" i="24"/>
  <c r="J12" i="24"/>
  <c r="I12" i="24"/>
  <c r="H12" i="24"/>
  <c r="G12" i="24"/>
  <c r="F12" i="24"/>
  <c r="E12" i="24"/>
  <c r="D12" i="24"/>
  <c r="C12" i="24"/>
  <c r="AH11" i="24"/>
  <c r="AH10" i="24"/>
  <c r="AH9" i="24"/>
  <c r="AH8" i="24"/>
  <c r="AH7" i="24"/>
  <c r="AH4" i="24"/>
  <c r="B1" i="24"/>
  <c r="AD12" i="23"/>
  <c r="AC12" i="23"/>
  <c r="AB12" i="23"/>
  <c r="AA12" i="23"/>
  <c r="Z12" i="23"/>
  <c r="Y12" i="23"/>
  <c r="X12" i="23"/>
  <c r="W12" i="23"/>
  <c r="V12" i="23"/>
  <c r="U12" i="23"/>
  <c r="T12" i="23"/>
  <c r="S12" i="23"/>
  <c r="R12" i="23"/>
  <c r="Q12" i="23"/>
  <c r="P12" i="23"/>
  <c r="O12" i="23"/>
  <c r="N12" i="23"/>
  <c r="M12" i="23"/>
  <c r="L12" i="23"/>
  <c r="K12" i="23"/>
  <c r="J12" i="23"/>
  <c r="I12" i="23"/>
  <c r="H12" i="23"/>
  <c r="G12" i="23"/>
  <c r="F12" i="23"/>
  <c r="E12" i="23"/>
  <c r="D12" i="23"/>
  <c r="C12" i="23"/>
  <c r="AH12" i="23"/>
  <c r="AH4" i="23"/>
  <c r="B1" i="23"/>
  <c r="AE12" i="22"/>
  <c r="AD12" i="22"/>
  <c r="AC12" i="22"/>
  <c r="AB12" i="22"/>
  <c r="AA12" i="22"/>
  <c r="Z12" i="22"/>
  <c r="Y12" i="22"/>
  <c r="X12" i="22"/>
  <c r="W12" i="22"/>
  <c r="V12" i="22"/>
  <c r="U12" i="22"/>
  <c r="T12" i="22"/>
  <c r="S12" i="22"/>
  <c r="R12" i="22"/>
  <c r="Q12" i="22"/>
  <c r="P12" i="22"/>
  <c r="O12" i="22"/>
  <c r="N12" i="22"/>
  <c r="M12" i="22"/>
  <c r="L12" i="22"/>
  <c r="K12" i="22"/>
  <c r="J12" i="22"/>
  <c r="I12" i="22"/>
  <c r="H12" i="22"/>
  <c r="G12" i="22"/>
  <c r="F12" i="22"/>
  <c r="E12" i="22"/>
  <c r="D12" i="22"/>
  <c r="C12" i="22"/>
  <c r="AH11" i="22"/>
  <c r="AH10" i="22"/>
  <c r="AH9" i="22"/>
  <c r="AH8" i="22"/>
  <c r="AH7" i="22"/>
  <c r="AH4" i="22"/>
  <c r="B1" i="22"/>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D12" i="21"/>
  <c r="C12" i="21"/>
  <c r="AH11" i="21"/>
  <c r="AH10" i="21"/>
  <c r="AH9" i="21"/>
  <c r="AH8" i="21"/>
  <c r="AH7" i="21"/>
  <c r="AH12" i="21" s="1"/>
  <c r="AH4" i="21"/>
  <c r="B1" i="21"/>
  <c r="AE12" i="20"/>
  <c r="AD12" i="20"/>
  <c r="AC12" i="20"/>
  <c r="AB12" i="20"/>
  <c r="AA12" i="20"/>
  <c r="Z12" i="20"/>
  <c r="Y12" i="20"/>
  <c r="X12" i="20"/>
  <c r="W12" i="20"/>
  <c r="V12" i="20"/>
  <c r="U12" i="20"/>
  <c r="T12" i="20"/>
  <c r="S12" i="20"/>
  <c r="R12" i="20"/>
  <c r="Q12" i="20"/>
  <c r="P12" i="20"/>
  <c r="O12" i="20"/>
  <c r="N12" i="20"/>
  <c r="M12" i="20"/>
  <c r="L12" i="20"/>
  <c r="K12" i="20"/>
  <c r="J12" i="20"/>
  <c r="I12" i="20"/>
  <c r="H12" i="20"/>
  <c r="G12" i="20"/>
  <c r="F12" i="20"/>
  <c r="E12" i="20"/>
  <c r="D12" i="20"/>
  <c r="C12" i="20"/>
  <c r="AH4" i="20"/>
  <c r="B1" i="20"/>
  <c r="AE12" i="19"/>
  <c r="AD12" i="19"/>
  <c r="AC12" i="19"/>
  <c r="AB12" i="19"/>
  <c r="AA12" i="19"/>
  <c r="Z12" i="19"/>
  <c r="Y12" i="19"/>
  <c r="X12" i="19"/>
  <c r="W12" i="19"/>
  <c r="V12" i="19"/>
  <c r="U12" i="19"/>
  <c r="T12" i="19"/>
  <c r="S12" i="19"/>
  <c r="R12" i="19"/>
  <c r="Q12" i="19"/>
  <c r="P12" i="19"/>
  <c r="O12" i="19"/>
  <c r="N12" i="19"/>
  <c r="M12" i="19"/>
  <c r="L12" i="19"/>
  <c r="K12" i="19"/>
  <c r="J12" i="19"/>
  <c r="I12" i="19"/>
  <c r="H12" i="19"/>
  <c r="G12" i="19"/>
  <c r="F12" i="19"/>
  <c r="E12" i="19"/>
  <c r="D12" i="19"/>
  <c r="C12" i="19"/>
  <c r="AH11" i="19"/>
  <c r="AH10" i="19"/>
  <c r="AH9" i="19"/>
  <c r="AH8" i="19"/>
  <c r="AH7" i="19"/>
  <c r="AH4" i="19"/>
  <c r="B1" i="19"/>
  <c r="AE12" i="18"/>
  <c r="AD12" i="18"/>
  <c r="AC12" i="18"/>
  <c r="AB12" i="18"/>
  <c r="AA12" i="18"/>
  <c r="Z12" i="18"/>
  <c r="Y12" i="18"/>
  <c r="X12" i="18"/>
  <c r="W12" i="18"/>
  <c r="V12" i="18"/>
  <c r="U12" i="18"/>
  <c r="T12" i="18"/>
  <c r="S12" i="18"/>
  <c r="R12" i="18"/>
  <c r="Q12" i="18"/>
  <c r="P12" i="18"/>
  <c r="O12" i="18"/>
  <c r="N12" i="18"/>
  <c r="M12" i="18"/>
  <c r="L12" i="18"/>
  <c r="K12" i="18"/>
  <c r="J12" i="18"/>
  <c r="I12" i="18"/>
  <c r="H12" i="18"/>
  <c r="G12" i="18"/>
  <c r="F12" i="18"/>
  <c r="E12" i="18"/>
  <c r="D12" i="18"/>
  <c r="C12" i="18"/>
  <c r="AH12" i="18"/>
  <c r="AH4" i="18"/>
  <c r="B1" i="18"/>
  <c r="AE12" i="17"/>
  <c r="AD12" i="17"/>
  <c r="AC12" i="17"/>
  <c r="AB12" i="17"/>
  <c r="AA12" i="17"/>
  <c r="Z12" i="17"/>
  <c r="Y12" i="17"/>
  <c r="X12" i="17"/>
  <c r="W12" i="17"/>
  <c r="V12" i="17"/>
  <c r="U12" i="17"/>
  <c r="T12" i="17"/>
  <c r="S12" i="17"/>
  <c r="R12" i="17"/>
  <c r="Q12" i="17"/>
  <c r="P12" i="17"/>
  <c r="O12" i="17"/>
  <c r="N12" i="17"/>
  <c r="M12" i="17"/>
  <c r="L12" i="17"/>
  <c r="K12" i="17"/>
  <c r="J12" i="17"/>
  <c r="I12" i="17"/>
  <c r="H12" i="17"/>
  <c r="G12" i="17"/>
  <c r="F12" i="17"/>
  <c r="E12" i="17"/>
  <c r="D12" i="17"/>
  <c r="C12" i="17"/>
  <c r="AH11" i="17"/>
  <c r="AH10" i="17"/>
  <c r="AH9" i="17"/>
  <c r="AH8" i="17"/>
  <c r="AH7" i="17"/>
  <c r="AH4" i="17"/>
  <c r="B1" i="17"/>
  <c r="B1" i="15"/>
  <c r="B1" i="5"/>
  <c r="AH12" i="17" l="1"/>
  <c r="AH12" i="22"/>
  <c r="AH12" i="25"/>
  <c r="AH12" i="20"/>
  <c r="AH12" i="19"/>
  <c r="AH12" i="24"/>
  <c r="AH4" i="5" l="1"/>
  <c r="AH4" i="15" l="1"/>
  <c r="C12" i="4" l="1"/>
  <c r="D12" i="4"/>
  <c r="E12" i="4"/>
  <c r="F12" i="4"/>
  <c r="G12" i="4"/>
  <c r="H12" i="4"/>
  <c r="I12" i="4"/>
  <c r="J12" i="4"/>
  <c r="K12" i="4"/>
  <c r="L12" i="4"/>
  <c r="M12" i="4"/>
  <c r="N12" i="4"/>
  <c r="O12" i="4"/>
  <c r="P12" i="4"/>
  <c r="Q12" i="4"/>
  <c r="R12" i="4"/>
  <c r="S12" i="4"/>
  <c r="T12" i="4"/>
  <c r="U12" i="4"/>
  <c r="V12" i="4"/>
  <c r="W12" i="4"/>
  <c r="X12" i="4"/>
  <c r="Y12" i="4"/>
  <c r="Z12" i="4"/>
  <c r="AA12" i="4"/>
  <c r="AB12" i="4"/>
  <c r="AC12" i="4"/>
  <c r="AD12" i="4"/>
  <c r="AE12" i="4"/>
  <c r="AF12" i="4"/>
  <c r="AG12" i="4"/>
  <c r="AH7" i="15" l="1"/>
  <c r="AH8" i="15"/>
  <c r="AH9" i="15"/>
  <c r="AH10" i="15"/>
  <c r="AH11" i="15"/>
  <c r="AH12" i="15" l="1"/>
  <c r="C12" i="15"/>
  <c r="D12" i="15"/>
  <c r="E12" i="15"/>
  <c r="F12" i="15"/>
  <c r="G12" i="15"/>
  <c r="H12" i="15"/>
  <c r="I12" i="15"/>
  <c r="J12" i="15"/>
  <c r="K12" i="15"/>
  <c r="L12" i="15"/>
  <c r="M12" i="15"/>
  <c r="N12" i="15"/>
  <c r="O12" i="15"/>
  <c r="P12" i="15"/>
  <c r="Q12" i="15"/>
  <c r="R12" i="15"/>
  <c r="S12" i="15"/>
  <c r="T12" i="15"/>
  <c r="U12" i="15"/>
  <c r="V12" i="15"/>
  <c r="W12" i="15"/>
  <c r="X12" i="15"/>
  <c r="Y12" i="15"/>
  <c r="Z12" i="15"/>
  <c r="AA12" i="15"/>
  <c r="AB12" i="15"/>
  <c r="AC12" i="15"/>
  <c r="AH11" i="5" l="1"/>
  <c r="AH10" i="5"/>
  <c r="AH9" i="5"/>
  <c r="AH11" i="4"/>
  <c r="AE12" i="5"/>
  <c r="AD12" i="5"/>
  <c r="AC12" i="5"/>
  <c r="AB12" i="5"/>
  <c r="AA12" i="5"/>
  <c r="Z12" i="5"/>
  <c r="Y12" i="5"/>
  <c r="X12" i="5"/>
  <c r="W12" i="5"/>
  <c r="V12" i="5"/>
  <c r="U12" i="5"/>
  <c r="T12" i="5"/>
  <c r="S12" i="5"/>
  <c r="R12" i="5"/>
  <c r="Q12" i="5"/>
  <c r="P12" i="5"/>
  <c r="O12" i="5"/>
  <c r="N12" i="5"/>
  <c r="M12" i="5"/>
  <c r="L12" i="5"/>
  <c r="K12" i="5"/>
  <c r="J12" i="5"/>
  <c r="I12" i="5"/>
  <c r="H12" i="5"/>
  <c r="G12" i="5"/>
  <c r="F12" i="5"/>
  <c r="E12" i="5"/>
  <c r="D12" i="5"/>
  <c r="C12" i="5"/>
  <c r="AH8" i="5"/>
  <c r="AH7" i="5"/>
  <c r="AH12" i="5" l="1"/>
  <c r="AH7" i="4"/>
  <c r="AH8" i="4"/>
  <c r="AH12" i="4" l="1"/>
</calcChain>
</file>

<file path=xl/sharedStrings.xml><?xml version="1.0" encoding="utf-8"?>
<sst xmlns="http://schemas.openxmlformats.org/spreadsheetml/2006/main" count="643" uniqueCount="65">
  <si>
    <t>Agenda de Faltas de Funcionários</t>
  </si>
  <si>
    <t>Chave de Tipo de Falta</t>
  </si>
  <si>
    <t>Janeiro</t>
  </si>
  <si>
    <t>Nome do Funcionário</t>
  </si>
  <si>
    <t>Funcionário 1</t>
  </si>
  <si>
    <t>Funcionário 2</t>
  </si>
  <si>
    <t>Funcionário 3</t>
  </si>
  <si>
    <t>Funcionário 4</t>
  </si>
  <si>
    <t>Funcionário 5</t>
  </si>
  <si>
    <t>F</t>
  </si>
  <si>
    <t>Datas de Falta</t>
  </si>
  <si>
    <t>1</t>
  </si>
  <si>
    <t>Férias</t>
  </si>
  <si>
    <t>2</t>
  </si>
  <si>
    <t>3</t>
  </si>
  <si>
    <t>P</t>
  </si>
  <si>
    <t>4</t>
  </si>
  <si>
    <t>L</t>
  </si>
  <si>
    <t>5</t>
  </si>
  <si>
    <t>Pessoal</t>
  </si>
  <si>
    <t>6</t>
  </si>
  <si>
    <t>7</t>
  </si>
  <si>
    <t>8</t>
  </si>
  <si>
    <t>9</t>
  </si>
  <si>
    <t>Licença médica</t>
  </si>
  <si>
    <t>10</t>
  </si>
  <si>
    <t>11</t>
  </si>
  <si>
    <t>12</t>
  </si>
  <si>
    <t>Personalizado 1</t>
  </si>
  <si>
    <t>13</t>
  </si>
  <si>
    <t>14</t>
  </si>
  <si>
    <t>15</t>
  </si>
  <si>
    <t>16</t>
  </si>
  <si>
    <t>Personalizado 2</t>
  </si>
  <si>
    <t>17</t>
  </si>
  <si>
    <t>18</t>
  </si>
  <si>
    <t>19</t>
  </si>
  <si>
    <t>20</t>
  </si>
  <si>
    <t>21</t>
  </si>
  <si>
    <t>22</t>
  </si>
  <si>
    <t>23</t>
  </si>
  <si>
    <t>24</t>
  </si>
  <si>
    <t>25</t>
  </si>
  <si>
    <t>26</t>
  </si>
  <si>
    <t>27</t>
  </si>
  <si>
    <t>28</t>
  </si>
  <si>
    <t>29</t>
  </si>
  <si>
    <t>30</t>
  </si>
  <si>
    <t>31</t>
  </si>
  <si>
    <t>Inserir ano:</t>
  </si>
  <si>
    <t>Total de Dias</t>
  </si>
  <si>
    <t>Fevereiro</t>
  </si>
  <si>
    <t xml:space="preserve"> </t>
  </si>
  <si>
    <t xml:space="preserve">  </t>
  </si>
  <si>
    <t>Março</t>
  </si>
  <si>
    <t>Abril</t>
  </si>
  <si>
    <t>Junho</t>
  </si>
  <si>
    <t>Julho</t>
  </si>
  <si>
    <t>Agosto</t>
  </si>
  <si>
    <t>Setembro</t>
  </si>
  <si>
    <t>Outubro</t>
  </si>
  <si>
    <t>Novembro</t>
  </si>
  <si>
    <t>Dezembro</t>
  </si>
  <si>
    <t>Nomes dos Funcionários</t>
  </si>
  <si>
    <t>Maio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</si>
</sst>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quot;R$&quot;\ * #,##0_-;\-&quot;R$&quot;\ * #,##0_-;_-&quot;R$&quot;\ * &quot;-&quot;_-;_-@_-"/>
    <numFmt numFmtId="44" formatCode="_-&quot;R$&quot;\ * #,##0.00_-;\-&quot;R$&quot;\ * #,##0.00_-;_-&quot;R$&quot;\ * &quot;-&quot;??_-;_-@_-"/>
    <numFmt numFmtId="164" formatCode="_(* #,##0_);_(* \(#,##0\);_(* &quot;-&quot;_);_(@_)"/>
    <numFmt numFmtId="165" formatCode="_(* #,##0.00_);_(* \(#,##0.00\);_(* &quot;-&quot;??_);_(@_)"/>
    <numFmt numFmtId="166" formatCode="0;0;"/>
  </numFmts>
  <fonts count="19"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3" tint="-0.24994659260841701"/>
      <name val="Calibri"/>
      <family val="2"/>
      <scheme val="major"/>
    </font>
    <font>
      <b/>
      <sz val="18"/>
      <color theme="4" tint="-0.24994659260841701"/>
      <name val="Calibri"/>
      <family val="2"/>
      <scheme val="minor"/>
    </font>
    <font>
      <b/>
      <sz val="26"/>
      <color theme="3"/>
      <name val="Calibri"/>
      <family val="2"/>
      <scheme val="minor"/>
    </font>
    <font>
      <sz val="11"/>
      <color theme="4" tint="-0.499984740745262"/>
      <name val="Calibri"/>
      <family val="2"/>
      <scheme val="minor"/>
    </font>
    <font>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35">
    <fill>
      <patternFill patternType="none"/>
    </fill>
    <fill>
      <patternFill patternType="gray125"/>
    </fill>
    <fill>
      <patternFill patternType="solid">
        <fgColor theme="2"/>
        <bgColor indexed="64"/>
      </patternFill>
    </fill>
    <fill>
      <patternFill patternType="solid">
        <fgColor theme="7"/>
        <bgColor indexed="64"/>
      </patternFill>
    </fill>
    <fill>
      <patternFill patternType="solid">
        <fgColor theme="7" tint="0.79998168889431442"/>
        <bgColor indexed="65"/>
      </patternFill>
    </fill>
    <fill>
      <patternFill patternType="solid">
        <fgColor theme="7" tint="0.39997558519241921"/>
        <bgColor indexed="65"/>
      </patternFill>
    </fill>
    <fill>
      <patternFill patternType="solid">
        <fgColor theme="3" tint="0.79998168889431442"/>
        <bgColor indexed="64"/>
      </patternFill>
    </fill>
    <fill>
      <patternFill patternType="solid">
        <fgColor theme="3" tint="-0.24994659260841701"/>
        <bgColor indexed="64"/>
      </patternFill>
    </fill>
    <fill>
      <patternFill patternType="solid">
        <fgColor theme="3" tint="0.39994506668294322"/>
        <bgColor indexed="64"/>
      </patternFill>
    </fill>
    <fill>
      <patternFill patternType="solid">
        <fgColor theme="7" tint="0.59996337778862885"/>
        <bgColor indexed="64"/>
      </patternFill>
    </fill>
    <fill>
      <patternFill patternType="solid">
        <fgColor theme="5" tint="0.59999389629810485"/>
        <bgColor indexed="65"/>
      </patternFill>
    </fill>
    <fill>
      <patternFill patternType="solid">
        <fgColor theme="6"/>
      </patternFill>
    </fill>
    <fill>
      <patternFill patternType="solid">
        <fgColor theme="6" tint="0.59999389629810485"/>
        <bgColor indexed="65"/>
      </patternFill>
    </fill>
    <fill>
      <patternFill patternType="solid">
        <fgColor theme="6" tint="0.39997558519241921"/>
        <bgColor indexed="65"/>
      </patternFill>
    </fill>
    <fill>
      <patternFill patternType="solid">
        <fgColor theme="8" tint="0.59999389629810485"/>
        <bgColor indexed="65"/>
      </patternFill>
    </fill>
    <fill>
      <patternFill patternType="solid">
        <fgColor theme="4" tint="0.39994506668294322"/>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rgb="FFF8E3E0"/>
        <bgColor indexed="64"/>
      </patternFill>
    </fill>
    <fill>
      <patternFill patternType="solid">
        <fgColor theme="5" tint="0.39994506668294322"/>
        <bgColor indexed="64"/>
      </patternFill>
    </fill>
    <fill>
      <patternFill patternType="solid">
        <fgColor theme="6" tint="0.599963377788628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5" tint="0.79998168889431442"/>
        <bgColor indexed="65"/>
      </patternFill>
    </fill>
    <fill>
      <patternFill patternType="solid">
        <fgColor theme="5"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8" tint="0.59999389629810485"/>
        <bgColor indexed="64"/>
      </patternFill>
    </fill>
    <fill>
      <patternFill patternType="solid">
        <fgColor theme="7" tint="0.59999389629810485"/>
        <bgColor indexed="64"/>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49">
    <xf numFmtId="0" fontId="0" fillId="0" borderId="0">
      <alignment horizontal="left" vertical="center"/>
    </xf>
    <xf numFmtId="0" fontId="6" fillId="0" borderId="0" applyNumberFormat="0" applyFill="0" applyBorder="0" applyProtection="0">
      <alignment vertical="top"/>
    </xf>
    <xf numFmtId="0" fontId="4" fillId="0" borderId="0" applyNumberFormat="0" applyFill="0" applyBorder="0" applyProtection="0">
      <alignment vertical="top"/>
    </xf>
    <xf numFmtId="0" fontId="5" fillId="2" borderId="0" applyNumberFormat="0" applyBorder="0" applyProtection="0">
      <alignment horizontal="center" vertical="center"/>
    </xf>
    <xf numFmtId="0" fontId="2" fillId="20" borderId="0" applyNumberFormat="0" applyProtection="0">
      <alignment horizontal="right" vertical="center" indent="1"/>
    </xf>
    <xf numFmtId="0" fontId="1" fillId="0" borderId="0" applyNumberFormat="0" applyFill="0" applyBorder="0" applyProtection="0">
      <alignment horizontal="left" vertical="center" indent="2"/>
    </xf>
    <xf numFmtId="0" fontId="3" fillId="3" borderId="0" applyNumberFormat="0" applyBorder="0" applyAlignment="0" applyProtection="0"/>
    <xf numFmtId="0" fontId="1" fillId="4" borderId="0" applyNumberFormat="0" applyBorder="0" applyProtection="0">
      <alignment horizontal="center" vertical="center"/>
    </xf>
    <xf numFmtId="0" fontId="2" fillId="9" borderId="0" applyNumberFormat="0" applyBorder="0" applyAlignment="0" applyProtection="0"/>
    <xf numFmtId="0" fontId="1" fillId="5" borderId="0" applyNumberFormat="0" applyBorder="0" applyAlignment="0" applyProtection="0"/>
    <xf numFmtId="0" fontId="3" fillId="7" borderId="0" applyNumberFormat="0" applyBorder="0" applyAlignment="0" applyProtection="0"/>
    <xf numFmtId="0" fontId="1" fillId="6" borderId="0" applyNumberFormat="0" applyBorder="0" applyAlignment="0" applyProtection="0"/>
    <xf numFmtId="0" fontId="2" fillId="15" borderId="0" applyNumberFormat="0" applyBorder="0" applyAlignment="0" applyProtection="0"/>
    <xf numFmtId="0" fontId="1" fillId="8" borderId="0" applyNumberFormat="0" applyBorder="0" applyAlignment="0" applyProtection="0"/>
    <xf numFmtId="0" fontId="3" fillId="15" borderId="0" applyNumberFormat="0" applyBorder="0" applyAlignment="0" applyProtection="0"/>
    <xf numFmtId="0" fontId="1" fillId="18" borderId="0" applyNumberFormat="0" applyBorder="0" applyAlignment="0" applyProtection="0"/>
    <xf numFmtId="0" fontId="2" fillId="17"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2" fillId="10" borderId="0" applyNumberFormat="0" applyBorder="0" applyAlignment="0" applyProtection="0"/>
    <xf numFmtId="0" fontId="3" fillId="11" borderId="0" applyNumberFormat="0" applyBorder="0" applyAlignment="0" applyProtection="0"/>
    <xf numFmtId="0" fontId="1" fillId="2" borderId="0" applyNumberFormat="0" applyBorder="0" applyAlignment="0" applyProtection="0"/>
    <xf numFmtId="0" fontId="2" fillId="12" borderId="0" applyNumberFormat="0" applyBorder="0" applyProtection="0">
      <alignment horizontal="left" vertical="center" indent="1"/>
    </xf>
    <xf numFmtId="0" fontId="2" fillId="13" borderId="0" applyNumberFormat="0" applyBorder="0" applyAlignment="0" applyProtection="0"/>
    <xf numFmtId="0" fontId="2" fillId="14" borderId="0" applyNumberFormat="0" applyBorder="0" applyAlignment="0" applyProtection="0"/>
    <xf numFmtId="1" fontId="1" fillId="0" borderId="0" applyFill="0" applyBorder="0" applyProtection="0">
      <alignment horizontal="center" vertical="center"/>
    </xf>
    <xf numFmtId="0" fontId="1" fillId="0" borderId="0" applyNumberFormat="0" applyFill="0" applyBorder="0">
      <alignment horizontal="left" vertical="center" wrapText="1" indent="2"/>
    </xf>
    <xf numFmtId="0" fontId="7" fillId="0" borderId="0">
      <alignment horizontal="center"/>
    </xf>
    <xf numFmtId="165"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9" fillId="21" borderId="0" applyNumberFormat="0" applyBorder="0" applyAlignment="0" applyProtection="0"/>
    <xf numFmtId="0" fontId="10" fillId="22" borderId="0" applyNumberFormat="0" applyBorder="0" applyAlignment="0" applyProtection="0"/>
    <xf numFmtId="0" fontId="11" fillId="23" borderId="0" applyNumberFormat="0" applyBorder="0" applyAlignment="0" applyProtection="0"/>
    <xf numFmtId="0" fontId="12" fillId="24" borderId="1" applyNumberFormat="0" applyAlignment="0" applyProtection="0"/>
    <xf numFmtId="0" fontId="13" fillId="25" borderId="2" applyNumberFormat="0" applyAlignment="0" applyProtection="0"/>
    <xf numFmtId="0" fontId="14" fillId="25" borderId="1" applyNumberFormat="0" applyAlignment="0" applyProtection="0"/>
    <xf numFmtId="0" fontId="15" fillId="0" borderId="3" applyNumberFormat="0" applyFill="0" applyAlignment="0" applyProtection="0"/>
    <xf numFmtId="0" fontId="16" fillId="26" borderId="4" applyNumberFormat="0" applyAlignment="0" applyProtection="0"/>
    <xf numFmtId="0" fontId="17" fillId="0" borderId="0" applyNumberFormat="0" applyFill="0" applyBorder="0" applyAlignment="0" applyProtection="0"/>
    <xf numFmtId="0" fontId="1" fillId="27" borderId="5" applyNumberFormat="0" applyFont="0" applyAlignment="0" applyProtection="0"/>
    <xf numFmtId="0" fontId="18" fillId="0" borderId="0" applyNumberFormat="0" applyFill="0" applyBorder="0" applyAlignment="0" applyProtection="0"/>
    <xf numFmtId="0" fontId="1" fillId="28" borderId="0" applyNumberFormat="0" applyBorder="0" applyAlignment="0" applyProtection="0"/>
    <xf numFmtId="0" fontId="1" fillId="29" borderId="0" applyNumberFormat="0" applyBorder="0" applyAlignment="0" applyProtection="0"/>
    <xf numFmtId="0" fontId="3"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alignment horizontal="left" vertical="center"/>
    </xf>
    <xf numFmtId="0" fontId="1" fillId="0" borderId="0" xfId="26">
      <alignment horizontal="left" vertical="center" wrapText="1" indent="2"/>
    </xf>
    <xf numFmtId="0" fontId="0" fillId="0" borderId="0" xfId="0" applyAlignment="1">
      <alignment horizontal="center" vertical="center"/>
    </xf>
    <xf numFmtId="0" fontId="2" fillId="15" borderId="0" xfId="12" applyAlignment="1">
      <alignment horizontal="center" vertical="center"/>
    </xf>
    <xf numFmtId="0" fontId="2" fillId="10" borderId="0" xfId="19" applyAlignment="1">
      <alignment horizontal="center" vertical="center"/>
    </xf>
    <xf numFmtId="0" fontId="2" fillId="13" borderId="0" xfId="23" applyAlignment="1">
      <alignment horizontal="center" vertical="center"/>
    </xf>
    <xf numFmtId="166" fontId="2" fillId="9" borderId="0" xfId="8" applyNumberFormat="1" applyAlignment="1">
      <alignment horizontal="center" vertical="center"/>
    </xf>
    <xf numFmtId="1" fontId="1" fillId="0" borderId="0" xfId="25">
      <alignment horizontal="center" vertical="center"/>
    </xf>
    <xf numFmtId="0" fontId="5" fillId="2" borderId="0" xfId="3">
      <alignment horizontal="center" vertical="center"/>
    </xf>
    <xf numFmtId="166" fontId="0" fillId="0" borderId="0" xfId="0" applyNumberFormat="1" applyAlignment="1">
      <alignment horizontal="center" vertical="center"/>
    </xf>
    <xf numFmtId="0" fontId="6" fillId="0" borderId="0" xfId="1">
      <alignment vertical="top"/>
    </xf>
    <xf numFmtId="0" fontId="1" fillId="2" borderId="0" xfId="21" applyAlignment="1">
      <alignment horizontal="left" vertical="center" indent="1"/>
    </xf>
    <xf numFmtId="0" fontId="0" fillId="0" borderId="0" xfId="21" applyFont="1" applyFill="1" applyAlignment="1">
      <alignment horizontal="center" vertical="center"/>
    </xf>
    <xf numFmtId="0" fontId="0" fillId="0" borderId="0" xfId="0" applyAlignment="1">
      <alignment horizontal="left" vertical="center" wrapText="1"/>
    </xf>
    <xf numFmtId="0" fontId="2" fillId="20" borderId="0" xfId="4">
      <alignment horizontal="right" vertical="center" indent="1"/>
    </xf>
    <xf numFmtId="0" fontId="7" fillId="0" borderId="0" xfId="27">
      <alignment horizontal="center"/>
    </xf>
    <xf numFmtId="0" fontId="0" fillId="0" borderId="0" xfId="0" applyAlignment="1">
      <alignment horizontal="left" vertical="center" indent="1"/>
    </xf>
    <xf numFmtId="0" fontId="8" fillId="0" borderId="0" xfId="0" applyFont="1" applyAlignment="1">
      <alignment horizontal="center" vertical="center"/>
    </xf>
    <xf numFmtId="0" fontId="1" fillId="33" borderId="0" xfId="21" applyFill="1" applyAlignment="1">
      <alignment vertical="center"/>
    </xf>
    <xf numFmtId="0" fontId="1" fillId="34" borderId="0" xfId="21" applyFill="1" applyAlignment="1">
      <alignment vertical="center"/>
    </xf>
    <xf numFmtId="0" fontId="5" fillId="2" borderId="0" xfId="3">
      <alignment horizontal="center" vertical="center"/>
    </xf>
    <xf numFmtId="0" fontId="1" fillId="2" borderId="0" xfId="21" applyAlignment="1">
      <alignment horizontal="left" vertical="center"/>
    </xf>
  </cellXfs>
  <cellStyles count="49">
    <cellStyle name="20% - Ênfase1" xfId="15" builtinId="30" customBuiltin="1"/>
    <cellStyle name="20% - Ênfase2" xfId="44" builtinId="34" customBuiltin="1"/>
    <cellStyle name="20% - Ênfase3" xfId="21" builtinId="38" customBuiltin="1"/>
    <cellStyle name="20% - Ênfase4" xfId="7" builtinId="42" customBuiltin="1"/>
    <cellStyle name="20% - Ênfase5" xfId="47" builtinId="46" customBuiltin="1"/>
    <cellStyle name="20% - Ênfase6" xfId="11" builtinId="50" customBuiltin="1"/>
    <cellStyle name="40% - Ênfase1" xfId="16" builtinId="31" customBuiltin="1"/>
    <cellStyle name="40% - Ênfase2" xfId="19" builtinId="35" customBuiltin="1"/>
    <cellStyle name="40% - Ênfase3" xfId="22" builtinId="39" customBuiltin="1"/>
    <cellStyle name="40% - Ênfase4" xfId="8" builtinId="43" customBuiltin="1"/>
    <cellStyle name="40% - Ênfase5" xfId="24" builtinId="47" customBuiltin="1"/>
    <cellStyle name="40% - Ênfase6" xfId="12" builtinId="51" customBuiltin="1"/>
    <cellStyle name="60% - Ênfase1" xfId="17" builtinId="32" customBuiltin="1"/>
    <cellStyle name="60% - Ênfase2" xfId="45" builtinId="36" customBuiltin="1"/>
    <cellStyle name="60% - Ênfase3" xfId="23" builtinId="40" customBuiltin="1"/>
    <cellStyle name="60% - Ênfase4" xfId="9" builtinId="44" customBuiltin="1"/>
    <cellStyle name="60% - Ênfase5" xfId="48" builtinId="48" customBuiltin="1"/>
    <cellStyle name="60% - Ênfase6" xfId="13" builtinId="52" customBuiltin="1"/>
    <cellStyle name="Bom" xfId="33" builtinId="26" customBuiltin="1"/>
    <cellStyle name="Cálculo" xfId="38" builtinId="22" customBuiltin="1"/>
    <cellStyle name="Célula de Verificação" xfId="40" builtinId="23" customBuiltin="1"/>
    <cellStyle name="Célula Vinculada" xfId="39" builtinId="24" customBuiltin="1"/>
    <cellStyle name="Ênfase1" xfId="14" builtinId="29" customBuiltin="1"/>
    <cellStyle name="Ênfase2" xfId="18" builtinId="33" customBuiltin="1"/>
    <cellStyle name="Ênfase3" xfId="20" builtinId="37" customBuiltin="1"/>
    <cellStyle name="Ênfase4" xfId="6" builtinId="41" customBuiltin="1"/>
    <cellStyle name="Ênfase5" xfId="46" builtinId="45" customBuiltin="1"/>
    <cellStyle name="Ênfase6" xfId="10" builtinId="49" customBuiltin="1"/>
    <cellStyle name="Entrada" xfId="36" builtinId="20" customBuiltin="1"/>
    <cellStyle name="Funcionário" xfId="26" xr:uid="{00000000-0005-0000-0000-000013000000}"/>
    <cellStyle name="Moeda" xfId="30" builtinId="4" customBuiltin="1"/>
    <cellStyle name="Moeda [0]" xfId="31" builtinId="7" customBuiltin="1"/>
    <cellStyle name="Neutro" xfId="35" builtinId="28" customBuiltin="1"/>
    <cellStyle name="Normal" xfId="0" builtinId="0" customBuiltin="1"/>
    <cellStyle name="Nota" xfId="42" builtinId="10" customBuiltin="1"/>
    <cellStyle name="Porcentagem" xfId="32" builtinId="5" customBuiltin="1"/>
    <cellStyle name="Rótulo" xfId="27" xr:uid="{00000000-0005-0000-0000-000018000000}"/>
    <cellStyle name="Ruim" xfId="34" builtinId="27" customBuiltin="1"/>
    <cellStyle name="Saída" xfId="37" builtinId="21" customBuiltin="1"/>
    <cellStyle name="Separador de milhares [0]" xfId="29" builtinId="6" customBuiltin="1"/>
    <cellStyle name="Texto de Aviso" xfId="41" builtinId="11" customBuiltin="1"/>
    <cellStyle name="Texto Explicativo" xfId="43"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25" builtinId="25" customBuiltin="1"/>
    <cellStyle name="Vírgula" xfId="28" builtinId="3" customBuiltin="1"/>
  </cellStyles>
  <dxfs count="902">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alignment horizontal="left" vertical="center" textRotation="0" wrapText="0" indent="1"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 formatCode="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 formatCode="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 formatCode="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 formatCode="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0"/>
      </font>
      <border>
        <vertical/>
        <horizontal/>
      </border>
    </dxf>
    <dxf>
      <font>
        <b val="0"/>
        <i val="0"/>
        <color theme="3"/>
      </font>
      <border>
        <vertical/>
        <horizontal/>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patternType="none">
          <fgColor indexed="64"/>
          <bgColor indexed="65"/>
        </patternFill>
      </fill>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ill>
        <patternFill patternType="solid">
          <bgColor theme="6" tint="0.79998168889431442"/>
        </patternFill>
      </fill>
      <border diagonalUp="0" diagonalDown="0">
        <left/>
        <right/>
        <top style="thin">
          <color theme="0" tint="-0.14996795556505021"/>
        </top>
        <bottom style="medium">
          <color theme="2" tint="-0.499984740745262"/>
        </bottom>
        <vertical/>
        <horizontal/>
      </border>
    </dxf>
    <dxf>
      <font>
        <color theme="1"/>
      </font>
      <fill>
        <patternFill patternType="solid">
          <bgColor theme="6" tint="0.79998168889431442"/>
        </patternFill>
      </fill>
      <border diagonalUp="0" diagonalDown="0">
        <left/>
        <right/>
        <top style="thin">
          <color theme="0" tint="-0.14993743705557422"/>
        </top>
        <bottom style="medium">
          <color theme="2" tint="-0.499984740745262"/>
        </bottom>
        <vertical/>
        <horizontal style="thin">
          <color theme="0" tint="-0.14993743705557422"/>
        </horizontal>
      </border>
    </dxf>
    <dxf>
      <font>
        <color theme="1"/>
      </font>
      <fill>
        <patternFill patternType="solid">
          <bgColor theme="2"/>
        </patternFill>
      </fill>
      <border diagonalUp="0" diagonalDown="0">
        <left/>
        <right/>
        <top/>
        <bottom style="thin">
          <color theme="0" tint="-0.14996795556505021"/>
        </bottom>
        <vertical/>
        <horizontal/>
      </border>
    </dxf>
    <dxf>
      <font>
        <color theme="1"/>
      </font>
      <fill>
        <patternFill patternType="none">
          <bgColor auto="1"/>
        </patternFill>
      </fill>
      <border diagonalUp="0" diagonalDown="0">
        <left/>
        <right/>
        <top style="thin">
          <color theme="0" tint="-0.14996795556505021"/>
        </top>
        <bottom style="thin">
          <color theme="0" tint="-0.14993743705557422"/>
        </bottom>
        <vertical/>
        <horizontal/>
      </border>
    </dxf>
    <dxf>
      <fill>
        <patternFill>
          <bgColor theme="0" tint="-0.14996795556505021"/>
        </patternFill>
      </fill>
      <border>
        <left style="thin">
          <color theme="0"/>
        </left>
        <right style="thin">
          <color theme="0"/>
        </right>
        <vertical style="thin">
          <color theme="0"/>
        </vertical>
      </border>
    </dxf>
    <dxf>
      <fill>
        <patternFill>
          <bgColor theme="0" tint="-4.9989318521683403E-2"/>
        </patternFill>
      </fill>
      <border>
        <left style="thin">
          <color theme="0"/>
        </left>
        <right style="thin">
          <color theme="0"/>
        </right>
        <vertical style="thin">
          <color theme="0"/>
        </vertical>
      </border>
    </dxf>
    <dxf>
      <fill>
        <patternFill>
          <bgColor theme="0" tint="-0.14996795556505021"/>
        </patternFill>
      </fill>
    </dxf>
    <dxf>
      <fill>
        <patternFill patternType="solid">
          <fgColor theme="4" tint="0.79992065187536243"/>
          <bgColor theme="0" tint="-4.9989318521683403E-2"/>
        </patternFill>
      </fill>
    </dxf>
    <dxf>
      <font>
        <color theme="1"/>
      </font>
      <fill>
        <patternFill patternType="none">
          <bgColor auto="1"/>
        </patternFill>
      </fill>
      <border diagonalUp="0" diagonalDown="0">
        <left/>
        <right/>
        <top/>
        <bottom style="thin">
          <color theme="0" tint="-0.14996795556505021"/>
        </bottom>
        <vertical/>
        <horizontal style="thin">
          <color theme="0" tint="-0.14996795556505021"/>
        </horizontal>
      </border>
    </dxf>
    <dxf>
      <font>
        <color theme="1"/>
      </font>
      <fill>
        <patternFill patternType="none">
          <bgColor auto="1"/>
        </patternFill>
      </fill>
      <border>
        <left/>
        <right/>
        <top style="thin">
          <color theme="2" tint="-9.9917600024414813E-2"/>
        </top>
        <bottom style="thin">
          <color theme="2" tint="-9.9948118533890809E-2"/>
        </bottom>
        <vertical/>
        <horizontal style="thin">
          <color theme="2" tint="-9.9917600024414813E-2"/>
        </horizontal>
      </border>
    </dxf>
    <dxf>
      <font>
        <color theme="1"/>
      </font>
      <fill>
        <patternFill>
          <bgColor theme="6" tint="0.79998168889431442"/>
        </patternFill>
      </fill>
      <border diagonalUp="0" diagonalDown="0">
        <left style="thin">
          <color theme="0"/>
        </left>
        <right style="thin">
          <color theme="0"/>
        </right>
        <top/>
        <bottom style="medium">
          <color theme="2" tint="-0.499984740745262"/>
        </bottom>
        <vertical style="thin">
          <color theme="0"/>
        </vertical>
        <horizontal/>
      </border>
    </dxf>
    <dxf>
      <font>
        <color theme="0"/>
      </font>
      <fill>
        <patternFill>
          <bgColor theme="3"/>
        </patternFill>
      </fill>
    </dxf>
    <dxf>
      <font>
        <color theme="1"/>
      </font>
      <border diagonalUp="0" diagonalDown="0">
        <left/>
        <right/>
        <top/>
        <bottom/>
        <vertical style="thin">
          <color theme="0"/>
        </vertical>
        <horizontal/>
      </border>
    </dxf>
  </dxfs>
  <tableStyles count="1" defaultPivotStyle="PivotStyleLight16">
    <tableStyle name="Tabela de faltas dos funcionários" pivot="0" count="13" xr9:uid="{00000000-0011-0000-FFFF-FFFF00000000}">
      <tableStyleElement type="wholeTable" dxfId="901"/>
      <tableStyleElement type="headerRow" dxfId="900"/>
      <tableStyleElement type="totalRow" dxfId="899"/>
      <tableStyleElement type="firstColumn" dxfId="898"/>
      <tableStyleElement type="lastColumn" dxfId="897"/>
      <tableStyleElement type="firstRowStripe" dxfId="896"/>
      <tableStyleElement type="secondRowStripe" dxfId="895"/>
      <tableStyleElement type="firstColumnStripe" dxfId="894"/>
      <tableStyleElement type="secondColumnStripe" dxfId="893"/>
      <tableStyleElement type="firstHeaderCell" dxfId="892"/>
      <tableStyleElement type="lastHeaderCell" dxfId="891"/>
      <tableStyleElement type="firstTotalCell" dxfId="890"/>
      <tableStyleElement type="lastTotalCell" dxfId="88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Janeiro" displayName="Janeiro" ref="B6:AH12" totalsRowCount="1" headerRowDxfId="883" dataDxfId="882" totalsRowDxfId="881">
  <autoFilter ref="B6:AH11"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autoFilter>
  <tableColumns count="33">
    <tableColumn id="1" xr3:uid="{00000000-0010-0000-0000-000001000000}" name="Nome do Funcionário" totalsRowFunction="custom" dataDxfId="880" totalsRowDxfId="395" dataCellStyle="Funcionário">
      <totalsRowFormula>"Total de "&amp;NomeMês</totalsRowFormula>
    </tableColumn>
    <tableColumn id="2" xr3:uid="{00000000-0010-0000-0000-000002000000}" name="1" totalsRowFunction="custom" dataDxfId="879" totalsRowDxfId="394">
      <totalsRowFormula>SUBTOTAL(103,Janeiro!$C$7:$C$11)</totalsRowFormula>
    </tableColumn>
    <tableColumn id="3" xr3:uid="{00000000-0010-0000-0000-000003000000}" name="2" totalsRowFunction="custom" dataDxfId="878" totalsRowDxfId="393">
      <totalsRowFormula>SUBTOTAL(103,Janeiro!$D$7:$D$11)</totalsRowFormula>
    </tableColumn>
    <tableColumn id="4" xr3:uid="{00000000-0010-0000-0000-000004000000}" name="3" totalsRowFunction="custom" dataDxfId="877" totalsRowDxfId="392">
      <totalsRowFormula>SUBTOTAL(103,Janeiro!$E$7:$E$11)</totalsRowFormula>
    </tableColumn>
    <tableColumn id="5" xr3:uid="{00000000-0010-0000-0000-000005000000}" name="4" totalsRowFunction="custom" dataDxfId="876" totalsRowDxfId="391">
      <totalsRowFormula>SUBTOTAL(103,Janeiro!$F$7:$F$11)</totalsRowFormula>
    </tableColumn>
    <tableColumn id="6" xr3:uid="{00000000-0010-0000-0000-000006000000}" name="5" totalsRowFunction="custom" totalsRowDxfId="390">
      <totalsRowFormula>SUBTOTAL(103,Janeiro!$G$7:$G$11)</totalsRowFormula>
    </tableColumn>
    <tableColumn id="7" xr3:uid="{00000000-0010-0000-0000-000007000000}" name="6" totalsRowFunction="custom" dataDxfId="875" totalsRowDxfId="389">
      <totalsRowFormula>SUBTOTAL(103,Janeiro!$H$7:$H$11)</totalsRowFormula>
    </tableColumn>
    <tableColumn id="8" xr3:uid="{00000000-0010-0000-0000-000008000000}" name="7" totalsRowFunction="custom" dataDxfId="874" totalsRowDxfId="388">
      <totalsRowFormula>SUBTOTAL(103,Janeiro!$I$7:$I$11)</totalsRowFormula>
    </tableColumn>
    <tableColumn id="9" xr3:uid="{00000000-0010-0000-0000-000009000000}" name="8" totalsRowFunction="custom" dataDxfId="873" totalsRowDxfId="387">
      <totalsRowFormula>SUBTOTAL(103,Janeiro!$J$7:$J$11)</totalsRowFormula>
    </tableColumn>
    <tableColumn id="10" xr3:uid="{00000000-0010-0000-0000-00000A000000}" name="9" totalsRowFunction="custom" dataDxfId="872" totalsRowDxfId="386">
      <totalsRowFormula>SUBTOTAL(103,Janeiro!$K$7:$K$11)</totalsRowFormula>
    </tableColumn>
    <tableColumn id="11" xr3:uid="{00000000-0010-0000-0000-00000B000000}" name="10" totalsRowFunction="custom" dataDxfId="871" totalsRowDxfId="385">
      <totalsRowFormula>SUBTOTAL(103,Janeiro!$L$7:$L$11)</totalsRowFormula>
    </tableColumn>
    <tableColumn id="12" xr3:uid="{00000000-0010-0000-0000-00000C000000}" name="11" totalsRowFunction="custom" dataDxfId="870" totalsRowDxfId="384">
      <totalsRowFormula>SUBTOTAL(103,Janeiro!$M$7:$M$11)</totalsRowFormula>
    </tableColumn>
    <tableColumn id="13" xr3:uid="{00000000-0010-0000-0000-00000D000000}" name="12" totalsRowFunction="custom" dataDxfId="869" totalsRowDxfId="383">
      <totalsRowFormula>SUBTOTAL(103,Janeiro!$N$7:$N$11)</totalsRowFormula>
    </tableColumn>
    <tableColumn id="14" xr3:uid="{00000000-0010-0000-0000-00000E000000}" name="13" totalsRowFunction="custom" dataDxfId="868" totalsRowDxfId="382">
      <totalsRowFormula>SUBTOTAL(103,Janeiro!$O$7:$O$11)</totalsRowFormula>
    </tableColumn>
    <tableColumn id="15" xr3:uid="{00000000-0010-0000-0000-00000F000000}" name="14" totalsRowFunction="custom" dataDxfId="867" totalsRowDxfId="381">
      <totalsRowFormula>SUBTOTAL(103,Janeiro!$P$7:$P$11)</totalsRowFormula>
    </tableColumn>
    <tableColumn id="16" xr3:uid="{00000000-0010-0000-0000-000010000000}" name="15" totalsRowFunction="custom" dataDxfId="866" totalsRowDxfId="380">
      <totalsRowFormula>SUBTOTAL(103,Janeiro!$Q$7:$Q$11)</totalsRowFormula>
    </tableColumn>
    <tableColumn id="17" xr3:uid="{00000000-0010-0000-0000-000011000000}" name="16" totalsRowFunction="custom" dataDxfId="865" totalsRowDxfId="379">
      <totalsRowFormula>SUBTOTAL(103,Janeiro!$R$7:$R$11)</totalsRowFormula>
    </tableColumn>
    <tableColumn id="18" xr3:uid="{00000000-0010-0000-0000-000012000000}" name="17" totalsRowFunction="custom" dataDxfId="864" totalsRowDxfId="378">
      <totalsRowFormula>SUBTOTAL(103,Janeiro!$S$7:$S$11)</totalsRowFormula>
    </tableColumn>
    <tableColumn id="19" xr3:uid="{00000000-0010-0000-0000-000013000000}" name="18" totalsRowFunction="custom" dataDxfId="863" totalsRowDxfId="377">
      <totalsRowFormula>SUBTOTAL(103,Janeiro!$T$7:$T$11)</totalsRowFormula>
    </tableColumn>
    <tableColumn id="20" xr3:uid="{00000000-0010-0000-0000-000014000000}" name="19" totalsRowFunction="custom" dataDxfId="862" totalsRowDxfId="376">
      <totalsRowFormula>SUBTOTAL(103,Janeiro!$U$7:$U$11)</totalsRowFormula>
    </tableColumn>
    <tableColumn id="21" xr3:uid="{00000000-0010-0000-0000-000015000000}" name="20" totalsRowFunction="custom" dataDxfId="861" totalsRowDxfId="375">
      <totalsRowFormula>SUBTOTAL(103,Janeiro!$V$7:$V$11)</totalsRowFormula>
    </tableColumn>
    <tableColumn id="22" xr3:uid="{00000000-0010-0000-0000-000016000000}" name="21" totalsRowFunction="custom" dataDxfId="860" totalsRowDxfId="374">
      <totalsRowFormula>SUBTOTAL(103,Janeiro!$W$7:$W$11)</totalsRowFormula>
    </tableColumn>
    <tableColumn id="23" xr3:uid="{00000000-0010-0000-0000-000017000000}" name="22" totalsRowFunction="custom" dataDxfId="859" totalsRowDxfId="373">
      <totalsRowFormula>SUBTOTAL(103,Janeiro!$X$7:$X$11)</totalsRowFormula>
    </tableColumn>
    <tableColumn id="24" xr3:uid="{00000000-0010-0000-0000-000018000000}" name="23" totalsRowFunction="custom" dataDxfId="858" totalsRowDxfId="372">
      <totalsRowFormula>SUBTOTAL(103,Janeiro!$Y$7:$Y$11)</totalsRowFormula>
    </tableColumn>
    <tableColumn id="25" xr3:uid="{00000000-0010-0000-0000-000019000000}" name="24" totalsRowFunction="custom" dataDxfId="857" totalsRowDxfId="371">
      <totalsRowFormula>SUBTOTAL(103,Janeiro!$Z$7:$Z$11)</totalsRowFormula>
    </tableColumn>
    <tableColumn id="26" xr3:uid="{00000000-0010-0000-0000-00001A000000}" name="25" totalsRowFunction="custom" dataDxfId="856" totalsRowDxfId="370">
      <totalsRowFormula>SUBTOTAL(103,Janeiro!$AA$7:$AA$11)</totalsRowFormula>
    </tableColumn>
    <tableColumn id="27" xr3:uid="{00000000-0010-0000-0000-00001B000000}" name="26" totalsRowFunction="custom" dataDxfId="855" totalsRowDxfId="369">
      <totalsRowFormula>SUBTOTAL(103,Janeiro!$AB$7:$AB$11)</totalsRowFormula>
    </tableColumn>
    <tableColumn id="28" xr3:uid="{00000000-0010-0000-0000-00001C000000}" name="27" totalsRowFunction="custom" dataDxfId="854" totalsRowDxfId="368">
      <totalsRowFormula>SUBTOTAL(103,Janeiro!$AC$7:$AC$11)</totalsRowFormula>
    </tableColumn>
    <tableColumn id="29" xr3:uid="{00000000-0010-0000-0000-00001D000000}" name="28" totalsRowFunction="custom" dataDxfId="853" totalsRowDxfId="367">
      <totalsRowFormula>SUBTOTAL(103,Janeiro!$AD$7:$AD$11)</totalsRowFormula>
    </tableColumn>
    <tableColumn id="30" xr3:uid="{00000000-0010-0000-0000-00001E000000}" name="29" totalsRowFunction="custom" dataDxfId="852" totalsRowDxfId="366">
      <totalsRowFormula>SUBTOTAL(103,Janeiro!$AE$7:$AE$11)</totalsRowFormula>
    </tableColumn>
    <tableColumn id="31" xr3:uid="{00000000-0010-0000-0000-00001F000000}" name="30" totalsRowFunction="custom" dataDxfId="851" totalsRowDxfId="365">
      <totalsRowFormula>SUBTOTAL(103,Janeiro!$AF$7:$AF$11)</totalsRowFormula>
    </tableColumn>
    <tableColumn id="32" xr3:uid="{00000000-0010-0000-0000-000020000000}" name="31" totalsRowFunction="custom" dataDxfId="850" totalsRowDxfId="364">
      <totalsRowFormula>SUBTOTAL(103,Janeiro!$AG$7:$AG$11)</totalsRowFormula>
    </tableColumn>
    <tableColumn id="33" xr3:uid="{00000000-0010-0000-0000-000021000000}" name="Total de Dias" totalsRowFunction="sum" dataDxfId="849" totalsRowDxfId="363">
      <calculatedColumnFormula>COUNTA(Janeiro!$C7:$AG7)</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evereiro" displayName="Fevereiro" ref="B6:AH12" totalsRowCount="1" headerRowDxfId="841" dataDxfId="840" totalsRowDxfId="839">
  <tableColumns count="33">
    <tableColumn id="1" xr3:uid="{00000000-0010-0000-0100-000001000000}" name="Nome do Funcionário" totalsRowFunction="custom" dataDxfId="838" totalsRowDxfId="362" dataCellStyle="Funcionário">
      <totalsRowFormula>"Total de "&amp;NomeMês</totalsRowFormula>
    </tableColumn>
    <tableColumn id="2" xr3:uid="{00000000-0010-0000-0100-000002000000}" name="1" totalsRowFunction="count" dataDxfId="837" totalsRowDxfId="361"/>
    <tableColumn id="3" xr3:uid="{00000000-0010-0000-0100-000003000000}" name="2" totalsRowFunction="count" dataDxfId="836" totalsRowDxfId="360"/>
    <tableColumn id="4" xr3:uid="{00000000-0010-0000-0100-000004000000}" name="3" totalsRowFunction="count" dataDxfId="835" totalsRowDxfId="359"/>
    <tableColumn id="5" xr3:uid="{00000000-0010-0000-0100-000005000000}" name="4" totalsRowFunction="count" dataDxfId="834" totalsRowDxfId="358"/>
    <tableColumn id="6" xr3:uid="{00000000-0010-0000-0100-000006000000}" name="5" totalsRowFunction="count" dataDxfId="833" totalsRowDxfId="357"/>
    <tableColumn id="7" xr3:uid="{00000000-0010-0000-0100-000007000000}" name="6" totalsRowFunction="count" dataDxfId="832" totalsRowDxfId="356"/>
    <tableColumn id="8" xr3:uid="{00000000-0010-0000-0100-000008000000}" name="7" totalsRowFunction="count" dataDxfId="831" totalsRowDxfId="355"/>
    <tableColumn id="9" xr3:uid="{00000000-0010-0000-0100-000009000000}" name="8" totalsRowFunction="count" dataDxfId="830" totalsRowDxfId="354"/>
    <tableColumn id="10" xr3:uid="{00000000-0010-0000-0100-00000A000000}" name="9" totalsRowFunction="count" dataDxfId="829" totalsRowDxfId="353"/>
    <tableColumn id="11" xr3:uid="{00000000-0010-0000-0100-00000B000000}" name="10" totalsRowFunction="count" dataDxfId="828" totalsRowDxfId="352"/>
    <tableColumn id="12" xr3:uid="{00000000-0010-0000-0100-00000C000000}" name="11" totalsRowFunction="count" dataDxfId="827" totalsRowDxfId="351"/>
    <tableColumn id="13" xr3:uid="{00000000-0010-0000-0100-00000D000000}" name="12" totalsRowFunction="count" dataDxfId="826" totalsRowDxfId="350"/>
    <tableColumn id="14" xr3:uid="{00000000-0010-0000-0100-00000E000000}" name="13" totalsRowFunction="count" dataDxfId="825" totalsRowDxfId="349"/>
    <tableColumn id="15" xr3:uid="{00000000-0010-0000-0100-00000F000000}" name="14" totalsRowFunction="count" dataDxfId="824" totalsRowDxfId="348"/>
    <tableColumn id="16" xr3:uid="{00000000-0010-0000-0100-000010000000}" name="15" totalsRowFunction="count" dataDxfId="823" totalsRowDxfId="347"/>
    <tableColumn id="17" xr3:uid="{00000000-0010-0000-0100-000011000000}" name="16" totalsRowFunction="count" dataDxfId="822" totalsRowDxfId="346"/>
    <tableColumn id="18" xr3:uid="{00000000-0010-0000-0100-000012000000}" name="17" totalsRowFunction="count" dataDxfId="821" totalsRowDxfId="345"/>
    <tableColumn id="19" xr3:uid="{00000000-0010-0000-0100-000013000000}" name="18" totalsRowFunction="count" dataDxfId="820" totalsRowDxfId="344"/>
    <tableColumn id="20" xr3:uid="{00000000-0010-0000-0100-000014000000}" name="19" totalsRowFunction="count" dataDxfId="819" totalsRowDxfId="343"/>
    <tableColumn id="21" xr3:uid="{00000000-0010-0000-0100-000015000000}" name="20" totalsRowFunction="count" dataDxfId="818" totalsRowDxfId="342"/>
    <tableColumn id="22" xr3:uid="{00000000-0010-0000-0100-000016000000}" name="21" totalsRowFunction="count" dataDxfId="817" totalsRowDxfId="341"/>
    <tableColumn id="23" xr3:uid="{00000000-0010-0000-0100-000017000000}" name="22" totalsRowFunction="count" dataDxfId="816" totalsRowDxfId="340"/>
    <tableColumn id="24" xr3:uid="{00000000-0010-0000-0100-000018000000}" name="23" totalsRowFunction="count" dataDxfId="815" totalsRowDxfId="339"/>
    <tableColumn id="25" xr3:uid="{00000000-0010-0000-0100-000019000000}" name="24" totalsRowFunction="count" dataDxfId="814" totalsRowDxfId="338"/>
    <tableColumn id="26" xr3:uid="{00000000-0010-0000-0100-00001A000000}" name="25" totalsRowFunction="count" dataDxfId="813" totalsRowDxfId="337"/>
    <tableColumn id="27" xr3:uid="{00000000-0010-0000-0100-00001B000000}" name="26" totalsRowFunction="count" dataDxfId="812" totalsRowDxfId="336"/>
    <tableColumn id="28" xr3:uid="{00000000-0010-0000-0100-00001C000000}" name="27" totalsRowFunction="count" dataDxfId="811" totalsRowDxfId="335"/>
    <tableColumn id="29" xr3:uid="{00000000-0010-0000-0100-00001D000000}" name="28" totalsRowFunction="count" dataDxfId="810" totalsRowDxfId="334"/>
    <tableColumn id="30" xr3:uid="{00000000-0010-0000-0100-00001E000000}" name="29" totalsRowFunction="count" dataDxfId="809" totalsRowDxfId="333"/>
    <tableColumn id="31" xr3:uid="{00000000-0010-0000-0100-00001F000000}" name=" " dataDxfId="808" totalsRowDxfId="332"/>
    <tableColumn id="32" xr3:uid="{00000000-0010-0000-0100-000020000000}" name="  " dataDxfId="807" totalsRowDxfId="331"/>
    <tableColumn id="33" xr3:uid="{00000000-0010-0000-0100-000021000000}" name="Total de Dias" totalsRowFunction="sum" dataDxfId="806" totalsRowDxfId="330">
      <calculatedColumnFormula>COUNTA(Fevereiro[[#This Row],[1]:[29]])</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Março" displayName="Março" ref="B6:AH12" totalsRowCount="1" headerRowDxfId="800" dataDxfId="799" totalsRowDxfId="798">
  <tableColumns count="33">
    <tableColumn id="1" xr3:uid="{00000000-0010-0000-0200-000001000000}" name="Nome do Funcionário" totalsRowFunction="custom" dataDxfId="797" totalsRowDxfId="329" dataCellStyle="Funcionário">
      <totalsRowFormula>"Total de "&amp;NomeMês</totalsRowFormula>
    </tableColumn>
    <tableColumn id="2" xr3:uid="{00000000-0010-0000-0200-000002000000}" name="1" totalsRowFunction="count" dataDxfId="796" totalsRowDxfId="328"/>
    <tableColumn id="3" xr3:uid="{00000000-0010-0000-0200-000003000000}" name="2" totalsRowFunction="count" dataDxfId="795" totalsRowDxfId="327"/>
    <tableColumn id="4" xr3:uid="{00000000-0010-0000-0200-000004000000}" name="3" totalsRowFunction="count" dataDxfId="794" totalsRowDxfId="326"/>
    <tableColumn id="5" xr3:uid="{00000000-0010-0000-0200-000005000000}" name="4" totalsRowFunction="count" dataDxfId="793" totalsRowDxfId="325"/>
    <tableColumn id="6" xr3:uid="{00000000-0010-0000-0200-000006000000}" name="5" totalsRowFunction="count" dataDxfId="792" totalsRowDxfId="324"/>
    <tableColumn id="7" xr3:uid="{00000000-0010-0000-0200-000007000000}" name="6" totalsRowFunction="count" dataDxfId="791" totalsRowDxfId="323"/>
    <tableColumn id="8" xr3:uid="{00000000-0010-0000-0200-000008000000}" name="7" totalsRowFunction="count" dataDxfId="790" totalsRowDxfId="322"/>
    <tableColumn id="9" xr3:uid="{00000000-0010-0000-0200-000009000000}" name="8" totalsRowFunction="count" dataDxfId="789" totalsRowDxfId="321"/>
    <tableColumn id="10" xr3:uid="{00000000-0010-0000-0200-00000A000000}" name="9" totalsRowFunction="count" dataDxfId="788" totalsRowDxfId="320"/>
    <tableColumn id="11" xr3:uid="{00000000-0010-0000-0200-00000B000000}" name="10" totalsRowFunction="count" dataDxfId="787" totalsRowDxfId="319"/>
    <tableColumn id="12" xr3:uid="{00000000-0010-0000-0200-00000C000000}" name="11" totalsRowFunction="count" dataDxfId="786" totalsRowDxfId="318"/>
    <tableColumn id="13" xr3:uid="{00000000-0010-0000-0200-00000D000000}" name="12" totalsRowFunction="count" dataDxfId="785" totalsRowDxfId="317"/>
    <tableColumn id="14" xr3:uid="{00000000-0010-0000-0200-00000E000000}" name="13" totalsRowFunction="count" dataDxfId="784" totalsRowDxfId="316"/>
    <tableColumn id="15" xr3:uid="{00000000-0010-0000-0200-00000F000000}" name="14" totalsRowFunction="count" dataDxfId="783" totalsRowDxfId="315"/>
    <tableColumn id="16" xr3:uid="{00000000-0010-0000-0200-000010000000}" name="15" totalsRowFunction="count" dataDxfId="782" totalsRowDxfId="314"/>
    <tableColumn id="17" xr3:uid="{00000000-0010-0000-0200-000011000000}" name="16" totalsRowFunction="count" dataDxfId="781" totalsRowDxfId="313"/>
    <tableColumn id="18" xr3:uid="{00000000-0010-0000-0200-000012000000}" name="17" totalsRowFunction="count" dataDxfId="780" totalsRowDxfId="312"/>
    <tableColumn id="19" xr3:uid="{00000000-0010-0000-0200-000013000000}" name="18" totalsRowFunction="count" dataDxfId="779" totalsRowDxfId="311"/>
    <tableColumn id="20" xr3:uid="{00000000-0010-0000-0200-000014000000}" name="19" totalsRowFunction="count" dataDxfId="778" totalsRowDxfId="310"/>
    <tableColumn id="21" xr3:uid="{00000000-0010-0000-0200-000015000000}" name="20" totalsRowFunction="count" dataDxfId="777" totalsRowDxfId="309"/>
    <tableColumn id="22" xr3:uid="{00000000-0010-0000-0200-000016000000}" name="21" totalsRowFunction="count" dataDxfId="776" totalsRowDxfId="308"/>
    <tableColumn id="23" xr3:uid="{00000000-0010-0000-0200-000017000000}" name="22" totalsRowFunction="count" dataDxfId="775" totalsRowDxfId="307"/>
    <tableColumn id="24" xr3:uid="{00000000-0010-0000-0200-000018000000}" name="23" totalsRowFunction="count" dataDxfId="774" totalsRowDxfId="306"/>
    <tableColumn id="25" xr3:uid="{00000000-0010-0000-0200-000019000000}" name="24" totalsRowFunction="count" dataDxfId="773" totalsRowDxfId="305"/>
    <tableColumn id="26" xr3:uid="{00000000-0010-0000-0200-00001A000000}" name="25" totalsRowFunction="count" dataDxfId="772" totalsRowDxfId="304"/>
    <tableColumn id="27" xr3:uid="{00000000-0010-0000-0200-00001B000000}" name="26" totalsRowFunction="count" dataDxfId="771" totalsRowDxfId="303"/>
    <tableColumn id="28" xr3:uid="{00000000-0010-0000-0200-00001C000000}" name="27" totalsRowFunction="count" dataDxfId="770" totalsRowDxfId="302"/>
    <tableColumn id="29" xr3:uid="{00000000-0010-0000-0200-00001D000000}" name="28" totalsRowFunction="count" dataDxfId="769" totalsRowDxfId="301"/>
    <tableColumn id="30" xr3:uid="{00000000-0010-0000-0200-00001E000000}" name="29" totalsRowFunction="count" dataDxfId="768" totalsRowDxfId="300"/>
    <tableColumn id="31" xr3:uid="{00000000-0010-0000-0200-00001F000000}" name="30" totalsRowFunction="count" dataDxfId="767" totalsRowDxfId="299"/>
    <tableColumn id="32" xr3:uid="{00000000-0010-0000-0200-000020000000}" name="31" totalsRowFunction="count" dataDxfId="766" totalsRowDxfId="298"/>
    <tableColumn id="33" xr3:uid="{00000000-0010-0000-0200-000021000000}" name="Total de Dias" totalsRowFunction="sum" dataDxfId="765" totalsRowDxfId="297">
      <calculatedColumnFormula>COUNTA(Março[[#This Row],[1]:[31]])</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3000000}" name="Abril" displayName="Abril" ref="B6:AH12" totalsRowCount="1" headerRowDxfId="759" dataDxfId="758" totalsRowDxfId="757">
  <tableColumns count="33">
    <tableColumn id="1" xr3:uid="{00000000-0010-0000-0300-000001000000}" name="Nome do Funcionário" totalsRowFunction="custom" dataDxfId="756" totalsRowDxfId="296" dataCellStyle="Funcionário">
      <totalsRowFormula>"Total de "&amp;NomeMês</totalsRowFormula>
    </tableColumn>
    <tableColumn id="2" xr3:uid="{00000000-0010-0000-0300-000002000000}" name="1" totalsRowFunction="count" dataDxfId="755" totalsRowDxfId="295"/>
    <tableColumn id="3" xr3:uid="{00000000-0010-0000-0300-000003000000}" name="2" totalsRowFunction="count" dataDxfId="754" totalsRowDxfId="294"/>
    <tableColumn id="4" xr3:uid="{00000000-0010-0000-0300-000004000000}" name="3" totalsRowFunction="count" dataDxfId="753" totalsRowDxfId="293"/>
    <tableColumn id="5" xr3:uid="{00000000-0010-0000-0300-000005000000}" name="4" totalsRowFunction="count" dataDxfId="752" totalsRowDxfId="292"/>
    <tableColumn id="6" xr3:uid="{00000000-0010-0000-0300-000006000000}" name="5" totalsRowFunction="count" dataDxfId="751" totalsRowDxfId="291"/>
    <tableColumn id="7" xr3:uid="{00000000-0010-0000-0300-000007000000}" name="6" totalsRowFunction="count" dataDxfId="750" totalsRowDxfId="290"/>
    <tableColumn id="8" xr3:uid="{00000000-0010-0000-0300-000008000000}" name="7" totalsRowFunction="count" dataDxfId="749" totalsRowDxfId="289"/>
    <tableColumn id="9" xr3:uid="{00000000-0010-0000-0300-000009000000}" name="8" totalsRowFunction="count" dataDxfId="748" totalsRowDxfId="288"/>
    <tableColumn id="10" xr3:uid="{00000000-0010-0000-0300-00000A000000}" name="9" totalsRowFunction="count" dataDxfId="747" totalsRowDxfId="287"/>
    <tableColumn id="11" xr3:uid="{00000000-0010-0000-0300-00000B000000}" name="10" totalsRowFunction="count" dataDxfId="746" totalsRowDxfId="286"/>
    <tableColumn id="12" xr3:uid="{00000000-0010-0000-0300-00000C000000}" name="11" totalsRowFunction="count" dataDxfId="745" totalsRowDxfId="285"/>
    <tableColumn id="13" xr3:uid="{00000000-0010-0000-0300-00000D000000}" name="12" totalsRowFunction="count" dataDxfId="744" totalsRowDxfId="284"/>
    <tableColumn id="14" xr3:uid="{00000000-0010-0000-0300-00000E000000}" name="13" totalsRowFunction="count" dataDxfId="743" totalsRowDxfId="283"/>
    <tableColumn id="15" xr3:uid="{00000000-0010-0000-0300-00000F000000}" name="14" totalsRowFunction="count" dataDxfId="742" totalsRowDxfId="282"/>
    <tableColumn id="16" xr3:uid="{00000000-0010-0000-0300-000010000000}" name="15" totalsRowFunction="count" dataDxfId="741" totalsRowDxfId="281"/>
    <tableColumn id="17" xr3:uid="{00000000-0010-0000-0300-000011000000}" name="16" totalsRowFunction="count" dataDxfId="740" totalsRowDxfId="280"/>
    <tableColumn id="18" xr3:uid="{00000000-0010-0000-0300-000012000000}" name="17" totalsRowFunction="count" dataDxfId="739" totalsRowDxfId="279"/>
    <tableColumn id="19" xr3:uid="{00000000-0010-0000-0300-000013000000}" name="18" totalsRowFunction="count" dataDxfId="738" totalsRowDxfId="278"/>
    <tableColumn id="20" xr3:uid="{00000000-0010-0000-0300-000014000000}" name="19" totalsRowFunction="count" dataDxfId="737" totalsRowDxfId="277"/>
    <tableColumn id="21" xr3:uid="{00000000-0010-0000-0300-000015000000}" name="20" totalsRowFunction="count" dataDxfId="736" totalsRowDxfId="276"/>
    <tableColumn id="22" xr3:uid="{00000000-0010-0000-0300-000016000000}" name="21" totalsRowFunction="count" dataDxfId="735" totalsRowDxfId="275"/>
    <tableColumn id="23" xr3:uid="{00000000-0010-0000-0300-000017000000}" name="22" totalsRowFunction="count" dataDxfId="734" totalsRowDxfId="274"/>
    <tableColumn id="24" xr3:uid="{00000000-0010-0000-0300-000018000000}" name="23" totalsRowFunction="count" dataDxfId="733" totalsRowDxfId="273"/>
    <tableColumn id="25" xr3:uid="{00000000-0010-0000-0300-000019000000}" name="24" totalsRowFunction="count" dataDxfId="732" totalsRowDxfId="272"/>
    <tableColumn id="26" xr3:uid="{00000000-0010-0000-0300-00001A000000}" name="25" totalsRowFunction="count" dataDxfId="731" totalsRowDxfId="271"/>
    <tableColumn id="27" xr3:uid="{00000000-0010-0000-0300-00001B000000}" name="26" totalsRowFunction="count" dataDxfId="730" totalsRowDxfId="270"/>
    <tableColumn id="28" xr3:uid="{00000000-0010-0000-0300-00001C000000}" name="27" totalsRowFunction="count" dataDxfId="729" totalsRowDxfId="269"/>
    <tableColumn id="29" xr3:uid="{00000000-0010-0000-0300-00001D000000}" name="28" totalsRowFunction="count" dataDxfId="728" totalsRowDxfId="268"/>
    <tableColumn id="30" xr3:uid="{00000000-0010-0000-0300-00001E000000}" name="29" totalsRowFunction="count" dataDxfId="727" totalsRowDxfId="267"/>
    <tableColumn id="31" xr3:uid="{00000000-0010-0000-0300-00001F000000}" name="30" totalsRowFunction="count" dataDxfId="726" totalsRowDxfId="266"/>
    <tableColumn id="32" xr3:uid="{00000000-0010-0000-0300-000020000000}" name=" " totalsRowFunction="custom" dataDxfId="725" totalsRowDxfId="265">
      <totalsRowFormula>SUBTOTAL(103,Abril[30])</totalsRowFormula>
    </tableColumn>
    <tableColumn id="33" xr3:uid="{00000000-0010-0000-0300-000021000000}" name="Total de Dias" totalsRowFunction="sum" dataDxfId="724" totalsRowDxfId="264">
      <calculatedColumnFormula>COUNTA(Abril[[#This Row],[1]:[30]])</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4000000}" name="Maio" displayName="Maio" ref="B6:AH12" totalsRowCount="1" headerRowDxfId="718" dataDxfId="717" totalsRowDxfId="716">
  <tableColumns count="33">
    <tableColumn id="1" xr3:uid="{00000000-0010-0000-0400-000001000000}" name="Nome do Funcionário" totalsRowFunction="custom" dataDxfId="715" totalsRowDxfId="263" dataCellStyle="Funcionário">
      <totalsRowFormula>"Total de "&amp;NomeMês</totalsRowFormula>
    </tableColumn>
    <tableColumn id="2" xr3:uid="{00000000-0010-0000-0400-000002000000}" name="1" totalsRowFunction="count" dataDxfId="714" totalsRowDxfId="262"/>
    <tableColumn id="3" xr3:uid="{00000000-0010-0000-0400-000003000000}" name="2" totalsRowFunction="count" dataDxfId="713" totalsRowDxfId="261"/>
    <tableColumn id="4" xr3:uid="{00000000-0010-0000-0400-000004000000}" name="3" totalsRowFunction="count" dataDxfId="712" totalsRowDxfId="260"/>
    <tableColumn id="5" xr3:uid="{00000000-0010-0000-0400-000005000000}" name="4" totalsRowFunction="count" dataDxfId="711" totalsRowDxfId="259"/>
    <tableColumn id="6" xr3:uid="{00000000-0010-0000-0400-000006000000}" name="5" totalsRowFunction="count" dataDxfId="710" totalsRowDxfId="258"/>
    <tableColumn id="7" xr3:uid="{00000000-0010-0000-0400-000007000000}" name="6" totalsRowFunction="count" dataDxfId="709" totalsRowDxfId="257"/>
    <tableColumn id="8" xr3:uid="{00000000-0010-0000-0400-000008000000}" name="7" totalsRowFunction="count" dataDxfId="708" totalsRowDxfId="256"/>
    <tableColumn id="9" xr3:uid="{00000000-0010-0000-0400-000009000000}" name="8" totalsRowFunction="count" dataDxfId="707" totalsRowDxfId="255"/>
    <tableColumn id="10" xr3:uid="{00000000-0010-0000-0400-00000A000000}" name="9" totalsRowFunction="count" dataDxfId="706" totalsRowDxfId="254"/>
    <tableColumn id="11" xr3:uid="{00000000-0010-0000-0400-00000B000000}" name="10" totalsRowFunction="count" dataDxfId="705" totalsRowDxfId="253"/>
    <tableColumn id="12" xr3:uid="{00000000-0010-0000-0400-00000C000000}" name="11" totalsRowFunction="count" dataDxfId="704" totalsRowDxfId="252"/>
    <tableColumn id="13" xr3:uid="{00000000-0010-0000-0400-00000D000000}" name="12" totalsRowFunction="count" dataDxfId="703" totalsRowDxfId="251"/>
    <tableColumn id="14" xr3:uid="{00000000-0010-0000-0400-00000E000000}" name="13" totalsRowFunction="count" dataDxfId="702" totalsRowDxfId="250"/>
    <tableColumn id="15" xr3:uid="{00000000-0010-0000-0400-00000F000000}" name="14" totalsRowFunction="count" dataDxfId="701" totalsRowDxfId="249"/>
    <tableColumn id="16" xr3:uid="{00000000-0010-0000-0400-000010000000}" name="15" totalsRowFunction="count" dataDxfId="700" totalsRowDxfId="248"/>
    <tableColumn id="17" xr3:uid="{00000000-0010-0000-0400-000011000000}" name="16" totalsRowFunction="count" dataDxfId="699" totalsRowDxfId="247"/>
    <tableColumn id="18" xr3:uid="{00000000-0010-0000-0400-000012000000}" name="17" totalsRowFunction="count" dataDxfId="698" totalsRowDxfId="246"/>
    <tableColumn id="19" xr3:uid="{00000000-0010-0000-0400-000013000000}" name="18" totalsRowFunction="count" dataDxfId="697" totalsRowDxfId="245"/>
    <tableColumn id="20" xr3:uid="{00000000-0010-0000-0400-000014000000}" name="19" totalsRowFunction="count" dataDxfId="696" totalsRowDxfId="244"/>
    <tableColumn id="21" xr3:uid="{00000000-0010-0000-0400-000015000000}" name="20" totalsRowFunction="count" dataDxfId="695" totalsRowDxfId="243"/>
    <tableColumn id="22" xr3:uid="{00000000-0010-0000-0400-000016000000}" name="21" totalsRowFunction="count" dataDxfId="694" totalsRowDxfId="242"/>
    <tableColumn id="23" xr3:uid="{00000000-0010-0000-0400-000017000000}" name="22" totalsRowFunction="count" dataDxfId="693" totalsRowDxfId="241"/>
    <tableColumn id="24" xr3:uid="{00000000-0010-0000-0400-000018000000}" name="23" totalsRowFunction="count" dataDxfId="692" totalsRowDxfId="240"/>
    <tableColumn id="25" xr3:uid="{00000000-0010-0000-0400-000019000000}" name="24" totalsRowFunction="count" dataDxfId="691" totalsRowDxfId="239"/>
    <tableColumn id="26" xr3:uid="{00000000-0010-0000-0400-00001A000000}" name="25" totalsRowFunction="count" dataDxfId="690" totalsRowDxfId="238"/>
    <tableColumn id="27" xr3:uid="{00000000-0010-0000-0400-00001B000000}" name="26" totalsRowFunction="count" dataDxfId="689" totalsRowDxfId="237"/>
    <tableColumn id="28" xr3:uid="{00000000-0010-0000-0400-00001C000000}" name="27" totalsRowFunction="count" dataDxfId="688" totalsRowDxfId="236"/>
    <tableColumn id="29" xr3:uid="{00000000-0010-0000-0400-00001D000000}" name="28" totalsRowFunction="count" dataDxfId="687" totalsRowDxfId="235"/>
    <tableColumn id="30" xr3:uid="{00000000-0010-0000-0400-00001E000000}" name="29" totalsRowFunction="count" dataDxfId="686" totalsRowDxfId="234"/>
    <tableColumn id="31" xr3:uid="{00000000-0010-0000-0400-00001F000000}" name="30" totalsRowFunction="count" dataDxfId="685" totalsRowDxfId="233"/>
    <tableColumn id="32" xr3:uid="{00000000-0010-0000-0400-000020000000}" name="31" totalsRowFunction="count" dataDxfId="684" totalsRowDxfId="232"/>
    <tableColumn id="33" xr3:uid="{00000000-0010-0000-0400-000021000000}" name="Total de Dias" totalsRowFunction="sum" dataDxfId="683" totalsRowDxfId="231">
      <calculatedColumnFormula>COUNTA(Maio[[#This Row],[1]:[31]])</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5000000}" name="Junho" displayName="Junho" ref="B6:AH12" totalsRowCount="1" headerRowDxfId="677" dataDxfId="676" totalsRowDxfId="675">
  <tableColumns count="33">
    <tableColumn id="1" xr3:uid="{00000000-0010-0000-0500-000001000000}" name="Nome do Funcionário" totalsRowFunction="custom" dataDxfId="674" totalsRowDxfId="230" dataCellStyle="Funcionário">
      <totalsRowFormula>"Total de "&amp;NomeMês</totalsRowFormula>
    </tableColumn>
    <tableColumn id="2" xr3:uid="{00000000-0010-0000-0500-000002000000}" name="1" totalsRowFunction="count" dataDxfId="673" totalsRowDxfId="229"/>
    <tableColumn id="3" xr3:uid="{00000000-0010-0000-0500-000003000000}" name="2" totalsRowFunction="count" dataDxfId="672" totalsRowDxfId="228"/>
    <tableColumn id="4" xr3:uid="{00000000-0010-0000-0500-000004000000}" name="3" totalsRowFunction="count" dataDxfId="671" totalsRowDxfId="227"/>
    <tableColumn id="5" xr3:uid="{00000000-0010-0000-0500-000005000000}" name="4" totalsRowFunction="count" dataDxfId="670" totalsRowDxfId="226"/>
    <tableColumn id="6" xr3:uid="{00000000-0010-0000-0500-000006000000}" name="5" totalsRowFunction="count" dataDxfId="669" totalsRowDxfId="225"/>
    <tableColumn id="7" xr3:uid="{00000000-0010-0000-0500-000007000000}" name="6" totalsRowFunction="count" dataDxfId="668" totalsRowDxfId="224"/>
    <tableColumn id="8" xr3:uid="{00000000-0010-0000-0500-000008000000}" name="7" totalsRowFunction="count" dataDxfId="667" totalsRowDxfId="223"/>
    <tableColumn id="9" xr3:uid="{00000000-0010-0000-0500-000009000000}" name="8" totalsRowFunction="count" dataDxfId="666" totalsRowDxfId="222"/>
    <tableColumn id="10" xr3:uid="{00000000-0010-0000-0500-00000A000000}" name="9" totalsRowFunction="count" dataDxfId="665" totalsRowDxfId="221"/>
    <tableColumn id="11" xr3:uid="{00000000-0010-0000-0500-00000B000000}" name="10" totalsRowFunction="count" dataDxfId="664" totalsRowDxfId="220"/>
    <tableColumn id="12" xr3:uid="{00000000-0010-0000-0500-00000C000000}" name="11" totalsRowFunction="count" dataDxfId="663" totalsRowDxfId="219"/>
    <tableColumn id="13" xr3:uid="{00000000-0010-0000-0500-00000D000000}" name="12" totalsRowFunction="count" dataDxfId="662" totalsRowDxfId="218"/>
    <tableColumn id="14" xr3:uid="{00000000-0010-0000-0500-00000E000000}" name="13" totalsRowFunction="count" dataDxfId="661" totalsRowDxfId="217"/>
    <tableColumn id="15" xr3:uid="{00000000-0010-0000-0500-00000F000000}" name="14" totalsRowFunction="count" dataDxfId="660" totalsRowDxfId="216"/>
    <tableColumn id="16" xr3:uid="{00000000-0010-0000-0500-000010000000}" name="15" totalsRowFunction="count" dataDxfId="659" totalsRowDxfId="215"/>
    <tableColumn id="17" xr3:uid="{00000000-0010-0000-0500-000011000000}" name="16" totalsRowFunction="count" dataDxfId="658" totalsRowDxfId="214"/>
    <tableColumn id="18" xr3:uid="{00000000-0010-0000-0500-000012000000}" name="17" totalsRowFunction="count" dataDxfId="657" totalsRowDxfId="213"/>
    <tableColumn id="19" xr3:uid="{00000000-0010-0000-0500-000013000000}" name="18" totalsRowFunction="count" dataDxfId="656" totalsRowDxfId="212"/>
    <tableColumn id="20" xr3:uid="{00000000-0010-0000-0500-000014000000}" name="19" totalsRowFunction="count" dataDxfId="655" totalsRowDxfId="211"/>
    <tableColumn id="21" xr3:uid="{00000000-0010-0000-0500-000015000000}" name="20" totalsRowFunction="count" dataDxfId="654" totalsRowDxfId="210"/>
    <tableColumn id="22" xr3:uid="{00000000-0010-0000-0500-000016000000}" name="21" totalsRowFunction="count" dataDxfId="653" totalsRowDxfId="209"/>
    <tableColumn id="23" xr3:uid="{00000000-0010-0000-0500-000017000000}" name="22" totalsRowFunction="count" dataDxfId="652" totalsRowDxfId="208"/>
    <tableColumn id="24" xr3:uid="{00000000-0010-0000-0500-000018000000}" name="23" totalsRowFunction="count" dataDxfId="651" totalsRowDxfId="207"/>
    <tableColumn id="25" xr3:uid="{00000000-0010-0000-0500-000019000000}" name="24" totalsRowFunction="count" dataDxfId="650" totalsRowDxfId="206"/>
    <tableColumn id="26" xr3:uid="{00000000-0010-0000-0500-00001A000000}" name="25" totalsRowFunction="count" dataDxfId="649" totalsRowDxfId="205"/>
    <tableColumn id="27" xr3:uid="{00000000-0010-0000-0500-00001B000000}" name="26" totalsRowFunction="count" dataDxfId="648" totalsRowDxfId="204"/>
    <tableColumn id="28" xr3:uid="{00000000-0010-0000-0500-00001C000000}" name="27" totalsRowFunction="count" dataDxfId="647" totalsRowDxfId="203"/>
    <tableColumn id="29" xr3:uid="{00000000-0010-0000-0500-00001D000000}" name="28" totalsRowFunction="count" dataDxfId="646" totalsRowDxfId="202"/>
    <tableColumn id="30" xr3:uid="{00000000-0010-0000-0500-00001E000000}" name="29" totalsRowFunction="count" dataDxfId="645" totalsRowDxfId="201"/>
    <tableColumn id="31" xr3:uid="{00000000-0010-0000-0500-00001F000000}" name="30" totalsRowFunction="count" dataDxfId="644" totalsRowDxfId="200"/>
    <tableColumn id="32" xr3:uid="{00000000-0010-0000-0500-000020000000}" name=" " totalsRowFunction="count" dataDxfId="643" totalsRowDxfId="199"/>
    <tableColumn id="33" xr3:uid="{00000000-0010-0000-0500-000021000000}" name="Total de Dias" totalsRowFunction="sum" dataDxfId="642" totalsRowDxfId="198">
      <calculatedColumnFormula>COUNTA(Junho[[#This Row],[1]:[30]])</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6000000}" name="Julho" displayName="Julho" ref="B6:AH12" totalsRowCount="1" headerRowDxfId="636" dataDxfId="635" totalsRowDxfId="634">
  <tableColumns count="33">
    <tableColumn id="1" xr3:uid="{00000000-0010-0000-0600-000001000000}" name="Nome do Funcionário" totalsRowFunction="custom" dataDxfId="633" totalsRowDxfId="197" dataCellStyle="Funcionário">
      <totalsRowFormula>"Total de "&amp;NomeMês</totalsRowFormula>
    </tableColumn>
    <tableColumn id="2" xr3:uid="{00000000-0010-0000-0600-000002000000}" name="1" totalsRowFunction="count" dataDxfId="632" totalsRowDxfId="196"/>
    <tableColumn id="3" xr3:uid="{00000000-0010-0000-0600-000003000000}" name="2" totalsRowFunction="count" dataDxfId="631" totalsRowDxfId="195"/>
    <tableColumn id="4" xr3:uid="{00000000-0010-0000-0600-000004000000}" name="3" totalsRowFunction="count" dataDxfId="630" totalsRowDxfId="194"/>
    <tableColumn id="5" xr3:uid="{00000000-0010-0000-0600-000005000000}" name="4" totalsRowFunction="count" dataDxfId="629" totalsRowDxfId="193"/>
    <tableColumn id="6" xr3:uid="{00000000-0010-0000-0600-000006000000}" name="5" totalsRowFunction="count" dataDxfId="628" totalsRowDxfId="192"/>
    <tableColumn id="7" xr3:uid="{00000000-0010-0000-0600-000007000000}" name="6" totalsRowFunction="count" dataDxfId="627" totalsRowDxfId="191"/>
    <tableColumn id="8" xr3:uid="{00000000-0010-0000-0600-000008000000}" name="7" totalsRowFunction="count" dataDxfId="626" totalsRowDxfId="190"/>
    <tableColumn id="9" xr3:uid="{00000000-0010-0000-0600-000009000000}" name="8" totalsRowFunction="count" dataDxfId="625" totalsRowDxfId="189"/>
    <tableColumn id="10" xr3:uid="{00000000-0010-0000-0600-00000A000000}" name="9" totalsRowFunction="count" dataDxfId="624" totalsRowDxfId="188"/>
    <tableColumn id="11" xr3:uid="{00000000-0010-0000-0600-00000B000000}" name="10" totalsRowFunction="count" dataDxfId="623" totalsRowDxfId="187"/>
    <tableColumn id="12" xr3:uid="{00000000-0010-0000-0600-00000C000000}" name="11" totalsRowFunction="count" dataDxfId="622" totalsRowDxfId="186"/>
    <tableColumn id="13" xr3:uid="{00000000-0010-0000-0600-00000D000000}" name="12" totalsRowFunction="count" dataDxfId="621" totalsRowDxfId="185"/>
    <tableColumn id="14" xr3:uid="{00000000-0010-0000-0600-00000E000000}" name="13" totalsRowFunction="count" dataDxfId="620" totalsRowDxfId="184"/>
    <tableColumn id="15" xr3:uid="{00000000-0010-0000-0600-00000F000000}" name="14" totalsRowFunction="count" dataDxfId="619" totalsRowDxfId="183"/>
    <tableColumn id="16" xr3:uid="{00000000-0010-0000-0600-000010000000}" name="15" totalsRowFunction="count" dataDxfId="618" totalsRowDxfId="182"/>
    <tableColumn id="17" xr3:uid="{00000000-0010-0000-0600-000011000000}" name="16" totalsRowFunction="count" dataDxfId="617" totalsRowDxfId="181"/>
    <tableColumn id="18" xr3:uid="{00000000-0010-0000-0600-000012000000}" name="17" totalsRowFunction="count" dataDxfId="616" totalsRowDxfId="180"/>
    <tableColumn id="19" xr3:uid="{00000000-0010-0000-0600-000013000000}" name="18" totalsRowFunction="count" dataDxfId="615" totalsRowDxfId="179"/>
    <tableColumn id="20" xr3:uid="{00000000-0010-0000-0600-000014000000}" name="19" totalsRowFunction="count" dataDxfId="614" totalsRowDxfId="178"/>
    <tableColumn id="21" xr3:uid="{00000000-0010-0000-0600-000015000000}" name="20" totalsRowFunction="count" dataDxfId="613" totalsRowDxfId="177"/>
    <tableColumn id="22" xr3:uid="{00000000-0010-0000-0600-000016000000}" name="21" totalsRowFunction="count" dataDxfId="612" totalsRowDxfId="176"/>
    <tableColumn id="23" xr3:uid="{00000000-0010-0000-0600-000017000000}" name="22" totalsRowFunction="count" dataDxfId="611" totalsRowDxfId="175"/>
    <tableColumn id="24" xr3:uid="{00000000-0010-0000-0600-000018000000}" name="23" totalsRowFunction="count" dataDxfId="610" totalsRowDxfId="174"/>
    <tableColumn id="25" xr3:uid="{00000000-0010-0000-0600-000019000000}" name="24" totalsRowFunction="count" dataDxfId="609" totalsRowDxfId="173"/>
    <tableColumn id="26" xr3:uid="{00000000-0010-0000-0600-00001A000000}" name="25" totalsRowFunction="count" dataDxfId="608" totalsRowDxfId="172"/>
    <tableColumn id="27" xr3:uid="{00000000-0010-0000-0600-00001B000000}" name="26" totalsRowFunction="count" dataDxfId="607" totalsRowDxfId="171"/>
    <tableColumn id="28" xr3:uid="{00000000-0010-0000-0600-00001C000000}" name="27" totalsRowFunction="count" dataDxfId="606" totalsRowDxfId="170"/>
    <tableColumn id="29" xr3:uid="{00000000-0010-0000-0600-00001D000000}" name="28" totalsRowFunction="count" dataDxfId="605" totalsRowDxfId="169"/>
    <tableColumn id="30" xr3:uid="{00000000-0010-0000-0600-00001E000000}" name="29" totalsRowFunction="count" dataDxfId="604" totalsRowDxfId="168"/>
    <tableColumn id="31" xr3:uid="{00000000-0010-0000-0600-00001F000000}" name="30" totalsRowFunction="count" dataDxfId="603" totalsRowDxfId="167"/>
    <tableColumn id="32" xr3:uid="{00000000-0010-0000-0600-000020000000}" name="31" totalsRowFunction="count" dataDxfId="602" totalsRowDxfId="166"/>
    <tableColumn id="33" xr3:uid="{00000000-0010-0000-0600-000021000000}" name="Total de Dias" totalsRowFunction="sum" dataDxfId="601" totalsRowDxfId="165">
      <calculatedColumnFormula>COUNTA(Julho[[#This Row],[1]:[31]])</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7000000}" name="Agosto" displayName="Agosto" ref="B6:AH12" totalsRowCount="1" headerRowDxfId="595" dataDxfId="594" totalsRowDxfId="593">
  <tableColumns count="33">
    <tableColumn id="1" xr3:uid="{00000000-0010-0000-0700-000001000000}" name="Nome do Funcionário" totalsRowFunction="custom" dataDxfId="592" totalsRowDxfId="164" dataCellStyle="Funcionário">
      <totalsRowFormula>"Total de "&amp;NomeMês</totalsRowFormula>
    </tableColumn>
    <tableColumn id="2" xr3:uid="{00000000-0010-0000-0700-000002000000}" name="1" totalsRowFunction="count" dataDxfId="591" totalsRowDxfId="163"/>
    <tableColumn id="3" xr3:uid="{00000000-0010-0000-0700-000003000000}" name="2" totalsRowFunction="count" dataDxfId="590" totalsRowDxfId="162"/>
    <tableColumn id="4" xr3:uid="{00000000-0010-0000-0700-000004000000}" name="3" totalsRowFunction="count" dataDxfId="589" totalsRowDxfId="161"/>
    <tableColumn id="5" xr3:uid="{00000000-0010-0000-0700-000005000000}" name="4" totalsRowFunction="count" dataDxfId="588" totalsRowDxfId="160"/>
    <tableColumn id="6" xr3:uid="{00000000-0010-0000-0700-000006000000}" name="5" totalsRowFunction="count" dataDxfId="587" totalsRowDxfId="159"/>
    <tableColumn id="7" xr3:uid="{00000000-0010-0000-0700-000007000000}" name="6" totalsRowFunction="count" dataDxfId="586" totalsRowDxfId="158"/>
    <tableColumn id="8" xr3:uid="{00000000-0010-0000-0700-000008000000}" name="7" totalsRowFunction="count" dataDxfId="585" totalsRowDxfId="157"/>
    <tableColumn id="9" xr3:uid="{00000000-0010-0000-0700-000009000000}" name="8" totalsRowFunction="count" dataDxfId="584" totalsRowDxfId="156"/>
    <tableColumn id="10" xr3:uid="{00000000-0010-0000-0700-00000A000000}" name="9" totalsRowFunction="count" dataDxfId="583" totalsRowDxfId="155"/>
    <tableColumn id="11" xr3:uid="{00000000-0010-0000-0700-00000B000000}" name="10" totalsRowFunction="count" dataDxfId="582" totalsRowDxfId="154"/>
    <tableColumn id="12" xr3:uid="{00000000-0010-0000-0700-00000C000000}" name="11" totalsRowFunction="count" dataDxfId="581" totalsRowDxfId="153"/>
    <tableColumn id="13" xr3:uid="{00000000-0010-0000-0700-00000D000000}" name="12" totalsRowFunction="count" dataDxfId="580" totalsRowDxfId="152"/>
    <tableColumn id="14" xr3:uid="{00000000-0010-0000-0700-00000E000000}" name="13" totalsRowFunction="count" dataDxfId="579" totalsRowDxfId="151"/>
    <tableColumn id="15" xr3:uid="{00000000-0010-0000-0700-00000F000000}" name="14" totalsRowFunction="count" dataDxfId="578" totalsRowDxfId="150"/>
    <tableColumn id="16" xr3:uid="{00000000-0010-0000-0700-000010000000}" name="15" totalsRowFunction="count" dataDxfId="577" totalsRowDxfId="149"/>
    <tableColumn id="17" xr3:uid="{00000000-0010-0000-0700-000011000000}" name="16" totalsRowFunction="count" dataDxfId="576" totalsRowDxfId="148"/>
    <tableColumn id="18" xr3:uid="{00000000-0010-0000-0700-000012000000}" name="17" totalsRowFunction="count" dataDxfId="575" totalsRowDxfId="147"/>
    <tableColumn id="19" xr3:uid="{00000000-0010-0000-0700-000013000000}" name="18" totalsRowFunction="count" dataDxfId="574" totalsRowDxfId="146"/>
    <tableColumn id="20" xr3:uid="{00000000-0010-0000-0700-000014000000}" name="19" totalsRowFunction="count" dataDxfId="573" totalsRowDxfId="145"/>
    <tableColumn id="21" xr3:uid="{00000000-0010-0000-0700-000015000000}" name="20" totalsRowFunction="count" dataDxfId="572" totalsRowDxfId="144"/>
    <tableColumn id="22" xr3:uid="{00000000-0010-0000-0700-000016000000}" name="21" totalsRowFunction="count" dataDxfId="571" totalsRowDxfId="143"/>
    <tableColumn id="23" xr3:uid="{00000000-0010-0000-0700-000017000000}" name="22" totalsRowFunction="count" dataDxfId="570" totalsRowDxfId="142"/>
    <tableColumn id="24" xr3:uid="{00000000-0010-0000-0700-000018000000}" name="23" totalsRowFunction="count" dataDxfId="569" totalsRowDxfId="141"/>
    <tableColumn id="25" xr3:uid="{00000000-0010-0000-0700-000019000000}" name="24" totalsRowFunction="count" dataDxfId="568" totalsRowDxfId="140"/>
    <tableColumn id="26" xr3:uid="{00000000-0010-0000-0700-00001A000000}" name="25" totalsRowFunction="count" dataDxfId="567" totalsRowDxfId="139"/>
    <tableColumn id="27" xr3:uid="{00000000-0010-0000-0700-00001B000000}" name="26" totalsRowFunction="count" dataDxfId="566" totalsRowDxfId="138"/>
    <tableColumn id="28" xr3:uid="{00000000-0010-0000-0700-00001C000000}" name="27" totalsRowFunction="count" dataDxfId="565" totalsRowDxfId="137"/>
    <tableColumn id="29" xr3:uid="{00000000-0010-0000-0700-00001D000000}" name="28" totalsRowFunction="count" dataDxfId="564" totalsRowDxfId="136"/>
    <tableColumn id="30" xr3:uid="{00000000-0010-0000-0700-00001E000000}" name="29" totalsRowFunction="count" dataDxfId="563" totalsRowDxfId="135"/>
    <tableColumn id="31" xr3:uid="{00000000-0010-0000-0700-00001F000000}" name="30" totalsRowFunction="count" dataDxfId="562" totalsRowDxfId="134"/>
    <tableColumn id="32" xr3:uid="{00000000-0010-0000-0700-000020000000}" name="31" totalsRowFunction="count" dataDxfId="561" totalsRowDxfId="133"/>
    <tableColumn id="33" xr3:uid="{00000000-0010-0000-0700-000021000000}" name="Total de Dias" totalsRowFunction="sum" dataDxfId="560" totalsRowDxfId="132">
      <calculatedColumnFormula>COUNTA(Agosto[[#This Row],[1]:[31]])</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8000000}" name="Setembro" displayName="Setembro" ref="B6:AH12" totalsRowCount="1" headerRowDxfId="554" dataDxfId="553" totalsRowDxfId="552">
  <tableColumns count="33">
    <tableColumn id="1" xr3:uid="{00000000-0010-0000-0800-000001000000}" name="Nome do Funcionário" totalsRowFunction="custom" dataDxfId="551" totalsRowDxfId="131" dataCellStyle="Funcionário">
      <totalsRowFormula>"Total de "&amp;NomeMês</totalsRowFormula>
    </tableColumn>
    <tableColumn id="2" xr3:uid="{00000000-0010-0000-0800-000002000000}" name="1" totalsRowFunction="count" dataDxfId="550" totalsRowDxfId="130"/>
    <tableColumn id="3" xr3:uid="{00000000-0010-0000-0800-000003000000}" name="2" totalsRowFunction="count" dataDxfId="549" totalsRowDxfId="129"/>
    <tableColumn id="4" xr3:uid="{00000000-0010-0000-0800-000004000000}" name="3" totalsRowFunction="count" dataDxfId="548" totalsRowDxfId="128"/>
    <tableColumn id="5" xr3:uid="{00000000-0010-0000-0800-000005000000}" name="4" totalsRowFunction="count" dataDxfId="547" totalsRowDxfId="127"/>
    <tableColumn id="6" xr3:uid="{00000000-0010-0000-0800-000006000000}" name="5" totalsRowFunction="count" dataDxfId="546" totalsRowDxfId="126"/>
    <tableColumn id="7" xr3:uid="{00000000-0010-0000-0800-000007000000}" name="6" totalsRowFunction="count" dataDxfId="545" totalsRowDxfId="125"/>
    <tableColumn id="8" xr3:uid="{00000000-0010-0000-0800-000008000000}" name="7" totalsRowFunction="count" dataDxfId="544" totalsRowDxfId="124"/>
    <tableColumn id="9" xr3:uid="{00000000-0010-0000-0800-000009000000}" name="8" totalsRowFunction="count" dataDxfId="543" totalsRowDxfId="123"/>
    <tableColumn id="10" xr3:uid="{00000000-0010-0000-0800-00000A000000}" name="9" totalsRowFunction="count" dataDxfId="542" totalsRowDxfId="122"/>
    <tableColumn id="11" xr3:uid="{00000000-0010-0000-0800-00000B000000}" name="10" totalsRowFunction="count" dataDxfId="541" totalsRowDxfId="121"/>
    <tableColumn id="12" xr3:uid="{00000000-0010-0000-0800-00000C000000}" name="11" totalsRowFunction="count" dataDxfId="540" totalsRowDxfId="120"/>
    <tableColumn id="13" xr3:uid="{00000000-0010-0000-0800-00000D000000}" name="12" totalsRowFunction="count" dataDxfId="539" totalsRowDxfId="119"/>
    <tableColumn id="14" xr3:uid="{00000000-0010-0000-0800-00000E000000}" name="13" totalsRowFunction="count" dataDxfId="538" totalsRowDxfId="118"/>
    <tableColumn id="15" xr3:uid="{00000000-0010-0000-0800-00000F000000}" name="14" totalsRowFunction="count" dataDxfId="537" totalsRowDxfId="117"/>
    <tableColumn id="16" xr3:uid="{00000000-0010-0000-0800-000010000000}" name="15" totalsRowFunction="count" dataDxfId="536" totalsRowDxfId="116"/>
    <tableColumn id="17" xr3:uid="{00000000-0010-0000-0800-000011000000}" name="16" totalsRowFunction="count" dataDxfId="535" totalsRowDxfId="115"/>
    <tableColumn id="18" xr3:uid="{00000000-0010-0000-0800-000012000000}" name="17" totalsRowFunction="count" dataDxfId="534" totalsRowDxfId="114"/>
    <tableColumn id="19" xr3:uid="{00000000-0010-0000-0800-000013000000}" name="18" totalsRowFunction="count" dataDxfId="533" totalsRowDxfId="113"/>
    <tableColumn id="20" xr3:uid="{00000000-0010-0000-0800-000014000000}" name="19" totalsRowFunction="count" dataDxfId="532" totalsRowDxfId="112"/>
    <tableColumn id="21" xr3:uid="{00000000-0010-0000-0800-000015000000}" name="20" totalsRowFunction="count" dataDxfId="531" totalsRowDxfId="111"/>
    <tableColumn id="22" xr3:uid="{00000000-0010-0000-0800-000016000000}" name="21" totalsRowFunction="count" dataDxfId="530" totalsRowDxfId="110"/>
    <tableColumn id="23" xr3:uid="{00000000-0010-0000-0800-000017000000}" name="22" totalsRowFunction="count" dataDxfId="529" totalsRowDxfId="109"/>
    <tableColumn id="24" xr3:uid="{00000000-0010-0000-0800-000018000000}" name="23" totalsRowFunction="count" dataDxfId="528" totalsRowDxfId="108"/>
    <tableColumn id="25" xr3:uid="{00000000-0010-0000-0800-000019000000}" name="24" totalsRowFunction="count" dataDxfId="527" totalsRowDxfId="107"/>
    <tableColumn id="26" xr3:uid="{00000000-0010-0000-0800-00001A000000}" name="25" totalsRowFunction="count" dataDxfId="526" totalsRowDxfId="106"/>
    <tableColumn id="27" xr3:uid="{00000000-0010-0000-0800-00001B000000}" name="26" totalsRowFunction="count" dataDxfId="525" totalsRowDxfId="105"/>
    <tableColumn id="28" xr3:uid="{00000000-0010-0000-0800-00001C000000}" name="27" totalsRowFunction="count" dataDxfId="524" totalsRowDxfId="104"/>
    <tableColumn id="29" xr3:uid="{00000000-0010-0000-0800-00001D000000}" name="28" totalsRowFunction="count" dataDxfId="523" totalsRowDxfId="103"/>
    <tableColumn id="30" xr3:uid="{00000000-0010-0000-0800-00001E000000}" name="29" totalsRowFunction="count" dataDxfId="522" totalsRowDxfId="102"/>
    <tableColumn id="31" xr3:uid="{00000000-0010-0000-0800-00001F000000}" name="30" totalsRowFunction="count" dataDxfId="521" totalsRowDxfId="101"/>
    <tableColumn id="32" xr3:uid="{00000000-0010-0000-0800-000020000000}" name=" " totalsRowFunction="count" dataDxfId="520" totalsRowDxfId="100"/>
    <tableColumn id="33" xr3:uid="{00000000-0010-0000-0800-000021000000}" name="Total de Dias" totalsRowFunction="sum" dataDxfId="519" totalsRowDxfId="99">
      <calculatedColumnFormula>COUNTA(Setembro[[#This Row],[1]:[30]])</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9000000}" name="Outubro" displayName="Outubro" ref="B6:AH12" totalsRowCount="1" headerRowDxfId="513" dataDxfId="512" totalsRowDxfId="511">
  <tableColumns count="33">
    <tableColumn id="1" xr3:uid="{00000000-0010-0000-0900-000001000000}" name="Nome do Funcionário" totalsRowFunction="custom" dataDxfId="510" totalsRowDxfId="98" dataCellStyle="Funcionário">
      <totalsRowFormula>"Total de "&amp;NomeMês</totalsRowFormula>
    </tableColumn>
    <tableColumn id="2" xr3:uid="{00000000-0010-0000-0900-000002000000}" name="1" totalsRowFunction="count" dataDxfId="509" totalsRowDxfId="97"/>
    <tableColumn id="3" xr3:uid="{00000000-0010-0000-0900-000003000000}" name="2" totalsRowFunction="count" dataDxfId="508" totalsRowDxfId="96"/>
    <tableColumn id="4" xr3:uid="{00000000-0010-0000-0900-000004000000}" name="3" totalsRowFunction="count" dataDxfId="507" totalsRowDxfId="95"/>
    <tableColumn id="5" xr3:uid="{00000000-0010-0000-0900-000005000000}" name="4" totalsRowFunction="count" dataDxfId="506" totalsRowDxfId="94"/>
    <tableColumn id="6" xr3:uid="{00000000-0010-0000-0900-000006000000}" name="5" totalsRowFunction="count" dataDxfId="505" totalsRowDxfId="93"/>
    <tableColumn id="7" xr3:uid="{00000000-0010-0000-0900-000007000000}" name="6" totalsRowFunction="count" dataDxfId="504" totalsRowDxfId="92"/>
    <tableColumn id="8" xr3:uid="{00000000-0010-0000-0900-000008000000}" name="7" totalsRowFunction="count" dataDxfId="503" totalsRowDxfId="91"/>
    <tableColumn id="9" xr3:uid="{00000000-0010-0000-0900-000009000000}" name="8" totalsRowFunction="count" dataDxfId="502" totalsRowDxfId="90"/>
    <tableColumn id="10" xr3:uid="{00000000-0010-0000-0900-00000A000000}" name="9" totalsRowFunction="count" dataDxfId="501" totalsRowDxfId="89"/>
    <tableColumn id="11" xr3:uid="{00000000-0010-0000-0900-00000B000000}" name="10" totalsRowFunction="count" dataDxfId="500" totalsRowDxfId="88"/>
    <tableColumn id="12" xr3:uid="{00000000-0010-0000-0900-00000C000000}" name="11" totalsRowFunction="count" dataDxfId="499" totalsRowDxfId="87"/>
    <tableColumn id="13" xr3:uid="{00000000-0010-0000-0900-00000D000000}" name="12" totalsRowFunction="count" dataDxfId="498" totalsRowDxfId="86"/>
    <tableColumn id="14" xr3:uid="{00000000-0010-0000-0900-00000E000000}" name="13" totalsRowFunction="count" dataDxfId="497" totalsRowDxfId="85"/>
    <tableColumn id="15" xr3:uid="{00000000-0010-0000-0900-00000F000000}" name="14" totalsRowFunction="count" dataDxfId="496" totalsRowDxfId="84"/>
    <tableColumn id="16" xr3:uid="{00000000-0010-0000-0900-000010000000}" name="15" totalsRowFunction="count" dataDxfId="495" totalsRowDxfId="83"/>
    <tableColumn id="17" xr3:uid="{00000000-0010-0000-0900-000011000000}" name="16" totalsRowFunction="count" dataDxfId="494" totalsRowDxfId="82"/>
    <tableColumn id="18" xr3:uid="{00000000-0010-0000-0900-000012000000}" name="17" totalsRowFunction="count" dataDxfId="493" totalsRowDxfId="81"/>
    <tableColumn id="19" xr3:uid="{00000000-0010-0000-0900-000013000000}" name="18" totalsRowFunction="count" dataDxfId="492" totalsRowDxfId="80"/>
    <tableColumn id="20" xr3:uid="{00000000-0010-0000-0900-000014000000}" name="19" totalsRowFunction="count" dataDxfId="491" totalsRowDxfId="79"/>
    <tableColumn id="21" xr3:uid="{00000000-0010-0000-0900-000015000000}" name="20" totalsRowFunction="count" dataDxfId="490" totalsRowDxfId="78"/>
    <tableColumn id="22" xr3:uid="{00000000-0010-0000-0900-000016000000}" name="21" totalsRowFunction="count" dataDxfId="489" totalsRowDxfId="77"/>
    <tableColumn id="23" xr3:uid="{00000000-0010-0000-0900-000017000000}" name="22" totalsRowFunction="count" dataDxfId="488" totalsRowDxfId="76"/>
    <tableColumn id="24" xr3:uid="{00000000-0010-0000-0900-000018000000}" name="23" totalsRowFunction="count" dataDxfId="487" totalsRowDxfId="75"/>
    <tableColumn id="25" xr3:uid="{00000000-0010-0000-0900-000019000000}" name="24" totalsRowFunction="count" dataDxfId="486" totalsRowDxfId="74"/>
    <tableColumn id="26" xr3:uid="{00000000-0010-0000-0900-00001A000000}" name="25" totalsRowFunction="count" dataDxfId="485" totalsRowDxfId="73"/>
    <tableColumn id="27" xr3:uid="{00000000-0010-0000-0900-00001B000000}" name="26" totalsRowFunction="count" dataDxfId="484" totalsRowDxfId="72"/>
    <tableColumn id="28" xr3:uid="{00000000-0010-0000-0900-00001C000000}" name="27" totalsRowFunction="count" dataDxfId="483" totalsRowDxfId="71"/>
    <tableColumn id="29" xr3:uid="{00000000-0010-0000-0900-00001D000000}" name="28" totalsRowFunction="count" dataDxfId="482" totalsRowDxfId="70"/>
    <tableColumn id="30" xr3:uid="{00000000-0010-0000-0900-00001E000000}" name="29" totalsRowFunction="count" dataDxfId="481" totalsRowDxfId="69"/>
    <tableColumn id="31" xr3:uid="{00000000-0010-0000-0900-00001F000000}" name="30" totalsRowFunction="count" dataDxfId="480" totalsRowDxfId="68"/>
    <tableColumn id="32" xr3:uid="{00000000-0010-0000-0900-000020000000}" name="31" totalsRowFunction="count" dataDxfId="479" totalsRowDxfId="67"/>
    <tableColumn id="33" xr3:uid="{00000000-0010-0000-0900-000021000000}" name="Total de Dias" totalsRowFunction="sum" dataDxfId="478" totalsRowDxfId="66">
      <calculatedColumnFormula>COUNTA(Outubro[[#This Row],[1]:[31]])</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A000000}" name="Novembro" displayName="Novembro" ref="B6:AH12" totalsRowCount="1" headerRowDxfId="472" dataDxfId="471" totalsRowDxfId="470">
  <tableColumns count="33">
    <tableColumn id="1" xr3:uid="{00000000-0010-0000-0A00-000001000000}" name="Nome do Funcionário" totalsRowFunction="custom" dataDxfId="469" totalsRowDxfId="65" dataCellStyle="Funcionário">
      <totalsRowFormula>"Total de "&amp;NomeMês</totalsRowFormula>
    </tableColumn>
    <tableColumn id="2" xr3:uid="{00000000-0010-0000-0A00-000002000000}" name="1" totalsRowFunction="count" dataDxfId="468" totalsRowDxfId="64"/>
    <tableColumn id="3" xr3:uid="{00000000-0010-0000-0A00-000003000000}" name="2" totalsRowFunction="count" dataDxfId="467" totalsRowDxfId="63"/>
    <tableColumn id="4" xr3:uid="{00000000-0010-0000-0A00-000004000000}" name="3" totalsRowFunction="count" dataDxfId="466" totalsRowDxfId="62"/>
    <tableColumn id="5" xr3:uid="{00000000-0010-0000-0A00-000005000000}" name="4" totalsRowFunction="count" dataDxfId="465" totalsRowDxfId="61"/>
    <tableColumn id="6" xr3:uid="{00000000-0010-0000-0A00-000006000000}" name="5" totalsRowFunction="count" dataDxfId="464" totalsRowDxfId="60"/>
    <tableColumn id="7" xr3:uid="{00000000-0010-0000-0A00-000007000000}" name="6" totalsRowFunction="count" dataDxfId="463" totalsRowDxfId="59"/>
    <tableColumn id="8" xr3:uid="{00000000-0010-0000-0A00-000008000000}" name="7" totalsRowFunction="count" dataDxfId="462" totalsRowDxfId="58"/>
    <tableColumn id="9" xr3:uid="{00000000-0010-0000-0A00-000009000000}" name="8" totalsRowFunction="count" dataDxfId="461" totalsRowDxfId="57"/>
    <tableColumn id="10" xr3:uid="{00000000-0010-0000-0A00-00000A000000}" name="9" totalsRowFunction="count" dataDxfId="460" totalsRowDxfId="56"/>
    <tableColumn id="11" xr3:uid="{00000000-0010-0000-0A00-00000B000000}" name="10" totalsRowFunction="count" dataDxfId="459" totalsRowDxfId="55"/>
    <tableColumn id="12" xr3:uid="{00000000-0010-0000-0A00-00000C000000}" name="11" totalsRowFunction="count" dataDxfId="458" totalsRowDxfId="54"/>
    <tableColumn id="13" xr3:uid="{00000000-0010-0000-0A00-00000D000000}" name="12" totalsRowFunction="count" dataDxfId="457" totalsRowDxfId="53"/>
    <tableColumn id="14" xr3:uid="{00000000-0010-0000-0A00-00000E000000}" name="13" totalsRowFunction="count" dataDxfId="456" totalsRowDxfId="52"/>
    <tableColumn id="15" xr3:uid="{00000000-0010-0000-0A00-00000F000000}" name="14" totalsRowFunction="count" dataDxfId="455" totalsRowDxfId="51"/>
    <tableColumn id="16" xr3:uid="{00000000-0010-0000-0A00-000010000000}" name="15" totalsRowFunction="count" dataDxfId="454" totalsRowDxfId="50"/>
    <tableColumn id="17" xr3:uid="{00000000-0010-0000-0A00-000011000000}" name="16" totalsRowFunction="count" dataDxfId="453" totalsRowDxfId="49"/>
    <tableColumn id="18" xr3:uid="{00000000-0010-0000-0A00-000012000000}" name="17" totalsRowFunction="count" dataDxfId="452" totalsRowDxfId="48"/>
    <tableColumn id="19" xr3:uid="{00000000-0010-0000-0A00-000013000000}" name="18" totalsRowFunction="count" dataDxfId="451" totalsRowDxfId="47"/>
    <tableColumn id="20" xr3:uid="{00000000-0010-0000-0A00-000014000000}" name="19" totalsRowFunction="count" dataDxfId="450" totalsRowDxfId="46"/>
    <tableColumn id="21" xr3:uid="{00000000-0010-0000-0A00-000015000000}" name="20" totalsRowFunction="count" dataDxfId="449" totalsRowDxfId="45"/>
    <tableColumn id="22" xr3:uid="{00000000-0010-0000-0A00-000016000000}" name="21" totalsRowFunction="count" dataDxfId="448" totalsRowDxfId="44"/>
    <tableColumn id="23" xr3:uid="{00000000-0010-0000-0A00-000017000000}" name="22" totalsRowFunction="count" dataDxfId="447" totalsRowDxfId="43"/>
    <tableColumn id="24" xr3:uid="{00000000-0010-0000-0A00-000018000000}" name="23" totalsRowFunction="count" dataDxfId="446" totalsRowDxfId="42"/>
    <tableColumn id="25" xr3:uid="{00000000-0010-0000-0A00-000019000000}" name="24" totalsRowFunction="count" dataDxfId="445" totalsRowDxfId="41"/>
    <tableColumn id="26" xr3:uid="{00000000-0010-0000-0A00-00001A000000}" name="25" totalsRowFunction="count" dataDxfId="444" totalsRowDxfId="40"/>
    <tableColumn id="27" xr3:uid="{00000000-0010-0000-0A00-00001B000000}" name="26" totalsRowFunction="count" dataDxfId="443" totalsRowDxfId="39"/>
    <tableColumn id="28" xr3:uid="{00000000-0010-0000-0A00-00001C000000}" name="27" totalsRowFunction="count" dataDxfId="442" totalsRowDxfId="38"/>
    <tableColumn id="29" xr3:uid="{00000000-0010-0000-0A00-00001D000000}" name="28" totalsRowFunction="count" dataDxfId="441" totalsRowDxfId="37"/>
    <tableColumn id="30" xr3:uid="{00000000-0010-0000-0A00-00001E000000}" name="29" totalsRowFunction="count" dataDxfId="440" totalsRowDxfId="36"/>
    <tableColumn id="31" xr3:uid="{00000000-0010-0000-0A00-00001F000000}" name="30" totalsRowFunction="count" dataDxfId="439" totalsRowDxfId="35"/>
    <tableColumn id="32" xr3:uid="{00000000-0010-0000-0A00-000020000000}" name=" " totalsRowFunction="count" dataDxfId="438" totalsRowDxfId="34"/>
    <tableColumn id="33" xr3:uid="{00000000-0010-0000-0A00-000021000000}" name="Total de Dias" totalsRowFunction="sum" dataDxfId="437" totalsRowDxfId="33">
      <calculatedColumnFormula>COUNTA(Novembro[[#This Row],[1]:[30]])</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ça os nomes dos funcionários e as datas das faltas. Registre o tipo de ausência por chave na linha 12: F=Férias, L=Licença médica, P=Pessoal e dois espaços reservados para entradas personalizadas."/>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Dezembro" displayName="Dezembro" ref="B6:AH12" totalsRowCount="1" headerRowDxfId="431" dataDxfId="430" totalsRowDxfId="429">
  <tableColumns count="33">
    <tableColumn id="1" xr3:uid="{00000000-0010-0000-0B00-000001000000}" name="Nome do Funcionário" totalsRowFunction="custom" dataDxfId="428" totalsRowDxfId="32" dataCellStyle="Funcionário">
      <totalsRowFormula>"Total de "&amp;NomeMês</totalsRowFormula>
    </tableColumn>
    <tableColumn id="2" xr3:uid="{00000000-0010-0000-0B00-000002000000}" name="1" totalsRowFunction="count" dataDxfId="427" totalsRowDxfId="31"/>
    <tableColumn id="3" xr3:uid="{00000000-0010-0000-0B00-000003000000}" name="2" totalsRowFunction="count" dataDxfId="426" totalsRowDxfId="30"/>
    <tableColumn id="4" xr3:uid="{00000000-0010-0000-0B00-000004000000}" name="3" totalsRowFunction="count" dataDxfId="425" totalsRowDxfId="29"/>
    <tableColumn id="5" xr3:uid="{00000000-0010-0000-0B00-000005000000}" name="4" totalsRowFunction="count" dataDxfId="424" totalsRowDxfId="28"/>
    <tableColumn id="6" xr3:uid="{00000000-0010-0000-0B00-000006000000}" name="5" totalsRowFunction="count" dataDxfId="423" totalsRowDxfId="27"/>
    <tableColumn id="7" xr3:uid="{00000000-0010-0000-0B00-000007000000}" name="6" totalsRowFunction="count" dataDxfId="422" totalsRowDxfId="26"/>
    <tableColumn id="8" xr3:uid="{00000000-0010-0000-0B00-000008000000}" name="7" totalsRowFunction="count" dataDxfId="421" totalsRowDxfId="25"/>
    <tableColumn id="9" xr3:uid="{00000000-0010-0000-0B00-000009000000}" name="8" totalsRowFunction="count" dataDxfId="420" totalsRowDxfId="24"/>
    <tableColumn id="10" xr3:uid="{00000000-0010-0000-0B00-00000A000000}" name="9" totalsRowFunction="count" dataDxfId="419" totalsRowDxfId="23"/>
    <tableColumn id="11" xr3:uid="{00000000-0010-0000-0B00-00000B000000}" name="10" totalsRowFunction="count" dataDxfId="418" totalsRowDxfId="22"/>
    <tableColumn id="12" xr3:uid="{00000000-0010-0000-0B00-00000C000000}" name="11" totalsRowFunction="count" dataDxfId="417" totalsRowDxfId="21"/>
    <tableColumn id="13" xr3:uid="{00000000-0010-0000-0B00-00000D000000}" name="12" totalsRowFunction="count" dataDxfId="416" totalsRowDxfId="20"/>
    <tableColumn id="14" xr3:uid="{00000000-0010-0000-0B00-00000E000000}" name="13" totalsRowFunction="count" dataDxfId="415" totalsRowDxfId="19"/>
    <tableColumn id="15" xr3:uid="{00000000-0010-0000-0B00-00000F000000}" name="14" totalsRowFunction="count" dataDxfId="414" totalsRowDxfId="18"/>
    <tableColumn id="16" xr3:uid="{00000000-0010-0000-0B00-000010000000}" name="15" totalsRowFunction="count" dataDxfId="413" totalsRowDxfId="17"/>
    <tableColumn id="17" xr3:uid="{00000000-0010-0000-0B00-000011000000}" name="16" totalsRowFunction="count" dataDxfId="412" totalsRowDxfId="16"/>
    <tableColumn id="18" xr3:uid="{00000000-0010-0000-0B00-000012000000}" name="17" totalsRowFunction="count" dataDxfId="411" totalsRowDxfId="15"/>
    <tableColumn id="19" xr3:uid="{00000000-0010-0000-0B00-000013000000}" name="18" totalsRowFunction="count" dataDxfId="410" totalsRowDxfId="14"/>
    <tableColumn id="20" xr3:uid="{00000000-0010-0000-0B00-000014000000}" name="19" totalsRowFunction="count" dataDxfId="409" totalsRowDxfId="13"/>
    <tableColumn id="21" xr3:uid="{00000000-0010-0000-0B00-000015000000}" name="20" totalsRowFunction="count" dataDxfId="408" totalsRowDxfId="12"/>
    <tableColumn id="22" xr3:uid="{00000000-0010-0000-0B00-000016000000}" name="21" totalsRowFunction="count" dataDxfId="407" totalsRowDxfId="11"/>
    <tableColumn id="23" xr3:uid="{00000000-0010-0000-0B00-000017000000}" name="22" totalsRowFunction="count" dataDxfId="406" totalsRowDxfId="10"/>
    <tableColumn id="24" xr3:uid="{00000000-0010-0000-0B00-000018000000}" name="23" totalsRowFunction="count" dataDxfId="405" totalsRowDxfId="9"/>
    <tableColumn id="25" xr3:uid="{00000000-0010-0000-0B00-000019000000}" name="24" totalsRowFunction="count" dataDxfId="404" totalsRowDxfId="8"/>
    <tableColumn id="26" xr3:uid="{00000000-0010-0000-0B00-00001A000000}" name="25" totalsRowFunction="count" dataDxfId="403" totalsRowDxfId="7"/>
    <tableColumn id="27" xr3:uid="{00000000-0010-0000-0B00-00001B000000}" name="26" totalsRowFunction="count" dataDxfId="402" totalsRowDxfId="6"/>
    <tableColumn id="28" xr3:uid="{00000000-0010-0000-0B00-00001C000000}" name="27" totalsRowFunction="count" dataDxfId="401" totalsRowDxfId="5"/>
    <tableColumn id="29" xr3:uid="{00000000-0010-0000-0B00-00001D000000}" name="28" totalsRowFunction="count" dataDxfId="400" totalsRowDxfId="4"/>
    <tableColumn id="30" xr3:uid="{00000000-0010-0000-0B00-00001E000000}" name="29" totalsRowFunction="count" dataDxfId="399" totalsRowDxfId="3"/>
    <tableColumn id="31" xr3:uid="{00000000-0010-0000-0B00-00001F000000}" name="30" totalsRowFunction="count" dataDxfId="398" totalsRowDxfId="2"/>
    <tableColumn id="32" xr3:uid="{00000000-0010-0000-0B00-000020000000}" name="31" totalsRowFunction="count" dataDxfId="397" totalsRowDxfId="1"/>
    <tableColumn id="33" xr3:uid="{00000000-0010-0000-0B00-000021000000}" name="Total de Dias" totalsRowFunction="sum" dataDxfId="396" totalsRowDxfId="0">
      <calculatedColumnFormula>COUNTA(Dezembro[[#This Row],[1]:[31]])</calculatedColumnFormula>
    </tableColumn>
  </tableColumns>
  <tableStyleInfo name="Tabela de faltas dos funcionários" showFirstColumn="1" showLastColumn="1" showRowStripes="1" showColumnStripes="0"/>
  <extLst>
    <ext xmlns:x14="http://schemas.microsoft.com/office/spreadsheetml/2009/9/main" uri="{504A1905-F514-4f6f-8877-14C23A59335A}">
      <x14:table altTextSummary="Fornece uma lista de nomes e datas do calendário para registrar as faltas dos funcionários e o tipo de falta específico, como F=Férias, L=Licença, P=Pessoal e dois espaços reservados para entradas personalizadas."/>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NomeDoFuncionário" displayName="NomeDoFuncionário" ref="B3:B8" totalsRowShown="0">
  <autoFilter ref="B3:B8" xr:uid="{00000000-0009-0000-0100-00000D000000}"/>
  <tableColumns count="1">
    <tableColumn id="1" xr3:uid="{00000000-0010-0000-0C00-000001000000}" name="Nomes dos Funcionários" dataCellStyle="Funcionário"/>
  </tableColumns>
  <tableStyleInfo name="Tabela de faltas dos funcionários" showFirstColumn="1" showLastColumn="1" showRowStripes="1" showColumnStripes="0"/>
  <extLst>
    <ext xmlns:x14="http://schemas.microsoft.com/office/spreadsheetml/2009/9/main" uri="{504A1905-F514-4f6f-8877-14C23A59335A}">
      <x14:table altTextSummary="Insira os nomes dos funcionários nesta tabela. Esses nomes são usados como opções na agenda de faltas de cada mês, coluna B."/>
    </ext>
  </extLst>
</table>
</file>

<file path=xl/theme/theme1.xml><?xml version="1.0" encoding="utf-8"?>
<a:theme xmlns:a="http://schemas.openxmlformats.org/drawingml/2006/main" name="Office Theme">
  <a:themeElements>
    <a:clrScheme name="Employee Absense Schedule">
      <a:dk1>
        <a:sysClr val="windowText" lastClr="000000"/>
      </a:dk1>
      <a:lt1>
        <a:sysClr val="window" lastClr="FFFFFF"/>
      </a:lt1>
      <a:dk2>
        <a:srgbClr val="4B180E"/>
      </a:dk2>
      <a:lt2>
        <a:srgbClr val="F1F2E8"/>
      </a:lt2>
      <a:accent1>
        <a:srgbClr val="A53423"/>
      </a:accent1>
      <a:accent2>
        <a:srgbClr val="E68130"/>
      </a:accent2>
      <a:accent3>
        <a:srgbClr val="9BB05D"/>
      </a:accent3>
      <a:accent4>
        <a:srgbClr val="CC9900"/>
      </a:accent4>
      <a:accent5>
        <a:srgbClr val="4F66AF"/>
      </a:accent5>
      <a:accent6>
        <a:srgbClr val="D0D2D3"/>
      </a:accent6>
      <a:hlink>
        <a:srgbClr val="4F66AF"/>
      </a:hlink>
      <a:folHlink>
        <a:srgbClr val="6B9AC6"/>
      </a:folHlink>
    </a:clrScheme>
    <a:fontScheme name="Employee Absence Schedule">
      <a:majorFont>
        <a:latin typeface="Calibri"/>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2" tint="-0.89999084444715716"/>
    <pageSetUpPr fitToPage="1"/>
  </sheetPr>
  <dimension ref="A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1:34" ht="50.1" customHeight="1" x14ac:dyDescent="0.25">
      <c r="A1" s="13"/>
      <c r="B1" s="10" t="s">
        <v>0</v>
      </c>
    </row>
    <row r="2" spans="1:34" ht="15" customHeight="1" x14ac:dyDescent="0.25">
      <c r="B2" s="14" t="s">
        <v>1</v>
      </c>
      <c r="C2" s="3" t="s">
        <v>9</v>
      </c>
      <c r="D2" s="21" t="s">
        <v>12</v>
      </c>
      <c r="E2" s="21"/>
      <c r="F2" s="21"/>
      <c r="G2" s="4" t="s">
        <v>15</v>
      </c>
      <c r="H2" s="21" t="s">
        <v>19</v>
      </c>
      <c r="I2" s="21"/>
      <c r="J2" s="21"/>
      <c r="K2" s="5" t="s">
        <v>17</v>
      </c>
      <c r="L2" s="21" t="s">
        <v>24</v>
      </c>
      <c r="M2" s="21"/>
      <c r="N2" s="21"/>
      <c r="O2" s="6"/>
      <c r="P2" s="21" t="s">
        <v>28</v>
      </c>
      <c r="Q2" s="21"/>
      <c r="R2" s="21"/>
      <c r="S2" s="18"/>
      <c r="T2" s="21" t="s">
        <v>33</v>
      </c>
      <c r="U2" s="21"/>
      <c r="V2" s="21"/>
    </row>
    <row r="3" spans="1:34" ht="15" customHeight="1" x14ac:dyDescent="0.25">
      <c r="AH3" s="15" t="s">
        <v>49</v>
      </c>
    </row>
    <row r="4" spans="1:34" ht="30" customHeight="1" x14ac:dyDescent="0.25">
      <c r="B4" s="8" t="s">
        <v>2</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v>2019</v>
      </c>
    </row>
    <row r="5" spans="1:34" ht="15" customHeight="1" x14ac:dyDescent="0.25">
      <c r="B5" s="8"/>
      <c r="C5" s="2" t="str">
        <f>TEXT(WEEKDAY(DATE(AnoCalendário,1,1),1),"ddd")</f>
        <v>ter</v>
      </c>
      <c r="D5" s="2" t="str">
        <f>TEXT(WEEKDAY(DATE(AnoCalendário,1,2),1),"ddd")</f>
        <v>qua</v>
      </c>
      <c r="E5" s="2" t="str">
        <f>TEXT(WEEKDAY(DATE(AnoCalendário,1,3),1),"ddd")</f>
        <v>qui</v>
      </c>
      <c r="F5" s="2" t="str">
        <f>TEXT(WEEKDAY(DATE(AnoCalendário,1,4),1),"ddd")</f>
        <v>sex</v>
      </c>
      <c r="G5" s="2" t="str">
        <f>TEXT(WEEKDAY(DATE(AnoCalendário,1,5),1),"ddd")</f>
        <v>sáb</v>
      </c>
      <c r="H5" s="2" t="str">
        <f>TEXT(WEEKDAY(DATE(AnoCalendário,1,6),1),"ddd")</f>
        <v>dom</v>
      </c>
      <c r="I5" s="2" t="str">
        <f>TEXT(WEEKDAY(DATE(AnoCalendário,1,7),1),"ddd")</f>
        <v>seg</v>
      </c>
      <c r="J5" s="2" t="str">
        <f>TEXT(WEEKDAY(DATE(AnoCalendário,1,8),1),"ddd")</f>
        <v>ter</v>
      </c>
      <c r="K5" s="2" t="str">
        <f>TEXT(WEEKDAY(DATE(AnoCalendário,1,9),1),"ddd")</f>
        <v>qua</v>
      </c>
      <c r="L5" s="2" t="str">
        <f>TEXT(WEEKDAY(DATE(AnoCalendário,1,10),1),"ddd")</f>
        <v>qui</v>
      </c>
      <c r="M5" s="2" t="str">
        <f>TEXT(WEEKDAY(DATE(AnoCalendário,1,11),1),"ddd")</f>
        <v>sex</v>
      </c>
      <c r="N5" s="2" t="str">
        <f>TEXT(WEEKDAY(DATE(AnoCalendário,1,12),1),"ddd")</f>
        <v>sáb</v>
      </c>
      <c r="O5" s="2" t="str">
        <f>TEXT(WEEKDAY(DATE(AnoCalendário,1,13),1),"ddd")</f>
        <v>dom</v>
      </c>
      <c r="P5" s="2" t="str">
        <f>TEXT(WEEKDAY(DATE(AnoCalendário,1,14),1),"ddd")</f>
        <v>seg</v>
      </c>
      <c r="Q5" s="2" t="str">
        <f>TEXT(WEEKDAY(DATE(AnoCalendário,1,15),1),"ddd")</f>
        <v>ter</v>
      </c>
      <c r="R5" s="2" t="str">
        <f>TEXT(WEEKDAY(DATE(AnoCalendário,1,16),1),"ddd")</f>
        <v>qua</v>
      </c>
      <c r="S5" s="2" t="str">
        <f>TEXT(WEEKDAY(DATE(AnoCalendário,1,17),1),"ddd")</f>
        <v>qui</v>
      </c>
      <c r="T5" s="2" t="str">
        <f>TEXT(WEEKDAY(DATE(AnoCalendário,1,18),1),"ddd")</f>
        <v>sex</v>
      </c>
      <c r="U5" s="2" t="str">
        <f>TEXT(WEEKDAY(DATE(AnoCalendário,1,19),1),"ddd")</f>
        <v>sáb</v>
      </c>
      <c r="V5" s="2" t="str">
        <f>TEXT(WEEKDAY(DATE(AnoCalendário,1,20),1),"ddd")</f>
        <v>dom</v>
      </c>
      <c r="W5" s="2" t="str">
        <f>TEXT(WEEKDAY(DATE(AnoCalendário,1,21),1),"ddd")</f>
        <v>seg</v>
      </c>
      <c r="X5" s="2" t="str">
        <f>TEXT(WEEKDAY(DATE(AnoCalendário,1,22),1),"ddd")</f>
        <v>ter</v>
      </c>
      <c r="Y5" s="2" t="str">
        <f>TEXT(WEEKDAY(DATE(AnoCalendário,1,23),1),"ddd")</f>
        <v>qua</v>
      </c>
      <c r="Z5" s="2" t="str">
        <f>TEXT(WEEKDAY(DATE(AnoCalendário,1,24),1),"ddd")</f>
        <v>qui</v>
      </c>
      <c r="AA5" s="2" t="str">
        <f>TEXT(WEEKDAY(DATE(AnoCalendário,1,25),1),"ddd")</f>
        <v>sex</v>
      </c>
      <c r="AB5" s="2" t="str">
        <f>TEXT(WEEKDAY(DATE(AnoCalendário,1,26),1),"ddd")</f>
        <v>sáb</v>
      </c>
      <c r="AC5" s="2" t="str">
        <f>TEXT(WEEKDAY(DATE(AnoCalendário,1,27),1),"ddd")</f>
        <v>dom</v>
      </c>
      <c r="AD5" s="2" t="str">
        <f>TEXT(WEEKDAY(DATE(AnoCalendário,1,28),1),"ddd")</f>
        <v>seg</v>
      </c>
      <c r="AE5" s="2" t="str">
        <f>TEXT(WEEKDAY(DATE(AnoCalendário,1,29),1),"ddd")</f>
        <v>ter</v>
      </c>
      <c r="AF5" s="2" t="str">
        <f>TEXT(WEEKDAY(DATE(AnoCalendário,1,30),1),"ddd")</f>
        <v>qua</v>
      </c>
      <c r="AG5" s="2" t="str">
        <f>TEXT(WEEKDAY(DATE(AnoCalendário,1,31),1),"ddd")</f>
        <v>qui</v>
      </c>
      <c r="AH5" s="8"/>
    </row>
    <row r="6" spans="1: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48</v>
      </c>
      <c r="AH6" s="12" t="s">
        <v>50</v>
      </c>
    </row>
    <row r="7" spans="1:34" ht="30" customHeight="1" x14ac:dyDescent="0.25">
      <c r="B7" s="1" t="s">
        <v>4</v>
      </c>
      <c r="C7" s="2"/>
      <c r="D7" s="2"/>
      <c r="E7" s="2" t="s">
        <v>9</v>
      </c>
      <c r="F7" s="2" t="s">
        <v>9</v>
      </c>
      <c r="G7" s="2" t="s">
        <v>9</v>
      </c>
      <c r="H7" s="2" t="s">
        <v>9</v>
      </c>
      <c r="I7" s="2"/>
      <c r="J7" s="2"/>
      <c r="K7" s="2"/>
      <c r="L7" s="2"/>
      <c r="M7" s="2"/>
      <c r="N7" s="2"/>
      <c r="O7" s="2" t="s">
        <v>9</v>
      </c>
      <c r="P7" s="2"/>
      <c r="Q7" s="2"/>
      <c r="R7" s="2"/>
      <c r="S7" s="2"/>
      <c r="T7" s="2"/>
      <c r="U7" s="2"/>
      <c r="V7" s="2"/>
      <c r="W7" s="2"/>
      <c r="X7" s="2"/>
      <c r="Y7" s="2"/>
      <c r="Z7" s="2"/>
      <c r="AA7" s="2"/>
      <c r="AB7" s="2"/>
      <c r="AC7" s="2"/>
      <c r="AD7" s="2"/>
      <c r="AE7" s="2"/>
      <c r="AF7" s="2"/>
      <c r="AG7" s="2"/>
      <c r="AH7" s="7">
        <f>COUNTA(Janeiro!$C7:$AG7)</f>
        <v>5</v>
      </c>
    </row>
    <row r="8" spans="1:34" ht="30" customHeight="1" x14ac:dyDescent="0.25">
      <c r="B8" s="1" t="s">
        <v>5</v>
      </c>
      <c r="C8" s="2"/>
      <c r="D8" s="2"/>
      <c r="E8" s="2"/>
      <c r="F8" s="2"/>
      <c r="G8" s="2" t="s">
        <v>17</v>
      </c>
      <c r="H8" s="2" t="s">
        <v>17</v>
      </c>
      <c r="I8" s="2"/>
      <c r="J8" s="2"/>
      <c r="K8" s="2"/>
      <c r="L8" s="2"/>
      <c r="M8" s="2" t="s">
        <v>15</v>
      </c>
      <c r="N8" s="2"/>
      <c r="O8" s="2"/>
      <c r="P8" s="2"/>
      <c r="Q8" s="2"/>
      <c r="R8" s="2"/>
      <c r="S8" s="2"/>
      <c r="T8" s="2"/>
      <c r="U8" s="2"/>
      <c r="V8" s="2" t="s">
        <v>17</v>
      </c>
      <c r="W8" s="2"/>
      <c r="X8" s="2"/>
      <c r="Y8" s="2"/>
      <c r="Z8" s="2"/>
      <c r="AA8" s="2" t="s">
        <v>9</v>
      </c>
      <c r="AB8" s="2" t="s">
        <v>9</v>
      </c>
      <c r="AC8" s="2" t="s">
        <v>9</v>
      </c>
      <c r="AD8" s="2"/>
      <c r="AE8" s="2"/>
      <c r="AF8" s="2"/>
      <c r="AG8" s="2"/>
      <c r="AH8" s="7">
        <f>COUNTA(Janeiro!$C8:$AG8)</f>
        <v>7</v>
      </c>
    </row>
    <row r="9" spans="1:34" ht="30" customHeight="1" x14ac:dyDescent="0.25">
      <c r="B9" s="1" t="s">
        <v>6</v>
      </c>
      <c r="C9" s="2"/>
      <c r="D9" s="2"/>
      <c r="E9" s="2" t="s">
        <v>15</v>
      </c>
      <c r="F9" s="2"/>
      <c r="G9" s="2"/>
      <c r="H9" s="2"/>
      <c r="I9" s="2"/>
      <c r="J9" s="2"/>
      <c r="K9" s="2"/>
      <c r="L9" s="2"/>
      <c r="M9" s="2"/>
      <c r="N9" s="2"/>
      <c r="O9" s="2"/>
      <c r="P9" s="2" t="s">
        <v>17</v>
      </c>
      <c r="Q9" s="2"/>
      <c r="R9" s="2"/>
      <c r="S9" s="2"/>
      <c r="T9" s="2"/>
      <c r="U9" s="2"/>
      <c r="V9" s="2"/>
      <c r="W9" s="2"/>
      <c r="X9" s="2"/>
      <c r="Y9" s="2"/>
      <c r="Z9" s="2"/>
      <c r="AA9" s="2"/>
      <c r="AB9" s="2"/>
      <c r="AC9" s="2"/>
      <c r="AD9" s="2"/>
      <c r="AE9" s="2" t="s">
        <v>17</v>
      </c>
      <c r="AF9" s="2"/>
      <c r="AG9" s="2"/>
      <c r="AH9" s="7">
        <f>COUNTA(Janeiro!$C9:$AG9)</f>
        <v>3</v>
      </c>
    </row>
    <row r="10" spans="1:34" ht="30" customHeight="1" x14ac:dyDescent="0.25">
      <c r="B10" s="1" t="s">
        <v>7</v>
      </c>
      <c r="C10" s="2"/>
      <c r="D10" s="2"/>
      <c r="E10" s="2"/>
      <c r="F10" s="2"/>
      <c r="G10" s="2"/>
      <c r="H10" s="2"/>
      <c r="I10" s="2" t="s">
        <v>15</v>
      </c>
      <c r="J10" s="2"/>
      <c r="K10" s="2"/>
      <c r="L10" s="2"/>
      <c r="M10" s="2"/>
      <c r="N10" s="2"/>
      <c r="O10" s="2"/>
      <c r="P10" s="2"/>
      <c r="Q10" s="2"/>
      <c r="R10" s="2"/>
      <c r="S10" s="2"/>
      <c r="T10" s="2"/>
      <c r="U10" s="2" t="s">
        <v>9</v>
      </c>
      <c r="V10" s="2" t="s">
        <v>9</v>
      </c>
      <c r="W10" s="2" t="s">
        <v>9</v>
      </c>
      <c r="X10" s="2"/>
      <c r="Y10" s="2"/>
      <c r="Z10" s="2"/>
      <c r="AA10" s="2"/>
      <c r="AB10" s="2"/>
      <c r="AC10" s="2"/>
      <c r="AD10" s="2"/>
      <c r="AE10" s="2"/>
      <c r="AF10" s="2"/>
      <c r="AG10" s="2"/>
      <c r="AH10" s="7">
        <f>COUNTA(Janeiro!$C10:$AG10)</f>
        <v>4</v>
      </c>
    </row>
    <row r="11" spans="1:34" ht="30" customHeight="1" x14ac:dyDescent="0.25">
      <c r="B11" s="1" t="s">
        <v>8</v>
      </c>
      <c r="C11" s="2"/>
      <c r="D11" s="2"/>
      <c r="E11" s="2"/>
      <c r="F11" s="2" t="s">
        <v>17</v>
      </c>
      <c r="G11" s="2" t="s">
        <v>9</v>
      </c>
      <c r="H11" s="2" t="s">
        <v>9</v>
      </c>
      <c r="I11" s="2"/>
      <c r="J11" s="2"/>
      <c r="K11" s="2"/>
      <c r="L11" s="2"/>
      <c r="M11" s="2"/>
      <c r="N11" s="2"/>
      <c r="O11" s="2"/>
      <c r="P11" s="2"/>
      <c r="Q11" s="2"/>
      <c r="R11" s="2"/>
      <c r="S11" s="2" t="s">
        <v>17</v>
      </c>
      <c r="T11" s="2"/>
      <c r="U11" s="2"/>
      <c r="V11" s="2"/>
      <c r="W11" s="2"/>
      <c r="X11" s="2"/>
      <c r="Y11" s="2"/>
      <c r="Z11" s="2" t="s">
        <v>17</v>
      </c>
      <c r="AA11" s="2"/>
      <c r="AB11" s="2"/>
      <c r="AC11" s="2"/>
      <c r="AD11" s="2"/>
      <c r="AE11" s="2"/>
      <c r="AF11" s="2"/>
      <c r="AG11" s="2" t="s">
        <v>9</v>
      </c>
      <c r="AH11" s="7">
        <f>COUNTA(Janeiro!$C11:$AG11)</f>
        <v>6</v>
      </c>
    </row>
    <row r="12" spans="1:34" ht="30" customHeight="1" x14ac:dyDescent="0.25">
      <c r="B12" s="16" t="str">
        <f>"Total de "&amp;NomeMês</f>
        <v>Total de Janeiro</v>
      </c>
      <c r="C12" s="9">
        <f>SUBTOTAL(103,Janeiro!$C$7:$C$11)</f>
        <v>0</v>
      </c>
      <c r="D12" s="9">
        <f>SUBTOTAL(103,Janeiro!$D$7:$D$11)</f>
        <v>0</v>
      </c>
      <c r="E12" s="9">
        <f>SUBTOTAL(103,Janeiro!$E$7:$E$11)</f>
        <v>2</v>
      </c>
      <c r="F12" s="9">
        <f>SUBTOTAL(103,Janeiro!$F$7:$F$11)</f>
        <v>2</v>
      </c>
      <c r="G12" s="9">
        <f>SUBTOTAL(103,Janeiro!$G$7:$G$11)</f>
        <v>3</v>
      </c>
      <c r="H12" s="9">
        <f>SUBTOTAL(103,Janeiro!$H$7:$H$11)</f>
        <v>3</v>
      </c>
      <c r="I12" s="9">
        <f>SUBTOTAL(103,Janeiro!$I$7:$I$11)</f>
        <v>1</v>
      </c>
      <c r="J12" s="9">
        <f>SUBTOTAL(103,Janeiro!$J$7:$J$11)</f>
        <v>0</v>
      </c>
      <c r="K12" s="9">
        <f>SUBTOTAL(103,Janeiro!$K$7:$K$11)</f>
        <v>0</v>
      </c>
      <c r="L12" s="9">
        <f>SUBTOTAL(103,Janeiro!$L$7:$L$11)</f>
        <v>0</v>
      </c>
      <c r="M12" s="9">
        <f>SUBTOTAL(103,Janeiro!$M$7:$M$11)</f>
        <v>1</v>
      </c>
      <c r="N12" s="9">
        <f>SUBTOTAL(103,Janeiro!$N$7:$N$11)</f>
        <v>0</v>
      </c>
      <c r="O12" s="9">
        <f>SUBTOTAL(103,Janeiro!$O$7:$O$11)</f>
        <v>1</v>
      </c>
      <c r="P12" s="9">
        <f>SUBTOTAL(103,Janeiro!$P$7:$P$11)</f>
        <v>1</v>
      </c>
      <c r="Q12" s="9">
        <f>SUBTOTAL(103,Janeiro!$Q$7:$Q$11)</f>
        <v>0</v>
      </c>
      <c r="R12" s="9">
        <f>SUBTOTAL(103,Janeiro!$R$7:$R$11)</f>
        <v>0</v>
      </c>
      <c r="S12" s="9">
        <f>SUBTOTAL(103,Janeiro!$S$7:$S$11)</f>
        <v>1</v>
      </c>
      <c r="T12" s="9">
        <f>SUBTOTAL(103,Janeiro!$T$7:$T$11)</f>
        <v>0</v>
      </c>
      <c r="U12" s="9">
        <f>SUBTOTAL(103,Janeiro!$U$7:$U$11)</f>
        <v>1</v>
      </c>
      <c r="V12" s="9">
        <f>SUBTOTAL(103,Janeiro!$V$7:$V$11)</f>
        <v>2</v>
      </c>
      <c r="W12" s="9">
        <f>SUBTOTAL(103,Janeiro!$W$7:$W$11)</f>
        <v>1</v>
      </c>
      <c r="X12" s="9">
        <f>SUBTOTAL(103,Janeiro!$X$7:$X$11)</f>
        <v>0</v>
      </c>
      <c r="Y12" s="9">
        <f>SUBTOTAL(103,Janeiro!$Y$7:$Y$11)</f>
        <v>0</v>
      </c>
      <c r="Z12" s="9">
        <f>SUBTOTAL(103,Janeiro!$Z$7:$Z$11)</f>
        <v>1</v>
      </c>
      <c r="AA12" s="9">
        <f>SUBTOTAL(103,Janeiro!$AA$7:$AA$11)</f>
        <v>1</v>
      </c>
      <c r="AB12" s="9">
        <f>SUBTOTAL(103,Janeiro!$AB$7:$AB$11)</f>
        <v>1</v>
      </c>
      <c r="AC12" s="9">
        <f>SUBTOTAL(103,Janeiro!$AC$7:$AC$11)</f>
        <v>1</v>
      </c>
      <c r="AD12" s="9">
        <f>SUBTOTAL(103,Janeiro!$AD$7:$AD$11)</f>
        <v>0</v>
      </c>
      <c r="AE12" s="9">
        <f>SUBTOTAL(103,Janeiro!$AE$7:$AE$11)</f>
        <v>1</v>
      </c>
      <c r="AF12" s="9">
        <f>SUBTOTAL(103,Janeiro!$AF$7:$AF$11)</f>
        <v>0</v>
      </c>
      <c r="AG12" s="9">
        <f>SUBTOTAL(103,Janeiro!$AG$7:$AG$11)</f>
        <v>1</v>
      </c>
      <c r="AH12" s="9">
        <f>SUBTOTAL(109,Janeiro[Total de Dias])</f>
        <v>25</v>
      </c>
    </row>
  </sheetData>
  <mergeCells count="6">
    <mergeCell ref="C4:AG4"/>
    <mergeCell ref="D2:F2"/>
    <mergeCell ref="H2:J2"/>
    <mergeCell ref="P2:R2"/>
    <mergeCell ref="L2:N2"/>
    <mergeCell ref="T2:V2"/>
  </mergeCells>
  <conditionalFormatting sqref="C7:AG11">
    <cfRule type="expression" priority="1" stopIfTrue="1">
      <formula>C7=""</formula>
    </cfRule>
    <cfRule type="expression" dxfId="888" priority="6" stopIfTrue="1">
      <formula>C7=ChavePersonalizada2</formula>
    </cfRule>
    <cfRule type="expression" dxfId="887" priority="7" stopIfTrue="1">
      <formula>C7=ChavePersonalizada1</formula>
    </cfRule>
    <cfRule type="expression" dxfId="886" priority="8" stopIfTrue="1">
      <formula>C7=ChaveLicençaMédica</formula>
    </cfRule>
    <cfRule type="expression" dxfId="885" priority="9" stopIfTrue="1">
      <formula>C7=ChavePessoal</formula>
    </cfRule>
    <cfRule type="expression" dxfId="884" priority="10" stopIfTrue="1">
      <formula>C7=ChaveFérias</formula>
    </cfRule>
  </conditionalFormatting>
  <conditionalFormatting sqref="AH7:AH11">
    <cfRule type="dataBar" priority="168">
      <dataBar>
        <cfvo type="num" val="0"/>
        <cfvo type="num" val="31"/>
        <color theme="2" tint="-0.249977111117893"/>
      </dataBar>
      <extLst>
        <ext xmlns:x14="http://schemas.microsoft.com/office/spreadsheetml/2009/9/main" uri="{B025F937-C7B1-47D3-B67F-A62EFF666E3E}">
          <x14:id>{ECCE2C3C-1B01-4700-B60E-DAAAB19A9C1A}</x14:id>
        </ext>
      </extLst>
    </cfRule>
  </conditionalFormatting>
  <dataValidations count="14">
    <dataValidation allowBlank="1" showInputMessage="1" showErrorMessage="1" prompt="Insira o ano nesta célula" sqref="AH4" xr:uid="{00000000-0002-0000-0000-000000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000-000001000000}"/>
    <dataValidation allowBlank="1" showInputMessage="1" showErrorMessage="1" prompt="Os dias do mês nesta linha são gerados automaticamente. Insira a falta e o tipo de falta de um funcionário em cada coluna de cada dia do mês. Espaço vazio significa sem faltas." sqref="C6" xr:uid="{00000000-0002-0000-0000-000002000000}"/>
    <dataValidation allowBlank="1" showInputMessage="1" showErrorMessage="1" prompt="Os dias da semana nesta linha são atualizados automaticamente para o mês de acordo com o ano inserido em AH4. Cada dia do mês é uma coluna para indicar a falta e o tipo de falta de um funcionário." sqref="C5" xr:uid="{00000000-0002-0000-0000-000003000000}"/>
    <dataValidation allowBlank="1" showInputMessage="1" showErrorMessage="1" prompt="Calcula automaticamente o número total de dias que um funcionário esteve ausente este mês." sqref="AH6" xr:uid="{00000000-0002-0000-0000-000004000000}"/>
    <dataValidation allowBlank="1" showInputMessage="1" showErrorMessage="1" prompt="O título da planilha está nesta célula. Atualize o título e cada planilha herdará automaticamente a alteração." sqref="B1" xr:uid="{00000000-0002-0000-0000-000005000000}"/>
    <dataValidation allowBlank="1" showInputMessage="1" showErrorMessage="1" prompt="Mês de agenda de faltas. Atualize o ano na célula AH4. Acompanhe os totais por mês na última célula da tabela. Insira os nomes dos funcionários na tabela B." sqref="B4" xr:uid="{00000000-0002-0000-0000-000006000000}"/>
    <dataValidation allowBlank="1" showInputMessage="1" showErrorMessage="1" prompt="Esta linha define as chaves usadas na tabela: a célula C2 é Férias, G2 é Pessoal e K2 é Licença médica. As células N2 e R2 são personalizáveis." sqref="B2" xr:uid="{00000000-0002-0000-0000-000007000000}"/>
    <dataValidation allowBlank="1" showInputMessage="1" showErrorMessage="1" prompt="A letra &quot;F&quot; indica falta devido a férias." sqref="C2" xr:uid="{00000000-0002-0000-0000-000008000000}"/>
    <dataValidation allowBlank="1" showInputMessage="1" showErrorMessage="1" prompt="A letra &quot;P&quot; indica falta devido a motivos pessoais." sqref="G2" xr:uid="{00000000-0002-0000-0000-000009000000}"/>
    <dataValidation allowBlank="1" showInputMessage="1" showErrorMessage="1" prompt="A letra &quot;L&quot; indica falta devido à licença médica." sqref="K2" xr:uid="{00000000-0002-0000-0000-00000A000000}"/>
    <dataValidation allowBlank="1" showInputMessage="1" showErrorMessage="1" prompt="Digite um rótulo para descrever a chave personalizada à esquerda." sqref="O2:P2 S2:T2" xr:uid="{00000000-0002-0000-0000-00000C000000}"/>
    <dataValidation allowBlank="1" showInputMessage="1" showErrorMessage="1" prompt="A Agenda de faltas dos funcionários controla as faltas dos funcionários por dias para cada mês. Há 13 planilhas, 12 mensais e a última para os nomes dos funcionários. Acompanhe as faltas de janeiro nesta planilha." sqref="A1" xr:uid="{00000000-0002-0000-0000-00000D000000}"/>
    <dataValidation allowBlank="1" showInputMessage="1" showErrorMessage="1" prompt="Insira o ano na célula abaixo." sqref="AH3" xr:uid="{00000000-0002-0000-0000-00000E000000}"/>
  </dataValidations>
  <printOptions horizontalCentered="1"/>
  <pageMargins left="0.25" right="0.25" top="0.75" bottom="0.75" header="0.3" footer="0.3"/>
  <pageSetup paperSize="9" scale="73"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ECCE2C3C-1B01-4700-B60E-DAAAB19A9C1A}">
            <x14:dataBar minLength="0" maxLength="100">
              <x14:cfvo type="num">
                <xm:f>0</xm:f>
              </x14:cfvo>
              <x14:cfvo type="num">
                <xm:f>31</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'Nomes dos Funcionários'!$B$4:$B$8</xm:f>
          </x14:formula1>
          <xm:sqref>B7:B11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2" tint="-0.749992370372631"/>
    <pageSetUpPr fitToPage="1"/>
  </sheetPr>
  <dimension ref="B1:AH12"/>
  <sheetViews>
    <sheetView showGridLines="0" tabSelected="1" zoomScaleNormal="100" workbookViewId="0"/>
  </sheetViews>
  <sheetFormatPr defaultColWidth="9.140625"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row r="4" spans="2:34" ht="30" customHeight="1" x14ac:dyDescent="0.25">
      <c r="B4" s="8" t="s">
        <v>51</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TEXT(WEEKDAY(DATE(AnoCalendário,2,1),1),"ddd")</f>
        <v>sex</v>
      </c>
      <c r="D5" s="2" t="str">
        <f>TEXT(WEEKDAY(DATE(AnoCalendário,2,2),1),"ddd")</f>
        <v>sáb</v>
      </c>
      <c r="E5" s="2" t="str">
        <f>TEXT(WEEKDAY(DATE(AnoCalendário,2,3),1),"ddd")</f>
        <v>dom</v>
      </c>
      <c r="F5" s="2" t="str">
        <f>TEXT(WEEKDAY(DATE(AnoCalendário,2,4),1),"ddd")</f>
        <v>seg</v>
      </c>
      <c r="G5" s="2" t="str">
        <f>TEXT(WEEKDAY(DATE(AnoCalendário,2,5),1),"ddd")</f>
        <v>ter</v>
      </c>
      <c r="H5" s="2" t="str">
        <f>TEXT(WEEKDAY(DATE(AnoCalendário,2,6),1),"ddd")</f>
        <v>qua</v>
      </c>
      <c r="I5" s="2" t="str">
        <f>TEXT(WEEKDAY(DATE(AnoCalendário,2,7),1),"ddd")</f>
        <v>qui</v>
      </c>
      <c r="J5" s="2" t="str">
        <f>TEXT(WEEKDAY(DATE(AnoCalendário,2,8),1),"ddd")</f>
        <v>sex</v>
      </c>
      <c r="K5" s="2" t="str">
        <f>TEXT(WEEKDAY(DATE(AnoCalendário,2,9),1),"ddd")</f>
        <v>sáb</v>
      </c>
      <c r="L5" s="2" t="str">
        <f>TEXT(WEEKDAY(DATE(AnoCalendário,2,10),1),"ddd")</f>
        <v>dom</v>
      </c>
      <c r="M5" s="2" t="str">
        <f>TEXT(WEEKDAY(DATE(AnoCalendário,2,11),1),"ddd")</f>
        <v>seg</v>
      </c>
      <c r="N5" s="2" t="str">
        <f>TEXT(WEEKDAY(DATE(AnoCalendário,2,12),1),"ddd")</f>
        <v>ter</v>
      </c>
      <c r="O5" s="2" t="str">
        <f>TEXT(WEEKDAY(DATE(AnoCalendário,2,13),1),"ddd")</f>
        <v>qua</v>
      </c>
      <c r="P5" s="2" t="str">
        <f>TEXT(WEEKDAY(DATE(AnoCalendário,2,14),1),"ddd")</f>
        <v>qui</v>
      </c>
      <c r="Q5" s="2" t="str">
        <f>TEXT(WEEKDAY(DATE(AnoCalendário,2,15),1),"ddd")</f>
        <v>sex</v>
      </c>
      <c r="R5" s="2" t="str">
        <f>TEXT(WEEKDAY(DATE(AnoCalendário,2,16),1),"ddd")</f>
        <v>sáb</v>
      </c>
      <c r="S5" s="2" t="str">
        <f>TEXT(WEEKDAY(DATE(AnoCalendário,2,17),1),"ddd")</f>
        <v>dom</v>
      </c>
      <c r="T5" s="2" t="str">
        <f>TEXT(WEEKDAY(DATE(AnoCalendário,2,18),1),"ddd")</f>
        <v>seg</v>
      </c>
      <c r="U5" s="2" t="str">
        <f>TEXT(WEEKDAY(DATE(AnoCalendário,2,19),1),"ddd")</f>
        <v>ter</v>
      </c>
      <c r="V5" s="2" t="str">
        <f>TEXT(WEEKDAY(DATE(AnoCalendário,2,20),1),"ddd")</f>
        <v>qua</v>
      </c>
      <c r="W5" s="2" t="str">
        <f>TEXT(WEEKDAY(DATE(AnoCalendário,2,21),1),"ddd")</f>
        <v>qui</v>
      </c>
      <c r="X5" s="2" t="str">
        <f>TEXT(WEEKDAY(DATE(AnoCalendário,2,22),1),"ddd")</f>
        <v>sex</v>
      </c>
      <c r="Y5" s="2" t="str">
        <f>TEXT(WEEKDAY(DATE(AnoCalendário,2,23),1),"ddd")</f>
        <v>sáb</v>
      </c>
      <c r="Z5" s="2" t="str">
        <f>TEXT(WEEKDAY(DATE(AnoCalendário,2,24),1),"ddd")</f>
        <v>dom</v>
      </c>
      <c r="AA5" s="2" t="str">
        <f>TEXT(WEEKDAY(DATE(AnoCalendário,2,25),1),"ddd")</f>
        <v>seg</v>
      </c>
      <c r="AB5" s="2" t="str">
        <f>TEXT(WEEKDAY(DATE(AnoCalendário,2,26),1),"ddd")</f>
        <v>ter</v>
      </c>
      <c r="AC5" s="2" t="str">
        <f>TEXT(WEEKDAY(DATE(AnoCalendário,2,27),1),"ddd")</f>
        <v>qua</v>
      </c>
      <c r="AD5" s="2" t="str">
        <f>TEXT(WEEKDAY(DATE(AnoCalendário,2,28),1),"ddd")</f>
        <v>qui</v>
      </c>
      <c r="AE5" s="2" t="str">
        <f>TEXT(WEEKDAY(DATE(AnoCalendário,2,29),1),"ddd")</f>
        <v>sex</v>
      </c>
      <c r="AF5" s="2"/>
      <c r="AG5" s="2"/>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52</v>
      </c>
      <c r="AG6" s="2" t="s">
        <v>53</v>
      </c>
      <c r="AH6" s="12" t="s">
        <v>50</v>
      </c>
    </row>
    <row r="7" spans="2:34" ht="30" customHeight="1" x14ac:dyDescent="0.25">
      <c r="B7" s="1" t="s">
        <v>4</v>
      </c>
      <c r="C7" s="2"/>
      <c r="D7" s="2"/>
      <c r="E7" s="2" t="s">
        <v>9</v>
      </c>
      <c r="F7" s="2" t="s">
        <v>9</v>
      </c>
      <c r="G7" s="2" t="s">
        <v>9</v>
      </c>
      <c r="H7" s="2" t="s">
        <v>9</v>
      </c>
      <c r="I7" s="2"/>
      <c r="J7" s="2"/>
      <c r="K7" s="2"/>
      <c r="L7" s="2"/>
      <c r="M7" s="2"/>
      <c r="N7" s="2"/>
      <c r="O7" s="2" t="s">
        <v>9</v>
      </c>
      <c r="P7" s="2"/>
      <c r="Q7" s="2"/>
      <c r="R7" s="2"/>
      <c r="S7" s="2"/>
      <c r="T7" s="2"/>
      <c r="U7" s="2"/>
      <c r="V7" s="2"/>
      <c r="W7" s="2"/>
      <c r="X7" s="2"/>
      <c r="Y7" s="2"/>
      <c r="Z7" s="2"/>
      <c r="AA7" s="2"/>
      <c r="AB7" s="2"/>
      <c r="AC7" s="2"/>
      <c r="AD7" s="2"/>
      <c r="AE7" s="2"/>
      <c r="AF7" s="2"/>
      <c r="AG7" s="2"/>
      <c r="AH7" s="7">
        <f>COUNTA(Fevereiro[[#This Row],[1]:[29]])</f>
        <v>5</v>
      </c>
    </row>
    <row r="8" spans="2:34" ht="30" customHeight="1" x14ac:dyDescent="0.25">
      <c r="B8" s="1" t="s">
        <v>5</v>
      </c>
      <c r="C8" s="2"/>
      <c r="D8" s="2"/>
      <c r="E8" s="2"/>
      <c r="F8" s="2"/>
      <c r="G8" s="2" t="s">
        <v>17</v>
      </c>
      <c r="H8" s="2" t="s">
        <v>17</v>
      </c>
      <c r="I8" s="2"/>
      <c r="J8" s="2"/>
      <c r="K8" s="2"/>
      <c r="L8" s="2"/>
      <c r="M8" s="2" t="s">
        <v>15</v>
      </c>
      <c r="N8" s="2"/>
      <c r="O8" s="2"/>
      <c r="P8" s="2"/>
      <c r="Q8" s="2"/>
      <c r="R8" s="2"/>
      <c r="S8" s="2"/>
      <c r="T8" s="2"/>
      <c r="U8" s="2"/>
      <c r="V8" s="2" t="s">
        <v>17</v>
      </c>
      <c r="W8" s="2"/>
      <c r="X8" s="2"/>
      <c r="Y8" s="2"/>
      <c r="Z8" s="2"/>
      <c r="AA8" s="2" t="s">
        <v>9</v>
      </c>
      <c r="AB8" s="2" t="s">
        <v>9</v>
      </c>
      <c r="AC8" s="2" t="s">
        <v>9</v>
      </c>
      <c r="AD8" s="2"/>
      <c r="AE8" s="2"/>
      <c r="AF8" s="2"/>
      <c r="AG8" s="2"/>
      <c r="AH8" s="7">
        <f>COUNTA(Fevereiro[[#This Row],[1]:[29]])</f>
        <v>7</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COUNTA(Fevereiro[[#This Row],[1]:[29]])</f>
        <v>0</v>
      </c>
    </row>
    <row r="10" spans="2:34" ht="30" customHeight="1" x14ac:dyDescent="0.25">
      <c r="B10" s="1" t="s">
        <v>7</v>
      </c>
      <c r="C10" s="2"/>
      <c r="D10" s="2"/>
      <c r="E10" s="2" t="s">
        <v>17</v>
      </c>
      <c r="F10" s="2"/>
      <c r="G10" s="2"/>
      <c r="H10" s="2"/>
      <c r="I10" s="2"/>
      <c r="J10" s="2"/>
      <c r="K10" s="2"/>
      <c r="L10" s="2"/>
      <c r="M10" s="2"/>
      <c r="N10" s="2"/>
      <c r="O10" s="2"/>
      <c r="P10" s="2" t="s">
        <v>17</v>
      </c>
      <c r="Q10" s="2"/>
      <c r="R10" s="2"/>
      <c r="S10" s="2"/>
      <c r="T10" s="2" t="s">
        <v>15</v>
      </c>
      <c r="U10" s="2"/>
      <c r="V10" s="2"/>
      <c r="W10" s="2"/>
      <c r="X10" s="2"/>
      <c r="Y10" s="2"/>
      <c r="Z10" s="2"/>
      <c r="AA10" s="2"/>
      <c r="AB10" s="2"/>
      <c r="AC10" s="2"/>
      <c r="AD10" s="2" t="s">
        <v>17</v>
      </c>
      <c r="AE10" s="2"/>
      <c r="AF10" s="2"/>
      <c r="AG10" s="2"/>
      <c r="AH10" s="7">
        <f>COUNTA(Fevereiro[[#This Row],[1]:[29]])</f>
        <v>4</v>
      </c>
    </row>
    <row r="11" spans="2:34" ht="30" customHeight="1" x14ac:dyDescent="0.25">
      <c r="B11" s="1" t="s">
        <v>8</v>
      </c>
      <c r="C11" s="2"/>
      <c r="D11" s="2"/>
      <c r="E11" s="2"/>
      <c r="F11" s="2"/>
      <c r="G11" s="2"/>
      <c r="H11" s="2"/>
      <c r="I11" s="2"/>
      <c r="J11" s="2" t="s">
        <v>9</v>
      </c>
      <c r="K11" s="2" t="s">
        <v>9</v>
      </c>
      <c r="L11" s="2" t="s">
        <v>9</v>
      </c>
      <c r="M11" s="2" t="s">
        <v>9</v>
      </c>
      <c r="N11" s="2"/>
      <c r="O11" s="2"/>
      <c r="P11" s="2"/>
      <c r="Q11" s="2"/>
      <c r="R11" s="2"/>
      <c r="S11" s="2"/>
      <c r="T11" s="2"/>
      <c r="U11" s="2"/>
      <c r="V11" s="2"/>
      <c r="W11" s="2"/>
      <c r="X11" s="2"/>
      <c r="Y11" s="2"/>
      <c r="Z11" s="2" t="s">
        <v>17</v>
      </c>
      <c r="AA11" s="2"/>
      <c r="AB11" s="2"/>
      <c r="AC11" s="2"/>
      <c r="AD11" s="2"/>
      <c r="AE11" s="2"/>
      <c r="AF11" s="2"/>
      <c r="AG11" s="2"/>
      <c r="AH11" s="7">
        <f>COUNTA(Fevereiro[[#This Row],[1]:[29]])</f>
        <v>5</v>
      </c>
    </row>
    <row r="12" spans="2:34" ht="30" customHeight="1" x14ac:dyDescent="0.25">
      <c r="B12" s="16" t="str">
        <f>"Total de "&amp;NomeMês</f>
        <v>Total de Fevereiro</v>
      </c>
      <c r="C12" s="9">
        <f>SUBTOTAL(103,Fevereiro[1])</f>
        <v>0</v>
      </c>
      <c r="D12" s="9">
        <f>SUBTOTAL(103,Fevereiro[2])</f>
        <v>0</v>
      </c>
      <c r="E12" s="9">
        <f>SUBTOTAL(103,Fevereiro[3])</f>
        <v>2</v>
      </c>
      <c r="F12" s="9">
        <f>SUBTOTAL(103,Fevereiro[4])</f>
        <v>1</v>
      </c>
      <c r="G12" s="9">
        <f>SUBTOTAL(103,Fevereiro[5])</f>
        <v>2</v>
      </c>
      <c r="H12" s="9">
        <f>SUBTOTAL(103,Fevereiro[6])</f>
        <v>2</v>
      </c>
      <c r="I12" s="9">
        <f>SUBTOTAL(103,Fevereiro[7])</f>
        <v>0</v>
      </c>
      <c r="J12" s="9">
        <f>SUBTOTAL(103,Fevereiro[8])</f>
        <v>1</v>
      </c>
      <c r="K12" s="9">
        <f>SUBTOTAL(103,Fevereiro[9])</f>
        <v>1</v>
      </c>
      <c r="L12" s="9">
        <f>SUBTOTAL(103,Fevereiro[10])</f>
        <v>1</v>
      </c>
      <c r="M12" s="9">
        <f>SUBTOTAL(103,Fevereiro[11])</f>
        <v>2</v>
      </c>
      <c r="N12" s="9">
        <f>SUBTOTAL(103,Fevereiro[12])</f>
        <v>0</v>
      </c>
      <c r="O12" s="9">
        <f>SUBTOTAL(103,Fevereiro[13])</f>
        <v>1</v>
      </c>
      <c r="P12" s="9">
        <f>SUBTOTAL(103,Fevereiro[14])</f>
        <v>1</v>
      </c>
      <c r="Q12" s="9">
        <f>SUBTOTAL(103,Fevereiro[15])</f>
        <v>0</v>
      </c>
      <c r="R12" s="9">
        <f>SUBTOTAL(103,Fevereiro[16])</f>
        <v>0</v>
      </c>
      <c r="S12" s="9">
        <f>SUBTOTAL(103,Fevereiro[17])</f>
        <v>0</v>
      </c>
      <c r="T12" s="9">
        <f>SUBTOTAL(103,Fevereiro[18])</f>
        <v>1</v>
      </c>
      <c r="U12" s="9">
        <f>SUBTOTAL(103,Fevereiro[19])</f>
        <v>0</v>
      </c>
      <c r="V12" s="9">
        <f>SUBTOTAL(103,Fevereiro[20])</f>
        <v>1</v>
      </c>
      <c r="W12" s="9">
        <f>SUBTOTAL(103,Fevereiro[21])</f>
        <v>0</v>
      </c>
      <c r="X12" s="9">
        <f>SUBTOTAL(103,Fevereiro[22])</f>
        <v>0</v>
      </c>
      <c r="Y12" s="9">
        <f>SUBTOTAL(103,Fevereiro[23])</f>
        <v>0</v>
      </c>
      <c r="Z12" s="9">
        <f>SUBTOTAL(103,Fevereiro[24])</f>
        <v>1</v>
      </c>
      <c r="AA12" s="9">
        <f>SUBTOTAL(103,Fevereiro[25])</f>
        <v>1</v>
      </c>
      <c r="AB12" s="9">
        <f>SUBTOTAL(103,Fevereiro[26])</f>
        <v>1</v>
      </c>
      <c r="AC12" s="9">
        <f>SUBTOTAL(103,Fevereiro[27])</f>
        <v>1</v>
      </c>
      <c r="AD12" s="9">
        <f>SUBTOTAL(103,Fevereiro[28])</f>
        <v>1</v>
      </c>
      <c r="AE12" s="9">
        <f>SUBTOTAL(103,Fevereiro[29])</f>
        <v>0</v>
      </c>
      <c r="AF12" s="9"/>
      <c r="AG12" s="9"/>
      <c r="AH12" s="9">
        <f>SUBTOTAL(109,Fevereiro[Total de Dias])</f>
        <v>21</v>
      </c>
    </row>
  </sheetData>
  <mergeCells count="6">
    <mergeCell ref="C4:AG4"/>
    <mergeCell ref="D2:F2"/>
    <mergeCell ref="H2:J2"/>
    <mergeCell ref="T2:V2"/>
    <mergeCell ref="P2:R2"/>
    <mergeCell ref="L2:N2"/>
  </mergeCells>
  <conditionalFormatting sqref="AE6">
    <cfRule type="expression" dxfId="848" priority="16">
      <formula>MONTH(DATE(AnoCalendário,2,29))&lt;&gt;2</formula>
    </cfRule>
  </conditionalFormatting>
  <conditionalFormatting sqref="AE5">
    <cfRule type="expression" dxfId="847" priority="15">
      <formula>MONTH(DATE(AnoCalendário,2,29))&lt;&gt;2</formula>
    </cfRule>
  </conditionalFormatting>
  <conditionalFormatting sqref="C7:AG11">
    <cfRule type="expression" priority="2" stopIfTrue="1">
      <formula>C7=""</formula>
    </cfRule>
    <cfRule type="expression" dxfId="846" priority="3" stopIfTrue="1">
      <formula>C7=ChavePersonalizada2</formula>
    </cfRule>
  </conditionalFormatting>
  <conditionalFormatting sqref="C7:AG11">
    <cfRule type="expression" dxfId="845" priority="5" stopIfTrue="1">
      <formula>C7=ChavePersonalizada1</formula>
    </cfRule>
    <cfRule type="expression" dxfId="844" priority="6" stopIfTrue="1">
      <formula>C7=ChaveLicençaMédica</formula>
    </cfRule>
    <cfRule type="expression" dxfId="843" priority="7" stopIfTrue="1">
      <formula>C7=ChavePessoal</formula>
    </cfRule>
    <cfRule type="expression" dxfId="842" priority="8" stopIfTrue="1">
      <formula>C7=ChaveFérias</formula>
    </cfRule>
  </conditionalFormatting>
  <conditionalFormatting sqref="AH7:AH11">
    <cfRule type="dataBar" priority="153">
      <dataBar>
        <cfvo type="min"/>
        <cfvo type="formula" val="DATEDIF(DATE(AnoCalendário,2,1),DATE(AnoCalendário,3,1),&quot;d&quot;)"/>
        <color theme="2" tint="-0.249977111117893"/>
      </dataBar>
      <extLst>
        <ext xmlns:x14="http://schemas.microsoft.com/office/spreadsheetml/2009/9/main" uri="{B025F937-C7B1-47D3-B67F-A62EFF666E3E}">
          <x14:id>{94738C71-AB78-40C3-A818-D083AE35CC38}</x14:id>
        </ext>
      </extLst>
    </cfRule>
  </conditionalFormatting>
  <dataValidations xWindow="232" yWindow="365" count="13">
    <dataValidation allowBlank="1" showInputMessage="1" showErrorMessage="1" prompt="Ano atualizado automaticamente com base no ano inserido na planilha de janeiro." sqref="AH4" xr:uid="{00000000-0002-0000-0100-000000000000}"/>
    <dataValidation allowBlank="1" showInputMessage="1" showErrorMessage="1" prompt="Acompanhe as faltas de fevereiro nesta planilha." sqref="A1" xr:uid="{00000000-0002-0000-0100-000001000000}"/>
    <dataValidation allowBlank="1" showInputMessage="1" showErrorMessage="1" prompt="Calcula automaticamente o número total de dias em que um funcionário esteve ausente deste mês nesta coluna." sqref="AH6" xr:uid="{00000000-0002-0000-0100-000002000000}"/>
    <dataValidation allowBlank="1" showInputMessage="1" showErrorMessage="1" prompt="O título atualizado automaticamente está nesta célula. Para modificar o título, atualize B1 na planilha Janeiro." sqref="B1" xr:uid="{00000000-0002-0000-0100-000003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100-000004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100-000005000000}"/>
    <dataValidation allowBlank="1" showInputMessage="1" showErrorMessage="1" prompt="Esta linha define as chaves usadas na tabela: a célula C2 é Férias, G2 é Pessoal e K2 é Licença médica. As células N2 e R2 são personalizáveis." sqref="B2" xr:uid="{00000000-0002-0000-0100-000006000000}"/>
    <dataValidation allowBlank="1" showInputMessage="1" showErrorMessage="1" prompt="Digite um rótulo para descrever a chave personalizada à esquerda." sqref="S2:T2 O2:P2" xr:uid="{00000000-0002-0000-0100-000007000000}"/>
    <dataValidation allowBlank="1" showInputMessage="1" showErrorMessage="1" prompt="A letra &quot;L&quot; indica falta devido à licença médica." sqref="K2" xr:uid="{00000000-0002-0000-0100-000009000000}"/>
    <dataValidation allowBlank="1" showInputMessage="1" showErrorMessage="1" prompt="A letra &quot;P&quot; indica falta devido a motivos pessoais." sqref="G2" xr:uid="{00000000-0002-0000-0100-00000A000000}"/>
    <dataValidation allowBlank="1" showInputMessage="1" showErrorMessage="1" prompt="A letra &quot;F&quot; indica falta devido a férias." sqref="C2" xr:uid="{00000000-0002-0000-0100-00000B000000}"/>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100-00000C000000}"/>
    <dataValidation allowBlank="1" showInputMessage="1" showErrorMessage="1" prompt="Os dias do mês nesta linha são gerados automaticamente. Insira a falta e o tipo de falta de um funcionário em cada coluna de cada dia do mês. Espaço vazio significa sem faltas." sqref="C6" xr:uid="{00000000-0002-0000-01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94738C71-AB78-40C3-A818-D083AE35CC38}">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xWindow="232" yWindow="365" count="1">
        <x14:dataValidation type="list" allowBlank="1" showInputMessage="1" showErrorMessage="1" xr:uid="{00000000-0002-0000-0100-00000E000000}">
          <x14:formula1>
            <xm:f>'Nomes dos Funcionários'!$B$4:$B$8</xm:f>
          </x14:formula1>
          <xm:sqref>B7:B11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tint="-0.499984740745262"/>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54</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TEXT(WEEKDAY(DATE(AnoCalendário,3,1),1),"ddd")</f>
        <v>sex</v>
      </c>
      <c r="D5" s="2" t="str">
        <f>TEXT(WEEKDAY(DATE(AnoCalendário,3,2),1),"ddd")</f>
        <v>sáb</v>
      </c>
      <c r="E5" s="2" t="str">
        <f>TEXT(WEEKDAY(DATE(AnoCalendário,3,3),1),"ddd")</f>
        <v>dom</v>
      </c>
      <c r="F5" s="2" t="str">
        <f>TEXT(WEEKDAY(DATE(AnoCalendário,3,4),1),"ddd")</f>
        <v>seg</v>
      </c>
      <c r="G5" s="2" t="str">
        <f>TEXT(WEEKDAY(DATE(AnoCalendário,3,5),1),"ddd")</f>
        <v>ter</v>
      </c>
      <c r="H5" s="2" t="str">
        <f>TEXT(WEEKDAY(DATE(AnoCalendário,3,6),1),"ddd")</f>
        <v>qua</v>
      </c>
      <c r="I5" s="2" t="str">
        <f>TEXT(WEEKDAY(DATE(AnoCalendário,3,7),1),"ddd")</f>
        <v>qui</v>
      </c>
      <c r="J5" s="2" t="str">
        <f>TEXT(WEEKDAY(DATE(AnoCalendário,3,8),1),"ddd")</f>
        <v>sex</v>
      </c>
      <c r="K5" s="2" t="str">
        <f>TEXT(WEEKDAY(DATE(AnoCalendário,3,9),1),"ddd")</f>
        <v>sáb</v>
      </c>
      <c r="L5" s="2" t="str">
        <f>TEXT(WEEKDAY(DATE(AnoCalendário,3,10),1),"ddd")</f>
        <v>dom</v>
      </c>
      <c r="M5" s="2" t="str">
        <f>TEXT(WEEKDAY(DATE(AnoCalendário,3,11),1),"ddd")</f>
        <v>seg</v>
      </c>
      <c r="N5" s="2" t="str">
        <f>TEXT(WEEKDAY(DATE(AnoCalendário,3,12),1),"ddd")</f>
        <v>ter</v>
      </c>
      <c r="O5" s="2" t="str">
        <f>TEXT(WEEKDAY(DATE(AnoCalendário,3,13),1),"ddd")</f>
        <v>qua</v>
      </c>
      <c r="P5" s="2" t="str">
        <f>TEXT(WEEKDAY(DATE(AnoCalendário,3,14),1),"ddd")</f>
        <v>qui</v>
      </c>
      <c r="Q5" s="2" t="str">
        <f>TEXT(WEEKDAY(DATE(AnoCalendário,3,15),1),"ddd")</f>
        <v>sex</v>
      </c>
      <c r="R5" s="2" t="str">
        <f>TEXT(WEEKDAY(DATE(AnoCalendário,3,16),1),"ddd")</f>
        <v>sáb</v>
      </c>
      <c r="S5" s="2" t="str">
        <f>TEXT(WEEKDAY(DATE(AnoCalendário,3,17),1),"ddd")</f>
        <v>dom</v>
      </c>
      <c r="T5" s="2" t="str">
        <f>TEXT(WEEKDAY(DATE(AnoCalendário,3,18),1),"ddd")</f>
        <v>seg</v>
      </c>
      <c r="U5" s="2" t="str">
        <f>TEXT(WEEKDAY(DATE(AnoCalendário,3,19),1),"ddd")</f>
        <v>ter</v>
      </c>
      <c r="V5" s="2" t="str">
        <f>TEXT(WEEKDAY(DATE(AnoCalendário,3,20),1),"ddd")</f>
        <v>qua</v>
      </c>
      <c r="W5" s="2" t="str">
        <f>TEXT(WEEKDAY(DATE(AnoCalendário,3,21),1),"ddd")</f>
        <v>qui</v>
      </c>
      <c r="X5" s="2" t="str">
        <f>TEXT(WEEKDAY(DATE(AnoCalendário,3,22),1),"ddd")</f>
        <v>sex</v>
      </c>
      <c r="Y5" s="2" t="str">
        <f>TEXT(WEEKDAY(DATE(AnoCalendário,3,23),1),"ddd")</f>
        <v>sáb</v>
      </c>
      <c r="Z5" s="2" t="str">
        <f>TEXT(WEEKDAY(DATE(AnoCalendário,3,24),1),"ddd")</f>
        <v>dom</v>
      </c>
      <c r="AA5" s="2" t="str">
        <f>TEXT(WEEKDAY(DATE(AnoCalendário,3,25),1),"ddd")</f>
        <v>seg</v>
      </c>
      <c r="AB5" s="2" t="str">
        <f>TEXT(WEEKDAY(DATE(AnoCalendário,3,26),1),"ddd")</f>
        <v>ter</v>
      </c>
      <c r="AC5" s="2" t="str">
        <f>TEXT(WEEKDAY(DATE(AnoCalendário,3,27),1),"ddd")</f>
        <v>qua</v>
      </c>
      <c r="AD5" s="2" t="str">
        <f>TEXT(WEEKDAY(DATE(AnoCalendário,3,28),1),"ddd")</f>
        <v>qui</v>
      </c>
      <c r="AE5" s="2" t="str">
        <f>TEXT(WEEKDAY(DATE(AnoCalendário,3,29),1),"ddd")</f>
        <v>sex</v>
      </c>
      <c r="AF5" s="2" t="str">
        <f>TEXT(WEEKDAY(DATE(AnoCalendário,3,30),1),"ddd")</f>
        <v>sáb</v>
      </c>
      <c r="AG5" s="2" t="str">
        <f>TEXT(WEEKDAY(DATE(AnoCalendário,3,31),1),"ddd")</f>
        <v>dom</v>
      </c>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48</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COUNTA(Março[[#This Row],[1]:[31]])</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COUNTA(Março[[#This Row],[1]:[31]])</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COUNTA(Março[[#This Row],[1]:[31]])</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COUNTA(Março[[#This Row],[1]:[31]])</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COUNTA(Março[[#This Row],[1]:[31]])</f>
        <v>0</v>
      </c>
    </row>
    <row r="12" spans="2:34" ht="30" customHeight="1" x14ac:dyDescent="0.25">
      <c r="B12" s="16" t="str">
        <f>"Total de "&amp;NomeMês</f>
        <v>Total de Março</v>
      </c>
      <c r="C12" s="9">
        <f>SUBTOTAL(103,Março[1])</f>
        <v>0</v>
      </c>
      <c r="D12" s="9">
        <f>SUBTOTAL(103,Março[2])</f>
        <v>0</v>
      </c>
      <c r="E12" s="9">
        <f>SUBTOTAL(103,Março[3])</f>
        <v>0</v>
      </c>
      <c r="F12" s="9">
        <f>SUBTOTAL(103,Março[4])</f>
        <v>0</v>
      </c>
      <c r="G12" s="9">
        <f>SUBTOTAL(103,Março[5])</f>
        <v>0</v>
      </c>
      <c r="H12" s="9">
        <f>SUBTOTAL(103,Março[6])</f>
        <v>0</v>
      </c>
      <c r="I12" s="9">
        <f>SUBTOTAL(103,Março[7])</f>
        <v>0</v>
      </c>
      <c r="J12" s="9">
        <f>SUBTOTAL(103,Março[8])</f>
        <v>0</v>
      </c>
      <c r="K12" s="9">
        <f>SUBTOTAL(103,Março[9])</f>
        <v>0</v>
      </c>
      <c r="L12" s="9">
        <f>SUBTOTAL(103,Março[10])</f>
        <v>0</v>
      </c>
      <c r="M12" s="9">
        <f>SUBTOTAL(103,Março[11])</f>
        <v>0</v>
      </c>
      <c r="N12" s="9">
        <f>SUBTOTAL(103,Março[12])</f>
        <v>0</v>
      </c>
      <c r="O12" s="9">
        <f>SUBTOTAL(103,Março[13])</f>
        <v>0</v>
      </c>
      <c r="P12" s="9">
        <f>SUBTOTAL(103,Março[14])</f>
        <v>0</v>
      </c>
      <c r="Q12" s="9">
        <f>SUBTOTAL(103,Março[15])</f>
        <v>0</v>
      </c>
      <c r="R12" s="9">
        <f>SUBTOTAL(103,Março[16])</f>
        <v>0</v>
      </c>
      <c r="S12" s="9">
        <f>SUBTOTAL(103,Março[17])</f>
        <v>0</v>
      </c>
      <c r="T12" s="9">
        <f>SUBTOTAL(103,Março[18])</f>
        <v>0</v>
      </c>
      <c r="U12" s="9">
        <f>SUBTOTAL(103,Março[19])</f>
        <v>0</v>
      </c>
      <c r="V12" s="9">
        <f>SUBTOTAL(103,Março[20])</f>
        <v>0</v>
      </c>
      <c r="W12" s="9">
        <f>SUBTOTAL(103,Março[21])</f>
        <v>0</v>
      </c>
      <c r="X12" s="9">
        <f>SUBTOTAL(103,Março[22])</f>
        <v>0</v>
      </c>
      <c r="Y12" s="9">
        <f>SUBTOTAL(103,Março[23])</f>
        <v>0</v>
      </c>
      <c r="Z12" s="9">
        <f>SUBTOTAL(103,Março[24])</f>
        <v>0</v>
      </c>
      <c r="AA12" s="9">
        <f>SUBTOTAL(103,Março[25])</f>
        <v>0</v>
      </c>
      <c r="AB12" s="9">
        <f>SUBTOTAL(103,Março[26])</f>
        <v>0</v>
      </c>
      <c r="AC12" s="9">
        <f>SUBTOTAL(103,Março[27])</f>
        <v>0</v>
      </c>
      <c r="AD12" s="9">
        <f>SUBTOTAL(103,Março[28])</f>
        <v>0</v>
      </c>
      <c r="AE12" s="9">
        <f>SUBTOTAL(103,Março[29])</f>
        <v>0</v>
      </c>
      <c r="AF12" s="9">
        <f>SUBTOTAL(103,Março[30])</f>
        <v>0</v>
      </c>
      <c r="AG12" s="9">
        <f>SUBTOTAL(103,Março[31])</f>
        <v>0</v>
      </c>
      <c r="AH12" s="9">
        <f>SUBTOTAL(109,Março[Total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805" priority="2" stopIfTrue="1">
      <formula>C7=ChavePersonalizada2</formula>
    </cfRule>
    <cfRule type="expression" dxfId="804" priority="3" stopIfTrue="1">
      <formula>C7=ChavePersonalizada1</formula>
    </cfRule>
    <cfRule type="expression" dxfId="803" priority="4" stopIfTrue="1">
      <formula>C7=ChaveLicençaMédica</formula>
    </cfRule>
    <cfRule type="expression" dxfId="802" priority="5" stopIfTrue="1">
      <formula>C7=ChavePessoal</formula>
    </cfRule>
    <cfRule type="expression" dxfId="801" priority="6" stopIfTrue="1">
      <formula>C7=ChaveFérias</formula>
    </cfRule>
  </conditionalFormatting>
  <conditionalFormatting sqref="AH7:AH11">
    <cfRule type="dataBar" priority="7">
      <dataBar>
        <cfvo type="min"/>
        <cfvo type="formula" val="DATEDIF(DATE(AnoCalendário,2,1),DATE(AnoCalendário,3,1),&quot;d&quot;)"/>
        <color theme="2" tint="-0.249977111117893"/>
      </dataBar>
      <extLst>
        <ext xmlns:x14="http://schemas.microsoft.com/office/spreadsheetml/2009/9/main" uri="{B025F937-C7B1-47D3-B67F-A62EFF666E3E}">
          <x14:id>{7C2B6C3E-666E-4369-8C57-FD32A7D03A3C}</x14:id>
        </ext>
      </extLst>
    </cfRule>
  </conditionalFormatting>
  <dataValidations count="13">
    <dataValidation allowBlank="1" showInputMessage="1" showErrorMessage="1" prompt="Os dias do mês nesta linha são gerados automaticamente. Insira a falta e o tipo de falta de um funcionário em cada coluna de cada dia do mês. Espaço vazio significa sem faltas." sqref="C6" xr:uid="{00000000-0002-0000-0200-000000000000}"/>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200-000001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200-000002000000}"/>
    <dataValidation allowBlank="1" showInputMessage="1" showErrorMessage="1" prompt="Esta linha define as chaves usadas na tabela: a célula C2 é Férias, G2 é Pessoal e K2 é Licença médica. As células N2 e R2 são personalizáveis." sqref="B2" xr:uid="{00000000-0002-0000-0200-000003000000}"/>
    <dataValidation allowBlank="1" showInputMessage="1" showErrorMessage="1" prompt="Digite um rótulo para descrever a chave personalizada à esquerda." sqref="S2:T2 O2:P2" xr:uid="{00000000-0002-0000-0200-000004000000}"/>
    <dataValidation allowBlank="1" showInputMessage="1" showErrorMessage="1" prompt="A letra &quot;L&quot; indica falta devido à licença médica." sqref="K2" xr:uid="{00000000-0002-0000-0200-000006000000}"/>
    <dataValidation allowBlank="1" showInputMessage="1" showErrorMessage="1" prompt="A letra &quot;P&quot; indica falta devido a motivos pessoais." sqref="G2" xr:uid="{00000000-0002-0000-0200-000007000000}"/>
    <dataValidation allowBlank="1" showInputMessage="1" showErrorMessage="1" prompt="A letra &quot;F&quot; indica falta devido a férias." sqref="C2" xr:uid="{00000000-0002-0000-0200-000008000000}"/>
    <dataValidation allowBlank="1" showInputMessage="1" showErrorMessage="1" prompt="O título atualizado automaticamente está nesta célula. Para modificar o título, atualize B1 na planilha Janeiro." sqref="B1" xr:uid="{00000000-0002-0000-0200-000009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200-00000A000000}"/>
    <dataValidation allowBlank="1" showInputMessage="1" showErrorMessage="1" prompt="Acompanhe as faltas de março nesta planilha." sqref="A1" xr:uid="{00000000-0002-0000-0200-00000B000000}"/>
    <dataValidation allowBlank="1" showInputMessage="1" showErrorMessage="1" prompt="Calcula automaticamente o número total de dias em que um funcionário esteve ausente deste mês nesta coluna." sqref="AH6" xr:uid="{00000000-0002-0000-0200-00000C000000}"/>
    <dataValidation allowBlank="1" showInputMessage="1" showErrorMessage="1" prompt="Ano atualizado automaticamente com base no ano inserido na planilha de janeiro." sqref="AH4" xr:uid="{00000000-0002-0000-02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7C2B6C3E-666E-4369-8C57-FD32A7D03A3C}">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E000000}">
          <x14:formula1>
            <xm:f>'Nomes dos Funcionários'!$B$4:$B$8</xm:f>
          </x14:formula1>
          <xm:sqref>B7:B11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2" tint="-0.249977111117893"/>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55</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TEXT(WEEKDAY(DATE(AnoCalendário,4,1),1),"ddd")</f>
        <v>seg</v>
      </c>
      <c r="D5" s="2" t="str">
        <f>TEXT(WEEKDAY(DATE(AnoCalendário,4,2),1),"ddd")</f>
        <v>ter</v>
      </c>
      <c r="E5" s="2" t="str">
        <f>TEXT(WEEKDAY(DATE(AnoCalendário,4,3),1),"ddd")</f>
        <v>qua</v>
      </c>
      <c r="F5" s="2" t="str">
        <f>TEXT(WEEKDAY(DATE(AnoCalendário,4,4),1),"ddd")</f>
        <v>qui</v>
      </c>
      <c r="G5" s="2" t="str">
        <f>TEXT(WEEKDAY(DATE(AnoCalendário,4,5),1),"ddd")</f>
        <v>sex</v>
      </c>
      <c r="H5" s="2" t="str">
        <f>TEXT(WEEKDAY(DATE(AnoCalendário,4,6),1),"ddd")</f>
        <v>sáb</v>
      </c>
      <c r="I5" s="2" t="str">
        <f>TEXT(WEEKDAY(DATE(AnoCalendário,4,7),1),"ddd")</f>
        <v>dom</v>
      </c>
      <c r="J5" s="2" t="str">
        <f>TEXT(WEEKDAY(DATE(AnoCalendário,4,8),1),"ddd")</f>
        <v>seg</v>
      </c>
      <c r="K5" s="2" t="str">
        <f>TEXT(WEEKDAY(DATE(AnoCalendário,4,9),1),"ddd")</f>
        <v>ter</v>
      </c>
      <c r="L5" s="2" t="str">
        <f>TEXT(WEEKDAY(DATE(AnoCalendário,4,10),1),"ddd")</f>
        <v>qua</v>
      </c>
      <c r="M5" s="2" t="str">
        <f>TEXT(WEEKDAY(DATE(AnoCalendário,4,11),1),"ddd")</f>
        <v>qui</v>
      </c>
      <c r="N5" s="2" t="str">
        <f>TEXT(WEEKDAY(DATE(AnoCalendário,4,12),1),"ddd")</f>
        <v>sex</v>
      </c>
      <c r="O5" s="2" t="str">
        <f>TEXT(WEEKDAY(DATE(AnoCalendário,4,13),1),"ddd")</f>
        <v>sáb</v>
      </c>
      <c r="P5" s="2" t="str">
        <f>TEXT(WEEKDAY(DATE(AnoCalendário,4,14),1),"ddd")</f>
        <v>dom</v>
      </c>
      <c r="Q5" s="2" t="str">
        <f>TEXT(WEEKDAY(DATE(AnoCalendário,4,15),1),"ddd")</f>
        <v>seg</v>
      </c>
      <c r="R5" s="2" t="str">
        <f>TEXT(WEEKDAY(DATE(AnoCalendário,4,16),1),"ddd")</f>
        <v>ter</v>
      </c>
      <c r="S5" s="2" t="str">
        <f>TEXT(WEEKDAY(DATE(AnoCalendário,4,17),1),"ddd")</f>
        <v>qua</v>
      </c>
      <c r="T5" s="2" t="str">
        <f>TEXT(WEEKDAY(DATE(AnoCalendário,4,18),1),"ddd")</f>
        <v>qui</v>
      </c>
      <c r="U5" s="2" t="str">
        <f>TEXT(WEEKDAY(DATE(AnoCalendário,4,19),1),"ddd")</f>
        <v>sex</v>
      </c>
      <c r="V5" s="2" t="str">
        <f>TEXT(WEEKDAY(DATE(AnoCalendário,4,20),1),"ddd")</f>
        <v>sáb</v>
      </c>
      <c r="W5" s="2" t="str">
        <f>TEXT(WEEKDAY(DATE(AnoCalendário,4,21),1),"ddd")</f>
        <v>dom</v>
      </c>
      <c r="X5" s="2" t="str">
        <f>TEXT(WEEKDAY(DATE(AnoCalendário,4,22),1),"ddd")</f>
        <v>seg</v>
      </c>
      <c r="Y5" s="2" t="str">
        <f>TEXT(WEEKDAY(DATE(AnoCalendário,4,23),1),"ddd")</f>
        <v>ter</v>
      </c>
      <c r="Z5" s="2" t="str">
        <f>TEXT(WEEKDAY(DATE(AnoCalendário,4,24),1),"ddd")</f>
        <v>qua</v>
      </c>
      <c r="AA5" s="2" t="str">
        <f>TEXT(WEEKDAY(DATE(AnoCalendário,4,25),1),"ddd")</f>
        <v>qui</v>
      </c>
      <c r="AB5" s="2" t="str">
        <f>TEXT(WEEKDAY(DATE(AnoCalendário,4,26),1),"ddd")</f>
        <v>sex</v>
      </c>
      <c r="AC5" s="2" t="str">
        <f>TEXT(WEEKDAY(DATE(AnoCalendário,4,27),1),"ddd")</f>
        <v>sáb</v>
      </c>
      <c r="AD5" s="2" t="str">
        <f>TEXT(WEEKDAY(DATE(AnoCalendário,4,28),1),"ddd")</f>
        <v>dom</v>
      </c>
      <c r="AE5" s="2" t="str">
        <f>TEXT(WEEKDAY(DATE(AnoCalendário,4,29),1),"ddd")</f>
        <v>seg</v>
      </c>
      <c r="AF5" s="2" t="str">
        <f>TEXT(WEEKDAY(DATE(AnoCalendário,4,30),1),"ddd")</f>
        <v>ter</v>
      </c>
      <c r="AG5" s="2"/>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17" t="s">
        <v>52</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COUNTA(Abril[[#This Row],[1]:[30]])</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COUNTA(Abril[[#This Row],[1]:[30]])</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COUNTA(Abril[[#This Row],[1]:[30]])</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COUNTA(Abril[[#This Row],[1]:[30]])</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COUNTA(Abril[[#This Row],[1]:[30]])</f>
        <v>0</v>
      </c>
    </row>
    <row r="12" spans="2:34" ht="30" customHeight="1" x14ac:dyDescent="0.25">
      <c r="B12" s="16" t="str">
        <f>"Total de "&amp;NomeMês</f>
        <v>Total de Abril</v>
      </c>
      <c r="C12" s="9">
        <f>SUBTOTAL(103,Abril[1])</f>
        <v>0</v>
      </c>
      <c r="D12" s="9">
        <f>SUBTOTAL(103,Abril[2])</f>
        <v>0</v>
      </c>
      <c r="E12" s="9">
        <f>SUBTOTAL(103,Abril[3])</f>
        <v>0</v>
      </c>
      <c r="F12" s="9">
        <f>SUBTOTAL(103,Abril[4])</f>
        <v>0</v>
      </c>
      <c r="G12" s="9">
        <f>SUBTOTAL(103,Abril[5])</f>
        <v>0</v>
      </c>
      <c r="H12" s="9">
        <f>SUBTOTAL(103,Abril[6])</f>
        <v>0</v>
      </c>
      <c r="I12" s="9">
        <f>SUBTOTAL(103,Abril[7])</f>
        <v>0</v>
      </c>
      <c r="J12" s="9">
        <f>SUBTOTAL(103,Abril[8])</f>
        <v>0</v>
      </c>
      <c r="K12" s="9">
        <f>SUBTOTAL(103,Abril[9])</f>
        <v>0</v>
      </c>
      <c r="L12" s="9">
        <f>SUBTOTAL(103,Abril[10])</f>
        <v>0</v>
      </c>
      <c r="M12" s="9">
        <f>SUBTOTAL(103,Abril[11])</f>
        <v>0</v>
      </c>
      <c r="N12" s="9">
        <f>SUBTOTAL(103,Abril[12])</f>
        <v>0</v>
      </c>
      <c r="O12" s="9">
        <f>SUBTOTAL(103,Abril[13])</f>
        <v>0</v>
      </c>
      <c r="P12" s="9">
        <f>SUBTOTAL(103,Abril[14])</f>
        <v>0</v>
      </c>
      <c r="Q12" s="9">
        <f>SUBTOTAL(103,Abril[15])</f>
        <v>0</v>
      </c>
      <c r="R12" s="9">
        <f>SUBTOTAL(103,Abril[16])</f>
        <v>0</v>
      </c>
      <c r="S12" s="9">
        <f>SUBTOTAL(103,Abril[17])</f>
        <v>0</v>
      </c>
      <c r="T12" s="9">
        <f>SUBTOTAL(103,Abril[18])</f>
        <v>0</v>
      </c>
      <c r="U12" s="9">
        <f>SUBTOTAL(103,Abril[19])</f>
        <v>0</v>
      </c>
      <c r="V12" s="9">
        <f>SUBTOTAL(103,Abril[20])</f>
        <v>0</v>
      </c>
      <c r="W12" s="9">
        <f>SUBTOTAL(103,Abril[21])</f>
        <v>0</v>
      </c>
      <c r="X12" s="9">
        <f>SUBTOTAL(103,Abril[22])</f>
        <v>0</v>
      </c>
      <c r="Y12" s="9">
        <f>SUBTOTAL(103,Abril[23])</f>
        <v>0</v>
      </c>
      <c r="Z12" s="9">
        <f>SUBTOTAL(103,Abril[24])</f>
        <v>0</v>
      </c>
      <c r="AA12" s="9">
        <f>SUBTOTAL(103,Abril[25])</f>
        <v>0</v>
      </c>
      <c r="AB12" s="9">
        <f>SUBTOTAL(103,Abril[26])</f>
        <v>0</v>
      </c>
      <c r="AC12" s="9">
        <f>SUBTOTAL(103,Abril[27])</f>
        <v>0</v>
      </c>
      <c r="AD12" s="9">
        <f>SUBTOTAL(103,Abril[28])</f>
        <v>0</v>
      </c>
      <c r="AE12" s="9">
        <f>SUBTOTAL(103,Abril[29])</f>
        <v>0</v>
      </c>
      <c r="AF12" s="9">
        <f>SUBTOTAL(103,Abril[30])</f>
        <v>0</v>
      </c>
      <c r="AG12" s="9">
        <f>SUBTOTAL(103,Abril[30])</f>
        <v>0</v>
      </c>
      <c r="AH12" s="9">
        <f>SUBTOTAL(109,Abril[Total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764" priority="2" stopIfTrue="1">
      <formula>C7=ChavePersonalizada2</formula>
    </cfRule>
    <cfRule type="expression" dxfId="763" priority="3" stopIfTrue="1">
      <formula>C7=ChavePersonalizada1</formula>
    </cfRule>
    <cfRule type="expression" dxfId="762" priority="4" stopIfTrue="1">
      <formula>C7=ChaveLicençaMédica</formula>
    </cfRule>
    <cfRule type="expression" dxfId="761" priority="5" stopIfTrue="1">
      <formula>C7=ChavePessoal</formula>
    </cfRule>
    <cfRule type="expression" dxfId="760" priority="6" stopIfTrue="1">
      <formula>C7=ChaveFérias</formula>
    </cfRule>
  </conditionalFormatting>
  <conditionalFormatting sqref="AH7:AH11">
    <cfRule type="dataBar" priority="7">
      <dataBar>
        <cfvo type="min"/>
        <cfvo type="formula" val="DATEDIF(DATE(AnoCalendário,2,1),DATE(AnoCalendário,3,1),&quot;d&quot;)"/>
        <color theme="2" tint="-0.249977111117893"/>
      </dataBar>
      <extLst>
        <ext xmlns:x14="http://schemas.microsoft.com/office/spreadsheetml/2009/9/main" uri="{B025F937-C7B1-47D3-B67F-A62EFF666E3E}">
          <x14:id>{0C86709F-D813-4066-A3F1-C30F11214F4B}</x14:id>
        </ext>
      </extLst>
    </cfRule>
  </conditionalFormatting>
  <dataValidations count="13">
    <dataValidation allowBlank="1" showInputMessage="1" showErrorMessage="1" prompt="Ano atualizado automaticamente com base no ano inserido na planilha de janeiro." sqref="AH4" xr:uid="{00000000-0002-0000-0300-000000000000}"/>
    <dataValidation allowBlank="1" showInputMessage="1" showErrorMessage="1" prompt="Calcula automaticamente o número total de dias em que um funcionário esteve ausente deste mês nesta coluna." sqref="AH6" xr:uid="{00000000-0002-0000-0300-000001000000}"/>
    <dataValidation allowBlank="1" showInputMessage="1" showErrorMessage="1" prompt="Acompanhe as faltas de abril nesta planilha." sqref="A1" xr:uid="{00000000-0002-0000-0300-000002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300-000003000000}"/>
    <dataValidation allowBlank="1" showInputMessage="1" showErrorMessage="1" prompt="O título atualizado automaticamente está nesta célula. Para modificar o título, atualize B1 na planilha Janeiro." sqref="B1" xr:uid="{00000000-0002-0000-0300-000004000000}"/>
    <dataValidation allowBlank="1" showInputMessage="1" showErrorMessage="1" prompt="A letra &quot;F&quot; indica falta devido a férias." sqref="C2" xr:uid="{00000000-0002-0000-0300-000005000000}"/>
    <dataValidation allowBlank="1" showInputMessage="1" showErrorMessage="1" prompt="A letra &quot;P&quot; indica falta devido a motivos pessoais." sqref="G2" xr:uid="{00000000-0002-0000-0300-000006000000}"/>
    <dataValidation allowBlank="1" showInputMessage="1" showErrorMessage="1" prompt="A letra &quot;L&quot; indica falta devido à licença médica." sqref="K2" xr:uid="{00000000-0002-0000-0300-000007000000}"/>
    <dataValidation allowBlank="1" showInputMessage="1" showErrorMessage="1" prompt="Digite um rótulo para descrever a chave personalizada à esquerda." sqref="S2:T2 O2:P2" xr:uid="{00000000-0002-0000-0300-000009000000}"/>
    <dataValidation allowBlank="1" showInputMessage="1" showErrorMessage="1" prompt="Esta linha define as chaves usadas na tabela: a célula C2 é Férias, G2 é Pessoal e K2 é Licença médica. As células N2 e R2 são personalizáveis." sqref="B2" xr:uid="{00000000-0002-0000-0300-00000A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300-00000B000000}"/>
    <dataValidation allowBlank="1" showInputMessage="1" showErrorMessage="1" prompt="Os dias do mês nesta linha são gerados automaticamente. Insira a falta e o tipo de falta de um funcionário em cada coluna de cada dia do mês. Espaço vazio significa sem faltas." sqref="C6" xr:uid="{00000000-0002-0000-0300-00000C000000}"/>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3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C86709F-D813-4066-A3F1-C30F11214F4B}">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E000000}">
          <x14:formula1>
            <xm:f>'Nomes dos Funcionários'!$B$4:$B$8</xm:f>
          </x14:formula1>
          <xm:sqref>B7:B11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2" tint="-9.9978637043366805E-2"/>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64</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TEXT(WEEKDAY(DATE(AnoCalendário,5,1),1),"ddd")</f>
        <v>qua</v>
      </c>
      <c r="D5" s="2" t="str">
        <f>TEXT(WEEKDAY(DATE(AnoCalendário,5,2),1),"ddd")</f>
        <v>qui</v>
      </c>
      <c r="E5" s="2" t="str">
        <f>TEXT(WEEKDAY(DATE(AnoCalendário,5,3),1),"ddd")</f>
        <v>sex</v>
      </c>
      <c r="F5" s="2" t="str">
        <f>TEXT(WEEKDAY(DATE(AnoCalendário,5,4),1),"ddd")</f>
        <v>sáb</v>
      </c>
      <c r="G5" s="2" t="str">
        <f>TEXT(WEEKDAY(DATE(AnoCalendário,5,5),1),"ddd")</f>
        <v>dom</v>
      </c>
      <c r="H5" s="2" t="str">
        <f>TEXT(WEEKDAY(DATE(AnoCalendário,5,6),1),"ddd")</f>
        <v>seg</v>
      </c>
      <c r="I5" s="2" t="str">
        <f>TEXT(WEEKDAY(DATE(AnoCalendário,5,7),1),"ddd")</f>
        <v>ter</v>
      </c>
      <c r="J5" s="2" t="str">
        <f>TEXT(WEEKDAY(DATE(AnoCalendário,5,8),1),"ddd")</f>
        <v>qua</v>
      </c>
      <c r="K5" s="2" t="str">
        <f>TEXT(WEEKDAY(DATE(AnoCalendário,5,9),1),"ddd")</f>
        <v>qui</v>
      </c>
      <c r="L5" s="2" t="str">
        <f>TEXT(WEEKDAY(DATE(AnoCalendário,5,10),1),"ddd")</f>
        <v>sex</v>
      </c>
      <c r="M5" s="2" t="str">
        <f>TEXT(WEEKDAY(DATE(AnoCalendário,5,11),1),"ddd")</f>
        <v>sáb</v>
      </c>
      <c r="N5" s="2" t="str">
        <f>TEXT(WEEKDAY(DATE(AnoCalendário,5,12),1),"ddd")</f>
        <v>dom</v>
      </c>
      <c r="O5" s="2" t="str">
        <f>TEXT(WEEKDAY(DATE(AnoCalendário,5,13),1),"ddd")</f>
        <v>seg</v>
      </c>
      <c r="P5" s="2" t="str">
        <f>TEXT(WEEKDAY(DATE(AnoCalendário,5,14),1),"ddd")</f>
        <v>ter</v>
      </c>
      <c r="Q5" s="2" t="str">
        <f>TEXT(WEEKDAY(DATE(AnoCalendário,5,15),1),"ddd")</f>
        <v>qua</v>
      </c>
      <c r="R5" s="2" t="str">
        <f>TEXT(WEEKDAY(DATE(AnoCalendário,5,16),1),"ddd")</f>
        <v>qui</v>
      </c>
      <c r="S5" s="2" t="str">
        <f>TEXT(WEEKDAY(DATE(AnoCalendário,5,17),1),"ddd")</f>
        <v>sex</v>
      </c>
      <c r="T5" s="2" t="str">
        <f>TEXT(WEEKDAY(DATE(AnoCalendário,5,18),1),"ddd")</f>
        <v>sáb</v>
      </c>
      <c r="U5" s="2" t="str">
        <f>TEXT(WEEKDAY(DATE(AnoCalendário,5,19),1),"ddd")</f>
        <v>dom</v>
      </c>
      <c r="V5" s="2" t="str">
        <f>TEXT(WEEKDAY(DATE(AnoCalendário,5,20),1),"ddd")</f>
        <v>seg</v>
      </c>
      <c r="W5" s="2" t="str">
        <f>TEXT(WEEKDAY(DATE(AnoCalendário,5,21),1),"ddd")</f>
        <v>ter</v>
      </c>
      <c r="X5" s="2" t="str">
        <f>TEXT(WEEKDAY(DATE(AnoCalendário,5,22),1),"ddd")</f>
        <v>qua</v>
      </c>
      <c r="Y5" s="2" t="str">
        <f>TEXT(WEEKDAY(DATE(AnoCalendário,5,23),1),"ddd")</f>
        <v>qui</v>
      </c>
      <c r="Z5" s="2" t="str">
        <f>TEXT(WEEKDAY(DATE(AnoCalendário,5,24),1),"ddd")</f>
        <v>sex</v>
      </c>
      <c r="AA5" s="2" t="str">
        <f>TEXT(WEEKDAY(DATE(AnoCalendário,5,25),1),"ddd")</f>
        <v>sáb</v>
      </c>
      <c r="AB5" s="2" t="str">
        <f>TEXT(WEEKDAY(DATE(AnoCalendário,5,26),1),"ddd")</f>
        <v>dom</v>
      </c>
      <c r="AC5" s="2" t="str">
        <f>TEXT(WEEKDAY(DATE(AnoCalendário,5,27),1),"ddd")</f>
        <v>seg</v>
      </c>
      <c r="AD5" s="2" t="str">
        <f>TEXT(WEEKDAY(DATE(AnoCalendário,5,28),1),"ddd")</f>
        <v>ter</v>
      </c>
      <c r="AE5" s="2" t="str">
        <f>TEXT(WEEKDAY(DATE(AnoCalendário,5,29),1),"ddd")</f>
        <v>qua</v>
      </c>
      <c r="AF5" s="2" t="str">
        <f>TEXT(WEEKDAY(DATE(AnoCalendário,5,30),1),"ddd")</f>
        <v>qui</v>
      </c>
      <c r="AG5" s="2" t="str">
        <f>TEXT(WEEKDAY(DATE(AnoCalendário,5,31),1),"ddd")</f>
        <v>sex</v>
      </c>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48</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COUNTA(Maio[[#This Row],[1]:[31]])</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COUNTA(Maio[[#This Row],[1]:[31]])</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COUNTA(Maio[[#This Row],[1]:[31]])</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COUNTA(Maio[[#This Row],[1]:[31]])</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COUNTA(Maio[[#This Row],[1]:[31]])</f>
        <v>0</v>
      </c>
    </row>
    <row r="12" spans="2:34" ht="30" customHeight="1" x14ac:dyDescent="0.25">
      <c r="B12" s="16" t="str">
        <f>"Total de "&amp;NomeMês</f>
        <v>Total de Maio</v>
      </c>
      <c r="C12" s="9">
        <f>SUBTOTAL(103,Maio[1])</f>
        <v>0</v>
      </c>
      <c r="D12" s="9">
        <f>SUBTOTAL(103,Maio[2])</f>
        <v>0</v>
      </c>
      <c r="E12" s="9">
        <f>SUBTOTAL(103,Maio[3])</f>
        <v>0</v>
      </c>
      <c r="F12" s="9">
        <f>SUBTOTAL(103,Maio[4])</f>
        <v>0</v>
      </c>
      <c r="G12" s="9">
        <f>SUBTOTAL(103,Maio[5])</f>
        <v>0</v>
      </c>
      <c r="H12" s="9">
        <f>SUBTOTAL(103,Maio[6])</f>
        <v>0</v>
      </c>
      <c r="I12" s="9">
        <f>SUBTOTAL(103,Maio[7])</f>
        <v>0</v>
      </c>
      <c r="J12" s="9">
        <f>SUBTOTAL(103,Maio[8])</f>
        <v>0</v>
      </c>
      <c r="K12" s="9">
        <f>SUBTOTAL(103,Maio[9])</f>
        <v>0</v>
      </c>
      <c r="L12" s="9">
        <f>SUBTOTAL(103,Maio[10])</f>
        <v>0</v>
      </c>
      <c r="M12" s="9">
        <f>SUBTOTAL(103,Maio[11])</f>
        <v>0</v>
      </c>
      <c r="N12" s="9">
        <f>SUBTOTAL(103,Maio[12])</f>
        <v>0</v>
      </c>
      <c r="O12" s="9">
        <f>SUBTOTAL(103,Maio[13])</f>
        <v>0</v>
      </c>
      <c r="P12" s="9">
        <f>SUBTOTAL(103,Maio[14])</f>
        <v>0</v>
      </c>
      <c r="Q12" s="9">
        <f>SUBTOTAL(103,Maio[15])</f>
        <v>0</v>
      </c>
      <c r="R12" s="9">
        <f>SUBTOTAL(103,Maio[16])</f>
        <v>0</v>
      </c>
      <c r="S12" s="9">
        <f>SUBTOTAL(103,Maio[17])</f>
        <v>0</v>
      </c>
      <c r="T12" s="9">
        <f>SUBTOTAL(103,Maio[18])</f>
        <v>0</v>
      </c>
      <c r="U12" s="9">
        <f>SUBTOTAL(103,Maio[19])</f>
        <v>0</v>
      </c>
      <c r="V12" s="9">
        <f>SUBTOTAL(103,Maio[20])</f>
        <v>0</v>
      </c>
      <c r="W12" s="9">
        <f>SUBTOTAL(103,Maio[21])</f>
        <v>0</v>
      </c>
      <c r="X12" s="9">
        <f>SUBTOTAL(103,Maio[22])</f>
        <v>0</v>
      </c>
      <c r="Y12" s="9">
        <f>SUBTOTAL(103,Maio[23])</f>
        <v>0</v>
      </c>
      <c r="Z12" s="9">
        <f>SUBTOTAL(103,Maio[24])</f>
        <v>0</v>
      </c>
      <c r="AA12" s="9">
        <f>SUBTOTAL(103,Maio[25])</f>
        <v>0</v>
      </c>
      <c r="AB12" s="9">
        <f>SUBTOTAL(103,Maio[26])</f>
        <v>0</v>
      </c>
      <c r="AC12" s="9">
        <f>SUBTOTAL(103,Maio[27])</f>
        <v>0</v>
      </c>
      <c r="AD12" s="9">
        <f>SUBTOTAL(103,Maio[28])</f>
        <v>0</v>
      </c>
      <c r="AE12" s="9">
        <f>SUBTOTAL(103,Maio[29])</f>
        <v>0</v>
      </c>
      <c r="AF12" s="9">
        <f>SUBTOTAL(103,Maio[30])</f>
        <v>0</v>
      </c>
      <c r="AG12" s="9">
        <f>SUBTOTAL(103,Maio[31])</f>
        <v>0</v>
      </c>
      <c r="AH12" s="9">
        <f>SUBTOTAL(109,Maio[Total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723" priority="2" stopIfTrue="1">
      <formula>C7=ChavePersonalizada2</formula>
    </cfRule>
    <cfRule type="expression" dxfId="722" priority="3" stopIfTrue="1">
      <formula>C7=ChavePersonalizada1</formula>
    </cfRule>
    <cfRule type="expression" dxfId="721" priority="4" stopIfTrue="1">
      <formula>C7=ChaveLicençaMédica</formula>
    </cfRule>
    <cfRule type="expression" dxfId="720" priority="5" stopIfTrue="1">
      <formula>C7=ChavePessoal</formula>
    </cfRule>
    <cfRule type="expression" dxfId="719" priority="6" stopIfTrue="1">
      <formula>C7=ChaveFérias</formula>
    </cfRule>
  </conditionalFormatting>
  <conditionalFormatting sqref="AH7:AH11">
    <cfRule type="dataBar" priority="7">
      <dataBar>
        <cfvo type="min"/>
        <cfvo type="formula" val="DATEDIF(DATE(AnoCalendário,2,1),DATE(AnoCalendário,3,1),&quot;d&quot;)"/>
        <color theme="2" tint="-0.249977111117893"/>
      </dataBar>
      <extLst>
        <ext xmlns:x14="http://schemas.microsoft.com/office/spreadsheetml/2009/9/main" uri="{B025F937-C7B1-47D3-B67F-A62EFF666E3E}">
          <x14:id>{5670947F-8B3C-4A6C-A280-4F5E10811DCE}</x14:id>
        </ext>
      </extLst>
    </cfRule>
  </conditionalFormatting>
  <dataValidations count="13">
    <dataValidation allowBlank="1" showInputMessage="1" showErrorMessage="1" prompt="Os dias do mês nesta linha são gerados automaticamente. Insira a falta e o tipo de falta de um funcionário em cada coluna de cada dia do mês. Espaço vazio significa sem faltas." sqref="C6" xr:uid="{00000000-0002-0000-0400-000000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400-000001000000}"/>
    <dataValidation allowBlank="1" showInputMessage="1" showErrorMessage="1" prompt="Esta linha define as chaves usadas na tabela: a célula C2 é Férias, G2 é Pessoal e K2 é Licença médica. As células N2 e R2 são personalizáveis." sqref="B2" xr:uid="{00000000-0002-0000-0400-000002000000}"/>
    <dataValidation allowBlank="1" showInputMessage="1" showErrorMessage="1" prompt="Digite um rótulo para descrever a chave personalizada à esquerda." sqref="S2:T2 O2:P2" xr:uid="{00000000-0002-0000-0400-000003000000}"/>
    <dataValidation allowBlank="1" showInputMessage="1" showErrorMessage="1" prompt="A letra &quot;L&quot; indica falta devido à licença médica." sqref="K2" xr:uid="{00000000-0002-0000-0400-000005000000}"/>
    <dataValidation allowBlank="1" showInputMessage="1" showErrorMessage="1" prompt="A letra &quot;P&quot; indica falta devido a motivos pessoais." sqref="G2" xr:uid="{00000000-0002-0000-0400-000006000000}"/>
    <dataValidation allowBlank="1" showInputMessage="1" showErrorMessage="1" prompt="A letra &quot;F&quot; indica falta devido a férias." sqref="C2" xr:uid="{00000000-0002-0000-0400-000007000000}"/>
    <dataValidation allowBlank="1" showInputMessage="1" showErrorMessage="1" prompt="O título atualizado automaticamente está nesta célula. Para modificar o título, atualize B1 na planilha Janeiro." sqref="B1" xr:uid="{00000000-0002-0000-0400-000008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400-000009000000}"/>
    <dataValidation allowBlank="1" showInputMessage="1" showErrorMessage="1" prompt="Acompanhe as faltas em maio nesta planilha." sqref="A1" xr:uid="{00000000-0002-0000-0400-00000A000000}"/>
    <dataValidation allowBlank="1" showInputMessage="1" showErrorMessage="1" prompt="Calcula automaticamente o número total de dias em que um funcionário esteve ausente deste mês nesta coluna." sqref="AH6" xr:uid="{00000000-0002-0000-0400-00000B000000}"/>
    <dataValidation allowBlank="1" showInputMessage="1" showErrorMessage="1" prompt="Ano atualizado automaticamente com base no ano inserido na planilha de janeiro." sqref="AH4" xr:uid="{00000000-0002-0000-0400-00000C000000}"/>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4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5670947F-8B3C-4A6C-A280-4F5E10811DCE}">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E000000}">
          <x14:formula1>
            <xm:f>'Nomes dos Funcionários'!$B$4:$B$8</xm:f>
          </x14:formula1>
          <xm:sqref>B7:B11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2"/>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56</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TEXT(WEEKDAY(DATE(AnoCalendário,6,1),1),"ddd")</f>
        <v>sáb</v>
      </c>
      <c r="D5" s="2" t="str">
        <f>TEXT(WEEKDAY(DATE(AnoCalendário,6,2),1),"ddd")</f>
        <v>dom</v>
      </c>
      <c r="E5" s="2" t="str">
        <f>TEXT(WEEKDAY(DATE(AnoCalendário,6,3),1),"ddd")</f>
        <v>seg</v>
      </c>
      <c r="F5" s="2" t="str">
        <f>TEXT(WEEKDAY(DATE(AnoCalendário,6,4),1),"ddd")</f>
        <v>ter</v>
      </c>
      <c r="G5" s="2" t="str">
        <f>TEXT(WEEKDAY(DATE(AnoCalendário,6,5),1),"ddd")</f>
        <v>qua</v>
      </c>
      <c r="H5" s="2" t="str">
        <f>TEXT(WEEKDAY(DATE(AnoCalendário,6,6),1),"ddd")</f>
        <v>qui</v>
      </c>
      <c r="I5" s="2" t="str">
        <f>TEXT(WEEKDAY(DATE(AnoCalendário,6,7),1),"ddd")</f>
        <v>sex</v>
      </c>
      <c r="J5" s="2" t="str">
        <f>TEXT(WEEKDAY(DATE(AnoCalendário,6,8),1),"ddd")</f>
        <v>sáb</v>
      </c>
      <c r="K5" s="2" t="str">
        <f>TEXT(WEEKDAY(DATE(AnoCalendário,6,9),1),"ddd")</f>
        <v>dom</v>
      </c>
      <c r="L5" s="2" t="str">
        <f>TEXT(WEEKDAY(DATE(AnoCalendário,6,10),1),"ddd")</f>
        <v>seg</v>
      </c>
      <c r="M5" s="2" t="str">
        <f>TEXT(WEEKDAY(DATE(AnoCalendário,6,11),1),"ddd")</f>
        <v>ter</v>
      </c>
      <c r="N5" s="2" t="str">
        <f>TEXT(WEEKDAY(DATE(AnoCalendário,6,12),1),"ddd")</f>
        <v>qua</v>
      </c>
      <c r="O5" s="2" t="str">
        <f>TEXT(WEEKDAY(DATE(AnoCalendário,6,13),1),"ddd")</f>
        <v>qui</v>
      </c>
      <c r="P5" s="2" t="str">
        <f>TEXT(WEEKDAY(DATE(AnoCalendário,6,14),1),"ddd")</f>
        <v>sex</v>
      </c>
      <c r="Q5" s="2" t="str">
        <f>TEXT(WEEKDAY(DATE(AnoCalendário,6,15),1),"ddd")</f>
        <v>sáb</v>
      </c>
      <c r="R5" s="2" t="str">
        <f>TEXT(WEEKDAY(DATE(AnoCalendário,6,16),1),"ddd")</f>
        <v>dom</v>
      </c>
      <c r="S5" s="2" t="str">
        <f>TEXT(WEEKDAY(DATE(AnoCalendário,6,17),1),"ddd")</f>
        <v>seg</v>
      </c>
      <c r="T5" s="2" t="str">
        <f>TEXT(WEEKDAY(DATE(AnoCalendário,6,18),1),"ddd")</f>
        <v>ter</v>
      </c>
      <c r="U5" s="2" t="str">
        <f>TEXT(WEEKDAY(DATE(AnoCalendário,6,19),1),"ddd")</f>
        <v>qua</v>
      </c>
      <c r="V5" s="2" t="str">
        <f>TEXT(WEEKDAY(DATE(AnoCalendário,6,20),1),"ddd")</f>
        <v>qui</v>
      </c>
      <c r="W5" s="2" t="str">
        <f>TEXT(WEEKDAY(DATE(AnoCalendário,6,21),1),"ddd")</f>
        <v>sex</v>
      </c>
      <c r="X5" s="2" t="str">
        <f>TEXT(WEEKDAY(DATE(AnoCalendário,6,22),1),"ddd")</f>
        <v>sáb</v>
      </c>
      <c r="Y5" s="2" t="str">
        <f>TEXT(WEEKDAY(DATE(AnoCalendário,6,23),1),"ddd")</f>
        <v>dom</v>
      </c>
      <c r="Z5" s="2" t="str">
        <f>TEXT(WEEKDAY(DATE(AnoCalendário,6,24),1),"ddd")</f>
        <v>seg</v>
      </c>
      <c r="AA5" s="2" t="str">
        <f>TEXT(WEEKDAY(DATE(AnoCalendário,6,25),1),"ddd")</f>
        <v>ter</v>
      </c>
      <c r="AB5" s="2" t="str">
        <f>TEXT(WEEKDAY(DATE(AnoCalendário,6,26),1),"ddd")</f>
        <v>qua</v>
      </c>
      <c r="AC5" s="2" t="str">
        <f>TEXT(WEEKDAY(DATE(AnoCalendário,6,27),1),"ddd")</f>
        <v>qui</v>
      </c>
      <c r="AD5" s="2" t="str">
        <f>TEXT(WEEKDAY(DATE(AnoCalendário,6,28),1),"ddd")</f>
        <v>sex</v>
      </c>
      <c r="AE5" s="2" t="str">
        <f>TEXT(WEEKDAY(DATE(AnoCalendário,6,29),1),"ddd")</f>
        <v>sáb</v>
      </c>
      <c r="AF5" s="2" t="str">
        <f>TEXT(WEEKDAY(DATE(AnoCalendário,6,30),1),"ddd")</f>
        <v>dom</v>
      </c>
      <c r="AG5" s="2"/>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52</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COUNTA(Junho[[#This Row],[1]:[30]])</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COUNTA(Junho[[#This Row],[1]:[30]])</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COUNTA(Junho[[#This Row],[1]:[30]])</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COUNTA(Junho[[#This Row],[1]:[30]])</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COUNTA(Junho[[#This Row],[1]:[30]])</f>
        <v>0</v>
      </c>
    </row>
    <row r="12" spans="2:34" ht="30" customHeight="1" x14ac:dyDescent="0.25">
      <c r="B12" s="16" t="str">
        <f>"Total de "&amp;NomeMês</f>
        <v>Total de Junho</v>
      </c>
      <c r="C12" s="9">
        <f>SUBTOTAL(103,Junho[1])</f>
        <v>0</v>
      </c>
      <c r="D12" s="9">
        <f>SUBTOTAL(103,Junho[2])</f>
        <v>0</v>
      </c>
      <c r="E12" s="9">
        <f>SUBTOTAL(103,Junho[3])</f>
        <v>0</v>
      </c>
      <c r="F12" s="9">
        <f>SUBTOTAL(103,Junho[4])</f>
        <v>0</v>
      </c>
      <c r="G12" s="9">
        <f>SUBTOTAL(103,Junho[5])</f>
        <v>0</v>
      </c>
      <c r="H12" s="9">
        <f>SUBTOTAL(103,Junho[6])</f>
        <v>0</v>
      </c>
      <c r="I12" s="9">
        <f>SUBTOTAL(103,Junho[7])</f>
        <v>0</v>
      </c>
      <c r="J12" s="9">
        <f>SUBTOTAL(103,Junho[8])</f>
        <v>0</v>
      </c>
      <c r="K12" s="9">
        <f>SUBTOTAL(103,Junho[9])</f>
        <v>0</v>
      </c>
      <c r="L12" s="9">
        <f>SUBTOTAL(103,Junho[10])</f>
        <v>0</v>
      </c>
      <c r="M12" s="9">
        <f>SUBTOTAL(103,Junho[11])</f>
        <v>0</v>
      </c>
      <c r="N12" s="9">
        <f>SUBTOTAL(103,Junho[12])</f>
        <v>0</v>
      </c>
      <c r="O12" s="9">
        <f>SUBTOTAL(103,Junho[13])</f>
        <v>0</v>
      </c>
      <c r="P12" s="9">
        <f>SUBTOTAL(103,Junho[14])</f>
        <v>0</v>
      </c>
      <c r="Q12" s="9">
        <f>SUBTOTAL(103,Junho[15])</f>
        <v>0</v>
      </c>
      <c r="R12" s="9">
        <f>SUBTOTAL(103,Junho[16])</f>
        <v>0</v>
      </c>
      <c r="S12" s="9">
        <f>SUBTOTAL(103,Junho[17])</f>
        <v>0</v>
      </c>
      <c r="T12" s="9">
        <f>SUBTOTAL(103,Junho[18])</f>
        <v>0</v>
      </c>
      <c r="U12" s="9">
        <f>SUBTOTAL(103,Junho[19])</f>
        <v>0</v>
      </c>
      <c r="V12" s="9">
        <f>SUBTOTAL(103,Junho[20])</f>
        <v>0</v>
      </c>
      <c r="W12" s="9">
        <f>SUBTOTAL(103,Junho[21])</f>
        <v>0</v>
      </c>
      <c r="X12" s="9">
        <f>SUBTOTAL(103,Junho[22])</f>
        <v>0</v>
      </c>
      <c r="Y12" s="9">
        <f>SUBTOTAL(103,Junho[23])</f>
        <v>0</v>
      </c>
      <c r="Z12" s="9">
        <f>SUBTOTAL(103,Junho[24])</f>
        <v>0</v>
      </c>
      <c r="AA12" s="9">
        <f>SUBTOTAL(103,Junho[25])</f>
        <v>0</v>
      </c>
      <c r="AB12" s="9">
        <f>SUBTOTAL(103,Junho[26])</f>
        <v>0</v>
      </c>
      <c r="AC12" s="9">
        <f>SUBTOTAL(103,Junho[27])</f>
        <v>0</v>
      </c>
      <c r="AD12" s="9">
        <f>SUBTOTAL(103,Junho[28])</f>
        <v>0</v>
      </c>
      <c r="AE12" s="9">
        <f>SUBTOTAL(103,Junho[29])</f>
        <v>0</v>
      </c>
      <c r="AF12" s="9">
        <f>SUBTOTAL(103,Junho[30])</f>
        <v>0</v>
      </c>
      <c r="AG12" s="9">
        <f>SUBTOTAL(103,Junho[[ ]])</f>
        <v>0</v>
      </c>
      <c r="AH12" s="9">
        <f>SUBTOTAL(109,Junho[Total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682" priority="2" stopIfTrue="1">
      <formula>C7=ChavePersonalizada2</formula>
    </cfRule>
    <cfRule type="expression" dxfId="681" priority="3" stopIfTrue="1">
      <formula>C7=ChavePersonalizada1</formula>
    </cfRule>
    <cfRule type="expression" dxfId="680" priority="4" stopIfTrue="1">
      <formula>C7=ChaveLicençaMédica</formula>
    </cfRule>
    <cfRule type="expression" dxfId="679" priority="5" stopIfTrue="1">
      <formula>C7=ChavePessoal</formula>
    </cfRule>
    <cfRule type="expression" dxfId="678" priority="6" stopIfTrue="1">
      <formula>C7=ChaveFérias</formula>
    </cfRule>
  </conditionalFormatting>
  <conditionalFormatting sqref="AH7:AH11">
    <cfRule type="dataBar" priority="7">
      <dataBar>
        <cfvo type="min"/>
        <cfvo type="formula" val="DATEDIF(DATE(AnoCalendário,2,1),DATE(AnoCalendário,3,1),&quot;d&quot;)"/>
        <color theme="2" tint="-0.249977111117893"/>
      </dataBar>
      <extLst>
        <ext xmlns:x14="http://schemas.microsoft.com/office/spreadsheetml/2009/9/main" uri="{B025F937-C7B1-47D3-B67F-A62EFF666E3E}">
          <x14:id>{5E94D469-7B22-408B-924D-8DC8A136AD3B}</x14:id>
        </ext>
      </extLst>
    </cfRule>
  </conditionalFormatting>
  <dataValidations count="13">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500-000000000000}"/>
    <dataValidation allowBlank="1" showInputMessage="1" showErrorMessage="1" prompt="Ano atualizado automaticamente com base no ano inserido na planilha de janeiro." sqref="AH4" xr:uid="{00000000-0002-0000-0500-000001000000}"/>
    <dataValidation allowBlank="1" showInputMessage="1" showErrorMessage="1" prompt="Calcula automaticamente o número total de dias em que um funcionário esteve ausente deste mês nesta coluna." sqref="AH6" xr:uid="{00000000-0002-0000-0500-000002000000}"/>
    <dataValidation allowBlank="1" showInputMessage="1" showErrorMessage="1" prompt="Acompanhe as faltas de junho nesta planilha." sqref="A1" xr:uid="{00000000-0002-0000-0500-000003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500-000004000000}"/>
    <dataValidation allowBlank="1" showInputMessage="1" showErrorMessage="1" prompt="O título atualizado automaticamente está nesta célula. Para modificar o título, atualize B1 na planilha Janeiro." sqref="B1" xr:uid="{00000000-0002-0000-0500-000005000000}"/>
    <dataValidation allowBlank="1" showInputMessage="1" showErrorMessage="1" prompt="A letra &quot;F&quot; indica falta devido a férias." sqref="C2" xr:uid="{00000000-0002-0000-0500-000006000000}"/>
    <dataValidation allowBlank="1" showInputMessage="1" showErrorMessage="1" prompt="A letra &quot;P&quot; indica falta devido a motivos pessoais." sqref="G2" xr:uid="{00000000-0002-0000-0500-000007000000}"/>
    <dataValidation allowBlank="1" showInputMessage="1" showErrorMessage="1" prompt="A letra &quot;L&quot; indica falta devido à licença médica." sqref="K2" xr:uid="{00000000-0002-0000-0500-000008000000}"/>
    <dataValidation allowBlank="1" showInputMessage="1" showErrorMessage="1" prompt="Digite um rótulo para descrever a chave personalizada à esquerda." sqref="S2:T2 O2:P2" xr:uid="{00000000-0002-0000-0500-00000A000000}"/>
    <dataValidation allowBlank="1" showInputMessage="1" showErrorMessage="1" prompt="Esta linha define as chaves usadas na tabela: a célula C2 é Férias, G2 é Pessoal e K2 é Licença médica. As células N2 e R2 são personalizáveis." sqref="B2" xr:uid="{00000000-0002-0000-0500-00000B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500-00000C000000}"/>
    <dataValidation allowBlank="1" showInputMessage="1" showErrorMessage="1" prompt="Os dias do mês nesta linha são gerados automaticamente. Insira a falta e o tipo de falta de um funcionário em cada coluna de cada dia do mês. Espaço vazio significa sem faltas." sqref="C6" xr:uid="{00000000-0002-0000-05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5E94D469-7B22-408B-924D-8DC8A136AD3B}">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E000000}">
          <x14:formula1>
            <xm:f>'Nomes dos Funcionários'!$B$4:$B$8</xm:f>
          </x14:formula1>
          <xm:sqref>B7:B11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1"/>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57</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TEXT(WEEKDAY(DATE(AnoCalendário,7,1),1),"ddd")</f>
        <v>seg</v>
      </c>
      <c r="D5" s="2" t="str">
        <f>TEXT(WEEKDAY(DATE(AnoCalendário,7,2),1),"ddd")</f>
        <v>ter</v>
      </c>
      <c r="E5" s="2" t="str">
        <f>TEXT(WEEKDAY(DATE(AnoCalendário,7,3),1),"ddd")</f>
        <v>qua</v>
      </c>
      <c r="F5" s="2" t="str">
        <f>TEXT(WEEKDAY(DATE(AnoCalendário,7,4),1),"ddd")</f>
        <v>qui</v>
      </c>
      <c r="G5" s="2" t="str">
        <f>TEXT(WEEKDAY(DATE(AnoCalendário,7,5),1),"ddd")</f>
        <v>sex</v>
      </c>
      <c r="H5" s="2" t="str">
        <f>TEXT(WEEKDAY(DATE(AnoCalendário,7,6),1),"ddd")</f>
        <v>sáb</v>
      </c>
      <c r="I5" s="2" t="str">
        <f>TEXT(WEEKDAY(DATE(AnoCalendário,7,7),1),"ddd")</f>
        <v>dom</v>
      </c>
      <c r="J5" s="2" t="str">
        <f>TEXT(WEEKDAY(DATE(AnoCalendário,7,8),1),"ddd")</f>
        <v>seg</v>
      </c>
      <c r="K5" s="2" t="str">
        <f>TEXT(WEEKDAY(DATE(AnoCalendário,7,9),1),"ddd")</f>
        <v>ter</v>
      </c>
      <c r="L5" s="2" t="str">
        <f>TEXT(WEEKDAY(DATE(AnoCalendário,7,10),1),"ddd")</f>
        <v>qua</v>
      </c>
      <c r="M5" s="2" t="str">
        <f>TEXT(WEEKDAY(DATE(AnoCalendário,7,11),1),"ddd")</f>
        <v>qui</v>
      </c>
      <c r="N5" s="2" t="str">
        <f>TEXT(WEEKDAY(DATE(AnoCalendário,7,12),1),"ddd")</f>
        <v>sex</v>
      </c>
      <c r="O5" s="2" t="str">
        <f>TEXT(WEEKDAY(DATE(AnoCalendário,7,13),1),"ddd")</f>
        <v>sáb</v>
      </c>
      <c r="P5" s="2" t="str">
        <f>TEXT(WEEKDAY(DATE(AnoCalendário,7,14),1),"ddd")</f>
        <v>dom</v>
      </c>
      <c r="Q5" s="2" t="str">
        <f>TEXT(WEEKDAY(DATE(AnoCalendário,7,15),1),"ddd")</f>
        <v>seg</v>
      </c>
      <c r="R5" s="2" t="str">
        <f>TEXT(WEEKDAY(DATE(AnoCalendário,7,16),1),"ddd")</f>
        <v>ter</v>
      </c>
      <c r="S5" s="2" t="str">
        <f>TEXT(WEEKDAY(DATE(AnoCalendário,7,17),1),"ddd")</f>
        <v>qua</v>
      </c>
      <c r="T5" s="2" t="str">
        <f>TEXT(WEEKDAY(DATE(AnoCalendário,7,18),1),"ddd")</f>
        <v>qui</v>
      </c>
      <c r="U5" s="2" t="str">
        <f>TEXT(WEEKDAY(DATE(AnoCalendário,7,19),1),"ddd")</f>
        <v>sex</v>
      </c>
      <c r="V5" s="2" t="str">
        <f>TEXT(WEEKDAY(DATE(AnoCalendário,7,20),1),"ddd")</f>
        <v>sáb</v>
      </c>
      <c r="W5" s="2" t="str">
        <f>TEXT(WEEKDAY(DATE(AnoCalendário,7,21),1),"ddd")</f>
        <v>dom</v>
      </c>
      <c r="X5" s="2" t="str">
        <f>TEXT(WEEKDAY(DATE(AnoCalendário,7,22),1),"ddd")</f>
        <v>seg</v>
      </c>
      <c r="Y5" s="2" t="str">
        <f>TEXT(WEEKDAY(DATE(AnoCalendário,7,23),1),"ddd")</f>
        <v>ter</v>
      </c>
      <c r="Z5" s="2" t="str">
        <f>TEXT(WEEKDAY(DATE(AnoCalendário,7,24),1),"ddd")</f>
        <v>qua</v>
      </c>
      <c r="AA5" s="2" t="str">
        <f>TEXT(WEEKDAY(DATE(AnoCalendário,7,25),1),"ddd")</f>
        <v>qui</v>
      </c>
      <c r="AB5" s="2" t="str">
        <f>TEXT(WEEKDAY(DATE(AnoCalendário,7,26),1),"ddd")</f>
        <v>sex</v>
      </c>
      <c r="AC5" s="2" t="str">
        <f>TEXT(WEEKDAY(DATE(AnoCalendário,7,27),1),"ddd")</f>
        <v>sáb</v>
      </c>
      <c r="AD5" s="2" t="str">
        <f>TEXT(WEEKDAY(DATE(AnoCalendário,7,28),1),"ddd")</f>
        <v>dom</v>
      </c>
      <c r="AE5" s="2" t="str">
        <f>TEXT(WEEKDAY(DATE(AnoCalendário,7,29),1),"ddd")</f>
        <v>seg</v>
      </c>
      <c r="AF5" s="2" t="str">
        <f>TEXT(WEEKDAY(DATE(AnoCalendário,7,30),1),"ddd")</f>
        <v>ter</v>
      </c>
      <c r="AG5" s="2" t="str">
        <f>TEXT(WEEKDAY(DATE(AnoCalendário,7,31),1),"ddd")</f>
        <v>qua</v>
      </c>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48</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COUNTA(Julho[[#This Row],[1]:[31]])</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COUNTA(Julho[[#This Row],[1]:[31]])</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COUNTA(Julho[[#This Row],[1]:[31]])</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COUNTA(Julho[[#This Row],[1]:[31]])</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COUNTA(Julho[[#This Row],[1]:[31]])</f>
        <v>0</v>
      </c>
    </row>
    <row r="12" spans="2:34" ht="30" customHeight="1" x14ac:dyDescent="0.25">
      <c r="B12" s="16" t="str">
        <f>"Total de "&amp;NomeMês</f>
        <v>Total de Julho</v>
      </c>
      <c r="C12" s="9">
        <f>SUBTOTAL(103,Julho[1])</f>
        <v>0</v>
      </c>
      <c r="D12" s="9">
        <f>SUBTOTAL(103,Julho[2])</f>
        <v>0</v>
      </c>
      <c r="E12" s="9">
        <f>SUBTOTAL(103,Julho[3])</f>
        <v>0</v>
      </c>
      <c r="F12" s="9">
        <f>SUBTOTAL(103,Julho[4])</f>
        <v>0</v>
      </c>
      <c r="G12" s="9">
        <f>SUBTOTAL(103,Julho[5])</f>
        <v>0</v>
      </c>
      <c r="H12" s="9">
        <f>SUBTOTAL(103,Julho[6])</f>
        <v>0</v>
      </c>
      <c r="I12" s="9">
        <f>SUBTOTAL(103,Julho[7])</f>
        <v>0</v>
      </c>
      <c r="J12" s="9">
        <f>SUBTOTAL(103,Julho[8])</f>
        <v>0</v>
      </c>
      <c r="K12" s="9">
        <f>SUBTOTAL(103,Julho[9])</f>
        <v>0</v>
      </c>
      <c r="L12" s="9">
        <f>SUBTOTAL(103,Julho[10])</f>
        <v>0</v>
      </c>
      <c r="M12" s="9">
        <f>SUBTOTAL(103,Julho[11])</f>
        <v>0</v>
      </c>
      <c r="N12" s="9">
        <f>SUBTOTAL(103,Julho[12])</f>
        <v>0</v>
      </c>
      <c r="O12" s="9">
        <f>SUBTOTAL(103,Julho[13])</f>
        <v>0</v>
      </c>
      <c r="P12" s="9">
        <f>SUBTOTAL(103,Julho[14])</f>
        <v>0</v>
      </c>
      <c r="Q12" s="9">
        <f>SUBTOTAL(103,Julho[15])</f>
        <v>0</v>
      </c>
      <c r="R12" s="9">
        <f>SUBTOTAL(103,Julho[16])</f>
        <v>0</v>
      </c>
      <c r="S12" s="9">
        <f>SUBTOTAL(103,Julho[17])</f>
        <v>0</v>
      </c>
      <c r="T12" s="9">
        <f>SUBTOTAL(103,Julho[18])</f>
        <v>0</v>
      </c>
      <c r="U12" s="9">
        <f>SUBTOTAL(103,Julho[19])</f>
        <v>0</v>
      </c>
      <c r="V12" s="9">
        <f>SUBTOTAL(103,Julho[20])</f>
        <v>0</v>
      </c>
      <c r="W12" s="9">
        <f>SUBTOTAL(103,Julho[21])</f>
        <v>0</v>
      </c>
      <c r="X12" s="9">
        <f>SUBTOTAL(103,Julho[22])</f>
        <v>0</v>
      </c>
      <c r="Y12" s="9">
        <f>SUBTOTAL(103,Julho[23])</f>
        <v>0</v>
      </c>
      <c r="Z12" s="9">
        <f>SUBTOTAL(103,Julho[24])</f>
        <v>0</v>
      </c>
      <c r="AA12" s="9">
        <f>SUBTOTAL(103,Julho[25])</f>
        <v>0</v>
      </c>
      <c r="AB12" s="9">
        <f>SUBTOTAL(103,Julho[26])</f>
        <v>0</v>
      </c>
      <c r="AC12" s="9">
        <f>SUBTOTAL(103,Julho[27])</f>
        <v>0</v>
      </c>
      <c r="AD12" s="9">
        <f>SUBTOTAL(103,Julho[28])</f>
        <v>0</v>
      </c>
      <c r="AE12" s="9">
        <f>SUBTOTAL(103,Julho[29])</f>
        <v>0</v>
      </c>
      <c r="AF12" s="9">
        <f>SUBTOTAL(103,Julho[30])</f>
        <v>0</v>
      </c>
      <c r="AG12" s="9">
        <f>SUBTOTAL(103,Julho[31])</f>
        <v>0</v>
      </c>
      <c r="AH12" s="9">
        <f>SUBTOTAL(109,Julho[Total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641" priority="2" stopIfTrue="1">
      <formula>C7=ChavePersonalizada2</formula>
    </cfRule>
    <cfRule type="expression" dxfId="640" priority="3" stopIfTrue="1">
      <formula>C7=ChavePersonalizada1</formula>
    </cfRule>
    <cfRule type="expression" dxfId="639" priority="4" stopIfTrue="1">
      <formula>C7=ChaveLicençaMédica</formula>
    </cfRule>
    <cfRule type="expression" dxfId="638" priority="5" stopIfTrue="1">
      <formula>C7=ChavePessoal</formula>
    </cfRule>
    <cfRule type="expression" dxfId="637" priority="6" stopIfTrue="1">
      <formula>C7=ChaveFérias</formula>
    </cfRule>
  </conditionalFormatting>
  <conditionalFormatting sqref="AH7:AH11">
    <cfRule type="dataBar" priority="7">
      <dataBar>
        <cfvo type="min"/>
        <cfvo type="formula" val="DATEDIF(DATE(AnoCalendário,2,1),DATE(AnoCalendário,3,1),&quot;d&quot;)"/>
        <color theme="2" tint="-0.249977111117893"/>
      </dataBar>
      <extLst>
        <ext xmlns:x14="http://schemas.microsoft.com/office/spreadsheetml/2009/9/main" uri="{B025F937-C7B1-47D3-B67F-A62EFF666E3E}">
          <x14:id>{E0DCF129-9B2A-4CEB-9E56-27607F4BED20}</x14:id>
        </ext>
      </extLst>
    </cfRule>
  </conditionalFormatting>
  <dataValidations count="13">
    <dataValidation allowBlank="1" showInputMessage="1" showErrorMessage="1" prompt="Os dias do mês nesta linha são gerados automaticamente. Insira a falta e o tipo de falta de um funcionário em cada coluna de cada dia do mês. Espaço vazio significa sem faltas." sqref="C6" xr:uid="{00000000-0002-0000-0600-000000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600-000001000000}"/>
    <dataValidation allowBlank="1" showInputMessage="1" showErrorMessage="1" prompt="Esta linha define as chaves usadas na tabela: a célula C2 é Férias, G2 é Pessoal e K2 é Licença médica. As células N2 e R2 são personalizáveis." sqref="B2" xr:uid="{00000000-0002-0000-0600-000002000000}"/>
    <dataValidation allowBlank="1" showInputMessage="1" showErrorMessage="1" prompt="Digite um rótulo para descrever a chave personalizada à esquerda." sqref="S2:T2 O2:P2" xr:uid="{00000000-0002-0000-0600-000003000000}"/>
    <dataValidation allowBlank="1" showInputMessage="1" showErrorMessage="1" prompt="A letra &quot;L&quot; indica falta devido à licença médica." sqref="K2" xr:uid="{00000000-0002-0000-0600-000005000000}"/>
    <dataValidation allowBlank="1" showInputMessage="1" showErrorMessage="1" prompt="A letra &quot;P&quot; indica falta devido a motivos pessoais." sqref="G2" xr:uid="{00000000-0002-0000-0600-000006000000}"/>
    <dataValidation allowBlank="1" showInputMessage="1" showErrorMessage="1" prompt="A letra &quot;F&quot; indica falta devido a férias." sqref="C2" xr:uid="{00000000-0002-0000-0600-000007000000}"/>
    <dataValidation allowBlank="1" showInputMessage="1" showErrorMessage="1" prompt="O título atualizado automaticamente está nesta célula. Para modificar o título, atualize B1 na planilha Janeiro." sqref="B1" xr:uid="{00000000-0002-0000-0600-000008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600-000009000000}"/>
    <dataValidation allowBlank="1" showInputMessage="1" showErrorMessage="1" prompt="Acompanhe as faltas de julho nesta planilha" sqref="A1" xr:uid="{00000000-0002-0000-0600-00000A000000}"/>
    <dataValidation allowBlank="1" showInputMessage="1" showErrorMessage="1" prompt="Calcula automaticamente o número total de dias em que um funcionário esteve ausente deste mês nesta coluna." sqref="AH6" xr:uid="{00000000-0002-0000-0600-00000B000000}"/>
    <dataValidation allowBlank="1" showInputMessage="1" showErrorMessage="1" prompt="Ano atualizado automaticamente com base no ano inserido na planilha de janeiro." sqref="AH4" xr:uid="{00000000-0002-0000-0600-00000C000000}"/>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6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E0DCF129-9B2A-4CEB-9E56-27607F4BED20}">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E000000}">
          <x14:formula1>
            <xm:f>'Nomes dos Funcionários'!$B$4:$B$8</xm:f>
          </x14:formula1>
          <xm:sqref>B7:B11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2" tint="-0.749992370372631"/>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58</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TEXT(WEEKDAY(DATE(AnoCalendário,8,1),1),"ddd")</f>
        <v>qui</v>
      </c>
      <c r="D5" s="2" t="str">
        <f>TEXT(WEEKDAY(DATE(AnoCalendário,8,2),1),"ddd")</f>
        <v>sex</v>
      </c>
      <c r="E5" s="2" t="str">
        <f>TEXT(WEEKDAY(DATE(AnoCalendário,8,3),1),"ddd")</f>
        <v>sáb</v>
      </c>
      <c r="F5" s="2" t="str">
        <f>TEXT(WEEKDAY(DATE(AnoCalendário,8,4),1),"ddd")</f>
        <v>dom</v>
      </c>
      <c r="G5" s="2" t="str">
        <f>TEXT(WEEKDAY(DATE(AnoCalendário,8,5),1),"ddd")</f>
        <v>seg</v>
      </c>
      <c r="H5" s="2" t="str">
        <f>TEXT(WEEKDAY(DATE(AnoCalendário,8,6),1),"ddd")</f>
        <v>ter</v>
      </c>
      <c r="I5" s="2" t="str">
        <f>TEXT(WEEKDAY(DATE(AnoCalendário,8,7),1),"ddd")</f>
        <v>qua</v>
      </c>
      <c r="J5" s="2" t="str">
        <f>TEXT(WEEKDAY(DATE(AnoCalendário,8,8),1),"ddd")</f>
        <v>qui</v>
      </c>
      <c r="K5" s="2" t="str">
        <f>TEXT(WEEKDAY(DATE(AnoCalendário,8,9),1),"ddd")</f>
        <v>sex</v>
      </c>
      <c r="L5" s="2" t="str">
        <f>TEXT(WEEKDAY(DATE(AnoCalendário,8,10),1),"ddd")</f>
        <v>sáb</v>
      </c>
      <c r="M5" s="2" t="str">
        <f>TEXT(WEEKDAY(DATE(AnoCalendário,8,11),1),"ddd")</f>
        <v>dom</v>
      </c>
      <c r="N5" s="2" t="str">
        <f>TEXT(WEEKDAY(DATE(AnoCalendário,8,12),1),"ddd")</f>
        <v>seg</v>
      </c>
      <c r="O5" s="2" t="str">
        <f>TEXT(WEEKDAY(DATE(AnoCalendário,8,13),1),"ddd")</f>
        <v>ter</v>
      </c>
      <c r="P5" s="2" t="str">
        <f>TEXT(WEEKDAY(DATE(AnoCalendário,8,14),1),"ddd")</f>
        <v>qua</v>
      </c>
      <c r="Q5" s="2" t="str">
        <f>TEXT(WEEKDAY(DATE(AnoCalendário,8,15),1),"ddd")</f>
        <v>qui</v>
      </c>
      <c r="R5" s="2" t="str">
        <f>TEXT(WEEKDAY(DATE(AnoCalendário,8,16),1),"ddd")</f>
        <v>sex</v>
      </c>
      <c r="S5" s="2" t="str">
        <f>TEXT(WEEKDAY(DATE(AnoCalendário,8,17),1),"ddd")</f>
        <v>sáb</v>
      </c>
      <c r="T5" s="2" t="str">
        <f>TEXT(WEEKDAY(DATE(AnoCalendário,8,18),1),"ddd")</f>
        <v>dom</v>
      </c>
      <c r="U5" s="2" t="str">
        <f>TEXT(WEEKDAY(DATE(AnoCalendário,8,19),1),"ddd")</f>
        <v>seg</v>
      </c>
      <c r="V5" s="2" t="str">
        <f>TEXT(WEEKDAY(DATE(AnoCalendário,8,20),1),"ddd")</f>
        <v>ter</v>
      </c>
      <c r="W5" s="2" t="str">
        <f>TEXT(WEEKDAY(DATE(AnoCalendário,8,21),1),"ddd")</f>
        <v>qua</v>
      </c>
      <c r="X5" s="2" t="str">
        <f>TEXT(WEEKDAY(DATE(AnoCalendário,8,22),1),"ddd")</f>
        <v>qui</v>
      </c>
      <c r="Y5" s="2" t="str">
        <f>TEXT(WEEKDAY(DATE(AnoCalendário,8,23),1),"ddd")</f>
        <v>sex</v>
      </c>
      <c r="Z5" s="2" t="str">
        <f>TEXT(WEEKDAY(DATE(AnoCalendário,8,24),1),"ddd")</f>
        <v>sáb</v>
      </c>
      <c r="AA5" s="2" t="str">
        <f>TEXT(WEEKDAY(DATE(AnoCalendário,8,25),1),"ddd")</f>
        <v>dom</v>
      </c>
      <c r="AB5" s="2" t="str">
        <f>TEXT(WEEKDAY(DATE(AnoCalendário,8,26),1),"ddd")</f>
        <v>seg</v>
      </c>
      <c r="AC5" s="2" t="str">
        <f>TEXT(WEEKDAY(DATE(AnoCalendário,8,27),1),"ddd")</f>
        <v>ter</v>
      </c>
      <c r="AD5" s="2" t="str">
        <f>TEXT(WEEKDAY(DATE(AnoCalendário,8,28),1),"ddd")</f>
        <v>qua</v>
      </c>
      <c r="AE5" s="2" t="str">
        <f>TEXT(WEEKDAY(DATE(AnoCalendário,8,29),1),"ddd")</f>
        <v>qui</v>
      </c>
      <c r="AF5" s="2" t="str">
        <f>TEXT(WEEKDAY(DATE(AnoCalendário,8,30),1),"ddd")</f>
        <v>sex</v>
      </c>
      <c r="AG5" s="2" t="str">
        <f>TEXT(WEEKDAY(DATE(AnoCalendário,8,31),1),"ddd")</f>
        <v>sáb</v>
      </c>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48</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COUNTA(Agosto[[#This Row],[1]:[31]])</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COUNTA(Agosto[[#This Row],[1]:[31]])</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COUNTA(Agosto[[#This Row],[1]:[31]])</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COUNTA(Agosto[[#This Row],[1]:[31]])</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COUNTA(Agosto[[#This Row],[1]:[31]])</f>
        <v>0</v>
      </c>
    </row>
    <row r="12" spans="2:34" ht="30" customHeight="1" x14ac:dyDescent="0.25">
      <c r="B12" s="16" t="str">
        <f>"Total de "&amp;NomeMês</f>
        <v>Total de Agosto</v>
      </c>
      <c r="C12" s="9">
        <f>SUBTOTAL(103,Agosto[1])</f>
        <v>0</v>
      </c>
      <c r="D12" s="9">
        <f>SUBTOTAL(103,Agosto[2])</f>
        <v>0</v>
      </c>
      <c r="E12" s="9">
        <f>SUBTOTAL(103,Agosto[3])</f>
        <v>0</v>
      </c>
      <c r="F12" s="9">
        <f>SUBTOTAL(103,Agosto[4])</f>
        <v>0</v>
      </c>
      <c r="G12" s="9">
        <f>SUBTOTAL(103,Agosto[5])</f>
        <v>0</v>
      </c>
      <c r="H12" s="9">
        <f>SUBTOTAL(103,Agosto[6])</f>
        <v>0</v>
      </c>
      <c r="I12" s="9">
        <f>SUBTOTAL(103,Agosto[7])</f>
        <v>0</v>
      </c>
      <c r="J12" s="9">
        <f>SUBTOTAL(103,Agosto[8])</f>
        <v>0</v>
      </c>
      <c r="K12" s="9">
        <f>SUBTOTAL(103,Agosto[9])</f>
        <v>0</v>
      </c>
      <c r="L12" s="9">
        <f>SUBTOTAL(103,Agosto[10])</f>
        <v>0</v>
      </c>
      <c r="M12" s="9">
        <f>SUBTOTAL(103,Agosto[11])</f>
        <v>0</v>
      </c>
      <c r="N12" s="9">
        <f>SUBTOTAL(103,Agosto[12])</f>
        <v>0</v>
      </c>
      <c r="O12" s="9">
        <f>SUBTOTAL(103,Agosto[13])</f>
        <v>0</v>
      </c>
      <c r="P12" s="9">
        <f>SUBTOTAL(103,Agosto[14])</f>
        <v>0</v>
      </c>
      <c r="Q12" s="9">
        <f>SUBTOTAL(103,Agosto[15])</f>
        <v>0</v>
      </c>
      <c r="R12" s="9">
        <f>SUBTOTAL(103,Agosto[16])</f>
        <v>0</v>
      </c>
      <c r="S12" s="9">
        <f>SUBTOTAL(103,Agosto[17])</f>
        <v>0</v>
      </c>
      <c r="T12" s="9">
        <f>SUBTOTAL(103,Agosto[18])</f>
        <v>0</v>
      </c>
      <c r="U12" s="9">
        <f>SUBTOTAL(103,Agosto[19])</f>
        <v>0</v>
      </c>
      <c r="V12" s="9">
        <f>SUBTOTAL(103,Agosto[20])</f>
        <v>0</v>
      </c>
      <c r="W12" s="9">
        <f>SUBTOTAL(103,Agosto[21])</f>
        <v>0</v>
      </c>
      <c r="X12" s="9">
        <f>SUBTOTAL(103,Agosto[22])</f>
        <v>0</v>
      </c>
      <c r="Y12" s="9">
        <f>SUBTOTAL(103,Agosto[23])</f>
        <v>0</v>
      </c>
      <c r="Z12" s="9">
        <f>SUBTOTAL(103,Agosto[24])</f>
        <v>0</v>
      </c>
      <c r="AA12" s="9">
        <f>SUBTOTAL(103,Agosto[25])</f>
        <v>0</v>
      </c>
      <c r="AB12" s="9">
        <f>SUBTOTAL(103,Agosto[26])</f>
        <v>0</v>
      </c>
      <c r="AC12" s="9">
        <f>SUBTOTAL(103,Agosto[27])</f>
        <v>0</v>
      </c>
      <c r="AD12" s="9">
        <f>SUBTOTAL(103,Agosto[28])</f>
        <v>0</v>
      </c>
      <c r="AE12" s="9">
        <f>SUBTOTAL(103,Agosto[29])</f>
        <v>0</v>
      </c>
      <c r="AF12" s="9">
        <f>SUBTOTAL(103,Agosto[30])</f>
        <v>0</v>
      </c>
      <c r="AG12" s="9">
        <f>SUBTOTAL(103,Agosto[31])</f>
        <v>0</v>
      </c>
      <c r="AH12" s="9">
        <f>SUBTOTAL(109,Agosto[Total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600" priority="2" stopIfTrue="1">
      <formula>C7=ChavePersonalizada2</formula>
    </cfRule>
    <cfRule type="expression" dxfId="599" priority="3" stopIfTrue="1">
      <formula>C7=ChavePersonalizada1</formula>
    </cfRule>
    <cfRule type="expression" dxfId="598" priority="4" stopIfTrue="1">
      <formula>C7=ChaveLicençaMédica</formula>
    </cfRule>
    <cfRule type="expression" dxfId="597" priority="5" stopIfTrue="1">
      <formula>C7=ChavePessoal</formula>
    </cfRule>
    <cfRule type="expression" dxfId="596" priority="6" stopIfTrue="1">
      <formula>C7=ChaveFérias</formula>
    </cfRule>
  </conditionalFormatting>
  <conditionalFormatting sqref="AH7:AH11">
    <cfRule type="dataBar" priority="7">
      <dataBar>
        <cfvo type="min"/>
        <cfvo type="formula" val="DATEDIF(DATE(AnoCalendário,2,1),DATE(AnoCalendário,3,1),&quot;d&quot;)"/>
        <color theme="2" tint="-0.249977111117893"/>
      </dataBar>
      <extLst>
        <ext xmlns:x14="http://schemas.microsoft.com/office/spreadsheetml/2009/9/main" uri="{B025F937-C7B1-47D3-B67F-A62EFF666E3E}">
          <x14:id>{09900229-9536-43AB-AAE0-FC121BDECD61}</x14:id>
        </ext>
      </extLst>
    </cfRule>
  </conditionalFormatting>
  <dataValidations count="13">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700-000000000000}"/>
    <dataValidation allowBlank="1" showInputMessage="1" showErrorMessage="1" prompt="Ano atualizado automaticamente com base no ano inserido na planilha de janeiro." sqref="AH4" xr:uid="{00000000-0002-0000-0700-000001000000}"/>
    <dataValidation allowBlank="1" showInputMessage="1" showErrorMessage="1" prompt="Calcula automaticamente o número total de dias em que um funcionário esteve ausente deste mês nesta coluna." sqref="AH6" xr:uid="{00000000-0002-0000-0700-000002000000}"/>
    <dataValidation allowBlank="1" showInputMessage="1" showErrorMessage="1" prompt="Acompanhe as faltas de agosto nesta planilha." sqref="A1" xr:uid="{00000000-0002-0000-0700-000003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700-000004000000}"/>
    <dataValidation allowBlank="1" showInputMessage="1" showErrorMessage="1" prompt="O título atualizado automaticamente está nesta célula. Para modificar o título, atualize B1 na planilha Janeiro." sqref="B1" xr:uid="{00000000-0002-0000-0700-000005000000}"/>
    <dataValidation allowBlank="1" showInputMessage="1" showErrorMessage="1" prompt="A letra &quot;F&quot; indica falta devido a férias." sqref="C2" xr:uid="{00000000-0002-0000-0700-000006000000}"/>
    <dataValidation allowBlank="1" showInputMessage="1" showErrorMessage="1" prompt="A letra &quot;P&quot; indica falta devido a motivos pessoais." sqref="G2" xr:uid="{00000000-0002-0000-0700-000007000000}"/>
    <dataValidation allowBlank="1" showInputMessage="1" showErrorMessage="1" prompt="A letra &quot;L&quot; indica falta devido à licença médica." sqref="K2" xr:uid="{00000000-0002-0000-0700-000008000000}"/>
    <dataValidation allowBlank="1" showInputMessage="1" showErrorMessage="1" prompt="Digite um rótulo para descrever a chave personalizada à esquerda." sqref="S2:T2 O2:P2" xr:uid="{00000000-0002-0000-0700-00000A000000}"/>
    <dataValidation allowBlank="1" showInputMessage="1" showErrorMessage="1" prompt="Esta linha define as chaves usadas na tabela: a célula C2 é Férias, G2 é Pessoal e K2 é Licença médica. As células N2 e R2 são personalizáveis." sqref="B2" xr:uid="{00000000-0002-0000-0700-00000B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700-00000C000000}"/>
    <dataValidation allowBlank="1" showInputMessage="1" showErrorMessage="1" prompt="Os dias do mês nesta linha são gerados automaticamente. Insira a falta e o tipo de falta de um funcionário em cada coluna de cada dia do mês. Espaço vazio significa sem faltas." sqref="C6" xr:uid="{00000000-0002-0000-07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9900229-9536-43AB-AAE0-FC121BDECD61}">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E000000}">
          <x14:formula1>
            <xm:f>'Nomes dos Funcionários'!$B$4:$B$8</xm:f>
          </x14:formula1>
          <xm:sqref>B7:B11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2" tint="-0.499984740745262"/>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59</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TEXT(WEEKDAY(DATE(AnoCalendário,9,1),1),"ddd")</f>
        <v>dom</v>
      </c>
      <c r="D5" s="2" t="str">
        <f>TEXT(WEEKDAY(DATE(AnoCalendário,9,2),1),"ddd")</f>
        <v>seg</v>
      </c>
      <c r="E5" s="2" t="str">
        <f>TEXT(WEEKDAY(DATE(AnoCalendário,9,3),1),"ddd")</f>
        <v>ter</v>
      </c>
      <c r="F5" s="2" t="str">
        <f>TEXT(WEEKDAY(DATE(AnoCalendário,9,4),1),"ddd")</f>
        <v>qua</v>
      </c>
      <c r="G5" s="2" t="str">
        <f>TEXT(WEEKDAY(DATE(AnoCalendário,9,5),1),"ddd")</f>
        <v>qui</v>
      </c>
      <c r="H5" s="2" t="str">
        <f>TEXT(WEEKDAY(DATE(AnoCalendário,9,6),1),"ddd")</f>
        <v>sex</v>
      </c>
      <c r="I5" s="2" t="str">
        <f>TEXT(WEEKDAY(DATE(AnoCalendário,9,7),1),"ddd")</f>
        <v>sáb</v>
      </c>
      <c r="J5" s="2" t="str">
        <f>TEXT(WEEKDAY(DATE(AnoCalendário,9,8),1),"ddd")</f>
        <v>dom</v>
      </c>
      <c r="K5" s="2" t="str">
        <f>TEXT(WEEKDAY(DATE(AnoCalendário,9,9),1),"ddd")</f>
        <v>seg</v>
      </c>
      <c r="L5" s="2" t="str">
        <f>TEXT(WEEKDAY(DATE(AnoCalendário,9,10),1),"ddd")</f>
        <v>ter</v>
      </c>
      <c r="M5" s="2" t="str">
        <f>TEXT(WEEKDAY(DATE(AnoCalendário,9,11),1),"ddd")</f>
        <v>qua</v>
      </c>
      <c r="N5" s="2" t="str">
        <f>TEXT(WEEKDAY(DATE(AnoCalendário,9,12),1),"ddd")</f>
        <v>qui</v>
      </c>
      <c r="O5" s="2" t="str">
        <f>TEXT(WEEKDAY(DATE(AnoCalendário,9,13),1),"ddd")</f>
        <v>sex</v>
      </c>
      <c r="P5" s="2" t="str">
        <f>TEXT(WEEKDAY(DATE(AnoCalendário,9,14),1),"ddd")</f>
        <v>sáb</v>
      </c>
      <c r="Q5" s="2" t="str">
        <f>TEXT(WEEKDAY(DATE(AnoCalendário,9,15),1),"ddd")</f>
        <v>dom</v>
      </c>
      <c r="R5" s="2" t="str">
        <f>TEXT(WEEKDAY(DATE(AnoCalendário,9,16),1),"ddd")</f>
        <v>seg</v>
      </c>
      <c r="S5" s="2" t="str">
        <f>TEXT(WEEKDAY(DATE(AnoCalendário,9,17),1),"ddd")</f>
        <v>ter</v>
      </c>
      <c r="T5" s="2" t="str">
        <f>TEXT(WEEKDAY(DATE(AnoCalendário,9,18),1),"ddd")</f>
        <v>qua</v>
      </c>
      <c r="U5" s="2" t="str">
        <f>TEXT(WEEKDAY(DATE(AnoCalendário,9,19),1),"ddd")</f>
        <v>qui</v>
      </c>
      <c r="V5" s="2" t="str">
        <f>TEXT(WEEKDAY(DATE(AnoCalendário,9,20),1),"ddd")</f>
        <v>sex</v>
      </c>
      <c r="W5" s="2" t="str">
        <f>TEXT(WEEKDAY(DATE(AnoCalendário,9,21),1),"ddd")</f>
        <v>sáb</v>
      </c>
      <c r="X5" s="2" t="str">
        <f>TEXT(WEEKDAY(DATE(AnoCalendário,9,22),1),"ddd")</f>
        <v>dom</v>
      </c>
      <c r="Y5" s="2" t="str">
        <f>TEXT(WEEKDAY(DATE(AnoCalendário,9,23),1),"ddd")</f>
        <v>seg</v>
      </c>
      <c r="Z5" s="2" t="str">
        <f>TEXT(WEEKDAY(DATE(AnoCalendário,9,24),1),"ddd")</f>
        <v>ter</v>
      </c>
      <c r="AA5" s="2" t="str">
        <f>TEXT(WEEKDAY(DATE(AnoCalendário,9,25),1),"ddd")</f>
        <v>qua</v>
      </c>
      <c r="AB5" s="2" t="str">
        <f>TEXT(WEEKDAY(DATE(AnoCalendário,9,26),1),"ddd")</f>
        <v>qui</v>
      </c>
      <c r="AC5" s="2" t="str">
        <f>TEXT(WEEKDAY(DATE(AnoCalendário,9,27),1),"ddd")</f>
        <v>sex</v>
      </c>
      <c r="AD5" s="2" t="str">
        <f>TEXT(WEEKDAY(DATE(AnoCalendário,9,28),1),"ddd")</f>
        <v>sáb</v>
      </c>
      <c r="AE5" s="2" t="str">
        <f>TEXT(WEEKDAY(DATE(AnoCalendário,9,29),1),"ddd")</f>
        <v>dom</v>
      </c>
      <c r="AF5" s="2" t="str">
        <f>TEXT(WEEKDAY(DATE(AnoCalendário,9,30),1),"ddd")</f>
        <v>seg</v>
      </c>
      <c r="AG5" s="2"/>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52</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COUNTA(Setembro[[#This Row],[1]:[30]])</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COUNTA(Setembro[[#This Row],[1]:[30]])</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COUNTA(Setembro[[#This Row],[1]:[30]])</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COUNTA(Setembro[[#This Row],[1]:[30]])</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COUNTA(Setembro[[#This Row],[1]:[30]])</f>
        <v>0</v>
      </c>
    </row>
    <row r="12" spans="2:34" ht="30" customHeight="1" x14ac:dyDescent="0.25">
      <c r="B12" s="16" t="str">
        <f>"Total de "&amp;NomeMês</f>
        <v>Total de Setembro</v>
      </c>
      <c r="C12" s="9">
        <f>SUBTOTAL(103,Setembro[1])</f>
        <v>0</v>
      </c>
      <c r="D12" s="9">
        <f>SUBTOTAL(103,Setembro[2])</f>
        <v>0</v>
      </c>
      <c r="E12" s="9">
        <f>SUBTOTAL(103,Setembro[3])</f>
        <v>0</v>
      </c>
      <c r="F12" s="9">
        <f>SUBTOTAL(103,Setembro[4])</f>
        <v>0</v>
      </c>
      <c r="G12" s="9">
        <f>SUBTOTAL(103,Setembro[5])</f>
        <v>0</v>
      </c>
      <c r="H12" s="9">
        <f>SUBTOTAL(103,Setembro[6])</f>
        <v>0</v>
      </c>
      <c r="I12" s="9">
        <f>SUBTOTAL(103,Setembro[7])</f>
        <v>0</v>
      </c>
      <c r="J12" s="9">
        <f>SUBTOTAL(103,Setembro[8])</f>
        <v>0</v>
      </c>
      <c r="K12" s="9">
        <f>SUBTOTAL(103,Setembro[9])</f>
        <v>0</v>
      </c>
      <c r="L12" s="9">
        <f>SUBTOTAL(103,Setembro[10])</f>
        <v>0</v>
      </c>
      <c r="M12" s="9">
        <f>SUBTOTAL(103,Setembro[11])</f>
        <v>0</v>
      </c>
      <c r="N12" s="9">
        <f>SUBTOTAL(103,Setembro[12])</f>
        <v>0</v>
      </c>
      <c r="O12" s="9">
        <f>SUBTOTAL(103,Setembro[13])</f>
        <v>0</v>
      </c>
      <c r="P12" s="9">
        <f>SUBTOTAL(103,Setembro[14])</f>
        <v>0</v>
      </c>
      <c r="Q12" s="9">
        <f>SUBTOTAL(103,Setembro[15])</f>
        <v>0</v>
      </c>
      <c r="R12" s="9">
        <f>SUBTOTAL(103,Setembro[16])</f>
        <v>0</v>
      </c>
      <c r="S12" s="9">
        <f>SUBTOTAL(103,Setembro[17])</f>
        <v>0</v>
      </c>
      <c r="T12" s="9">
        <f>SUBTOTAL(103,Setembro[18])</f>
        <v>0</v>
      </c>
      <c r="U12" s="9">
        <f>SUBTOTAL(103,Setembro[19])</f>
        <v>0</v>
      </c>
      <c r="V12" s="9">
        <f>SUBTOTAL(103,Setembro[20])</f>
        <v>0</v>
      </c>
      <c r="W12" s="9">
        <f>SUBTOTAL(103,Setembro[21])</f>
        <v>0</v>
      </c>
      <c r="X12" s="9">
        <f>SUBTOTAL(103,Setembro[22])</f>
        <v>0</v>
      </c>
      <c r="Y12" s="9">
        <f>SUBTOTAL(103,Setembro[23])</f>
        <v>0</v>
      </c>
      <c r="Z12" s="9">
        <f>SUBTOTAL(103,Setembro[24])</f>
        <v>0</v>
      </c>
      <c r="AA12" s="9">
        <f>SUBTOTAL(103,Setembro[25])</f>
        <v>0</v>
      </c>
      <c r="AB12" s="9">
        <f>SUBTOTAL(103,Setembro[26])</f>
        <v>0</v>
      </c>
      <c r="AC12" s="9">
        <f>SUBTOTAL(103,Setembro[27])</f>
        <v>0</v>
      </c>
      <c r="AD12" s="9">
        <f>SUBTOTAL(103,Setembro[28])</f>
        <v>0</v>
      </c>
      <c r="AE12" s="9">
        <f>SUBTOTAL(103,Setembro[29])</f>
        <v>0</v>
      </c>
      <c r="AF12" s="9">
        <f>SUBTOTAL(103,Setembro[30])</f>
        <v>0</v>
      </c>
      <c r="AG12" s="9">
        <f>SUBTOTAL(103,Setembro[[ ]])</f>
        <v>0</v>
      </c>
      <c r="AH12" s="9">
        <f>SUBTOTAL(109,Setembro[Total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559" priority="2" stopIfTrue="1">
      <formula>C7=ChavePersonalizada2</formula>
    </cfRule>
    <cfRule type="expression" dxfId="558" priority="3" stopIfTrue="1">
      <formula>C7=ChavePersonalizada1</formula>
    </cfRule>
    <cfRule type="expression" dxfId="557" priority="4" stopIfTrue="1">
      <formula>C7=ChaveLicençaMédica</formula>
    </cfRule>
    <cfRule type="expression" dxfId="556" priority="5" stopIfTrue="1">
      <formula>C7=ChavePessoal</formula>
    </cfRule>
    <cfRule type="expression" dxfId="555" priority="6" stopIfTrue="1">
      <formula>C7=ChaveFérias</formula>
    </cfRule>
  </conditionalFormatting>
  <conditionalFormatting sqref="AH7:AH11">
    <cfRule type="dataBar" priority="7">
      <dataBar>
        <cfvo type="min"/>
        <cfvo type="formula" val="DATEDIF(DATE(AnoCalendário,2,1),DATE(AnoCalendário,3,1),&quot;d&quot;)"/>
        <color theme="2" tint="-0.249977111117893"/>
      </dataBar>
      <extLst>
        <ext xmlns:x14="http://schemas.microsoft.com/office/spreadsheetml/2009/9/main" uri="{B025F937-C7B1-47D3-B67F-A62EFF666E3E}">
          <x14:id>{1A021984-06A1-41D9-90D2-8C16E885020B}</x14:id>
        </ext>
      </extLst>
    </cfRule>
  </conditionalFormatting>
  <dataValidations count="13">
    <dataValidation allowBlank="1" showInputMessage="1" showErrorMessage="1" prompt="Os dias do mês nesta linha são gerados automaticamente. Insira a falta e o tipo de falta de um funcionário em cada coluna de cada dia do mês. Espaço vazio significa sem faltas." sqref="C6" xr:uid="{00000000-0002-0000-0800-000000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800-000001000000}"/>
    <dataValidation allowBlank="1" showInputMessage="1" showErrorMessage="1" prompt="Esta linha define as chaves usadas na tabela: a célula C2 é Férias, G2 é Pessoal e K2 é Licença médica. As células N2 e R2 são personalizáveis." sqref="B2" xr:uid="{00000000-0002-0000-0800-000002000000}"/>
    <dataValidation allowBlank="1" showInputMessage="1" showErrorMessage="1" prompt="Digite um rótulo para descrever a chave personalizada à esquerda." sqref="S2:T2 O2:P2" xr:uid="{00000000-0002-0000-0800-000003000000}"/>
    <dataValidation allowBlank="1" showInputMessage="1" showErrorMessage="1" prompt="A letra &quot;L&quot; indica falta devido à licença médica." sqref="K2" xr:uid="{00000000-0002-0000-0800-000005000000}"/>
    <dataValidation allowBlank="1" showInputMessage="1" showErrorMessage="1" prompt="A letra &quot;P&quot; indica falta devido a motivos pessoais." sqref="G2" xr:uid="{00000000-0002-0000-0800-000006000000}"/>
    <dataValidation allowBlank="1" showInputMessage="1" showErrorMessage="1" prompt="A letra &quot;F&quot; indica falta devido a férias." sqref="C2" xr:uid="{00000000-0002-0000-0800-000007000000}"/>
    <dataValidation allowBlank="1" showInputMessage="1" showErrorMessage="1" prompt="O título atualizado automaticamente está nesta célula. Para modificar o título, atualize B1 na planilha Janeiro." sqref="B1" xr:uid="{00000000-0002-0000-0800-000008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800-000009000000}"/>
    <dataValidation allowBlank="1" showInputMessage="1" showErrorMessage="1" prompt="Acompanhe as faltas de setembro nesta planilha." sqref="A1" xr:uid="{00000000-0002-0000-0800-00000A000000}"/>
    <dataValidation allowBlank="1" showInputMessage="1" showErrorMessage="1" prompt="Calcula automaticamente o número total de dias em que um funcionário esteve ausente deste mês nesta coluna." sqref="AH6" xr:uid="{00000000-0002-0000-0800-00000B000000}"/>
    <dataValidation allowBlank="1" showInputMessage="1" showErrorMessage="1" prompt="Ano atualizado automaticamente com base no ano inserido na planilha de janeiro." sqref="AH4" xr:uid="{00000000-0002-0000-0800-00000C000000}"/>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8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1A021984-06A1-41D9-90D2-8C16E885020B}">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E000000}">
          <x14:formula1>
            <xm:f>'Nomes dos Funcionários'!$B$4:$B$8</xm:f>
          </x14:formula1>
          <xm:sqref>B7:B11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2" tint="-0.249977111117893"/>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60</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TEXT(WEEKDAY(DATE(AnoCalendário,10,1),1),"ddd")</f>
        <v>ter</v>
      </c>
      <c r="D5" s="2" t="str">
        <f>TEXT(WEEKDAY(DATE(AnoCalendário,10,2),1),"ddd")</f>
        <v>qua</v>
      </c>
      <c r="E5" s="2" t="str">
        <f>TEXT(WEEKDAY(DATE(AnoCalendário,10,3),1),"ddd")</f>
        <v>qui</v>
      </c>
      <c r="F5" s="2" t="str">
        <f>TEXT(WEEKDAY(DATE(AnoCalendário,10,4),1),"ddd")</f>
        <v>sex</v>
      </c>
      <c r="G5" s="2" t="str">
        <f>TEXT(WEEKDAY(DATE(AnoCalendário,10,5),1),"ddd")</f>
        <v>sáb</v>
      </c>
      <c r="H5" s="2" t="str">
        <f>TEXT(WEEKDAY(DATE(AnoCalendário,10,6),1),"ddd")</f>
        <v>dom</v>
      </c>
      <c r="I5" s="2" t="str">
        <f>TEXT(WEEKDAY(DATE(AnoCalendário,10,7),1),"ddd")</f>
        <v>seg</v>
      </c>
      <c r="J5" s="2" t="str">
        <f>TEXT(WEEKDAY(DATE(AnoCalendário,10,8),1),"ddd")</f>
        <v>ter</v>
      </c>
      <c r="K5" s="2" t="str">
        <f>TEXT(WEEKDAY(DATE(AnoCalendário,10,9),1),"ddd")</f>
        <v>qua</v>
      </c>
      <c r="L5" s="2" t="str">
        <f>TEXT(WEEKDAY(DATE(AnoCalendário,10,10),1),"ddd")</f>
        <v>qui</v>
      </c>
      <c r="M5" s="2" t="str">
        <f>TEXT(WEEKDAY(DATE(AnoCalendário,10,11),1),"ddd")</f>
        <v>sex</v>
      </c>
      <c r="N5" s="2" t="str">
        <f>TEXT(WEEKDAY(DATE(AnoCalendário,10,12),1),"ddd")</f>
        <v>sáb</v>
      </c>
      <c r="O5" s="2" t="str">
        <f>TEXT(WEEKDAY(DATE(AnoCalendário,10,13),1),"ddd")</f>
        <v>dom</v>
      </c>
      <c r="P5" s="2" t="str">
        <f>TEXT(WEEKDAY(DATE(AnoCalendário,10,14),1),"ddd")</f>
        <v>seg</v>
      </c>
      <c r="Q5" s="2" t="str">
        <f>TEXT(WEEKDAY(DATE(AnoCalendário,10,15),1),"ddd")</f>
        <v>ter</v>
      </c>
      <c r="R5" s="2" t="str">
        <f>TEXT(WEEKDAY(DATE(AnoCalendário,10,16),1),"ddd")</f>
        <v>qua</v>
      </c>
      <c r="S5" s="2" t="str">
        <f>TEXT(WEEKDAY(DATE(AnoCalendário,10,17),1),"ddd")</f>
        <v>qui</v>
      </c>
      <c r="T5" s="2" t="str">
        <f>TEXT(WEEKDAY(DATE(AnoCalendário,10,18),1),"ddd")</f>
        <v>sex</v>
      </c>
      <c r="U5" s="2" t="str">
        <f>TEXT(WEEKDAY(DATE(AnoCalendário,10,19),1),"ddd")</f>
        <v>sáb</v>
      </c>
      <c r="V5" s="2" t="str">
        <f>TEXT(WEEKDAY(DATE(AnoCalendário,10,20),1),"ddd")</f>
        <v>dom</v>
      </c>
      <c r="W5" s="2" t="str">
        <f>TEXT(WEEKDAY(DATE(AnoCalendário,10,21),1),"ddd")</f>
        <v>seg</v>
      </c>
      <c r="X5" s="2" t="str">
        <f>TEXT(WEEKDAY(DATE(AnoCalendário,10,22),1),"ddd")</f>
        <v>ter</v>
      </c>
      <c r="Y5" s="2" t="str">
        <f>TEXT(WEEKDAY(DATE(AnoCalendário,10,23),1),"ddd")</f>
        <v>qua</v>
      </c>
      <c r="Z5" s="2" t="str">
        <f>TEXT(WEEKDAY(DATE(AnoCalendário,10,24),1),"ddd")</f>
        <v>qui</v>
      </c>
      <c r="AA5" s="2" t="str">
        <f>TEXT(WEEKDAY(DATE(AnoCalendário,10,25),1),"ddd")</f>
        <v>sex</v>
      </c>
      <c r="AB5" s="2" t="str">
        <f>TEXT(WEEKDAY(DATE(AnoCalendário,10,26),1),"ddd")</f>
        <v>sáb</v>
      </c>
      <c r="AC5" s="2" t="str">
        <f>TEXT(WEEKDAY(DATE(AnoCalendário,10,27),1),"ddd")</f>
        <v>dom</v>
      </c>
      <c r="AD5" s="2" t="str">
        <f>TEXT(WEEKDAY(DATE(AnoCalendário,10,28),1),"ddd")</f>
        <v>seg</v>
      </c>
      <c r="AE5" s="2" t="str">
        <f>TEXT(WEEKDAY(DATE(AnoCalendário,10,29),1),"ddd")</f>
        <v>ter</v>
      </c>
      <c r="AF5" s="2" t="str">
        <f>TEXT(WEEKDAY(DATE(AnoCalendário,10,30),1),"ddd")</f>
        <v>qua</v>
      </c>
      <c r="AG5" s="2" t="str">
        <f>TEXT(WEEKDAY(DATE(AnoCalendário,10,31),1),"ddd")</f>
        <v>qui</v>
      </c>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48</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COUNTA(Outubro[[#This Row],[1]:[31]])</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COUNTA(Outubro[[#This Row],[1]:[31]])</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COUNTA(Outubro[[#This Row],[1]:[31]])</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COUNTA(Outubro[[#This Row],[1]:[31]])</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COUNTA(Outubro[[#This Row],[1]:[31]])</f>
        <v>0</v>
      </c>
    </row>
    <row r="12" spans="2:34" ht="30" customHeight="1" x14ac:dyDescent="0.25">
      <c r="B12" s="16" t="str">
        <f>"Total de "&amp;NomeMês</f>
        <v>Total de Outubro</v>
      </c>
      <c r="C12" s="9">
        <f>SUBTOTAL(103,Outubro[1])</f>
        <v>0</v>
      </c>
      <c r="D12" s="9">
        <f>SUBTOTAL(103,Outubro[2])</f>
        <v>0</v>
      </c>
      <c r="E12" s="9">
        <f>SUBTOTAL(103,Outubro[3])</f>
        <v>0</v>
      </c>
      <c r="F12" s="9">
        <f>SUBTOTAL(103,Outubro[4])</f>
        <v>0</v>
      </c>
      <c r="G12" s="9">
        <f>SUBTOTAL(103,Outubro[5])</f>
        <v>0</v>
      </c>
      <c r="H12" s="9">
        <f>SUBTOTAL(103,Outubro[6])</f>
        <v>0</v>
      </c>
      <c r="I12" s="9">
        <f>SUBTOTAL(103,Outubro[7])</f>
        <v>0</v>
      </c>
      <c r="J12" s="9">
        <f>SUBTOTAL(103,Outubro[8])</f>
        <v>0</v>
      </c>
      <c r="K12" s="9">
        <f>SUBTOTAL(103,Outubro[9])</f>
        <v>0</v>
      </c>
      <c r="L12" s="9">
        <f>SUBTOTAL(103,Outubro[10])</f>
        <v>0</v>
      </c>
      <c r="M12" s="9">
        <f>SUBTOTAL(103,Outubro[11])</f>
        <v>0</v>
      </c>
      <c r="N12" s="9">
        <f>SUBTOTAL(103,Outubro[12])</f>
        <v>0</v>
      </c>
      <c r="O12" s="9">
        <f>SUBTOTAL(103,Outubro[13])</f>
        <v>0</v>
      </c>
      <c r="P12" s="9">
        <f>SUBTOTAL(103,Outubro[14])</f>
        <v>0</v>
      </c>
      <c r="Q12" s="9">
        <f>SUBTOTAL(103,Outubro[15])</f>
        <v>0</v>
      </c>
      <c r="R12" s="9">
        <f>SUBTOTAL(103,Outubro[16])</f>
        <v>0</v>
      </c>
      <c r="S12" s="9">
        <f>SUBTOTAL(103,Outubro[17])</f>
        <v>0</v>
      </c>
      <c r="T12" s="9">
        <f>SUBTOTAL(103,Outubro[18])</f>
        <v>0</v>
      </c>
      <c r="U12" s="9">
        <f>SUBTOTAL(103,Outubro[19])</f>
        <v>0</v>
      </c>
      <c r="V12" s="9">
        <f>SUBTOTAL(103,Outubro[20])</f>
        <v>0</v>
      </c>
      <c r="W12" s="9">
        <f>SUBTOTAL(103,Outubro[21])</f>
        <v>0</v>
      </c>
      <c r="X12" s="9">
        <f>SUBTOTAL(103,Outubro[22])</f>
        <v>0</v>
      </c>
      <c r="Y12" s="9">
        <f>SUBTOTAL(103,Outubro[23])</f>
        <v>0</v>
      </c>
      <c r="Z12" s="9">
        <f>SUBTOTAL(103,Outubro[24])</f>
        <v>0</v>
      </c>
      <c r="AA12" s="9">
        <f>SUBTOTAL(103,Outubro[25])</f>
        <v>0</v>
      </c>
      <c r="AB12" s="9">
        <f>SUBTOTAL(103,Outubro[26])</f>
        <v>0</v>
      </c>
      <c r="AC12" s="9">
        <f>SUBTOTAL(103,Outubro[27])</f>
        <v>0</v>
      </c>
      <c r="AD12" s="9">
        <f>SUBTOTAL(103,Outubro[28])</f>
        <v>0</v>
      </c>
      <c r="AE12" s="9">
        <f>SUBTOTAL(103,Outubro[29])</f>
        <v>0</v>
      </c>
      <c r="AF12" s="9">
        <f>SUBTOTAL(103,Outubro[30])</f>
        <v>0</v>
      </c>
      <c r="AG12" s="9">
        <f>SUBTOTAL(103,Outubro[31])</f>
        <v>0</v>
      </c>
      <c r="AH12" s="9">
        <f>SUBTOTAL(109,Outubro[Total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518" priority="2" stopIfTrue="1">
      <formula>C7=ChavePersonalizada2</formula>
    </cfRule>
    <cfRule type="expression" dxfId="517" priority="3" stopIfTrue="1">
      <formula>C7=ChavePersonalizada1</formula>
    </cfRule>
    <cfRule type="expression" dxfId="516" priority="4" stopIfTrue="1">
      <formula>C7=ChaveLicençaMédica</formula>
    </cfRule>
    <cfRule type="expression" dxfId="515" priority="5" stopIfTrue="1">
      <formula>C7=ChavePessoal</formula>
    </cfRule>
    <cfRule type="expression" dxfId="514" priority="6" stopIfTrue="1">
      <formula>C7=ChaveFérias</formula>
    </cfRule>
  </conditionalFormatting>
  <conditionalFormatting sqref="AH7:AH11">
    <cfRule type="dataBar" priority="7">
      <dataBar>
        <cfvo type="min"/>
        <cfvo type="formula" val="DATEDIF(DATE(AnoCalendário,2,1),DATE(AnoCalendário,3,1),&quot;d&quot;)"/>
        <color theme="2" tint="-0.249977111117893"/>
      </dataBar>
      <extLst>
        <ext xmlns:x14="http://schemas.microsoft.com/office/spreadsheetml/2009/9/main" uri="{B025F937-C7B1-47D3-B67F-A62EFF666E3E}">
          <x14:id>{F32A08EA-50E8-4B5F-AB1F-5A7739FBC16C}</x14:id>
        </ext>
      </extLst>
    </cfRule>
  </conditionalFormatting>
  <dataValidations count="13">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900-000000000000}"/>
    <dataValidation allowBlank="1" showInputMessage="1" showErrorMessage="1" prompt="Ano atualizado automaticamente com base no ano inserido na planilha de janeiro." sqref="AH4" xr:uid="{00000000-0002-0000-0900-000001000000}"/>
    <dataValidation allowBlank="1" showInputMessage="1" showErrorMessage="1" prompt="Calcula automaticamente o número total de dias em que um funcionário esteve ausente deste mês nesta coluna." sqref="AH6" xr:uid="{00000000-0002-0000-0900-000002000000}"/>
    <dataValidation allowBlank="1" showInputMessage="1" showErrorMessage="1" prompt="Acompanhe as faltas de outubro nesta planilha." sqref="A1" xr:uid="{00000000-0002-0000-0900-000003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900-000004000000}"/>
    <dataValidation allowBlank="1" showInputMessage="1" showErrorMessage="1" prompt="O título atualizado automaticamente está nesta célula. Para modificar o título, atualize B1 na planilha Janeiro." sqref="B1" xr:uid="{00000000-0002-0000-0900-000005000000}"/>
    <dataValidation allowBlank="1" showInputMessage="1" showErrorMessage="1" prompt="A letra &quot;F&quot; indica falta devido a férias." sqref="C2" xr:uid="{00000000-0002-0000-0900-000006000000}"/>
    <dataValidation allowBlank="1" showInputMessage="1" showErrorMessage="1" prompt="A letra &quot;P&quot; indica falta devido a motivos pessoais." sqref="G2" xr:uid="{00000000-0002-0000-0900-000007000000}"/>
    <dataValidation allowBlank="1" showInputMessage="1" showErrorMessage="1" prompt="A letra &quot;L&quot; indica falta devido à licença médica." sqref="K2" xr:uid="{00000000-0002-0000-0900-000008000000}"/>
    <dataValidation allowBlank="1" showInputMessage="1" showErrorMessage="1" prompt="Digite um rótulo para descrever a chave personalizada à esquerda." sqref="S2:T2 O2:P2" xr:uid="{00000000-0002-0000-0900-00000A000000}"/>
    <dataValidation allowBlank="1" showInputMessage="1" showErrorMessage="1" prompt="Esta linha define as chaves usadas na tabela: a célula C2 é Férias, G2 é Pessoal e K2 é Licença médica. As células N2 e R2 são personalizáveis." sqref="B2" xr:uid="{00000000-0002-0000-0900-00000B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900-00000C000000}"/>
    <dataValidation allowBlank="1" showInputMessage="1" showErrorMessage="1" prompt="Os dias do mês nesta linha são gerados automaticamente. Insira a falta e o tipo de falta de um funcionário em cada coluna de cada dia do mês. Espaço vazio significa sem faltas." sqref="C6" xr:uid="{00000000-0002-0000-09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F32A08EA-50E8-4B5F-AB1F-5A7739FBC16C}">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E000000}">
          <x14:formula1>
            <xm:f>'Nomes dos Funcionários'!$B$4:$B$8</xm:f>
          </x14:formula1>
          <xm:sqref>B7:B11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2" tint="-0.249977111117893"/>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61</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TEXT(WEEKDAY(DATE(AnoCalendário,11,1),1),"ddd")</f>
        <v>sex</v>
      </c>
      <c r="D5" s="2" t="str">
        <f>TEXT(WEEKDAY(DATE(AnoCalendário,11,2),1),"ddd")</f>
        <v>sáb</v>
      </c>
      <c r="E5" s="2" t="str">
        <f>TEXT(WEEKDAY(DATE(AnoCalendário,11,3),1),"ddd")</f>
        <v>dom</v>
      </c>
      <c r="F5" s="2" t="str">
        <f>TEXT(WEEKDAY(DATE(AnoCalendário,11,4),1),"ddd")</f>
        <v>seg</v>
      </c>
      <c r="G5" s="2" t="str">
        <f>TEXT(WEEKDAY(DATE(AnoCalendário,11,5),1),"ddd")</f>
        <v>ter</v>
      </c>
      <c r="H5" s="2" t="str">
        <f>TEXT(WEEKDAY(DATE(AnoCalendário,11,6),1),"ddd")</f>
        <v>qua</v>
      </c>
      <c r="I5" s="2" t="str">
        <f>TEXT(WEEKDAY(DATE(AnoCalendário,11,7),1),"ddd")</f>
        <v>qui</v>
      </c>
      <c r="J5" s="2" t="str">
        <f>TEXT(WEEKDAY(DATE(AnoCalendário,11,8),1),"ddd")</f>
        <v>sex</v>
      </c>
      <c r="K5" s="2" t="str">
        <f>TEXT(WEEKDAY(DATE(AnoCalendário,11,9),1),"ddd")</f>
        <v>sáb</v>
      </c>
      <c r="L5" s="2" t="str">
        <f>TEXT(WEEKDAY(DATE(AnoCalendário,11,10),1),"ddd")</f>
        <v>dom</v>
      </c>
      <c r="M5" s="2" t="str">
        <f>TEXT(WEEKDAY(DATE(AnoCalendário,11,11),1),"ddd")</f>
        <v>seg</v>
      </c>
      <c r="N5" s="2" t="str">
        <f>TEXT(WEEKDAY(DATE(AnoCalendário,11,12),1),"ddd")</f>
        <v>ter</v>
      </c>
      <c r="O5" s="2" t="str">
        <f>TEXT(WEEKDAY(DATE(AnoCalendário,11,13),1),"ddd")</f>
        <v>qua</v>
      </c>
      <c r="P5" s="2" t="str">
        <f>TEXT(WEEKDAY(DATE(AnoCalendário,11,14),1),"ddd")</f>
        <v>qui</v>
      </c>
      <c r="Q5" s="2" t="str">
        <f>TEXT(WEEKDAY(DATE(AnoCalendário,11,15),1),"ddd")</f>
        <v>sex</v>
      </c>
      <c r="R5" s="2" t="str">
        <f>TEXT(WEEKDAY(DATE(AnoCalendário,11,16),1),"ddd")</f>
        <v>sáb</v>
      </c>
      <c r="S5" s="2" t="str">
        <f>TEXT(WEEKDAY(DATE(AnoCalendário,11,17),1),"ddd")</f>
        <v>dom</v>
      </c>
      <c r="T5" s="2" t="str">
        <f>TEXT(WEEKDAY(DATE(AnoCalendário,11,18),1),"ddd")</f>
        <v>seg</v>
      </c>
      <c r="U5" s="2" t="str">
        <f>TEXT(WEEKDAY(DATE(AnoCalendário,11,19),1),"ddd")</f>
        <v>ter</v>
      </c>
      <c r="V5" s="2" t="str">
        <f>TEXT(WEEKDAY(DATE(AnoCalendário,11,20),1),"ddd")</f>
        <v>qua</v>
      </c>
      <c r="W5" s="2" t="str">
        <f>TEXT(WEEKDAY(DATE(AnoCalendário,11,21),1),"ddd")</f>
        <v>qui</v>
      </c>
      <c r="X5" s="2" t="str">
        <f>TEXT(WEEKDAY(DATE(AnoCalendário,11,22),1),"ddd")</f>
        <v>sex</v>
      </c>
      <c r="Y5" s="2" t="str">
        <f>TEXT(WEEKDAY(DATE(AnoCalendário,11,23),1),"ddd")</f>
        <v>sáb</v>
      </c>
      <c r="Z5" s="2" t="str">
        <f>TEXT(WEEKDAY(DATE(AnoCalendário,11,24),1),"ddd")</f>
        <v>dom</v>
      </c>
      <c r="AA5" s="2" t="str">
        <f>TEXT(WEEKDAY(DATE(AnoCalendário,11,25),1),"ddd")</f>
        <v>seg</v>
      </c>
      <c r="AB5" s="2" t="str">
        <f>TEXT(WEEKDAY(DATE(AnoCalendário,11,26),1),"ddd")</f>
        <v>ter</v>
      </c>
      <c r="AC5" s="2" t="str">
        <f>TEXT(WEEKDAY(DATE(AnoCalendário,11,27),1),"ddd")</f>
        <v>qua</v>
      </c>
      <c r="AD5" s="2" t="str">
        <f>TEXT(WEEKDAY(DATE(AnoCalendário,11,28),1),"ddd")</f>
        <v>qui</v>
      </c>
      <c r="AE5" s="2" t="str">
        <f>TEXT(WEEKDAY(DATE(AnoCalendário,11,29),1),"ddd")</f>
        <v>sex</v>
      </c>
      <c r="AF5" s="2" t="str">
        <f>TEXT(WEEKDAY(DATE(AnoCalendário,11,30),1),"ddd")</f>
        <v>sáb</v>
      </c>
      <c r="AG5" s="2"/>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52</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COUNTA(Novembro[[#This Row],[1]:[30]])</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COUNTA(Novembro[[#This Row],[1]:[30]])</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COUNTA(Novembro[[#This Row],[1]:[30]])</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COUNTA(Novembro[[#This Row],[1]:[30]])</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COUNTA(Novembro[[#This Row],[1]:[30]])</f>
        <v>0</v>
      </c>
    </row>
    <row r="12" spans="2:34" ht="30" customHeight="1" x14ac:dyDescent="0.25">
      <c r="B12" s="16" t="str">
        <f>"Total de "&amp;NomeMês</f>
        <v>Total de Novembro</v>
      </c>
      <c r="C12" s="9">
        <f>SUBTOTAL(103,Novembro[1])</f>
        <v>0</v>
      </c>
      <c r="D12" s="9">
        <f>SUBTOTAL(103,Novembro[2])</f>
        <v>0</v>
      </c>
      <c r="E12" s="9">
        <f>SUBTOTAL(103,Novembro[3])</f>
        <v>0</v>
      </c>
      <c r="F12" s="9">
        <f>SUBTOTAL(103,Novembro[4])</f>
        <v>0</v>
      </c>
      <c r="G12" s="9">
        <f>SUBTOTAL(103,Novembro[5])</f>
        <v>0</v>
      </c>
      <c r="H12" s="9">
        <f>SUBTOTAL(103,Novembro[6])</f>
        <v>0</v>
      </c>
      <c r="I12" s="9">
        <f>SUBTOTAL(103,Novembro[7])</f>
        <v>0</v>
      </c>
      <c r="J12" s="9">
        <f>SUBTOTAL(103,Novembro[8])</f>
        <v>0</v>
      </c>
      <c r="K12" s="9">
        <f>SUBTOTAL(103,Novembro[9])</f>
        <v>0</v>
      </c>
      <c r="L12" s="9">
        <f>SUBTOTAL(103,Novembro[10])</f>
        <v>0</v>
      </c>
      <c r="M12" s="9">
        <f>SUBTOTAL(103,Novembro[11])</f>
        <v>0</v>
      </c>
      <c r="N12" s="9">
        <f>SUBTOTAL(103,Novembro[12])</f>
        <v>0</v>
      </c>
      <c r="O12" s="9">
        <f>SUBTOTAL(103,Novembro[13])</f>
        <v>0</v>
      </c>
      <c r="P12" s="9">
        <f>SUBTOTAL(103,Novembro[14])</f>
        <v>0</v>
      </c>
      <c r="Q12" s="9">
        <f>SUBTOTAL(103,Novembro[15])</f>
        <v>0</v>
      </c>
      <c r="R12" s="9">
        <f>SUBTOTAL(103,Novembro[16])</f>
        <v>0</v>
      </c>
      <c r="S12" s="9">
        <f>SUBTOTAL(103,Novembro[17])</f>
        <v>0</v>
      </c>
      <c r="T12" s="9">
        <f>SUBTOTAL(103,Novembro[18])</f>
        <v>0</v>
      </c>
      <c r="U12" s="9">
        <f>SUBTOTAL(103,Novembro[19])</f>
        <v>0</v>
      </c>
      <c r="V12" s="9">
        <f>SUBTOTAL(103,Novembro[20])</f>
        <v>0</v>
      </c>
      <c r="W12" s="9">
        <f>SUBTOTAL(103,Novembro[21])</f>
        <v>0</v>
      </c>
      <c r="X12" s="9">
        <f>SUBTOTAL(103,Novembro[22])</f>
        <v>0</v>
      </c>
      <c r="Y12" s="9">
        <f>SUBTOTAL(103,Novembro[23])</f>
        <v>0</v>
      </c>
      <c r="Z12" s="9">
        <f>SUBTOTAL(103,Novembro[24])</f>
        <v>0</v>
      </c>
      <c r="AA12" s="9">
        <f>SUBTOTAL(103,Novembro[25])</f>
        <v>0</v>
      </c>
      <c r="AB12" s="9">
        <f>SUBTOTAL(103,Novembro[26])</f>
        <v>0</v>
      </c>
      <c r="AC12" s="9">
        <f>SUBTOTAL(103,Novembro[27])</f>
        <v>0</v>
      </c>
      <c r="AD12" s="9">
        <f>SUBTOTAL(103,Novembro[28])</f>
        <v>0</v>
      </c>
      <c r="AE12" s="9">
        <f>SUBTOTAL(103,Novembro[29])</f>
        <v>0</v>
      </c>
      <c r="AF12" s="9">
        <f>SUBTOTAL(103,Novembro[30])</f>
        <v>0</v>
      </c>
      <c r="AG12" s="9">
        <f>SUBTOTAL(103,Novembro[[ ]])</f>
        <v>0</v>
      </c>
      <c r="AH12" s="9">
        <f>SUBTOTAL(109,Novembro[Total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477" priority="2" stopIfTrue="1">
      <formula>C7=ChavePersonalizada2</formula>
    </cfRule>
    <cfRule type="expression" dxfId="476" priority="3" stopIfTrue="1">
      <formula>C7=ChavePersonalizada1</formula>
    </cfRule>
    <cfRule type="expression" dxfId="475" priority="4" stopIfTrue="1">
      <formula>C7=ChaveLicençaMédica</formula>
    </cfRule>
    <cfRule type="expression" dxfId="474" priority="5" stopIfTrue="1">
      <formula>C7=ChavePessoal</formula>
    </cfRule>
    <cfRule type="expression" dxfId="473" priority="6" stopIfTrue="1">
      <formula>C7=ChaveFérias</formula>
    </cfRule>
  </conditionalFormatting>
  <conditionalFormatting sqref="AH7:AH11">
    <cfRule type="dataBar" priority="7">
      <dataBar>
        <cfvo type="min"/>
        <cfvo type="formula" val="DATEDIF(DATE(AnoCalendário,2,1),DATE(AnoCalendário,3,1),&quot;d&quot;)"/>
        <color theme="2" tint="-0.249977111117893"/>
      </dataBar>
      <extLst>
        <ext xmlns:x14="http://schemas.microsoft.com/office/spreadsheetml/2009/9/main" uri="{B025F937-C7B1-47D3-B67F-A62EFF666E3E}">
          <x14:id>{27D92E49-5CF1-46DF-AD7A-3A5E92F274F3}</x14:id>
        </ext>
      </extLst>
    </cfRule>
  </conditionalFormatting>
  <dataValidations count="13">
    <dataValidation allowBlank="1" showInputMessage="1" showErrorMessage="1" prompt="Os dias do mês nesta linha são gerados automaticamente. Insira a falta e o tipo de falta de um funcionário em cada coluna de cada dia do mês. Espaço vazio significa sem faltas." sqref="C6" xr:uid="{00000000-0002-0000-0A00-000000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A00-000001000000}"/>
    <dataValidation allowBlank="1" showInputMessage="1" showErrorMessage="1" prompt="Esta linha define as chaves usadas na tabela: a célula C2 é Férias, G2 é Pessoal e K2 é Licença médica. As células N2 e R2 são personalizáveis." sqref="B2" xr:uid="{00000000-0002-0000-0A00-000002000000}"/>
    <dataValidation allowBlank="1" showInputMessage="1" showErrorMessage="1" prompt="Digite um rótulo para descrever a chave personalizada à esquerda." sqref="S2:T2 O2:P2" xr:uid="{00000000-0002-0000-0A00-000003000000}"/>
    <dataValidation allowBlank="1" showInputMessage="1" showErrorMessage="1" prompt="A letra &quot;L&quot; indica falta devido à licença médica." sqref="K2" xr:uid="{00000000-0002-0000-0A00-000005000000}"/>
    <dataValidation allowBlank="1" showInputMessage="1" showErrorMessage="1" prompt="A letra &quot;P&quot; indica falta devido a motivos pessoais." sqref="G2" xr:uid="{00000000-0002-0000-0A00-000006000000}"/>
    <dataValidation allowBlank="1" showInputMessage="1" showErrorMessage="1" prompt="A letra &quot;F&quot; indica falta devido a férias." sqref="C2" xr:uid="{00000000-0002-0000-0A00-000007000000}"/>
    <dataValidation allowBlank="1" showInputMessage="1" showErrorMessage="1" prompt="O título atualizado automaticamente está nesta célula. Para modificar o título, atualize B1 na planilha Janeiro." sqref="B1" xr:uid="{00000000-0002-0000-0A00-000008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A00-000009000000}"/>
    <dataValidation allowBlank="1" showInputMessage="1" showErrorMessage="1" prompt="Acompanhe as faltas de novembro nesta planilha." sqref="A1" xr:uid="{00000000-0002-0000-0A00-00000A000000}"/>
    <dataValidation allowBlank="1" showInputMessage="1" showErrorMessage="1" prompt="Calcula automaticamente o número total de dias em que um funcionário esteve ausente deste mês nesta coluna." sqref="AH6" xr:uid="{00000000-0002-0000-0A00-00000B000000}"/>
    <dataValidation allowBlank="1" showInputMessage="1" showErrorMessage="1" prompt="Ano atualizado automaticamente com base no ano inserido na planilha de janeiro." sqref="AH4" xr:uid="{00000000-0002-0000-0A00-00000C000000}"/>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A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27D92E49-5CF1-46DF-AD7A-3A5E92F274F3}">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E000000}">
          <x14:formula1>
            <xm:f>'Nomes dos Funcionários'!$B$4:$B$8</xm:f>
          </x14:formula1>
          <xm:sqref>B7:B11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7" tint="0.79998168889431442"/>
    <pageSetUpPr fitToPage="1"/>
  </sheetPr>
  <dimension ref="B1:AH12"/>
  <sheetViews>
    <sheetView showGridLines="0" tabSelected="1" zoomScaleNormal="100" workbookViewId="0"/>
  </sheetViews>
  <sheetFormatPr defaultRowHeight="30" customHeight="1" x14ac:dyDescent="0.25"/>
  <cols>
    <col min="1" max="1" width="2.7109375" customWidth="1"/>
    <col min="2" max="2" width="25.7109375" customWidth="1"/>
    <col min="3" max="33" width="5.7109375" customWidth="1"/>
    <col min="34" max="34" width="13.5703125" customWidth="1"/>
    <col min="35" max="35" width="2.7109375" customWidth="1"/>
  </cols>
  <sheetData>
    <row r="1" spans="2:34" ht="50.1" customHeight="1" x14ac:dyDescent="0.25">
      <c r="B1" s="10" t="str">
        <f>Título_de_Falta_do_Funcionário</f>
        <v>Agenda de Faltas de Funcionários</v>
      </c>
    </row>
    <row r="2" spans="2:34" ht="15" customHeight="1" x14ac:dyDescent="0.25">
      <c r="B2" s="14" t="s">
        <v>1</v>
      </c>
      <c r="C2" s="3" t="s">
        <v>9</v>
      </c>
      <c r="D2" s="21" t="s">
        <v>12</v>
      </c>
      <c r="E2" s="21"/>
      <c r="F2" s="21"/>
      <c r="G2" s="4" t="s">
        <v>15</v>
      </c>
      <c r="H2" s="21" t="s">
        <v>19</v>
      </c>
      <c r="I2" s="21"/>
      <c r="J2" s="21"/>
      <c r="K2" s="5" t="s">
        <v>17</v>
      </c>
      <c r="L2" s="21" t="s">
        <v>24</v>
      </c>
      <c r="M2" s="21"/>
      <c r="N2" s="21"/>
      <c r="O2" s="19"/>
      <c r="P2" s="21" t="s">
        <v>28</v>
      </c>
      <c r="Q2" s="21"/>
      <c r="R2" s="21"/>
      <c r="S2" s="18"/>
      <c r="T2" s="21" t="s">
        <v>33</v>
      </c>
      <c r="U2" s="21"/>
      <c r="V2" s="21"/>
    </row>
    <row r="3" spans="2:34" ht="15" customHeight="1" x14ac:dyDescent="0.25">
      <c r="B3" s="10"/>
    </row>
    <row r="4" spans="2:34" ht="30" customHeight="1" x14ac:dyDescent="0.25">
      <c r="B4" s="8" t="s">
        <v>62</v>
      </c>
      <c r="C4" s="20" t="s">
        <v>10</v>
      </c>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8">
        <f>AnoCalendário</f>
        <v>2019</v>
      </c>
    </row>
    <row r="5" spans="2:34" ht="15" customHeight="1" x14ac:dyDescent="0.25">
      <c r="B5" s="8"/>
      <c r="C5" s="2" t="str">
        <f>TEXT(WEEKDAY(DATE(AnoCalendário,12,1),1),"ddd")</f>
        <v>dom</v>
      </c>
      <c r="D5" s="2" t="str">
        <f>TEXT(WEEKDAY(DATE(AnoCalendário,12,2),1),"ddd")</f>
        <v>seg</v>
      </c>
      <c r="E5" s="2" t="str">
        <f>TEXT(WEEKDAY(DATE(AnoCalendário,12,3),1),"ddd")</f>
        <v>ter</v>
      </c>
      <c r="F5" s="2" t="str">
        <f>TEXT(WEEKDAY(DATE(AnoCalendário,12,4),1),"ddd")</f>
        <v>qua</v>
      </c>
      <c r="G5" s="2" t="str">
        <f>TEXT(WEEKDAY(DATE(AnoCalendário,12,5),1),"ddd")</f>
        <v>qui</v>
      </c>
      <c r="H5" s="2" t="str">
        <f>TEXT(WEEKDAY(DATE(AnoCalendário,12,6),1),"ddd")</f>
        <v>sex</v>
      </c>
      <c r="I5" s="2" t="str">
        <f>TEXT(WEEKDAY(DATE(AnoCalendário,12,7),1),"ddd")</f>
        <v>sáb</v>
      </c>
      <c r="J5" s="2" t="str">
        <f>TEXT(WEEKDAY(DATE(AnoCalendário,12,8),1),"ddd")</f>
        <v>dom</v>
      </c>
      <c r="K5" s="2" t="str">
        <f>TEXT(WEEKDAY(DATE(AnoCalendário,12,9),1),"ddd")</f>
        <v>seg</v>
      </c>
      <c r="L5" s="2" t="str">
        <f>TEXT(WEEKDAY(DATE(AnoCalendário,12,10),1),"ddd")</f>
        <v>ter</v>
      </c>
      <c r="M5" s="2" t="str">
        <f>TEXT(WEEKDAY(DATE(AnoCalendário,12,11),1),"ddd")</f>
        <v>qua</v>
      </c>
      <c r="N5" s="2" t="str">
        <f>TEXT(WEEKDAY(DATE(AnoCalendário,12,12),1),"ddd")</f>
        <v>qui</v>
      </c>
      <c r="O5" s="2" t="str">
        <f>TEXT(WEEKDAY(DATE(AnoCalendário,12,13),1),"ddd")</f>
        <v>sex</v>
      </c>
      <c r="P5" s="2" t="str">
        <f>TEXT(WEEKDAY(DATE(AnoCalendário,12,14),1),"ddd")</f>
        <v>sáb</v>
      </c>
      <c r="Q5" s="2" t="str">
        <f>TEXT(WEEKDAY(DATE(AnoCalendário,12,15),1),"ddd")</f>
        <v>dom</v>
      </c>
      <c r="R5" s="2" t="str">
        <f>TEXT(WEEKDAY(DATE(AnoCalendário,12,16),1),"ddd")</f>
        <v>seg</v>
      </c>
      <c r="S5" s="2" t="str">
        <f>TEXT(WEEKDAY(DATE(AnoCalendário,12,17),1),"ddd")</f>
        <v>ter</v>
      </c>
      <c r="T5" s="2" t="str">
        <f>TEXT(WEEKDAY(DATE(AnoCalendário,12,18),1),"ddd")</f>
        <v>qua</v>
      </c>
      <c r="U5" s="2" t="str">
        <f>TEXT(WEEKDAY(DATE(AnoCalendário,12,19),1),"ddd")</f>
        <v>qui</v>
      </c>
      <c r="V5" s="2" t="str">
        <f>TEXT(WEEKDAY(DATE(AnoCalendário,12,20),1),"ddd")</f>
        <v>sex</v>
      </c>
      <c r="W5" s="2" t="str">
        <f>TEXT(WEEKDAY(DATE(AnoCalendário,12,21),1),"ddd")</f>
        <v>sáb</v>
      </c>
      <c r="X5" s="2" t="str">
        <f>TEXT(WEEKDAY(DATE(AnoCalendário,12,22),1),"ddd")</f>
        <v>dom</v>
      </c>
      <c r="Y5" s="2" t="str">
        <f>TEXT(WEEKDAY(DATE(AnoCalendário,12,23),1),"ddd")</f>
        <v>seg</v>
      </c>
      <c r="Z5" s="2" t="str">
        <f>TEXT(WEEKDAY(DATE(AnoCalendário,12,24),1),"ddd")</f>
        <v>ter</v>
      </c>
      <c r="AA5" s="2" t="str">
        <f>TEXT(WEEKDAY(DATE(AnoCalendário,12,25),1),"ddd")</f>
        <v>qua</v>
      </c>
      <c r="AB5" s="2" t="str">
        <f>TEXT(WEEKDAY(DATE(AnoCalendário,12,26),1),"ddd")</f>
        <v>qui</v>
      </c>
      <c r="AC5" s="2" t="str">
        <f>TEXT(WEEKDAY(DATE(AnoCalendário,12,27),1),"ddd")</f>
        <v>sex</v>
      </c>
      <c r="AD5" s="2" t="str">
        <f>TEXT(WEEKDAY(DATE(AnoCalendário,12,28),1),"ddd")</f>
        <v>sáb</v>
      </c>
      <c r="AE5" s="2" t="str">
        <f>TEXT(WEEKDAY(DATE(AnoCalendário,12,29),1),"ddd")</f>
        <v>dom</v>
      </c>
      <c r="AF5" s="2" t="str">
        <f>TEXT(WEEKDAY(DATE(AnoCalendário,12,30),1),"ddd")</f>
        <v>seg</v>
      </c>
      <c r="AG5" s="2" t="str">
        <f>TEXT(WEEKDAY(DATE(AnoCalendário,12,31),1),"ddd")</f>
        <v>ter</v>
      </c>
      <c r="AH5" s="8"/>
    </row>
    <row r="6" spans="2:34" ht="15" customHeight="1" x14ac:dyDescent="0.25">
      <c r="B6" s="11" t="s">
        <v>3</v>
      </c>
      <c r="C6" s="2" t="s">
        <v>11</v>
      </c>
      <c r="D6" s="2" t="s">
        <v>13</v>
      </c>
      <c r="E6" s="2" t="s">
        <v>14</v>
      </c>
      <c r="F6" s="2" t="s">
        <v>16</v>
      </c>
      <c r="G6" s="2" t="s">
        <v>18</v>
      </c>
      <c r="H6" s="2" t="s">
        <v>20</v>
      </c>
      <c r="I6" s="2" t="s">
        <v>21</v>
      </c>
      <c r="J6" s="2" t="s">
        <v>22</v>
      </c>
      <c r="K6" s="2" t="s">
        <v>23</v>
      </c>
      <c r="L6" s="2" t="s">
        <v>25</v>
      </c>
      <c r="M6" s="2" t="s">
        <v>26</v>
      </c>
      <c r="N6" s="2" t="s">
        <v>27</v>
      </c>
      <c r="O6" s="2" t="s">
        <v>29</v>
      </c>
      <c r="P6" s="2" t="s">
        <v>30</v>
      </c>
      <c r="Q6" s="2" t="s">
        <v>31</v>
      </c>
      <c r="R6" s="2" t="s">
        <v>32</v>
      </c>
      <c r="S6" s="2" t="s">
        <v>34</v>
      </c>
      <c r="T6" s="2" t="s">
        <v>35</v>
      </c>
      <c r="U6" s="2" t="s">
        <v>36</v>
      </c>
      <c r="V6" s="2" t="s">
        <v>37</v>
      </c>
      <c r="W6" s="2" t="s">
        <v>38</v>
      </c>
      <c r="X6" s="2" t="s">
        <v>39</v>
      </c>
      <c r="Y6" s="2" t="s">
        <v>40</v>
      </c>
      <c r="Z6" s="2" t="s">
        <v>41</v>
      </c>
      <c r="AA6" s="2" t="s">
        <v>42</v>
      </c>
      <c r="AB6" s="2" t="s">
        <v>43</v>
      </c>
      <c r="AC6" s="2" t="s">
        <v>44</v>
      </c>
      <c r="AD6" s="2" t="s">
        <v>45</v>
      </c>
      <c r="AE6" s="2" t="s">
        <v>46</v>
      </c>
      <c r="AF6" s="2" t="s">
        <v>47</v>
      </c>
      <c r="AG6" s="2" t="s">
        <v>48</v>
      </c>
      <c r="AH6" s="12" t="s">
        <v>50</v>
      </c>
    </row>
    <row r="7" spans="2:34" ht="30" customHeight="1" x14ac:dyDescent="0.25">
      <c r="B7" s="1" t="s">
        <v>4</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7">
        <f>COUNTA(Dezembro[[#This Row],[1]:[31]])</f>
        <v>0</v>
      </c>
    </row>
    <row r="8" spans="2:34" ht="30" customHeight="1" x14ac:dyDescent="0.25">
      <c r="B8" s="1" t="s">
        <v>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7">
        <f>COUNTA(Dezembro[[#This Row],[1]:[31]])</f>
        <v>0</v>
      </c>
    </row>
    <row r="9" spans="2:34" ht="30" customHeight="1" x14ac:dyDescent="0.25">
      <c r="B9" s="1" t="s">
        <v>6</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7">
        <f>COUNTA(Dezembro[[#This Row],[1]:[31]])</f>
        <v>0</v>
      </c>
    </row>
    <row r="10" spans="2:34" ht="30" customHeight="1" x14ac:dyDescent="0.25">
      <c r="B10" s="1" t="s">
        <v>7</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7">
        <f>COUNTA(Dezembro[[#This Row],[1]:[31]])</f>
        <v>0</v>
      </c>
    </row>
    <row r="11" spans="2:34" ht="30" customHeight="1" x14ac:dyDescent="0.25">
      <c r="B11" s="1" t="s">
        <v>8</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7">
        <f>COUNTA(Dezembro[[#This Row],[1]:[31]])</f>
        <v>0</v>
      </c>
    </row>
    <row r="12" spans="2:34" ht="30" customHeight="1" x14ac:dyDescent="0.25">
      <c r="B12" s="16" t="str">
        <f>"Total de "&amp;NomeMês</f>
        <v>Total de Dezembro</v>
      </c>
      <c r="C12" s="9">
        <f>SUBTOTAL(103,Dezembro[1])</f>
        <v>0</v>
      </c>
      <c r="D12" s="9">
        <f>SUBTOTAL(103,Dezembro[2])</f>
        <v>0</v>
      </c>
      <c r="E12" s="9">
        <f>SUBTOTAL(103,Dezembro[3])</f>
        <v>0</v>
      </c>
      <c r="F12" s="9">
        <f>SUBTOTAL(103,Dezembro[4])</f>
        <v>0</v>
      </c>
      <c r="G12" s="9">
        <f>SUBTOTAL(103,Dezembro[5])</f>
        <v>0</v>
      </c>
      <c r="H12" s="9">
        <f>SUBTOTAL(103,Dezembro[6])</f>
        <v>0</v>
      </c>
      <c r="I12" s="9">
        <f>SUBTOTAL(103,Dezembro[7])</f>
        <v>0</v>
      </c>
      <c r="J12" s="9">
        <f>SUBTOTAL(103,Dezembro[8])</f>
        <v>0</v>
      </c>
      <c r="K12" s="9">
        <f>SUBTOTAL(103,Dezembro[9])</f>
        <v>0</v>
      </c>
      <c r="L12" s="9">
        <f>SUBTOTAL(103,Dezembro[10])</f>
        <v>0</v>
      </c>
      <c r="M12" s="9">
        <f>SUBTOTAL(103,Dezembro[11])</f>
        <v>0</v>
      </c>
      <c r="N12" s="9">
        <f>SUBTOTAL(103,Dezembro[12])</f>
        <v>0</v>
      </c>
      <c r="O12" s="9">
        <f>SUBTOTAL(103,Dezembro[13])</f>
        <v>0</v>
      </c>
      <c r="P12" s="9">
        <f>SUBTOTAL(103,Dezembro[14])</f>
        <v>0</v>
      </c>
      <c r="Q12" s="9">
        <f>SUBTOTAL(103,Dezembro[15])</f>
        <v>0</v>
      </c>
      <c r="R12" s="9">
        <f>SUBTOTAL(103,Dezembro[16])</f>
        <v>0</v>
      </c>
      <c r="S12" s="9">
        <f>SUBTOTAL(103,Dezembro[17])</f>
        <v>0</v>
      </c>
      <c r="T12" s="9">
        <f>SUBTOTAL(103,Dezembro[18])</f>
        <v>0</v>
      </c>
      <c r="U12" s="9">
        <f>SUBTOTAL(103,Dezembro[19])</f>
        <v>0</v>
      </c>
      <c r="V12" s="9">
        <f>SUBTOTAL(103,Dezembro[20])</f>
        <v>0</v>
      </c>
      <c r="W12" s="9">
        <f>SUBTOTAL(103,Dezembro[21])</f>
        <v>0</v>
      </c>
      <c r="X12" s="9">
        <f>SUBTOTAL(103,Dezembro[22])</f>
        <v>0</v>
      </c>
      <c r="Y12" s="9">
        <f>SUBTOTAL(103,Dezembro[23])</f>
        <v>0</v>
      </c>
      <c r="Z12" s="9">
        <f>SUBTOTAL(103,Dezembro[24])</f>
        <v>0</v>
      </c>
      <c r="AA12" s="9">
        <f>SUBTOTAL(103,Dezembro[25])</f>
        <v>0</v>
      </c>
      <c r="AB12" s="9">
        <f>SUBTOTAL(103,Dezembro[26])</f>
        <v>0</v>
      </c>
      <c r="AC12" s="9">
        <f>SUBTOTAL(103,Dezembro[27])</f>
        <v>0</v>
      </c>
      <c r="AD12" s="9">
        <f>SUBTOTAL(103,Dezembro[28])</f>
        <v>0</v>
      </c>
      <c r="AE12" s="9">
        <f>SUBTOTAL(103,Dezembro[29])</f>
        <v>0</v>
      </c>
      <c r="AF12" s="9">
        <f>SUBTOTAL(103,Dezembro[30])</f>
        <v>0</v>
      </c>
      <c r="AG12" s="9">
        <f>SUBTOTAL(103,Dezembro[31])</f>
        <v>0</v>
      </c>
      <c r="AH12" s="9">
        <f>SUBTOTAL(109,Dezembro[Total de Dias])</f>
        <v>0</v>
      </c>
    </row>
  </sheetData>
  <mergeCells count="6">
    <mergeCell ref="C4:AG4"/>
    <mergeCell ref="D2:F2"/>
    <mergeCell ref="H2:J2"/>
    <mergeCell ref="T2:V2"/>
    <mergeCell ref="P2:R2"/>
    <mergeCell ref="L2:N2"/>
  </mergeCells>
  <conditionalFormatting sqref="C7:AG11">
    <cfRule type="expression" priority="1" stopIfTrue="1">
      <formula>C7=""</formula>
    </cfRule>
  </conditionalFormatting>
  <conditionalFormatting sqref="C7:AG11">
    <cfRule type="expression" dxfId="436" priority="2" stopIfTrue="1">
      <formula>C7=ChavePersonalizada2</formula>
    </cfRule>
    <cfRule type="expression" dxfId="435" priority="3" stopIfTrue="1">
      <formula>C7=ChavePersonalizada1</formula>
    </cfRule>
    <cfRule type="expression" dxfId="434" priority="4" stopIfTrue="1">
      <formula>C7=ChaveLicençaMédica</formula>
    </cfRule>
    <cfRule type="expression" dxfId="433" priority="5" stopIfTrue="1">
      <formula>C7=ChavePessoal</formula>
    </cfRule>
    <cfRule type="expression" dxfId="432" priority="6" stopIfTrue="1">
      <formula>C7=ChaveFérias</formula>
    </cfRule>
  </conditionalFormatting>
  <conditionalFormatting sqref="AH7:AH11">
    <cfRule type="dataBar" priority="30">
      <dataBar>
        <cfvo type="min"/>
        <cfvo type="formula" val="DATEDIF(DATE(AnoCalendário,2,1),DATE(AnoCalendário,3,1),&quot;d&quot;)"/>
        <color theme="2" tint="-0.249977111117893"/>
      </dataBar>
      <extLst>
        <ext xmlns:x14="http://schemas.microsoft.com/office/spreadsheetml/2009/9/main" uri="{B025F937-C7B1-47D3-B67F-A62EFF666E3E}">
          <x14:id>{17586780-365B-4F4C-BBB4-F5991705D361}</x14:id>
        </ext>
      </extLst>
    </cfRule>
  </conditionalFormatting>
  <dataValidations count="13">
    <dataValidation allowBlank="1" showInputMessage="1" showErrorMessage="1" prompt="Ano atualizado automaticamente com base no ano inserido na planilha de janeiro." sqref="AH4" xr:uid="{00000000-0002-0000-0B00-000000000000}"/>
    <dataValidation allowBlank="1" showInputMessage="1" showErrorMessage="1" prompt="Calcula automaticamente o número total de dias em que um funcionário esteve ausente deste mês nesta coluna." sqref="AH6" xr:uid="{00000000-0002-0000-0B00-000001000000}"/>
    <dataValidation allowBlank="1" showInputMessage="1" showErrorMessage="1" prompt="Acompanhe as faltas de dezembro nesta planilha." sqref="A1" xr:uid="{00000000-0002-0000-0B00-000002000000}"/>
    <dataValidation errorStyle="warning" allowBlank="1" showInputMessage="1" showErrorMessage="1" error="Selecione o nome da lista. Selecione Cancelar e pressione Alt+Seta para baixo e Enter para selecionar um nome." prompt="Insira os nomes dos funcionários na planilha Nomes dos funcionários e selecione um dos nomes da lista nesta coluna. Pressione Alt+Seta para baixo e, em seguida, ENTER para selecionar um nome." sqref="B6" xr:uid="{00000000-0002-0000-0B00-000003000000}"/>
    <dataValidation allowBlank="1" showInputMessage="1" showErrorMessage="1" prompt="O título atualizado automaticamente está nesta célula. Para modificar o título, atualize B1 na planilha Janeiro." sqref="B1" xr:uid="{00000000-0002-0000-0B00-000004000000}"/>
    <dataValidation allowBlank="1" showInputMessage="1" showErrorMessage="1" prompt="A letra &quot;F&quot; indica falta devido a férias." sqref="C2" xr:uid="{00000000-0002-0000-0B00-000005000000}"/>
    <dataValidation allowBlank="1" showInputMessage="1" showErrorMessage="1" prompt="A letra &quot;P&quot; indica falta devido a motivos pessoais." sqref="G2" xr:uid="{00000000-0002-0000-0B00-000006000000}"/>
    <dataValidation allowBlank="1" showInputMessage="1" showErrorMessage="1" prompt="A letra &quot;L&quot; indica falta devido à licença médica." sqref="K2" xr:uid="{00000000-0002-0000-0B00-000007000000}"/>
    <dataValidation allowBlank="1" showInputMessage="1" showErrorMessage="1" prompt="Digite um rótulo para descrever a chave personalizada à esquerda." sqref="S2:T2 O2:P2" xr:uid="{00000000-0002-0000-0B00-000009000000}"/>
    <dataValidation allowBlank="1" showInputMessage="1" showErrorMessage="1" prompt="Esta linha define as chaves usadas na tabela: a célula C2 é Férias, G2 é Pessoal e K2 é Licença médica. As células N2 e R2 são personalizáveis." sqref="B2" xr:uid="{00000000-0002-0000-0B00-00000A000000}"/>
    <dataValidation allowBlank="1" showInputMessage="1" showErrorMessage="1" prompt="O nome do mês para essa agenda de faltas está nesta célula. Os totais de faltas deste mês estão na última célula da tabela. Selecione os nomes dos funcionários na tabela B." sqref="B4" xr:uid="{00000000-0002-0000-0B00-00000B000000}"/>
    <dataValidation allowBlank="1" showInputMessage="1" showErrorMessage="1" prompt="Os dias da semana nesta linha são atualizados automaticamente para o mês de acordo com o ano na célula AH4. Cada dia do mês é uma coluna para indicar a falta e o tipo de falta de um funcionário." sqref="C5" xr:uid="{00000000-0002-0000-0B00-00000C000000}"/>
    <dataValidation allowBlank="1" showInputMessage="1" showErrorMessage="1" prompt="Os dias do mês nesta linha são gerados automaticamente. Insira a falta e o tipo de falta de um funcionário em cada coluna de cada dia do mês. Espaço vazio significa sem faltas." sqref="C6" xr:uid="{00000000-0002-0000-0B00-00000D000000}"/>
  </dataValidations>
  <printOptions horizontalCentered="1"/>
  <pageMargins left="0.25" right="0.25" top="0.75" bottom="0.75" header="0.3" footer="0.3"/>
  <pageSetup paperSize="9" scale="73"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17586780-365B-4F4C-BBB4-F5991705D361}">
            <x14:dataBar minLength="0" maxLength="100">
              <x14:cfvo type="autoMin"/>
              <x14:cfvo type="formula">
                <xm:f>DATEDIF(DATE(AnoCalendário,2,1),DATE(AnoCalendário,3,1),"d")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E000000}">
          <x14:formula1>
            <xm:f>'Nomes dos Funcionários'!$B$4:$B$8</xm:f>
          </x14:formula1>
          <xm:sqref>B7:B11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1"/>
  </sheetPr>
  <dimension ref="B1:B8"/>
  <sheetViews>
    <sheetView showGridLines="0" workbookViewId="0"/>
  </sheetViews>
  <sheetFormatPr defaultRowHeight="30" customHeight="1" x14ac:dyDescent="0.25"/>
  <cols>
    <col min="1" max="1" width="2.7109375" customWidth="1"/>
    <col min="2" max="2" width="30.7109375" customWidth="1"/>
    <col min="3" max="3" width="2.7109375" customWidth="1"/>
  </cols>
  <sheetData>
    <row r="1" spans="2:2" ht="50.1" customHeight="1" x14ac:dyDescent="0.25">
      <c r="B1" s="10" t="s">
        <v>63</v>
      </c>
    </row>
    <row r="2" spans="2:2" ht="15" customHeight="1" x14ac:dyDescent="0.25"/>
    <row r="3" spans="2:2" ht="30" customHeight="1" x14ac:dyDescent="0.25">
      <c r="B3" t="s">
        <v>63</v>
      </c>
    </row>
    <row r="4" spans="2:2" ht="30" customHeight="1" x14ac:dyDescent="0.25">
      <c r="B4" s="1" t="s">
        <v>4</v>
      </c>
    </row>
    <row r="5" spans="2:2" ht="30" customHeight="1" x14ac:dyDescent="0.25">
      <c r="B5" s="1" t="s">
        <v>5</v>
      </c>
    </row>
    <row r="6" spans="2:2" ht="30" customHeight="1" x14ac:dyDescent="0.25">
      <c r="B6" s="1" t="s">
        <v>6</v>
      </c>
    </row>
    <row r="7" spans="2:2" ht="30" customHeight="1" x14ac:dyDescent="0.25">
      <c r="B7" s="1" t="s">
        <v>7</v>
      </c>
    </row>
    <row r="8" spans="2:2" ht="30" customHeight="1" x14ac:dyDescent="0.25">
      <c r="B8" s="1" t="s">
        <v>8</v>
      </c>
    </row>
  </sheetData>
  <dataValidations count="3">
    <dataValidation allowBlank="1" showInputMessage="1" showErrorMessage="1" prompt="Título de nomes de funcionários." sqref="B1" xr:uid="{00000000-0002-0000-0C00-000000000000}"/>
    <dataValidation allowBlank="1" showInputMessage="1" showErrorMessage="1" prompt="Insira os nomes de funcionários na tabela nome do funcionário nesta planilha. Esses nomes são usados como opções na coluna B da tabela de faltas de cada mês." sqref="A1" xr:uid="{00000000-0002-0000-0C00-000001000000}"/>
    <dataValidation allowBlank="1" showInputMessage="1" showErrorMessage="1" prompt="Insira os nomes dos funcionários nesta coluna." sqref="B3" xr:uid="{00000000-0002-0000-0C00-000002000000}"/>
  </dataValidations>
  <pageMargins left="0.7" right="0.7" top="0.75" bottom="0.75" header="0.3" footer="0.3"/>
  <pageSetup paperSize="9" orientation="portrait" horizontalDpi="200" verticalDpi="200" r:id="rId1"/>
  <tableParts count="1">
    <tablePart r:id="rId2"/>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Planilhas</vt:lpstr>
      </vt:variant>
      <vt:variant>
        <vt:i4>13</vt:i4>
      </vt:variant>
      <vt:variant>
        <vt:lpstr>Intervalos Nomeados</vt:lpstr>
      </vt:variant>
      <vt:variant>
        <vt:i4>50</vt:i4>
      </vt:variant>
    </vt:vector>
  </HeadingPairs>
  <TitlesOfParts>
    <vt:vector size="63" baseType="lpstr">
      <vt:lpstr>Janeiro</vt:lpstr>
      <vt:lpstr>Fevereiro</vt:lpstr>
      <vt:lpstr>Março</vt:lpstr>
      <vt:lpstr>Abril</vt:lpstr>
      <vt:lpstr>Maio</vt:lpstr>
      <vt:lpstr>Junho</vt:lpstr>
      <vt:lpstr>Julho</vt:lpstr>
      <vt:lpstr>Agosto</vt:lpstr>
      <vt:lpstr>Setembro</vt:lpstr>
      <vt:lpstr>Outubro</vt:lpstr>
      <vt:lpstr>Novembro</vt:lpstr>
      <vt:lpstr>Dezembro</vt:lpstr>
      <vt:lpstr>Nomes dos Funcionários</vt:lpstr>
      <vt:lpstr>AnoCalendário</vt:lpstr>
      <vt:lpstr>ChaveFérias</vt:lpstr>
      <vt:lpstr>ChaveLicençaMédica</vt:lpstr>
      <vt:lpstr>ChavePersonalizada1</vt:lpstr>
      <vt:lpstr>ChavePersonalizada2</vt:lpstr>
      <vt:lpstr>ChavePessoal</vt:lpstr>
      <vt:lpstr>Nome_da_chave</vt:lpstr>
      <vt:lpstr>Abril!NomeMês</vt:lpstr>
      <vt:lpstr>Agosto!NomeMês</vt:lpstr>
      <vt:lpstr>Dezembro!NomeMês</vt:lpstr>
      <vt:lpstr>Fevereiro!NomeMês</vt:lpstr>
      <vt:lpstr>Janeiro!NomeMês</vt:lpstr>
      <vt:lpstr>Julho!NomeMês</vt:lpstr>
      <vt:lpstr>Junho!NomeMês</vt:lpstr>
      <vt:lpstr>Maio!NomeMês</vt:lpstr>
      <vt:lpstr>Março!NomeMês</vt:lpstr>
      <vt:lpstr>Novembro!NomeMês</vt:lpstr>
      <vt:lpstr>Outubro!NomeMês</vt:lpstr>
      <vt:lpstr>Setembro!NomeMês</vt:lpstr>
      <vt:lpstr>RótuloChaveLicençaMédica</vt:lpstr>
      <vt:lpstr>RótulodeChavedeFérias</vt:lpstr>
      <vt:lpstr>RótulodeChavePersonalizada1</vt:lpstr>
      <vt:lpstr>RótulodeChavePersonalizada2</vt:lpstr>
      <vt:lpstr>RótuloDeChavePessoal</vt:lpstr>
      <vt:lpstr>Título_de_Falta_do_Funcionário</vt:lpstr>
      <vt:lpstr>Título1</vt:lpstr>
      <vt:lpstr>Título10</vt:lpstr>
      <vt:lpstr>Título11</vt:lpstr>
      <vt:lpstr>Título12</vt:lpstr>
      <vt:lpstr>Título2</vt:lpstr>
      <vt:lpstr>Título3</vt:lpstr>
      <vt:lpstr>Título4</vt:lpstr>
      <vt:lpstr>Título5</vt:lpstr>
      <vt:lpstr>Título6</vt:lpstr>
      <vt:lpstr>Título7</vt:lpstr>
      <vt:lpstr>Título8</vt:lpstr>
      <vt:lpstr>Título9</vt:lpstr>
      <vt:lpstr>TítuloColuna13</vt:lpstr>
      <vt:lpstr>Abril!Titulos_de_impressao</vt:lpstr>
      <vt:lpstr>Agosto!Titulos_de_impressao</vt:lpstr>
      <vt:lpstr>Dezembro!Titulos_de_impressao</vt:lpstr>
      <vt:lpstr>Fevereiro!Titulos_de_impressao</vt:lpstr>
      <vt:lpstr>Janeiro!Titulos_de_impressao</vt:lpstr>
      <vt:lpstr>Julho!Titulos_de_impressao</vt:lpstr>
      <vt:lpstr>Junho!Titulos_de_impressao</vt:lpstr>
      <vt:lpstr>Maio!Titulos_de_impressao</vt:lpstr>
      <vt:lpstr>Março!Titulos_de_impressao</vt:lpstr>
      <vt:lpstr>Novembro!Titulos_de_impressao</vt:lpstr>
      <vt:lpstr>Outubro!Titulos_de_impressao</vt:lpstr>
      <vt:lpstr>Setembro!Titulos_de_impressao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terms:created xsi:type="dcterms:W3CDTF">2016-12-06T04:52:27Z</dcterms:created>
  <dcterms:modified xsi:type="dcterms:W3CDTF">2019-07-30T13:00:32Z</dcterms:modified>
</cp:coreProperties>
</file>