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B4B3994-FC33-4986-9749-B3E574F8B67E}" xr6:coauthVersionLast="32" xr6:coauthVersionMax="32" xr10:uidLastSave="{00000000-0000-0000-0000-000000000000}"/>
  <bookViews>
    <workbookView xWindow="0" yWindow="0" windowWidth="28800" windowHeight="11700" xr2:uid="{CA9D4684-8E46-465A-B08D-4A7DCEB6E45E}"/>
  </bookViews>
  <sheets>
    <sheet name="Planilha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" i="1" l="1"/>
  <c r="G23" i="1"/>
  <c r="F23" i="1"/>
  <c r="G22" i="1"/>
  <c r="F22" i="1"/>
  <c r="G21" i="1"/>
  <c r="N20" i="1"/>
  <c r="N25" i="1" s="1"/>
  <c r="G20" i="1"/>
  <c r="G25" i="1" s="1"/>
  <c r="N15" i="1"/>
  <c r="N17" i="1" s="1"/>
  <c r="G15" i="1"/>
  <c r="N12" i="1"/>
  <c r="N14" i="1" s="1"/>
  <c r="G10" i="1"/>
  <c r="G13" i="1" s="1"/>
  <c r="G9" i="1"/>
  <c r="G8" i="1"/>
  <c r="G5" i="1"/>
  <c r="G12" i="1" s="1"/>
  <c r="N27" i="1" l="1"/>
  <c r="G14" i="1"/>
  <c r="G17" i="1" s="1"/>
  <c r="G27" i="1"/>
  <c r="H28" i="1" s="1"/>
</calcChain>
</file>

<file path=xl/sharedStrings.xml><?xml version="1.0" encoding="utf-8"?>
<sst xmlns="http://schemas.openxmlformats.org/spreadsheetml/2006/main" count="49" uniqueCount="33">
  <si>
    <t xml:space="preserve">                          Lucro Presumido</t>
  </si>
  <si>
    <t>Simples Nacional</t>
  </si>
  <si>
    <t>FOLHA DE PAGAMENTO</t>
  </si>
  <si>
    <t>Salario Socio (Pro-labore)</t>
  </si>
  <si>
    <t xml:space="preserve">Segurados </t>
  </si>
  <si>
    <t xml:space="preserve">INSS (Pro-labore) </t>
  </si>
  <si>
    <t xml:space="preserve">Patronal   </t>
  </si>
  <si>
    <t xml:space="preserve">Patronal  </t>
  </si>
  <si>
    <t>Salario colaborador</t>
  </si>
  <si>
    <t>Segurados  (Base INSS)</t>
  </si>
  <si>
    <t>Segurados (Tabela INSS)</t>
  </si>
  <si>
    <t>INSS (colaborador)</t>
  </si>
  <si>
    <t>FAP (fator acident. Previd.)</t>
  </si>
  <si>
    <t>FAP (fator acid. Previd.)</t>
  </si>
  <si>
    <t xml:space="preserve">Terceiros </t>
  </si>
  <si>
    <t>VALOR DO INSS</t>
  </si>
  <si>
    <t>OUTRAS ENTIDADES</t>
  </si>
  <si>
    <t>VALOR DE OUTRAS ENTIDADES</t>
  </si>
  <si>
    <t>GPS</t>
  </si>
  <si>
    <t>FGTS</t>
  </si>
  <si>
    <t>IRRF (Base Imposto de Renda)</t>
  </si>
  <si>
    <t>TOTAL</t>
  </si>
  <si>
    <t>TRIBUTAÇÃO</t>
  </si>
  <si>
    <t>ÁREA FISCAL</t>
  </si>
  <si>
    <t>FATURAMENTO</t>
  </si>
  <si>
    <t>PIS</t>
  </si>
  <si>
    <t>ALIQUOTA SIMPLES</t>
  </si>
  <si>
    <t>COFINS</t>
  </si>
  <si>
    <t>IRPJ</t>
  </si>
  <si>
    <t>CSLL</t>
  </si>
  <si>
    <t>ISS</t>
  </si>
  <si>
    <t>AVALIAÇÃO FINAL</t>
  </si>
  <si>
    <t>MELHOR ESCOLHA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</si>
</sst>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_-[$R$-416]* #,##0.00_-;\-[$R$-416]* #,##0.00_-;_-[$R$-416]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3" fillId="2" borderId="0" xfId="0" applyFont="1" applyFill="1"/>
    <xf numFmtId="0" fontId="0" fillId="2" borderId="0" xfId="0" applyFill="1"/>
    <xf numFmtId="0" fontId="0" fillId="2" borderId="0" xfId="0" applyFill="1" applyBorder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4" borderId="0" xfId="0" applyFill="1"/>
    <xf numFmtId="44" fontId="0" fillId="4" borderId="3" xfId="0" applyNumberFormat="1" applyFill="1" applyBorder="1"/>
    <xf numFmtId="9" fontId="0" fillId="4" borderId="0" xfId="0" applyNumberFormat="1" applyFill="1"/>
    <xf numFmtId="0" fontId="0" fillId="5" borderId="0" xfId="0" applyFill="1"/>
    <xf numFmtId="165" fontId="0" fillId="5" borderId="3" xfId="1" applyNumberFormat="1" applyFont="1" applyFill="1" applyBorder="1"/>
    <xf numFmtId="0" fontId="0" fillId="5" borderId="3" xfId="0" applyFill="1" applyBorder="1"/>
    <xf numFmtId="9" fontId="0" fillId="5" borderId="0" xfId="0" applyNumberFormat="1" applyFill="1"/>
    <xf numFmtId="44" fontId="0" fillId="5" borderId="3" xfId="0" applyNumberFormat="1" applyFill="1" applyBorder="1"/>
    <xf numFmtId="10" fontId="0" fillId="5" borderId="0" xfId="0" applyNumberFormat="1" applyFill="1"/>
    <xf numFmtId="0" fontId="0" fillId="6" borderId="0" xfId="0" applyFill="1"/>
    <xf numFmtId="44" fontId="0" fillId="6" borderId="3" xfId="0" applyNumberFormat="1" applyFill="1" applyBorder="1"/>
    <xf numFmtId="0" fontId="0" fillId="6" borderId="4" xfId="0" applyFill="1" applyBorder="1"/>
    <xf numFmtId="0" fontId="0" fillId="6" borderId="0" xfId="0" applyFill="1" applyBorder="1"/>
    <xf numFmtId="0" fontId="0" fillId="7" borderId="0" xfId="0" applyFill="1"/>
    <xf numFmtId="9" fontId="0" fillId="7" borderId="0" xfId="0" applyNumberFormat="1" applyFill="1"/>
    <xf numFmtId="44" fontId="0" fillId="7" borderId="3" xfId="0" applyNumberFormat="1" applyFill="1" applyBorder="1"/>
    <xf numFmtId="0" fontId="0" fillId="8" borderId="0" xfId="0" applyFill="1"/>
    <xf numFmtId="44" fontId="0" fillId="8" borderId="3" xfId="0" applyNumberFormat="1" applyFill="1" applyBorder="1"/>
    <xf numFmtId="0" fontId="0" fillId="9" borderId="0" xfId="0" applyFill="1" applyAlignment="1">
      <alignment horizontal="center"/>
    </xf>
    <xf numFmtId="44" fontId="0" fillId="9" borderId="3" xfId="0" applyNumberFormat="1" applyFill="1" applyBorder="1"/>
    <xf numFmtId="0" fontId="2" fillId="10" borderId="0" xfId="0" applyFont="1" applyFill="1"/>
    <xf numFmtId="10" fontId="2" fillId="10" borderId="0" xfId="2" applyNumberFormat="1" applyFont="1" applyFill="1"/>
    <xf numFmtId="44" fontId="2" fillId="10" borderId="3" xfId="0" applyNumberFormat="1" applyFont="1" applyFill="1" applyBorder="1"/>
    <xf numFmtId="10" fontId="0" fillId="4" borderId="0" xfId="2" applyNumberFormat="1" applyFont="1" applyFill="1"/>
    <xf numFmtId="0" fontId="5" fillId="0" borderId="5" xfId="0" applyFont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6</xdr:row>
      <xdr:rowOff>104776</xdr:rowOff>
    </xdr:from>
    <xdr:to>
      <xdr:col>3</xdr:col>
      <xdr:colOff>561975</xdr:colOff>
      <xdr:row>7</xdr:row>
      <xdr:rowOff>95250</xdr:rowOff>
    </xdr:to>
    <xdr:cxnSp macro="">
      <xdr:nvCxnSpPr>
        <xdr:cNvPr id="2" name="Conector angulado 9">
          <a:extLst>
            <a:ext uri="{FF2B5EF4-FFF2-40B4-BE49-F238E27FC236}">
              <a16:creationId xmlns:a16="http://schemas.microsoft.com/office/drawing/2014/main" id="{0C033826-8603-4107-A83F-9D1D559EC3BF}"/>
            </a:ext>
          </a:extLst>
        </xdr:cNvPr>
        <xdr:cNvCxnSpPr/>
      </xdr:nvCxnSpPr>
      <xdr:spPr>
        <a:xfrm flipV="1">
          <a:off x="1533525" y="1438276"/>
          <a:ext cx="1752600" cy="18097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</xdr:colOff>
      <xdr:row>7</xdr:row>
      <xdr:rowOff>142875</xdr:rowOff>
    </xdr:from>
    <xdr:to>
      <xdr:col>3</xdr:col>
      <xdr:colOff>581025</xdr:colOff>
      <xdr:row>9</xdr:row>
      <xdr:rowOff>123825</xdr:rowOff>
    </xdr:to>
    <xdr:cxnSp macro="">
      <xdr:nvCxnSpPr>
        <xdr:cNvPr id="3" name="Conector angulado 11">
          <a:extLst>
            <a:ext uri="{FF2B5EF4-FFF2-40B4-BE49-F238E27FC236}">
              <a16:creationId xmlns:a16="http://schemas.microsoft.com/office/drawing/2014/main" id="{FFD17E02-8D45-43BF-BC5F-6777DA1C906D}"/>
            </a:ext>
          </a:extLst>
        </xdr:cNvPr>
        <xdr:cNvCxnSpPr/>
      </xdr:nvCxnSpPr>
      <xdr:spPr>
        <a:xfrm>
          <a:off x="1533525" y="1666875"/>
          <a:ext cx="1771650" cy="3619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</xdr:row>
      <xdr:rowOff>95253</xdr:rowOff>
    </xdr:from>
    <xdr:to>
      <xdr:col>10</xdr:col>
      <xdr:colOff>571500</xdr:colOff>
      <xdr:row>7</xdr:row>
      <xdr:rowOff>114300</xdr:rowOff>
    </xdr:to>
    <xdr:cxnSp macro="">
      <xdr:nvCxnSpPr>
        <xdr:cNvPr id="4" name="Conector angulado 20">
          <a:extLst>
            <a:ext uri="{FF2B5EF4-FFF2-40B4-BE49-F238E27FC236}">
              <a16:creationId xmlns:a16="http://schemas.microsoft.com/office/drawing/2014/main" id="{5F572F91-F7AC-4D2C-8CCA-896E1D456BAF}"/>
            </a:ext>
          </a:extLst>
        </xdr:cNvPr>
        <xdr:cNvCxnSpPr/>
      </xdr:nvCxnSpPr>
      <xdr:spPr>
        <a:xfrm flipV="1">
          <a:off x="7962900" y="1428753"/>
          <a:ext cx="1790700" cy="20954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</xdr:row>
      <xdr:rowOff>152400</xdr:rowOff>
    </xdr:from>
    <xdr:to>
      <xdr:col>10</xdr:col>
      <xdr:colOff>581025</xdr:colOff>
      <xdr:row>9</xdr:row>
      <xdr:rowOff>114300</xdr:rowOff>
    </xdr:to>
    <xdr:cxnSp macro="">
      <xdr:nvCxnSpPr>
        <xdr:cNvPr id="5" name="Conector angulado 21">
          <a:extLst>
            <a:ext uri="{FF2B5EF4-FFF2-40B4-BE49-F238E27FC236}">
              <a16:creationId xmlns:a16="http://schemas.microsoft.com/office/drawing/2014/main" id="{574594C9-B46E-4929-A3E1-95A06C581108}"/>
            </a:ext>
          </a:extLst>
        </xdr:cNvPr>
        <xdr:cNvCxnSpPr/>
      </xdr:nvCxnSpPr>
      <xdr:spPr>
        <a:xfrm>
          <a:off x="7962900" y="1676400"/>
          <a:ext cx="1800225" cy="3429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285750</xdr:colOff>
      <xdr:row>7</xdr:row>
      <xdr:rowOff>114300</xdr:rowOff>
    </xdr:from>
    <xdr:to>
      <xdr:col>10</xdr:col>
      <xdr:colOff>581025</xdr:colOff>
      <xdr:row>7</xdr:row>
      <xdr:rowOff>123825</xdr:rowOff>
    </xdr:to>
    <xdr:cxnSp macro="">
      <xdr:nvCxnSpPr>
        <xdr:cNvPr id="6" name="Conector de seta reta 22">
          <a:extLst>
            <a:ext uri="{FF2B5EF4-FFF2-40B4-BE49-F238E27FC236}">
              <a16:creationId xmlns:a16="http://schemas.microsoft.com/office/drawing/2014/main" id="{939C497A-1D10-469E-9EA1-6D22362E98BD}"/>
            </a:ext>
          </a:extLst>
        </xdr:cNvPr>
        <xdr:cNvCxnSpPr/>
      </xdr:nvCxnSpPr>
      <xdr:spPr>
        <a:xfrm>
          <a:off x="8858250" y="1638300"/>
          <a:ext cx="9048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304800</xdr:colOff>
      <xdr:row>8</xdr:row>
      <xdr:rowOff>123825</xdr:rowOff>
    </xdr:from>
    <xdr:to>
      <xdr:col>3</xdr:col>
      <xdr:colOff>581025</xdr:colOff>
      <xdr:row>8</xdr:row>
      <xdr:rowOff>133350</xdr:rowOff>
    </xdr:to>
    <xdr:cxnSp macro="">
      <xdr:nvCxnSpPr>
        <xdr:cNvPr id="7" name="Conector de seta reta 26">
          <a:extLst>
            <a:ext uri="{FF2B5EF4-FFF2-40B4-BE49-F238E27FC236}">
              <a16:creationId xmlns:a16="http://schemas.microsoft.com/office/drawing/2014/main" id="{764F989C-457E-4567-AFA0-1672264BF35D}"/>
            </a:ext>
          </a:extLst>
        </xdr:cNvPr>
        <xdr:cNvCxnSpPr/>
      </xdr:nvCxnSpPr>
      <xdr:spPr>
        <a:xfrm>
          <a:off x="2419350" y="1838325"/>
          <a:ext cx="8858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295275</xdr:colOff>
      <xdr:row>8</xdr:row>
      <xdr:rowOff>123825</xdr:rowOff>
    </xdr:from>
    <xdr:to>
      <xdr:col>10</xdr:col>
      <xdr:colOff>571500</xdr:colOff>
      <xdr:row>8</xdr:row>
      <xdr:rowOff>123825</xdr:rowOff>
    </xdr:to>
    <xdr:cxnSp macro="">
      <xdr:nvCxnSpPr>
        <xdr:cNvPr id="8" name="Conector de seta reta 28">
          <a:extLst>
            <a:ext uri="{FF2B5EF4-FFF2-40B4-BE49-F238E27FC236}">
              <a16:creationId xmlns:a16="http://schemas.microsoft.com/office/drawing/2014/main" id="{38E2AFBE-68AF-44DC-9D60-18C0101C8603}"/>
            </a:ext>
          </a:extLst>
        </xdr:cNvPr>
        <xdr:cNvCxnSpPr/>
      </xdr:nvCxnSpPr>
      <xdr:spPr>
        <a:xfrm>
          <a:off x="8867775" y="1838325"/>
          <a:ext cx="8858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314325</xdr:colOff>
      <xdr:row>4</xdr:row>
      <xdr:rowOff>114300</xdr:rowOff>
    </xdr:from>
    <xdr:to>
      <xdr:col>3</xdr:col>
      <xdr:colOff>600075</xdr:colOff>
      <xdr:row>4</xdr:row>
      <xdr:rowOff>114300</xdr:rowOff>
    </xdr:to>
    <xdr:cxnSp macro="">
      <xdr:nvCxnSpPr>
        <xdr:cNvPr id="9" name="Conector de seta reta 32">
          <a:extLst>
            <a:ext uri="{FF2B5EF4-FFF2-40B4-BE49-F238E27FC236}">
              <a16:creationId xmlns:a16="http://schemas.microsoft.com/office/drawing/2014/main" id="{A460A605-2F54-4E88-A40D-324F041485B9}"/>
            </a:ext>
          </a:extLst>
        </xdr:cNvPr>
        <xdr:cNvCxnSpPr/>
      </xdr:nvCxnSpPr>
      <xdr:spPr>
        <a:xfrm>
          <a:off x="2428875" y="1066800"/>
          <a:ext cx="8953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3</xdr:row>
      <xdr:rowOff>104776</xdr:rowOff>
    </xdr:from>
    <xdr:to>
      <xdr:col>3</xdr:col>
      <xdr:colOff>590550</xdr:colOff>
      <xdr:row>4</xdr:row>
      <xdr:rowOff>114300</xdr:rowOff>
    </xdr:to>
    <xdr:cxnSp macro="">
      <xdr:nvCxnSpPr>
        <xdr:cNvPr id="10" name="Conector angulado 34">
          <a:extLst>
            <a:ext uri="{FF2B5EF4-FFF2-40B4-BE49-F238E27FC236}">
              <a16:creationId xmlns:a16="http://schemas.microsoft.com/office/drawing/2014/main" id="{B6A1E9F4-B8CE-46FA-B202-79B75C44A188}"/>
            </a:ext>
          </a:extLst>
        </xdr:cNvPr>
        <xdr:cNvCxnSpPr/>
      </xdr:nvCxnSpPr>
      <xdr:spPr>
        <a:xfrm flipV="1">
          <a:off x="1524000" y="866776"/>
          <a:ext cx="1790700" cy="20002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7</xdr:row>
      <xdr:rowOff>95250</xdr:rowOff>
    </xdr:from>
    <xdr:to>
      <xdr:col>3</xdr:col>
      <xdr:colOff>571500</xdr:colOff>
      <xdr:row>7</xdr:row>
      <xdr:rowOff>95251</xdr:rowOff>
    </xdr:to>
    <xdr:cxnSp macro="">
      <xdr:nvCxnSpPr>
        <xdr:cNvPr id="11" name="Conector de seta reta 36">
          <a:extLst>
            <a:ext uri="{FF2B5EF4-FFF2-40B4-BE49-F238E27FC236}">
              <a16:creationId xmlns:a16="http://schemas.microsoft.com/office/drawing/2014/main" id="{1B568CB9-2068-4C8D-8A8B-A1AE1FB3C2DB}"/>
            </a:ext>
          </a:extLst>
        </xdr:cNvPr>
        <xdr:cNvCxnSpPr/>
      </xdr:nvCxnSpPr>
      <xdr:spPr>
        <a:xfrm>
          <a:off x="2400300" y="1619250"/>
          <a:ext cx="89535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3</xdr:row>
      <xdr:rowOff>76201</xdr:rowOff>
    </xdr:from>
    <xdr:to>
      <xdr:col>10</xdr:col>
      <xdr:colOff>600075</xdr:colOff>
      <xdr:row>4</xdr:row>
      <xdr:rowOff>95250</xdr:rowOff>
    </xdr:to>
    <xdr:cxnSp macro="">
      <xdr:nvCxnSpPr>
        <xdr:cNvPr id="12" name="Conector angulado 54">
          <a:extLst>
            <a:ext uri="{FF2B5EF4-FFF2-40B4-BE49-F238E27FC236}">
              <a16:creationId xmlns:a16="http://schemas.microsoft.com/office/drawing/2014/main" id="{3C24E4D7-4EAA-4B44-B58A-B7B388E3A962}"/>
            </a:ext>
          </a:extLst>
        </xdr:cNvPr>
        <xdr:cNvCxnSpPr/>
      </xdr:nvCxnSpPr>
      <xdr:spPr>
        <a:xfrm flipV="1">
          <a:off x="7972425" y="838201"/>
          <a:ext cx="1809750" cy="209549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314325</xdr:colOff>
      <xdr:row>4</xdr:row>
      <xdr:rowOff>95250</xdr:rowOff>
    </xdr:from>
    <xdr:to>
      <xdr:col>11</xdr:col>
      <xdr:colOff>9525</xdr:colOff>
      <xdr:row>4</xdr:row>
      <xdr:rowOff>95250</xdr:rowOff>
    </xdr:to>
    <xdr:cxnSp macro="">
      <xdr:nvCxnSpPr>
        <xdr:cNvPr id="13" name="Conector de seta reta 58">
          <a:extLst>
            <a:ext uri="{FF2B5EF4-FFF2-40B4-BE49-F238E27FC236}">
              <a16:creationId xmlns:a16="http://schemas.microsoft.com/office/drawing/2014/main" id="{DAD4A0F0-1367-42C6-8510-7B319EBB2C2A}"/>
            </a:ext>
          </a:extLst>
        </xdr:cNvPr>
        <xdr:cNvCxnSpPr/>
      </xdr:nvCxnSpPr>
      <xdr:spPr>
        <a:xfrm>
          <a:off x="8886825" y="1047750"/>
          <a:ext cx="914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CB24-C3E9-4209-9C90-70F5A9419949}">
  <dimension ref="A1:N29"/>
  <sheetViews>
    <sheetView tabSelected="1" workbookViewId="0">
      <selection activeCell="E32" sqref="E32"/>
    </sheetView>
  </sheetViews>
  <sheetFormatPr defaultColWidth="9.28515625" defaultRowHeight="15" x14ac:dyDescent="0.25"/>
  <cols>
    <col min="1" max="1" width="58.28515625" bestFit="1" customWidth="1"/>
    <col min="5" max="5" width="25.28515625" bestFit="1" customWidth="1"/>
    <col min="6" max="6" width="6.140625" bestFit="1" customWidth="1"/>
    <col min="7" max="7" width="13.28515625" bestFit="1" customWidth="1"/>
    <col min="8" max="8" width="28.140625" bestFit="1" customWidth="1"/>
    <col min="9" max="9" width="31.85546875" bestFit="1" customWidth="1"/>
    <col min="12" max="12" width="22.7109375" bestFit="1" customWidth="1"/>
    <col min="13" max="13" width="7.140625" bestFit="1" customWidth="1"/>
    <col min="14" max="14" width="13.28515625" bestFit="1" customWidth="1"/>
  </cols>
  <sheetData>
    <row r="1" spans="1:14" ht="28.5" x14ac:dyDescent="0.45">
      <c r="A1" s="1" t="s">
        <v>0</v>
      </c>
      <c r="B1" s="2"/>
      <c r="C1" s="2"/>
      <c r="D1" s="2"/>
      <c r="E1" s="2"/>
      <c r="F1" s="2"/>
      <c r="G1" s="3"/>
      <c r="H1" s="2"/>
      <c r="I1" s="1" t="s">
        <v>1</v>
      </c>
      <c r="J1" s="2"/>
      <c r="K1" s="2"/>
      <c r="L1" s="2"/>
      <c r="M1" s="2"/>
      <c r="N1" s="3"/>
    </row>
    <row r="2" spans="1:14" ht="21" x14ac:dyDescent="0.35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x14ac:dyDescent="0.25">
      <c r="A3" s="6" t="s">
        <v>3</v>
      </c>
      <c r="B3" s="6"/>
      <c r="C3" s="6"/>
      <c r="D3" s="6"/>
      <c r="E3" s="6"/>
      <c r="F3" s="6"/>
      <c r="G3" s="7">
        <v>937</v>
      </c>
      <c r="H3" s="6" t="s">
        <v>3</v>
      </c>
      <c r="I3" s="6"/>
      <c r="J3" s="6"/>
      <c r="K3" s="6"/>
      <c r="L3" s="6"/>
      <c r="M3" s="6"/>
      <c r="N3" s="7"/>
    </row>
    <row r="4" spans="1:14" x14ac:dyDescent="0.25">
      <c r="A4" s="6"/>
      <c r="B4" s="6"/>
      <c r="C4" s="6"/>
      <c r="D4" s="6"/>
      <c r="E4" s="6" t="s">
        <v>4</v>
      </c>
      <c r="F4" s="8">
        <v>0.11</v>
      </c>
      <c r="G4" s="7">
        <v>0</v>
      </c>
      <c r="H4" s="6"/>
      <c r="I4" s="6"/>
      <c r="J4" s="6"/>
      <c r="K4" s="6"/>
      <c r="L4" s="6" t="s">
        <v>4</v>
      </c>
      <c r="M4" s="8">
        <v>0.11</v>
      </c>
      <c r="N4" s="7">
        <v>0</v>
      </c>
    </row>
    <row r="5" spans="1:14" x14ac:dyDescent="0.25">
      <c r="A5" s="6" t="s">
        <v>5</v>
      </c>
      <c r="B5" s="6"/>
      <c r="C5" s="6"/>
      <c r="D5" s="6"/>
      <c r="E5" s="6" t="s">
        <v>6</v>
      </c>
      <c r="F5" s="8">
        <v>0.2</v>
      </c>
      <c r="G5" s="7">
        <f>G3*F5</f>
        <v>187.4</v>
      </c>
      <c r="H5" s="6" t="s">
        <v>5</v>
      </c>
      <c r="I5" s="6"/>
      <c r="J5" s="6"/>
      <c r="K5" s="6"/>
      <c r="L5" s="6" t="s">
        <v>7</v>
      </c>
      <c r="M5" s="8">
        <v>0.2</v>
      </c>
      <c r="N5" s="7">
        <v>0</v>
      </c>
    </row>
    <row r="6" spans="1:14" x14ac:dyDescent="0.25">
      <c r="A6" s="9" t="s">
        <v>8</v>
      </c>
      <c r="B6" s="9"/>
      <c r="C6" s="9"/>
      <c r="D6" s="9"/>
      <c r="E6" s="9"/>
      <c r="F6" s="9"/>
      <c r="G6" s="10"/>
      <c r="H6" s="9" t="s">
        <v>8</v>
      </c>
      <c r="I6" s="9"/>
      <c r="J6" s="9"/>
      <c r="K6" s="9"/>
      <c r="L6" s="9"/>
      <c r="M6" s="9"/>
      <c r="N6" s="11"/>
    </row>
    <row r="7" spans="1:14" x14ac:dyDescent="0.25">
      <c r="A7" s="9"/>
      <c r="B7" s="9"/>
      <c r="C7" s="9"/>
      <c r="D7" s="9"/>
      <c r="E7" s="9" t="s">
        <v>9</v>
      </c>
      <c r="F7" s="12">
        <v>0.08</v>
      </c>
      <c r="G7" s="13"/>
      <c r="H7" s="9"/>
      <c r="I7" s="9"/>
      <c r="J7" s="9"/>
      <c r="K7" s="9"/>
      <c r="L7" s="9" t="s">
        <v>10</v>
      </c>
      <c r="M7" s="12">
        <v>0.08</v>
      </c>
      <c r="N7" s="13"/>
    </row>
    <row r="8" spans="1:14" x14ac:dyDescent="0.25">
      <c r="A8" s="9" t="s">
        <v>11</v>
      </c>
      <c r="B8" s="9"/>
      <c r="C8" s="9"/>
      <c r="D8" s="9"/>
      <c r="E8" s="9" t="s">
        <v>6</v>
      </c>
      <c r="F8" s="12">
        <v>0.2</v>
      </c>
      <c r="G8" s="13">
        <f>G6*F8</f>
        <v>0</v>
      </c>
      <c r="H8" s="9" t="s">
        <v>11</v>
      </c>
      <c r="I8" s="9"/>
      <c r="J8" s="9"/>
      <c r="K8" s="9"/>
      <c r="L8" s="9" t="s">
        <v>7</v>
      </c>
      <c r="M8" s="12">
        <v>0.2</v>
      </c>
      <c r="N8" s="13">
        <v>0</v>
      </c>
    </row>
    <row r="9" spans="1:14" x14ac:dyDescent="0.25">
      <c r="A9" s="9"/>
      <c r="B9" s="9"/>
      <c r="C9" s="9"/>
      <c r="D9" s="9"/>
      <c r="E9" s="9" t="s">
        <v>12</v>
      </c>
      <c r="F9" s="12">
        <v>0.01</v>
      </c>
      <c r="G9" s="13">
        <f>G6*F9</f>
        <v>0</v>
      </c>
      <c r="H9" s="9"/>
      <c r="I9" s="9"/>
      <c r="J9" s="9"/>
      <c r="K9" s="9"/>
      <c r="L9" s="9" t="s">
        <v>13</v>
      </c>
      <c r="M9" s="12">
        <v>0.01</v>
      </c>
      <c r="N9" s="13">
        <v>0</v>
      </c>
    </row>
    <row r="10" spans="1:14" x14ac:dyDescent="0.25">
      <c r="A10" s="9"/>
      <c r="B10" s="9"/>
      <c r="C10" s="9"/>
      <c r="D10" s="9"/>
      <c r="E10" s="9" t="s">
        <v>14</v>
      </c>
      <c r="F10" s="14">
        <v>5.8000000000000003E-2</v>
      </c>
      <c r="G10" s="13">
        <f>G6*F10</f>
        <v>0</v>
      </c>
      <c r="H10" s="9"/>
      <c r="I10" s="9"/>
      <c r="J10" s="9"/>
      <c r="K10" s="9"/>
      <c r="L10" s="9" t="s">
        <v>14</v>
      </c>
      <c r="M10" s="14">
        <v>5.8000000000000003E-2</v>
      </c>
      <c r="N10" s="13">
        <v>0</v>
      </c>
    </row>
    <row r="11" spans="1:14" x14ac:dyDescent="0.25">
      <c r="A11" s="9"/>
      <c r="B11" s="9"/>
      <c r="C11" s="9"/>
      <c r="D11" s="9"/>
      <c r="E11" s="12"/>
      <c r="F11" s="12"/>
      <c r="G11" s="13">
        <v>0</v>
      </c>
      <c r="H11" s="9"/>
      <c r="I11" s="9"/>
      <c r="J11" s="9"/>
      <c r="K11" s="9"/>
      <c r="L11" s="12"/>
      <c r="M11" s="12"/>
      <c r="N11" s="13"/>
    </row>
    <row r="12" spans="1:14" x14ac:dyDescent="0.25">
      <c r="A12" s="15" t="s">
        <v>15</v>
      </c>
      <c r="B12" s="15"/>
      <c r="C12" s="15"/>
      <c r="D12" s="15"/>
      <c r="E12" s="15"/>
      <c r="F12" s="15"/>
      <c r="G12" s="16">
        <f>SUM(G5,G7,G8,G9)</f>
        <v>187.4</v>
      </c>
      <c r="H12" s="17" t="s">
        <v>15</v>
      </c>
      <c r="I12" s="18"/>
      <c r="J12" s="18"/>
      <c r="K12" s="18"/>
      <c r="L12" s="18"/>
      <c r="M12" s="18"/>
      <c r="N12" s="16">
        <f>SUM(N7)</f>
        <v>0</v>
      </c>
    </row>
    <row r="13" spans="1:14" x14ac:dyDescent="0.25">
      <c r="A13" s="15" t="s">
        <v>16</v>
      </c>
      <c r="B13" s="15"/>
      <c r="C13" s="15"/>
      <c r="D13" s="15"/>
      <c r="E13" s="15"/>
      <c r="F13" s="15"/>
      <c r="G13" s="16">
        <f>SUM(G10)</f>
        <v>0</v>
      </c>
      <c r="H13" s="15" t="s">
        <v>17</v>
      </c>
      <c r="I13" s="15"/>
      <c r="J13" s="15"/>
      <c r="K13" s="15"/>
      <c r="L13" s="15"/>
      <c r="M13" s="15"/>
      <c r="N13" s="16">
        <v>0</v>
      </c>
    </row>
    <row r="14" spans="1:14" x14ac:dyDescent="0.25">
      <c r="A14" s="15" t="s">
        <v>18</v>
      </c>
      <c r="B14" s="15"/>
      <c r="C14" s="15"/>
      <c r="D14" s="15"/>
      <c r="E14" s="15"/>
      <c r="F14" s="15"/>
      <c r="G14" s="16">
        <f>SUM(G13,G12)</f>
        <v>187.4</v>
      </c>
      <c r="H14" s="18" t="s">
        <v>18</v>
      </c>
      <c r="I14" s="15"/>
      <c r="J14" s="15"/>
      <c r="K14" s="15"/>
      <c r="L14" s="15"/>
      <c r="M14" s="15"/>
      <c r="N14" s="16">
        <f>SUM(N12)</f>
        <v>0</v>
      </c>
    </row>
    <row r="15" spans="1:14" x14ac:dyDescent="0.25">
      <c r="A15" s="19" t="s">
        <v>19</v>
      </c>
      <c r="B15" s="19"/>
      <c r="C15" s="19"/>
      <c r="D15" s="19"/>
      <c r="E15" s="20"/>
      <c r="F15" s="20">
        <v>0.08</v>
      </c>
      <c r="G15" s="21">
        <f>G6*F15</f>
        <v>0</v>
      </c>
      <c r="H15" s="19" t="s">
        <v>19</v>
      </c>
      <c r="I15" s="19"/>
      <c r="J15" s="19"/>
      <c r="K15" s="19"/>
      <c r="L15" s="19"/>
      <c r="M15" s="20">
        <v>0.08</v>
      </c>
      <c r="N15" s="21">
        <f>N6*M15</f>
        <v>0</v>
      </c>
    </row>
    <row r="16" spans="1:14" x14ac:dyDescent="0.25">
      <c r="A16" s="22" t="s">
        <v>20</v>
      </c>
      <c r="B16" s="22"/>
      <c r="C16" s="22"/>
      <c r="D16" s="22"/>
      <c r="E16" s="22"/>
      <c r="F16" s="22"/>
      <c r="G16" s="23">
        <v>0</v>
      </c>
      <c r="H16" s="22" t="s">
        <v>20</v>
      </c>
      <c r="I16" s="22"/>
      <c r="J16" s="22"/>
      <c r="K16" s="22"/>
      <c r="L16" s="22"/>
      <c r="M16" s="22"/>
      <c r="N16" s="23">
        <v>0</v>
      </c>
    </row>
    <row r="17" spans="1:14" x14ac:dyDescent="0.25">
      <c r="A17" s="24" t="s">
        <v>21</v>
      </c>
      <c r="B17" s="24"/>
      <c r="C17" s="24"/>
      <c r="D17" s="24"/>
      <c r="E17" s="24"/>
      <c r="F17" s="24"/>
      <c r="G17" s="25">
        <f>G14+G15</f>
        <v>187.4</v>
      </c>
      <c r="H17" s="24"/>
      <c r="I17" s="24"/>
      <c r="J17" s="24"/>
      <c r="K17" s="24"/>
      <c r="L17" s="24"/>
      <c r="M17" s="24">
        <v>0.08</v>
      </c>
      <c r="N17" s="25">
        <f>N15</f>
        <v>0</v>
      </c>
    </row>
    <row r="18" spans="1:14" ht="21" x14ac:dyDescent="0.35">
      <c r="A18" s="4" t="s">
        <v>22</v>
      </c>
      <c r="B18" s="5"/>
      <c r="C18" s="5"/>
      <c r="D18" s="5"/>
      <c r="E18" s="5"/>
      <c r="F18" s="5"/>
      <c r="G18" s="5" t="s">
        <v>23</v>
      </c>
      <c r="H18" s="5"/>
      <c r="I18" s="5"/>
      <c r="J18" s="5"/>
      <c r="K18" s="5"/>
      <c r="L18" s="5"/>
      <c r="M18" s="5"/>
      <c r="N18" s="5"/>
    </row>
    <row r="19" spans="1:14" x14ac:dyDescent="0.25">
      <c r="A19" s="26" t="s">
        <v>24</v>
      </c>
      <c r="B19" s="26"/>
      <c r="C19" s="26"/>
      <c r="D19" s="26"/>
      <c r="E19" s="26"/>
      <c r="F19" s="27"/>
      <c r="G19" s="28">
        <v>15000</v>
      </c>
      <c r="H19" s="26" t="s">
        <v>24</v>
      </c>
      <c r="I19" s="26"/>
      <c r="J19" s="26"/>
      <c r="K19" s="26"/>
      <c r="L19" s="26"/>
      <c r="M19" s="27"/>
      <c r="N19" s="28">
        <v>15000</v>
      </c>
    </row>
    <row r="20" spans="1:14" x14ac:dyDescent="0.25">
      <c r="A20" s="6" t="s">
        <v>25</v>
      </c>
      <c r="B20" s="6"/>
      <c r="C20" s="6"/>
      <c r="D20" s="6"/>
      <c r="E20" s="6"/>
      <c r="F20" s="29">
        <v>6.4999999999999997E-3</v>
      </c>
      <c r="G20" s="7">
        <f>$G$19*F20</f>
        <v>97.5</v>
      </c>
      <c r="H20" s="6" t="s">
        <v>26</v>
      </c>
      <c r="I20" s="6"/>
      <c r="J20" s="6"/>
      <c r="K20" s="6"/>
      <c r="L20" s="6"/>
      <c r="M20" s="29">
        <v>0.155</v>
      </c>
      <c r="N20" s="7">
        <f>N19*M20</f>
        <v>2325</v>
      </c>
    </row>
    <row r="21" spans="1:14" x14ac:dyDescent="0.25">
      <c r="A21" s="6" t="s">
        <v>27</v>
      </c>
      <c r="B21" s="6"/>
      <c r="C21" s="6"/>
      <c r="D21" s="6"/>
      <c r="E21" s="6"/>
      <c r="F21" s="29">
        <v>0.03</v>
      </c>
      <c r="G21" s="7">
        <f t="shared" ref="G21:G23" si="0">$G$19*F21</f>
        <v>450</v>
      </c>
      <c r="H21" s="6"/>
      <c r="I21" s="6"/>
      <c r="J21" s="6"/>
      <c r="K21" s="6"/>
      <c r="L21" s="6"/>
      <c r="M21" s="29"/>
      <c r="N21" s="7"/>
    </row>
    <row r="22" spans="1:14" x14ac:dyDescent="0.25">
      <c r="A22" s="6" t="s">
        <v>28</v>
      </c>
      <c r="B22" s="6"/>
      <c r="C22" s="6"/>
      <c r="D22" s="6"/>
      <c r="E22" s="6"/>
      <c r="F22" s="29">
        <f>32%*15%</f>
        <v>4.8000000000000001E-2</v>
      </c>
      <c r="G22" s="7">
        <f t="shared" si="0"/>
        <v>720</v>
      </c>
      <c r="H22" s="6"/>
      <c r="I22" s="6"/>
      <c r="J22" s="6"/>
      <c r="K22" s="6"/>
      <c r="L22" s="6"/>
      <c r="M22" s="29"/>
      <c r="N22" s="7"/>
    </row>
    <row r="23" spans="1:14" x14ac:dyDescent="0.25">
      <c r="A23" s="6" t="s">
        <v>29</v>
      </c>
      <c r="B23" s="6"/>
      <c r="C23" s="6"/>
      <c r="D23" s="6"/>
      <c r="E23" s="6"/>
      <c r="F23" s="29">
        <f>32%*9%</f>
        <v>2.8799999999999999E-2</v>
      </c>
      <c r="G23" s="7">
        <f t="shared" si="0"/>
        <v>432</v>
      </c>
      <c r="H23" s="6"/>
      <c r="I23" s="6"/>
      <c r="J23" s="6"/>
      <c r="K23" s="6"/>
      <c r="L23" s="6"/>
      <c r="M23" s="29"/>
      <c r="N23" s="7"/>
    </row>
    <row r="24" spans="1:14" x14ac:dyDescent="0.25">
      <c r="A24" s="6" t="s">
        <v>30</v>
      </c>
      <c r="B24" s="6"/>
      <c r="C24" s="6"/>
      <c r="D24" s="6"/>
      <c r="E24" s="6"/>
      <c r="F24" s="29">
        <v>0.05</v>
      </c>
      <c r="G24" s="7">
        <f>$G$19*F24</f>
        <v>750</v>
      </c>
      <c r="H24" s="6"/>
      <c r="I24" s="6"/>
      <c r="J24" s="6"/>
      <c r="K24" s="6"/>
      <c r="L24" s="6"/>
      <c r="M24" s="29"/>
      <c r="N24" s="7"/>
    </row>
    <row r="25" spans="1:14" x14ac:dyDescent="0.25">
      <c r="A25" s="24" t="s">
        <v>21</v>
      </c>
      <c r="B25" s="24"/>
      <c r="C25" s="24"/>
      <c r="D25" s="24"/>
      <c r="E25" s="24"/>
      <c r="F25" s="24"/>
      <c r="G25" s="25">
        <f>SUM(G20:G24)</f>
        <v>2449.5</v>
      </c>
      <c r="H25" s="24"/>
      <c r="I25" s="24"/>
      <c r="J25" s="24"/>
      <c r="K25" s="24"/>
      <c r="L25" s="24"/>
      <c r="M25" s="24">
        <v>0.08</v>
      </c>
      <c r="N25" s="25">
        <f>SUM(N20:N23)</f>
        <v>2325</v>
      </c>
    </row>
    <row r="26" spans="1:14" ht="21" x14ac:dyDescent="0.35">
      <c r="A26" s="4" t="s">
        <v>31</v>
      </c>
      <c r="B26" s="5"/>
      <c r="C26" s="5"/>
      <c r="D26" s="5"/>
      <c r="E26" s="5"/>
      <c r="F26" s="5"/>
      <c r="G26" s="5" t="s">
        <v>23</v>
      </c>
      <c r="H26" s="5"/>
      <c r="I26" s="5"/>
      <c r="J26" s="5"/>
      <c r="K26" s="5"/>
      <c r="L26" s="5"/>
      <c r="M26" s="5"/>
      <c r="N26" s="5"/>
    </row>
    <row r="27" spans="1:14" x14ac:dyDescent="0.25">
      <c r="A27" s="24" t="s">
        <v>21</v>
      </c>
      <c r="B27" s="24"/>
      <c r="C27" s="24"/>
      <c r="D27" s="24"/>
      <c r="E27" s="24"/>
      <c r="F27" s="24"/>
      <c r="G27" s="25">
        <f>G25+G17</f>
        <v>2636.9</v>
      </c>
      <c r="H27" s="24"/>
      <c r="I27" s="24"/>
      <c r="J27" s="24"/>
      <c r="K27" s="24"/>
      <c r="L27" s="24"/>
      <c r="M27" s="24">
        <v>0.08</v>
      </c>
      <c r="N27" s="25">
        <f>N25+N17</f>
        <v>2325</v>
      </c>
    </row>
    <row r="28" spans="1:14" x14ac:dyDescent="0.25">
      <c r="A28" s="30" t="s">
        <v>32</v>
      </c>
      <c r="B28" s="30"/>
      <c r="C28" s="30"/>
      <c r="D28" s="30"/>
      <c r="E28" s="30"/>
      <c r="F28" s="30"/>
      <c r="G28" s="30"/>
      <c r="H28" s="31" t="str">
        <f>IF(G27&gt;N27,"SIMPLES NACIONAL","LUCRO PRESUMIDO")</f>
        <v>SIMPLES NACIONAL</v>
      </c>
      <c r="I28" s="31"/>
      <c r="J28" s="31"/>
      <c r="K28" s="31"/>
      <c r="L28" s="31"/>
      <c r="M28" s="31"/>
      <c r="N28" s="31"/>
    </row>
    <row r="29" spans="1:14" x14ac:dyDescent="0.25">
      <c r="A29" s="30"/>
      <c r="B29" s="30"/>
      <c r="C29" s="30"/>
      <c r="D29" s="30"/>
      <c r="E29" s="30"/>
      <c r="F29" s="30"/>
      <c r="G29" s="30"/>
      <c r="H29" s="31"/>
      <c r="I29" s="31"/>
      <c r="J29" s="31"/>
      <c r="K29" s="31"/>
      <c r="L29" s="31"/>
      <c r="M29" s="31"/>
      <c r="N29" s="31"/>
    </row>
  </sheetData>
  <mergeCells count="11">
    <mergeCell ref="A26:N26"/>
    <mergeCell ref="A27:F27"/>
    <mergeCell ref="H27:M27"/>
    <mergeCell ref="A28:G29"/>
    <mergeCell ref="H28:N29"/>
    <mergeCell ref="A2:N2"/>
    <mergeCell ref="A17:F17"/>
    <mergeCell ref="H17:M17"/>
    <mergeCell ref="A18:N18"/>
    <mergeCell ref="A25:F25"/>
    <mergeCell ref="H25:M2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2018-05-03T11:28:08Z</dcterms:created>
  <dcterms:modified xsi:type="dcterms:W3CDTF">2018-05-03T11:29:29Z</dcterms:modified>
</cp:coreProperties>
</file>