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presidencia\Downloads\"/>
    </mc:Choice>
  </mc:AlternateContent>
  <bookViews>
    <workbookView showSheetTabs="0" xWindow="0" yWindow="0" windowWidth="22680" windowHeight="10320" tabRatio="0"/>
  </bookViews>
  <sheets>
    <sheet name="Menu" sheetId="4" r:id="rId1"/>
    <sheet name="menu_exp" sheetId="10" r:id="rId2"/>
    <sheet name="mascara" sheetId="2" r:id="rId3"/>
    <sheet name="calculo" sheetId="1" r:id="rId4"/>
    <sheet name="seg aut" sheetId="12" r:id="rId5"/>
    <sheet name="masc_termino" sheetId="9" r:id="rId6"/>
    <sheet name="termin_exp" sheetId="8" r:id="rId7"/>
    <sheet name="masc_exp2" sheetId="7" r:id="rId8"/>
    <sheet name="exp2" sheetId="6" r:id="rId9"/>
    <sheet name="config" sheetId="11" r:id="rId10"/>
  </sheets>
  <definedNames>
    <definedName name="_xlnm.Print_Area" localSheetId="3">calculo!$C$1:$AF$62</definedName>
  </definedNames>
  <calcPr calcId="152511"/>
</workbook>
</file>

<file path=xl/calcChain.xml><?xml version="1.0" encoding="utf-8"?>
<calcChain xmlns="http://schemas.openxmlformats.org/spreadsheetml/2006/main">
  <c r="G10" i="1" l="1"/>
  <c r="X28" i="8"/>
  <c r="R28" i="8" s="1"/>
  <c r="X32" i="6"/>
  <c r="R32" i="6" s="1"/>
  <c r="M10" i="6"/>
  <c r="K36" i="1"/>
  <c r="Q10" i="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31" i="11"/>
  <c r="AF24" i="1"/>
  <c r="AF30" i="1"/>
  <c r="AF28" i="1"/>
  <c r="AF26" i="1"/>
  <c r="A34" i="1"/>
  <c r="A32" i="1"/>
  <c r="A30" i="1"/>
  <c r="A28" i="1"/>
  <c r="A26" i="1"/>
  <c r="A24" i="1"/>
  <c r="AF22" i="1"/>
  <c r="A22" i="1"/>
  <c r="AF20" i="1"/>
  <c r="A20" i="1"/>
  <c r="A18" i="1"/>
  <c r="Z32" i="1" l="1"/>
  <c r="B21" i="12"/>
  <c r="M10" i="8"/>
  <c r="AF7" i="8" s="1"/>
  <c r="E10" i="8"/>
  <c r="AP28" i="1"/>
  <c r="AP31" i="1" s="1"/>
  <c r="AP30" i="1"/>
  <c r="AP29" i="1"/>
  <c r="AN21" i="1"/>
  <c r="S6" i="2"/>
  <c r="Q6" i="2"/>
  <c r="AH57" i="1"/>
  <c r="AI22" i="1"/>
  <c r="D36" i="1"/>
  <c r="R49" i="1"/>
  <c r="Y51" i="1" s="1"/>
  <c r="I34" i="11"/>
  <c r="I35" i="11" s="1"/>
  <c r="I36" i="11" s="1"/>
  <c r="I37" i="11" s="1"/>
  <c r="I38" i="11" s="1"/>
  <c r="I39" i="11" s="1"/>
  <c r="I40" i="11" s="1"/>
  <c r="I41" i="11" s="1"/>
  <c r="I42" i="11" s="1"/>
  <c r="I43" i="11" s="1"/>
  <c r="T32" i="1"/>
  <c r="T8" i="2"/>
  <c r="Q14" i="2"/>
  <c r="I44" i="11" l="1"/>
  <c r="I45" i="11" s="1"/>
  <c r="I46" i="11" s="1"/>
  <c r="I47" i="11" s="1"/>
  <c r="I48" i="11" s="1"/>
  <c r="I49" i="11" s="1"/>
  <c r="I50" i="11" s="1"/>
  <c r="I51" i="11" s="1"/>
  <c r="I52" i="11" s="1"/>
  <c r="AJ14" i="1"/>
  <c r="AE3" i="8"/>
  <c r="AF3" i="8" s="1"/>
  <c r="AH16" i="8"/>
  <c r="AH14" i="8"/>
  <c r="AG11" i="8"/>
  <c r="AF16" i="8"/>
  <c r="AH11" i="8"/>
  <c r="AE16" i="8"/>
  <c r="AG16" i="8" s="1"/>
  <c r="Y55" i="1"/>
  <c r="Y53" i="1"/>
  <c r="AI5" i="1"/>
  <c r="AK11" i="1"/>
  <c r="AI11" i="1"/>
  <c r="Q31" i="2"/>
  <c r="R31" i="2"/>
  <c r="P31" i="2"/>
  <c r="Z10" i="1"/>
  <c r="B6" i="12"/>
  <c r="F9" i="12"/>
  <c r="F7" i="12"/>
  <c r="H57" i="12"/>
  <c r="A57" i="12"/>
  <c r="K21" i="12"/>
  <c r="K22" i="12"/>
  <c r="K23" i="12" s="1"/>
  <c r="K24" i="12" s="1"/>
  <c r="K25" i="12" s="1"/>
  <c r="K26" i="12" s="1"/>
  <c r="K27" i="12" s="1"/>
  <c r="K28" i="12" s="1"/>
  <c r="K29" i="12" s="1"/>
  <c r="K30" i="12" s="1"/>
  <c r="K31" i="12" s="1"/>
  <c r="K32" i="12" s="1"/>
  <c r="K33" i="12" s="1"/>
  <c r="K34" i="12" s="1"/>
  <c r="K35" i="12" s="1"/>
  <c r="K36" i="12" s="1"/>
  <c r="K37" i="12" s="1"/>
  <c r="K38" i="12" s="1"/>
  <c r="K39" i="12" s="1"/>
  <c r="K40" i="12" s="1"/>
  <c r="L12" i="12"/>
  <c r="N11" i="12"/>
  <c r="M11" i="12"/>
  <c r="L11" i="12"/>
  <c r="K11" i="12"/>
  <c r="L10" i="12"/>
  <c r="K10" i="12"/>
  <c r="L7" i="12"/>
  <c r="B2" i="12"/>
  <c r="B1" i="12"/>
  <c r="Z14" i="1"/>
  <c r="Z15" i="1"/>
  <c r="B40" i="6"/>
  <c r="B39" i="8"/>
  <c r="D57" i="1"/>
  <c r="AA46" i="6"/>
  <c r="A46" i="6"/>
  <c r="AA4" i="6"/>
  <c r="B4" i="6"/>
  <c r="B2" i="6"/>
  <c r="B1" i="6"/>
  <c r="A24" i="7"/>
  <c r="N3" i="7"/>
  <c r="AA47" i="8"/>
  <c r="A47" i="8"/>
  <c r="AA4" i="8"/>
  <c r="B4" i="8"/>
  <c r="B2" i="8"/>
  <c r="B1" i="8"/>
  <c r="N3" i="9"/>
  <c r="N3" i="2"/>
  <c r="P15" i="1"/>
  <c r="O14" i="1"/>
  <c r="H7" i="1"/>
  <c r="D7" i="1"/>
  <c r="D6" i="1"/>
  <c r="G6" i="1"/>
  <c r="D2" i="1"/>
  <c r="D1" i="1"/>
  <c r="AC61" i="1"/>
  <c r="C61" i="1"/>
  <c r="AC4" i="1"/>
  <c r="D4" i="1"/>
  <c r="AI20" i="1"/>
  <c r="AI21" i="1"/>
  <c r="AI23" i="1"/>
  <c r="AH28" i="1"/>
  <c r="AI28" i="1" s="1"/>
  <c r="AJ28" i="1"/>
  <c r="AK28" i="1"/>
  <c r="AH29" i="1"/>
  <c r="AI29" i="1" s="1"/>
  <c r="AJ29" i="1"/>
  <c r="AK29" i="1"/>
  <c r="AH30" i="1"/>
  <c r="AI30" i="1" s="1"/>
  <c r="AJ30" i="1"/>
  <c r="AK30" i="1"/>
  <c r="AH31" i="1"/>
  <c r="AI31" i="1" s="1"/>
  <c r="AJ31" i="1"/>
  <c r="AK31" i="1"/>
  <c r="AJ32" i="1"/>
  <c r="AK32" i="1"/>
  <c r="AI33" i="1"/>
  <c r="AH44" i="1"/>
  <c r="AI44" i="1"/>
  <c r="AH45" i="1"/>
  <c r="AI45" i="1"/>
  <c r="A24" i="9"/>
  <c r="A41" i="2"/>
  <c r="A24" i="10"/>
  <c r="S35" i="2"/>
  <c r="N12" i="9"/>
  <c r="S20" i="9"/>
  <c r="S20" i="7"/>
  <c r="G84" i="11"/>
  <c r="F83" i="11"/>
  <c r="F74" i="11"/>
  <c r="F73" i="11"/>
  <c r="H64" i="11"/>
  <c r="F63" i="11"/>
  <c r="F62" i="11"/>
  <c r="F61" i="11"/>
  <c r="AE47" i="6"/>
  <c r="AD47" i="6"/>
  <c r="AE46" i="6"/>
  <c r="AD46" i="6"/>
  <c r="AE35" i="6"/>
  <c r="AF35" i="6" s="1"/>
  <c r="AG32" i="6"/>
  <c r="AF32" i="6"/>
  <c r="AG31" i="6"/>
  <c r="AF31" i="6"/>
  <c r="AD31" i="6"/>
  <c r="AE31" i="6" s="1"/>
  <c r="AG30" i="6"/>
  <c r="AF30" i="6"/>
  <c r="AD30" i="6"/>
  <c r="AE30" i="6" s="1"/>
  <c r="AG29" i="6"/>
  <c r="AF29" i="6"/>
  <c r="AD29" i="6"/>
  <c r="AE29" i="6" s="1"/>
  <c r="AG28" i="6"/>
  <c r="AF28" i="6"/>
  <c r="AD28" i="6"/>
  <c r="AE28" i="6" s="1"/>
  <c r="AE22" i="6"/>
  <c r="AE23" i="6" s="1"/>
  <c r="AE21" i="6"/>
  <c r="AH22" i="6" s="1"/>
  <c r="AE20" i="6"/>
  <c r="AH20" i="6" s="1"/>
  <c r="AE47" i="8"/>
  <c r="AD47" i="8"/>
  <c r="AE46" i="8"/>
  <c r="AD46" i="8"/>
  <c r="AE22" i="8"/>
  <c r="AH23" i="8" s="1"/>
  <c r="AE21" i="8"/>
  <c r="AH22" i="8" s="1"/>
  <c r="AE20" i="8"/>
  <c r="AH21" i="8" s="1"/>
  <c r="AE35" i="8"/>
  <c r="AF35" i="8" s="1"/>
  <c r="AG34" i="8"/>
  <c r="AF34" i="8"/>
  <c r="AG33" i="8"/>
  <c r="AF33" i="8"/>
  <c r="AD33" i="8"/>
  <c r="AE33" i="8" s="1"/>
  <c r="AG32" i="8"/>
  <c r="AF32" i="8"/>
  <c r="AD32" i="8"/>
  <c r="AE32" i="8" s="1"/>
  <c r="AG31" i="8"/>
  <c r="AF31" i="8"/>
  <c r="AD31" i="8"/>
  <c r="AE31" i="8" s="1"/>
  <c r="AG30" i="8"/>
  <c r="AF30" i="8"/>
  <c r="AD30" i="8"/>
  <c r="AE30" i="8" s="1"/>
  <c r="Z83" i="11"/>
  <c r="V82" i="11"/>
  <c r="R12" i="7"/>
  <c r="A15" i="7" s="1"/>
  <c r="Z14" i="8"/>
  <c r="M14" i="8"/>
  <c r="U10" i="8"/>
  <c r="AE14" i="8" s="1"/>
  <c r="X10" i="6"/>
  <c r="Z14" i="6"/>
  <c r="M14" i="6"/>
  <c r="E12" i="6"/>
  <c r="AE13" i="6" s="1"/>
  <c r="E10" i="6"/>
  <c r="AE3" i="6" s="1"/>
  <c r="AF3" i="6" s="1"/>
  <c r="O8" i="6"/>
  <c r="K8" i="1"/>
  <c r="AJ7" i="1" s="1"/>
  <c r="AK7" i="1" s="1"/>
  <c r="H12" i="1"/>
  <c r="K14" i="1"/>
  <c r="AF10" i="8"/>
  <c r="AG10" i="8" s="1"/>
  <c r="L53" i="11" l="1"/>
  <c r="E20" i="8"/>
  <c r="M22" i="8"/>
  <c r="E20" i="6"/>
  <c r="M22" i="6"/>
  <c r="AF16" i="6"/>
  <c r="AE16" i="6" s="1"/>
  <c r="AF17" i="6"/>
  <c r="AM7" i="1"/>
  <c r="AL7" i="1" s="1"/>
  <c r="K12" i="12"/>
  <c r="AI14" i="1"/>
  <c r="AE14" i="6"/>
  <c r="N36" i="8"/>
  <c r="AF7" i="6"/>
  <c r="AI18" i="6" s="1"/>
  <c r="M38" i="6"/>
  <c r="S38" i="6" s="1"/>
  <c r="AG13" i="6"/>
  <c r="AH16" i="6"/>
  <c r="S12" i="7"/>
  <c r="AF11" i="8"/>
  <c r="AE11" i="8" s="1"/>
  <c r="N22" i="8" s="1"/>
  <c r="AJ33" i="1"/>
  <c r="AN6" i="1"/>
  <c r="AO6" i="1" s="1"/>
  <c r="AM6" i="1" s="1"/>
  <c r="AI13" i="1"/>
  <c r="Z26" i="1" s="1"/>
  <c r="T26" i="1" s="1"/>
  <c r="AG8" i="8"/>
  <c r="AF8" i="8" s="1"/>
  <c r="AH8" i="8" s="1"/>
  <c r="AE8" i="8" s="1"/>
  <c r="AE13" i="8"/>
  <c r="AL49" i="1"/>
  <c r="AI50" i="1"/>
  <c r="AJ50" i="1" s="1"/>
  <c r="AJ44" i="1"/>
  <c r="AI8" i="8"/>
  <c r="AE6" i="6"/>
  <c r="AF47" i="8"/>
  <c r="AE23" i="8"/>
  <c r="AH20" i="8"/>
  <c r="AH24" i="8" s="1"/>
  <c r="AH21" i="6"/>
  <c r="AH24" i="6" s="1"/>
  <c r="AH23" i="6"/>
  <c r="AE18" i="8"/>
  <c r="AF18" i="8" s="1"/>
  <c r="AJ18" i="8" s="1"/>
  <c r="AG6" i="8"/>
  <c r="F18" i="8" s="1"/>
  <c r="AG6" i="6"/>
  <c r="F18" i="6" s="1"/>
  <c r="H18" i="6" s="1"/>
  <c r="AE6" i="8"/>
  <c r="AF46" i="8"/>
  <c r="AI18" i="8"/>
  <c r="AE10" i="8"/>
  <c r="AE9" i="8"/>
  <c r="AF9" i="8" s="1"/>
  <c r="AF46" i="6"/>
  <c r="O10" i="12"/>
  <c r="O11" i="12" s="1"/>
  <c r="O12" i="12" s="1"/>
  <c r="AE5" i="6"/>
  <c r="I26" i="6" s="1"/>
  <c r="B26" i="6" s="1"/>
  <c r="AE9" i="6"/>
  <c r="AF9" i="6" s="1"/>
  <c r="X26" i="6"/>
  <c r="AF47" i="6"/>
  <c r="AG8" i="6"/>
  <c r="AI8" i="6"/>
  <c r="AE18" i="6"/>
  <c r="AJ45" i="1"/>
  <c r="R26" i="6" l="1"/>
  <c r="AG12" i="6"/>
  <c r="AE12" i="6" s="1"/>
  <c r="AE17" i="6"/>
  <c r="AG16" i="6"/>
  <c r="G20" i="6" s="1"/>
  <c r="AN7" i="1"/>
  <c r="I18" i="6"/>
  <c r="X24" i="6" s="1"/>
  <c r="R24" i="6" s="1"/>
  <c r="AG46" i="6"/>
  <c r="AJ8" i="6"/>
  <c r="AF10" i="6"/>
  <c r="AG10" i="6" s="1"/>
  <c r="AE10" i="6" s="1"/>
  <c r="AJ8" i="8"/>
  <c r="AM8" i="1"/>
  <c r="AG47" i="6"/>
  <c r="AG46" i="8"/>
  <c r="I22" i="8"/>
  <c r="AF23" i="8" s="1"/>
  <c r="AG18" i="8"/>
  <c r="AH18" i="8" s="1"/>
  <c r="AG47" i="8"/>
  <c r="G20" i="8"/>
  <c r="I20" i="8"/>
  <c r="I18" i="8"/>
  <c r="H18" i="8"/>
  <c r="AK18" i="8"/>
  <c r="AF18" i="6"/>
  <c r="AG18" i="6"/>
  <c r="AF8" i="6"/>
  <c r="AH8" i="6" s="1"/>
  <c r="AE8" i="6" s="1"/>
  <c r="I28" i="6" l="1"/>
  <c r="B28" i="6" s="1"/>
  <c r="AF12" i="6"/>
  <c r="I22" i="6"/>
  <c r="AH12" i="6"/>
  <c r="AI12" i="6" s="1"/>
  <c r="I20" i="6"/>
  <c r="B20" i="6" s="1"/>
  <c r="I24" i="8"/>
  <c r="B24" i="8" s="1"/>
  <c r="AF22" i="8"/>
  <c r="B22" i="8"/>
  <c r="I26" i="8"/>
  <c r="B26" i="8" s="1"/>
  <c r="AF20" i="8"/>
  <c r="AF21" i="8"/>
  <c r="AG22" i="8"/>
  <c r="X24" i="8"/>
  <c r="R24" i="8" s="1"/>
  <c r="B20" i="8"/>
  <c r="AJ18" i="6"/>
  <c r="AK18" i="6" s="1"/>
  <c r="AH18" i="6"/>
  <c r="AF23" i="6" l="1"/>
  <c r="AF22" i="6"/>
  <c r="AF21" i="6"/>
  <c r="I24" i="6"/>
  <c r="AG23" i="6" s="1"/>
  <c r="N22" i="6"/>
  <c r="AF20" i="6"/>
  <c r="B22" i="6"/>
  <c r="H32" i="8"/>
  <c r="AG20" i="8"/>
  <c r="AG23" i="8"/>
  <c r="AG21" i="8"/>
  <c r="AF24" i="8"/>
  <c r="X20" i="8" s="1"/>
  <c r="AE36" i="8" s="1"/>
  <c r="AH33" i="8" s="1"/>
  <c r="AG22" i="6"/>
  <c r="AG21" i="6"/>
  <c r="AG20" i="6"/>
  <c r="AG24" i="6" l="1"/>
  <c r="X22" i="6" s="1"/>
  <c r="R22" i="6" s="1"/>
  <c r="B24" i="6"/>
  <c r="H34" i="6"/>
  <c r="AF24" i="6"/>
  <c r="X20" i="6" s="1"/>
  <c r="AE36" i="6" s="1"/>
  <c r="AG24" i="8"/>
  <c r="X22" i="8" s="1"/>
  <c r="AE37" i="8" s="1"/>
  <c r="AI33" i="8" s="1"/>
  <c r="R20" i="8"/>
  <c r="AH34" i="8"/>
  <c r="AH32" i="8"/>
  <c r="AH31" i="8"/>
  <c r="AE37" i="6" l="1"/>
  <c r="AI29" i="6" s="1"/>
  <c r="R20" i="6"/>
  <c r="R22" i="8"/>
  <c r="AI34" i="8"/>
  <c r="AI31" i="8"/>
  <c r="AI32" i="8"/>
  <c r="AI31" i="6"/>
  <c r="X30" i="8"/>
  <c r="R30" i="8" s="1"/>
  <c r="AI32" i="6"/>
  <c r="AI30" i="6"/>
  <c r="AH31" i="6"/>
  <c r="AH30" i="6"/>
  <c r="AH29" i="6"/>
  <c r="AH32" i="6"/>
  <c r="X26" i="8" l="1"/>
  <c r="W32" i="8" s="1"/>
  <c r="N34" i="8" s="1"/>
  <c r="X28" i="6"/>
  <c r="X30" i="6"/>
  <c r="AI6" i="1"/>
  <c r="AI9" i="1"/>
  <c r="AJ9" i="1" s="1"/>
  <c r="AK6" i="1"/>
  <c r="H20" i="1" s="1"/>
  <c r="J20" i="1" s="1"/>
  <c r="R30" i="6" l="1"/>
  <c r="W34" i="6"/>
  <c r="S36" i="6" s="1"/>
  <c r="R26" i="8"/>
  <c r="K20" i="1"/>
  <c r="R28" i="6"/>
  <c r="AK45" i="1"/>
  <c r="AK44" i="1"/>
  <c r="K32" i="1" l="1"/>
  <c r="D32" i="1" s="1"/>
  <c r="AL20" i="1"/>
  <c r="AL23" i="1"/>
  <c r="D20" i="1"/>
  <c r="AN23" i="1"/>
  <c r="AH56" i="1"/>
  <c r="Z24" i="1" l="1"/>
  <c r="T24" i="1" s="1"/>
  <c r="AL8" i="1"/>
  <c r="AN8" i="1" s="1"/>
  <c r="AK8" i="1" s="1"/>
  <c r="AI8" i="1" s="1"/>
  <c r="AP8" i="1" l="1"/>
  <c r="O34" i="1" s="1"/>
  <c r="AJ8" i="1"/>
  <c r="AM11" i="1" s="1"/>
  <c r="P34" i="1"/>
  <c r="K34" i="1" l="1"/>
  <c r="D34" i="1" s="1"/>
  <c r="P10" i="2"/>
  <c r="T12" i="2"/>
  <c r="O18" i="1" s="1"/>
  <c r="K16" i="2"/>
  <c r="K28" i="1" s="1"/>
  <c r="K30" i="1" l="1"/>
  <c r="D30" i="1" s="1"/>
  <c r="D28" i="1"/>
  <c r="K18" i="1"/>
  <c r="Q10" i="2"/>
  <c r="N12" i="2"/>
  <c r="N10" i="2"/>
  <c r="AI7" i="1"/>
  <c r="Z11" i="1" s="1"/>
  <c r="AI4" i="1" l="1"/>
  <c r="K38" i="1" s="1"/>
  <c r="D38" i="1" s="1"/>
  <c r="AI48" i="1"/>
  <c r="AJ48" i="1" s="1"/>
  <c r="P18" i="1"/>
  <c r="AK14" i="1"/>
  <c r="AJ16" i="1" s="1"/>
  <c r="AJ10" i="1"/>
  <c r="AK10" i="1" s="1"/>
  <c r="AI10" i="1" s="1"/>
  <c r="AJ12" i="1" l="1"/>
  <c r="AI12" i="1" s="1"/>
  <c r="O24" i="1" s="1"/>
  <c r="P24" i="1" s="1"/>
  <c r="AL14" i="1"/>
  <c r="AI16" i="1"/>
  <c r="AK16" i="1" s="1"/>
  <c r="AN22" i="1"/>
  <c r="AN24" i="1" s="1"/>
  <c r="D18" i="1"/>
  <c r="F11" i="12"/>
  <c r="L5" i="12" s="1"/>
  <c r="AJ53" i="1"/>
  <c r="AI49" i="1"/>
  <c r="AJ49" i="1" s="1"/>
  <c r="AJ51" i="1" s="1"/>
  <c r="AI51" i="1" s="1"/>
  <c r="AL50" i="1"/>
  <c r="N6" i="12" l="1"/>
  <c r="G22" i="1"/>
  <c r="K22" i="1" s="1"/>
  <c r="AJ22" i="1"/>
  <c r="AL22" i="1"/>
  <c r="AL21" i="1"/>
  <c r="K24" i="1"/>
  <c r="K26" i="1" s="1"/>
  <c r="AJ20" i="1"/>
  <c r="AJ23" i="1"/>
  <c r="AJ21" i="1"/>
  <c r="B17" i="2"/>
  <c r="M6" i="12"/>
  <c r="Z51" i="1"/>
  <c r="AL51" i="1"/>
  <c r="AK51" i="1"/>
  <c r="L6" i="12" l="1"/>
  <c r="D15" i="12" s="1"/>
  <c r="AL24" i="1"/>
  <c r="AJ24" i="1"/>
  <c r="Z53" i="1"/>
  <c r="Z55" i="1" s="1"/>
  <c r="AM49" i="1"/>
  <c r="D24" i="1"/>
  <c r="D26" i="1"/>
  <c r="I22" i="1"/>
  <c r="O13" i="12" l="1"/>
  <c r="F17" i="12" s="1"/>
  <c r="Z20" i="1"/>
  <c r="T20" i="1" s="1"/>
  <c r="AK23" i="1"/>
  <c r="AK20" i="1"/>
  <c r="D22" i="1"/>
  <c r="AK22" i="1"/>
  <c r="AK21" i="1"/>
  <c r="D17" i="12" l="1"/>
  <c r="D19" i="12"/>
  <c r="AI34" i="1"/>
  <c r="D51" i="1"/>
  <c r="F19" i="12"/>
  <c r="J51" i="1"/>
  <c r="D55" i="1" s="1"/>
  <c r="D49" i="1"/>
  <c r="AK24" i="1"/>
  <c r="AL30" i="1" l="1"/>
  <c r="AL32" i="1"/>
  <c r="AL31" i="1"/>
  <c r="AL29" i="1"/>
  <c r="Z22" i="1"/>
  <c r="AI35" i="1" s="1"/>
  <c r="AN32" i="1"/>
  <c r="AN29" i="1"/>
  <c r="AN31" i="1"/>
  <c r="AN30" i="1"/>
  <c r="J53" i="1"/>
  <c r="D53" i="1"/>
  <c r="J44" i="1"/>
  <c r="Z30" i="1" l="1"/>
  <c r="T30" i="1" s="1"/>
  <c r="T22" i="1"/>
  <c r="AM30" i="1"/>
  <c r="AM32" i="1"/>
  <c r="AM31" i="1"/>
  <c r="AM29" i="1"/>
  <c r="Z28" i="1" l="1"/>
  <c r="T28" i="1" s="1"/>
  <c r="Y44" i="1" l="1"/>
  <c r="Z46" i="1" s="1"/>
</calcChain>
</file>

<file path=xl/sharedStrings.xml><?xml version="1.0" encoding="utf-8"?>
<sst xmlns="http://schemas.openxmlformats.org/spreadsheetml/2006/main" count="406" uniqueCount="229">
  <si>
    <t>Descontos</t>
  </si>
  <si>
    <t>TOTAL DESC.: R$</t>
  </si>
  <si>
    <t>Admissão:</t>
  </si>
  <si>
    <t>Saída:</t>
  </si>
  <si>
    <t>Anos trabalhados</t>
  </si>
  <si>
    <t>ano atual</t>
  </si>
  <si>
    <t>Meses trabalhados no ano</t>
  </si>
  <si>
    <t>Férias proporcionais</t>
  </si>
  <si>
    <t>dias</t>
  </si>
  <si>
    <t>Saldo salário:</t>
  </si>
  <si>
    <t>valor dia</t>
  </si>
  <si>
    <t>Valor mês</t>
  </si>
  <si>
    <t>até</t>
  </si>
  <si>
    <t>teto</t>
  </si>
  <si>
    <t>INSS</t>
  </si>
  <si>
    <t>valores</t>
  </si>
  <si>
    <t>Prcentagem/valor</t>
  </si>
  <si>
    <t>porcentagem saldo</t>
  </si>
  <si>
    <t>Porc 13º</t>
  </si>
  <si>
    <t>IPRF</t>
  </si>
  <si>
    <t>Alíquota</t>
  </si>
  <si>
    <t>Parcela a deduzir</t>
  </si>
  <si>
    <t>Base, até</t>
  </si>
  <si>
    <t>acima</t>
  </si>
  <si>
    <t>Nº dependentes no Imposto de renda:</t>
  </si>
  <si>
    <t>salário líquido</t>
  </si>
  <si>
    <t>13º liquido</t>
  </si>
  <si>
    <t>dedução por dependente</t>
  </si>
  <si>
    <t>IPRF Salário</t>
  </si>
  <si>
    <t>IPRF 13º</t>
  </si>
  <si>
    <t>sim</t>
  </si>
  <si>
    <t>não</t>
  </si>
  <si>
    <t>Possui férias vencidas:</t>
  </si>
  <si>
    <t>Data saída  aviso</t>
  </si>
  <si>
    <t>Motivo do Afastamento:</t>
  </si>
  <si>
    <t>afastamento</t>
  </si>
  <si>
    <t>Dispensa sem justa causa</t>
  </si>
  <si>
    <t>Pedido de demissão</t>
  </si>
  <si>
    <t>sim ou não</t>
  </si>
  <si>
    <t>dia</t>
  </si>
  <si>
    <t>Valor do benefício por filho de até 14 anos incompletos ou inválido</t>
  </si>
  <si>
    <t>Faixa Salarial Até</t>
  </si>
  <si>
    <t>N º de filhos no salário família:</t>
  </si>
  <si>
    <t>Nº de pendentes no Imposto de renda:</t>
  </si>
  <si>
    <t>valor</t>
  </si>
  <si>
    <t>valor proporcional</t>
  </si>
  <si>
    <t>TOTAL A RECEBER: R$</t>
  </si>
  <si>
    <t>TOTAL BRUTO:</t>
  </si>
  <si>
    <t>dd/mm/aaaa (data do último dia trabalhado na empresa)</t>
  </si>
  <si>
    <t>saldo de dias trabalhados</t>
  </si>
  <si>
    <t>Dias para 13º</t>
  </si>
  <si>
    <t>meses 13º</t>
  </si>
  <si>
    <t>13.o Salario</t>
  </si>
  <si>
    <t>dd/mm/aaaa (data do registro na carteira)</t>
  </si>
  <si>
    <t>13º</t>
  </si>
  <si>
    <t>meses no ano</t>
  </si>
  <si>
    <t>calculo de meses no ano</t>
  </si>
  <si>
    <t>13º indenizado</t>
  </si>
  <si>
    <t>Cálculo de seguro desemprego</t>
  </si>
  <si>
    <t>data de saída para calculo</t>
  </si>
  <si>
    <t>meses</t>
  </si>
  <si>
    <t>Salário:</t>
  </si>
  <si>
    <t>Data de admissão:</t>
  </si>
  <si>
    <t>Faixas de salário</t>
  </si>
  <si>
    <t>cálculo</t>
  </si>
  <si>
    <t>resultado</t>
  </si>
  <si>
    <t>total</t>
  </si>
  <si>
    <t>meses trabalhados</t>
  </si>
  <si>
    <t>parcelas a receber</t>
  </si>
  <si>
    <t>Infomações complementares:</t>
  </si>
  <si>
    <r>
      <t xml:space="preserve">       Tem direito ao seguro desemprego quem tiver sido </t>
    </r>
    <r>
      <rPr>
        <u/>
        <sz val="10"/>
        <color indexed="8"/>
        <rFont val="Arial"/>
        <family val="2"/>
      </rPr>
      <t>dispensado sem justa causa</t>
    </r>
    <r>
      <rPr>
        <sz val="10"/>
        <color indexed="8"/>
        <rFont val="Arial"/>
        <family val="2"/>
      </rPr>
      <t>, tiver trabalhado pelo menos 6 meses nos últimos 36 meses, não possuir renda própria e não estiver recebendo benefício de prestação continuada da Previdência Social, exceto pensão por morte ou auxílio-acidente.</t>
    </r>
  </si>
  <si>
    <t xml:space="preserve">       O trabalhador terá direito de 03 a 05 parcelas do benefício, de forma contínua ou alternada, a cada 16 meses, de acordo com a quantidade de meses trabalhados nos últimos 36 meses anteriores a dispensa, da seguinte forma:</t>
  </si>
  <si>
    <t xml:space="preserve">       O trabalhador tem do 7º ao 120º dia após a data da demissão do emprego para fazer o requerimento do benefício, que poderá ser feito nas DRT (Delegacia Regional do Trabalho, no PAT ( Posto de Atendimento ao Trabalhador) no SINE (Sistema Nacional de Emprego), ou nas agências credenciadas da CAIXA.</t>
  </si>
  <si>
    <t>Como requerer?</t>
  </si>
  <si>
    <t>   Comparecer em um dos locais acima citados levando os seguintes documentos:</t>
  </si>
  <si>
    <r>
      <t>·</t>
    </r>
    <r>
      <rPr>
        <sz val="10"/>
        <color indexed="8"/>
        <rFont val="Franklin Gothic Book"/>
        <family val="2"/>
      </rPr>
      <t> </t>
    </r>
    <r>
      <rPr>
        <sz val="10"/>
        <color indexed="8"/>
        <rFont val="Arial"/>
        <family val="2"/>
      </rPr>
      <t>Comunicação de Dispensa - CD (via marrom) e Requerimento do Seguro-Desemprego - SD (via verde);</t>
    </r>
  </si>
  <si>
    <r>
      <t>·</t>
    </r>
    <r>
      <rPr>
        <sz val="10"/>
        <color indexed="8"/>
        <rFont val="Franklin Gothic Book"/>
        <family val="2"/>
      </rPr>
      <t> </t>
    </r>
    <r>
      <rPr>
        <sz val="10"/>
        <color indexed="8"/>
        <rFont val="Arial"/>
        <family val="2"/>
      </rPr>
      <t>Termo de Rescisão de Contrato de Trabalho - TRCT;</t>
    </r>
  </si>
  <si>
    <r>
      <t>·</t>
    </r>
    <r>
      <rPr>
        <sz val="10"/>
        <color indexed="8"/>
        <rFont val="Franklin Gothic Book"/>
        <family val="2"/>
      </rPr>
      <t> </t>
    </r>
    <r>
      <rPr>
        <sz val="10"/>
        <color indexed="8"/>
        <rFont val="Arial"/>
        <family val="2"/>
      </rPr>
      <t>Carteira de Trabalho;</t>
    </r>
  </si>
  <si>
    <r>
      <t>De acordo com informações informandas, você não tem direito ao benefício</t>
    </r>
    <r>
      <rPr>
        <b/>
        <sz val="10"/>
        <color indexed="8"/>
        <rFont val="Calibri"/>
        <family val="2"/>
      </rPr>
      <t xml:space="preserve"> </t>
    </r>
  </si>
  <si>
    <r>
      <t>·</t>
    </r>
    <r>
      <rPr>
        <sz val="10"/>
        <color indexed="8"/>
        <rFont val="Franklin Gothic Book"/>
        <family val="2"/>
      </rPr>
      <t> </t>
    </r>
    <r>
      <rPr>
        <sz val="10"/>
        <color indexed="8"/>
        <rFont val="Arial"/>
        <family val="2"/>
      </rPr>
      <t>Carteira de Identidade ou Certidão de Nascimento ou Certidão de Casamento com Protocolo de requerimento na Carteira de Identidade, ou Carteira Nacional de Habilitação - CNH, dentro do prazo de validade, ou Passaporte, ou Certificado de Reservista;</t>
    </r>
  </si>
  <si>
    <r>
      <t>·</t>
    </r>
    <r>
      <rPr>
        <sz val="10"/>
        <color indexed="8"/>
        <rFont val="Franklin Gothic Book"/>
        <family val="2"/>
      </rPr>
      <t> </t>
    </r>
    <r>
      <rPr>
        <sz val="10"/>
        <color indexed="8"/>
        <rFont val="Arial"/>
        <family val="2"/>
      </rPr>
      <t>Comprovante de inscrição no PIS/PASEP;</t>
    </r>
  </si>
  <si>
    <r>
      <t>·</t>
    </r>
    <r>
      <rPr>
        <sz val="10"/>
        <color indexed="8"/>
        <rFont val="Franklin Gothic Book"/>
        <family val="2"/>
      </rPr>
      <t> </t>
    </r>
    <r>
      <rPr>
        <sz val="10"/>
        <color indexed="8"/>
        <rFont val="Arial"/>
        <family val="2"/>
      </rPr>
      <t>Documento de levantamento dos depósitos no FGTS ou extrato comprobatório dos depósitos;</t>
    </r>
  </si>
  <si>
    <r>
      <t>·</t>
    </r>
    <r>
      <rPr>
        <sz val="10"/>
        <color indexed="8"/>
        <rFont val="Franklin Gothic Book"/>
        <family val="2"/>
      </rPr>
      <t> </t>
    </r>
    <r>
      <rPr>
        <sz val="10"/>
        <color indexed="8"/>
        <rFont val="Arial"/>
        <family val="2"/>
      </rPr>
      <t>Cadastro Pessoa Física - CPF;</t>
    </r>
  </si>
  <si>
    <r>
      <t>·</t>
    </r>
    <r>
      <rPr>
        <sz val="10"/>
        <color indexed="8"/>
        <rFont val="Franklin Gothic Book"/>
        <family val="2"/>
      </rPr>
      <t> </t>
    </r>
    <r>
      <rPr>
        <sz val="10"/>
        <color indexed="8"/>
        <rFont val="Arial"/>
        <family val="2"/>
      </rPr>
      <t>Comprovante dos 2 últimos contracheques ou recibos de pagamento para o trabalhador formal (não é documentação obrigatória)</t>
    </r>
  </si>
  <si>
    <t>Onde Receber?</t>
  </si>
  <si>
    <t>   Em qualquer Agência da CAIXA, ou Casa Lotérica ou Correspondente Bancário (CAIXA AQUI) ou Auto-Atendimento (CAIXA AZUL 24 HORAS).</t>
  </si>
  <si>
    <t>   O pagamento nas Lotéricas, nos Correspondentes Bancários ou no Auto-Atendimento somente é realizado com o Cartão do Cidadão.</t>
  </si>
  <si>
    <t>Rescisão antecipada do contrato de experiência por iniciativa do empregador</t>
  </si>
  <si>
    <t>Rescisão antecipada do contrato de experiência por iniciativa do empregado</t>
  </si>
  <si>
    <t>Dias de multa para termino contrato</t>
  </si>
  <si>
    <t>Contrato de experiência de quantos dias?</t>
  </si>
  <si>
    <t>máximo 90 dias</t>
  </si>
  <si>
    <t>Rescisão antecipada do contrato de experiência:</t>
  </si>
  <si>
    <t>Término do contrato:</t>
  </si>
  <si>
    <t>Base de Calculo - Rescisão de Contrato de Experiência</t>
  </si>
  <si>
    <t>Nº de filhos com salário famlía:</t>
  </si>
  <si>
    <t>Término de Contrado de Experiência</t>
  </si>
  <si>
    <t>Término de Contrato de Experiência - Rescisão</t>
  </si>
  <si>
    <t>Contrato de</t>
  </si>
  <si>
    <t>Cálculo de rescisão de contrato de experiência</t>
  </si>
  <si>
    <t>Imposto de renda na fonte</t>
  </si>
  <si>
    <t>Base de cálculo (R$)</t>
  </si>
  <si>
    <t>de</t>
  </si>
  <si>
    <t>Acima de</t>
  </si>
  <si>
    <t>Alíquota (%)</t>
  </si>
  <si>
    <t>Parcela a deduzir do imposto (R$)</t>
  </si>
  <si>
    <t>Salário</t>
  </si>
  <si>
    <t>Tabela de desconto de INSS</t>
  </si>
  <si>
    <t>Alíquota para fins de recolhimento (%)</t>
  </si>
  <si>
    <t>Tabela para cálculo do benefício Seguro Desemprego</t>
  </si>
  <si>
    <t>Faixas de salário médio</t>
  </si>
  <si>
    <t>acima de</t>
  </si>
  <si>
    <t>Valor da parcela</t>
  </si>
  <si>
    <t>Multiplica-se salário médio por</t>
  </si>
  <si>
    <t>O que exceder a</t>
  </si>
  <si>
    <t>multiplica-se por</t>
  </si>
  <si>
    <t>e soma-se a</t>
  </si>
  <si>
    <t>O valor da parcela será de</t>
  </si>
  <si>
    <t>invariavelmente</t>
  </si>
  <si>
    <t>Configuração</t>
  </si>
  <si>
    <t>Configuração para cálculos rescisórios</t>
  </si>
  <si>
    <t>Valor do Salário Mínimo:</t>
  </si>
  <si>
    <t>Dedução por dependente:</t>
  </si>
  <si>
    <t>Tabela de salário família</t>
  </si>
  <si>
    <t>Faixa Salarial</t>
  </si>
  <si>
    <t>Valor da cota por filho menor de 14 anos</t>
  </si>
  <si>
    <t>Salário mínimo</t>
  </si>
  <si>
    <t>Cálculo básico de rescisão de contrato de trabalho e seguro desemprego</t>
  </si>
  <si>
    <t>Nº de filhos menores de 14 anos ,para salários até:</t>
  </si>
  <si>
    <t>Nº de filhos menores de 14 anos, para salários até</t>
  </si>
  <si>
    <t>Sim</t>
  </si>
  <si>
    <t>Não</t>
  </si>
  <si>
    <t>Total de dias trabalhados</t>
  </si>
  <si>
    <t>Total de dias trabalhados no mes</t>
  </si>
  <si>
    <t>Saldo de dias trabalhados no mes</t>
  </si>
  <si>
    <t>Base de cálculos trabalhistas - Comércio do estado de São Paulo</t>
  </si>
  <si>
    <t>Base de cálculo demissional</t>
  </si>
  <si>
    <t>Dados do Sindicato</t>
  </si>
  <si>
    <t>Nome Fantasia:</t>
  </si>
  <si>
    <t>Razão Social:</t>
  </si>
  <si>
    <t>Endereço completo:</t>
  </si>
  <si>
    <t>Telefones:</t>
  </si>
  <si>
    <t>Site:</t>
  </si>
  <si>
    <t>E-mail:</t>
  </si>
  <si>
    <t>Trabalhador:</t>
  </si>
  <si>
    <t>Empresa:</t>
  </si>
  <si>
    <t>Informação/Nota do rodapé</t>
  </si>
  <si>
    <t>Possui uma férias vencidas:</t>
  </si>
  <si>
    <t>por parte da empresa</t>
  </si>
  <si>
    <t>por parte do trabalhador</t>
  </si>
  <si>
    <t>Aviso prévio proporcional além da lei. N 12.506</t>
  </si>
  <si>
    <t>Existe o benefício?</t>
  </si>
  <si>
    <t>A partir de que idade?</t>
  </si>
  <si>
    <t>Anos de trabalho na empresa</t>
  </si>
  <si>
    <t>Dias de acréscimo no aviso</t>
  </si>
  <si>
    <t>Aos empregados com certa idade e certo tempo de contrato de trabalho na mesma empresa, dispensados sem justa causa, o aviso prévio terá acréscimo?</t>
  </si>
  <si>
    <t>Dias no aviso pela idade</t>
  </si>
  <si>
    <t>resultado:</t>
  </si>
  <si>
    <t>Anos a serem trabalhados:</t>
  </si>
  <si>
    <t>Data do último dia trabalhado:</t>
  </si>
  <si>
    <t>Data do aviso:</t>
  </si>
  <si>
    <t>dd/mm/aaaa</t>
  </si>
  <si>
    <t>Dias além da lei 12.506</t>
  </si>
  <si>
    <r>
      <t xml:space="preserve">Os empregados dispensandos sem justa causa terão direito de 01 (um) dia </t>
    </r>
    <r>
      <rPr>
        <u/>
        <sz val="11"/>
        <color theme="1"/>
        <rFont val="Calibri"/>
        <family val="2"/>
        <scheme val="minor"/>
      </rPr>
      <t>em pecúnia</t>
    </r>
    <r>
      <rPr>
        <sz val="11"/>
        <color theme="1"/>
        <rFont val="Calibri"/>
        <family val="2"/>
        <scheme val="minor"/>
      </rPr>
      <t>, no aviso prévio legal, por ano completo de serviço na mesma empresa? (</t>
    </r>
    <r>
      <rPr>
        <u/>
        <sz val="11"/>
        <color theme="1"/>
        <rFont val="Calibri"/>
        <family val="2"/>
        <scheme val="minor"/>
      </rPr>
      <t>além dos 3 dias já previsto em lei</t>
    </r>
    <r>
      <rPr>
        <sz val="11"/>
        <color theme="1"/>
        <rFont val="Calibri"/>
        <family val="2"/>
        <scheme val="minor"/>
      </rPr>
      <t>)</t>
    </r>
  </si>
  <si>
    <t>Data projeção do  aviso</t>
  </si>
  <si>
    <t>Dias de aviso indenizado</t>
  </si>
  <si>
    <t>Fraçao de meses</t>
  </si>
  <si>
    <t>Projeção para cálculo:</t>
  </si>
  <si>
    <t>tirando casas decimais</t>
  </si>
  <si>
    <t>13ª no aviso</t>
  </si>
  <si>
    <t>Data de saída (projeção)</t>
  </si>
  <si>
    <t>Único Company    .:.    Acácio Jr     .:.    Fecomerciários</t>
  </si>
  <si>
    <t>Único Company     .:.     Acácio Jr     .:.     Fecomerciários</t>
  </si>
  <si>
    <t>Tabela de contagem do acréscimo ao tempo de aviso prévio - Lei nº 12.506 de 11 de outubro de 2011</t>
  </si>
  <si>
    <t>Tempo de serviço, Ano completo</t>
  </si>
  <si>
    <t>Aviso Prévio, dias</t>
  </si>
  <si>
    <t>SINCOMERCIÁRIOS</t>
  </si>
  <si>
    <t>Sindicato dos Empregados no Comércio de Itapeva</t>
  </si>
  <si>
    <t>Rua Olívia Marques, 257, Centro - Itapeva/SP</t>
  </si>
  <si>
    <t>(15) 3522 0726</t>
  </si>
  <si>
    <t>www.sincomerciarios.org.br</t>
  </si>
  <si>
    <t>itapeva@sincomerciarios.org.br</t>
  </si>
  <si>
    <t>Fevereiro</t>
  </si>
  <si>
    <t>Média de salário para cálculo de FGTS:</t>
  </si>
  <si>
    <t>bruto</t>
  </si>
  <si>
    <t>Número de filhos menores de 14 anos, para salários até:</t>
  </si>
  <si>
    <t>Meses trabalhados na empresa:</t>
  </si>
  <si>
    <t>IPRF Outros</t>
  </si>
  <si>
    <t>*Preencher o valor já incluindo o DSR quando houver.</t>
  </si>
  <si>
    <t>Desconta INSS sobre aviso prévio indenizado?</t>
  </si>
  <si>
    <t>Calcula sobre outros (valores adicionais do mês)?</t>
  </si>
  <si>
    <t>Valor limite de desconto:</t>
  </si>
  <si>
    <t>Contribuição Confederativa/Assistencial:</t>
  </si>
  <si>
    <t>Desconto confederativa</t>
  </si>
  <si>
    <t>Calculo do desconto</t>
  </si>
  <si>
    <t>limite se houver</t>
  </si>
  <si>
    <t>Último dia do mês inicial</t>
  </si>
  <si>
    <t>Último dia do mês anterior a projeçao do calculo</t>
  </si>
  <si>
    <t>dias trabalhados apos data de aniversario</t>
  </si>
  <si>
    <t>Outras Verbas:</t>
  </si>
  <si>
    <t>Valor para calculo da previdencia social</t>
  </si>
  <si>
    <t>outros</t>
  </si>
  <si>
    <t>Indenizado</t>
  </si>
  <si>
    <t>saldo</t>
  </si>
  <si>
    <t>Valor para calculo de Inss apenas sobre saldo de salario</t>
  </si>
  <si>
    <t>Procentagem apenas sobre saldo de salario</t>
  </si>
  <si>
    <t>salário e/ou outros líquido</t>
  </si>
  <si>
    <t>porcentagem saldo e/ou + indenização</t>
  </si>
  <si>
    <t>Descontos:</t>
  </si>
  <si>
    <t>Incide INSS e IRPF?</t>
  </si>
  <si>
    <r>
      <t>FGTS:</t>
    </r>
    <r>
      <rPr>
        <sz val="11"/>
        <color indexed="8"/>
        <rFont val="Calibri"/>
        <family val="2"/>
      </rPr>
      <t xml:space="preserve"> </t>
    </r>
    <r>
      <rPr>
        <i/>
        <sz val="11"/>
        <color indexed="8"/>
        <rFont val="Calibri"/>
        <family val="2"/>
      </rPr>
      <t>(valor estimado)</t>
    </r>
  </si>
  <si>
    <t>+</t>
  </si>
  <si>
    <t>Fim mes anterior</t>
  </si>
  <si>
    <t>Projeção pedido de demissão</t>
  </si>
  <si>
    <t>Parâmetro</t>
  </si>
  <si>
    <t>Mês</t>
  </si>
  <si>
    <t>x</t>
  </si>
  <si>
    <t>Parâmetro:</t>
  </si>
  <si>
    <t>Ano Completo</t>
  </si>
  <si>
    <t>Ano + 1 dia</t>
  </si>
  <si>
    <t>Multa Data Base</t>
  </si>
  <si>
    <t>Data Base da categoria</t>
  </si>
  <si>
    <t>Dia</t>
  </si>
  <si>
    <t>Meses trabalhados</t>
  </si>
  <si>
    <t>Adiantamentos:</t>
  </si>
  <si>
    <t>resultado 13º</t>
  </si>
  <si>
    <t>Desenvolvido pro: Acácio Júnior  - adm@sincomerciarios.org.br</t>
  </si>
  <si>
    <t>Obs. Cálculo baseado nas informações digitadas pelo usuário do site, podendo haver diferenças.</t>
  </si>
  <si>
    <t>Planilha+ 5.1.2   .:.   Acácio Jr   .:.   unico@acaciojunior.com       -      Última atualização: 03/02/2016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</si>
</sst>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_-;\-* #,##0.00_-;_-* &quot;-&quot;??_-;_-@_-"/>
    <numFmt numFmtId="164" formatCode="&quot;R$ &quot;#,##0.00_);[Red]\(&quot;R$ &quot;#,##0.00\)"/>
    <numFmt numFmtId="165" formatCode="_(&quot;R$ &quot;* #,##0.00_);_(&quot;R$ &quot;* \(#,##0.00\);_(&quot;R$ &quot;* &quot;-&quot;??_);_(@_)"/>
    <numFmt numFmtId="166" formatCode="_(* #,##0.00_);_(* \(#,##0.00\);_(* &quot;-&quot;??_);_(@_)"/>
    <numFmt numFmtId="167" formatCode="&quot;R$ &quot;#,##0.00"/>
    <numFmt numFmtId="168" formatCode="_(* #,##0_);_(* \(#,##0\);_(* &quot;-&quot;??_);_(@_)"/>
    <numFmt numFmtId="169" formatCode="&quot;R$&quot;\ #,##0.00"/>
    <numFmt numFmtId="170" formatCode="0.000000000000"/>
    <numFmt numFmtId="171" formatCode="_(* #,##0.0_);_(* \(#,##0.0\);_(* &quot;-&quot;??_);_(@_)"/>
  </numFmts>
  <fonts count="8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i/>
      <sz val="9"/>
      <color indexed="8"/>
      <name val="Calibri"/>
      <family val="2"/>
    </font>
    <font>
      <b/>
      <sz val="20"/>
      <color indexed="8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4"/>
      <color indexed="8"/>
      <name val="Calibri"/>
      <family val="2"/>
    </font>
    <font>
      <i/>
      <sz val="14"/>
      <color indexed="8"/>
      <name val="Calibri"/>
      <family val="2"/>
    </font>
    <font>
      <i/>
      <sz val="11"/>
      <color indexed="8"/>
      <name val="Calibri"/>
      <family val="2"/>
    </font>
    <font>
      <b/>
      <sz val="18"/>
      <name val="Calibri"/>
      <family val="2"/>
    </font>
    <font>
      <i/>
      <sz val="10"/>
      <color indexed="8"/>
      <name val="Calibri"/>
      <family val="2"/>
    </font>
    <font>
      <sz val="10"/>
      <color indexed="8"/>
      <name val="Arial"/>
      <family val="2"/>
    </font>
    <font>
      <b/>
      <sz val="11"/>
      <color indexed="12"/>
      <name val="Calibri"/>
      <family val="2"/>
    </font>
    <font>
      <sz val="14"/>
      <color indexed="62"/>
      <name val="Calibri"/>
      <family val="2"/>
    </font>
    <font>
      <b/>
      <sz val="10"/>
      <color indexed="8"/>
      <name val="Arial"/>
      <family val="2"/>
    </font>
    <font>
      <b/>
      <i/>
      <sz val="11"/>
      <color indexed="8"/>
      <name val="Calibri"/>
      <family val="2"/>
    </font>
    <font>
      <b/>
      <sz val="14"/>
      <color indexed="8"/>
      <name val="Calibri"/>
      <family val="2"/>
    </font>
    <font>
      <b/>
      <sz val="16"/>
      <name val="Calibri"/>
      <family val="2"/>
    </font>
    <font>
      <b/>
      <sz val="11"/>
      <name val="Calibri"/>
      <family val="2"/>
    </font>
    <font>
      <u/>
      <sz val="10"/>
      <color indexed="8"/>
      <name val="Arial"/>
      <family val="2"/>
    </font>
    <font>
      <sz val="10"/>
      <color indexed="8"/>
      <name val="Franklin Gothic Book"/>
      <family val="2"/>
    </font>
    <font>
      <b/>
      <sz val="10"/>
      <color indexed="8"/>
      <name val="Calibri"/>
      <family val="2"/>
    </font>
    <font>
      <sz val="14"/>
      <name val="Calibri"/>
      <family val="2"/>
    </font>
    <font>
      <sz val="11"/>
      <name val="Calibri"/>
      <family val="2"/>
    </font>
    <font>
      <u/>
      <sz val="14"/>
      <color indexed="8"/>
      <name val="Calibri"/>
      <family val="2"/>
    </font>
    <font>
      <sz val="13"/>
      <color indexed="8"/>
      <name val="Calibri"/>
      <family val="2"/>
    </font>
    <font>
      <b/>
      <sz val="16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0"/>
      <color rgb="FF000000"/>
      <name val="Verdana"/>
      <family val="2"/>
    </font>
    <font>
      <i/>
      <sz val="10"/>
      <color theme="0"/>
      <name val="Calibri"/>
      <family val="2"/>
    </font>
    <font>
      <sz val="10"/>
      <color theme="0"/>
      <name val="Calibri"/>
      <family val="2"/>
    </font>
    <font>
      <b/>
      <sz val="14"/>
      <color theme="0"/>
      <name val="Calibri"/>
      <family val="2"/>
    </font>
    <font>
      <sz val="14"/>
      <color theme="0"/>
      <name val="Calibri"/>
      <family val="2"/>
    </font>
    <font>
      <b/>
      <sz val="11"/>
      <color rgb="FF0000FF"/>
      <name val="Calibri"/>
      <family val="2"/>
      <scheme val="minor"/>
    </font>
    <font>
      <i/>
      <sz val="11"/>
      <color theme="0" tint="-0.14999847407452621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9"/>
      <color theme="1"/>
      <name val="Calibri"/>
      <family val="2"/>
    </font>
    <font>
      <b/>
      <sz val="20"/>
      <color theme="1"/>
      <name val="Calibri"/>
      <family val="2"/>
      <scheme val="minor"/>
    </font>
    <font>
      <u/>
      <sz val="11"/>
      <color theme="0"/>
      <name val="Calibri"/>
      <family val="2"/>
    </font>
    <font>
      <i/>
      <sz val="11"/>
      <color theme="0"/>
      <name val="Calibri"/>
      <family val="2"/>
    </font>
    <font>
      <sz val="13"/>
      <color theme="0"/>
      <name val="Calibri"/>
      <family val="2"/>
    </font>
    <font>
      <b/>
      <sz val="18"/>
      <color theme="1"/>
      <name val="Calibri"/>
      <family val="2"/>
      <scheme val="minor"/>
    </font>
    <font>
      <sz val="10"/>
      <color rgb="FF000000"/>
      <name val="Verdana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Symbol"/>
      <family val="1"/>
      <charset val="2"/>
    </font>
    <font>
      <sz val="10"/>
      <color indexed="8"/>
      <name val="Calibri"/>
      <family val="2"/>
    </font>
    <font>
      <u/>
      <sz val="11"/>
      <color theme="1"/>
      <name val="Calibri"/>
      <family val="2"/>
      <scheme val="minor"/>
    </font>
    <font>
      <sz val="10"/>
      <color theme="3" tint="0.59999389629810485"/>
      <name val="Calibri"/>
      <family val="2"/>
    </font>
    <font>
      <i/>
      <u/>
      <sz val="10"/>
      <color indexed="8"/>
      <name val="Calibri"/>
      <family val="2"/>
    </font>
    <font>
      <b/>
      <i/>
      <sz val="10"/>
      <color theme="0"/>
      <name val="Calibri"/>
      <family val="2"/>
    </font>
    <font>
      <b/>
      <i/>
      <sz val="9"/>
      <color theme="0"/>
      <name val="Calibri"/>
      <family val="2"/>
    </font>
    <font>
      <sz val="10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indexed="8"/>
      <name val="Calibri"/>
      <family val="2"/>
    </font>
    <font>
      <sz val="12"/>
      <color theme="3"/>
      <name val="Calibri"/>
      <family val="2"/>
    </font>
    <font>
      <sz val="13"/>
      <color theme="3"/>
      <name val="Calibri"/>
      <family val="2"/>
    </font>
    <font>
      <sz val="13"/>
      <color theme="3" tint="-0.249977111117893"/>
      <name val="Calibri"/>
      <family val="2"/>
    </font>
    <font>
      <sz val="13"/>
      <color indexed="62"/>
      <name val="Calibri"/>
      <family val="2"/>
    </font>
    <font>
      <i/>
      <sz val="10"/>
      <color theme="3"/>
      <name val="Calibri"/>
      <family val="2"/>
    </font>
    <font>
      <sz val="9"/>
      <color indexed="8"/>
      <name val="Calibri"/>
      <family val="2"/>
      <scheme val="minor"/>
    </font>
    <font>
      <b/>
      <sz val="20"/>
      <color indexed="8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i/>
      <sz val="11"/>
      <color indexed="8"/>
      <name val="Calibri"/>
      <family val="2"/>
      <scheme val="minor"/>
    </font>
    <font>
      <i/>
      <sz val="11"/>
      <color indexed="8"/>
      <name val="Calibri"/>
      <family val="2"/>
      <scheme val="minor"/>
    </font>
    <font>
      <i/>
      <sz val="9"/>
      <color indexed="8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i/>
      <sz val="7"/>
      <color indexed="8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3"/>
      <color theme="3" tint="-0.49998474074526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theme="4" tint="0.39991454817346722"/>
      </left>
      <right/>
      <top/>
      <bottom/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</borders>
  <cellStyleXfs count="4">
    <xf numFmtId="0" fontId="0" fillId="0" borderId="0"/>
    <xf numFmtId="0" fontId="34" fillId="0" borderId="0" applyNumberFormat="0" applyFill="0" applyBorder="0" applyAlignment="0" applyProtection="0">
      <alignment vertical="top"/>
      <protection locked="0"/>
    </xf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9">
    <xf numFmtId="0" fontId="0" fillId="0" borderId="0" xfId="0"/>
    <xf numFmtId="0" fontId="4" fillId="0" borderId="0" xfId="0" applyFont="1"/>
    <xf numFmtId="0" fontId="10" fillId="2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4" fillId="4" borderId="0" xfId="0" applyNumberFormat="1" applyFont="1" applyFill="1" applyAlignment="1">
      <alignment vertical="center"/>
    </xf>
    <xf numFmtId="14" fontId="4" fillId="4" borderId="0" xfId="0" applyNumberFormat="1" applyFont="1" applyFill="1" applyAlignment="1">
      <alignment vertical="center"/>
    </xf>
    <xf numFmtId="0" fontId="4" fillId="0" borderId="0" xfId="0" applyFont="1" applyAlignment="1">
      <alignment horizontal="left" vertical="center"/>
    </xf>
    <xf numFmtId="0" fontId="4" fillId="4" borderId="0" xfId="0" applyFont="1" applyFill="1" applyAlignment="1">
      <alignment vertical="center"/>
    </xf>
    <xf numFmtId="14" fontId="4" fillId="0" borderId="0" xfId="0" applyNumberFormat="1" applyFont="1" applyAlignment="1">
      <alignment vertical="center"/>
    </xf>
    <xf numFmtId="167" fontId="4" fillId="4" borderId="0" xfId="0" applyNumberFormat="1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5" borderId="0" xfId="0" applyFill="1" applyAlignment="1">
      <alignment vertical="center" wrapText="1"/>
    </xf>
    <xf numFmtId="0" fontId="4" fillId="5" borderId="0" xfId="0" applyFont="1" applyFill="1" applyAlignment="1">
      <alignment vertical="center"/>
    </xf>
    <xf numFmtId="2" fontId="4" fillId="5" borderId="0" xfId="0" applyNumberFormat="1" applyFont="1" applyFill="1" applyAlignment="1">
      <alignment vertical="center"/>
    </xf>
    <xf numFmtId="0" fontId="5" fillId="0" borderId="0" xfId="0" applyFont="1" applyAlignment="1">
      <alignment vertical="center"/>
    </xf>
    <xf numFmtId="165" fontId="4" fillId="0" borderId="0" xfId="2" applyFont="1" applyAlignment="1">
      <alignment vertical="center"/>
    </xf>
    <xf numFmtId="165" fontId="5" fillId="0" borderId="0" xfId="2" applyFont="1" applyAlignment="1">
      <alignment vertical="center"/>
    </xf>
    <xf numFmtId="10" fontId="4" fillId="0" borderId="0" xfId="0" applyNumberFormat="1" applyFont="1" applyAlignment="1">
      <alignment vertical="center"/>
    </xf>
    <xf numFmtId="165" fontId="4" fillId="0" borderId="0" xfId="0" applyNumberFormat="1" applyFont="1" applyAlignment="1">
      <alignment vertical="center"/>
    </xf>
    <xf numFmtId="9" fontId="4" fillId="0" borderId="0" xfId="0" applyNumberFormat="1" applyFont="1" applyAlignment="1">
      <alignment vertical="center"/>
    </xf>
    <xf numFmtId="165" fontId="5" fillId="0" borderId="0" xfId="0" applyNumberFormat="1" applyFont="1" applyAlignment="1">
      <alignment vertical="center"/>
    </xf>
    <xf numFmtId="167" fontId="5" fillId="0" borderId="0" xfId="0" applyNumberFormat="1" applyFont="1" applyAlignment="1">
      <alignment vertical="center"/>
    </xf>
    <xf numFmtId="167" fontId="4" fillId="0" borderId="0" xfId="0" applyNumberFormat="1" applyFont="1" applyAlignment="1">
      <alignment vertical="center"/>
    </xf>
    <xf numFmtId="0" fontId="15" fillId="0" borderId="0" xfId="0" applyFont="1" applyFill="1" applyBorder="1" applyAlignment="1">
      <alignment horizontal="center" vertical="center" wrapText="1"/>
    </xf>
    <xf numFmtId="164" fontId="15" fillId="0" borderId="0" xfId="0" applyNumberFormat="1" applyFont="1" applyFill="1" applyBorder="1" applyAlignment="1">
      <alignment horizontal="center" vertical="center" wrapText="1"/>
    </xf>
    <xf numFmtId="0" fontId="1" fillId="3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10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2" fontId="4" fillId="6" borderId="0" xfId="0" applyNumberFormat="1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6" fillId="3" borderId="0" xfId="0" applyFont="1" applyFill="1" applyAlignment="1">
      <alignment vertical="center" wrapText="1"/>
    </xf>
    <xf numFmtId="0" fontId="4" fillId="8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4" fillId="11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1" fillId="12" borderId="0" xfId="0" applyFont="1" applyFill="1" applyAlignment="1">
      <alignment vertical="center"/>
    </xf>
    <xf numFmtId="0" fontId="16" fillId="12" borderId="0" xfId="1" applyFont="1" applyFill="1" applyAlignment="1" applyProtection="1">
      <alignment vertical="center"/>
      <protection locked="0"/>
    </xf>
    <xf numFmtId="0" fontId="6" fillId="12" borderId="0" xfId="0" applyFont="1" applyFill="1" applyAlignment="1">
      <alignment vertical="center" wrapText="1"/>
    </xf>
    <xf numFmtId="0" fontId="34" fillId="12" borderId="0" xfId="1" applyFill="1" applyAlignment="1" applyProtection="1"/>
    <xf numFmtId="0" fontId="0" fillId="0" borderId="0" xfId="0" applyAlignment="1">
      <alignment horizontal="right"/>
    </xf>
    <xf numFmtId="14" fontId="0" fillId="0" borderId="0" xfId="0" applyNumberFormat="1"/>
    <xf numFmtId="0" fontId="35" fillId="12" borderId="0" xfId="0" applyFont="1" applyFill="1" applyAlignment="1">
      <alignment horizontal="right"/>
    </xf>
    <xf numFmtId="0" fontId="36" fillId="12" borderId="0" xfId="0" applyFont="1" applyFill="1"/>
    <xf numFmtId="0" fontId="0" fillId="12" borderId="0" xfId="0" applyFill="1" applyAlignment="1">
      <alignment horizontal="left"/>
    </xf>
    <xf numFmtId="0" fontId="0" fillId="0" borderId="0" xfId="0" applyAlignment="1">
      <alignment horizontal="left"/>
    </xf>
    <xf numFmtId="0" fontId="33" fillId="12" borderId="2" xfId="0" applyFont="1" applyFill="1" applyBorder="1" applyAlignment="1">
      <alignment horizontal="left"/>
    </xf>
    <xf numFmtId="0" fontId="35" fillId="14" borderId="3" xfId="0" applyFont="1" applyFill="1" applyBorder="1"/>
    <xf numFmtId="0" fontId="35" fillId="14" borderId="0" xfId="0" applyFont="1" applyFill="1" applyBorder="1"/>
    <xf numFmtId="0" fontId="35" fillId="14" borderId="4" xfId="0" applyFont="1" applyFill="1" applyBorder="1"/>
    <xf numFmtId="169" fontId="33" fillId="12" borderId="5" xfId="2" applyNumberFormat="1" applyFont="1" applyFill="1" applyBorder="1" applyAlignment="1">
      <alignment horizontal="left"/>
    </xf>
    <xf numFmtId="0" fontId="35" fillId="12" borderId="0" xfId="0" applyFont="1" applyFill="1"/>
    <xf numFmtId="0" fontId="37" fillId="0" borderId="0" xfId="0" applyFont="1"/>
    <xf numFmtId="0" fontId="0" fillId="12" borderId="0" xfId="0" applyFill="1"/>
    <xf numFmtId="0" fontId="0" fillId="12" borderId="0" xfId="0" applyFill="1"/>
    <xf numFmtId="0" fontId="0" fillId="15" borderId="0" xfId="0" applyFill="1"/>
    <xf numFmtId="0" fontId="0" fillId="15" borderId="0" xfId="0" applyFill="1" applyAlignment="1"/>
    <xf numFmtId="0" fontId="10" fillId="16" borderId="0" xfId="0" applyFont="1" applyFill="1" applyAlignment="1">
      <alignment vertical="center"/>
    </xf>
    <xf numFmtId="0" fontId="10" fillId="17" borderId="0" xfId="0" applyFont="1" applyFill="1" applyAlignment="1">
      <alignment vertical="center"/>
    </xf>
    <xf numFmtId="0" fontId="10" fillId="17" borderId="6" xfId="0" applyFont="1" applyFill="1" applyBorder="1" applyAlignment="1">
      <alignment vertical="center"/>
    </xf>
    <xf numFmtId="0" fontId="10" fillId="17" borderId="6" xfId="0" applyFont="1" applyFill="1" applyBorder="1" applyAlignment="1">
      <alignment horizontal="left" vertical="center"/>
    </xf>
    <xf numFmtId="0" fontId="11" fillId="17" borderId="0" xfId="0" applyFont="1" applyFill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14" fontId="38" fillId="17" borderId="0" xfId="0" applyNumberFormat="1" applyFont="1" applyFill="1" applyAlignment="1">
      <alignment vertical="center"/>
    </xf>
    <xf numFmtId="0" fontId="38" fillId="17" borderId="0" xfId="0" applyFont="1" applyFill="1" applyAlignment="1">
      <alignment vertical="center"/>
    </xf>
    <xf numFmtId="0" fontId="39" fillId="17" borderId="0" xfId="0" applyFont="1" applyFill="1" applyAlignment="1">
      <alignment vertical="center"/>
    </xf>
    <xf numFmtId="0" fontId="40" fillId="17" borderId="0" xfId="0" applyFont="1" applyFill="1" applyAlignment="1">
      <alignment horizontal="center" vertical="center"/>
    </xf>
    <xf numFmtId="0" fontId="0" fillId="17" borderId="0" xfId="0" applyFill="1"/>
    <xf numFmtId="0" fontId="0" fillId="17" borderId="0" xfId="0" applyFill="1" applyAlignment="1"/>
    <xf numFmtId="0" fontId="41" fillId="16" borderId="0" xfId="0" applyFont="1" applyFill="1" applyAlignment="1">
      <alignment vertical="center"/>
    </xf>
    <xf numFmtId="0" fontId="14" fillId="16" borderId="0" xfId="0" applyFont="1" applyFill="1" applyAlignment="1">
      <alignment vertical="center"/>
    </xf>
    <xf numFmtId="0" fontId="10" fillId="16" borderId="0" xfId="0" applyFont="1" applyFill="1" applyAlignment="1">
      <alignment horizontal="center" vertical="center"/>
    </xf>
    <xf numFmtId="0" fontId="10" fillId="16" borderId="6" xfId="0" applyFont="1" applyFill="1" applyBorder="1" applyAlignment="1">
      <alignment vertical="center"/>
    </xf>
    <xf numFmtId="0" fontId="10" fillId="16" borderId="6" xfId="0" applyFont="1" applyFill="1" applyBorder="1" applyAlignment="1">
      <alignment horizontal="left" vertical="center"/>
    </xf>
    <xf numFmtId="0" fontId="42" fillId="0" borderId="0" xfId="0" applyFont="1" applyAlignment="1"/>
    <xf numFmtId="1" fontId="0" fillId="14" borderId="0" xfId="0" applyNumberFormat="1" applyFill="1"/>
    <xf numFmtId="0" fontId="17" fillId="17" borderId="0" xfId="0" applyFont="1" applyFill="1" applyAlignment="1" applyProtection="1">
      <alignment vertical="center"/>
    </xf>
    <xf numFmtId="0" fontId="10" fillId="17" borderId="0" xfId="0" applyFont="1" applyFill="1" applyAlignment="1" applyProtection="1">
      <alignment vertical="center"/>
    </xf>
    <xf numFmtId="0" fontId="10" fillId="3" borderId="0" xfId="0" applyFont="1" applyFill="1" applyAlignment="1" applyProtection="1">
      <alignment vertical="center"/>
    </xf>
    <xf numFmtId="0" fontId="7" fillId="3" borderId="0" xfId="0" applyFont="1" applyFill="1" applyAlignment="1" applyProtection="1">
      <alignment horizontal="center" vertical="center"/>
    </xf>
    <xf numFmtId="0" fontId="7" fillId="3" borderId="0" xfId="0" applyFont="1" applyFill="1" applyAlignment="1" applyProtection="1">
      <alignment vertical="center"/>
    </xf>
    <xf numFmtId="0" fontId="38" fillId="17" borderId="0" xfId="0" applyFont="1" applyFill="1" applyAlignment="1" applyProtection="1">
      <alignment vertical="center"/>
    </xf>
    <xf numFmtId="0" fontId="10" fillId="17" borderId="0" xfId="0" applyFont="1" applyFill="1" applyAlignment="1" applyProtection="1">
      <alignment horizontal="center" vertical="center"/>
    </xf>
    <xf numFmtId="14" fontId="38" fillId="17" borderId="0" xfId="0" applyNumberFormat="1" applyFont="1" applyFill="1" applyAlignment="1" applyProtection="1">
      <alignment vertical="center"/>
    </xf>
    <xf numFmtId="0" fontId="11" fillId="17" borderId="0" xfId="0" applyFont="1" applyFill="1" applyAlignment="1" applyProtection="1">
      <alignment horizontal="center" vertical="center"/>
    </xf>
    <xf numFmtId="0" fontId="10" fillId="17" borderId="6" xfId="0" applyFont="1" applyFill="1" applyBorder="1" applyAlignment="1" applyProtection="1">
      <alignment vertical="center"/>
    </xf>
    <xf numFmtId="0" fontId="10" fillId="17" borderId="6" xfId="0" applyFont="1" applyFill="1" applyBorder="1" applyAlignment="1" applyProtection="1">
      <alignment horizontal="left" vertical="center"/>
    </xf>
    <xf numFmtId="0" fontId="43" fillId="17" borderId="0" xfId="0" applyFont="1" applyFill="1" applyAlignment="1" applyProtection="1">
      <alignment horizontal="left" vertical="center"/>
    </xf>
    <xf numFmtId="0" fontId="43" fillId="17" borderId="0" xfId="0" applyFont="1" applyFill="1" applyAlignment="1" applyProtection="1">
      <alignment horizontal="right" vertical="center"/>
    </xf>
    <xf numFmtId="0" fontId="4" fillId="3" borderId="0" xfId="0" applyFont="1" applyFill="1" applyAlignment="1" applyProtection="1">
      <alignment vertical="center"/>
    </xf>
    <xf numFmtId="0" fontId="4" fillId="3" borderId="7" xfId="0" applyFont="1" applyFill="1" applyBorder="1" applyAlignment="1" applyProtection="1">
      <alignment vertical="center"/>
    </xf>
    <xf numFmtId="0" fontId="4" fillId="3" borderId="0" xfId="0" applyFont="1" applyFill="1" applyAlignment="1" applyProtection="1">
      <alignment horizontal="right" vertical="center"/>
    </xf>
    <xf numFmtId="0" fontId="1" fillId="3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0" fontId="1" fillId="0" borderId="0" xfId="0" applyFont="1" applyFill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1" fillId="3" borderId="6" xfId="0" applyFont="1" applyFill="1" applyBorder="1" applyAlignment="1" applyProtection="1">
      <alignment vertical="center"/>
    </xf>
    <xf numFmtId="0" fontId="1" fillId="3" borderId="6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vertical="center"/>
    </xf>
    <xf numFmtId="0" fontId="44" fillId="12" borderId="0" xfId="0" applyFont="1" applyFill="1" applyBorder="1" applyAlignment="1" applyProtection="1">
      <alignment vertical="center"/>
    </xf>
    <xf numFmtId="0" fontId="12" fillId="3" borderId="0" xfId="0" applyFont="1" applyFill="1" applyBorder="1" applyAlignment="1" applyProtection="1">
      <alignment vertical="center"/>
    </xf>
    <xf numFmtId="165" fontId="44" fillId="12" borderId="0" xfId="2" applyFont="1" applyFill="1" applyBorder="1" applyAlignment="1" applyProtection="1">
      <alignment horizontal="left" vertical="center"/>
    </xf>
    <xf numFmtId="0" fontId="12" fillId="0" borderId="0" xfId="0" applyFont="1" applyAlignme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1" fillId="12" borderId="0" xfId="0" applyFont="1" applyFill="1" applyAlignment="1" applyProtection="1">
      <alignment vertical="center"/>
    </xf>
    <xf numFmtId="0" fontId="4" fillId="12" borderId="0" xfId="0" applyFont="1" applyFill="1" applyAlignment="1" applyProtection="1">
      <alignment vertical="center"/>
    </xf>
    <xf numFmtId="0" fontId="1" fillId="12" borderId="0" xfId="0" applyFont="1" applyFill="1" applyBorder="1" applyAlignment="1" applyProtection="1">
      <alignment vertical="center"/>
    </xf>
    <xf numFmtId="167" fontId="44" fillId="12" borderId="0" xfId="0" applyNumberFormat="1" applyFont="1" applyFill="1" applyBorder="1" applyAlignment="1" applyProtection="1">
      <alignment horizontal="center" vertical="center"/>
    </xf>
    <xf numFmtId="0" fontId="44" fillId="12" borderId="0" xfId="0" applyFont="1" applyFill="1" applyBorder="1" applyAlignment="1" applyProtection="1">
      <alignment horizontal="center" vertical="center"/>
    </xf>
    <xf numFmtId="165" fontId="44" fillId="12" borderId="0" xfId="2" applyFont="1" applyFill="1" applyBorder="1" applyAlignment="1" applyProtection="1">
      <alignment horizontal="center" vertical="center"/>
    </xf>
    <xf numFmtId="0" fontId="3" fillId="3" borderId="8" xfId="0" applyFont="1" applyFill="1" applyBorder="1" applyAlignment="1" applyProtection="1">
      <alignment vertical="center"/>
    </xf>
    <xf numFmtId="0" fontId="1" fillId="3" borderId="9" xfId="0" applyFont="1" applyFill="1" applyBorder="1" applyAlignment="1" applyProtection="1">
      <alignment vertical="center"/>
    </xf>
    <xf numFmtId="0" fontId="6" fillId="12" borderId="0" xfId="0" applyFont="1" applyFill="1" applyAlignment="1" applyProtection="1">
      <alignment vertical="center" wrapText="1"/>
    </xf>
    <xf numFmtId="0" fontId="3" fillId="3" borderId="10" xfId="0" applyFont="1" applyFill="1" applyBorder="1" applyAlignment="1" applyProtection="1">
      <alignment vertical="center"/>
    </xf>
    <xf numFmtId="0" fontId="3" fillId="3" borderId="11" xfId="0" applyFont="1" applyFill="1" applyBorder="1" applyAlignment="1" applyProtection="1">
      <alignment vertical="center"/>
    </xf>
    <xf numFmtId="0" fontId="27" fillId="12" borderId="0" xfId="1" applyFont="1" applyFill="1" applyAlignment="1" applyProtection="1">
      <alignment vertical="center"/>
    </xf>
    <xf numFmtId="14" fontId="1" fillId="12" borderId="0" xfId="0" applyNumberFormat="1" applyFont="1" applyFill="1" applyAlignment="1" applyProtection="1">
      <alignment vertical="center"/>
    </xf>
    <xf numFmtId="0" fontId="45" fillId="3" borderId="0" xfId="0" applyFont="1" applyFill="1" applyBorder="1" applyAlignment="1" applyProtection="1">
      <alignment vertical="center"/>
    </xf>
    <xf numFmtId="0" fontId="6" fillId="12" borderId="0" xfId="0" applyFont="1" applyFill="1" applyAlignment="1" applyProtection="1">
      <alignment vertical="center"/>
    </xf>
    <xf numFmtId="0" fontId="46" fillId="3" borderId="0" xfId="0" applyFont="1" applyFill="1" applyAlignment="1" applyProtection="1">
      <alignment vertical="center"/>
    </xf>
    <xf numFmtId="0" fontId="46" fillId="12" borderId="0" xfId="0" applyFont="1" applyFill="1" applyAlignment="1" applyProtection="1">
      <alignment vertical="center"/>
    </xf>
    <xf numFmtId="0" fontId="45" fillId="12" borderId="0" xfId="0" applyFont="1" applyFill="1" applyBorder="1" applyAlignment="1" applyProtection="1">
      <alignment vertical="center"/>
    </xf>
    <xf numFmtId="165" fontId="1" fillId="12" borderId="0" xfId="2" applyFont="1" applyFill="1" applyBorder="1" applyAlignment="1" applyProtection="1">
      <alignment horizontal="center" vertical="center"/>
    </xf>
    <xf numFmtId="165" fontId="3" fillId="12" borderId="0" xfId="2" applyFont="1" applyFill="1" applyBorder="1" applyAlignment="1" applyProtection="1">
      <alignment vertical="center"/>
    </xf>
    <xf numFmtId="0" fontId="4" fillId="3" borderId="0" xfId="0" applyFont="1" applyFill="1" applyAlignment="1" applyProtection="1">
      <alignment horizontal="left" vertical="center"/>
    </xf>
    <xf numFmtId="0" fontId="6" fillId="12" borderId="0" xfId="0" applyFont="1" applyFill="1" applyAlignment="1" applyProtection="1">
      <alignment horizontal="left" vertical="center" wrapText="1"/>
    </xf>
    <xf numFmtId="0" fontId="0" fillId="12" borderId="0" xfId="0" applyFill="1"/>
    <xf numFmtId="165" fontId="31" fillId="0" borderId="0" xfId="2" applyFont="1"/>
    <xf numFmtId="0" fontId="0" fillId="12" borderId="12" xfId="0" applyFill="1" applyBorder="1"/>
    <xf numFmtId="0" fontId="0" fillId="12" borderId="13" xfId="0" applyFill="1" applyBorder="1"/>
    <xf numFmtId="0" fontId="0" fillId="12" borderId="14" xfId="0" applyFill="1" applyBorder="1"/>
    <xf numFmtId="0" fontId="0" fillId="12" borderId="15" xfId="0" applyFill="1" applyBorder="1"/>
    <xf numFmtId="0" fontId="35" fillId="12" borderId="0" xfId="0" applyFont="1" applyFill="1" applyBorder="1"/>
    <xf numFmtId="0" fontId="0" fillId="12" borderId="0" xfId="0" applyFill="1" applyBorder="1"/>
    <xf numFmtId="0" fontId="0" fillId="12" borderId="16" xfId="0" applyFill="1" applyBorder="1"/>
    <xf numFmtId="0" fontId="0" fillId="12" borderId="17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0" xfId="0" applyFill="1" applyBorder="1"/>
    <xf numFmtId="0" fontId="35" fillId="12" borderId="21" xfId="0" applyFont="1" applyFill="1" applyBorder="1"/>
    <xf numFmtId="0" fontId="0" fillId="12" borderId="11" xfId="0" applyFill="1" applyBorder="1"/>
    <xf numFmtId="0" fontId="0" fillId="12" borderId="22" xfId="0" applyFill="1" applyBorder="1"/>
    <xf numFmtId="0" fontId="35" fillId="12" borderId="11" xfId="0" applyFont="1" applyFill="1" applyBorder="1"/>
    <xf numFmtId="0" fontId="35" fillId="12" borderId="23" xfId="0" applyFont="1" applyFill="1" applyBorder="1"/>
    <xf numFmtId="0" fontId="0" fillId="12" borderId="23" xfId="0" applyFill="1" applyBorder="1"/>
    <xf numFmtId="165" fontId="31" fillId="12" borderId="0" xfId="2" applyFont="1" applyFill="1" applyBorder="1" applyAlignment="1">
      <alignment horizontal="center"/>
    </xf>
    <xf numFmtId="10" fontId="0" fillId="12" borderId="0" xfId="0" applyNumberFormat="1" applyFill="1" applyBorder="1" applyAlignment="1">
      <alignment horizontal="center"/>
    </xf>
    <xf numFmtId="0" fontId="0" fillId="12" borderId="0" xfId="0" applyFill="1"/>
    <xf numFmtId="169" fontId="39" fillId="17" borderId="0" xfId="2" applyNumberFormat="1" applyFont="1" applyFill="1" applyAlignment="1" applyProtection="1">
      <alignment horizontal="left" vertical="center"/>
    </xf>
    <xf numFmtId="169" fontId="39" fillId="17" borderId="0" xfId="0" applyNumberFormat="1" applyFont="1" applyFill="1" applyAlignment="1">
      <alignment horizontal="left" vertical="center"/>
    </xf>
    <xf numFmtId="0" fontId="0" fillId="12" borderId="18" xfId="0" applyFill="1" applyBorder="1" applyAlignment="1">
      <alignment horizontal="center" vertical="center" wrapText="1"/>
    </xf>
    <xf numFmtId="0" fontId="0" fillId="12" borderId="0" xfId="0" applyFill="1"/>
    <xf numFmtId="0" fontId="0" fillId="12" borderId="0" xfId="0" applyFill="1"/>
    <xf numFmtId="0" fontId="22" fillId="3" borderId="0" xfId="1" applyFont="1" applyFill="1" applyBorder="1" applyAlignment="1" applyProtection="1"/>
    <xf numFmtId="0" fontId="21" fillId="3" borderId="0" xfId="0" applyFont="1" applyFill="1" applyBorder="1" applyAlignment="1" applyProtection="1"/>
    <xf numFmtId="0" fontId="0" fillId="12" borderId="0" xfId="0" applyFill="1" applyBorder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12" borderId="6" xfId="0" applyFill="1" applyBorder="1" applyAlignment="1">
      <alignment horizontal="left" vertical="center"/>
    </xf>
    <xf numFmtId="0" fontId="0" fillId="12" borderId="9" xfId="0" applyFill="1" applyBorder="1" applyAlignment="1">
      <alignment horizontal="left" vertical="center"/>
    </xf>
    <xf numFmtId="0" fontId="0" fillId="12" borderId="9" xfId="0" applyFill="1" applyBorder="1" applyAlignment="1" applyProtection="1">
      <alignment vertical="center"/>
    </xf>
    <xf numFmtId="0" fontId="0" fillId="12" borderId="0" xfId="0" applyFill="1" applyBorder="1" applyAlignment="1" applyProtection="1">
      <alignment horizontal="left" vertical="center"/>
    </xf>
    <xf numFmtId="0" fontId="0" fillId="12" borderId="0" xfId="0" applyFill="1" applyBorder="1" applyAlignment="1" applyProtection="1">
      <alignment horizontal="right" vertical="center"/>
    </xf>
    <xf numFmtId="0" fontId="0" fillId="12" borderId="0" xfId="0" applyFill="1" applyBorder="1" applyAlignment="1" applyProtection="1">
      <alignment vertical="center"/>
    </xf>
    <xf numFmtId="0" fontId="4" fillId="12" borderId="0" xfId="0" applyFont="1" applyFill="1" applyAlignment="1" applyProtection="1">
      <alignment horizontal="right" vertical="center"/>
    </xf>
    <xf numFmtId="0" fontId="1" fillId="12" borderId="0" xfId="0" applyFont="1" applyFill="1" applyAlignment="1" applyProtection="1">
      <alignment horizontal="right" vertical="center"/>
    </xf>
    <xf numFmtId="0" fontId="47" fillId="12" borderId="0" xfId="0" applyFont="1" applyFill="1"/>
    <xf numFmtId="0" fontId="35" fillId="12" borderId="0" xfId="0" applyFont="1" applyFill="1" applyAlignment="1">
      <alignment vertical="center"/>
    </xf>
    <xf numFmtId="0" fontId="35" fillId="12" borderId="0" xfId="0" applyFont="1" applyFill="1" applyAlignment="1">
      <alignment horizontal="right" vertical="center"/>
    </xf>
    <xf numFmtId="0" fontId="0" fillId="12" borderId="6" xfId="0" applyFill="1" applyBorder="1"/>
    <xf numFmtId="0" fontId="0" fillId="12" borderId="18" xfId="0" applyFill="1" applyBorder="1" applyAlignment="1">
      <alignment vertical="center" wrapText="1"/>
    </xf>
    <xf numFmtId="0" fontId="0" fillId="12" borderId="12" xfId="0" applyFill="1" applyBorder="1" applyAlignment="1">
      <alignment horizontal="left" vertical="center"/>
    </xf>
    <xf numFmtId="0" fontId="0" fillId="12" borderId="13" xfId="0" applyFill="1" applyBorder="1" applyAlignment="1">
      <alignment horizontal="left" vertical="center"/>
    </xf>
    <xf numFmtId="0" fontId="0" fillId="12" borderId="14" xfId="0" applyFill="1" applyBorder="1" applyAlignment="1">
      <alignment horizontal="left" vertical="center"/>
    </xf>
    <xf numFmtId="0" fontId="0" fillId="12" borderId="15" xfId="0" applyFill="1" applyBorder="1" applyAlignment="1">
      <alignment horizontal="left" vertical="center"/>
    </xf>
    <xf numFmtId="0" fontId="0" fillId="12" borderId="16" xfId="0" applyFill="1" applyBorder="1" applyAlignment="1">
      <alignment horizontal="left" vertical="center"/>
    </xf>
    <xf numFmtId="0" fontId="6" fillId="12" borderId="16" xfId="0" applyFont="1" applyFill="1" applyBorder="1" applyAlignment="1" applyProtection="1">
      <alignment vertical="center" wrapText="1"/>
    </xf>
    <xf numFmtId="0" fontId="6" fillId="3" borderId="17" xfId="0" applyFont="1" applyFill="1" applyBorder="1" applyAlignment="1" applyProtection="1">
      <alignment vertical="center" wrapText="1"/>
    </xf>
    <xf numFmtId="0" fontId="6" fillId="3" borderId="18" xfId="0" applyFont="1" applyFill="1" applyBorder="1" applyAlignment="1" applyProtection="1">
      <alignment vertical="center" wrapText="1"/>
    </xf>
    <xf numFmtId="0" fontId="0" fillId="12" borderId="18" xfId="0" applyFill="1" applyBorder="1" applyAlignment="1" applyProtection="1">
      <alignment horizontal="left" vertical="center"/>
    </xf>
    <xf numFmtId="0" fontId="0" fillId="12" borderId="18" xfId="0" applyFill="1" applyBorder="1" applyAlignment="1" applyProtection="1">
      <alignment horizontal="right" vertical="center"/>
    </xf>
    <xf numFmtId="0" fontId="0" fillId="12" borderId="18" xfId="0" applyFill="1" applyBorder="1" applyAlignment="1" applyProtection="1">
      <alignment vertical="center"/>
    </xf>
    <xf numFmtId="0" fontId="0" fillId="12" borderId="9" xfId="0" applyFill="1" applyBorder="1" applyAlignment="1" applyProtection="1">
      <alignment horizontal="right" vertical="center"/>
    </xf>
    <xf numFmtId="0" fontId="0" fillId="12" borderId="0" xfId="0" applyFill="1"/>
    <xf numFmtId="0" fontId="48" fillId="15" borderId="0" xfId="1" applyFont="1" applyFill="1" applyAlignment="1" applyProtection="1">
      <alignment horizontal="right"/>
    </xf>
    <xf numFmtId="0" fontId="48" fillId="17" borderId="0" xfId="1" applyFont="1" applyFill="1" applyAlignment="1" applyProtection="1">
      <alignment horizontal="right"/>
    </xf>
    <xf numFmtId="169" fontId="31" fillId="12" borderId="1" xfId="2" applyNumberFormat="1" applyFont="1" applyFill="1" applyBorder="1" applyAlignment="1" applyProtection="1">
      <alignment horizontal="left"/>
    </xf>
    <xf numFmtId="14" fontId="0" fillId="12" borderId="1" xfId="0" applyNumberFormat="1" applyFill="1" applyBorder="1" applyAlignment="1" applyProtection="1">
      <alignment horizontal="left"/>
    </xf>
    <xf numFmtId="0" fontId="0" fillId="12" borderId="0" xfId="0" applyFill="1" applyAlignment="1" applyProtection="1">
      <alignment horizontal="left" vertical="center"/>
    </xf>
    <xf numFmtId="0" fontId="0" fillId="12" borderId="19" xfId="0" applyFill="1" applyBorder="1" applyAlignment="1" applyProtection="1">
      <alignment horizontal="left" vertical="center"/>
    </xf>
    <xf numFmtId="0" fontId="0" fillId="12" borderId="0" xfId="0" applyFill="1" applyProtection="1"/>
    <xf numFmtId="0" fontId="0" fillId="12" borderId="17" xfId="0" applyFill="1" applyBorder="1" applyAlignment="1" applyProtection="1">
      <alignment horizontal="left" vertical="center"/>
    </xf>
    <xf numFmtId="0" fontId="0" fillId="12" borderId="18" xfId="0" applyFill="1" applyBorder="1" applyProtection="1"/>
    <xf numFmtId="0" fontId="0" fillId="12" borderId="12" xfId="0" applyFill="1" applyBorder="1" applyAlignment="1" applyProtection="1">
      <alignment horizontal="left" vertical="center"/>
    </xf>
    <xf numFmtId="0" fontId="0" fillId="12" borderId="13" xfId="0" applyFill="1" applyBorder="1" applyAlignment="1" applyProtection="1">
      <alignment horizontal="left" vertical="center"/>
    </xf>
    <xf numFmtId="0" fontId="0" fillId="12" borderId="14" xfId="0" applyFill="1" applyBorder="1" applyAlignment="1" applyProtection="1">
      <alignment horizontal="left" vertical="center"/>
    </xf>
    <xf numFmtId="0" fontId="0" fillId="12" borderId="15" xfId="0" applyFill="1" applyBorder="1" applyAlignment="1" applyProtection="1">
      <alignment horizontal="left" vertical="center"/>
    </xf>
    <xf numFmtId="0" fontId="0" fillId="12" borderId="16" xfId="0" applyFill="1" applyBorder="1" applyAlignment="1" applyProtection="1">
      <alignment horizontal="left" vertical="center"/>
    </xf>
    <xf numFmtId="0" fontId="0" fillId="12" borderId="6" xfId="0" applyFill="1" applyBorder="1" applyAlignment="1" applyProtection="1">
      <alignment horizontal="left" vertical="center" wrapText="1"/>
    </xf>
    <xf numFmtId="0" fontId="0" fillId="12" borderId="6" xfId="0" applyFill="1" applyBorder="1" applyAlignment="1" applyProtection="1">
      <alignment horizontal="center" vertical="center" wrapText="1"/>
    </xf>
    <xf numFmtId="0" fontId="0" fillId="12" borderId="6" xfId="0" applyFill="1" applyBorder="1" applyAlignment="1" applyProtection="1">
      <alignment vertical="center" wrapText="1"/>
    </xf>
    <xf numFmtId="0" fontId="0" fillId="12" borderId="6" xfId="0" applyFill="1" applyBorder="1" applyProtection="1"/>
    <xf numFmtId="0" fontId="0" fillId="12" borderId="0" xfId="0" applyFill="1" applyBorder="1" applyAlignment="1" applyProtection="1">
      <alignment horizontal="left" vertical="center" wrapText="1"/>
    </xf>
    <xf numFmtId="0" fontId="0" fillId="12" borderId="0" xfId="0" applyFill="1" applyBorder="1" applyAlignment="1" applyProtection="1">
      <alignment vertical="center" wrapText="1"/>
    </xf>
    <xf numFmtId="0" fontId="0" fillId="12" borderId="0" xfId="0" applyFill="1" applyBorder="1" applyProtection="1"/>
    <xf numFmtId="0" fontId="0" fillId="12" borderId="0" xfId="0" applyFill="1"/>
    <xf numFmtId="0" fontId="0" fillId="12" borderId="0" xfId="0" applyFill="1" applyBorder="1" applyAlignment="1">
      <alignment vertical="center" wrapText="1"/>
    </xf>
    <xf numFmtId="0" fontId="0" fillId="23" borderId="0" xfId="0" applyFill="1" applyBorder="1"/>
    <xf numFmtId="0" fontId="0" fillId="23" borderId="0" xfId="0" applyFill="1" applyBorder="1" applyAlignment="1">
      <alignment horizontal="center" vertical="center" wrapText="1"/>
    </xf>
    <xf numFmtId="0" fontId="0" fillId="23" borderId="0" xfId="0" applyFill="1" applyBorder="1" applyAlignment="1">
      <alignment vertical="center" wrapText="1"/>
    </xf>
    <xf numFmtId="0" fontId="0" fillId="23" borderId="0" xfId="0" applyFill="1"/>
    <xf numFmtId="0" fontId="10" fillId="16" borderId="0" xfId="0" applyFont="1" applyFill="1" applyAlignment="1">
      <alignment horizontal="center" vertical="center"/>
    </xf>
    <xf numFmtId="0" fontId="29" fillId="20" borderId="0" xfId="0" applyFont="1" applyFill="1" applyAlignment="1">
      <alignment horizontal="right" vertical="center"/>
    </xf>
    <xf numFmtId="0" fontId="0" fillId="12" borderId="0" xfId="0" applyFill="1"/>
    <xf numFmtId="0" fontId="35" fillId="9" borderId="0" xfId="0" applyFont="1" applyFill="1" applyBorder="1" applyAlignment="1"/>
    <xf numFmtId="0" fontId="0" fillId="9" borderId="0" xfId="0" applyFill="1" applyBorder="1"/>
    <xf numFmtId="0" fontId="56" fillId="16" borderId="0" xfId="0" applyFont="1" applyFill="1" applyAlignment="1">
      <alignment vertical="center"/>
    </xf>
    <xf numFmtId="0" fontId="1" fillId="16" borderId="0" xfId="0" applyFont="1" applyFill="1" applyAlignment="1">
      <alignment vertical="center"/>
    </xf>
    <xf numFmtId="0" fontId="1" fillId="16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/>
    </xf>
    <xf numFmtId="1" fontId="56" fillId="16" borderId="0" xfId="0" applyNumberFormat="1" applyFont="1" applyFill="1" applyAlignment="1">
      <alignment horizontal="center" vertical="center"/>
    </xf>
    <xf numFmtId="1" fontId="10" fillId="16" borderId="0" xfId="0" applyNumberFormat="1" applyFont="1" applyFill="1" applyAlignment="1">
      <alignment vertical="center"/>
    </xf>
    <xf numFmtId="1" fontId="59" fillId="16" borderId="0" xfId="0" applyNumberFormat="1" applyFont="1" applyFill="1" applyAlignment="1">
      <alignment horizontal="center" vertical="center"/>
    </xf>
    <xf numFmtId="0" fontId="0" fillId="16" borderId="0" xfId="0" applyFill="1"/>
    <xf numFmtId="0" fontId="0" fillId="20" borderId="0" xfId="0" applyFill="1"/>
    <xf numFmtId="0" fontId="62" fillId="12" borderId="0" xfId="0" applyFont="1" applyFill="1" applyProtection="1"/>
    <xf numFmtId="0" fontId="62" fillId="0" borderId="0" xfId="0" applyFont="1" applyProtection="1"/>
    <xf numFmtId="0" fontId="29" fillId="16" borderId="0" xfId="0" applyFont="1" applyFill="1" applyAlignment="1" applyProtection="1">
      <alignment horizontal="right" vertical="center"/>
    </xf>
    <xf numFmtId="14" fontId="17" fillId="16" borderId="0" xfId="0" applyNumberFormat="1" applyFont="1" applyFill="1" applyAlignment="1" applyProtection="1">
      <alignment horizontal="center" vertical="center"/>
    </xf>
    <xf numFmtId="0" fontId="10" fillId="16" borderId="0" xfId="0" applyFont="1" applyFill="1" applyAlignment="1" applyProtection="1">
      <alignment horizontal="center" vertical="center"/>
    </xf>
    <xf numFmtId="0" fontId="10" fillId="16" borderId="0" xfId="0" applyFont="1" applyFill="1" applyAlignment="1" applyProtection="1">
      <alignment vertical="center"/>
    </xf>
    <xf numFmtId="0" fontId="0" fillId="12" borderId="0" xfId="0" applyFill="1" applyBorder="1" applyAlignment="1" applyProtection="1">
      <alignment horizontal="left"/>
    </xf>
    <xf numFmtId="0" fontId="0" fillId="12" borderId="0" xfId="0" applyFill="1"/>
    <xf numFmtId="0" fontId="0" fillId="12" borderId="0" xfId="0" applyFill="1" applyBorder="1" applyAlignment="1">
      <alignment horizontal="left" vertical="center" wrapText="1"/>
    </xf>
    <xf numFmtId="0" fontId="0" fillId="12" borderId="0" xfId="0" applyFill="1" applyBorder="1" applyAlignment="1">
      <alignment horizontal="center" vertical="center" wrapText="1"/>
    </xf>
    <xf numFmtId="0" fontId="63" fillId="20" borderId="0" xfId="0" applyFont="1" applyFill="1"/>
    <xf numFmtId="0" fontId="0" fillId="12" borderId="13" xfId="0" applyFill="1" applyBorder="1" applyAlignment="1">
      <alignment horizontal="center" vertical="center" wrapText="1"/>
    </xf>
    <xf numFmtId="0" fontId="35" fillId="12" borderId="0" xfId="0" applyFont="1" applyFill="1" applyBorder="1" applyAlignment="1">
      <alignment vertical="center" wrapText="1"/>
    </xf>
    <xf numFmtId="0" fontId="0" fillId="12" borderId="15" xfId="0" applyFill="1" applyBorder="1" applyAlignment="1">
      <alignment horizontal="center" vertical="center" wrapText="1"/>
    </xf>
    <xf numFmtId="0" fontId="35" fillId="12" borderId="15" xfId="0" applyFont="1" applyFill="1" applyBorder="1" applyAlignment="1">
      <alignment vertical="center" wrapText="1"/>
    </xf>
    <xf numFmtId="0" fontId="10" fillId="16" borderId="0" xfId="0" applyFont="1" applyFill="1" applyBorder="1" applyAlignment="1">
      <alignment vertical="center"/>
    </xf>
    <xf numFmtId="0" fontId="67" fillId="12" borderId="0" xfId="0" applyFont="1" applyFill="1" applyAlignment="1" applyProtection="1">
      <alignment horizontal="center" vertical="center"/>
      <protection locked="0"/>
    </xf>
    <xf numFmtId="0" fontId="64" fillId="20" borderId="0" xfId="0" applyFont="1" applyFill="1" applyAlignment="1">
      <alignment horizontal="right" vertical="center"/>
    </xf>
    <xf numFmtId="0" fontId="69" fillId="16" borderId="0" xfId="0" applyFont="1" applyFill="1" applyAlignment="1">
      <alignment vertical="center"/>
    </xf>
    <xf numFmtId="0" fontId="69" fillId="16" borderId="0" xfId="0" applyFont="1" applyFill="1" applyAlignment="1" applyProtection="1">
      <alignment vertical="center"/>
    </xf>
    <xf numFmtId="14" fontId="69" fillId="16" borderId="0" xfId="0" applyNumberFormat="1" applyFont="1" applyFill="1" applyAlignment="1">
      <alignment vertical="center"/>
    </xf>
    <xf numFmtId="169" fontId="69" fillId="16" borderId="0" xfId="0" applyNumberFormat="1" applyFont="1" applyFill="1" applyAlignment="1">
      <alignment horizontal="left" vertical="center"/>
    </xf>
    <xf numFmtId="0" fontId="70" fillId="3" borderId="0" xfId="0" applyFont="1" applyFill="1" applyAlignment="1" applyProtection="1">
      <alignment vertical="center"/>
    </xf>
    <xf numFmtId="0" fontId="71" fillId="3" borderId="0" xfId="0" applyFont="1" applyFill="1" applyAlignment="1" applyProtection="1">
      <alignment vertical="center"/>
    </xf>
    <xf numFmtId="0" fontId="70" fillId="0" borderId="0" xfId="0" applyFont="1" applyAlignment="1">
      <alignment vertical="center"/>
    </xf>
    <xf numFmtId="0" fontId="70" fillId="3" borderId="0" xfId="0" applyFont="1" applyFill="1" applyBorder="1" applyAlignment="1" applyProtection="1">
      <alignment vertical="center"/>
    </xf>
    <xf numFmtId="0" fontId="72" fillId="3" borderId="0" xfId="1" applyFont="1" applyFill="1" applyBorder="1" applyAlignment="1" applyProtection="1"/>
    <xf numFmtId="0" fontId="73" fillId="3" borderId="0" xfId="0" applyFont="1" applyFill="1" applyBorder="1" applyAlignment="1" applyProtection="1"/>
    <xf numFmtId="0" fontId="70" fillId="3" borderId="7" xfId="0" applyFont="1" applyFill="1" applyBorder="1" applyAlignment="1" applyProtection="1">
      <alignment vertical="center"/>
    </xf>
    <xf numFmtId="0" fontId="72" fillId="3" borderId="7" xfId="1" applyFont="1" applyFill="1" applyBorder="1" applyAlignment="1" applyProtection="1"/>
    <xf numFmtId="0" fontId="73" fillId="3" borderId="7" xfId="0" applyFont="1" applyFill="1" applyBorder="1" applyAlignment="1" applyProtection="1"/>
    <xf numFmtId="14" fontId="70" fillId="0" borderId="0" xfId="0" applyNumberFormat="1" applyFont="1" applyAlignment="1">
      <alignment vertical="center"/>
    </xf>
    <xf numFmtId="0" fontId="70" fillId="3" borderId="0" xfId="0" applyFont="1" applyFill="1" applyAlignment="1" applyProtection="1">
      <alignment horizontal="right" vertical="center"/>
    </xf>
    <xf numFmtId="0" fontId="74" fillId="3" borderId="0" xfId="0" applyFont="1" applyFill="1" applyAlignment="1" applyProtection="1">
      <alignment vertical="center"/>
    </xf>
    <xf numFmtId="0" fontId="70" fillId="25" borderId="10" xfId="0" applyFont="1" applyFill="1" applyBorder="1" applyAlignment="1">
      <alignment vertical="center"/>
    </xf>
    <xf numFmtId="0" fontId="76" fillId="25" borderId="11" xfId="0" applyFont="1" applyFill="1" applyBorder="1" applyAlignment="1">
      <alignment vertical="center"/>
    </xf>
    <xf numFmtId="14" fontId="70" fillId="25" borderId="11" xfId="0" applyNumberFormat="1" applyFont="1" applyFill="1" applyBorder="1" applyAlignment="1">
      <alignment vertical="center"/>
    </xf>
    <xf numFmtId="0" fontId="70" fillId="25" borderId="26" xfId="0" applyFont="1" applyFill="1" applyBorder="1" applyAlignment="1">
      <alignment vertical="center"/>
    </xf>
    <xf numFmtId="0" fontId="74" fillId="3" borderId="0" xfId="0" applyFont="1" applyFill="1" applyAlignment="1" applyProtection="1">
      <alignment vertical="top"/>
    </xf>
    <xf numFmtId="14" fontId="70" fillId="9" borderId="0" xfId="0" applyNumberFormat="1" applyFont="1" applyFill="1" applyAlignment="1">
      <alignment vertical="center"/>
    </xf>
    <xf numFmtId="14" fontId="70" fillId="24" borderId="0" xfId="0" applyNumberFormat="1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75" fillId="3" borderId="0" xfId="0" applyFont="1" applyFill="1" applyAlignment="1" applyProtection="1">
      <alignment vertical="center"/>
    </xf>
    <xf numFmtId="0" fontId="70" fillId="0" borderId="0" xfId="0" applyFont="1" applyAlignment="1" applyProtection="1">
      <alignment vertical="center"/>
    </xf>
    <xf numFmtId="0" fontId="75" fillId="0" borderId="0" xfId="0" applyFont="1" applyAlignment="1">
      <alignment vertical="center"/>
    </xf>
    <xf numFmtId="0" fontId="70" fillId="9" borderId="0" xfId="0" applyFont="1" applyFill="1" applyAlignment="1">
      <alignment vertical="center"/>
    </xf>
    <xf numFmtId="0" fontId="70" fillId="0" borderId="0" xfId="0" applyFont="1" applyAlignment="1">
      <alignment horizontal="left" vertical="center"/>
    </xf>
    <xf numFmtId="0" fontId="70" fillId="4" borderId="0" xfId="0" applyFont="1" applyFill="1" applyAlignment="1">
      <alignment vertical="center"/>
    </xf>
    <xf numFmtId="0" fontId="70" fillId="4" borderId="0" xfId="0" applyNumberFormat="1" applyFont="1" applyFill="1" applyAlignment="1">
      <alignment vertical="center"/>
    </xf>
    <xf numFmtId="14" fontId="70" fillId="4" borderId="0" xfId="0" applyNumberFormat="1" applyFont="1" applyFill="1" applyAlignment="1">
      <alignment vertical="center"/>
    </xf>
    <xf numFmtId="0" fontId="75" fillId="12" borderId="0" xfId="0" applyFont="1" applyFill="1" applyAlignment="1" applyProtection="1">
      <alignment vertical="center"/>
    </xf>
    <xf numFmtId="0" fontId="75" fillId="3" borderId="0" xfId="0" applyFont="1" applyFill="1" applyAlignment="1" applyProtection="1">
      <alignment horizontal="right" vertical="center"/>
    </xf>
    <xf numFmtId="0" fontId="70" fillId="12" borderId="0" xfId="0" applyFont="1" applyFill="1" applyAlignment="1">
      <alignment vertical="center"/>
    </xf>
    <xf numFmtId="0" fontId="77" fillId="3" borderId="0" xfId="0" applyFont="1" applyFill="1" applyAlignment="1" applyProtection="1">
      <alignment vertical="center"/>
    </xf>
    <xf numFmtId="0" fontId="70" fillId="9" borderId="0" xfId="0" applyFont="1" applyFill="1" applyAlignment="1">
      <alignment horizontal="left" vertical="center"/>
    </xf>
    <xf numFmtId="0" fontId="75" fillId="0" borderId="0" xfId="0" applyFont="1" applyAlignment="1" applyProtection="1">
      <alignment vertical="center"/>
    </xf>
    <xf numFmtId="167" fontId="70" fillId="4" borderId="0" xfId="0" applyNumberFormat="1" applyFont="1" applyFill="1" applyAlignment="1">
      <alignment vertical="center"/>
    </xf>
    <xf numFmtId="0" fontId="75" fillId="3" borderId="0" xfId="0" applyFont="1" applyFill="1" applyAlignment="1" applyProtection="1">
      <alignment horizontal="left" vertical="center"/>
    </xf>
    <xf numFmtId="0" fontId="75" fillId="3" borderId="6" xfId="0" applyFont="1" applyFill="1" applyBorder="1" applyAlignment="1" applyProtection="1">
      <alignment vertical="center"/>
    </xf>
    <xf numFmtId="0" fontId="75" fillId="3" borderId="6" xfId="0" applyFont="1" applyFill="1" applyBorder="1" applyAlignment="1" applyProtection="1">
      <alignment horizontal="left" vertical="center"/>
    </xf>
    <xf numFmtId="168" fontId="70" fillId="9" borderId="0" xfId="3" applyNumberFormat="1" applyFont="1" applyFill="1" applyAlignment="1">
      <alignment vertical="center"/>
    </xf>
    <xf numFmtId="0" fontId="70" fillId="10" borderId="0" xfId="0" applyFont="1" applyFill="1" applyAlignment="1">
      <alignment vertical="center"/>
    </xf>
    <xf numFmtId="0" fontId="75" fillId="3" borderId="0" xfId="0" applyFont="1" applyFill="1" applyBorder="1" applyAlignment="1" applyProtection="1">
      <alignment vertical="center"/>
    </xf>
    <xf numFmtId="0" fontId="70" fillId="0" borderId="0" xfId="0" applyNumberFormat="1" applyFont="1" applyFill="1" applyAlignment="1">
      <alignment vertical="center"/>
    </xf>
    <xf numFmtId="0" fontId="32" fillId="12" borderId="0" xfId="0" applyFont="1" applyFill="1" applyBorder="1" applyAlignment="1" applyProtection="1">
      <alignment vertical="center"/>
    </xf>
    <xf numFmtId="0" fontId="0" fillId="0" borderId="0" xfId="0" applyFont="1" applyAlignment="1">
      <alignment vertical="center" wrapText="1"/>
    </xf>
    <xf numFmtId="0" fontId="0" fillId="5" borderId="0" xfId="0" applyFont="1" applyFill="1" applyAlignment="1">
      <alignment vertical="center" wrapText="1"/>
    </xf>
    <xf numFmtId="0" fontId="70" fillId="5" borderId="0" xfId="0" applyFont="1" applyFill="1" applyAlignment="1">
      <alignment vertical="center"/>
    </xf>
    <xf numFmtId="2" fontId="70" fillId="5" borderId="0" xfId="0" applyNumberFormat="1" applyFont="1" applyFill="1" applyAlignment="1">
      <alignment vertical="center"/>
    </xf>
    <xf numFmtId="165" fontId="32" fillId="12" borderId="0" xfId="2" applyFont="1" applyFill="1" applyBorder="1" applyAlignment="1" applyProtection="1">
      <alignment horizontal="left" vertical="center"/>
    </xf>
    <xf numFmtId="0" fontId="78" fillId="0" borderId="0" xfId="0" applyFont="1" applyAlignment="1" applyProtection="1">
      <alignment vertical="center"/>
    </xf>
    <xf numFmtId="0" fontId="75" fillId="0" borderId="0" xfId="0" applyFont="1" applyAlignment="1" applyProtection="1">
      <alignment horizontal="center" vertical="center"/>
    </xf>
    <xf numFmtId="0" fontId="79" fillId="3" borderId="0" xfId="0" applyFont="1" applyFill="1" applyAlignment="1" applyProtection="1">
      <alignment vertical="center"/>
    </xf>
    <xf numFmtId="0" fontId="78" fillId="3" borderId="0" xfId="0" applyFont="1" applyFill="1" applyBorder="1" applyAlignment="1" applyProtection="1">
      <alignment vertical="center"/>
    </xf>
    <xf numFmtId="0" fontId="75" fillId="3" borderId="0" xfId="0" applyFont="1" applyFill="1" applyAlignment="1">
      <alignment vertical="center"/>
    </xf>
    <xf numFmtId="0" fontId="76" fillId="0" borderId="0" xfId="0" applyFont="1" applyAlignment="1">
      <alignment vertical="center"/>
    </xf>
    <xf numFmtId="165" fontId="76" fillId="0" borderId="0" xfId="2" applyFont="1" applyAlignment="1">
      <alignment vertical="center"/>
    </xf>
    <xf numFmtId="0" fontId="70" fillId="12" borderId="0" xfId="0" applyFont="1" applyFill="1" applyAlignment="1" applyProtection="1">
      <alignment vertical="center"/>
    </xf>
    <xf numFmtId="165" fontId="70" fillId="0" borderId="0" xfId="2" applyFont="1" applyAlignment="1">
      <alignment vertical="center"/>
    </xf>
    <xf numFmtId="10" fontId="70" fillId="0" borderId="0" xfId="0" applyNumberFormat="1" applyFont="1" applyAlignment="1">
      <alignment vertical="center"/>
    </xf>
    <xf numFmtId="165" fontId="70" fillId="0" borderId="0" xfId="0" applyNumberFormat="1" applyFont="1" applyAlignment="1">
      <alignment vertical="center"/>
    </xf>
    <xf numFmtId="0" fontId="75" fillId="12" borderId="0" xfId="0" applyFont="1" applyFill="1" applyBorder="1" applyAlignment="1" applyProtection="1">
      <alignment vertical="center"/>
    </xf>
    <xf numFmtId="9" fontId="70" fillId="0" borderId="0" xfId="0" applyNumberFormat="1" applyFont="1" applyAlignment="1">
      <alignment vertical="center"/>
    </xf>
    <xf numFmtId="0" fontId="70" fillId="3" borderId="0" xfId="0" applyFont="1" applyFill="1" applyAlignment="1">
      <alignment vertical="center"/>
    </xf>
    <xf numFmtId="1" fontId="75" fillId="12" borderId="0" xfId="0" applyNumberFormat="1" applyFont="1" applyFill="1" applyBorder="1" applyAlignment="1" applyProtection="1">
      <alignment vertical="center"/>
    </xf>
    <xf numFmtId="167" fontId="32" fillId="12" borderId="0" xfId="0" applyNumberFormat="1" applyFont="1" applyFill="1" applyBorder="1" applyAlignment="1" applyProtection="1">
      <alignment horizontal="center" vertical="center"/>
    </xf>
    <xf numFmtId="0" fontId="32" fillId="12" borderId="0" xfId="0" applyFont="1" applyFill="1" applyBorder="1" applyAlignment="1" applyProtection="1">
      <alignment horizontal="center" vertical="center"/>
    </xf>
    <xf numFmtId="165" fontId="76" fillId="0" borderId="0" xfId="0" applyNumberFormat="1" applyFont="1" applyAlignment="1">
      <alignment vertical="center"/>
    </xf>
    <xf numFmtId="0" fontId="75" fillId="0" borderId="0" xfId="0" applyFont="1" applyFill="1" applyBorder="1" applyAlignment="1" applyProtection="1">
      <alignment vertical="center"/>
    </xf>
    <xf numFmtId="167" fontId="76" fillId="0" borderId="0" xfId="0" applyNumberFormat="1" applyFont="1" applyAlignment="1">
      <alignment vertical="center"/>
    </xf>
    <xf numFmtId="165" fontId="32" fillId="12" borderId="0" xfId="2" applyFont="1" applyFill="1" applyBorder="1" applyAlignment="1" applyProtection="1">
      <alignment horizontal="center" vertical="center"/>
    </xf>
    <xf numFmtId="0" fontId="81" fillId="12" borderId="0" xfId="0" applyFont="1" applyFill="1" applyAlignment="1" applyProtection="1">
      <alignment vertical="center"/>
    </xf>
    <xf numFmtId="167" fontId="70" fillId="0" borderId="0" xfId="0" applyNumberFormat="1" applyFont="1" applyAlignment="1">
      <alignment vertical="center"/>
    </xf>
    <xf numFmtId="43" fontId="70" fillId="0" borderId="0" xfId="0" applyNumberFormat="1" applyFont="1" applyAlignment="1">
      <alignment vertical="center"/>
    </xf>
    <xf numFmtId="0" fontId="79" fillId="3" borderId="0" xfId="0" applyFont="1" applyFill="1" applyAlignment="1">
      <alignment vertical="center" wrapText="1"/>
    </xf>
    <xf numFmtId="165" fontId="75" fillId="12" borderId="0" xfId="2" applyFont="1" applyFill="1" applyAlignment="1">
      <alignment vertical="center"/>
    </xf>
    <xf numFmtId="0" fontId="79" fillId="12" borderId="0" xfId="0" applyFont="1" applyFill="1" applyAlignment="1">
      <alignment vertical="center" wrapText="1"/>
    </xf>
    <xf numFmtId="0" fontId="74" fillId="3" borderId="8" xfId="0" applyFont="1" applyFill="1" applyBorder="1" applyAlignment="1" applyProtection="1">
      <alignment vertical="center"/>
    </xf>
    <xf numFmtId="0" fontId="75" fillId="3" borderId="9" xfId="0" applyFont="1" applyFill="1" applyBorder="1" applyAlignment="1" applyProtection="1">
      <alignment vertical="center"/>
    </xf>
    <xf numFmtId="165" fontId="74" fillId="3" borderId="0" xfId="2" applyFont="1" applyFill="1" applyBorder="1" applyAlignment="1" applyProtection="1">
      <alignment vertical="center"/>
    </xf>
    <xf numFmtId="0" fontId="79" fillId="12" borderId="0" xfId="0" applyFont="1" applyFill="1" applyAlignment="1" applyProtection="1">
      <alignment vertical="center" wrapText="1"/>
    </xf>
    <xf numFmtId="0" fontId="74" fillId="3" borderId="10" xfId="0" applyFont="1" applyFill="1" applyBorder="1" applyAlignment="1" applyProtection="1">
      <alignment vertical="center"/>
    </xf>
    <xf numFmtId="0" fontId="74" fillId="3" borderId="11" xfId="0" applyFont="1" applyFill="1" applyBorder="1" applyAlignment="1" applyProtection="1">
      <alignment vertical="center"/>
    </xf>
    <xf numFmtId="0" fontId="70" fillId="12" borderId="27" xfId="0" applyFont="1" applyFill="1" applyBorder="1" applyAlignment="1">
      <alignment vertical="center"/>
    </xf>
    <xf numFmtId="0" fontId="70" fillId="12" borderId="28" xfId="0" applyFont="1" applyFill="1" applyBorder="1" applyAlignment="1">
      <alignment vertical="center"/>
    </xf>
    <xf numFmtId="0" fontId="70" fillId="12" borderId="2" xfId="0" applyFont="1" applyFill="1" applyBorder="1" applyAlignment="1">
      <alignment vertical="center"/>
    </xf>
    <xf numFmtId="0" fontId="70" fillId="12" borderId="3" xfId="0" applyFont="1" applyFill="1" applyBorder="1" applyAlignment="1">
      <alignment vertical="center"/>
    </xf>
    <xf numFmtId="1" fontId="70" fillId="12" borderId="0" xfId="0" applyNumberFormat="1" applyFont="1" applyFill="1" applyBorder="1" applyAlignment="1">
      <alignment vertical="center"/>
    </xf>
    <xf numFmtId="2" fontId="70" fillId="12" borderId="0" xfId="0" applyNumberFormat="1" applyFont="1" applyFill="1" applyBorder="1" applyAlignment="1">
      <alignment vertical="center"/>
    </xf>
    <xf numFmtId="0" fontId="70" fillId="12" borderId="4" xfId="0" applyFont="1" applyFill="1" applyBorder="1" applyAlignment="1">
      <alignment vertical="center"/>
    </xf>
    <xf numFmtId="0" fontId="75" fillId="12" borderId="0" xfId="0" applyFont="1" applyFill="1" applyAlignment="1">
      <alignment vertical="center"/>
    </xf>
    <xf numFmtId="0" fontId="70" fillId="12" borderId="0" xfId="0" applyFont="1" applyFill="1" applyBorder="1" applyAlignment="1">
      <alignment vertical="center"/>
    </xf>
    <xf numFmtId="0" fontId="75" fillId="0" borderId="0" xfId="0" applyFont="1" applyAlignment="1">
      <alignment horizontal="center" vertical="center"/>
    </xf>
    <xf numFmtId="0" fontId="75" fillId="0" borderId="0" xfId="0" applyFont="1" applyAlignment="1">
      <alignment horizontal="right" vertical="center"/>
    </xf>
    <xf numFmtId="0" fontId="70" fillId="12" borderId="29" xfId="0" applyFont="1" applyFill="1" applyBorder="1" applyAlignment="1">
      <alignment vertical="center"/>
    </xf>
    <xf numFmtId="170" fontId="70" fillId="12" borderId="7" xfId="0" applyNumberFormat="1" applyFont="1" applyFill="1" applyBorder="1" applyAlignment="1">
      <alignment vertical="center"/>
    </xf>
    <xf numFmtId="1" fontId="70" fillId="12" borderId="7" xfId="0" applyNumberFormat="1" applyFont="1" applyFill="1" applyBorder="1" applyAlignment="1">
      <alignment vertical="center"/>
    </xf>
    <xf numFmtId="1" fontId="70" fillId="12" borderId="5" xfId="0" applyNumberFormat="1" applyFont="1" applyFill="1" applyBorder="1" applyAlignment="1">
      <alignment vertical="center"/>
    </xf>
    <xf numFmtId="0" fontId="74" fillId="0" borderId="0" xfId="0" applyFont="1" applyAlignment="1">
      <alignment horizontal="right" vertical="center"/>
    </xf>
    <xf numFmtId="165" fontId="74" fillId="0" borderId="0" xfId="2" applyFont="1" applyAlignment="1">
      <alignment horizontal="center" vertical="center"/>
    </xf>
    <xf numFmtId="0" fontId="70" fillId="3" borderId="6" xfId="0" applyFont="1" applyFill="1" applyBorder="1" applyAlignment="1">
      <alignment vertical="center"/>
    </xf>
    <xf numFmtId="0" fontId="70" fillId="0" borderId="6" xfId="0" applyFont="1" applyBorder="1" applyAlignment="1">
      <alignment vertical="center"/>
    </xf>
    <xf numFmtId="0" fontId="75" fillId="12" borderId="0" xfId="0" applyFont="1" applyFill="1" applyAlignment="1" applyProtection="1">
      <alignment horizontal="right" vertical="center"/>
    </xf>
    <xf numFmtId="0" fontId="0" fillId="12" borderId="0" xfId="0" applyFill="1"/>
    <xf numFmtId="165" fontId="31" fillId="12" borderId="0" xfId="2" applyFont="1" applyFill="1" applyBorder="1" applyAlignment="1">
      <alignment horizontal="center"/>
    </xf>
    <xf numFmtId="0" fontId="84" fillId="0" borderId="0" xfId="0" applyFont="1" applyAlignment="1">
      <alignment vertical="center"/>
    </xf>
    <xf numFmtId="165" fontId="31" fillId="12" borderId="18" xfId="2" applyFont="1" applyFill="1" applyBorder="1" applyAlignment="1">
      <alignment horizontal="center"/>
    </xf>
    <xf numFmtId="0" fontId="70" fillId="0" borderId="40" xfId="0" applyFont="1" applyBorder="1" applyAlignment="1">
      <alignment vertical="center"/>
    </xf>
    <xf numFmtId="0" fontId="70" fillId="0" borderId="24" xfId="0" applyFont="1" applyBorder="1" applyAlignment="1">
      <alignment vertical="center"/>
    </xf>
    <xf numFmtId="0" fontId="70" fillId="0" borderId="41" xfId="0" applyFont="1" applyBorder="1" applyAlignment="1">
      <alignment vertical="center"/>
    </xf>
    <xf numFmtId="165" fontId="70" fillId="0" borderId="21" xfId="2" applyFont="1" applyBorder="1" applyAlignment="1">
      <alignment vertical="center"/>
    </xf>
    <xf numFmtId="0" fontId="70" fillId="0" borderId="0" xfId="0" applyFont="1" applyBorder="1" applyAlignment="1">
      <alignment vertical="center"/>
    </xf>
    <xf numFmtId="0" fontId="70" fillId="0" borderId="20" xfId="0" applyFont="1" applyBorder="1" applyAlignment="1">
      <alignment vertical="center"/>
    </xf>
    <xf numFmtId="0" fontId="70" fillId="0" borderId="42" xfId="0" applyFont="1" applyBorder="1" applyAlignment="1">
      <alignment vertical="center"/>
    </xf>
    <xf numFmtId="0" fontId="70" fillId="0" borderId="43" xfId="0" applyFont="1" applyBorder="1" applyAlignment="1">
      <alignment vertical="center"/>
    </xf>
    <xf numFmtId="0" fontId="10" fillId="16" borderId="6" xfId="0" applyFont="1" applyFill="1" applyBorder="1" applyAlignment="1">
      <alignment horizontal="center" vertical="center"/>
    </xf>
    <xf numFmtId="0" fontId="70" fillId="27" borderId="0" xfId="0" applyFont="1" applyFill="1" applyAlignment="1">
      <alignment vertical="center"/>
    </xf>
    <xf numFmtId="14" fontId="70" fillId="27" borderId="0" xfId="0" applyNumberFormat="1" applyFont="1" applyFill="1" applyAlignment="1">
      <alignment vertical="center"/>
    </xf>
    <xf numFmtId="0" fontId="56" fillId="28" borderId="0" xfId="0" applyFont="1" applyFill="1" applyAlignment="1">
      <alignment vertical="center"/>
    </xf>
    <xf numFmtId="0" fontId="58" fillId="28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left" vertical="center"/>
    </xf>
    <xf numFmtId="0" fontId="10" fillId="28" borderId="0" xfId="0" applyFont="1" applyFill="1" applyAlignment="1">
      <alignment vertical="center"/>
    </xf>
    <xf numFmtId="0" fontId="70" fillId="27" borderId="40" xfId="0" applyFont="1" applyFill="1" applyBorder="1" applyAlignment="1">
      <alignment vertical="center"/>
    </xf>
    <xf numFmtId="0" fontId="70" fillId="27" borderId="24" xfId="0" applyFont="1" applyFill="1" applyBorder="1" applyAlignment="1">
      <alignment vertical="center"/>
    </xf>
    <xf numFmtId="0" fontId="70" fillId="27" borderId="41" xfId="0" applyFont="1" applyFill="1" applyBorder="1" applyAlignment="1">
      <alignment vertical="center"/>
    </xf>
    <xf numFmtId="0" fontId="70" fillId="27" borderId="21" xfId="0" applyFont="1" applyFill="1" applyBorder="1" applyAlignment="1">
      <alignment vertical="center"/>
    </xf>
    <xf numFmtId="0" fontId="70" fillId="27" borderId="0" xfId="0" applyFont="1" applyFill="1" applyBorder="1" applyAlignment="1">
      <alignment vertical="center"/>
    </xf>
    <xf numFmtId="0" fontId="70" fillId="27" borderId="20" xfId="0" applyFont="1" applyFill="1" applyBorder="1" applyAlignment="1">
      <alignment vertical="center"/>
    </xf>
    <xf numFmtId="0" fontId="70" fillId="27" borderId="42" xfId="0" applyFont="1" applyFill="1" applyBorder="1" applyAlignment="1">
      <alignment vertical="center"/>
    </xf>
    <xf numFmtId="0" fontId="70" fillId="27" borderId="43" xfId="0" applyFont="1" applyFill="1" applyBorder="1" applyAlignment="1">
      <alignment vertical="center"/>
    </xf>
    <xf numFmtId="165" fontId="70" fillId="27" borderId="0" xfId="0" applyNumberFormat="1" applyFont="1" applyFill="1" applyBorder="1" applyAlignment="1">
      <alignment vertical="center"/>
    </xf>
    <xf numFmtId="165" fontId="70" fillId="27" borderId="6" xfId="2" applyFont="1" applyFill="1" applyBorder="1" applyAlignment="1">
      <alignment vertical="center"/>
    </xf>
    <xf numFmtId="0" fontId="70" fillId="27" borderId="6" xfId="0" applyFont="1" applyFill="1" applyBorder="1" applyAlignment="1">
      <alignment vertical="center"/>
    </xf>
    <xf numFmtId="0" fontId="70" fillId="29" borderId="44" xfId="0" applyFont="1" applyFill="1" applyBorder="1" applyAlignment="1">
      <alignment vertical="center"/>
    </xf>
    <xf numFmtId="0" fontId="70" fillId="29" borderId="45" xfId="0" applyFont="1" applyFill="1" applyBorder="1" applyAlignment="1">
      <alignment vertical="center"/>
    </xf>
    <xf numFmtId="0" fontId="70" fillId="29" borderId="46" xfId="0" applyFont="1" applyFill="1" applyBorder="1" applyAlignment="1">
      <alignment vertical="center"/>
    </xf>
    <xf numFmtId="0" fontId="10" fillId="16" borderId="0" xfId="0" applyFont="1" applyFill="1" applyBorder="1" applyAlignment="1">
      <alignment horizontal="center" vertical="center"/>
    </xf>
    <xf numFmtId="0" fontId="10" fillId="28" borderId="0" xfId="0" applyFont="1" applyFill="1" applyBorder="1" applyAlignment="1">
      <alignment horizontal="center" vertical="center"/>
    </xf>
    <xf numFmtId="0" fontId="10" fillId="28" borderId="0" xfId="0" applyFont="1" applyFill="1" applyBorder="1" applyAlignment="1">
      <alignment vertical="center"/>
    </xf>
    <xf numFmtId="165" fontId="44" fillId="12" borderId="0" xfId="2" applyFont="1" applyFill="1" applyBorder="1" applyAlignment="1" applyProtection="1">
      <alignment horizontal="center" vertical="center"/>
    </xf>
    <xf numFmtId="0" fontId="4" fillId="27" borderId="8" xfId="0" applyFont="1" applyFill="1" applyBorder="1" applyAlignment="1">
      <alignment vertical="center"/>
    </xf>
    <xf numFmtId="0" fontId="4" fillId="27" borderId="25" xfId="0" applyFont="1" applyFill="1" applyBorder="1" applyAlignment="1">
      <alignment vertical="center"/>
    </xf>
    <xf numFmtId="0" fontId="4" fillId="27" borderId="9" xfId="0" applyFont="1" applyFill="1" applyBorder="1" applyAlignment="1">
      <alignment vertical="center"/>
    </xf>
    <xf numFmtId="0" fontId="4" fillId="27" borderId="40" xfId="0" applyFont="1" applyFill="1" applyBorder="1" applyAlignment="1">
      <alignment vertical="center"/>
    </xf>
    <xf numFmtId="0" fontId="4" fillId="27" borderId="24" xfId="0" applyFont="1" applyFill="1" applyBorder="1" applyAlignment="1">
      <alignment vertical="center"/>
    </xf>
    <xf numFmtId="0" fontId="4" fillId="27" borderId="41" xfId="0" applyFont="1" applyFill="1" applyBorder="1" applyAlignment="1">
      <alignment vertical="center"/>
    </xf>
    <xf numFmtId="0" fontId="4" fillId="27" borderId="42" xfId="0" applyFont="1" applyFill="1" applyBorder="1" applyAlignment="1">
      <alignment vertical="center"/>
    </xf>
    <xf numFmtId="168" fontId="4" fillId="27" borderId="6" xfId="3" applyNumberFormat="1" applyFont="1" applyFill="1" applyBorder="1" applyAlignment="1">
      <alignment vertical="center"/>
    </xf>
    <xf numFmtId="0" fontId="4" fillId="27" borderId="6" xfId="0" applyFont="1" applyFill="1" applyBorder="1" applyAlignment="1">
      <alignment vertical="center"/>
    </xf>
    <xf numFmtId="0" fontId="4" fillId="27" borderId="43" xfId="0" applyFont="1" applyFill="1" applyBorder="1" applyAlignment="1">
      <alignment vertical="center"/>
    </xf>
    <xf numFmtId="14" fontId="4" fillId="27" borderId="41" xfId="0" applyNumberFormat="1" applyFont="1" applyFill="1" applyBorder="1" applyAlignment="1">
      <alignment vertical="center"/>
    </xf>
    <xf numFmtId="0" fontId="3" fillId="3" borderId="0" xfId="0" applyFont="1" applyFill="1" applyBorder="1" applyAlignment="1" applyProtection="1">
      <alignment vertical="center"/>
    </xf>
    <xf numFmtId="167" fontId="3" fillId="12" borderId="0" xfId="0" applyNumberFormat="1" applyFont="1" applyFill="1" applyBorder="1" applyAlignment="1" applyProtection="1">
      <alignment horizontal="center" vertical="center"/>
    </xf>
    <xf numFmtId="0" fontId="10" fillId="16" borderId="0" xfId="0" applyFont="1" applyFill="1" applyAlignment="1">
      <alignment horizontal="center" vertical="center"/>
    </xf>
    <xf numFmtId="0" fontId="4" fillId="0" borderId="8" xfId="0" applyFont="1" applyBorder="1" applyAlignment="1">
      <alignment vertical="center"/>
    </xf>
    <xf numFmtId="14" fontId="4" fillId="0" borderId="25" xfId="0" applyNumberFormat="1" applyFont="1" applyBorder="1" applyAlignment="1">
      <alignment vertical="center"/>
    </xf>
    <xf numFmtId="0" fontId="1" fillId="12" borderId="11" xfId="0" applyFont="1" applyFill="1" applyBorder="1" applyAlignment="1" applyProtection="1">
      <alignment vertical="center"/>
    </xf>
    <xf numFmtId="0" fontId="45" fillId="12" borderId="11" xfId="0" applyFont="1" applyFill="1" applyBorder="1" applyAlignment="1" applyProtection="1">
      <alignment vertical="center"/>
    </xf>
    <xf numFmtId="0" fontId="46" fillId="12" borderId="11" xfId="0" applyFont="1" applyFill="1" applyBorder="1" applyAlignment="1" applyProtection="1">
      <alignment vertical="center"/>
    </xf>
    <xf numFmtId="0" fontId="4" fillId="0" borderId="11" xfId="0" applyFont="1" applyBorder="1" applyAlignment="1">
      <alignment vertical="center"/>
    </xf>
    <xf numFmtId="0" fontId="3" fillId="3" borderId="3" xfId="0" applyFont="1" applyFill="1" applyBorder="1" applyAlignment="1" applyProtection="1">
      <alignment vertical="center"/>
    </xf>
    <xf numFmtId="0" fontId="4" fillId="12" borderId="11" xfId="0" applyFont="1" applyFill="1" applyBorder="1" applyAlignment="1" applyProtection="1">
      <alignment vertical="center"/>
    </xf>
    <xf numFmtId="0" fontId="0" fillId="15" borderId="0" xfId="0" applyFill="1" applyBorder="1"/>
    <xf numFmtId="0" fontId="70" fillId="9" borderId="8" xfId="0" applyFont="1" applyFill="1" applyBorder="1" applyAlignment="1">
      <alignment vertical="center"/>
    </xf>
    <xf numFmtId="0" fontId="70" fillId="27" borderId="8" xfId="0" applyFont="1" applyFill="1" applyBorder="1" applyAlignment="1">
      <alignment vertical="center"/>
    </xf>
    <xf numFmtId="14" fontId="70" fillId="27" borderId="25" xfId="0" applyNumberFormat="1" applyFont="1" applyFill="1" applyBorder="1" applyAlignment="1">
      <alignment vertical="center"/>
    </xf>
    <xf numFmtId="10" fontId="0" fillId="12" borderId="0" xfId="0" applyNumberFormat="1" applyFill="1" applyBorder="1" applyAlignment="1" applyProtection="1">
      <alignment horizontal="center"/>
    </xf>
    <xf numFmtId="0" fontId="0" fillId="12" borderId="16" xfId="0" applyFill="1" applyBorder="1" applyProtection="1"/>
    <xf numFmtId="165" fontId="31" fillId="12" borderId="0" xfId="2" applyFont="1" applyFill="1" applyBorder="1" applyAlignment="1" applyProtection="1">
      <alignment horizontal="center"/>
    </xf>
    <xf numFmtId="9" fontId="0" fillId="12" borderId="0" xfId="0" applyNumberFormat="1" applyFill="1" applyBorder="1" applyAlignment="1" applyProtection="1">
      <alignment horizontal="center"/>
    </xf>
    <xf numFmtId="165" fontId="31" fillId="12" borderId="18" xfId="2" applyFont="1" applyFill="1" applyBorder="1" applyAlignment="1" applyProtection="1">
      <alignment horizontal="center"/>
    </xf>
    <xf numFmtId="165" fontId="32" fillId="12" borderId="0" xfId="2" applyFont="1" applyFill="1" applyBorder="1" applyAlignment="1" applyProtection="1">
      <alignment horizontal="center" vertical="center"/>
    </xf>
    <xf numFmtId="165" fontId="32" fillId="12" borderId="0" xfId="2" applyFont="1" applyFill="1" applyAlignment="1" applyProtection="1">
      <alignment horizontal="left" vertical="center"/>
    </xf>
    <xf numFmtId="165" fontId="32" fillId="12" borderId="0" xfId="2" applyFont="1" applyFill="1" applyBorder="1" applyAlignment="1" applyProtection="1">
      <alignment horizontal="left" vertical="center"/>
    </xf>
    <xf numFmtId="0" fontId="74" fillId="3" borderId="0" xfId="0" applyFont="1" applyFill="1" applyBorder="1" applyAlignment="1" applyProtection="1">
      <alignment horizontal="center" vertical="center"/>
    </xf>
    <xf numFmtId="0" fontId="75" fillId="12" borderId="0" xfId="0" applyFont="1" applyFill="1" applyAlignment="1" applyProtection="1">
      <alignment horizontal="right" vertical="center"/>
    </xf>
    <xf numFmtId="0" fontId="71" fillId="3" borderId="0" xfId="0" applyFont="1" applyFill="1" applyAlignment="1" applyProtection="1">
      <alignment horizontal="center" vertical="center"/>
    </xf>
    <xf numFmtId="0" fontId="75" fillId="3" borderId="0" xfId="0" applyFont="1" applyFill="1" applyAlignment="1" applyProtection="1">
      <alignment horizontal="left" vertical="center"/>
    </xf>
    <xf numFmtId="0" fontId="75" fillId="3" borderId="0" xfId="0" applyFont="1" applyFill="1" applyAlignment="1" applyProtection="1">
      <alignment horizontal="left" vertical="top"/>
    </xf>
    <xf numFmtId="0" fontId="78" fillId="3" borderId="0" xfId="0" applyFont="1" applyFill="1" applyAlignment="1" applyProtection="1">
      <alignment horizontal="center" vertical="center"/>
    </xf>
    <xf numFmtId="165" fontId="75" fillId="0" borderId="0" xfId="2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165" fontId="74" fillId="0" borderId="0" xfId="2" applyFont="1" applyAlignment="1">
      <alignment horizontal="center" vertical="center"/>
    </xf>
    <xf numFmtId="0" fontId="79" fillId="3" borderId="0" xfId="0" applyFont="1" applyFill="1" applyAlignment="1" applyProtection="1">
      <alignment horizontal="center" vertical="center" wrapText="1"/>
    </xf>
    <xf numFmtId="0" fontId="6" fillId="16" borderId="0" xfId="0" applyFont="1" applyFill="1" applyBorder="1" applyAlignment="1">
      <alignment horizontal="left" vertical="center"/>
    </xf>
    <xf numFmtId="0" fontId="10" fillId="19" borderId="0" xfId="0" applyFont="1" applyFill="1" applyBorder="1" applyAlignment="1">
      <alignment horizontal="center" vertical="center"/>
    </xf>
    <xf numFmtId="169" fontId="67" fillId="10" borderId="0" xfId="0" applyNumberFormat="1" applyFont="1" applyFill="1" applyBorder="1" applyAlignment="1" applyProtection="1">
      <alignment vertical="center"/>
      <protection locked="0"/>
    </xf>
    <xf numFmtId="165" fontId="66" fillId="19" borderId="47" xfId="2" applyFont="1" applyFill="1" applyBorder="1" applyAlignment="1" applyProtection="1">
      <alignment vertical="center"/>
      <protection locked="0"/>
    </xf>
    <xf numFmtId="0" fontId="10" fillId="19" borderId="0" xfId="0" applyFont="1" applyFill="1" applyBorder="1" applyAlignment="1">
      <alignment vertical="center"/>
    </xf>
    <xf numFmtId="0" fontId="1" fillId="19" borderId="0" xfId="0" applyFont="1" applyFill="1" applyBorder="1" applyAlignment="1">
      <alignment horizontal="right" vertical="center"/>
    </xf>
    <xf numFmtId="0" fontId="64" fillId="16" borderId="0" xfId="0" applyFont="1" applyFill="1" applyBorder="1" applyAlignment="1">
      <alignment vertical="center"/>
    </xf>
    <xf numFmtId="14" fontId="75" fillId="12" borderId="0" xfId="0" applyNumberFormat="1" applyFont="1" applyFill="1" applyAlignment="1" applyProtection="1">
      <alignment horizontal="center" vertical="center"/>
    </xf>
    <xf numFmtId="0" fontId="0" fillId="13" borderId="0" xfId="0" applyFill="1" applyAlignment="1" applyProtection="1">
      <alignment horizontal="left" vertical="center"/>
    </xf>
    <xf numFmtId="0" fontId="74" fillId="12" borderId="0" xfId="0" applyFont="1" applyFill="1" applyBorder="1" applyAlignment="1" applyProtection="1">
      <alignment horizontal="center" vertical="center"/>
    </xf>
    <xf numFmtId="0" fontId="83" fillId="12" borderId="0" xfId="0" applyFont="1" applyFill="1" applyBorder="1" applyAlignment="1">
      <alignment horizontal="center" vertical="center" wrapText="1"/>
    </xf>
    <xf numFmtId="164" fontId="83" fillId="12" borderId="0" xfId="0" applyNumberFormat="1" applyFont="1" applyFill="1" applyBorder="1" applyAlignment="1">
      <alignment horizontal="center" vertical="center" wrapText="1"/>
    </xf>
    <xf numFmtId="0" fontId="76" fillId="12" borderId="0" xfId="0" applyFont="1" applyFill="1" applyAlignment="1">
      <alignment vertical="center"/>
    </xf>
    <xf numFmtId="0" fontId="74" fillId="3" borderId="0" xfId="0" applyFont="1" applyFill="1" applyBorder="1" applyAlignment="1" applyProtection="1">
      <alignment horizontal="center" vertical="center"/>
    </xf>
    <xf numFmtId="0" fontId="76" fillId="3" borderId="0" xfId="0" applyFont="1" applyFill="1" applyAlignment="1" applyProtection="1">
      <alignment horizontal="center" vertical="center"/>
    </xf>
    <xf numFmtId="165" fontId="85" fillId="12" borderId="48" xfId="2" applyFont="1" applyFill="1" applyBorder="1" applyAlignment="1" applyProtection="1">
      <alignment horizontal="center" vertical="center"/>
      <protection locked="0"/>
    </xf>
    <xf numFmtId="0" fontId="0" fillId="12" borderId="0" xfId="0" applyFill="1"/>
    <xf numFmtId="0" fontId="0" fillId="12" borderId="0" xfId="0" applyFill="1" applyBorder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12" borderId="3" xfId="0" applyFill="1" applyBorder="1" applyAlignment="1">
      <alignment horizontal="left" vertical="center"/>
    </xf>
    <xf numFmtId="0" fontId="0" fillId="12" borderId="0" xfId="0" applyFill="1" applyBorder="1" applyAlignment="1"/>
    <xf numFmtId="0" fontId="32" fillId="12" borderId="0" xfId="0" applyFont="1" applyFill="1"/>
    <xf numFmtId="0" fontId="35" fillId="12" borderId="0" xfId="0" applyFont="1" applyFill="1" applyBorder="1" applyAlignment="1">
      <alignment horizontal="center" vertical="center" wrapText="1"/>
    </xf>
    <xf numFmtId="0" fontId="0" fillId="13" borderId="0" xfId="0" applyFill="1"/>
    <xf numFmtId="0" fontId="0" fillId="13" borderId="0" xfId="0" applyFill="1" applyAlignment="1">
      <alignment horizontal="left" vertical="center"/>
    </xf>
    <xf numFmtId="0" fontId="0" fillId="13" borderId="0" xfId="0" applyFill="1" applyProtection="1"/>
    <xf numFmtId="1" fontId="70" fillId="31" borderId="0" xfId="0" applyNumberFormat="1" applyFont="1" applyFill="1" applyAlignment="1">
      <alignment vertical="center"/>
    </xf>
    <xf numFmtId="1" fontId="70" fillId="32" borderId="0" xfId="0" applyNumberFormat="1" applyFont="1" applyFill="1" applyAlignment="1">
      <alignment vertical="center"/>
    </xf>
    <xf numFmtId="0" fontId="70" fillId="24" borderId="0" xfId="0" applyFont="1" applyFill="1" applyAlignment="1">
      <alignment vertical="center"/>
    </xf>
    <xf numFmtId="0" fontId="70" fillId="31" borderId="0" xfId="0" applyFont="1" applyFill="1" applyAlignment="1">
      <alignment vertical="center"/>
    </xf>
    <xf numFmtId="0" fontId="0" fillId="12" borderId="27" xfId="0" applyFill="1" applyBorder="1" applyAlignment="1">
      <alignment horizontal="left" vertical="center"/>
    </xf>
    <xf numFmtId="0" fontId="0" fillId="12" borderId="28" xfId="0" applyFill="1" applyBorder="1" applyAlignment="1">
      <alignment horizontal="left" vertical="center"/>
    </xf>
    <xf numFmtId="0" fontId="0" fillId="12" borderId="2" xfId="0" applyFill="1" applyBorder="1" applyAlignment="1">
      <alignment horizontal="left" vertical="center"/>
    </xf>
    <xf numFmtId="0" fontId="0" fillId="12" borderId="4" xfId="0" applyFill="1" applyBorder="1" applyAlignment="1">
      <alignment horizontal="left" vertical="center"/>
    </xf>
    <xf numFmtId="0" fontId="0" fillId="12" borderId="3" xfId="0" applyFill="1" applyBorder="1" applyAlignment="1">
      <alignment horizontal="center" vertical="center"/>
    </xf>
    <xf numFmtId="0" fontId="0" fillId="12" borderId="29" xfId="0" applyFill="1" applyBorder="1" applyAlignment="1">
      <alignment horizontal="left" vertical="center"/>
    </xf>
    <xf numFmtId="0" fontId="0" fillId="12" borderId="7" xfId="0" applyFill="1" applyBorder="1" applyAlignment="1">
      <alignment horizontal="left" vertical="center"/>
    </xf>
    <xf numFmtId="0" fontId="0" fillId="12" borderId="5" xfId="0" applyFill="1" applyBorder="1" applyAlignment="1">
      <alignment horizontal="left" vertical="center"/>
    </xf>
    <xf numFmtId="165" fontId="70" fillId="9" borderId="25" xfId="2" applyFont="1" applyFill="1" applyBorder="1" applyAlignment="1">
      <alignment vertical="center"/>
    </xf>
    <xf numFmtId="0" fontId="50" fillId="17" borderId="0" xfId="0" applyFont="1" applyFill="1" applyAlignment="1" applyProtection="1">
      <alignment horizontal="right" vertical="center"/>
    </xf>
    <xf numFmtId="165" fontId="44" fillId="12" borderId="0" xfId="2" applyFont="1" applyFill="1" applyBorder="1" applyAlignment="1" applyProtection="1">
      <alignment horizontal="center" vertical="center"/>
    </xf>
    <xf numFmtId="165" fontId="44" fillId="12" borderId="0" xfId="2" applyFont="1" applyFill="1" applyBorder="1" applyAlignment="1" applyProtection="1">
      <alignment horizontal="left" vertical="center"/>
    </xf>
    <xf numFmtId="1" fontId="4" fillId="3" borderId="0" xfId="0" applyNumberFormat="1" applyFont="1" applyFill="1" applyAlignment="1" applyProtection="1">
      <alignment vertical="center"/>
    </xf>
    <xf numFmtId="14" fontId="4" fillId="27" borderId="42" xfId="0" applyNumberFormat="1" applyFont="1" applyFill="1" applyBorder="1" applyAlignment="1">
      <alignment vertical="center"/>
    </xf>
    <xf numFmtId="1" fontId="4" fillId="27" borderId="43" xfId="0" applyNumberFormat="1" applyFont="1" applyFill="1" applyBorder="1" applyAlignment="1">
      <alignment vertical="center"/>
    </xf>
    <xf numFmtId="167" fontId="17" fillId="3" borderId="0" xfId="0" applyNumberFormat="1" applyFont="1" applyFill="1" applyAlignment="1" applyProtection="1">
      <alignment vertical="center"/>
      <protection locked="0"/>
    </xf>
    <xf numFmtId="165" fontId="17" fillId="3" borderId="0" xfId="2" applyFont="1" applyFill="1" applyAlignment="1" applyProtection="1">
      <alignment vertical="center"/>
      <protection locked="0"/>
    </xf>
    <xf numFmtId="0" fontId="70" fillId="22" borderId="10" xfId="0" applyFont="1" applyFill="1" applyBorder="1" applyAlignment="1">
      <alignment vertical="center"/>
    </xf>
    <xf numFmtId="0" fontId="70" fillId="22" borderId="11" xfId="0" applyNumberFormat="1" applyFont="1" applyFill="1" applyBorder="1" applyAlignment="1">
      <alignment vertical="center"/>
    </xf>
    <xf numFmtId="0" fontId="70" fillId="22" borderId="26" xfId="0" applyFont="1" applyFill="1" applyBorder="1" applyAlignment="1">
      <alignment vertical="center"/>
    </xf>
    <xf numFmtId="0" fontId="70" fillId="22" borderId="11" xfId="0" applyFont="1" applyFill="1" applyBorder="1" applyAlignment="1">
      <alignment vertical="center"/>
    </xf>
    <xf numFmtId="168" fontId="70" fillId="0" borderId="0" xfId="3" applyNumberFormat="1" applyFont="1" applyAlignment="1">
      <alignment vertical="center"/>
    </xf>
    <xf numFmtId="171" fontId="70" fillId="9" borderId="0" xfId="3" applyNumberFormat="1" applyFont="1" applyFill="1" applyAlignment="1">
      <alignment vertical="center"/>
    </xf>
    <xf numFmtId="0" fontId="60" fillId="7" borderId="0" xfId="0" applyFont="1" applyFill="1" applyAlignment="1">
      <alignment horizontal="center" vertical="center"/>
    </xf>
    <xf numFmtId="0" fontId="48" fillId="15" borderId="0" xfId="1" applyFont="1" applyFill="1" applyAlignment="1" applyProtection="1">
      <alignment horizontal="right"/>
    </xf>
    <xf numFmtId="0" fontId="48" fillId="15" borderId="0" xfId="1" applyFont="1" applyFill="1" applyAlignment="1" applyProtection="1">
      <alignment horizontal="left"/>
    </xf>
    <xf numFmtId="0" fontId="0" fillId="19" borderId="0" xfId="0" applyFill="1" applyAlignment="1">
      <alignment horizontal="center"/>
    </xf>
    <xf numFmtId="0" fontId="48" fillId="17" borderId="0" xfId="1" applyFont="1" applyFill="1" applyAlignment="1" applyProtection="1">
      <alignment horizontal="left"/>
    </xf>
    <xf numFmtId="0" fontId="48" fillId="17" borderId="0" xfId="1" applyFont="1" applyFill="1" applyAlignment="1" applyProtection="1">
      <alignment horizontal="right"/>
    </xf>
    <xf numFmtId="0" fontId="35" fillId="12" borderId="0" xfId="0" applyFont="1" applyFill="1" applyAlignment="1">
      <alignment horizontal="center"/>
    </xf>
    <xf numFmtId="0" fontId="10" fillId="16" borderId="0" xfId="0" applyFont="1" applyFill="1" applyAlignment="1">
      <alignment horizontal="center" vertical="center"/>
    </xf>
    <xf numFmtId="0" fontId="64" fillId="20" borderId="0" xfId="0" applyFont="1" applyFill="1" applyAlignment="1">
      <alignment horizontal="right" vertical="center"/>
    </xf>
    <xf numFmtId="14" fontId="68" fillId="3" borderId="0" xfId="0" applyNumberFormat="1" applyFont="1" applyFill="1" applyAlignment="1" applyProtection="1">
      <alignment horizontal="center" vertical="center"/>
      <protection locked="0"/>
    </xf>
    <xf numFmtId="0" fontId="20" fillId="3" borderId="0" xfId="0" applyFont="1" applyFill="1" applyAlignment="1">
      <alignment horizontal="left" vertical="center"/>
    </xf>
    <xf numFmtId="0" fontId="3" fillId="0" borderId="0" xfId="0" applyFont="1" applyAlignment="1">
      <alignment horizontal="center"/>
    </xf>
    <xf numFmtId="0" fontId="68" fillId="3" borderId="0" xfId="0" applyFont="1" applyFill="1" applyAlignment="1" applyProtection="1">
      <alignment horizontal="center" vertical="center"/>
      <protection locked="0"/>
    </xf>
    <xf numFmtId="0" fontId="56" fillId="16" borderId="0" xfId="0" applyFont="1" applyFill="1" applyAlignment="1">
      <alignment horizontal="center" vertical="center"/>
    </xf>
    <xf numFmtId="167" fontId="68" fillId="3" borderId="0" xfId="0" applyNumberFormat="1" applyFont="1" applyFill="1" applyAlignment="1" applyProtection="1">
      <alignment horizontal="center" vertical="center"/>
      <protection locked="0"/>
    </xf>
    <xf numFmtId="0" fontId="10" fillId="16" borderId="0" xfId="0" applyFont="1" applyFill="1" applyBorder="1" applyAlignment="1">
      <alignment horizontal="center" vertical="center"/>
    </xf>
    <xf numFmtId="0" fontId="67" fillId="12" borderId="0" xfId="0" applyFont="1" applyFill="1" applyAlignment="1" applyProtection="1">
      <alignment horizontal="left" vertical="center"/>
      <protection locked="0"/>
    </xf>
    <xf numFmtId="0" fontId="64" fillId="30" borderId="0" xfId="0" applyFont="1" applyFill="1" applyAlignment="1">
      <alignment horizontal="right" vertical="center"/>
    </xf>
    <xf numFmtId="165" fontId="66" fillId="12" borderId="0" xfId="2" applyFont="1" applyFill="1" applyBorder="1" applyAlignment="1" applyProtection="1">
      <alignment horizontal="center" vertical="center"/>
      <protection locked="0"/>
    </xf>
    <xf numFmtId="0" fontId="66" fillId="12" borderId="0" xfId="0" applyFont="1" applyFill="1" applyBorder="1" applyAlignment="1" applyProtection="1">
      <alignment horizontal="center" vertical="center"/>
      <protection locked="0"/>
    </xf>
    <xf numFmtId="0" fontId="64" fillId="19" borderId="0" xfId="0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61" fillId="7" borderId="0" xfId="0" applyFont="1" applyFill="1" applyAlignment="1">
      <alignment horizontal="center" vertical="center"/>
    </xf>
    <xf numFmtId="0" fontId="29" fillId="20" borderId="0" xfId="0" applyFont="1" applyFill="1" applyAlignment="1">
      <alignment horizontal="right" vertical="center"/>
    </xf>
    <xf numFmtId="0" fontId="64" fillId="20" borderId="0" xfId="0" applyFont="1" applyFill="1" applyAlignment="1">
      <alignment horizontal="center" vertical="center"/>
    </xf>
    <xf numFmtId="165" fontId="65" fillId="12" borderId="0" xfId="2" applyFont="1" applyFill="1" applyBorder="1" applyAlignment="1" applyProtection="1">
      <alignment horizontal="center" vertical="center"/>
      <protection locked="0"/>
    </xf>
    <xf numFmtId="0" fontId="1" fillId="16" borderId="6" xfId="0" applyFont="1" applyFill="1" applyBorder="1" applyAlignment="1">
      <alignment horizontal="center" vertical="center"/>
    </xf>
    <xf numFmtId="0" fontId="64" fillId="4" borderId="0" xfId="0" applyFont="1" applyFill="1" applyAlignment="1">
      <alignment horizontal="center" vertical="center"/>
    </xf>
    <xf numFmtId="0" fontId="10" fillId="16" borderId="24" xfId="0" applyFont="1" applyFill="1" applyBorder="1" applyAlignment="1">
      <alignment horizontal="center" vertical="center"/>
    </xf>
    <xf numFmtId="165" fontId="75" fillId="0" borderId="0" xfId="2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165" fontId="74" fillId="0" borderId="0" xfId="2" applyFont="1" applyAlignment="1">
      <alignment horizontal="center" vertical="center"/>
    </xf>
    <xf numFmtId="0" fontId="75" fillId="0" borderId="0" xfId="0" applyFont="1" applyAlignment="1">
      <alignment horizontal="right" vertical="center"/>
    </xf>
    <xf numFmtId="165" fontId="75" fillId="0" borderId="0" xfId="2" applyFont="1" applyAlignment="1">
      <alignment horizontal="left" vertical="center"/>
    </xf>
    <xf numFmtId="0" fontId="82" fillId="0" borderId="0" xfId="0" applyFont="1" applyFill="1" applyBorder="1" applyAlignment="1">
      <alignment horizontal="center" vertical="center" wrapText="1"/>
    </xf>
    <xf numFmtId="0" fontId="75" fillId="12" borderId="30" xfId="0" applyFont="1" applyFill="1" applyBorder="1" applyAlignment="1" applyProtection="1">
      <alignment horizontal="center" vertical="center"/>
    </xf>
    <xf numFmtId="0" fontId="75" fillId="12" borderId="31" xfId="0" applyFont="1" applyFill="1" applyBorder="1" applyAlignment="1" applyProtection="1">
      <alignment horizontal="center" vertical="center"/>
    </xf>
    <xf numFmtId="0" fontId="75" fillId="12" borderId="0" xfId="0" applyFont="1" applyFill="1" applyAlignment="1" applyProtection="1">
      <alignment horizontal="right" vertical="center"/>
    </xf>
    <xf numFmtId="165" fontId="32" fillId="12" borderId="0" xfId="2" applyFont="1" applyFill="1" applyAlignment="1" applyProtection="1">
      <alignment horizontal="left" vertical="center"/>
    </xf>
    <xf numFmtId="0" fontId="79" fillId="3" borderId="0" xfId="0" applyFont="1" applyFill="1" applyAlignment="1" applyProtection="1">
      <alignment horizontal="center" vertical="center" wrapText="1"/>
    </xf>
    <xf numFmtId="0" fontId="75" fillId="26" borderId="0" xfId="0" applyFont="1" applyFill="1" applyAlignment="1" applyProtection="1">
      <alignment horizontal="center" vertical="center"/>
    </xf>
    <xf numFmtId="0" fontId="74" fillId="3" borderId="0" xfId="0" applyFont="1" applyFill="1" applyBorder="1" applyAlignment="1" applyProtection="1">
      <alignment horizontal="center" vertical="center"/>
    </xf>
    <xf numFmtId="165" fontId="32" fillId="12" borderId="0" xfId="2" applyFont="1" applyFill="1" applyBorder="1" applyAlignment="1" applyProtection="1">
      <alignment horizontal="left" vertical="center"/>
    </xf>
    <xf numFmtId="165" fontId="80" fillId="12" borderId="0" xfId="2" applyFont="1" applyFill="1" applyBorder="1" applyAlignment="1" applyProtection="1">
      <alignment horizontal="left" vertical="center"/>
    </xf>
    <xf numFmtId="165" fontId="32" fillId="12" borderId="0" xfId="2" applyFont="1" applyFill="1" applyBorder="1" applyAlignment="1" applyProtection="1">
      <alignment horizontal="center" vertical="center"/>
    </xf>
    <xf numFmtId="165" fontId="74" fillId="26" borderId="9" xfId="2" applyFont="1" applyFill="1" applyBorder="1" applyAlignment="1" applyProtection="1">
      <alignment horizontal="center" vertical="center"/>
    </xf>
    <xf numFmtId="165" fontId="74" fillId="26" borderId="25" xfId="2" applyFont="1" applyFill="1" applyBorder="1" applyAlignment="1" applyProtection="1">
      <alignment horizontal="center" vertical="center"/>
    </xf>
    <xf numFmtId="167" fontId="74" fillId="26" borderId="9" xfId="0" applyNumberFormat="1" applyFont="1" applyFill="1" applyBorder="1" applyAlignment="1" applyProtection="1">
      <alignment horizontal="center" vertical="center"/>
    </xf>
    <xf numFmtId="0" fontId="74" fillId="26" borderId="9" xfId="0" applyFont="1" applyFill="1" applyBorder="1" applyAlignment="1" applyProtection="1">
      <alignment horizontal="center" vertical="center"/>
    </xf>
    <xf numFmtId="0" fontId="74" fillId="26" borderId="25" xfId="0" applyFont="1" applyFill="1" applyBorder="1" applyAlignment="1" applyProtection="1">
      <alignment horizontal="center" vertical="center"/>
    </xf>
    <xf numFmtId="0" fontId="74" fillId="12" borderId="0" xfId="0" applyFont="1" applyFill="1" applyAlignment="1">
      <alignment horizontal="center" vertical="center"/>
    </xf>
    <xf numFmtId="0" fontId="71" fillId="3" borderId="0" xfId="0" applyFont="1" applyFill="1" applyAlignment="1" applyProtection="1">
      <alignment horizontal="center" vertical="center"/>
    </xf>
    <xf numFmtId="14" fontId="75" fillId="26" borderId="0" xfId="0" applyNumberFormat="1" applyFont="1" applyFill="1" applyAlignment="1" applyProtection="1">
      <alignment horizontal="left" vertical="center"/>
    </xf>
    <xf numFmtId="0" fontId="75" fillId="26" borderId="0" xfId="0" applyFont="1" applyFill="1" applyAlignment="1" applyProtection="1">
      <alignment horizontal="left" vertical="center"/>
    </xf>
    <xf numFmtId="14" fontId="75" fillId="26" borderId="0" xfId="0" applyNumberFormat="1" applyFont="1" applyFill="1" applyAlignment="1" applyProtection="1">
      <alignment horizontal="center" vertical="center"/>
    </xf>
    <xf numFmtId="167" fontId="75" fillId="26" borderId="0" xfId="0" applyNumberFormat="1" applyFont="1" applyFill="1" applyAlignment="1" applyProtection="1">
      <alignment horizontal="center" vertical="center"/>
    </xf>
    <xf numFmtId="0" fontId="75" fillId="3" borderId="0" xfId="0" applyFont="1" applyFill="1" applyAlignment="1" applyProtection="1">
      <alignment horizontal="left" vertical="center"/>
    </xf>
    <xf numFmtId="0" fontId="75" fillId="3" borderId="0" xfId="0" applyFont="1" applyFill="1" applyAlignment="1" applyProtection="1">
      <alignment horizontal="left" vertical="top"/>
    </xf>
    <xf numFmtId="14" fontId="78" fillId="3" borderId="0" xfId="0" applyNumberFormat="1" applyFont="1" applyFill="1" applyAlignment="1" applyProtection="1">
      <alignment horizontal="center" vertical="center"/>
    </xf>
    <xf numFmtId="0" fontId="78" fillId="3" borderId="0" xfId="0" applyFont="1" applyFill="1" applyAlignment="1" applyProtection="1">
      <alignment horizontal="center" vertical="center"/>
    </xf>
    <xf numFmtId="0" fontId="79" fillId="12" borderId="0" xfId="0" applyFont="1" applyFill="1" applyAlignment="1" applyProtection="1">
      <alignment horizontal="left" vertical="center" wrapText="1"/>
    </xf>
    <xf numFmtId="167" fontId="74" fillId="26" borderId="11" xfId="0" applyNumberFormat="1" applyFont="1" applyFill="1" applyBorder="1" applyAlignment="1" applyProtection="1">
      <alignment horizontal="center" vertical="center"/>
    </xf>
    <xf numFmtId="0" fontId="74" fillId="26" borderId="11" xfId="0" applyFont="1" applyFill="1" applyBorder="1" applyAlignment="1" applyProtection="1">
      <alignment horizontal="center" vertical="center"/>
    </xf>
    <xf numFmtId="0" fontId="74" fillId="26" borderId="26" xfId="0" applyFont="1" applyFill="1" applyBorder="1" applyAlignment="1" applyProtection="1">
      <alignment horizontal="center" vertical="center"/>
    </xf>
    <xf numFmtId="0" fontId="78" fillId="3" borderId="0" xfId="0" applyFont="1" applyFill="1" applyAlignment="1" applyProtection="1">
      <alignment horizontal="right" vertical="center"/>
    </xf>
    <xf numFmtId="0" fontId="74" fillId="3" borderId="8" xfId="0" applyFont="1" applyFill="1" applyBorder="1" applyAlignment="1" applyProtection="1">
      <alignment horizontal="left" vertical="center"/>
    </xf>
    <xf numFmtId="0" fontId="74" fillId="3" borderId="9" xfId="0" applyFont="1" applyFill="1" applyBorder="1" applyAlignment="1" applyProtection="1">
      <alignment horizontal="left" vertical="center"/>
    </xf>
    <xf numFmtId="0" fontId="75" fillId="3" borderId="0" xfId="0" applyFont="1" applyFill="1" applyBorder="1" applyAlignment="1" applyProtection="1">
      <alignment horizontal="right" vertical="center"/>
    </xf>
    <xf numFmtId="0" fontId="75" fillId="12" borderId="0" xfId="0" applyFont="1" applyFill="1" applyAlignment="1">
      <alignment horizontal="left" vertical="center"/>
    </xf>
    <xf numFmtId="14" fontId="75" fillId="26" borderId="0" xfId="0" applyNumberFormat="1" applyFont="1" applyFill="1" applyAlignment="1">
      <alignment horizontal="center" vertical="center"/>
    </xf>
    <xf numFmtId="0" fontId="51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52" fillId="0" borderId="0" xfId="0" applyFont="1" applyAlignment="1">
      <alignment horizontal="left"/>
    </xf>
    <xf numFmtId="0" fontId="35" fillId="12" borderId="27" xfId="0" applyFont="1" applyFill="1" applyBorder="1" applyAlignment="1">
      <alignment horizontal="center"/>
    </xf>
    <xf numFmtId="0" fontId="35" fillId="12" borderId="28" xfId="0" applyFont="1" applyFill="1" applyBorder="1" applyAlignment="1">
      <alignment horizontal="center"/>
    </xf>
    <xf numFmtId="0" fontId="35" fillId="12" borderId="29" xfId="0" applyFont="1" applyFill="1" applyBorder="1" applyAlignment="1">
      <alignment horizontal="center"/>
    </xf>
    <xf numFmtId="0" fontId="35" fillId="12" borderId="7" xfId="0" applyFont="1" applyFill="1" applyBorder="1" applyAlignment="1">
      <alignment horizontal="center"/>
    </xf>
    <xf numFmtId="0" fontId="35" fillId="12" borderId="0" xfId="0" applyFont="1" applyFill="1" applyAlignment="1">
      <alignment horizontal="center" vertical="center"/>
    </xf>
    <xf numFmtId="0" fontId="52" fillId="12" borderId="0" xfId="0" applyFont="1" applyFill="1" applyAlignment="1">
      <alignment horizontal="left" wrapText="1"/>
    </xf>
    <xf numFmtId="0" fontId="53" fillId="12" borderId="0" xfId="0" applyFont="1" applyFill="1" applyAlignment="1">
      <alignment horizontal="left" wrapText="1"/>
    </xf>
    <xf numFmtId="0" fontId="53" fillId="12" borderId="0" xfId="0" applyFont="1" applyFill="1" applyAlignment="1">
      <alignment horizontal="justify"/>
    </xf>
    <xf numFmtId="0" fontId="54" fillId="12" borderId="0" xfId="0" applyFont="1" applyFill="1" applyAlignment="1">
      <alignment horizontal="justify"/>
    </xf>
    <xf numFmtId="0" fontId="55" fillId="12" borderId="0" xfId="0" applyFont="1" applyFill="1" applyAlignment="1">
      <alignment wrapText="1"/>
    </xf>
    <xf numFmtId="0" fontId="55" fillId="12" borderId="0" xfId="0" applyFont="1" applyFill="1" applyAlignment="1">
      <alignment horizontal="justify"/>
    </xf>
    <xf numFmtId="0" fontId="0" fillId="12" borderId="0" xfId="0" applyFill="1"/>
    <xf numFmtId="0" fontId="60" fillId="18" borderId="0" xfId="0" applyFont="1" applyFill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0" fontId="50" fillId="17" borderId="0" xfId="0" applyFont="1" applyFill="1" applyAlignment="1">
      <alignment horizontal="right" vertical="center"/>
    </xf>
    <xf numFmtId="14" fontId="17" fillId="3" borderId="0" xfId="0" applyNumberFormat="1" applyFont="1" applyFill="1" applyAlignment="1" applyProtection="1">
      <alignment horizontal="center" vertical="center"/>
      <protection locked="0"/>
    </xf>
    <xf numFmtId="0" fontId="13" fillId="17" borderId="0" xfId="1" applyFont="1" applyFill="1" applyAlignment="1" applyProtection="1">
      <alignment horizontal="center" vertical="center"/>
    </xf>
    <xf numFmtId="0" fontId="17" fillId="3" borderId="0" xfId="0" applyFont="1" applyFill="1" applyAlignment="1" applyProtection="1">
      <alignment horizontal="center" vertical="center"/>
      <protection locked="0"/>
    </xf>
    <xf numFmtId="0" fontId="10" fillId="17" borderId="6" xfId="0" applyFont="1" applyFill="1" applyBorder="1" applyAlignment="1">
      <alignment horizontal="center" vertical="center"/>
    </xf>
    <xf numFmtId="0" fontId="10" fillId="17" borderId="24" xfId="0" applyFont="1" applyFill="1" applyBorder="1" applyAlignment="1">
      <alignment horizontal="center" vertical="center"/>
    </xf>
    <xf numFmtId="0" fontId="41" fillId="17" borderId="0" xfId="0" applyFont="1" applyFill="1" applyAlignment="1">
      <alignment horizontal="right" vertical="center"/>
    </xf>
    <xf numFmtId="167" fontId="17" fillId="3" borderId="0" xfId="0" applyNumberFormat="1" applyFont="1" applyFill="1" applyAlignment="1" applyProtection="1">
      <alignment horizontal="center" vertical="center"/>
      <protection locked="0"/>
    </xf>
    <xf numFmtId="0" fontId="26" fillId="12" borderId="0" xfId="0" applyFont="1" applyFill="1" applyAlignment="1">
      <alignment horizontal="center" vertical="center"/>
    </xf>
    <xf numFmtId="0" fontId="22" fillId="3" borderId="7" xfId="1" applyFont="1" applyFill="1" applyBorder="1" applyAlignment="1" applyProtection="1">
      <alignment horizontal="right"/>
    </xf>
    <xf numFmtId="0" fontId="21" fillId="3" borderId="7" xfId="0" applyFont="1" applyFill="1" applyBorder="1" applyAlignment="1" applyProtection="1">
      <alignment horizontal="right"/>
    </xf>
    <xf numFmtId="0" fontId="8" fillId="3" borderId="0" xfId="0" applyFont="1" applyFill="1" applyAlignment="1" applyProtection="1">
      <alignment horizontal="left" vertical="center"/>
    </xf>
    <xf numFmtId="0" fontId="30" fillId="3" borderId="0" xfId="0" applyFont="1" applyFill="1" applyAlignment="1" applyProtection="1">
      <alignment horizontal="center" vertical="center"/>
    </xf>
    <xf numFmtId="14" fontId="1" fillId="13" borderId="0" xfId="0" applyNumberFormat="1" applyFont="1" applyFill="1" applyAlignment="1" applyProtection="1">
      <alignment horizontal="left" vertical="center"/>
    </xf>
    <xf numFmtId="0" fontId="1" fillId="13" borderId="0" xfId="0" applyFont="1" applyFill="1" applyAlignment="1" applyProtection="1">
      <alignment horizontal="left" vertical="center"/>
    </xf>
    <xf numFmtId="14" fontId="1" fillId="13" borderId="0" xfId="0" applyNumberFormat="1" applyFont="1" applyFill="1" applyAlignment="1" applyProtection="1">
      <alignment horizontal="center" vertical="center"/>
    </xf>
    <xf numFmtId="0" fontId="19" fillId="3" borderId="0" xfId="0" applyFont="1" applyFill="1" applyAlignment="1" applyProtection="1">
      <alignment horizontal="center" vertical="center"/>
    </xf>
    <xf numFmtId="167" fontId="1" fillId="13" borderId="0" xfId="0" applyNumberFormat="1" applyFont="1" applyFill="1" applyAlignment="1" applyProtection="1">
      <alignment horizontal="center" vertical="center"/>
    </xf>
    <xf numFmtId="0" fontId="1" fillId="4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Border="1" applyAlignment="1" applyProtection="1">
      <alignment horizontal="center" vertical="center"/>
    </xf>
    <xf numFmtId="165" fontId="44" fillId="12" borderId="0" xfId="2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165" fontId="44" fillId="12" borderId="0" xfId="2" applyFont="1" applyFill="1" applyBorder="1" applyAlignment="1" applyProtection="1">
      <alignment horizontal="left" vertical="center"/>
    </xf>
    <xf numFmtId="165" fontId="3" fillId="13" borderId="9" xfId="2" applyFont="1" applyFill="1" applyBorder="1" applyAlignment="1" applyProtection="1">
      <alignment horizontal="center" vertical="center"/>
    </xf>
    <xf numFmtId="165" fontId="3" fillId="13" borderId="25" xfId="2" applyFont="1" applyFill="1" applyBorder="1" applyAlignment="1" applyProtection="1">
      <alignment horizontal="center" vertical="center"/>
    </xf>
    <xf numFmtId="165" fontId="3" fillId="13" borderId="11" xfId="2" applyFont="1" applyFill="1" applyBorder="1" applyAlignment="1" applyProtection="1">
      <alignment horizontal="center" vertical="center"/>
    </xf>
    <xf numFmtId="165" fontId="3" fillId="13" borderId="26" xfId="2" applyFont="1" applyFill="1" applyBorder="1" applyAlignment="1" applyProtection="1">
      <alignment horizontal="center" vertical="center"/>
    </xf>
    <xf numFmtId="165" fontId="49" fillId="12" borderId="0" xfId="2" applyFont="1" applyFill="1" applyBorder="1" applyAlignment="1" applyProtection="1">
      <alignment horizontal="left" vertical="center"/>
    </xf>
    <xf numFmtId="0" fontId="6" fillId="12" borderId="0" xfId="0" applyFont="1" applyFill="1" applyAlignment="1">
      <alignment horizontal="left" vertical="center" wrapText="1"/>
    </xf>
    <xf numFmtId="0" fontId="28" fillId="3" borderId="0" xfId="0" applyFont="1" applyFill="1" applyAlignment="1" applyProtection="1">
      <alignment horizontal="center" vertical="center"/>
    </xf>
    <xf numFmtId="167" fontId="3" fillId="13" borderId="11" xfId="0" applyNumberFormat="1" applyFont="1" applyFill="1" applyBorder="1" applyAlignment="1" applyProtection="1">
      <alignment horizontal="center" vertical="center"/>
    </xf>
    <xf numFmtId="167" fontId="3" fillId="13" borderId="26" xfId="0" applyNumberFormat="1" applyFont="1" applyFill="1" applyBorder="1" applyAlignment="1" applyProtection="1">
      <alignment horizontal="center" vertical="center"/>
    </xf>
    <xf numFmtId="0" fontId="6" fillId="12" borderId="0" xfId="0" applyFont="1" applyFill="1" applyAlignment="1" applyProtection="1">
      <alignment horizontal="center" vertical="center" wrapText="1"/>
    </xf>
    <xf numFmtId="1" fontId="49" fillId="3" borderId="0" xfId="0" applyNumberFormat="1" applyFont="1" applyFill="1" applyAlignment="1" applyProtection="1">
      <alignment horizontal="center" vertical="center"/>
    </xf>
    <xf numFmtId="0" fontId="49" fillId="3" borderId="0" xfId="0" applyFont="1" applyFill="1" applyAlignment="1" applyProtection="1">
      <alignment horizontal="center" vertical="center"/>
    </xf>
    <xf numFmtId="1" fontId="49" fillId="3" borderId="0" xfId="0" applyNumberFormat="1" applyFont="1" applyFill="1" applyBorder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3" fillId="3" borderId="8" xfId="0" applyFont="1" applyFill="1" applyBorder="1" applyAlignment="1" applyProtection="1">
      <alignment horizontal="left" vertical="center"/>
    </xf>
    <xf numFmtId="0" fontId="3" fillId="3" borderId="9" xfId="0" applyFont="1" applyFill="1" applyBorder="1" applyAlignment="1" applyProtection="1">
      <alignment horizontal="left" vertical="center"/>
    </xf>
    <xf numFmtId="167" fontId="3" fillId="13" borderId="9" xfId="0" applyNumberFormat="1" applyFont="1" applyFill="1" applyBorder="1" applyAlignment="1" applyProtection="1">
      <alignment horizontal="center" vertical="center"/>
    </xf>
    <xf numFmtId="0" fontId="3" fillId="13" borderId="9" xfId="0" applyFont="1" applyFill="1" applyBorder="1" applyAlignment="1" applyProtection="1">
      <alignment horizontal="center" vertical="center"/>
    </xf>
    <xf numFmtId="0" fontId="3" fillId="13" borderId="25" xfId="0" applyFont="1" applyFill="1" applyBorder="1" applyAlignment="1" applyProtection="1">
      <alignment horizontal="center" vertical="center"/>
    </xf>
    <xf numFmtId="0" fontId="61" fillId="18" borderId="0" xfId="0" applyFont="1" applyFill="1" applyAlignment="1" applyProtection="1">
      <alignment horizontal="center" vertical="center"/>
    </xf>
    <xf numFmtId="0" fontId="10" fillId="17" borderId="0" xfId="0" applyFont="1" applyFill="1" applyAlignment="1" applyProtection="1">
      <alignment horizontal="center" vertical="center"/>
    </xf>
    <xf numFmtId="0" fontId="10" fillId="17" borderId="6" xfId="0" applyFont="1" applyFill="1" applyBorder="1" applyAlignment="1" applyProtection="1">
      <alignment horizontal="center" vertical="center"/>
    </xf>
    <xf numFmtId="0" fontId="10" fillId="17" borderId="24" xfId="0" applyFont="1" applyFill="1" applyBorder="1" applyAlignment="1" applyProtection="1">
      <alignment horizontal="center" vertical="center"/>
    </xf>
    <xf numFmtId="0" fontId="50" fillId="17" borderId="0" xfId="0" applyFont="1" applyFill="1" applyAlignment="1" applyProtection="1">
      <alignment horizontal="right" vertical="center"/>
    </xf>
    <xf numFmtId="0" fontId="20" fillId="3" borderId="0" xfId="0" applyFont="1" applyFill="1" applyAlignment="1" applyProtection="1">
      <alignment horizontal="left" vertical="center"/>
    </xf>
    <xf numFmtId="0" fontId="3" fillId="0" borderId="0" xfId="0" applyFont="1" applyAlignment="1" applyProtection="1">
      <alignment horizontal="center"/>
    </xf>
    <xf numFmtId="165" fontId="86" fillId="12" borderId="0" xfId="2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 wrapText="1"/>
    </xf>
    <xf numFmtId="165" fontId="1" fillId="13" borderId="11" xfId="2" applyFont="1" applyFill="1" applyBorder="1" applyAlignment="1" applyProtection="1">
      <alignment horizontal="center" vertical="center"/>
    </xf>
    <xf numFmtId="165" fontId="1" fillId="13" borderId="26" xfId="2" applyFont="1" applyFill="1" applyBorder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0" fillId="12" borderId="49" xfId="0" applyFill="1" applyBorder="1" applyAlignment="1">
      <alignment horizontal="center" vertical="center"/>
    </xf>
    <xf numFmtId="0" fontId="0" fillId="12" borderId="50" xfId="0" applyFill="1" applyBorder="1" applyAlignment="1">
      <alignment horizontal="center" vertical="center"/>
    </xf>
    <xf numFmtId="0" fontId="0" fillId="12" borderId="51" xfId="0" applyFill="1" applyBorder="1" applyAlignment="1">
      <alignment horizontal="center" vertical="center"/>
    </xf>
    <xf numFmtId="0" fontId="0" fillId="33" borderId="49" xfId="0" applyFill="1" applyBorder="1" applyAlignment="1" applyProtection="1">
      <alignment horizontal="center" vertical="center"/>
    </xf>
    <xf numFmtId="0" fontId="0" fillId="33" borderId="50" xfId="0" applyFill="1" applyBorder="1" applyAlignment="1" applyProtection="1">
      <alignment horizontal="center" vertical="center"/>
    </xf>
    <xf numFmtId="0" fontId="0" fillId="33" borderId="51" xfId="0" applyFill="1" applyBorder="1" applyAlignment="1" applyProtection="1">
      <alignment horizontal="center" vertical="center"/>
    </xf>
    <xf numFmtId="0" fontId="35" fillId="9" borderId="0" xfId="0" applyFont="1" applyFill="1" applyBorder="1" applyAlignment="1">
      <alignment horizontal="center" vertical="center"/>
    </xf>
    <xf numFmtId="0" fontId="0" fillId="13" borderId="0" xfId="0" applyFill="1" applyBorder="1" applyAlignment="1" applyProtection="1">
      <alignment horizontal="center"/>
    </xf>
    <xf numFmtId="10" fontId="0" fillId="13" borderId="0" xfId="0" applyNumberFormat="1" applyFill="1" applyBorder="1" applyAlignment="1" applyProtection="1">
      <alignment horizontal="center"/>
    </xf>
    <xf numFmtId="0" fontId="0" fillId="13" borderId="0" xfId="0" applyFill="1" applyBorder="1" applyAlignment="1" applyProtection="1">
      <alignment horizontal="center" vertical="center" wrapText="1"/>
    </xf>
    <xf numFmtId="165" fontId="31" fillId="13" borderId="11" xfId="2" applyFont="1" applyFill="1" applyBorder="1" applyAlignment="1" applyProtection="1">
      <alignment horizontal="center"/>
    </xf>
    <xf numFmtId="0" fontId="35" fillId="9" borderId="0" xfId="0" applyFont="1" applyFill="1" applyBorder="1" applyAlignment="1">
      <alignment horizontal="center"/>
    </xf>
    <xf numFmtId="0" fontId="0" fillId="13" borderId="23" xfId="0" applyFill="1" applyBorder="1" applyAlignment="1" applyProtection="1">
      <alignment horizontal="center"/>
    </xf>
    <xf numFmtId="0" fontId="0" fillId="13" borderId="11" xfId="0" applyFill="1" applyBorder="1" applyAlignment="1" applyProtection="1">
      <alignment horizontal="center"/>
    </xf>
    <xf numFmtId="165" fontId="31" fillId="13" borderId="0" xfId="2" applyFont="1" applyFill="1" applyBorder="1" applyAlignment="1" applyProtection="1">
      <alignment horizontal="center"/>
    </xf>
    <xf numFmtId="10" fontId="0" fillId="12" borderId="11" xfId="0" applyNumberFormat="1" applyFill="1" applyBorder="1" applyAlignment="1">
      <alignment horizontal="center"/>
    </xf>
    <xf numFmtId="165" fontId="31" fillId="12" borderId="11" xfId="2" applyFont="1" applyFill="1" applyBorder="1" applyAlignment="1">
      <alignment horizontal="center"/>
    </xf>
    <xf numFmtId="9" fontId="0" fillId="13" borderId="23" xfId="0" applyNumberFormat="1" applyFill="1" applyBorder="1" applyAlignment="1" applyProtection="1">
      <alignment horizontal="center"/>
    </xf>
    <xf numFmtId="9" fontId="0" fillId="13" borderId="11" xfId="0" applyNumberFormat="1" applyFill="1" applyBorder="1" applyAlignment="1" applyProtection="1">
      <alignment horizontal="center"/>
    </xf>
    <xf numFmtId="0" fontId="0" fillId="12" borderId="38" xfId="0" applyFill="1" applyBorder="1" applyAlignment="1" applyProtection="1">
      <alignment horizontal="center" vertical="center" wrapText="1"/>
    </xf>
    <xf numFmtId="0" fontId="0" fillId="12" borderId="36" xfId="0" applyFill="1" applyBorder="1" applyAlignment="1" applyProtection="1">
      <alignment horizontal="center" vertical="center" wrapText="1"/>
    </xf>
    <xf numFmtId="0" fontId="35" fillId="9" borderId="0" xfId="0" applyFont="1" applyFill="1" applyBorder="1" applyAlignment="1" applyProtection="1">
      <alignment horizontal="center" vertical="center"/>
    </xf>
    <xf numFmtId="0" fontId="0" fillId="12" borderId="0" xfId="0" applyFill="1" applyBorder="1" applyAlignment="1">
      <alignment horizontal="left" vertical="center" wrapText="1"/>
    </xf>
    <xf numFmtId="10" fontId="0" fillId="13" borderId="23" xfId="0" applyNumberFormat="1" applyFill="1" applyBorder="1" applyAlignment="1" applyProtection="1">
      <alignment horizontal="center"/>
    </xf>
    <xf numFmtId="10" fontId="0" fillId="13" borderId="11" xfId="0" applyNumberFormat="1" applyFill="1" applyBorder="1" applyAlignment="1" applyProtection="1">
      <alignment horizontal="center"/>
    </xf>
    <xf numFmtId="10" fontId="0" fillId="13" borderId="21" xfId="0" applyNumberFormat="1" applyFill="1" applyBorder="1" applyAlignment="1" applyProtection="1">
      <alignment horizontal="center"/>
    </xf>
    <xf numFmtId="0" fontId="0" fillId="13" borderId="33" xfId="0" applyFill="1" applyBorder="1" applyAlignment="1" applyProtection="1">
      <alignment horizontal="center"/>
    </xf>
    <xf numFmtId="0" fontId="0" fillId="12" borderId="0" xfId="0" applyFill="1" applyBorder="1" applyAlignment="1">
      <alignment horizontal="right" vertical="center" wrapText="1"/>
    </xf>
    <xf numFmtId="0" fontId="0" fillId="13" borderId="34" xfId="0" applyFill="1" applyBorder="1" applyAlignment="1" applyProtection="1">
      <alignment horizontal="center"/>
    </xf>
    <xf numFmtId="0" fontId="35" fillId="9" borderId="7" xfId="0" applyFont="1" applyFill="1" applyBorder="1" applyAlignment="1">
      <alignment horizontal="center"/>
    </xf>
    <xf numFmtId="0" fontId="1" fillId="13" borderId="0" xfId="0" applyFont="1" applyFill="1" applyBorder="1" applyAlignment="1" applyProtection="1">
      <alignment horizontal="center" vertical="center" wrapText="1"/>
    </xf>
    <xf numFmtId="0" fontId="0" fillId="12" borderId="0" xfId="0" applyFill="1" applyBorder="1" applyAlignment="1" applyProtection="1">
      <alignment horizontal="center" vertical="center" wrapText="1"/>
    </xf>
    <xf numFmtId="0" fontId="0" fillId="13" borderId="32" xfId="0" applyFill="1" applyBorder="1" applyAlignment="1" applyProtection="1">
      <alignment horizontal="center" vertical="center" wrapText="1"/>
    </xf>
    <xf numFmtId="0" fontId="0" fillId="13" borderId="6" xfId="0" applyFill="1" applyBorder="1" applyAlignment="1" applyProtection="1">
      <alignment horizontal="left" vertical="center"/>
    </xf>
    <xf numFmtId="0" fontId="0" fillId="13" borderId="9" xfId="0" applyFill="1" applyBorder="1" applyAlignment="1" applyProtection="1">
      <alignment horizontal="left" vertical="center"/>
    </xf>
    <xf numFmtId="0" fontId="0" fillId="13" borderId="9" xfId="0" applyFill="1" applyBorder="1" applyProtection="1"/>
    <xf numFmtId="0" fontId="0" fillId="13" borderId="0" xfId="0" applyFill="1" applyBorder="1" applyProtection="1"/>
    <xf numFmtId="165" fontId="31" fillId="13" borderId="23" xfId="2" applyFont="1" applyFill="1" applyBorder="1" applyAlignment="1" applyProtection="1">
      <alignment horizontal="center"/>
    </xf>
    <xf numFmtId="0" fontId="0" fillId="12" borderId="0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0" xfId="0" applyFill="1" applyBorder="1" applyAlignment="1">
      <alignment horizontal="center" vertical="center" wrapText="1"/>
    </xf>
    <xf numFmtId="0" fontId="0" fillId="12" borderId="36" xfId="0" applyFill="1" applyBorder="1" applyAlignment="1">
      <alignment horizontal="center" vertical="center" wrapText="1"/>
    </xf>
    <xf numFmtId="0" fontId="32" fillId="21" borderId="0" xfId="0" applyFont="1" applyFill="1" applyAlignment="1">
      <alignment horizontal="center"/>
    </xf>
    <xf numFmtId="165" fontId="31" fillId="12" borderId="22" xfId="2" applyFont="1" applyFill="1" applyBorder="1" applyAlignment="1">
      <alignment horizontal="center"/>
    </xf>
    <xf numFmtId="165" fontId="31" fillId="12" borderId="0" xfId="2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35" fillId="12" borderId="37" xfId="0" applyFont="1" applyFill="1" applyBorder="1" applyAlignment="1">
      <alignment horizontal="center" vertical="center" wrapText="1"/>
    </xf>
    <xf numFmtId="0" fontId="35" fillId="12" borderId="35" xfId="0" applyFont="1" applyFill="1" applyBorder="1" applyAlignment="1">
      <alignment horizontal="center" vertical="center" wrapText="1"/>
    </xf>
    <xf numFmtId="0" fontId="35" fillId="9" borderId="0" xfId="0" applyFont="1" applyFill="1" applyBorder="1" applyAlignment="1">
      <alignment horizontal="center" vertical="center" wrapText="1"/>
    </xf>
    <xf numFmtId="165" fontId="0" fillId="13" borderId="0" xfId="2" applyFont="1" applyFill="1" applyBorder="1" applyAlignment="1" applyProtection="1">
      <alignment horizontal="center"/>
    </xf>
    <xf numFmtId="0" fontId="0" fillId="12" borderId="39" xfId="0" applyFill="1" applyBorder="1" applyAlignment="1">
      <alignment horizontal="center" vertical="center" wrapText="1"/>
    </xf>
    <xf numFmtId="0" fontId="32" fillId="12" borderId="18" xfId="0" applyFont="1" applyFill="1" applyBorder="1" applyAlignment="1">
      <alignment horizontal="center" vertical="center" wrapText="1"/>
    </xf>
    <xf numFmtId="0" fontId="32" fillId="12" borderId="19" xfId="0" applyFont="1" applyFill="1" applyBorder="1" applyAlignment="1">
      <alignment horizontal="center" vertical="center" wrapText="1"/>
    </xf>
    <xf numFmtId="0" fontId="35" fillId="12" borderId="36" xfId="0" applyFont="1" applyFill="1" applyBorder="1" applyAlignment="1">
      <alignment horizontal="center" vertical="center" wrapText="1"/>
    </xf>
    <xf numFmtId="0" fontId="35" fillId="13" borderId="36" xfId="0" applyFont="1" applyFill="1" applyBorder="1" applyAlignment="1" applyProtection="1">
      <alignment horizontal="center" vertical="center" wrapText="1"/>
    </xf>
    <xf numFmtId="0" fontId="0" fillId="13" borderId="38" xfId="0" applyFill="1" applyBorder="1" applyAlignment="1" applyProtection="1">
      <alignment horizontal="center" vertical="center" wrapText="1"/>
    </xf>
    <xf numFmtId="0" fontId="0" fillId="13" borderId="36" xfId="0" applyFill="1" applyBorder="1" applyAlignment="1" applyProtection="1">
      <alignment horizontal="center" vertical="center" wrapText="1"/>
    </xf>
  </cellXfs>
  <cellStyles count="4">
    <cellStyle name="Hiperlink" xfId="1" builtinId="8"/>
    <cellStyle name="Moeda" xfId="2" builtinId="4"/>
    <cellStyle name="Normal" xfId="0" builtinId="0"/>
    <cellStyle name="Vírgula" xfId="3" builtinId="3"/>
  </cellStyles>
  <dxfs count="35">
    <dxf>
      <font>
        <color theme="1"/>
      </font>
      <fill>
        <patternFill>
          <bgColor theme="0" tint="-0.14996795556505021"/>
        </patternFill>
      </fill>
    </dxf>
    <dxf>
      <font>
        <color theme="1"/>
      </font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3" tint="-0.24994659260841701"/>
      </font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3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0" tint="-4.9989318521683403E-2"/>
        </patternFill>
      </fill>
    </dxf>
    <dxf>
      <font>
        <color theme="0"/>
      </font>
      <fill>
        <patternFill>
          <bgColor theme="0"/>
        </patternFill>
      </fill>
      <border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 tint="-4.9989318521683403E-2"/>
        </patternFill>
      </fill>
    </dxf>
    <dxf>
      <font>
        <color theme="0"/>
      </font>
    </dxf>
    <dxf>
      <font>
        <color theme="1"/>
      </font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rgb="FFFF0000"/>
        </patternFill>
      </fill>
    </dxf>
    <dxf>
      <font>
        <color theme="3" tint="0.59996337778862885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3" tint="0.59996337778862885"/>
      </font>
      <fill>
        <patternFill>
          <bgColor theme="3" tint="0.59996337778862885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nfig!K6"/><Relationship Id="rId2" Type="http://schemas.openxmlformats.org/officeDocument/2006/relationships/hyperlink" Target="#menu_exp!A1"/><Relationship Id="rId1" Type="http://schemas.openxmlformats.org/officeDocument/2006/relationships/hyperlink" Target="#mascara!H6"/><Relationship Id="rId5" Type="http://schemas.openxmlformats.org/officeDocument/2006/relationships/image" Target="../media/image2.jpeg"/><Relationship Id="rId4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asc_exp2!M6"/><Relationship Id="rId2" Type="http://schemas.openxmlformats.org/officeDocument/2006/relationships/hyperlink" Target="#masc_termino!L8"/><Relationship Id="rId1" Type="http://schemas.openxmlformats.org/officeDocument/2006/relationships/image" Target="../media/image3.jpeg"/><Relationship Id="rId6" Type="http://schemas.openxmlformats.org/officeDocument/2006/relationships/image" Target="../media/image2.jpeg"/><Relationship Id="rId5" Type="http://schemas.openxmlformats.org/officeDocument/2006/relationships/image" Target="../media/image1.jpeg"/><Relationship Id="rId4" Type="http://schemas.openxmlformats.org/officeDocument/2006/relationships/hyperlink" Target="#Menu!M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Menu!A1"/><Relationship Id="rId1" Type="http://schemas.openxmlformats.org/officeDocument/2006/relationships/hyperlink" Target="#calculo!A1"/><Relationship Id="rId4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ascara!H6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calculo!A1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termin_exp!A1"/><Relationship Id="rId1" Type="http://schemas.openxmlformats.org/officeDocument/2006/relationships/image" Target="../media/image3.jpeg"/><Relationship Id="rId6" Type="http://schemas.openxmlformats.org/officeDocument/2006/relationships/image" Target="../media/image2.jpeg"/><Relationship Id="rId5" Type="http://schemas.openxmlformats.org/officeDocument/2006/relationships/hyperlink" Target="#menu_exp!A1"/><Relationship Id="rId4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asc_termino!L8"/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exp2!A1"/><Relationship Id="rId1" Type="http://schemas.openxmlformats.org/officeDocument/2006/relationships/image" Target="../media/image3.jpeg"/><Relationship Id="rId6" Type="http://schemas.openxmlformats.org/officeDocument/2006/relationships/image" Target="../media/image2.jpeg"/><Relationship Id="rId5" Type="http://schemas.openxmlformats.org/officeDocument/2006/relationships/hyperlink" Target="#menu_exp!A1"/><Relationship Id="rId4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masc_exp2!M6"/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95249</xdr:colOff>
      <xdr:row>13</xdr:row>
      <xdr:rowOff>0</xdr:rowOff>
    </xdr:from>
    <xdr:to>
      <xdr:col>21</xdr:col>
      <xdr:colOff>333374</xdr:colOff>
      <xdr:row>16</xdr:row>
      <xdr:rowOff>57150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1695449" y="2000250"/>
          <a:ext cx="3800475" cy="628650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Cálculo de rescisão de contrato de trabalho</a:t>
          </a:r>
        </a:p>
      </xdr:txBody>
    </xdr:sp>
    <xdr:clientData/>
  </xdr:twoCellAnchor>
  <xdr:twoCellAnchor>
    <xdr:from>
      <xdr:col>4</xdr:col>
      <xdr:colOff>95250</xdr:colOff>
      <xdr:row>17</xdr:row>
      <xdr:rowOff>45161</xdr:rowOff>
    </xdr:from>
    <xdr:to>
      <xdr:col>22</xdr:col>
      <xdr:colOff>236</xdr:colOff>
      <xdr:row>20</xdr:row>
      <xdr:rowOff>171450</xdr:rowOff>
    </xdr:to>
    <xdr:sp macro="" textlink="">
      <xdr:nvSpPr>
        <xdr:cNvPr id="5" name="Retângulo de cantos arredondados 4">
          <a:hlinkClick xmlns:r="http://schemas.openxmlformats.org/officeDocument/2006/relationships" r:id="rId2"/>
        </xdr:cNvPr>
        <xdr:cNvSpPr/>
      </xdr:nvSpPr>
      <xdr:spPr>
        <a:xfrm>
          <a:off x="1695450" y="2807411"/>
          <a:ext cx="3800711" cy="697789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400" b="1">
              <a:solidFill>
                <a:schemeClr val="tx1"/>
              </a:solidFill>
            </a:rPr>
            <a:t>Cálculo de rescisão de </a:t>
          </a:r>
          <a:r>
            <a:rPr lang="pt-BR" sz="1400" b="1" u="sng">
              <a:solidFill>
                <a:schemeClr val="tx1"/>
              </a:solidFill>
            </a:rPr>
            <a:t>contrato de experiência</a:t>
          </a:r>
        </a:p>
      </xdr:txBody>
    </xdr:sp>
    <xdr:clientData/>
  </xdr:twoCellAnchor>
  <xdr:twoCellAnchor>
    <xdr:from>
      <xdr:col>18</xdr:col>
      <xdr:colOff>200025</xdr:colOff>
      <xdr:row>27</xdr:row>
      <xdr:rowOff>180975</xdr:rowOff>
    </xdr:from>
    <xdr:to>
      <xdr:col>25</xdr:col>
      <xdr:colOff>114300</xdr:colOff>
      <xdr:row>29</xdr:row>
      <xdr:rowOff>133350</xdr:rowOff>
    </xdr:to>
    <xdr:sp macro="" textlink="">
      <xdr:nvSpPr>
        <xdr:cNvPr id="6" name="Retângulo de cantos arredondados 5">
          <a:hlinkClick xmlns:r="http://schemas.openxmlformats.org/officeDocument/2006/relationships" r:id="rId3"/>
        </xdr:cNvPr>
        <xdr:cNvSpPr/>
      </xdr:nvSpPr>
      <xdr:spPr bwMode="auto">
        <a:xfrm>
          <a:off x="3971925" y="3724275"/>
          <a:ext cx="1381125" cy="333375"/>
        </a:xfrm>
        <a:prstGeom prst="roundRect">
          <a:avLst/>
        </a:prstGeom>
        <a:ln>
          <a:headEnd/>
          <a:tailEnd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lIns="91440" tIns="45720" rIns="91440" bIns="45720" rtlCol="0" anchor="ctr" upright="1"/>
        <a:lstStyle/>
        <a:p>
          <a:pPr algn="ctr" rtl="1"/>
          <a:r>
            <a:rPr lang="pt-BR" sz="1100" b="1" i="0" strike="noStrike">
              <a:solidFill>
                <a:schemeClr val="tx1"/>
              </a:solidFill>
              <a:latin typeface="Calibri"/>
              <a:cs typeface="Calibri"/>
            </a:rPr>
            <a:t>Configurações</a:t>
          </a:r>
        </a:p>
      </xdr:txBody>
    </xdr:sp>
    <xdr:clientData/>
  </xdr:twoCellAnchor>
  <xdr:twoCellAnchor editAs="oneCell">
    <xdr:from>
      <xdr:col>4</xdr:col>
      <xdr:colOff>152400</xdr:colOff>
      <xdr:row>2</xdr:row>
      <xdr:rowOff>28574</xdr:rowOff>
    </xdr:from>
    <xdr:to>
      <xdr:col>21</xdr:col>
      <xdr:colOff>205232</xdr:colOff>
      <xdr:row>6</xdr:row>
      <xdr:rowOff>68759</xdr:rowOff>
    </xdr:to>
    <xdr:pic>
      <xdr:nvPicPr>
        <xdr:cNvPr id="4630" name="Imagem 7" descr="logo FecomerciariosOKcurvas.jpg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752600" y="333374"/>
          <a:ext cx="3615182" cy="8021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21</xdr:col>
      <xdr:colOff>219075</xdr:colOff>
      <xdr:row>0</xdr:row>
      <xdr:rowOff>0</xdr:rowOff>
    </xdr:from>
    <xdr:to>
      <xdr:col>25</xdr:col>
      <xdr:colOff>219074</xdr:colOff>
      <xdr:row>3</xdr:row>
      <xdr:rowOff>9525</xdr:rowOff>
    </xdr:to>
    <xdr:pic>
      <xdr:nvPicPr>
        <xdr:cNvPr id="9" name="Imagem 8" descr="planilha+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5381625" y="0"/>
          <a:ext cx="1333499" cy="504825"/>
        </a:xfrm>
        <a:prstGeom prst="roundRect">
          <a:avLst>
            <a:gd name="adj" fmla="val 16667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2</xdr:row>
      <xdr:rowOff>28575</xdr:rowOff>
    </xdr:from>
    <xdr:to>
      <xdr:col>3</xdr:col>
      <xdr:colOff>85725</xdr:colOff>
      <xdr:row>6</xdr:row>
      <xdr:rowOff>9525</xdr:rowOff>
    </xdr:to>
    <xdr:pic>
      <xdr:nvPicPr>
        <xdr:cNvPr id="10754" name="Imagem 5" descr="Logo Sincomerciarios.jp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14375" y="333375"/>
          <a:ext cx="0" cy="742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161925</xdr:colOff>
      <xdr:row>11</xdr:row>
      <xdr:rowOff>123825</xdr:rowOff>
    </xdr:from>
    <xdr:to>
      <xdr:col>19</xdr:col>
      <xdr:colOff>0</xdr:colOff>
      <xdr:row>13</xdr:row>
      <xdr:rowOff>133350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000125" y="1952625"/>
          <a:ext cx="2981325" cy="390525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Rescisão por término do contrato</a:t>
          </a:r>
        </a:p>
      </xdr:txBody>
    </xdr:sp>
    <xdr:clientData/>
  </xdr:twoCellAnchor>
  <xdr:twoCellAnchor>
    <xdr:from>
      <xdr:col>4</xdr:col>
      <xdr:colOff>161925</xdr:colOff>
      <xdr:row>15</xdr:row>
      <xdr:rowOff>85725</xdr:rowOff>
    </xdr:from>
    <xdr:to>
      <xdr:col>19</xdr:col>
      <xdr:colOff>0</xdr:colOff>
      <xdr:row>17</xdr:row>
      <xdr:rowOff>95250</xdr:rowOff>
    </xdr:to>
    <xdr:sp macro="" textlink="">
      <xdr:nvSpPr>
        <xdr:cNvPr id="5" name="Retângulo de cantos arredondados 4">
          <a:hlinkClick xmlns:r="http://schemas.openxmlformats.org/officeDocument/2006/relationships" r:id="rId3"/>
        </xdr:cNvPr>
        <xdr:cNvSpPr/>
      </xdr:nvSpPr>
      <xdr:spPr>
        <a:xfrm>
          <a:off x="1000125" y="2676525"/>
          <a:ext cx="2981325" cy="390525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Rescisão antecipada do contrato</a:t>
          </a:r>
        </a:p>
      </xdr:txBody>
    </xdr:sp>
    <xdr:clientData/>
  </xdr:twoCellAnchor>
  <xdr:twoCellAnchor>
    <xdr:from>
      <xdr:col>4</xdr:col>
      <xdr:colOff>161925</xdr:colOff>
      <xdr:row>19</xdr:row>
      <xdr:rowOff>47625</xdr:rowOff>
    </xdr:from>
    <xdr:to>
      <xdr:col>19</xdr:col>
      <xdr:colOff>0</xdr:colOff>
      <xdr:row>21</xdr:row>
      <xdr:rowOff>57150</xdr:rowOff>
    </xdr:to>
    <xdr:sp macro="" textlink="">
      <xdr:nvSpPr>
        <xdr:cNvPr id="6" name="Retângulo de cantos arredondados 5">
          <a:hlinkClick xmlns:r="http://schemas.openxmlformats.org/officeDocument/2006/relationships" r:id="rId4"/>
        </xdr:cNvPr>
        <xdr:cNvSpPr/>
      </xdr:nvSpPr>
      <xdr:spPr>
        <a:xfrm>
          <a:off x="1000125" y="3400425"/>
          <a:ext cx="2981325" cy="390525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Voltar ao menu principal</a:t>
          </a:r>
        </a:p>
      </xdr:txBody>
    </xdr:sp>
    <xdr:clientData/>
  </xdr:twoCellAnchor>
  <xdr:twoCellAnchor editAs="oneCell">
    <xdr:from>
      <xdr:col>4</xdr:col>
      <xdr:colOff>171450</xdr:colOff>
      <xdr:row>2</xdr:row>
      <xdr:rowOff>9525</xdr:rowOff>
    </xdr:from>
    <xdr:to>
      <xdr:col>20</xdr:col>
      <xdr:colOff>38100</xdr:colOff>
      <xdr:row>5</xdr:row>
      <xdr:rowOff>152400</xdr:rowOff>
    </xdr:to>
    <xdr:pic>
      <xdr:nvPicPr>
        <xdr:cNvPr id="10758" name="Imagem 7" descr="logo FecomerciariosOKcurvas.jpg"/>
        <xdr:cNvPicPr>
          <a:picLocks noChangeAspect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009650" y="314325"/>
          <a:ext cx="3219450" cy="714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19</xdr:col>
      <xdr:colOff>190501</xdr:colOff>
      <xdr:row>0</xdr:row>
      <xdr:rowOff>0</xdr:rowOff>
    </xdr:from>
    <xdr:to>
      <xdr:col>25</xdr:col>
      <xdr:colOff>171449</xdr:colOff>
      <xdr:row>3</xdr:row>
      <xdr:rowOff>9525</xdr:rowOff>
    </xdr:to>
    <xdr:pic>
      <xdr:nvPicPr>
        <xdr:cNvPr id="7" name="Imagem 6" descr="planilha+.jp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171951" y="0"/>
          <a:ext cx="1238248" cy="504825"/>
        </a:xfrm>
        <a:prstGeom prst="roundRect">
          <a:avLst>
            <a:gd name="adj" fmla="val 16667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147638</xdr:colOff>
      <xdr:row>18</xdr:row>
      <xdr:rowOff>10510</xdr:rowOff>
    </xdr:from>
    <xdr:to>
      <xdr:col>20</xdr:col>
      <xdr:colOff>2957</xdr:colOff>
      <xdr:row>19</xdr:row>
      <xdr:rowOff>114300</xdr:rowOff>
    </xdr:to>
    <xdr:sp macro="" textlink="">
      <xdr:nvSpPr>
        <xdr:cNvPr id="3" name="Retângulo 2">
          <a:hlinkClick xmlns:r="http://schemas.openxmlformats.org/officeDocument/2006/relationships" r:id="rId1"/>
        </xdr:cNvPr>
        <xdr:cNvSpPr/>
      </xdr:nvSpPr>
      <xdr:spPr>
        <a:xfrm>
          <a:off x="6805613" y="2648935"/>
          <a:ext cx="1217394" cy="380015"/>
        </a:xfrm>
        <a:prstGeom prst="rect">
          <a:avLst/>
        </a:prstGeom>
        <a:ln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C A L C U L A R</a:t>
          </a:r>
        </a:p>
      </xdr:txBody>
    </xdr:sp>
    <xdr:clientData fPrintsWithSheet="0"/>
  </xdr:twoCellAnchor>
  <xdr:twoCellAnchor>
    <xdr:from>
      <xdr:col>18</xdr:col>
      <xdr:colOff>152399</xdr:colOff>
      <xdr:row>19</xdr:row>
      <xdr:rowOff>180975</xdr:rowOff>
    </xdr:from>
    <xdr:to>
      <xdr:col>19</xdr:col>
      <xdr:colOff>567887</xdr:colOff>
      <xdr:row>22</xdr:row>
      <xdr:rowOff>9524</xdr:rowOff>
    </xdr:to>
    <xdr:sp macro="" textlink="">
      <xdr:nvSpPr>
        <xdr:cNvPr id="4" name="Retângulo 3">
          <a:hlinkClick xmlns:r="http://schemas.openxmlformats.org/officeDocument/2006/relationships" r:id="rId2"/>
        </xdr:cNvPr>
        <xdr:cNvSpPr/>
      </xdr:nvSpPr>
      <xdr:spPr>
        <a:xfrm>
          <a:off x="6810374" y="3038475"/>
          <a:ext cx="1206063" cy="295274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Voltar ao início</a:t>
          </a:r>
        </a:p>
      </xdr:txBody>
    </xdr:sp>
    <xdr:clientData fPrintsWithSheet="0"/>
  </xdr:twoCellAnchor>
  <xdr:twoCellAnchor editAs="oneCell">
    <xdr:from>
      <xdr:col>2</xdr:col>
      <xdr:colOff>19050</xdr:colOff>
      <xdr:row>0</xdr:row>
      <xdr:rowOff>85725</xdr:rowOff>
    </xdr:from>
    <xdr:to>
      <xdr:col>11</xdr:col>
      <xdr:colOff>142875</xdr:colOff>
      <xdr:row>2</xdr:row>
      <xdr:rowOff>323850</xdr:rowOff>
    </xdr:to>
    <xdr:pic>
      <xdr:nvPicPr>
        <xdr:cNvPr id="2615" name="Imagem 4" descr="logo FecomerciariosOKcurvas.jpg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5800" y="85725"/>
          <a:ext cx="3219450" cy="714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171450</xdr:colOff>
      <xdr:row>0</xdr:row>
      <xdr:rowOff>0</xdr:rowOff>
    </xdr:from>
    <xdr:to>
      <xdr:col>20</xdr:col>
      <xdr:colOff>142874</xdr:colOff>
      <xdr:row>2</xdr:row>
      <xdr:rowOff>28575</xdr:rowOff>
    </xdr:to>
    <xdr:pic>
      <xdr:nvPicPr>
        <xdr:cNvPr id="5" name="Imagem 4" descr="planilha+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829425" y="0"/>
          <a:ext cx="1333499" cy="504825"/>
        </a:xfrm>
        <a:prstGeom prst="roundRect">
          <a:avLst>
            <a:gd name="adj" fmla="val 16667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200024</xdr:colOff>
      <xdr:row>0</xdr:row>
      <xdr:rowOff>276225</xdr:rowOff>
    </xdr:from>
    <xdr:to>
      <xdr:col>28</xdr:col>
      <xdr:colOff>190499</xdr:colOff>
      <xdr:row>2</xdr:row>
      <xdr:rowOff>161925</xdr:rowOff>
    </xdr:to>
    <xdr:pic>
      <xdr:nvPicPr>
        <xdr:cNvPr id="6" name="Imagem 4" descr="logo FecomerciariosOKcurvas.jpg"/>
        <xdr:cNvPicPr>
          <a:picLocks noChangeAspect="1"/>
        </xdr:cNvPicPr>
      </xdr:nvPicPr>
      <xdr:blipFill>
        <a:blip xmlns:r="http://schemas.openxmlformats.org/officeDocument/2006/relationships" r:embed="rId1" cstate="print">
          <a:grayscl/>
        </a:blip>
        <a:srcRect/>
        <a:stretch>
          <a:fillRect/>
        </a:stretch>
      </xdr:blipFill>
      <xdr:spPr bwMode="auto">
        <a:xfrm>
          <a:off x="3990974" y="276225"/>
          <a:ext cx="2047875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23</xdr:col>
      <xdr:colOff>200026</xdr:colOff>
      <xdr:row>0</xdr:row>
      <xdr:rowOff>28576</xdr:rowOff>
    </xdr:from>
    <xdr:to>
      <xdr:col>28</xdr:col>
      <xdr:colOff>200026</xdr:colOff>
      <xdr:row>0</xdr:row>
      <xdr:rowOff>295276</xdr:rowOff>
    </xdr:to>
    <xdr:sp macro="" textlink="">
      <xdr:nvSpPr>
        <xdr:cNvPr id="4" name="Retângulo 2">
          <a:hlinkClick xmlns:r="http://schemas.openxmlformats.org/officeDocument/2006/relationships" r:id="rId2"/>
        </xdr:cNvPr>
        <xdr:cNvSpPr>
          <a:spLocks noChangeArrowheads="1"/>
        </xdr:cNvSpPr>
      </xdr:nvSpPr>
      <xdr:spPr bwMode="auto">
        <a:xfrm>
          <a:off x="5067301" y="28576"/>
          <a:ext cx="1143000" cy="266700"/>
        </a:xfrm>
        <a:prstGeom prst="rect">
          <a:avLst/>
        </a:prstGeom>
        <a:solidFill>
          <a:srgbClr val="4F81BD"/>
        </a:solidFill>
        <a:ln w="25400" algn="ctr">
          <a:solidFill>
            <a:srgbClr val="385D8A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1">
            <a:defRPr sz="1000"/>
          </a:pPr>
          <a:r>
            <a:rPr lang="pt-BR" sz="1100" b="0" i="0" strike="noStrike">
              <a:solidFill>
                <a:srgbClr val="FFFFFF"/>
              </a:solidFill>
              <a:latin typeface="Calibri"/>
              <a:cs typeface="Calibri"/>
            </a:rPr>
            <a:t>Voltar </a:t>
          </a:r>
          <a:r>
            <a:rPr lang="pt-BR" sz="1100" b="0" i="0" strike="noStrike" baseline="0">
              <a:solidFill>
                <a:srgbClr val="FFFFFF"/>
              </a:solidFill>
              <a:latin typeface="Calibri"/>
              <a:cs typeface="Calibri"/>
            </a:rPr>
            <a:t> </a:t>
          </a:r>
          <a:r>
            <a:rPr lang="pt-BR" sz="1100" b="0" i="0" strike="noStrike">
              <a:solidFill>
                <a:srgbClr val="FFFFFF"/>
              </a:solidFill>
              <a:latin typeface="Calibri"/>
              <a:cs typeface="Calibri"/>
            </a:rPr>
            <a:t>tela</a:t>
          </a:r>
        </a:p>
      </xdr:txBody>
    </xdr:sp>
    <xdr:clientData fPrintsWithSheet="0"/>
  </xdr:twoCellAnchor>
  <xdr:twoCellAnchor>
    <xdr:from>
      <xdr:col>23</xdr:col>
      <xdr:colOff>190500</xdr:colOff>
      <xdr:row>61</xdr:row>
      <xdr:rowOff>57150</xdr:rowOff>
    </xdr:from>
    <xdr:to>
      <xdr:col>28</xdr:col>
      <xdr:colOff>190500</xdr:colOff>
      <xdr:row>62</xdr:row>
      <xdr:rowOff>57150</xdr:rowOff>
    </xdr:to>
    <xdr:sp macro="" textlink="">
      <xdr:nvSpPr>
        <xdr:cNvPr id="7" name="Retângulo 2">
          <a:hlinkClick xmlns:r="http://schemas.openxmlformats.org/officeDocument/2006/relationships" r:id="rId2"/>
        </xdr:cNvPr>
        <xdr:cNvSpPr>
          <a:spLocks noChangeArrowheads="1"/>
        </xdr:cNvSpPr>
      </xdr:nvSpPr>
      <xdr:spPr bwMode="auto">
        <a:xfrm>
          <a:off x="5057775" y="9553575"/>
          <a:ext cx="1143000" cy="333375"/>
        </a:xfrm>
        <a:prstGeom prst="rect">
          <a:avLst/>
        </a:prstGeom>
        <a:solidFill>
          <a:srgbClr val="4F81BD"/>
        </a:solidFill>
        <a:ln w="25400" algn="ctr">
          <a:solidFill>
            <a:srgbClr val="385D8A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1">
            <a:defRPr sz="1000"/>
          </a:pPr>
          <a:r>
            <a:rPr lang="pt-BR" sz="1100" b="0" i="0" strike="noStrike">
              <a:solidFill>
                <a:srgbClr val="FFFFFF"/>
              </a:solidFill>
              <a:latin typeface="Calibri"/>
              <a:cs typeface="Calibri"/>
            </a:rPr>
            <a:t>Voltar </a:t>
          </a:r>
          <a:r>
            <a:rPr lang="pt-BR" sz="1100" b="0" i="0" strike="noStrike" baseline="0">
              <a:solidFill>
                <a:srgbClr val="FFFFFF"/>
              </a:solidFill>
              <a:latin typeface="Calibri"/>
              <a:cs typeface="Calibri"/>
            </a:rPr>
            <a:t> </a:t>
          </a:r>
          <a:r>
            <a:rPr lang="pt-BR" sz="1100" b="0" i="0" strike="noStrike">
              <a:solidFill>
                <a:srgbClr val="FFFFFF"/>
              </a:solidFill>
              <a:latin typeface="Calibri"/>
              <a:cs typeface="Calibri"/>
            </a:rPr>
            <a:t>tela</a:t>
          </a:r>
        </a:p>
      </xdr:txBody>
    </xdr:sp>
    <xdr:clientData fPrintsWithSheet="0"/>
  </xdr:twoCellAnchor>
  <xdr:oneCellAnchor>
    <xdr:from>
      <xdr:col>6</xdr:col>
      <xdr:colOff>71138</xdr:colOff>
      <xdr:row>19</xdr:row>
      <xdr:rowOff>127912</xdr:rowOff>
    </xdr:from>
    <xdr:ext cx="4157997" cy="2158668"/>
    <xdr:sp macro="" textlink="">
      <xdr:nvSpPr>
        <xdr:cNvPr id="2" name="Retângulo 1"/>
        <xdr:cNvSpPr/>
      </xdr:nvSpPr>
      <xdr:spPr>
        <a:xfrm rot="20722867">
          <a:off x="1290338" y="3633112"/>
          <a:ext cx="4157997" cy="2158668"/>
        </a:xfrm>
        <a:prstGeom prst="rect">
          <a:avLst/>
        </a:prstGeom>
        <a:noFill/>
        <a:effectLst>
          <a:glow rad="127000">
            <a:schemeClr val="accent1">
              <a:alpha val="22000"/>
            </a:schemeClr>
          </a:glow>
        </a:effectLst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400" b="1" cap="none" spc="0">
              <a:ln w="0"/>
              <a:solidFill>
                <a:schemeClr val="accent1">
                  <a:alpha val="12000"/>
                </a:schemeClr>
              </a:solidFill>
              <a:effectLst/>
            </a:rPr>
            <a:t>Cálculo realizado</a:t>
          </a:r>
        </a:p>
        <a:p>
          <a:pPr algn="ctr"/>
          <a:r>
            <a:rPr lang="pt-BR" sz="4400" b="1" cap="none" spc="0">
              <a:ln w="0"/>
              <a:solidFill>
                <a:schemeClr val="accent1">
                  <a:alpha val="12000"/>
                </a:schemeClr>
              </a:solidFill>
              <a:effectLst/>
            </a:rPr>
            <a:t>pela</a:t>
          </a:r>
          <a:r>
            <a:rPr lang="pt-BR" sz="4400" b="1" cap="none" spc="0" baseline="0">
              <a:ln w="0"/>
              <a:solidFill>
                <a:schemeClr val="accent1">
                  <a:alpha val="12000"/>
                </a:schemeClr>
              </a:solidFill>
              <a:effectLst/>
            </a:rPr>
            <a:t> internet.</a:t>
          </a:r>
        </a:p>
        <a:p>
          <a:pPr algn="ctr"/>
          <a:r>
            <a:rPr lang="pt-BR" sz="4400" b="1" cap="none" spc="0">
              <a:ln w="0"/>
              <a:solidFill>
                <a:schemeClr val="accent1">
                  <a:alpha val="12000"/>
                </a:schemeClr>
              </a:solidFill>
              <a:effectLst/>
            </a:rPr>
            <a:t>Sem</a:t>
          </a:r>
          <a:r>
            <a:rPr lang="pt-BR" sz="4400" b="1" cap="none" spc="0" baseline="0">
              <a:ln w="0"/>
              <a:solidFill>
                <a:schemeClr val="accent1">
                  <a:alpha val="12000"/>
                </a:schemeClr>
              </a:solidFill>
              <a:effectLst/>
            </a:rPr>
            <a:t> valor legal.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</xdr:colOff>
      <xdr:row>0</xdr:row>
      <xdr:rowOff>57150</xdr:rowOff>
    </xdr:from>
    <xdr:to>
      <xdr:col>3</xdr:col>
      <xdr:colOff>22098</xdr:colOff>
      <xdr:row>0</xdr:row>
      <xdr:rowOff>226456</xdr:rowOff>
    </xdr:to>
    <xdr:pic>
      <xdr:nvPicPr>
        <xdr:cNvPr id="12290" name="Imagem 5" descr="Logo Sincomerciarios.jp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514600" y="57150"/>
          <a:ext cx="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714376</xdr:colOff>
      <xdr:row>0</xdr:row>
      <xdr:rowOff>133350</xdr:rowOff>
    </xdr:from>
    <xdr:to>
      <xdr:col>8</xdr:col>
      <xdr:colOff>466725</xdr:colOff>
      <xdr:row>1</xdr:row>
      <xdr:rowOff>133350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6362701" y="133350"/>
          <a:ext cx="1104899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Voltar a tela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0</xdr:row>
      <xdr:rowOff>47625</xdr:rowOff>
    </xdr:from>
    <xdr:to>
      <xdr:col>1</xdr:col>
      <xdr:colOff>123825</xdr:colOff>
      <xdr:row>2</xdr:row>
      <xdr:rowOff>314325</xdr:rowOff>
    </xdr:to>
    <xdr:pic>
      <xdr:nvPicPr>
        <xdr:cNvPr id="9757" name="Imagem 5" descr="Logo Sincomerciarios.jp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7200" y="47625"/>
          <a:ext cx="0" cy="742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17</xdr:col>
      <xdr:colOff>485775</xdr:colOff>
      <xdr:row>21</xdr:row>
      <xdr:rowOff>43228</xdr:rowOff>
    </xdr:from>
    <xdr:to>
      <xdr:col>18</xdr:col>
      <xdr:colOff>1504950</xdr:colOff>
      <xdr:row>22</xdr:row>
      <xdr:rowOff>243253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5895975" y="3938953"/>
          <a:ext cx="1657350" cy="333375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C A L C U L A R</a:t>
          </a:r>
        </a:p>
      </xdr:txBody>
    </xdr:sp>
    <xdr:clientData fPrintsWithSheet="0"/>
  </xdr:twoCellAnchor>
  <xdr:twoCellAnchor>
    <xdr:from>
      <xdr:col>6</xdr:col>
      <xdr:colOff>19050</xdr:colOff>
      <xdr:row>21</xdr:row>
      <xdr:rowOff>36633</xdr:rowOff>
    </xdr:from>
    <xdr:to>
      <xdr:col>10</xdr:col>
      <xdr:colOff>285750</xdr:colOff>
      <xdr:row>22</xdr:row>
      <xdr:rowOff>238124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2019300" y="3932358"/>
          <a:ext cx="1600200" cy="334841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Voltar ao início</a:t>
          </a:r>
        </a:p>
      </xdr:txBody>
    </xdr:sp>
    <xdr:clientData fPrintsWithSheet="0"/>
  </xdr:twoCellAnchor>
  <xdr:twoCellAnchor editAs="oneCell">
    <xdr:from>
      <xdr:col>1</xdr:col>
      <xdr:colOff>123825</xdr:colOff>
      <xdr:row>0</xdr:row>
      <xdr:rowOff>66675</xdr:rowOff>
    </xdr:from>
    <xdr:to>
      <xdr:col>1</xdr:col>
      <xdr:colOff>123825</xdr:colOff>
      <xdr:row>3</xdr:row>
      <xdr:rowOff>0</xdr:rowOff>
    </xdr:to>
    <xdr:pic>
      <xdr:nvPicPr>
        <xdr:cNvPr id="9760" name="Imagem 5" descr="Logo Sincomerciarios.jp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7200" y="66675"/>
          <a:ext cx="0" cy="742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66675</xdr:colOff>
      <xdr:row>0</xdr:row>
      <xdr:rowOff>76200</xdr:rowOff>
    </xdr:from>
    <xdr:to>
      <xdr:col>11</xdr:col>
      <xdr:colOff>257175</xdr:colOff>
      <xdr:row>2</xdr:row>
      <xdr:rowOff>323850</xdr:rowOff>
    </xdr:to>
    <xdr:pic>
      <xdr:nvPicPr>
        <xdr:cNvPr id="9761" name="Imagem 6" descr="logo FecomerciariosOKcurvas.jpg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33425" y="76200"/>
          <a:ext cx="31908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11</xdr:col>
      <xdr:colOff>314325</xdr:colOff>
      <xdr:row>21</xdr:row>
      <xdr:rowOff>28575</xdr:rowOff>
    </xdr:from>
    <xdr:to>
      <xdr:col>17</xdr:col>
      <xdr:colOff>228600</xdr:colOff>
      <xdr:row>22</xdr:row>
      <xdr:rowOff>228600</xdr:rowOff>
    </xdr:to>
    <xdr:sp macro="" textlink="">
      <xdr:nvSpPr>
        <xdr:cNvPr id="7" name="Retângulo 6">
          <a:hlinkClick xmlns:r="http://schemas.openxmlformats.org/officeDocument/2006/relationships" r:id="rId5"/>
        </xdr:cNvPr>
        <xdr:cNvSpPr/>
      </xdr:nvSpPr>
      <xdr:spPr>
        <a:xfrm>
          <a:off x="3981450" y="3924300"/>
          <a:ext cx="1657350" cy="333375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Voltar</a:t>
          </a:r>
        </a:p>
      </xdr:txBody>
    </xdr:sp>
    <xdr:clientData fPrintsWithSheet="0"/>
  </xdr:twoCellAnchor>
  <xdr:twoCellAnchor editAs="oneCell">
    <xdr:from>
      <xdr:col>18</xdr:col>
      <xdr:colOff>704850</xdr:colOff>
      <xdr:row>0</xdr:row>
      <xdr:rowOff>0</xdr:rowOff>
    </xdr:from>
    <xdr:to>
      <xdr:col>19</xdr:col>
      <xdr:colOff>514349</xdr:colOff>
      <xdr:row>2</xdr:row>
      <xdr:rowOff>28575</xdr:rowOff>
    </xdr:to>
    <xdr:pic>
      <xdr:nvPicPr>
        <xdr:cNvPr id="8" name="Imagem 7" descr="planilha+.jp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753225" y="0"/>
          <a:ext cx="1333499" cy="504825"/>
        </a:xfrm>
        <a:prstGeom prst="roundRect">
          <a:avLst>
            <a:gd name="adj" fmla="val 16667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0</xdr:row>
      <xdr:rowOff>304800</xdr:rowOff>
    </xdr:from>
    <xdr:to>
      <xdr:col>26</xdr:col>
      <xdr:colOff>209550</xdr:colOff>
      <xdr:row>2</xdr:row>
      <xdr:rowOff>152400</xdr:rowOff>
    </xdr:to>
    <xdr:pic>
      <xdr:nvPicPr>
        <xdr:cNvPr id="6" name="Imagem 4" descr="logo FecomerciariosOKcurvas.jpg"/>
        <xdr:cNvPicPr>
          <a:picLocks noChangeAspect="1"/>
        </xdr:cNvPicPr>
      </xdr:nvPicPr>
      <xdr:blipFill>
        <a:blip xmlns:r="http://schemas.openxmlformats.org/officeDocument/2006/relationships" r:embed="rId1" cstate="print">
          <a:grayscl/>
        </a:blip>
        <a:srcRect/>
        <a:stretch>
          <a:fillRect/>
        </a:stretch>
      </xdr:blipFill>
      <xdr:spPr bwMode="auto">
        <a:xfrm>
          <a:off x="4010025" y="304800"/>
          <a:ext cx="2047875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28575</xdr:colOff>
      <xdr:row>0</xdr:row>
      <xdr:rowOff>57150</xdr:rowOff>
    </xdr:to>
    <xdr:pic>
      <xdr:nvPicPr>
        <xdr:cNvPr id="8736" name="Imagem 5" descr="Logo Sincomerciarios.jpg"/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47650" y="0"/>
          <a:ext cx="0" cy="57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57150</xdr:colOff>
      <xdr:row>42</xdr:row>
      <xdr:rowOff>9524</xdr:rowOff>
    </xdr:from>
    <xdr:to>
      <xdr:col>25</xdr:col>
      <xdr:colOff>215646</xdr:colOff>
      <xdr:row>45</xdr:row>
      <xdr:rowOff>19050</xdr:rowOff>
    </xdr:to>
    <xdr:sp macro="" textlink="">
      <xdr:nvSpPr>
        <xdr:cNvPr id="3" name="Retângulo 2">
          <a:hlinkClick xmlns:r="http://schemas.openxmlformats.org/officeDocument/2006/relationships" r:id="rId3"/>
        </xdr:cNvPr>
        <xdr:cNvSpPr>
          <a:spLocks noChangeArrowheads="1"/>
        </xdr:cNvSpPr>
      </xdr:nvSpPr>
      <xdr:spPr bwMode="auto">
        <a:xfrm>
          <a:off x="4076700" y="5324474"/>
          <a:ext cx="1758696" cy="390526"/>
        </a:xfrm>
        <a:prstGeom prst="rect">
          <a:avLst/>
        </a:prstGeom>
        <a:solidFill>
          <a:srgbClr val="4F81BD"/>
        </a:solidFill>
        <a:ln w="25400" algn="ctr">
          <a:solidFill>
            <a:srgbClr val="385D8A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1">
            <a:defRPr sz="1000"/>
          </a:pPr>
          <a:r>
            <a:rPr lang="pt-BR" sz="1100" b="0" i="0" strike="noStrike">
              <a:solidFill>
                <a:srgbClr val="FFFFFF"/>
              </a:solidFill>
              <a:latin typeface="Calibri"/>
              <a:cs typeface="Calibri"/>
            </a:rPr>
            <a:t>N O V O     C A L C U L O</a:t>
          </a:r>
        </a:p>
      </xdr:txBody>
    </xdr:sp>
    <xdr:clientData fPrintsWithSheet="0"/>
  </xdr:twoCellAnchor>
  <xdr:twoCellAnchor editAs="oneCell">
    <xdr:from>
      <xdr:col>21</xdr:col>
      <xdr:colOff>200026</xdr:colOff>
      <xdr:row>0</xdr:row>
      <xdr:rowOff>76200</xdr:rowOff>
    </xdr:from>
    <xdr:to>
      <xdr:col>27</xdr:col>
      <xdr:colOff>1906</xdr:colOff>
      <xdr:row>1</xdr:row>
      <xdr:rowOff>19050</xdr:rowOff>
    </xdr:to>
    <xdr:sp macro="" textlink="">
      <xdr:nvSpPr>
        <xdr:cNvPr id="4" name="Retângulo 2">
          <a:hlinkClick xmlns:r="http://schemas.openxmlformats.org/officeDocument/2006/relationships" r:id="rId3"/>
        </xdr:cNvPr>
        <xdr:cNvSpPr>
          <a:spLocks noChangeArrowheads="1"/>
        </xdr:cNvSpPr>
      </xdr:nvSpPr>
      <xdr:spPr bwMode="auto">
        <a:xfrm>
          <a:off x="4905376" y="76200"/>
          <a:ext cx="1173480" cy="323850"/>
        </a:xfrm>
        <a:prstGeom prst="rect">
          <a:avLst/>
        </a:prstGeom>
        <a:solidFill>
          <a:srgbClr val="4F81BD"/>
        </a:solidFill>
        <a:ln w="25400" algn="ctr">
          <a:solidFill>
            <a:srgbClr val="385D8A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1">
            <a:defRPr sz="1000"/>
          </a:pPr>
          <a:r>
            <a:rPr lang="pt-BR" sz="1100" b="0" i="0" strike="noStrike">
              <a:solidFill>
                <a:srgbClr val="FFFFFF"/>
              </a:solidFill>
              <a:latin typeface="Calibri"/>
              <a:cs typeface="Calibri"/>
            </a:rPr>
            <a:t>Voltar </a:t>
          </a:r>
          <a:r>
            <a:rPr lang="pt-BR" sz="1100" b="0" i="0" strike="noStrike" baseline="0">
              <a:solidFill>
                <a:srgbClr val="FFFFFF"/>
              </a:solidFill>
              <a:latin typeface="Calibri"/>
              <a:cs typeface="Calibri"/>
            </a:rPr>
            <a:t> </a:t>
          </a:r>
          <a:r>
            <a:rPr lang="pt-BR" sz="1100" b="0" i="0" strike="noStrike">
              <a:solidFill>
                <a:srgbClr val="FFFFFF"/>
              </a:solidFill>
              <a:latin typeface="Calibri"/>
              <a:cs typeface="Calibri"/>
            </a:rPr>
            <a:t>tela</a:t>
          </a:r>
        </a:p>
      </xdr:txBody>
    </xdr:sp>
    <xdr:clientData fPrintsWithSheet="0"/>
  </xdr:twoCellAnchor>
  <xdr:twoCellAnchor editAs="oneCell">
    <xdr:from>
      <xdr:col>1</xdr:col>
      <xdr:colOff>9525</xdr:colOff>
      <xdr:row>0</xdr:row>
      <xdr:rowOff>0</xdr:rowOff>
    </xdr:from>
    <xdr:to>
      <xdr:col>1</xdr:col>
      <xdr:colOff>9525</xdr:colOff>
      <xdr:row>0</xdr:row>
      <xdr:rowOff>57150</xdr:rowOff>
    </xdr:to>
    <xdr:pic>
      <xdr:nvPicPr>
        <xdr:cNvPr id="8739" name="Imagem 5" descr="Logo Sincomerciarios.jpg"/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8600" y="0"/>
          <a:ext cx="0" cy="57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7</xdr:col>
      <xdr:colOff>176351</xdr:colOff>
      <xdr:row>17</xdr:row>
      <xdr:rowOff>21187</xdr:rowOff>
    </xdr:from>
    <xdr:ext cx="3074496" cy="1595245"/>
    <xdr:sp macro="" textlink="">
      <xdr:nvSpPr>
        <xdr:cNvPr id="7" name="Retângulo 6"/>
        <xdr:cNvSpPr/>
      </xdr:nvSpPr>
      <xdr:spPr>
        <a:xfrm rot="20722867">
          <a:off x="1547951" y="2659612"/>
          <a:ext cx="3074496" cy="1595245"/>
        </a:xfrm>
        <a:prstGeom prst="rect">
          <a:avLst/>
        </a:prstGeom>
        <a:noFill/>
        <a:effectLst>
          <a:glow rad="127000">
            <a:schemeClr val="accent1">
              <a:alpha val="22000"/>
            </a:schemeClr>
          </a:glow>
        </a:effectLst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0"/>
              <a:solidFill>
                <a:schemeClr val="accent1">
                  <a:alpha val="12000"/>
                </a:schemeClr>
              </a:solidFill>
              <a:effectLst/>
            </a:rPr>
            <a:t>Cálculo realizado</a:t>
          </a:r>
        </a:p>
        <a:p>
          <a:pPr algn="ctr"/>
          <a:r>
            <a:rPr lang="pt-BR" sz="3200" b="1" cap="none" spc="0">
              <a:ln w="0"/>
              <a:solidFill>
                <a:schemeClr val="accent1">
                  <a:alpha val="12000"/>
                </a:schemeClr>
              </a:solidFill>
              <a:effectLst/>
            </a:rPr>
            <a:t>pela</a:t>
          </a:r>
          <a:r>
            <a:rPr lang="pt-BR" sz="3200" b="1" cap="none" spc="0" baseline="0">
              <a:ln w="0"/>
              <a:solidFill>
                <a:schemeClr val="accent1">
                  <a:alpha val="12000"/>
                </a:schemeClr>
              </a:solidFill>
              <a:effectLst/>
            </a:rPr>
            <a:t> internet.</a:t>
          </a:r>
        </a:p>
        <a:p>
          <a:pPr algn="ctr"/>
          <a:r>
            <a:rPr lang="pt-BR" sz="3200" b="1" cap="none" spc="0">
              <a:ln w="0"/>
              <a:solidFill>
                <a:schemeClr val="accent1">
                  <a:alpha val="12000"/>
                </a:schemeClr>
              </a:solidFill>
              <a:effectLst/>
            </a:rPr>
            <a:t>Sem</a:t>
          </a:r>
          <a:r>
            <a:rPr lang="pt-BR" sz="3200" b="1" cap="none" spc="0" baseline="0">
              <a:ln w="0"/>
              <a:solidFill>
                <a:schemeClr val="accent1">
                  <a:alpha val="12000"/>
                </a:schemeClr>
              </a:solidFill>
              <a:effectLst/>
            </a:rPr>
            <a:t> valor legal.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0</xdr:row>
      <xdr:rowOff>47625</xdr:rowOff>
    </xdr:from>
    <xdr:to>
      <xdr:col>1</xdr:col>
      <xdr:colOff>123825</xdr:colOff>
      <xdr:row>2</xdr:row>
      <xdr:rowOff>314325</xdr:rowOff>
    </xdr:to>
    <xdr:pic>
      <xdr:nvPicPr>
        <xdr:cNvPr id="7642" name="Imagem 5" descr="Logo Sincomerciarios.jp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7200" y="47625"/>
          <a:ext cx="0" cy="742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17</xdr:col>
      <xdr:colOff>533400</xdr:colOff>
      <xdr:row>21</xdr:row>
      <xdr:rowOff>38100</xdr:rowOff>
    </xdr:from>
    <xdr:to>
      <xdr:col>19</xdr:col>
      <xdr:colOff>19050</xdr:colOff>
      <xdr:row>22</xdr:row>
      <xdr:rowOff>238125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5943600" y="4152900"/>
          <a:ext cx="1657350" cy="333375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C A L C U L A R</a:t>
          </a:r>
        </a:p>
      </xdr:txBody>
    </xdr:sp>
    <xdr:clientData fPrintsWithSheet="0"/>
  </xdr:twoCellAnchor>
  <xdr:twoCellAnchor>
    <xdr:from>
      <xdr:col>5</xdr:col>
      <xdr:colOff>257175</xdr:colOff>
      <xdr:row>21</xdr:row>
      <xdr:rowOff>38100</xdr:rowOff>
    </xdr:from>
    <xdr:to>
      <xdr:col>10</xdr:col>
      <xdr:colOff>314325</xdr:colOff>
      <xdr:row>22</xdr:row>
      <xdr:rowOff>238125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1924050" y="4152900"/>
          <a:ext cx="1724025" cy="333375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Voltar ao início</a:t>
          </a:r>
        </a:p>
      </xdr:txBody>
    </xdr:sp>
    <xdr:clientData fPrintsWithSheet="0"/>
  </xdr:twoCellAnchor>
  <xdr:twoCellAnchor editAs="oneCell">
    <xdr:from>
      <xdr:col>1</xdr:col>
      <xdr:colOff>266700</xdr:colOff>
      <xdr:row>0</xdr:row>
      <xdr:rowOff>66675</xdr:rowOff>
    </xdr:from>
    <xdr:to>
      <xdr:col>11</xdr:col>
      <xdr:colOff>123825</xdr:colOff>
      <xdr:row>2</xdr:row>
      <xdr:rowOff>314325</xdr:rowOff>
    </xdr:to>
    <xdr:pic>
      <xdr:nvPicPr>
        <xdr:cNvPr id="7645" name="Imagem 5" descr="logo FecomerciariosOKcurvas.jpg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00075" y="66675"/>
          <a:ext cx="31908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11</xdr:col>
      <xdr:colOff>285750</xdr:colOff>
      <xdr:row>21</xdr:row>
      <xdr:rowOff>38100</xdr:rowOff>
    </xdr:from>
    <xdr:to>
      <xdr:col>17</xdr:col>
      <xdr:colOff>200025</xdr:colOff>
      <xdr:row>22</xdr:row>
      <xdr:rowOff>238125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3952875" y="4152900"/>
          <a:ext cx="1657350" cy="333375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Voltar</a:t>
          </a:r>
        </a:p>
      </xdr:txBody>
    </xdr:sp>
    <xdr:clientData fPrintsWithSheet="0"/>
  </xdr:twoCellAnchor>
  <xdr:twoCellAnchor editAs="oneCell">
    <xdr:from>
      <xdr:col>18</xdr:col>
      <xdr:colOff>742951</xdr:colOff>
      <xdr:row>0</xdr:row>
      <xdr:rowOff>0</xdr:rowOff>
    </xdr:from>
    <xdr:to>
      <xdr:col>19</xdr:col>
      <xdr:colOff>552449</xdr:colOff>
      <xdr:row>2</xdr:row>
      <xdr:rowOff>28575</xdr:rowOff>
    </xdr:to>
    <xdr:pic>
      <xdr:nvPicPr>
        <xdr:cNvPr id="7" name="Imagem 6" descr="planilha+.jp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800851" y="0"/>
          <a:ext cx="1333498" cy="504825"/>
        </a:xfrm>
        <a:prstGeom prst="roundRect">
          <a:avLst>
            <a:gd name="adj" fmla="val 16667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0</xdr:row>
      <xdr:rowOff>361950</xdr:rowOff>
    </xdr:from>
    <xdr:to>
      <xdr:col>26</xdr:col>
      <xdr:colOff>180975</xdr:colOff>
      <xdr:row>2</xdr:row>
      <xdr:rowOff>161925</xdr:rowOff>
    </xdr:to>
    <xdr:pic>
      <xdr:nvPicPr>
        <xdr:cNvPr id="5" name="Imagem 4" descr="logo FecomerciariosOKcurvas.jpg"/>
        <xdr:cNvPicPr>
          <a:picLocks noChangeAspect="1"/>
        </xdr:cNvPicPr>
      </xdr:nvPicPr>
      <xdr:blipFill>
        <a:blip xmlns:r="http://schemas.openxmlformats.org/officeDocument/2006/relationships" r:embed="rId1" cstate="print">
          <a:grayscl/>
        </a:blip>
        <a:srcRect/>
        <a:stretch>
          <a:fillRect/>
        </a:stretch>
      </xdr:blipFill>
      <xdr:spPr bwMode="auto">
        <a:xfrm>
          <a:off x="4010025" y="361950"/>
          <a:ext cx="2047875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28575</xdr:colOff>
      <xdr:row>0</xdr:row>
      <xdr:rowOff>142875</xdr:rowOff>
    </xdr:to>
    <xdr:pic>
      <xdr:nvPicPr>
        <xdr:cNvPr id="7015" name="Imagem 5" descr="Logo Sincomerciarios.jpg"/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47650" y="0"/>
          <a:ext cx="0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17</xdr:col>
      <xdr:colOff>190500</xdr:colOff>
      <xdr:row>43</xdr:row>
      <xdr:rowOff>9525</xdr:rowOff>
    </xdr:from>
    <xdr:to>
      <xdr:col>25</xdr:col>
      <xdr:colOff>99441</xdr:colOff>
      <xdr:row>45</xdr:row>
      <xdr:rowOff>0</xdr:rowOff>
    </xdr:to>
    <xdr:sp macro="" textlink="">
      <xdr:nvSpPr>
        <xdr:cNvPr id="3" name="Retângulo 2">
          <a:hlinkClick xmlns:r="http://schemas.openxmlformats.org/officeDocument/2006/relationships" r:id="rId3"/>
        </xdr:cNvPr>
        <xdr:cNvSpPr>
          <a:spLocks noChangeArrowheads="1"/>
        </xdr:cNvSpPr>
      </xdr:nvSpPr>
      <xdr:spPr bwMode="auto">
        <a:xfrm>
          <a:off x="3981450" y="5943600"/>
          <a:ext cx="1766316" cy="361950"/>
        </a:xfrm>
        <a:prstGeom prst="rect">
          <a:avLst/>
        </a:prstGeom>
        <a:solidFill>
          <a:srgbClr val="4F81BD"/>
        </a:solidFill>
        <a:ln w="25400" algn="ctr">
          <a:solidFill>
            <a:srgbClr val="385D8A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1">
            <a:defRPr sz="1000"/>
          </a:pPr>
          <a:r>
            <a:rPr lang="pt-BR" sz="1100" b="0" i="0" strike="noStrike">
              <a:solidFill>
                <a:srgbClr val="FFFFFF"/>
              </a:solidFill>
              <a:latin typeface="Calibri"/>
              <a:cs typeface="Calibri"/>
            </a:rPr>
            <a:t>N O V O     C A L C U L O</a:t>
          </a:r>
        </a:p>
      </xdr:txBody>
    </xdr:sp>
    <xdr:clientData fPrintsWithSheet="0"/>
  </xdr:twoCellAnchor>
  <xdr:twoCellAnchor editAs="oneCell">
    <xdr:from>
      <xdr:col>21</xdr:col>
      <xdr:colOff>200026</xdr:colOff>
      <xdr:row>0</xdr:row>
      <xdr:rowOff>76200</xdr:rowOff>
    </xdr:from>
    <xdr:to>
      <xdr:col>26</xdr:col>
      <xdr:colOff>215266</xdr:colOff>
      <xdr:row>1</xdr:row>
      <xdr:rowOff>9525</xdr:rowOff>
    </xdr:to>
    <xdr:sp macro="" textlink="">
      <xdr:nvSpPr>
        <xdr:cNvPr id="4" name="Retângulo 2">
          <a:hlinkClick xmlns:r="http://schemas.openxmlformats.org/officeDocument/2006/relationships" r:id="rId3"/>
        </xdr:cNvPr>
        <xdr:cNvSpPr>
          <a:spLocks noChangeArrowheads="1"/>
        </xdr:cNvSpPr>
      </xdr:nvSpPr>
      <xdr:spPr bwMode="auto">
        <a:xfrm>
          <a:off x="4905376" y="76200"/>
          <a:ext cx="1158240" cy="361950"/>
        </a:xfrm>
        <a:prstGeom prst="rect">
          <a:avLst/>
        </a:prstGeom>
        <a:solidFill>
          <a:srgbClr val="4F81BD"/>
        </a:solidFill>
        <a:ln w="25400" algn="ctr">
          <a:solidFill>
            <a:srgbClr val="385D8A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1">
            <a:defRPr sz="1000"/>
          </a:pPr>
          <a:r>
            <a:rPr lang="pt-BR" sz="1100" b="0" i="0" strike="noStrike">
              <a:solidFill>
                <a:srgbClr val="FFFFFF"/>
              </a:solidFill>
              <a:latin typeface="Calibri"/>
              <a:cs typeface="Calibri"/>
            </a:rPr>
            <a:t>Voltar </a:t>
          </a:r>
          <a:r>
            <a:rPr lang="pt-BR" sz="1100" b="0" i="0" strike="noStrike" baseline="0">
              <a:solidFill>
                <a:srgbClr val="FFFFFF"/>
              </a:solidFill>
              <a:latin typeface="Calibri"/>
              <a:cs typeface="Calibri"/>
            </a:rPr>
            <a:t> </a:t>
          </a:r>
          <a:r>
            <a:rPr lang="pt-BR" sz="1100" b="0" i="0" strike="noStrike">
              <a:solidFill>
                <a:srgbClr val="FFFFFF"/>
              </a:solidFill>
              <a:latin typeface="Calibri"/>
              <a:cs typeface="Calibri"/>
            </a:rPr>
            <a:t>tela</a:t>
          </a:r>
        </a:p>
      </xdr:txBody>
    </xdr:sp>
    <xdr:clientData fPrintsWithSheet="0"/>
  </xdr:twoCellAnchor>
  <xdr:oneCellAnchor>
    <xdr:from>
      <xdr:col>4</xdr:col>
      <xdr:colOff>134883</xdr:colOff>
      <xdr:row>18</xdr:row>
      <xdr:rowOff>32324</xdr:rowOff>
    </xdr:from>
    <xdr:ext cx="4009432" cy="1407308"/>
    <xdr:sp macro="" textlink="">
      <xdr:nvSpPr>
        <xdr:cNvPr id="6" name="Retângulo 5"/>
        <xdr:cNvSpPr/>
      </xdr:nvSpPr>
      <xdr:spPr>
        <a:xfrm rot="20722867">
          <a:off x="1039758" y="3089849"/>
          <a:ext cx="4009432" cy="1407308"/>
        </a:xfrm>
        <a:prstGeom prst="rect">
          <a:avLst/>
        </a:prstGeom>
        <a:noFill/>
        <a:effectLst>
          <a:glow rad="127000">
            <a:schemeClr val="accent1">
              <a:alpha val="22000"/>
            </a:schemeClr>
          </a:glo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800" b="1" cap="none" spc="0">
              <a:ln w="0"/>
              <a:solidFill>
                <a:schemeClr val="accent1">
                  <a:alpha val="12000"/>
                </a:schemeClr>
              </a:solidFill>
              <a:effectLst/>
            </a:rPr>
            <a:t>Cálculo realizado</a:t>
          </a:r>
        </a:p>
        <a:p>
          <a:pPr algn="ctr"/>
          <a:r>
            <a:rPr lang="pt-BR" sz="2800" b="1" cap="none" spc="0">
              <a:ln w="0"/>
              <a:solidFill>
                <a:schemeClr val="accent1">
                  <a:alpha val="12000"/>
                </a:schemeClr>
              </a:solidFill>
              <a:effectLst/>
            </a:rPr>
            <a:t>pela</a:t>
          </a:r>
          <a:r>
            <a:rPr lang="pt-BR" sz="2800" b="1" cap="none" spc="0" baseline="0">
              <a:ln w="0"/>
              <a:solidFill>
                <a:schemeClr val="accent1">
                  <a:alpha val="12000"/>
                </a:schemeClr>
              </a:solidFill>
              <a:effectLst/>
            </a:rPr>
            <a:t> internet.</a:t>
          </a:r>
        </a:p>
        <a:p>
          <a:pPr algn="ctr"/>
          <a:r>
            <a:rPr lang="pt-BR" sz="2800" b="1" cap="none" spc="0">
              <a:ln w="0"/>
              <a:solidFill>
                <a:schemeClr val="accent1">
                  <a:alpha val="12000"/>
                </a:schemeClr>
              </a:solidFill>
              <a:effectLst/>
            </a:rPr>
            <a:t>Sem</a:t>
          </a:r>
          <a:r>
            <a:rPr lang="pt-BR" sz="2800" b="1" cap="none" spc="0" baseline="0">
              <a:ln w="0"/>
              <a:solidFill>
                <a:schemeClr val="accent1">
                  <a:alpha val="12000"/>
                </a:schemeClr>
              </a:solidFill>
              <a:effectLst/>
            </a:rPr>
            <a:t> valor legal.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19050</xdr:colOff>
      <xdr:row>0</xdr:row>
      <xdr:rowOff>85724</xdr:rowOff>
    </xdr:from>
    <xdr:to>
      <xdr:col>22</xdr:col>
      <xdr:colOff>76200</xdr:colOff>
      <xdr:row>2</xdr:row>
      <xdr:rowOff>123825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 bwMode="auto">
        <a:xfrm>
          <a:off x="4876800" y="85724"/>
          <a:ext cx="1485900" cy="419101"/>
        </a:xfrm>
        <a:prstGeom prst="roundRect">
          <a:avLst/>
        </a:prstGeom>
        <a:solidFill>
          <a:srgbClr val="4F81BD"/>
        </a:solidFill>
        <a:ln w="25400" algn="ctr">
          <a:solidFill>
            <a:srgbClr val="385D8A"/>
          </a:solidFill>
          <a:miter lim="800000"/>
          <a:headEnd/>
          <a:tailEnd/>
        </a:ln>
      </xdr:spPr>
      <xdr:txBody>
        <a:bodyPr vertOverflow="clip" wrap="square" lIns="91440" tIns="45720" rIns="91440" bIns="45720" rtlCol="0" anchor="ctr" upright="1"/>
        <a:lstStyle/>
        <a:p>
          <a:pPr algn="ctr" rtl="1"/>
          <a:r>
            <a:rPr lang="pt-BR" sz="1100" b="0" i="0" strike="noStrike">
              <a:solidFill>
                <a:srgbClr val="FFFFFF"/>
              </a:solidFill>
              <a:latin typeface="Calibri"/>
              <a:cs typeface="Calibri"/>
            </a:rPr>
            <a:t>Voltar ao menu</a:t>
          </a:r>
        </a:p>
      </xdr:txBody>
    </xdr:sp>
    <xdr:clientData fPrintsWithSheet="0"/>
  </xdr:twoCellAnchor>
  <xdr:twoCellAnchor editAs="oneCell">
    <xdr:from>
      <xdr:col>23</xdr:col>
      <xdr:colOff>200025</xdr:colOff>
      <xdr:row>0</xdr:row>
      <xdr:rowOff>85725</xdr:rowOff>
    </xdr:from>
    <xdr:to>
      <xdr:col>34</xdr:col>
      <xdr:colOff>200025</xdr:colOff>
      <xdr:row>4</xdr:row>
      <xdr:rowOff>28575</xdr:rowOff>
    </xdr:to>
    <xdr:pic>
      <xdr:nvPicPr>
        <xdr:cNvPr id="11331" name="Imagem 2" descr="logo FecomerciariosOKcurvas.jp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772275" y="85725"/>
          <a:ext cx="3209925" cy="714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22</xdr:col>
      <xdr:colOff>0</xdr:colOff>
      <xdr:row>113</xdr:row>
      <xdr:rowOff>0</xdr:rowOff>
    </xdr:from>
    <xdr:to>
      <xdr:col>26</xdr:col>
      <xdr:colOff>276225</xdr:colOff>
      <xdr:row>115</xdr:row>
      <xdr:rowOff>19051</xdr:rowOff>
    </xdr:to>
    <xdr:sp macro="" textlink="">
      <xdr:nvSpPr>
        <xdr:cNvPr id="4" name="Retângulo de cantos arredondados 3">
          <a:hlinkClick xmlns:r="http://schemas.openxmlformats.org/officeDocument/2006/relationships" r:id="rId1"/>
        </xdr:cNvPr>
        <xdr:cNvSpPr/>
      </xdr:nvSpPr>
      <xdr:spPr bwMode="auto">
        <a:xfrm>
          <a:off x="6286500" y="13887450"/>
          <a:ext cx="1485900" cy="419101"/>
        </a:xfrm>
        <a:prstGeom prst="roundRect">
          <a:avLst/>
        </a:prstGeom>
        <a:solidFill>
          <a:srgbClr val="4F81BD"/>
        </a:solidFill>
        <a:ln w="25400" algn="ctr">
          <a:solidFill>
            <a:srgbClr val="385D8A"/>
          </a:solidFill>
          <a:miter lim="800000"/>
          <a:headEnd/>
          <a:tailEnd/>
        </a:ln>
      </xdr:spPr>
      <xdr:txBody>
        <a:bodyPr vertOverflow="clip" wrap="square" lIns="91440" tIns="45720" rIns="91440" bIns="45720" rtlCol="0" anchor="ctr" upright="1"/>
        <a:lstStyle/>
        <a:p>
          <a:pPr algn="ctr" rtl="1"/>
          <a:r>
            <a:rPr lang="pt-BR" sz="1100" b="0" i="0" strike="noStrike">
              <a:solidFill>
                <a:srgbClr val="FFFFFF"/>
              </a:solidFill>
              <a:latin typeface="Calibri"/>
              <a:cs typeface="Calibri"/>
            </a:rPr>
            <a:t>Voltar ao menu</a:t>
          </a:r>
        </a:p>
      </xdr:txBody>
    </xdr:sp>
    <xdr:clientData fPrintsWithSheet="0"/>
  </xdr:twoCellAnchor>
  <xdr:oneCellAnchor>
    <xdr:from>
      <xdr:col>26</xdr:col>
      <xdr:colOff>18106</xdr:colOff>
      <xdr:row>53</xdr:row>
      <xdr:rowOff>168090</xdr:rowOff>
    </xdr:from>
    <xdr:ext cx="2604070" cy="937629"/>
    <xdr:sp macro="" textlink="">
      <xdr:nvSpPr>
        <xdr:cNvPr id="3" name="Retângulo 2"/>
        <xdr:cNvSpPr/>
      </xdr:nvSpPr>
      <xdr:spPr>
        <a:xfrm>
          <a:off x="7649312" y="11149855"/>
          <a:ext cx="260407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2016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4F81BD"/>
        </a:solidFill>
        <a:ln w="25400" algn="ctr">
          <a:solidFill>
            <a:srgbClr val="385D8A"/>
          </a:solidFill>
          <a:miter lim="800000"/>
          <a:headEnd/>
          <a:tailEnd/>
        </a:ln>
      </a:spPr>
      <a:bodyPr vertOverflow="clip" wrap="square" lIns="91440" tIns="45720" rIns="91440" bIns="45720" anchor="ctr" upright="1"/>
      <a:lstStyle>
        <a:defPPr algn="ctr" rtl="1">
          <a:defRPr sz="1100" b="0" i="0" strike="noStrike">
            <a:solidFill>
              <a:srgbClr val="FFFFFF"/>
            </a:solidFill>
            <a:latin typeface="Calibri"/>
            <a:cs typeface="Calibri"/>
          </a:defRPr>
        </a:defPPr>
      </a:lst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V31"/>
  <sheetViews>
    <sheetView showGridLines="0" showRowColHeaders="0" tabSelected="1" zoomScaleNormal="100" workbookViewId="0">
      <selection sqref="A1:J1"/>
    </sheetView>
  </sheetViews>
  <sheetFormatPr defaultColWidth="0" defaultRowHeight="15" zeroHeight="1" x14ac:dyDescent="0.25"/>
  <cols>
    <col min="1" max="4" width="6" style="58" customWidth="1"/>
    <col min="5" max="21" width="3.140625" style="58" customWidth="1"/>
    <col min="22" max="26" width="5" style="58" customWidth="1"/>
    <col min="27" max="16384" width="3.140625" style="58" hidden="1"/>
  </cols>
  <sheetData>
    <row r="1" spans="1:256" s="187" customFormat="1" x14ac:dyDescent="0.25">
      <c r="A1" s="487"/>
      <c r="B1" s="487"/>
      <c r="C1" s="487"/>
      <c r="D1" s="487"/>
      <c r="E1" s="487"/>
      <c r="F1" s="487"/>
      <c r="G1" s="487"/>
      <c r="H1" s="487"/>
      <c r="I1" s="487"/>
      <c r="J1" s="487"/>
      <c r="K1" s="58"/>
      <c r="L1" s="58"/>
      <c r="M1" s="58"/>
      <c r="N1" s="58"/>
      <c r="O1" s="58"/>
      <c r="P1" s="486"/>
      <c r="Q1" s="486"/>
      <c r="R1" s="486"/>
      <c r="S1" s="486"/>
      <c r="T1" s="486"/>
      <c r="U1" s="486"/>
      <c r="V1" s="486"/>
      <c r="W1" s="486"/>
      <c r="X1" s="486"/>
      <c r="Y1" s="486"/>
      <c r="Z1" s="486"/>
      <c r="AA1" s="486"/>
      <c r="AB1" s="486"/>
      <c r="AC1" s="486"/>
      <c r="AD1" s="486"/>
      <c r="AE1" s="486"/>
      <c r="AF1" s="486"/>
      <c r="AG1" s="486"/>
      <c r="AH1" s="486"/>
      <c r="AI1" s="486"/>
      <c r="AJ1" s="486"/>
      <c r="AK1" s="486"/>
      <c r="AL1" s="486"/>
      <c r="AM1" s="486"/>
      <c r="AN1" s="486"/>
      <c r="AO1" s="486"/>
      <c r="AP1" s="486"/>
      <c r="AQ1" s="486"/>
      <c r="AR1" s="486"/>
      <c r="AS1" s="486"/>
      <c r="AT1" s="486"/>
      <c r="AU1" s="486"/>
      <c r="AV1" s="486"/>
      <c r="AW1" s="486"/>
      <c r="AX1" s="486"/>
      <c r="AY1" s="486"/>
      <c r="AZ1" s="486"/>
      <c r="BA1" s="486"/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X1" s="486"/>
      <c r="BY1" s="486"/>
      <c r="BZ1" s="486"/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W1" s="486"/>
      <c r="CX1" s="486"/>
      <c r="CY1" s="486"/>
      <c r="CZ1" s="486"/>
      <c r="DA1" s="486"/>
      <c r="DB1" s="486"/>
      <c r="DC1" s="486"/>
      <c r="DD1" s="486"/>
      <c r="DE1" s="486"/>
      <c r="DF1" s="486"/>
      <c r="DG1" s="486"/>
      <c r="DH1" s="486"/>
      <c r="DI1" s="486"/>
      <c r="DJ1" s="486"/>
      <c r="DK1" s="486"/>
      <c r="DL1" s="486"/>
      <c r="DM1" s="486"/>
      <c r="DN1" s="486"/>
      <c r="DO1" s="486"/>
      <c r="DP1" s="486"/>
      <c r="DQ1" s="486"/>
      <c r="DR1" s="486"/>
      <c r="DS1" s="486"/>
      <c r="DT1" s="486"/>
      <c r="DU1" s="486"/>
      <c r="DV1" s="486"/>
      <c r="DW1" s="486"/>
      <c r="DX1" s="486"/>
      <c r="DY1" s="486"/>
      <c r="DZ1" s="486"/>
      <c r="EA1" s="486"/>
      <c r="EB1" s="486"/>
      <c r="EC1" s="486"/>
      <c r="ED1" s="486"/>
      <c r="EE1" s="486"/>
      <c r="EF1" s="486"/>
      <c r="EG1" s="486"/>
      <c r="EH1" s="486"/>
      <c r="EI1" s="486"/>
      <c r="EJ1" s="486"/>
      <c r="EK1" s="486"/>
      <c r="EL1" s="486"/>
      <c r="EM1" s="486"/>
      <c r="EN1" s="486"/>
      <c r="EO1" s="486"/>
      <c r="EP1" s="486"/>
      <c r="EQ1" s="486"/>
      <c r="ER1" s="486"/>
      <c r="ES1" s="486"/>
      <c r="ET1" s="486"/>
      <c r="EU1" s="486"/>
      <c r="EV1" s="486"/>
      <c r="EW1" s="486"/>
      <c r="EX1" s="486"/>
      <c r="EY1" s="486"/>
      <c r="EZ1" s="486"/>
      <c r="FA1" s="486"/>
      <c r="FB1" s="486"/>
      <c r="FC1" s="486"/>
      <c r="FD1" s="486"/>
      <c r="FE1" s="486"/>
      <c r="FF1" s="486"/>
      <c r="FG1" s="486"/>
      <c r="FH1" s="486"/>
      <c r="FI1" s="486"/>
      <c r="FJ1" s="486"/>
      <c r="FK1" s="486"/>
      <c r="FL1" s="486"/>
      <c r="FM1" s="486"/>
      <c r="FN1" s="486"/>
      <c r="FO1" s="486"/>
      <c r="FP1" s="486"/>
      <c r="FQ1" s="486"/>
      <c r="FR1" s="486"/>
      <c r="FS1" s="486"/>
      <c r="FT1" s="486"/>
      <c r="FU1" s="486"/>
      <c r="FV1" s="486"/>
      <c r="FW1" s="486"/>
      <c r="FX1" s="486"/>
      <c r="FY1" s="486"/>
      <c r="FZ1" s="486"/>
      <c r="GA1" s="486"/>
      <c r="GB1" s="486"/>
      <c r="GC1" s="486"/>
      <c r="GD1" s="486"/>
      <c r="GE1" s="486"/>
      <c r="GF1" s="486"/>
      <c r="GG1" s="486"/>
      <c r="GH1" s="486"/>
      <c r="GI1" s="486"/>
      <c r="GJ1" s="486"/>
      <c r="GK1" s="486"/>
      <c r="GL1" s="486"/>
      <c r="GM1" s="486"/>
      <c r="GN1" s="486"/>
      <c r="GO1" s="486"/>
      <c r="GP1" s="486"/>
      <c r="GQ1" s="486"/>
      <c r="GR1" s="486"/>
      <c r="GS1" s="486"/>
      <c r="GT1" s="486"/>
      <c r="GU1" s="486"/>
      <c r="GV1" s="486"/>
      <c r="GW1" s="486"/>
      <c r="GX1" s="486"/>
      <c r="GY1" s="486"/>
      <c r="GZ1" s="486"/>
      <c r="HA1" s="486"/>
      <c r="HB1" s="486"/>
      <c r="HC1" s="486"/>
      <c r="HD1" s="486"/>
      <c r="HE1" s="486"/>
      <c r="HF1" s="486"/>
      <c r="HG1" s="486"/>
      <c r="HH1" s="486"/>
      <c r="HI1" s="486"/>
      <c r="HJ1" s="486"/>
      <c r="HK1" s="486"/>
      <c r="HL1" s="486"/>
      <c r="HM1" s="486"/>
      <c r="HN1" s="486"/>
      <c r="HO1" s="486"/>
      <c r="HP1" s="486"/>
      <c r="HQ1" s="486"/>
      <c r="HR1" s="486"/>
      <c r="HS1" s="486"/>
      <c r="HT1" s="486"/>
      <c r="HU1" s="486"/>
      <c r="HV1" s="486"/>
      <c r="HW1" s="486"/>
      <c r="HX1" s="486"/>
      <c r="HY1" s="486"/>
      <c r="HZ1" s="486"/>
      <c r="IA1" s="486"/>
      <c r="IB1" s="486"/>
      <c r="IC1" s="486"/>
      <c r="ID1" s="486"/>
      <c r="IE1" s="486"/>
      <c r="IF1" s="486"/>
      <c r="IG1" s="486"/>
      <c r="IH1" s="486"/>
      <c r="II1" s="486"/>
      <c r="IJ1" s="486"/>
      <c r="IK1" s="486"/>
      <c r="IL1" s="486"/>
      <c r="IM1" s="486"/>
      <c r="IN1" s="486"/>
      <c r="IO1" s="486"/>
      <c r="IP1" s="486"/>
      <c r="IQ1" s="486"/>
      <c r="IR1" s="486"/>
      <c r="IS1" s="486"/>
      <c r="IT1" s="486"/>
      <c r="IU1" s="486"/>
      <c r="IV1" s="486"/>
    </row>
    <row r="2" spans="1:256" s="56" customFormat="1" ht="9" customHeight="1" x14ac:dyDescent="0.25"/>
    <row r="3" spans="1:256" s="56" customFormat="1" x14ac:dyDescent="0.25"/>
    <row r="4" spans="1:256" s="56" customFormat="1" x14ac:dyDescent="0.25"/>
    <row r="5" spans="1:256" s="56" customFormat="1" x14ac:dyDescent="0.25"/>
    <row r="6" spans="1:256" s="56" customFormat="1" x14ac:dyDescent="0.25"/>
    <row r="7" spans="1:256" s="56" customFormat="1" ht="9.75" customHeight="1" x14ac:dyDescent="0.25"/>
    <row r="8" spans="1:256" ht="5.25" customHeight="1" x14ac:dyDescent="0.25"/>
    <row r="9" spans="1:256" s="488" customFormat="1" x14ac:dyDescent="0.25">
      <c r="A9" s="488" t="s">
        <v>135</v>
      </c>
    </row>
    <row r="10" spans="1:256" ht="6.75" customHeight="1" x14ac:dyDescent="0.25"/>
    <row r="11" spans="1:256" ht="6.75" customHeight="1" x14ac:dyDescent="0.25"/>
    <row r="12" spans="1:256" x14ac:dyDescent="0.25">
      <c r="D12" s="410"/>
      <c r="E12" s="410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U12" s="410"/>
      <c r="W12" s="410"/>
    </row>
    <row r="13" spans="1:256" x14ac:dyDescent="0.25">
      <c r="D13" s="410"/>
      <c r="E13" s="410"/>
      <c r="U13" s="410"/>
      <c r="W13" s="410"/>
    </row>
    <row r="14" spans="1:256" x14ac:dyDescent="0.25">
      <c r="D14" s="410"/>
      <c r="E14" s="410"/>
      <c r="U14" s="410"/>
      <c r="W14" s="410"/>
    </row>
    <row r="15" spans="1:256" x14ac:dyDescent="0.25">
      <c r="D15" s="410"/>
      <c r="E15" s="410"/>
      <c r="U15" s="410"/>
      <c r="W15" s="410"/>
    </row>
    <row r="16" spans="1:256" x14ac:dyDescent="0.25">
      <c r="D16" s="410"/>
      <c r="E16" s="410"/>
      <c r="U16" s="410"/>
      <c r="W16" s="410"/>
    </row>
    <row r="17" spans="1:26" x14ac:dyDescent="0.25">
      <c r="D17" s="410"/>
      <c r="E17" s="410"/>
      <c r="U17" s="410"/>
      <c r="W17" s="410"/>
    </row>
    <row r="18" spans="1:26" x14ac:dyDescent="0.25">
      <c r="D18" s="410"/>
      <c r="E18" s="410"/>
      <c r="U18" s="410"/>
      <c r="W18" s="410"/>
    </row>
    <row r="19" spans="1:26" x14ac:dyDescent="0.25">
      <c r="D19" s="410"/>
      <c r="E19" s="410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U19" s="410"/>
      <c r="W19" s="410"/>
    </row>
    <row r="20" spans="1:26" x14ac:dyDescent="0.25">
      <c r="D20" s="410"/>
      <c r="E20" s="410"/>
      <c r="U20" s="410"/>
      <c r="W20" s="410"/>
    </row>
    <row r="21" spans="1:26" x14ac:dyDescent="0.25">
      <c r="D21" s="410"/>
      <c r="E21" s="410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U21" s="410"/>
      <c r="W21" s="410"/>
    </row>
    <row r="22" spans="1:26" x14ac:dyDescent="0.25">
      <c r="D22" s="410"/>
      <c r="E22" s="410"/>
      <c r="U22" s="410"/>
      <c r="W22" s="410"/>
    </row>
    <row r="23" spans="1:26" x14ac:dyDescent="0.25">
      <c r="D23" s="410"/>
      <c r="E23" s="410"/>
      <c r="U23" s="410"/>
      <c r="W23" s="410"/>
    </row>
    <row r="24" spans="1:26" x14ac:dyDescent="0.25">
      <c r="D24" s="410"/>
      <c r="E24" s="410"/>
      <c r="U24" s="410"/>
    </row>
    <row r="25" spans="1:26" x14ac:dyDescent="0.25">
      <c r="D25" s="410"/>
      <c r="E25" s="410"/>
      <c r="U25" s="410"/>
    </row>
    <row r="26" spans="1:26" ht="2.25" customHeight="1" x14ac:dyDescent="0.25">
      <c r="D26" s="410"/>
      <c r="E26" s="410"/>
    </row>
    <row r="27" spans="1:26" ht="2.25" customHeight="1" x14ac:dyDescent="0.25">
      <c r="D27" s="410"/>
      <c r="E27" s="410"/>
    </row>
    <row r="28" spans="1:26" ht="2.25" customHeight="1" x14ac:dyDescent="0.25"/>
    <row r="29" spans="1:26" x14ac:dyDescent="0.25">
      <c r="A29" s="238"/>
      <c r="B29" s="227"/>
      <c r="C29" s="227"/>
      <c r="D29" s="227"/>
      <c r="E29" s="227"/>
      <c r="F29" s="227"/>
      <c r="G29" s="227"/>
      <c r="H29" s="227"/>
      <c r="I29" s="227"/>
      <c r="J29" s="227"/>
      <c r="K29" s="227"/>
      <c r="L29" s="227"/>
      <c r="M29" s="227"/>
      <c r="N29" s="227"/>
      <c r="O29" s="227"/>
      <c r="P29" s="227"/>
      <c r="Q29" s="227"/>
      <c r="R29" s="227"/>
      <c r="S29" s="227"/>
      <c r="T29" s="227"/>
      <c r="U29" s="227"/>
      <c r="V29" s="227"/>
      <c r="W29" s="227"/>
      <c r="X29" s="227"/>
      <c r="Y29" s="227"/>
      <c r="Z29" s="227"/>
    </row>
    <row r="30" spans="1:26" x14ac:dyDescent="0.25">
      <c r="A30" s="226"/>
      <c r="B30" s="226"/>
      <c r="C30" s="226"/>
      <c r="D30" s="226"/>
      <c r="E30" s="226"/>
      <c r="F30" s="226"/>
      <c r="G30" s="226"/>
      <c r="H30" s="226"/>
      <c r="I30" s="226"/>
      <c r="J30" s="226"/>
      <c r="K30" s="226"/>
      <c r="L30" s="226"/>
      <c r="M30" s="226"/>
      <c r="N30" s="226"/>
      <c r="O30" s="226"/>
      <c r="P30" s="226"/>
      <c r="Q30" s="226"/>
      <c r="R30" s="226"/>
      <c r="S30" s="226"/>
      <c r="T30" s="226"/>
      <c r="U30" s="226"/>
      <c r="V30" s="226"/>
      <c r="W30" s="226"/>
      <c r="X30" s="226"/>
      <c r="Y30" s="226"/>
      <c r="Z30" s="226"/>
    </row>
    <row r="31" spans="1:26" ht="18.75" customHeight="1" x14ac:dyDescent="0.25">
      <c r="A31" s="485" t="s">
        <v>228</v>
      </c>
      <c r="B31" s="485"/>
      <c r="C31" s="485"/>
      <c r="D31" s="485"/>
      <c r="E31" s="485"/>
      <c r="F31" s="485"/>
      <c r="G31" s="485"/>
      <c r="H31" s="485"/>
      <c r="I31" s="485"/>
      <c r="J31" s="485"/>
      <c r="K31" s="485"/>
      <c r="L31" s="485"/>
      <c r="M31" s="485"/>
      <c r="N31" s="485"/>
      <c r="O31" s="485"/>
      <c r="P31" s="485"/>
      <c r="Q31" s="485"/>
      <c r="R31" s="485"/>
      <c r="S31" s="485"/>
      <c r="T31" s="485"/>
      <c r="U31" s="485"/>
      <c r="V31" s="485"/>
      <c r="W31" s="485"/>
      <c r="X31" s="485"/>
      <c r="Y31" s="485"/>
      <c r="Z31" s="485"/>
    </row>
  </sheetData>
  <sheetProtection password="C47D" sheet="1" objects="1" scenarios="1" selectLockedCells="1" selectUnlockedCells="1"/>
  <mergeCells count="4">
    <mergeCell ref="A31:Z31"/>
    <mergeCell ref="P1:IV1"/>
    <mergeCell ref="A1:J1"/>
    <mergeCell ref="A9:XFD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IV25"/>
  <sheetViews>
    <sheetView showGridLines="0" showRowColHeaders="0" workbookViewId="0">
      <selection activeCell="V12" sqref="V12"/>
    </sheetView>
  </sheetViews>
  <sheetFormatPr defaultColWidth="0" defaultRowHeight="15" customHeight="1" zeroHeight="1" x14ac:dyDescent="0.25"/>
  <cols>
    <col min="1" max="26" width="3.140625" style="58" customWidth="1"/>
    <col min="27" max="16384" width="3.140625" style="58" hidden="1"/>
  </cols>
  <sheetData>
    <row r="1" spans="1:256" s="188" customFormat="1" x14ac:dyDescent="0.25">
      <c r="A1" s="489"/>
      <c r="B1" s="489"/>
      <c r="C1" s="489"/>
      <c r="D1" s="489"/>
      <c r="E1" s="489"/>
      <c r="F1" s="489"/>
      <c r="G1" s="489"/>
      <c r="H1" s="489"/>
      <c r="I1" s="489"/>
      <c r="J1" s="489"/>
      <c r="K1" s="70"/>
      <c r="L1" s="70"/>
      <c r="M1" s="70"/>
      <c r="N1" s="70"/>
      <c r="O1" s="70"/>
      <c r="P1" s="490"/>
      <c r="Q1" s="490"/>
      <c r="R1" s="490"/>
      <c r="S1" s="490"/>
      <c r="T1" s="490"/>
      <c r="U1" s="490"/>
      <c r="V1" s="490"/>
      <c r="W1" s="490"/>
      <c r="X1" s="490"/>
      <c r="Y1" s="490"/>
      <c r="Z1" s="490"/>
      <c r="AA1" s="490"/>
      <c r="AB1" s="490"/>
      <c r="AC1" s="490"/>
      <c r="AD1" s="490"/>
      <c r="AE1" s="490"/>
      <c r="AF1" s="490"/>
      <c r="AG1" s="490"/>
      <c r="AH1" s="490"/>
      <c r="AI1" s="490"/>
      <c r="AJ1" s="490"/>
      <c r="AK1" s="490"/>
      <c r="AL1" s="490"/>
      <c r="AM1" s="490"/>
      <c r="AN1" s="490"/>
      <c r="AO1" s="490"/>
      <c r="AP1" s="490"/>
      <c r="AQ1" s="490"/>
      <c r="AR1" s="490"/>
      <c r="AS1" s="490"/>
      <c r="AT1" s="490"/>
      <c r="AU1" s="490"/>
      <c r="AV1" s="490"/>
      <c r="AW1" s="490"/>
      <c r="AX1" s="490"/>
      <c r="AY1" s="490"/>
      <c r="AZ1" s="490"/>
      <c r="BA1" s="490"/>
      <c r="BB1" s="490"/>
      <c r="BC1" s="490"/>
      <c r="BD1" s="490"/>
      <c r="BE1" s="490"/>
      <c r="BF1" s="490"/>
      <c r="BG1" s="490"/>
      <c r="BH1" s="490"/>
      <c r="BI1" s="490"/>
      <c r="BJ1" s="490"/>
      <c r="BK1" s="490"/>
      <c r="BL1" s="490"/>
      <c r="BM1" s="490"/>
      <c r="BN1" s="490"/>
      <c r="BO1" s="490"/>
      <c r="BP1" s="490"/>
      <c r="BQ1" s="490"/>
      <c r="BR1" s="490"/>
      <c r="BS1" s="490"/>
      <c r="BT1" s="490"/>
      <c r="BU1" s="490"/>
      <c r="BV1" s="490"/>
      <c r="BW1" s="490"/>
      <c r="BX1" s="490"/>
      <c r="BY1" s="490"/>
      <c r="BZ1" s="490"/>
      <c r="CA1" s="490"/>
      <c r="CB1" s="490"/>
      <c r="CC1" s="490"/>
      <c r="CD1" s="490"/>
      <c r="CE1" s="490"/>
      <c r="CF1" s="490"/>
      <c r="CG1" s="490"/>
      <c r="CH1" s="490"/>
      <c r="CI1" s="490"/>
      <c r="CJ1" s="490"/>
      <c r="CK1" s="490"/>
      <c r="CL1" s="490"/>
      <c r="CM1" s="490"/>
      <c r="CN1" s="490"/>
      <c r="CO1" s="490"/>
      <c r="CP1" s="490"/>
      <c r="CQ1" s="490"/>
      <c r="CR1" s="490"/>
      <c r="CS1" s="490"/>
      <c r="CT1" s="490"/>
      <c r="CU1" s="490"/>
      <c r="CV1" s="490"/>
      <c r="CW1" s="490"/>
      <c r="CX1" s="490"/>
      <c r="CY1" s="490"/>
      <c r="CZ1" s="490"/>
      <c r="DA1" s="490"/>
      <c r="DB1" s="490"/>
      <c r="DC1" s="490"/>
      <c r="DD1" s="490"/>
      <c r="DE1" s="490"/>
      <c r="DF1" s="490"/>
      <c r="DG1" s="490"/>
      <c r="DH1" s="490"/>
      <c r="DI1" s="490"/>
      <c r="DJ1" s="490"/>
      <c r="DK1" s="490"/>
      <c r="DL1" s="490"/>
      <c r="DM1" s="490"/>
      <c r="DN1" s="490"/>
      <c r="DO1" s="490"/>
      <c r="DP1" s="490"/>
      <c r="DQ1" s="490"/>
      <c r="DR1" s="490"/>
      <c r="DS1" s="490"/>
      <c r="DT1" s="490"/>
      <c r="DU1" s="490"/>
      <c r="DV1" s="490"/>
      <c r="DW1" s="490"/>
      <c r="DX1" s="490"/>
      <c r="DY1" s="490"/>
      <c r="DZ1" s="490"/>
      <c r="EA1" s="490"/>
      <c r="EB1" s="490"/>
      <c r="EC1" s="490"/>
      <c r="ED1" s="490"/>
      <c r="EE1" s="490"/>
      <c r="EF1" s="490"/>
      <c r="EG1" s="490"/>
      <c r="EH1" s="490"/>
      <c r="EI1" s="490"/>
      <c r="EJ1" s="490"/>
      <c r="EK1" s="490"/>
      <c r="EL1" s="490"/>
      <c r="EM1" s="490"/>
      <c r="EN1" s="490"/>
      <c r="EO1" s="490"/>
      <c r="EP1" s="490"/>
      <c r="EQ1" s="490"/>
      <c r="ER1" s="490"/>
      <c r="ES1" s="490"/>
      <c r="ET1" s="490"/>
      <c r="EU1" s="490"/>
      <c r="EV1" s="490"/>
      <c r="EW1" s="490"/>
      <c r="EX1" s="490"/>
      <c r="EY1" s="490"/>
      <c r="EZ1" s="490"/>
      <c r="FA1" s="490"/>
      <c r="FB1" s="490"/>
      <c r="FC1" s="490"/>
      <c r="FD1" s="490"/>
      <c r="FE1" s="490"/>
      <c r="FF1" s="490"/>
      <c r="FG1" s="490"/>
      <c r="FH1" s="490"/>
      <c r="FI1" s="490"/>
      <c r="FJ1" s="490"/>
      <c r="FK1" s="490"/>
      <c r="FL1" s="490"/>
      <c r="FM1" s="490"/>
      <c r="FN1" s="490"/>
      <c r="FO1" s="490"/>
      <c r="FP1" s="490"/>
      <c r="FQ1" s="490"/>
      <c r="FR1" s="490"/>
      <c r="FS1" s="490"/>
      <c r="FT1" s="490"/>
      <c r="FU1" s="490"/>
      <c r="FV1" s="490"/>
      <c r="FW1" s="490"/>
      <c r="FX1" s="490"/>
      <c r="FY1" s="490"/>
      <c r="FZ1" s="490"/>
      <c r="GA1" s="490"/>
      <c r="GB1" s="490"/>
      <c r="GC1" s="490"/>
      <c r="GD1" s="490"/>
      <c r="GE1" s="490"/>
      <c r="GF1" s="490"/>
      <c r="GG1" s="490"/>
      <c r="GH1" s="490"/>
      <c r="GI1" s="490"/>
      <c r="GJ1" s="490"/>
      <c r="GK1" s="490"/>
      <c r="GL1" s="490"/>
      <c r="GM1" s="490"/>
      <c r="GN1" s="490"/>
      <c r="GO1" s="490"/>
      <c r="GP1" s="490"/>
      <c r="GQ1" s="490"/>
      <c r="GR1" s="490"/>
      <c r="GS1" s="490"/>
      <c r="GT1" s="490"/>
      <c r="GU1" s="490"/>
      <c r="GV1" s="490"/>
      <c r="GW1" s="490"/>
      <c r="GX1" s="490"/>
      <c r="GY1" s="490"/>
      <c r="GZ1" s="490"/>
      <c r="HA1" s="490"/>
      <c r="HB1" s="490"/>
      <c r="HC1" s="490"/>
      <c r="HD1" s="490"/>
      <c r="HE1" s="490"/>
      <c r="HF1" s="490"/>
      <c r="HG1" s="490"/>
      <c r="HH1" s="490"/>
      <c r="HI1" s="490"/>
      <c r="HJ1" s="490"/>
      <c r="HK1" s="490"/>
      <c r="HL1" s="490"/>
      <c r="HM1" s="490"/>
      <c r="HN1" s="490"/>
      <c r="HO1" s="490"/>
      <c r="HP1" s="490"/>
      <c r="HQ1" s="490"/>
      <c r="HR1" s="490"/>
      <c r="HS1" s="490"/>
      <c r="HT1" s="490"/>
      <c r="HU1" s="490"/>
      <c r="HV1" s="490"/>
      <c r="HW1" s="490"/>
      <c r="HX1" s="490"/>
      <c r="HY1" s="490"/>
      <c r="HZ1" s="490"/>
      <c r="IA1" s="490"/>
      <c r="IB1" s="490"/>
      <c r="IC1" s="490"/>
      <c r="ID1" s="490"/>
      <c r="IE1" s="490"/>
      <c r="IF1" s="490"/>
      <c r="IG1" s="490"/>
      <c r="IH1" s="490"/>
      <c r="II1" s="490"/>
      <c r="IJ1" s="490"/>
      <c r="IK1" s="490"/>
      <c r="IL1" s="490"/>
      <c r="IM1" s="490"/>
      <c r="IN1" s="490"/>
      <c r="IO1" s="490"/>
      <c r="IP1" s="490"/>
      <c r="IQ1" s="490"/>
      <c r="IR1" s="490"/>
      <c r="IS1" s="490"/>
      <c r="IT1" s="490"/>
      <c r="IU1" s="490"/>
      <c r="IV1" s="490"/>
    </row>
    <row r="2" spans="1:256" s="57" customFormat="1" ht="9" customHeight="1" x14ac:dyDescent="0.25"/>
    <row r="3" spans="1:256" s="57" customFormat="1" x14ac:dyDescent="0.25"/>
    <row r="4" spans="1:256" s="57" customFormat="1" x14ac:dyDescent="0.25"/>
    <row r="5" spans="1:256" s="57" customFormat="1" x14ac:dyDescent="0.25"/>
    <row r="6" spans="1:256" s="57" customFormat="1" x14ac:dyDescent="0.25"/>
    <row r="7" spans="1:256" s="57" customFormat="1" ht="9.75" customHeight="1" x14ac:dyDescent="0.25"/>
    <row r="8" spans="1:256" ht="5.25" customHeight="1" x14ac:dyDescent="0.25">
      <c r="A8" s="70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</row>
    <row r="9" spans="1:256" s="491" customFormat="1" x14ac:dyDescent="0.25">
      <c r="A9" s="491" t="s">
        <v>99</v>
      </c>
    </row>
    <row r="10" spans="1:256" x14ac:dyDescent="0.25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</row>
    <row r="11" spans="1:256" x14ac:dyDescent="0.25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</row>
    <row r="12" spans="1:256" x14ac:dyDescent="0.25">
      <c r="A12" s="70"/>
      <c r="B12" s="70"/>
      <c r="C12" s="70"/>
      <c r="D12" s="70"/>
      <c r="E12" s="70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0"/>
      <c r="T12" s="70"/>
      <c r="U12" s="70"/>
      <c r="V12" s="70"/>
      <c r="W12" s="70"/>
      <c r="X12" s="70"/>
      <c r="Y12" s="70"/>
      <c r="Z12" s="70"/>
    </row>
    <row r="13" spans="1:256" x14ac:dyDescent="0.25">
      <c r="A13" s="70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</row>
    <row r="14" spans="1:256" x14ac:dyDescent="0.25">
      <c r="A14" s="70"/>
      <c r="B14" s="70"/>
      <c r="C14" s="70"/>
      <c r="D14" s="70"/>
      <c r="E14" s="70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0"/>
      <c r="T14" s="70"/>
      <c r="U14" s="70"/>
      <c r="V14" s="70"/>
      <c r="W14" s="70"/>
      <c r="X14" s="70"/>
      <c r="Y14" s="70"/>
      <c r="Z14" s="70"/>
    </row>
    <row r="15" spans="1:256" x14ac:dyDescent="0.25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</row>
    <row r="16" spans="1:256" x14ac:dyDescent="0.25">
      <c r="A16" s="70"/>
      <c r="B16" s="70"/>
      <c r="C16" s="70"/>
      <c r="D16" s="70"/>
      <c r="E16" s="70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0"/>
      <c r="T16" s="70"/>
      <c r="U16" s="70"/>
      <c r="V16" s="70"/>
      <c r="W16" s="70"/>
      <c r="X16" s="70"/>
      <c r="Y16" s="70"/>
      <c r="Z16" s="70"/>
    </row>
    <row r="17" spans="1:26" x14ac:dyDescent="0.25">
      <c r="A17" s="70"/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</row>
    <row r="18" spans="1:26" x14ac:dyDescent="0.25">
      <c r="A18" s="70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</row>
    <row r="19" spans="1:26" x14ac:dyDescent="0.25">
      <c r="A19" s="70"/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</row>
    <row r="20" spans="1:26" x14ac:dyDescent="0.25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</row>
    <row r="21" spans="1:26" x14ac:dyDescent="0.25">
      <c r="A21" s="70"/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</row>
    <row r="22" spans="1:26" x14ac:dyDescent="0.25">
      <c r="A22" s="70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</row>
    <row r="23" spans="1:26" x14ac:dyDescent="0.25">
      <c r="A23" s="70"/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</row>
    <row r="24" spans="1:26" ht="18.75" customHeight="1" x14ac:dyDescent="0.25">
      <c r="A24" s="485" t="str">
        <f>Menu!A31</f>
        <v>Planilha+ 5.1.2   .:.   Acácio Jr   .:.   unico@acaciojunior.com       -      Última atualização: 03/02/2016</v>
      </c>
      <c r="B24" s="485"/>
      <c r="C24" s="485"/>
      <c r="D24" s="485"/>
      <c r="E24" s="485"/>
      <c r="F24" s="485"/>
      <c r="G24" s="485"/>
      <c r="H24" s="485"/>
      <c r="I24" s="485"/>
      <c r="J24" s="485"/>
      <c r="K24" s="485"/>
      <c r="L24" s="485"/>
      <c r="M24" s="485"/>
      <c r="N24" s="485"/>
      <c r="O24" s="485"/>
      <c r="P24" s="485"/>
      <c r="Q24" s="485"/>
      <c r="R24" s="485"/>
      <c r="S24" s="485"/>
      <c r="T24" s="485"/>
      <c r="U24" s="485"/>
      <c r="V24" s="485"/>
      <c r="W24" s="485"/>
      <c r="X24" s="485"/>
      <c r="Y24" s="485"/>
      <c r="Z24" s="485"/>
    </row>
    <row r="25" spans="1:26" ht="15" hidden="1" customHeight="1" x14ac:dyDescent="0.25">
      <c r="A25" s="58" t="s">
        <v>172</v>
      </c>
    </row>
  </sheetData>
  <sheetProtection password="CB7C" sheet="1" objects="1" scenarios="1" selectLockedCells="1" selectUnlockedCells="1"/>
  <mergeCells count="4">
    <mergeCell ref="A1:J1"/>
    <mergeCell ref="P1:IV1"/>
    <mergeCell ref="A9:XFD9"/>
    <mergeCell ref="A24:Z24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pageSetUpPr fitToPage="1"/>
  </sheetPr>
  <dimension ref="A1:X52"/>
  <sheetViews>
    <sheetView showGridLines="0" showRowColHeaders="0" workbookViewId="0">
      <selection activeCell="H6" sqref="H6:O6"/>
    </sheetView>
  </sheetViews>
  <sheetFormatPr defaultColWidth="0" defaultRowHeight="18.75" zeroHeight="1" x14ac:dyDescent="0.25"/>
  <cols>
    <col min="1" max="6" width="5" style="2" customWidth="1"/>
    <col min="7" max="7" width="6.42578125" style="2" customWidth="1"/>
    <col min="8" max="13" width="5" style="2" customWidth="1"/>
    <col min="14" max="14" width="4.42578125" style="2" customWidth="1"/>
    <col min="15" max="15" width="3.7109375" style="2" customWidth="1"/>
    <col min="16" max="16" width="5.28515625" style="2" customWidth="1"/>
    <col min="17" max="17" width="6" style="2" customWidth="1"/>
    <col min="18" max="18" width="14" style="2" customWidth="1"/>
    <col min="19" max="19" width="11.85546875" style="2" customWidth="1"/>
    <col min="20" max="20" width="8.5703125" style="2" customWidth="1"/>
    <col min="21" max="21" width="7.42578125" style="2" customWidth="1"/>
    <col min="22" max="22" width="37.5703125" style="2" hidden="1" customWidth="1"/>
    <col min="23" max="23" width="10.42578125" style="2" hidden="1" customWidth="1"/>
    <col min="24" max="24" width="23.5703125" style="2" hidden="1" customWidth="1"/>
    <col min="25" max="16384" width="9.140625" style="2" hidden="1"/>
  </cols>
  <sheetData>
    <row r="1" spans="1:24" x14ac:dyDescent="0.2">
      <c r="A1" s="72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495" t="s">
        <v>136</v>
      </c>
      <c r="O1" s="495"/>
      <c r="P1" s="495"/>
      <c r="Q1" s="495"/>
      <c r="R1" s="495"/>
      <c r="S1" s="495"/>
      <c r="T1" s="495"/>
      <c r="U1" s="60"/>
      <c r="W1" s="1" t="s">
        <v>38</v>
      </c>
      <c r="X1" s="1" t="s">
        <v>35</v>
      </c>
    </row>
    <row r="2" spans="1:24" x14ac:dyDescent="0.2">
      <c r="A2" s="72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495"/>
      <c r="O2" s="495"/>
      <c r="P2" s="495"/>
      <c r="Q2" s="495"/>
      <c r="R2" s="495"/>
      <c r="S2" s="495"/>
      <c r="T2" s="495"/>
      <c r="U2" s="60"/>
      <c r="W2" s="1" t="s">
        <v>30</v>
      </c>
      <c r="X2" s="1" t="s">
        <v>36</v>
      </c>
    </row>
    <row r="3" spans="1:24" ht="26.25" x14ac:dyDescent="0.25">
      <c r="A3" s="72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496" t="str">
        <f>config!I101</f>
        <v>SINCOMERCIÁRIOS</v>
      </c>
      <c r="O3" s="496"/>
      <c r="P3" s="496"/>
      <c r="Q3" s="496"/>
      <c r="R3" s="496"/>
      <c r="S3" s="496"/>
      <c r="T3" s="496"/>
      <c r="U3" s="60"/>
      <c r="W3" s="1" t="s">
        <v>31</v>
      </c>
      <c r="X3" s="1" t="s">
        <v>37</v>
      </c>
    </row>
    <row r="4" spans="1:24" ht="4.5" customHeight="1" x14ac:dyDescent="0.25">
      <c r="A4" s="72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60"/>
    </row>
    <row r="5" spans="1:24" ht="4.5" customHeight="1" x14ac:dyDescent="0.25">
      <c r="A5" s="492"/>
      <c r="B5" s="492"/>
      <c r="C5" s="492"/>
      <c r="D5" s="492"/>
      <c r="E5" s="492"/>
      <c r="F5" s="492"/>
      <c r="G5" s="492"/>
      <c r="H5" s="492"/>
      <c r="I5" s="492"/>
      <c r="J5" s="492"/>
      <c r="K5" s="492"/>
      <c r="L5" s="492"/>
      <c r="M5" s="492"/>
      <c r="N5" s="492"/>
      <c r="O5" s="492"/>
      <c r="P5" s="492"/>
      <c r="Q5" s="492"/>
      <c r="R5" s="492"/>
      <c r="S5" s="492"/>
      <c r="T5" s="492"/>
      <c r="U5" s="492"/>
    </row>
    <row r="6" spans="1:24" ht="17.25" customHeight="1" x14ac:dyDescent="0.25">
      <c r="A6" s="60"/>
      <c r="B6" s="493" t="s">
        <v>34</v>
      </c>
      <c r="C6" s="493"/>
      <c r="D6" s="493"/>
      <c r="E6" s="493"/>
      <c r="F6" s="493"/>
      <c r="G6" s="493"/>
      <c r="H6" s="497"/>
      <c r="I6" s="497"/>
      <c r="J6" s="497"/>
      <c r="K6" s="497"/>
      <c r="L6" s="497"/>
      <c r="M6" s="497"/>
      <c r="N6" s="497"/>
      <c r="O6" s="497"/>
      <c r="P6" s="60"/>
      <c r="Q6" s="73" t="str">
        <f>IF(H6="Pedido de demissão",IF(H10&gt;0,IF(H12&gt;0,"Dias de aviso cumprido:",""),""),"")</f>
        <v/>
      </c>
      <c r="R6" s="60"/>
      <c r="S6" s="368" t="str">
        <f>IF(H6="Pedido de demissão",IF(H10&gt;0,IF(H12&gt;0,H12-H10,""),""),"")</f>
        <v/>
      </c>
      <c r="T6" s="60"/>
      <c r="U6" s="60"/>
    </row>
    <row r="7" spans="1:24" ht="2.25" customHeight="1" x14ac:dyDescent="0.25">
      <c r="A7" s="492"/>
      <c r="B7" s="492"/>
      <c r="C7" s="492"/>
      <c r="D7" s="492"/>
      <c r="E7" s="492"/>
      <c r="F7" s="492"/>
      <c r="G7" s="492"/>
      <c r="H7" s="492"/>
      <c r="I7" s="492"/>
      <c r="J7" s="492"/>
      <c r="K7" s="492"/>
      <c r="L7" s="492"/>
      <c r="M7" s="492"/>
      <c r="N7" s="492"/>
      <c r="O7" s="492"/>
      <c r="P7" s="492"/>
      <c r="Q7" s="492"/>
      <c r="R7" s="492"/>
      <c r="S7" s="492"/>
      <c r="T7" s="492"/>
      <c r="U7" s="492"/>
    </row>
    <row r="8" spans="1:24" ht="17.25" customHeight="1" x14ac:dyDescent="0.25">
      <c r="A8" s="60"/>
      <c r="B8" s="493" t="s">
        <v>2</v>
      </c>
      <c r="C8" s="493"/>
      <c r="D8" s="493"/>
      <c r="E8" s="493"/>
      <c r="F8" s="493"/>
      <c r="G8" s="493"/>
      <c r="H8" s="494"/>
      <c r="I8" s="494"/>
      <c r="J8" s="494"/>
      <c r="K8" s="246" t="s">
        <v>53</v>
      </c>
      <c r="L8" s="74"/>
      <c r="M8" s="60"/>
      <c r="N8" s="74"/>
      <c r="O8" s="74"/>
      <c r="P8" s="60"/>
      <c r="Q8" s="60"/>
      <c r="R8" s="366"/>
      <c r="S8" s="366"/>
      <c r="T8" s="367">
        <f>IF(H6="",0,H12-H10)</f>
        <v>0</v>
      </c>
      <c r="U8" s="60"/>
    </row>
    <row r="9" spans="1:24" s="60" customFormat="1" ht="2.25" customHeight="1" x14ac:dyDescent="0.25">
      <c r="B9" s="230"/>
      <c r="C9" s="230"/>
      <c r="D9" s="230"/>
      <c r="E9" s="230"/>
      <c r="F9" s="230"/>
      <c r="G9" s="230"/>
      <c r="H9" s="231"/>
      <c r="I9" s="231"/>
      <c r="J9" s="231"/>
      <c r="K9" s="247"/>
      <c r="L9" s="232"/>
      <c r="M9" s="233"/>
      <c r="N9" s="232"/>
      <c r="O9" s="232"/>
      <c r="P9" s="233"/>
      <c r="Q9" s="233"/>
      <c r="R9" s="233"/>
      <c r="S9" s="233"/>
    </row>
    <row r="10" spans="1:24" ht="17.25" customHeight="1" x14ac:dyDescent="0.25">
      <c r="A10" s="60"/>
      <c r="B10" s="215"/>
      <c r="C10" s="215"/>
      <c r="D10" s="215"/>
      <c r="E10" s="215"/>
      <c r="F10" s="215"/>
      <c r="G10" s="245" t="s">
        <v>160</v>
      </c>
      <c r="H10" s="494"/>
      <c r="I10" s="494"/>
      <c r="J10" s="494"/>
      <c r="K10" s="248" t="s">
        <v>161</v>
      </c>
      <c r="L10" s="214"/>
      <c r="M10" s="60"/>
      <c r="N10" s="219" t="str">
        <f>IF(P10="","",IF(H6="Dispensa sem justa causa","Direito á",""))</f>
        <v/>
      </c>
      <c r="O10" s="219"/>
      <c r="P10" s="223" t="str">
        <f>IF(H6="Dispensa sem justa causa",IF(H8&gt;0,IF(H10&gt;0,IF(calculo!AI8+30&lt;=90,calculo!AI8+30,90),""),""),"")</f>
        <v/>
      </c>
      <c r="Q10" s="219" t="str">
        <f>IF(P10="","",IF(H6="Dispensa sem justa causa","dias de aviso prévio (trabalhado ou indenizado)",""))</f>
        <v/>
      </c>
      <c r="R10" s="60"/>
      <c r="S10" s="219"/>
      <c r="T10" s="60"/>
      <c r="U10" s="60"/>
    </row>
    <row r="11" spans="1:24" ht="2.25" customHeight="1" x14ac:dyDescent="0.25">
      <c r="A11" s="492"/>
      <c r="B11" s="492"/>
      <c r="C11" s="492"/>
      <c r="D11" s="492"/>
      <c r="E11" s="492"/>
      <c r="F11" s="492"/>
      <c r="G11" s="492"/>
      <c r="H11" s="492"/>
      <c r="I11" s="492"/>
      <c r="J11" s="492"/>
      <c r="K11" s="492"/>
      <c r="L11" s="492"/>
      <c r="M11" s="492"/>
      <c r="N11" s="492"/>
      <c r="O11" s="492"/>
      <c r="P11" s="492"/>
      <c r="Q11" s="492"/>
      <c r="R11" s="492"/>
      <c r="S11" s="492"/>
      <c r="T11" s="492"/>
      <c r="U11" s="492"/>
    </row>
    <row r="12" spans="1:24" ht="17.25" customHeight="1" x14ac:dyDescent="0.25">
      <c r="A12" s="60"/>
      <c r="B12" s="493" t="s">
        <v>159</v>
      </c>
      <c r="C12" s="493"/>
      <c r="D12" s="493"/>
      <c r="E12" s="493"/>
      <c r="F12" s="493"/>
      <c r="G12" s="493"/>
      <c r="H12" s="494"/>
      <c r="I12" s="494"/>
      <c r="J12" s="494"/>
      <c r="K12" s="248" t="s">
        <v>161</v>
      </c>
      <c r="L12" s="60"/>
      <c r="M12" s="60"/>
      <c r="N12" s="498" t="str">
        <f>IF(H6="Dispensa sem justa causa",IF(H8&gt;0,IF(H10&gt;0,IF(H12&gt;0,IF(T12&gt;0,"Aviso prévio restante será indenizado",IF(T12&lt;0,"Erro de procedimento, excedeu  dias no aviso prévio.","")),""),""),""),"")</f>
        <v/>
      </c>
      <c r="O12" s="498"/>
      <c r="P12" s="498"/>
      <c r="Q12" s="498"/>
      <c r="R12" s="498"/>
      <c r="S12" s="498"/>
      <c r="T12" s="225" t="str">
        <f>IF(H6="Dispensa sem justa causa",IF(H8&gt;0,IF(H10&gt;0,IF(H12&gt;0,(calculo!AI8+30)-T8,""),""),""),"")</f>
        <v/>
      </c>
      <c r="U12" s="224"/>
    </row>
    <row r="13" spans="1:24" ht="2.25" customHeight="1" x14ac:dyDescent="0.25">
      <c r="A13" s="492"/>
      <c r="B13" s="492"/>
      <c r="C13" s="492"/>
      <c r="D13" s="492"/>
      <c r="E13" s="492"/>
      <c r="F13" s="492"/>
      <c r="G13" s="492"/>
      <c r="H13" s="492"/>
      <c r="I13" s="492"/>
      <c r="J13" s="492"/>
      <c r="K13" s="492"/>
      <c r="L13" s="492"/>
      <c r="M13" s="492"/>
      <c r="N13" s="492"/>
      <c r="O13" s="492"/>
      <c r="P13" s="492"/>
      <c r="Q13" s="492"/>
      <c r="R13" s="492"/>
      <c r="S13" s="492"/>
      <c r="T13" s="492"/>
      <c r="U13" s="492"/>
    </row>
    <row r="14" spans="1:24" s="60" customFormat="1" ht="17.25" customHeight="1" x14ac:dyDescent="0.25">
      <c r="B14" s="493" t="s">
        <v>61</v>
      </c>
      <c r="C14" s="493"/>
      <c r="D14" s="493"/>
      <c r="E14" s="493"/>
      <c r="F14" s="493"/>
      <c r="G14" s="493"/>
      <c r="H14" s="499"/>
      <c r="I14" s="499"/>
      <c r="J14" s="499"/>
      <c r="K14" s="499"/>
      <c r="L14" s="248" t="s">
        <v>184</v>
      </c>
      <c r="Q14" s="506" t="str">
        <f>IF(H12&gt;0,IF(H12&lt;H10,"Data de saída inferior a data de aviso",""),"")</f>
        <v/>
      </c>
      <c r="R14" s="506"/>
      <c r="S14" s="506"/>
      <c r="T14" s="506"/>
    </row>
    <row r="15" spans="1:24" ht="2.25" customHeight="1" x14ac:dyDescent="0.25">
      <c r="A15" s="492"/>
      <c r="B15" s="492"/>
      <c r="C15" s="492"/>
      <c r="D15" s="492"/>
      <c r="E15" s="492"/>
      <c r="F15" s="492"/>
      <c r="G15" s="492"/>
      <c r="H15" s="492"/>
      <c r="I15" s="492"/>
      <c r="J15" s="492"/>
      <c r="K15" s="492"/>
      <c r="L15" s="492"/>
      <c r="M15" s="492"/>
      <c r="N15" s="492"/>
      <c r="O15" s="492"/>
      <c r="P15" s="492"/>
      <c r="Q15" s="492"/>
      <c r="R15" s="492"/>
      <c r="S15" s="492"/>
      <c r="T15" s="492"/>
      <c r="U15" s="492"/>
    </row>
    <row r="16" spans="1:24" ht="17.25" customHeight="1" x14ac:dyDescent="0.25">
      <c r="A16" s="60"/>
      <c r="B16" s="493" t="s">
        <v>147</v>
      </c>
      <c r="C16" s="493"/>
      <c r="D16" s="493"/>
      <c r="E16" s="493"/>
      <c r="F16" s="493"/>
      <c r="G16" s="493"/>
      <c r="H16" s="497"/>
      <c r="I16" s="497"/>
      <c r="J16" s="497"/>
      <c r="K16" s="492" t="str">
        <f>IF(H8&gt;0,IF(H10&gt;0,IF(H16="sim",IF(calculo!AJ8&gt;=1,"","Atenção: Não há férias vencidas"),""),""),"")</f>
        <v/>
      </c>
      <c r="L16" s="492"/>
      <c r="M16" s="492"/>
      <c r="N16" s="492"/>
      <c r="O16" s="492"/>
      <c r="P16" s="492"/>
      <c r="Q16" s="492"/>
      <c r="R16" s="492"/>
      <c r="S16" s="401"/>
      <c r="T16" s="60"/>
      <c r="U16" s="60"/>
    </row>
    <row r="17" spans="1:21" ht="18" customHeight="1" x14ac:dyDescent="0.25">
      <c r="A17" s="60"/>
      <c r="B17" s="511" t="str">
        <f>IF(H8&gt;0,IF(H10&gt;0,IF(H12&gt;0,IF(calculo!O24=12,"Atenção: Última férias recentemente vencida ja está sendo computada no cálculo",IF(H8&gt;0,IF(H10&gt;0,IF(H12&gt;0,IF(calculo!O24=0,"Atenção, há uma férias recentemente vencida, verificar a necessidade de selecionar o ítem - férias vencidas",""),""),""),"")),""),""),"")</f>
        <v/>
      </c>
      <c r="C17" s="511"/>
      <c r="D17" s="511"/>
      <c r="E17" s="511"/>
      <c r="F17" s="511"/>
      <c r="G17" s="511"/>
      <c r="H17" s="511"/>
      <c r="I17" s="511"/>
      <c r="J17" s="511"/>
      <c r="K17" s="511"/>
      <c r="L17" s="511"/>
      <c r="M17" s="511"/>
      <c r="N17" s="511"/>
      <c r="O17" s="511"/>
      <c r="P17" s="511"/>
      <c r="Q17" s="511"/>
      <c r="R17" s="511"/>
      <c r="S17" s="511"/>
      <c r="T17" s="511"/>
      <c r="U17" s="60"/>
    </row>
    <row r="18" spans="1:21" ht="2.25" customHeight="1" x14ac:dyDescent="0.25">
      <c r="A18" s="60"/>
      <c r="B18" s="513"/>
      <c r="C18" s="513"/>
      <c r="D18" s="513"/>
      <c r="E18" s="513"/>
      <c r="F18" s="513"/>
      <c r="G18" s="513"/>
      <c r="H18" s="513"/>
      <c r="I18" s="513"/>
      <c r="J18" s="513"/>
      <c r="K18" s="513"/>
      <c r="L18" s="513"/>
      <c r="M18" s="513"/>
      <c r="N18" s="513"/>
      <c r="O18" s="513"/>
      <c r="P18" s="513"/>
      <c r="Q18" s="513"/>
      <c r="R18" s="513"/>
      <c r="S18" s="513"/>
      <c r="T18" s="513"/>
      <c r="U18" s="60"/>
    </row>
    <row r="19" spans="1:21" ht="17.25" customHeight="1" x14ac:dyDescent="0.25">
      <c r="A19" s="369"/>
      <c r="B19" s="432" t="s">
        <v>188</v>
      </c>
      <c r="C19" s="60"/>
      <c r="D19" s="60"/>
      <c r="E19" s="60"/>
      <c r="F19" s="60"/>
      <c r="G19" s="60"/>
      <c r="H19" s="60"/>
      <c r="I19" s="60"/>
      <c r="J19" s="60"/>
      <c r="K19" s="369"/>
      <c r="L19" s="369"/>
      <c r="M19" s="385"/>
      <c r="N19" s="385"/>
      <c r="O19" s="385"/>
      <c r="P19" s="60"/>
      <c r="Q19" s="60"/>
      <c r="R19" s="438"/>
      <c r="S19" s="384"/>
      <c r="T19" s="384"/>
      <c r="U19" s="60"/>
    </row>
    <row r="20" spans="1:21" ht="17.25" customHeight="1" x14ac:dyDescent="0.25">
      <c r="A20" s="60"/>
      <c r="B20" s="505" t="s">
        <v>199</v>
      </c>
      <c r="C20" s="505"/>
      <c r="D20" s="505"/>
      <c r="E20" s="503"/>
      <c r="F20" s="503"/>
      <c r="G20" s="503"/>
      <c r="H20" s="435"/>
      <c r="I20" s="433"/>
      <c r="J20" s="436"/>
      <c r="K20" s="437" t="s">
        <v>209</v>
      </c>
      <c r="L20" s="504"/>
      <c r="M20" s="504"/>
      <c r="N20" s="60"/>
      <c r="O20" s="502" t="s">
        <v>208</v>
      </c>
      <c r="P20" s="502"/>
      <c r="Q20" s="502"/>
      <c r="R20" s="434"/>
      <c r="S20" s="384"/>
      <c r="T20" s="384"/>
      <c r="U20" s="60"/>
    </row>
    <row r="21" spans="1:21" ht="2.25" customHeight="1" x14ac:dyDescent="0.25">
      <c r="A21" s="60"/>
      <c r="B21" s="369"/>
      <c r="C21" s="369"/>
      <c r="D21" s="369"/>
      <c r="E21" s="369"/>
      <c r="F21" s="369"/>
      <c r="G21" s="369"/>
      <c r="H21" s="369"/>
      <c r="I21" s="385"/>
      <c r="J21" s="385"/>
      <c r="K21" s="369"/>
      <c r="L21" s="369"/>
      <c r="M21" s="369"/>
      <c r="N21" s="369"/>
      <c r="O21" s="369"/>
      <c r="P21" s="369"/>
      <c r="Q21" s="369"/>
      <c r="R21" s="369"/>
      <c r="S21" s="369"/>
      <c r="T21" s="384"/>
      <c r="U21" s="60"/>
    </row>
    <row r="22" spans="1:21" ht="17.25" customHeight="1" x14ac:dyDescent="0.25">
      <c r="A22" s="60"/>
      <c r="B22" s="509" t="s">
        <v>183</v>
      </c>
      <c r="C22" s="509"/>
      <c r="D22" s="509"/>
      <c r="E22" s="509"/>
      <c r="F22" s="509"/>
      <c r="G22" s="509"/>
      <c r="H22" s="509"/>
      <c r="I22" s="509"/>
      <c r="J22" s="510"/>
      <c r="K22" s="510"/>
      <c r="L22" s="510"/>
      <c r="M22" s="384"/>
      <c r="N22" s="384"/>
      <c r="O22" s="384"/>
      <c r="P22" s="384"/>
      <c r="Q22" s="384"/>
      <c r="R22" s="384"/>
      <c r="S22" s="384"/>
      <c r="T22" s="384"/>
      <c r="U22" s="60"/>
    </row>
    <row r="23" spans="1:21" ht="1.5" customHeight="1" x14ac:dyDescent="0.25">
      <c r="A23" s="369"/>
      <c r="B23" s="369"/>
      <c r="C23" s="369"/>
      <c r="D23" s="369"/>
      <c r="E23" s="369"/>
      <c r="F23" s="369"/>
      <c r="G23" s="369"/>
      <c r="H23" s="369"/>
      <c r="I23" s="369"/>
      <c r="J23" s="369"/>
      <c r="K23" s="369"/>
      <c r="L23" s="369"/>
      <c r="M23" s="385"/>
      <c r="N23" s="384"/>
      <c r="O23" s="384"/>
      <c r="P23" s="384"/>
      <c r="Q23" s="384"/>
      <c r="R23" s="384"/>
      <c r="S23" s="384"/>
      <c r="T23" s="384"/>
      <c r="U23" s="60"/>
    </row>
    <row r="24" spans="1:21" ht="1.5" customHeight="1" x14ac:dyDescent="0.25">
      <c r="A24" s="60"/>
      <c r="B24" s="363"/>
      <c r="C24" s="363"/>
      <c r="D24" s="363"/>
      <c r="E24" s="363"/>
      <c r="F24" s="363"/>
      <c r="G24" s="363"/>
      <c r="H24" s="363"/>
      <c r="I24" s="363"/>
      <c r="J24" s="363"/>
      <c r="K24" s="363"/>
      <c r="L24" s="363"/>
      <c r="M24" s="363"/>
      <c r="N24" s="363"/>
      <c r="O24" s="363"/>
      <c r="P24" s="363"/>
      <c r="Q24" s="363"/>
      <c r="R24" s="363"/>
      <c r="S24" s="363"/>
      <c r="T24" s="363"/>
      <c r="U24" s="60"/>
    </row>
    <row r="25" spans="1:21" s="369" customFormat="1" ht="3" customHeight="1" x14ac:dyDescent="0.25">
      <c r="B25" s="385"/>
      <c r="C25" s="385"/>
      <c r="D25" s="385"/>
      <c r="E25" s="385"/>
      <c r="F25" s="385"/>
      <c r="G25" s="385"/>
      <c r="H25" s="385"/>
      <c r="I25" s="385"/>
      <c r="J25" s="385"/>
      <c r="K25" s="385"/>
      <c r="L25" s="385"/>
      <c r="M25" s="385"/>
      <c r="N25" s="385"/>
      <c r="O25" s="385"/>
      <c r="P25" s="385"/>
      <c r="Q25" s="385"/>
      <c r="R25" s="385"/>
      <c r="S25" s="385"/>
      <c r="T25" s="385"/>
    </row>
    <row r="26" spans="1:21" ht="17.25" customHeight="1" x14ac:dyDescent="0.25">
      <c r="A26" s="60"/>
      <c r="B26" s="493" t="s">
        <v>145</v>
      </c>
      <c r="C26" s="493"/>
      <c r="D26" s="493"/>
      <c r="E26" s="501"/>
      <c r="F26" s="501"/>
      <c r="G26" s="501"/>
      <c r="H26" s="501"/>
      <c r="I26" s="501"/>
      <c r="J26" s="501"/>
      <c r="K26" s="501"/>
      <c r="L26" s="501"/>
      <c r="M26" s="501"/>
      <c r="N26" s="501"/>
      <c r="O26" s="501"/>
      <c r="P26" s="501"/>
      <c r="Q26" s="384"/>
      <c r="R26" s="384"/>
      <c r="S26" s="384"/>
      <c r="T26" s="384"/>
      <c r="U26" s="60"/>
    </row>
    <row r="27" spans="1:21" s="369" customFormat="1" ht="3" customHeight="1" x14ac:dyDescent="0.25">
      <c r="B27" s="385"/>
      <c r="C27" s="385"/>
      <c r="D27" s="385"/>
      <c r="E27" s="385"/>
      <c r="F27" s="385"/>
      <c r="G27" s="385"/>
      <c r="H27" s="385"/>
      <c r="I27" s="385"/>
      <c r="J27" s="385"/>
      <c r="K27" s="385"/>
      <c r="L27" s="385"/>
      <c r="M27" s="385"/>
      <c r="N27" s="385"/>
      <c r="O27" s="385"/>
      <c r="P27" s="385"/>
      <c r="Q27" s="385"/>
      <c r="R27" s="385"/>
      <c r="S27" s="385"/>
      <c r="T27" s="385"/>
    </row>
    <row r="28" spans="1:21" ht="17.25" customHeight="1" x14ac:dyDescent="0.25">
      <c r="A28" s="60"/>
      <c r="B28" s="508" t="s">
        <v>144</v>
      </c>
      <c r="C28" s="508"/>
      <c r="D28" s="508"/>
      <c r="E28" s="501"/>
      <c r="F28" s="501"/>
      <c r="G28" s="501"/>
      <c r="H28" s="501"/>
      <c r="I28" s="501"/>
      <c r="J28" s="501"/>
      <c r="K28" s="501"/>
      <c r="L28" s="501"/>
      <c r="M28" s="501"/>
      <c r="N28" s="501"/>
      <c r="O28" s="501"/>
      <c r="P28" s="501"/>
      <c r="Q28" s="60"/>
      <c r="R28" s="60"/>
      <c r="S28" s="60"/>
      <c r="T28" s="60"/>
      <c r="U28" s="60"/>
    </row>
    <row r="29" spans="1:21" ht="2.25" customHeight="1" x14ac:dyDescent="0.25">
      <c r="A29" s="60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60"/>
    </row>
    <row r="30" spans="1:21" ht="2.25" customHeight="1" x14ac:dyDescent="0.2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243"/>
    </row>
    <row r="31" spans="1:21" ht="17.25" customHeight="1" x14ac:dyDescent="0.25">
      <c r="A31" s="60"/>
      <c r="B31" s="493" t="s">
        <v>24</v>
      </c>
      <c r="C31" s="493"/>
      <c r="D31" s="493"/>
      <c r="E31" s="493"/>
      <c r="F31" s="493"/>
      <c r="G31" s="493"/>
      <c r="H31" s="493"/>
      <c r="I31" s="493"/>
      <c r="J31" s="493"/>
      <c r="K31" s="497"/>
      <c r="L31" s="497"/>
      <c r="M31" s="386"/>
      <c r="N31" s="386"/>
      <c r="O31" s="220"/>
      <c r="P31" s="222" t="str">
        <f>IF(config!Z19="sim","Maior de","")</f>
        <v>Maior de</v>
      </c>
      <c r="Q31" s="221">
        <f>IF(config!Z19="sim",config!Z20,"")</f>
        <v>50</v>
      </c>
      <c r="R31" s="220" t="str">
        <f>IF(config!Z19="sim","anos de idade","")</f>
        <v>anos de idade</v>
      </c>
      <c r="S31" s="244" t="s">
        <v>31</v>
      </c>
      <c r="T31" s="60"/>
      <c r="U31" s="243"/>
    </row>
    <row r="32" spans="1:21" ht="2.25" customHeight="1" x14ac:dyDescent="0.25">
      <c r="A32" s="60"/>
      <c r="B32" s="500"/>
      <c r="C32" s="500"/>
      <c r="D32" s="500"/>
      <c r="E32" s="500"/>
      <c r="F32" s="500"/>
      <c r="G32" s="500"/>
      <c r="H32" s="500"/>
      <c r="I32" s="500"/>
      <c r="J32" s="500"/>
      <c r="K32" s="500"/>
      <c r="L32" s="500"/>
      <c r="M32" s="500"/>
      <c r="N32" s="500"/>
      <c r="O32" s="500"/>
      <c r="P32" s="500"/>
      <c r="Q32" s="500"/>
      <c r="R32" s="500"/>
      <c r="S32" s="500"/>
      <c r="T32" s="500"/>
      <c r="U32" s="243"/>
    </row>
    <row r="33" spans="1:21" ht="1.5" customHeight="1" x14ac:dyDescent="0.25">
      <c r="A33" s="60"/>
      <c r="B33" s="500"/>
      <c r="C33" s="500"/>
      <c r="D33" s="500"/>
      <c r="E33" s="500"/>
      <c r="F33" s="500"/>
      <c r="G33" s="500"/>
      <c r="H33" s="500"/>
      <c r="I33" s="500"/>
      <c r="J33" s="500"/>
      <c r="K33" s="500"/>
      <c r="L33" s="500"/>
      <c r="M33" s="500"/>
      <c r="N33" s="500"/>
      <c r="O33" s="500"/>
      <c r="P33" s="500"/>
      <c r="Q33" s="500"/>
      <c r="R33" s="500"/>
      <c r="S33" s="500"/>
      <c r="T33" s="500"/>
      <c r="U33" s="243"/>
    </row>
    <row r="34" spans="1:21" ht="2.25" hidden="1" customHeight="1" x14ac:dyDescent="0.2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</row>
    <row r="35" spans="1:21" ht="17.25" customHeight="1" x14ac:dyDescent="0.25">
      <c r="A35" s="60"/>
      <c r="B35" s="512" t="s">
        <v>95</v>
      </c>
      <c r="C35" s="512"/>
      <c r="D35" s="512"/>
      <c r="E35" s="512"/>
      <c r="F35" s="512"/>
      <c r="G35" s="512"/>
      <c r="H35" s="512"/>
      <c r="I35" s="497"/>
      <c r="J35" s="497"/>
      <c r="K35" s="246" t="s">
        <v>185</v>
      </c>
      <c r="L35" s="60"/>
      <c r="M35" s="60"/>
      <c r="N35" s="60"/>
      <c r="O35" s="60"/>
      <c r="P35" s="60"/>
      <c r="Q35" s="60"/>
      <c r="R35" s="60"/>
      <c r="S35" s="249">
        <f>config!F91</f>
        <v>1212.6400000000001</v>
      </c>
      <c r="T35" s="60"/>
      <c r="U35" s="60"/>
    </row>
    <row r="36" spans="1:21" ht="2.25" customHeight="1" x14ac:dyDescent="0.25">
      <c r="A36" s="492"/>
      <c r="B36" s="492"/>
      <c r="C36" s="492"/>
      <c r="D36" s="492"/>
      <c r="E36" s="492"/>
      <c r="F36" s="492"/>
      <c r="G36" s="492"/>
      <c r="H36" s="492"/>
      <c r="I36" s="492"/>
      <c r="J36" s="492"/>
      <c r="K36" s="492"/>
      <c r="L36" s="492"/>
      <c r="M36" s="492"/>
      <c r="N36" s="492"/>
      <c r="O36" s="492"/>
      <c r="P36" s="492"/>
      <c r="Q36" s="492"/>
      <c r="R36" s="492"/>
      <c r="S36" s="492"/>
      <c r="T36" s="492"/>
      <c r="U36" s="492"/>
    </row>
    <row r="37" spans="1:21" s="60" customFormat="1" ht="2.25" customHeight="1" x14ac:dyDescent="0.25"/>
    <row r="38" spans="1:21" ht="2.25" customHeight="1" x14ac:dyDescent="0.25">
      <c r="A38" s="60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6"/>
      <c r="P38" s="75"/>
      <c r="Q38" s="75"/>
      <c r="R38" s="75"/>
      <c r="S38" s="75"/>
      <c r="T38" s="75"/>
      <c r="U38" s="60"/>
    </row>
    <row r="39" spans="1:21" ht="5.25" customHeight="1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369"/>
      <c r="L39" s="369"/>
      <c r="M39" s="369"/>
      <c r="N39" s="386"/>
      <c r="O39" s="386"/>
      <c r="P39" s="386"/>
      <c r="Q39" s="386"/>
      <c r="R39" s="369"/>
      <c r="S39" s="243"/>
      <c r="T39" s="369"/>
      <c r="U39" s="60"/>
    </row>
    <row r="40" spans="1:21" ht="5.25" customHeight="1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</row>
    <row r="41" spans="1:21" ht="20.25" customHeight="1" x14ac:dyDescent="0.25">
      <c r="A41" s="507" t="str">
        <f>Menu!A31</f>
        <v>Planilha+ 5.1.2   .:.   Acácio Jr   .:.   unico@acaciojunior.com       -      Última atualização: 03/02/2016</v>
      </c>
      <c r="B41" s="507"/>
      <c r="C41" s="507"/>
      <c r="D41" s="507"/>
      <c r="E41" s="507"/>
      <c r="F41" s="507"/>
      <c r="G41" s="507"/>
      <c r="H41" s="507"/>
      <c r="I41" s="507"/>
      <c r="J41" s="507"/>
      <c r="K41" s="507"/>
      <c r="L41" s="507"/>
      <c r="M41" s="507"/>
      <c r="N41" s="507"/>
      <c r="O41" s="507"/>
      <c r="P41" s="507"/>
      <c r="Q41" s="507"/>
      <c r="R41" s="507"/>
      <c r="S41" s="507"/>
      <c r="T41" s="507"/>
      <c r="U41" s="507"/>
    </row>
    <row r="42" spans="1:21" hidden="1" x14ac:dyDescent="0.25"/>
    <row r="43" spans="1:21" hidden="1" x14ac:dyDescent="0.25"/>
    <row r="44" spans="1:21" hidden="1" x14ac:dyDescent="0.25"/>
    <row r="45" spans="1:21" hidden="1" x14ac:dyDescent="0.25"/>
    <row r="46" spans="1:21" hidden="1" x14ac:dyDescent="0.25"/>
    <row r="47" spans="1:21" ht="3.75" customHeight="1" x14ac:dyDescent="0.25"/>
    <row r="48" spans="1:21" ht="3.75" customHeight="1" x14ac:dyDescent="0.25"/>
    <row r="49" hidden="1" x14ac:dyDescent="0.25"/>
    <row r="50" hidden="1" x14ac:dyDescent="0.25"/>
    <row r="51" hidden="1" x14ac:dyDescent="0.25"/>
    <row r="52" hidden="1" x14ac:dyDescent="0.25"/>
  </sheetData>
  <sheetProtection password="CB7C" sheet="1" objects="1" scenarios="1" selectLockedCells="1"/>
  <mergeCells count="41">
    <mergeCell ref="Q14:T14"/>
    <mergeCell ref="A41:U41"/>
    <mergeCell ref="I35:J35"/>
    <mergeCell ref="H16:J16"/>
    <mergeCell ref="K31:L31"/>
    <mergeCell ref="B28:D28"/>
    <mergeCell ref="B22:I22"/>
    <mergeCell ref="J22:L22"/>
    <mergeCell ref="B17:T17"/>
    <mergeCell ref="E26:P26"/>
    <mergeCell ref="B35:H35"/>
    <mergeCell ref="A36:U36"/>
    <mergeCell ref="B18:T18"/>
    <mergeCell ref="B31:J31"/>
    <mergeCell ref="A15:U15"/>
    <mergeCell ref="B16:G16"/>
    <mergeCell ref="B32:T32"/>
    <mergeCell ref="B33:T33"/>
    <mergeCell ref="K16:R16"/>
    <mergeCell ref="E28:P28"/>
    <mergeCell ref="B26:D26"/>
    <mergeCell ref="O20:Q20"/>
    <mergeCell ref="E20:G20"/>
    <mergeCell ref="L20:M20"/>
    <mergeCell ref="B20:D20"/>
    <mergeCell ref="A13:U13"/>
    <mergeCell ref="B14:G14"/>
    <mergeCell ref="B12:G12"/>
    <mergeCell ref="H12:J12"/>
    <mergeCell ref="N1:T2"/>
    <mergeCell ref="N3:T3"/>
    <mergeCell ref="A5:U5"/>
    <mergeCell ref="H6:O6"/>
    <mergeCell ref="A11:U11"/>
    <mergeCell ref="B6:G6"/>
    <mergeCell ref="B8:G8"/>
    <mergeCell ref="H10:J10"/>
    <mergeCell ref="H8:J8"/>
    <mergeCell ref="A7:U7"/>
    <mergeCell ref="N12:S12"/>
    <mergeCell ref="H14:K14"/>
  </mergeCells>
  <phoneticPr fontId="9" type="noConversion"/>
  <conditionalFormatting sqref="K16:S16">
    <cfRule type="cellIs" dxfId="34" priority="11" stopIfTrue="1" operator="equal">
      <formula>"Atenção: Não há férias vencidas"</formula>
    </cfRule>
  </conditionalFormatting>
  <conditionalFormatting sqref="H12:J12 H10:J10">
    <cfRule type="cellIs" dxfId="33" priority="10" stopIfTrue="1" operator="lessThan">
      <formula>$H$8</formula>
    </cfRule>
  </conditionalFormatting>
  <conditionalFormatting sqref="S31">
    <cfRule type="expression" dxfId="32" priority="9">
      <formula>$Q$31=""</formula>
    </cfRule>
  </conditionalFormatting>
  <conditionalFormatting sqref="B17:T17 Q14:T14">
    <cfRule type="notContainsBlanks" dxfId="31" priority="7">
      <formula>LEN(TRIM(B14))&gt;0</formula>
    </cfRule>
  </conditionalFormatting>
  <conditionalFormatting sqref="T12">
    <cfRule type="cellIs" dxfId="30" priority="3" operator="lessThan">
      <formula>0</formula>
    </cfRule>
    <cfRule type="cellIs" dxfId="29" priority="5" operator="equal">
      <formula>0</formula>
    </cfRule>
  </conditionalFormatting>
  <conditionalFormatting sqref="N12:S12">
    <cfRule type="cellIs" dxfId="28" priority="4" operator="equal">
      <formula>"Erro de procedimento, excedeu  dias no aviso prévio."</formula>
    </cfRule>
  </conditionalFormatting>
  <conditionalFormatting sqref="S6">
    <cfRule type="containsBlanks" dxfId="27" priority="1">
      <formula>LEN(TRIM(S6))=0</formula>
    </cfRule>
    <cfRule type="cellIs" dxfId="26" priority="2" operator="greaterThan">
      <formula>30</formula>
    </cfRule>
  </conditionalFormatting>
  <dataValidations count="3">
    <dataValidation type="list" allowBlank="1" showInputMessage="1" showErrorMessage="1" sqref="L20 S31">
      <formula1>$W$2:$W$3</formula1>
    </dataValidation>
    <dataValidation type="list" showInputMessage="1" showErrorMessage="1" errorTitle="Férias vencidas" error="Selecione uma opção na lista." sqref="H16:J16">
      <formula1>$W$2:$W$3</formula1>
    </dataValidation>
    <dataValidation type="list" allowBlank="1" showInputMessage="1" showErrorMessage="1" errorTitle="Motivo do afastamento" error="Escolha uma das opções disponíveis" sqref="H6:O6">
      <formula1>$X$2:$X$3</formula1>
    </dataValidation>
  </dataValidations>
  <pageMargins left="0.21" right="0.21" top="0.78740157480314965" bottom="0.78740157480314965" header="0.31496062992125984" footer="0.31496062992125984"/>
  <pageSetup paperSize="9" scale="78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A1:AT64"/>
  <sheetViews>
    <sheetView showGridLines="0" showRowColHeaders="0" topLeftCell="B1" workbookViewId="0">
      <selection activeCell="C18" sqref="C18"/>
    </sheetView>
  </sheetViews>
  <sheetFormatPr defaultColWidth="0" defaultRowHeight="12" zeroHeight="1" x14ac:dyDescent="0.25"/>
  <cols>
    <col min="1" max="1" width="3.28515625" style="252" hidden="1" customWidth="1"/>
    <col min="2" max="2" width="2.28515625" style="252" customWidth="1"/>
    <col min="3" max="3" width="3.28515625" style="311" customWidth="1"/>
    <col min="4" max="5" width="3.42578125" style="252" customWidth="1"/>
    <col min="6" max="6" width="5.85546875" style="252" customWidth="1"/>
    <col min="7" max="7" width="2.5703125" style="252" customWidth="1"/>
    <col min="8" max="8" width="2.140625" style="252" customWidth="1"/>
    <col min="9" max="9" width="2.28515625" style="252" customWidth="1"/>
    <col min="10" max="10" width="6.140625" style="252" customWidth="1"/>
    <col min="11" max="14" width="3.42578125" style="252" customWidth="1"/>
    <col min="15" max="15" width="3.85546875" style="252" customWidth="1"/>
    <col min="16" max="31" width="3.42578125" style="252" customWidth="1"/>
    <col min="32" max="32" width="3.42578125" style="252" hidden="1" customWidth="1"/>
    <col min="33" max="33" width="3.28515625" style="252" hidden="1" customWidth="1"/>
    <col min="34" max="34" width="21.85546875" style="252" hidden="1" customWidth="1"/>
    <col min="35" max="36" width="14" style="252" hidden="1" customWidth="1"/>
    <col min="37" max="37" width="9" style="252" hidden="1" customWidth="1"/>
    <col min="38" max="38" width="18.42578125" style="252" hidden="1" customWidth="1"/>
    <col min="39" max="39" width="16.42578125" style="252" hidden="1" customWidth="1"/>
    <col min="40" max="40" width="14.28515625" style="252" hidden="1" customWidth="1"/>
    <col min="41" max="41" width="12" style="252" hidden="1" customWidth="1"/>
    <col min="42" max="42" width="21.140625" style="252" hidden="1" customWidth="1"/>
    <col min="43" max="16384" width="9.140625" style="252" hidden="1"/>
  </cols>
  <sheetData>
    <row r="1" spans="3:42" ht="27" customHeight="1" x14ac:dyDescent="0.25">
      <c r="C1" s="250"/>
      <c r="D1" s="251" t="str">
        <f>config!I101</f>
        <v>SINCOMERCIÁRIOS</v>
      </c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0"/>
      <c r="V1" s="250"/>
      <c r="W1" s="250"/>
      <c r="X1" s="250"/>
      <c r="Y1" s="250"/>
      <c r="Z1" s="250"/>
      <c r="AA1" s="250"/>
      <c r="AB1" s="250"/>
      <c r="AC1" s="250"/>
      <c r="AD1" s="250"/>
      <c r="AE1" s="250"/>
      <c r="AF1" s="252" t="s">
        <v>171</v>
      </c>
    </row>
    <row r="2" spans="3:42" ht="18.75" customHeight="1" x14ac:dyDescent="0.35">
      <c r="C2" s="250"/>
      <c r="D2" s="253" t="str">
        <f>config!I102</f>
        <v>Sindicato dos Empregados no Comércio de Itapeva</v>
      </c>
      <c r="E2" s="250"/>
      <c r="F2" s="250"/>
      <c r="G2" s="250"/>
      <c r="H2" s="250"/>
      <c r="I2" s="254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0"/>
      <c r="AI2" s="460"/>
      <c r="AJ2" s="460"/>
      <c r="AK2" s="460"/>
    </row>
    <row r="3" spans="3:42" ht="15.75" customHeight="1" thickBot="1" x14ac:dyDescent="0.4">
      <c r="C3" s="250"/>
      <c r="D3" s="256"/>
      <c r="E3" s="256"/>
      <c r="F3" s="256"/>
      <c r="G3" s="256"/>
      <c r="H3" s="256"/>
      <c r="I3" s="257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  <c r="AB3" s="258"/>
      <c r="AC3" s="258"/>
      <c r="AD3" s="255"/>
      <c r="AE3" s="255"/>
      <c r="AF3" s="250"/>
      <c r="AI3" s="268"/>
      <c r="AJ3" s="268"/>
      <c r="AK3" s="460"/>
    </row>
    <row r="4" spans="3:42" x14ac:dyDescent="0.25">
      <c r="C4" s="250"/>
      <c r="D4" s="250" t="str">
        <f>config!J103</f>
        <v>Rua Olívia Marques, 257, Centro - Itapeva/SP</v>
      </c>
      <c r="E4" s="250"/>
      <c r="F4" s="250"/>
      <c r="G4" s="250"/>
      <c r="H4" s="250"/>
      <c r="I4" s="250"/>
      <c r="J4" s="250"/>
      <c r="K4" s="250"/>
      <c r="L4" s="250"/>
      <c r="M4" s="250"/>
      <c r="N4" s="250"/>
      <c r="O4" s="250"/>
      <c r="P4" s="250"/>
      <c r="Q4" s="250"/>
      <c r="R4" s="250"/>
      <c r="S4" s="250"/>
      <c r="T4" s="250"/>
      <c r="U4" s="250"/>
      <c r="V4" s="250"/>
      <c r="W4" s="250"/>
      <c r="X4" s="250"/>
      <c r="Y4" s="250"/>
      <c r="Z4" s="250"/>
      <c r="AA4" s="250"/>
      <c r="AB4" s="250"/>
      <c r="AC4" s="260" t="str">
        <f>config!H104</f>
        <v>(15) 3522 0726</v>
      </c>
      <c r="AD4" s="260"/>
      <c r="AE4" s="260"/>
      <c r="AF4" s="250"/>
      <c r="AH4" s="411" t="s">
        <v>220</v>
      </c>
      <c r="AI4" s="470">
        <f>IF(K8="Dispensa sem justa causa",IF(Z11&lt;DATE(YEAR(Z11),config!AD103,config!AB103),IF(Z11&gt;=DATE(YEAR(Z11),config!AD103,config!AB103)-30,H12,0),0),0)</f>
        <v>0</v>
      </c>
      <c r="AJ4" s="259"/>
    </row>
    <row r="5" spans="3:42" ht="24" customHeight="1" thickBot="1" x14ac:dyDescent="0.3">
      <c r="C5" s="250"/>
      <c r="D5" s="536" t="s">
        <v>136</v>
      </c>
      <c r="E5" s="536"/>
      <c r="F5" s="536"/>
      <c r="G5" s="536"/>
      <c r="H5" s="536"/>
      <c r="I5" s="536"/>
      <c r="J5" s="536"/>
      <c r="K5" s="536"/>
      <c r="L5" s="536"/>
      <c r="M5" s="536"/>
      <c r="N5" s="536"/>
      <c r="O5" s="536"/>
      <c r="P5" s="536"/>
      <c r="Q5" s="536"/>
      <c r="R5" s="536"/>
      <c r="S5" s="536"/>
      <c r="T5" s="536"/>
      <c r="U5" s="536"/>
      <c r="V5" s="536"/>
      <c r="W5" s="536"/>
      <c r="X5" s="536"/>
      <c r="Y5" s="536"/>
      <c r="Z5" s="536"/>
      <c r="AA5" s="536"/>
      <c r="AB5" s="536"/>
      <c r="AC5" s="536"/>
      <c r="AD5" s="424"/>
      <c r="AE5" s="424"/>
      <c r="AF5" s="250"/>
      <c r="AH5" s="412" t="s">
        <v>213</v>
      </c>
      <c r="AI5" s="413">
        <f>Q10+30</f>
        <v>30</v>
      </c>
      <c r="AJ5" s="280"/>
      <c r="AK5" s="280"/>
      <c r="AL5" s="280"/>
    </row>
    <row r="6" spans="3:42" ht="18.75" customHeight="1" thickBot="1" x14ac:dyDescent="0.3">
      <c r="C6" s="250"/>
      <c r="D6" s="261" t="str">
        <f>IF(mascara!E26="","","Empresa:")</f>
        <v/>
      </c>
      <c r="E6" s="251"/>
      <c r="F6" s="251"/>
      <c r="G6" s="541" t="str">
        <f>IF(mascara!E26="","",mascara!E26)</f>
        <v/>
      </c>
      <c r="H6" s="541"/>
      <c r="I6" s="541"/>
      <c r="J6" s="541"/>
      <c r="K6" s="541"/>
      <c r="L6" s="541"/>
      <c r="M6" s="541"/>
      <c r="N6" s="541"/>
      <c r="O6" s="541"/>
      <c r="P6" s="541"/>
      <c r="Q6" s="541"/>
      <c r="R6" s="541"/>
      <c r="S6" s="541"/>
      <c r="T6" s="541"/>
      <c r="U6" s="541"/>
      <c r="V6" s="541"/>
      <c r="W6" s="541"/>
      <c r="X6" s="541"/>
      <c r="Y6" s="541"/>
      <c r="Z6" s="541"/>
      <c r="AA6" s="541"/>
      <c r="AB6" s="541"/>
      <c r="AC6" s="541"/>
      <c r="AD6" s="425"/>
      <c r="AE6" s="425"/>
      <c r="AF6" s="250"/>
      <c r="AH6" s="252" t="s">
        <v>49</v>
      </c>
      <c r="AI6" s="252" t="e">
        <f>IF(MONTH(Z10)=MONTH(G10),IF(YEAR(Z10)=YEAR(G10),DAY(Z10)-DAY(G10),DAY(Z10)),DAY(Z10))</f>
        <v>#VALUE!</v>
      </c>
      <c r="AJ6" s="252" t="s">
        <v>132</v>
      </c>
      <c r="AK6" s="252" t="e">
        <f>IF(MONTH(Z10)=MONTH(G10),IF(YEAR(Z10)=YEAR(G10),DAY(Z10)-DAY(G10)+1,DAY(Z10)),DAY(Z10))</f>
        <v>#VALUE!</v>
      </c>
      <c r="AL6" s="262" t="s">
        <v>182</v>
      </c>
      <c r="AM6" s="263" t="e">
        <f>IF(MONTH(Z10)=2,AO6,0)</f>
        <v>#VALUE!</v>
      </c>
      <c r="AN6" s="264" t="e">
        <f>Z10+1</f>
        <v>#VALUE!</v>
      </c>
      <c r="AO6" s="265" t="e">
        <f>IF(MONTH(Z10)=MONTH(AN6),0,30)</f>
        <v>#VALUE!</v>
      </c>
    </row>
    <row r="7" spans="3:42" ht="20.25" customHeight="1" x14ac:dyDescent="0.25">
      <c r="C7" s="250"/>
      <c r="D7" s="266" t="str">
        <f>IF(mascara!E28="","","Trabalhador:")</f>
        <v/>
      </c>
      <c r="E7" s="250"/>
      <c r="F7" s="250"/>
      <c r="G7" s="250"/>
      <c r="H7" s="542" t="str">
        <f>IF(mascara!E28="","",mascara!E28)</f>
        <v/>
      </c>
      <c r="I7" s="542"/>
      <c r="J7" s="542"/>
      <c r="K7" s="542"/>
      <c r="L7" s="542"/>
      <c r="M7" s="542"/>
      <c r="N7" s="542"/>
      <c r="O7" s="542"/>
      <c r="P7" s="542"/>
      <c r="Q7" s="542"/>
      <c r="R7" s="542"/>
      <c r="S7" s="542"/>
      <c r="T7" s="542"/>
      <c r="U7" s="542"/>
      <c r="V7" s="542"/>
      <c r="W7" s="542"/>
      <c r="X7" s="542"/>
      <c r="Y7" s="542"/>
      <c r="Z7" s="542"/>
      <c r="AA7" s="542"/>
      <c r="AB7" s="542"/>
      <c r="AC7" s="542"/>
      <c r="AD7" s="426"/>
      <c r="AE7" s="426"/>
      <c r="AF7" s="250"/>
      <c r="AH7" s="252" t="s">
        <v>164</v>
      </c>
      <c r="AI7" s="267" t="e">
        <f>IF(K8="Dispensa sem justa causa",mascara!H10+mascara!P10,Z10)+AM11+AP8</f>
        <v>#VALUE!</v>
      </c>
      <c r="AJ7" s="268" t="str">
        <f>IF(K8="Dispensa sem justa causa",Q10+30,Z10)</f>
        <v/>
      </c>
      <c r="AK7" s="267" t="e">
        <f>AJ7-1</f>
        <v>#VALUE!</v>
      </c>
      <c r="AL7" s="461" t="e">
        <f>IF(AM7&lt;=0,DAY(AJ7)-DAY(G10),0)</f>
        <v>#VALUE!</v>
      </c>
      <c r="AM7" s="461" t="e">
        <f>MONTH(AK7)-MONTH(G10)</f>
        <v>#VALUE!</v>
      </c>
      <c r="AN7" s="461" t="e">
        <f>IF(AM7&lt;0,1,IF(AL7&lt;0,1,0))</f>
        <v>#VALUE!</v>
      </c>
    </row>
    <row r="8" spans="3:42" ht="14.25" customHeight="1" x14ac:dyDescent="0.25">
      <c r="C8" s="250"/>
      <c r="D8" s="270" t="s">
        <v>34</v>
      </c>
      <c r="E8" s="270"/>
      <c r="F8" s="270"/>
      <c r="G8" s="270"/>
      <c r="H8" s="270"/>
      <c r="I8" s="270"/>
      <c r="J8" s="271"/>
      <c r="K8" s="525">
        <f>mascara!H6</f>
        <v>0</v>
      </c>
      <c r="L8" s="525"/>
      <c r="M8" s="525"/>
      <c r="N8" s="525"/>
      <c r="O8" s="525"/>
      <c r="P8" s="525"/>
      <c r="Q8" s="525"/>
      <c r="R8" s="525"/>
      <c r="S8" s="270"/>
      <c r="T8" s="270"/>
      <c r="U8" s="270"/>
      <c r="V8" s="250"/>
      <c r="W8" s="250"/>
      <c r="X8" s="250"/>
      <c r="Y8" s="250"/>
      <c r="Z8" s="250"/>
      <c r="AA8" s="250"/>
      <c r="AB8" s="250"/>
      <c r="AC8" s="250"/>
      <c r="AD8" s="250"/>
      <c r="AE8" s="250"/>
      <c r="AF8" s="270"/>
      <c r="AG8" s="272"/>
      <c r="AH8" s="252" t="s">
        <v>4</v>
      </c>
      <c r="AI8" s="458">
        <f>IF(K8="Dispensa sem justa causa",IF(AK8&gt;=config!L53,60,VLOOKUP(AK8,config!E31:L52,5,FALSE)-30),0)</f>
        <v>0</v>
      </c>
      <c r="AJ8" s="460" t="e">
        <f>IF(YEAR(AJ7)&gt;YEAR(G10),(YEAR(AJ7)-YEAR(G10))-AN8,0)</f>
        <v>#VALUE!</v>
      </c>
      <c r="AK8" s="459" t="e">
        <f>IF(config!H28="ano completo",IF(YEAR(AJ7)&gt;YEAR(G10),(YEAR(AJ7)-YEAR(G10))-AN8,0),IF(YEAR(AK7)&gt;YEAR(G10),(YEAR(AK7)-YEAR(G10))-AN7,0))</f>
        <v>#VALUE!</v>
      </c>
      <c r="AL8" s="274" t="e">
        <f>IF(AM8&lt;=0,DAY(AJ7)-DAY(G10),0)</f>
        <v>#VALUE!</v>
      </c>
      <c r="AM8" s="252" t="e">
        <f>MONTH(AJ7)-MONTH(G10)</f>
        <v>#VALUE!</v>
      </c>
      <c r="AN8" s="275" t="e">
        <f>IF(AM8&lt;0,1,IF(AL8&lt;0,1,0))</f>
        <v>#VALUE!</v>
      </c>
      <c r="AO8" s="273" t="s">
        <v>162</v>
      </c>
      <c r="AP8" s="273">
        <f>IF(K8="Dispensa sem justa causa",IF(config!Z16="sim",calculo!AJ8,0),0)</f>
        <v>0</v>
      </c>
    </row>
    <row r="9" spans="3:42" ht="4.5" customHeight="1" x14ac:dyDescent="0.25">
      <c r="C9" s="250"/>
      <c r="D9" s="270"/>
      <c r="E9" s="270"/>
      <c r="F9" s="270"/>
      <c r="G9" s="270"/>
      <c r="H9" s="270"/>
      <c r="I9" s="270"/>
      <c r="J9" s="270"/>
      <c r="K9" s="270"/>
      <c r="L9" s="270"/>
      <c r="M9" s="270"/>
      <c r="N9" s="270"/>
      <c r="O9" s="270"/>
      <c r="P9" s="270"/>
      <c r="Q9" s="270"/>
      <c r="R9" s="270"/>
      <c r="S9" s="270"/>
      <c r="T9" s="270"/>
      <c r="U9" s="270"/>
      <c r="V9" s="270"/>
      <c r="W9" s="270"/>
      <c r="X9" s="270"/>
      <c r="Y9" s="270"/>
      <c r="Z9" s="270"/>
      <c r="AA9" s="270"/>
      <c r="AB9" s="270"/>
      <c r="AC9" s="270"/>
      <c r="AD9" s="270"/>
      <c r="AE9" s="270"/>
      <c r="AF9" s="270"/>
      <c r="AG9" s="272"/>
      <c r="AH9" s="252" t="s">
        <v>5</v>
      </c>
      <c r="AI9" s="276" t="e">
        <f>YEAR(Z10)</f>
        <v>#VALUE!</v>
      </c>
      <c r="AJ9" s="277" t="e">
        <f>DATE(AI9,1,1)</f>
        <v>#VALUE!</v>
      </c>
      <c r="AK9" s="277"/>
      <c r="AM9" s="259"/>
    </row>
    <row r="10" spans="3:42" ht="15" x14ac:dyDescent="0.25">
      <c r="C10" s="250"/>
      <c r="D10" s="270" t="s">
        <v>2</v>
      </c>
      <c r="E10" s="270"/>
      <c r="F10" s="270"/>
      <c r="G10" s="537" t="str">
        <f>IF(mascara!H8="","",mascara!H8)</f>
        <v/>
      </c>
      <c r="H10" s="538"/>
      <c r="I10" s="538"/>
      <c r="J10" s="538"/>
      <c r="K10" s="538"/>
      <c r="L10" s="270"/>
      <c r="M10" s="272" t="s">
        <v>160</v>
      </c>
      <c r="Q10" s="554">
        <f>mascara!H10</f>
        <v>0</v>
      </c>
      <c r="R10" s="554"/>
      <c r="S10" s="554"/>
      <c r="T10" s="554"/>
      <c r="U10" s="278"/>
      <c r="V10" s="278"/>
      <c r="W10" s="278"/>
      <c r="X10" s="270"/>
      <c r="Y10" s="279" t="s">
        <v>3</v>
      </c>
      <c r="Z10" s="539" t="str">
        <f>IF(mascara!H12="","",mascara!H12)</f>
        <v/>
      </c>
      <c r="AA10" s="539"/>
      <c r="AB10" s="539"/>
      <c r="AC10" s="539"/>
      <c r="AD10" s="439"/>
      <c r="AE10" s="439"/>
      <c r="AF10" s="270"/>
      <c r="AG10" s="272"/>
      <c r="AH10" s="252" t="s">
        <v>6</v>
      </c>
      <c r="AI10" s="277" t="e">
        <f>MONTH(AI7)+AK10</f>
        <v>#VALUE!</v>
      </c>
      <c r="AJ10" s="275" t="e">
        <f>DAY(AI7)</f>
        <v>#VALUE!</v>
      </c>
      <c r="AK10" s="275" t="e">
        <f>IF(AJ10&lt;15,-1,0)</f>
        <v>#VALUE!</v>
      </c>
      <c r="AL10" s="269"/>
    </row>
    <row r="11" spans="3:42" ht="18" customHeight="1" thickBot="1" x14ac:dyDescent="0.3">
      <c r="C11" s="250"/>
      <c r="D11" s="280"/>
      <c r="E11" s="280"/>
      <c r="F11" s="280"/>
      <c r="G11" s="280"/>
      <c r="H11" s="280"/>
      <c r="I11" s="280"/>
      <c r="J11" s="278"/>
      <c r="K11" s="270"/>
      <c r="L11" s="270"/>
      <c r="M11" s="270"/>
      <c r="N11" s="270"/>
      <c r="O11" s="270"/>
      <c r="P11" s="270"/>
      <c r="Q11" s="278"/>
      <c r="R11" s="280"/>
      <c r="S11" s="278"/>
      <c r="T11" s="270"/>
      <c r="U11" s="281"/>
      <c r="V11" s="281"/>
      <c r="W11" s="281"/>
      <c r="X11" s="281"/>
      <c r="Y11" s="279" t="s">
        <v>167</v>
      </c>
      <c r="Z11" s="543" t="str">
        <f>IF(K8="Dispensa sem justa causa",AI7,Z10)</f>
        <v/>
      </c>
      <c r="AA11" s="544"/>
      <c r="AB11" s="544"/>
      <c r="AC11" s="544"/>
      <c r="AD11" s="427"/>
      <c r="AE11" s="427"/>
      <c r="AF11" s="270"/>
      <c r="AG11" s="272"/>
      <c r="AH11" s="273" t="s">
        <v>156</v>
      </c>
      <c r="AI11" s="282">
        <f>config!Z22</f>
        <v>15</v>
      </c>
      <c r="AJ11" s="273" t="s">
        <v>158</v>
      </c>
      <c r="AK11" s="273">
        <f>config!Z21</f>
        <v>20</v>
      </c>
      <c r="AL11" s="273" t="s">
        <v>157</v>
      </c>
      <c r="AM11" s="273">
        <f>IF(config!Z19="sim",IF(mascara!S31="sim",IF(AJ8&gt;AK11,AI11,0),0),0)</f>
        <v>0</v>
      </c>
      <c r="AN11" s="269"/>
      <c r="AO11" s="269"/>
    </row>
    <row r="12" spans="3:42" ht="15.75" thickBot="1" x14ac:dyDescent="0.3">
      <c r="C12" s="250"/>
      <c r="D12" s="270" t="s">
        <v>61</v>
      </c>
      <c r="E12" s="270"/>
      <c r="F12" s="270"/>
      <c r="G12" s="270"/>
      <c r="H12" s="540">
        <f>mascara!H14</f>
        <v>0</v>
      </c>
      <c r="I12" s="540"/>
      <c r="J12" s="540"/>
      <c r="K12" s="540"/>
      <c r="L12" s="540"/>
      <c r="M12" s="540"/>
      <c r="N12" s="283"/>
      <c r="O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2"/>
      <c r="AH12" s="479" t="s">
        <v>7</v>
      </c>
      <c r="AI12" s="482" t="e">
        <f>IF(AJ12&gt;=15,DATEDIF(G10,Z11,"Ym")+1,DATEDIF(G10,Z11,"Ym"))</f>
        <v>#VALUE!</v>
      </c>
      <c r="AJ12" s="480" t="e">
        <f>IF(DAY(Z11)&gt;=DAY(G10),DAY(Z11)-DAY(G10)+1,(DATEDIF(G10,AK14,"md")+1)+DAY(Z11))</f>
        <v>#VALUE!</v>
      </c>
      <c r="AK12" s="481"/>
      <c r="AL12" s="269"/>
      <c r="AM12" s="269"/>
      <c r="AN12" s="269"/>
      <c r="AO12" s="269"/>
    </row>
    <row r="13" spans="3:42" ht="3.75" customHeight="1" x14ac:dyDescent="0.25">
      <c r="C13" s="250"/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2"/>
      <c r="AH13" s="252" t="s">
        <v>10</v>
      </c>
      <c r="AI13" s="284">
        <f>H12/30</f>
        <v>0</v>
      </c>
      <c r="AJ13" s="364" t="s">
        <v>196</v>
      </c>
      <c r="AK13" s="364" t="s">
        <v>197</v>
      </c>
      <c r="AL13" s="364" t="s">
        <v>198</v>
      </c>
    </row>
    <row r="14" spans="3:42" ht="15.75" thickBot="1" x14ac:dyDescent="0.3">
      <c r="C14" s="250"/>
      <c r="D14" s="285" t="s">
        <v>32</v>
      </c>
      <c r="E14" s="270"/>
      <c r="F14" s="270"/>
      <c r="G14" s="270"/>
      <c r="H14" s="270"/>
      <c r="I14" s="270"/>
      <c r="J14" s="271"/>
      <c r="K14" s="525">
        <f>mascara!H16</f>
        <v>0</v>
      </c>
      <c r="L14" s="525"/>
      <c r="M14" s="525"/>
      <c r="N14" s="270"/>
      <c r="O14" s="522" t="str">
        <f>IF(mascara!K31="","","Nº de pendentes no Imposto de renda:")</f>
        <v/>
      </c>
      <c r="P14" s="522"/>
      <c r="Q14" s="522"/>
      <c r="R14" s="522"/>
      <c r="S14" s="522"/>
      <c r="T14" s="522"/>
      <c r="U14" s="522"/>
      <c r="V14" s="522"/>
      <c r="W14" s="522"/>
      <c r="X14" s="522"/>
      <c r="Y14" s="522"/>
      <c r="Z14" s="520">
        <f>mascara!K31</f>
        <v>0</v>
      </c>
      <c r="AA14" s="520"/>
      <c r="AB14" s="250"/>
      <c r="AC14" s="250"/>
      <c r="AD14" s="250"/>
      <c r="AE14" s="250"/>
      <c r="AF14" s="270"/>
      <c r="AG14" s="272"/>
      <c r="AH14" s="252" t="s">
        <v>11</v>
      </c>
      <c r="AI14" s="284">
        <f>H12/12</f>
        <v>0</v>
      </c>
      <c r="AJ14" s="365" t="e">
        <f>EOMONTH(G10,0)</f>
        <v>#VALUE!</v>
      </c>
      <c r="AK14" s="365" t="e">
        <f>EOMONTH(Z11,-1)</f>
        <v>#VALUE!</v>
      </c>
      <c r="AL14" s="364" t="e">
        <f>IF(DAY(G10)&gt;DAY(Z11),DAY(AK14)-DAY(G10)+DAY(Z11)+1,DAY(Z11)-DAY(G10)+1)</f>
        <v>#VALUE!</v>
      </c>
    </row>
    <row r="15" spans="3:42" ht="15" x14ac:dyDescent="0.25">
      <c r="C15" s="250"/>
      <c r="D15" s="285"/>
      <c r="E15" s="270"/>
      <c r="F15" s="270"/>
      <c r="G15" s="270"/>
      <c r="H15" s="270"/>
      <c r="I15" s="270"/>
      <c r="J15" s="250"/>
      <c r="K15" s="250"/>
      <c r="L15" s="250"/>
      <c r="M15" s="270"/>
      <c r="N15" s="270"/>
      <c r="O15" s="271"/>
      <c r="P15" s="522" t="str">
        <f>IF(mascara!I35="","","N º de filhos no salário família:")</f>
        <v/>
      </c>
      <c r="Q15" s="522"/>
      <c r="R15" s="522"/>
      <c r="S15" s="522"/>
      <c r="T15" s="522"/>
      <c r="U15" s="522"/>
      <c r="V15" s="522"/>
      <c r="W15" s="522"/>
      <c r="X15" s="522"/>
      <c r="Y15" s="522"/>
      <c r="Z15" s="521">
        <f>mascara!I35</f>
        <v>0</v>
      </c>
      <c r="AA15" s="521"/>
      <c r="AB15" s="270"/>
      <c r="AC15" s="270"/>
      <c r="AD15" s="270"/>
      <c r="AE15" s="270"/>
      <c r="AF15" s="270"/>
      <c r="AG15" s="272"/>
      <c r="AH15" s="273" t="s">
        <v>54</v>
      </c>
      <c r="AI15" s="273" t="s">
        <v>55</v>
      </c>
      <c r="AJ15" s="484" t="s">
        <v>8</v>
      </c>
      <c r="AK15" s="273" t="s">
        <v>225</v>
      </c>
      <c r="AL15" s="273"/>
      <c r="AM15" s="273"/>
      <c r="AN15" s="273"/>
      <c r="AO15" s="273"/>
      <c r="AP15" s="273"/>
    </row>
    <row r="16" spans="3:42" ht="6" customHeight="1" x14ac:dyDescent="0.25">
      <c r="C16" s="250"/>
      <c r="D16" s="286"/>
      <c r="E16" s="286"/>
      <c r="F16" s="286"/>
      <c r="G16" s="286"/>
      <c r="H16" s="286"/>
      <c r="I16" s="286"/>
      <c r="J16" s="286"/>
      <c r="K16" s="286"/>
      <c r="L16" s="286"/>
      <c r="M16" s="286"/>
      <c r="N16" s="286"/>
      <c r="O16" s="286"/>
      <c r="P16" s="286"/>
      <c r="Q16" s="287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90"/>
      <c r="AE16" s="290"/>
      <c r="AF16" s="270"/>
      <c r="AG16" s="272"/>
      <c r="AH16" s="273" t="s">
        <v>54</v>
      </c>
      <c r="AI16" s="288" t="e">
        <f>IF(AJ16&gt;=15,DATEDIF(G10,Z11,"YM")+1,DATEDIF(G10,Z11,"YM"))</f>
        <v>#VALUE!</v>
      </c>
      <c r="AJ16" s="288" t="e">
        <f>IF(DAY(Z11)&gt;=DAY(G10),DAY(Z11)-DAY(G10)+1,(DATEDIF(G10,AK14,"md")+1)+DAY(Z11))</f>
        <v>#VALUE!</v>
      </c>
      <c r="AK16" s="273" t="e">
        <f>IF(YEAR(Z11)&gt;YEAR(G10),IF(DAY(Z11)&gt;=15,MONTH(Z11),MONTH(Z11)-1),AI16)</f>
        <v>#VALUE!</v>
      </c>
      <c r="AL16" s="273"/>
      <c r="AM16" s="273"/>
      <c r="AN16" s="273"/>
      <c r="AO16" s="273"/>
    </row>
    <row r="17" spans="1:46" ht="12.75" customHeight="1" x14ac:dyDescent="0.25">
      <c r="C17" s="446" t="s">
        <v>216</v>
      </c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2"/>
      <c r="AH17" s="273"/>
      <c r="AJ17" s="483"/>
      <c r="AK17" s="289"/>
      <c r="AL17" s="273"/>
      <c r="AM17" s="273"/>
      <c r="AN17" s="273"/>
      <c r="AO17" s="273"/>
    </row>
    <row r="18" spans="1:46" ht="12.75" customHeight="1" x14ac:dyDescent="0.25">
      <c r="A18" s="252">
        <f>IF(C18="x",0,1)</f>
        <v>1</v>
      </c>
      <c r="C18" s="447"/>
      <c r="D18" s="290" t="str">
        <f>IF(K18="","",IF(K18=0,"","Aviso prévio indenizado:"))</f>
        <v/>
      </c>
      <c r="E18" s="290"/>
      <c r="F18" s="290"/>
      <c r="G18" s="290"/>
      <c r="H18" s="290"/>
      <c r="I18" s="290"/>
      <c r="J18" s="290"/>
      <c r="K18" s="527">
        <f>IF(K8="Dispensa sem justa causa",IF(mascara!T12&gt;0,mascara!T12*AI13,0)+AM11*AI13,0)*A18</f>
        <v>0</v>
      </c>
      <c r="L18" s="527"/>
      <c r="M18" s="527"/>
      <c r="N18" s="527"/>
      <c r="O18" s="290" t="str">
        <f>IF(C18="x","",IF(K8="Dispensa sem justa causa",IF(mascara!T12&gt;0,mascara!T12+AM11,IF(AM11&gt;0,AM11,"")),""))</f>
        <v/>
      </c>
      <c r="P18" s="290" t="str">
        <f>IF(O18="","","dias")</f>
        <v/>
      </c>
      <c r="Q18" s="290"/>
      <c r="R18" s="290"/>
      <c r="S18" s="290"/>
      <c r="T18" s="526" t="s">
        <v>0</v>
      </c>
      <c r="U18" s="526"/>
      <c r="V18" s="526"/>
      <c r="W18" s="526"/>
      <c r="X18" s="526"/>
      <c r="Y18" s="526"/>
      <c r="Z18" s="526"/>
      <c r="AA18" s="526"/>
      <c r="AB18" s="526"/>
      <c r="AC18" s="526"/>
      <c r="AD18" s="445" t="s">
        <v>216</v>
      </c>
      <c r="AE18" s="422"/>
      <c r="AF18" s="270"/>
      <c r="AG18" s="272"/>
      <c r="AH18" s="269"/>
      <c r="AI18" s="291"/>
      <c r="AJ18" s="269"/>
      <c r="AK18" s="269"/>
      <c r="AL18" s="269"/>
      <c r="AM18" s="269"/>
      <c r="AN18" s="269"/>
      <c r="AO18" s="269"/>
    </row>
    <row r="19" spans="1:46" ht="6" customHeight="1" x14ac:dyDescent="0.25">
      <c r="C19" s="250"/>
      <c r="D19" s="290"/>
      <c r="E19" s="290"/>
      <c r="F19" s="290"/>
      <c r="G19" s="290"/>
      <c r="H19" s="290"/>
      <c r="I19" s="290"/>
      <c r="J19" s="290"/>
      <c r="K19" s="292"/>
      <c r="L19" s="292"/>
      <c r="M19" s="292"/>
      <c r="N19" s="292"/>
      <c r="O19" s="290"/>
      <c r="P19" s="290"/>
      <c r="Q19" s="290"/>
      <c r="R19" s="290"/>
      <c r="S19" s="290"/>
      <c r="T19" s="290"/>
      <c r="U19" s="290"/>
      <c r="V19" s="290"/>
      <c r="W19" s="290"/>
      <c r="X19" s="290"/>
      <c r="Y19" s="290"/>
      <c r="Z19" s="290"/>
      <c r="AA19" s="290"/>
      <c r="AB19" s="290"/>
      <c r="AC19" s="290"/>
      <c r="AD19" s="290"/>
      <c r="AE19" s="290"/>
      <c r="AF19" s="270"/>
      <c r="AG19" s="272"/>
      <c r="AH19" s="293" t="s">
        <v>14</v>
      </c>
      <c r="AI19" s="294" t="s">
        <v>15</v>
      </c>
      <c r="AJ19" s="295" t="s">
        <v>207</v>
      </c>
      <c r="AK19" s="252" t="s">
        <v>18</v>
      </c>
      <c r="AL19" s="381" t="s">
        <v>205</v>
      </c>
    </row>
    <row r="20" spans="1:46" ht="12.75" customHeight="1" x14ac:dyDescent="0.25">
      <c r="A20" s="252">
        <f>IF(C20="x",0,1)</f>
        <v>1</v>
      </c>
      <c r="C20" s="447"/>
      <c r="D20" s="290" t="e">
        <f>IF(K20&gt;0,"Saldo de salário:","")</f>
        <v>#VALUE!</v>
      </c>
      <c r="E20" s="290"/>
      <c r="F20" s="290"/>
      <c r="G20" s="290"/>
      <c r="H20" s="552" t="e">
        <f>IF(C20="x",0,IF(AK6&gt;30,30,AK6))</f>
        <v>#VALUE!</v>
      </c>
      <c r="I20" s="552"/>
      <c r="J20" s="290" t="e">
        <f>IF(C20="x","",IF(H20=1,"dia","dias"))</f>
        <v>#VALUE!</v>
      </c>
      <c r="K20" s="527" t="e">
        <f>IF(AM6=0,(H20*AI13),H12)*A20</f>
        <v>#VALUE!</v>
      </c>
      <c r="L20" s="527"/>
      <c r="M20" s="527"/>
      <c r="N20" s="527"/>
      <c r="O20" s="250"/>
      <c r="P20" s="250"/>
      <c r="Q20" s="250"/>
      <c r="R20" s="250"/>
      <c r="S20" s="290"/>
      <c r="T20" s="290" t="e">
        <f>IF(Z20&gt;0,"Previdência Social:","")</f>
        <v>#VALUE!</v>
      </c>
      <c r="U20" s="290"/>
      <c r="V20" s="290"/>
      <c r="W20" s="290"/>
      <c r="X20" s="290"/>
      <c r="Y20" s="290"/>
      <c r="Z20" s="527" t="e">
        <f>IF(AJ24&gt;0,(AN24)*AJ24,AI23)*AF20</f>
        <v>#VALUE!</v>
      </c>
      <c r="AA20" s="527"/>
      <c r="AB20" s="527"/>
      <c r="AC20" s="527"/>
      <c r="AD20" s="447"/>
      <c r="AE20" s="419"/>
      <c r="AF20" s="270">
        <f>IF(AD20="x",0,1)</f>
        <v>1</v>
      </c>
      <c r="AG20" s="272"/>
      <c r="AH20" s="252" t="s">
        <v>12</v>
      </c>
      <c r="AI20" s="296">
        <f>config!F72</f>
        <v>1556.94</v>
      </c>
      <c r="AJ20" s="295" t="e">
        <f>IF(AN24&lt;=AI20,config!M72,0)</f>
        <v>#VALUE!</v>
      </c>
      <c r="AK20" s="252" t="e">
        <f>IF(K22&lt;=AI20,config!M72,0)</f>
        <v>#VALUE!</v>
      </c>
      <c r="AL20" s="382" t="e">
        <f>IF(K20&lt;=AI20,config!M72,0)</f>
        <v>#VALUE!</v>
      </c>
      <c r="AM20" s="371" t="s">
        <v>200</v>
      </c>
      <c r="AN20" s="371"/>
      <c r="AO20" s="372"/>
    </row>
    <row r="21" spans="1:46" ht="6" customHeight="1" x14ac:dyDescent="0.25">
      <c r="C21" s="250"/>
      <c r="D21" s="290"/>
      <c r="E21" s="290"/>
      <c r="F21" s="290"/>
      <c r="G21" s="290"/>
      <c r="H21" s="290"/>
      <c r="I21" s="290"/>
      <c r="J21" s="290"/>
      <c r="K21" s="292"/>
      <c r="L21" s="292"/>
      <c r="M21" s="292"/>
      <c r="N21" s="292"/>
      <c r="O21" s="290"/>
      <c r="P21" s="290"/>
      <c r="Q21" s="290"/>
      <c r="R21" s="290"/>
      <c r="S21" s="290"/>
      <c r="T21" s="290"/>
      <c r="U21" s="290"/>
      <c r="V21" s="290"/>
      <c r="W21" s="290"/>
      <c r="X21" s="290"/>
      <c r="Y21" s="290"/>
      <c r="Z21" s="297"/>
      <c r="AA21" s="297"/>
      <c r="AB21" s="297"/>
      <c r="AC21" s="297"/>
      <c r="AD21" s="421"/>
      <c r="AE21" s="421"/>
      <c r="AF21" s="270"/>
      <c r="AG21" s="272"/>
      <c r="AH21" s="252" t="s">
        <v>12</v>
      </c>
      <c r="AI21" s="296">
        <f>config!J73</f>
        <v>2594.92</v>
      </c>
      <c r="AJ21" s="295" t="e">
        <f>IF(AN24&gt;AI20,IF(AN24&lt;=AI21,config!M73,0),0)</f>
        <v>#VALUE!</v>
      </c>
      <c r="AK21" s="252" t="e">
        <f>IF(K22&gt;AI20,IF(K22&lt;=AI21,config!M73,0),0)</f>
        <v>#VALUE!</v>
      </c>
      <c r="AL21" s="382" t="e">
        <f>IF(K20&gt;AI20,IF(AN24&lt;=AI21,config!M73,0),0)</f>
        <v>#VALUE!</v>
      </c>
      <c r="AM21" s="374" t="s">
        <v>201</v>
      </c>
      <c r="AN21" s="374">
        <f>IF(mascara!L20="sim",mascara!E20,0)</f>
        <v>0</v>
      </c>
      <c r="AO21" s="375"/>
    </row>
    <row r="22" spans="1:46" ht="12.75" customHeight="1" x14ac:dyDescent="0.25">
      <c r="A22" s="252">
        <f>IF(C22="x",0,1)</f>
        <v>1</v>
      </c>
      <c r="C22" s="447"/>
      <c r="D22" s="290" t="e">
        <f>IF(K22&gt;0,"13º Salário:","")</f>
        <v>#VALUE!</v>
      </c>
      <c r="E22" s="290"/>
      <c r="F22" s="290"/>
      <c r="G22" s="549" t="e">
        <f>IF(C22="x",0,AK16)</f>
        <v>#VALUE!</v>
      </c>
      <c r="H22" s="549"/>
      <c r="I22" s="298" t="e">
        <f>IF(G22&gt;0,IF(G22=1,"mês","meses"),"")</f>
        <v>#VALUE!</v>
      </c>
      <c r="J22" s="290"/>
      <c r="K22" s="527" t="e">
        <f>(AI14*G22)*A22</f>
        <v>#VALUE!</v>
      </c>
      <c r="L22" s="527"/>
      <c r="M22" s="527"/>
      <c r="N22" s="527"/>
      <c r="O22" s="290"/>
      <c r="P22" s="290"/>
      <c r="Q22" s="290"/>
      <c r="R22" s="290"/>
      <c r="T22" s="290" t="e">
        <f>IF(Z22&gt;0,"Inss 13º Salário:","")</f>
        <v>#VALUE!</v>
      </c>
      <c r="U22" s="290"/>
      <c r="V22" s="290"/>
      <c r="W22" s="290"/>
      <c r="X22" s="290"/>
      <c r="Y22" s="283"/>
      <c r="Z22" s="527" t="e">
        <f>IF(AK24&gt;0,K22*AK24,AI23)*AF22</f>
        <v>#VALUE!</v>
      </c>
      <c r="AA22" s="527"/>
      <c r="AB22" s="527"/>
      <c r="AC22" s="527"/>
      <c r="AD22" s="447"/>
      <c r="AE22" s="419"/>
      <c r="AF22" s="270">
        <f>IF(AD22="x",0,1)</f>
        <v>1</v>
      </c>
      <c r="AG22" s="272"/>
      <c r="AH22" s="252" t="s">
        <v>12</v>
      </c>
      <c r="AI22" s="296">
        <f>config!J74</f>
        <v>5189.82</v>
      </c>
      <c r="AJ22" s="295" t="e">
        <f>IF(AN24&gt;AI21,IF(AN24&lt;=AI22,config!M74,0),0)</f>
        <v>#VALUE!</v>
      </c>
      <c r="AK22" s="252" t="e">
        <f>IF(K22&gt;AI21,IF(K22&lt;=AI22,config!M74,0),0)</f>
        <v>#VALUE!</v>
      </c>
      <c r="AL22" s="382" t="e">
        <f>IF(K20&gt;AI21,IF(AN24&lt;=AI22,config!M74,0),0)</f>
        <v>#VALUE!</v>
      </c>
      <c r="AM22" s="374" t="s">
        <v>202</v>
      </c>
      <c r="AN22" s="374">
        <f>IF(config!O76="sim",calculo!K18,0)</f>
        <v>0</v>
      </c>
      <c r="AO22" s="375"/>
    </row>
    <row r="23" spans="1:46" ht="6" customHeight="1" x14ac:dyDescent="0.25">
      <c r="C23" s="250"/>
      <c r="D23" s="290"/>
      <c r="E23" s="290"/>
      <c r="F23" s="290"/>
      <c r="G23" s="290"/>
      <c r="H23" s="290"/>
      <c r="I23" s="290"/>
      <c r="J23" s="290"/>
      <c r="K23" s="292"/>
      <c r="L23" s="292"/>
      <c r="M23" s="292"/>
      <c r="N23" s="292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7"/>
      <c r="AA23" s="297"/>
      <c r="AB23" s="297"/>
      <c r="AC23" s="297"/>
      <c r="AD23" s="421"/>
      <c r="AE23" s="421"/>
      <c r="AF23" s="270"/>
      <c r="AG23" s="272"/>
      <c r="AH23" s="252" t="s">
        <v>13</v>
      </c>
      <c r="AI23" s="296">
        <f>AI22*11%</f>
        <v>570.88019999999995</v>
      </c>
      <c r="AJ23" s="295" t="e">
        <f>IF(AN24&gt;AI22,381.4,0)</f>
        <v>#VALUE!</v>
      </c>
      <c r="AK23" s="252" t="e">
        <f>IF(K22&gt;AI22,381.41,0)</f>
        <v>#VALUE!</v>
      </c>
      <c r="AL23" s="382" t="e">
        <f>IF(K20&gt;AI22,381.4,0)</f>
        <v>#VALUE!</v>
      </c>
      <c r="AM23" s="374" t="s">
        <v>203</v>
      </c>
      <c r="AN23" s="378" t="e">
        <f>K20</f>
        <v>#VALUE!</v>
      </c>
      <c r="AO23" s="375"/>
    </row>
    <row r="24" spans="1:46" ht="12.75" customHeight="1" x14ac:dyDescent="0.25">
      <c r="A24" s="252">
        <f>IF(C24="x",0,1)</f>
        <v>1</v>
      </c>
      <c r="C24" s="447"/>
      <c r="D24" s="290" t="e">
        <f>IF(K24&gt;0,"Férias proporcionais:","")</f>
        <v>#VALUE!</v>
      </c>
      <c r="E24" s="290"/>
      <c r="F24" s="290"/>
      <c r="G24" s="290"/>
      <c r="H24" s="290"/>
      <c r="I24" s="290"/>
      <c r="J24" s="299"/>
      <c r="K24" s="527" t="e">
        <f>(AI12*AI14)*A24</f>
        <v>#VALUE!</v>
      </c>
      <c r="L24" s="527"/>
      <c r="M24" s="527"/>
      <c r="N24" s="527"/>
      <c r="O24" s="300" t="e">
        <f>IF(C24="x",0,IF(AI12&gt;0,AI12,""))</f>
        <v>#VALUE!</v>
      </c>
      <c r="P24" s="300" t="e">
        <f>IF(C24="x","",IF(O24="","",IF(O24=1,"mês","meses")))</f>
        <v>#VALUE!</v>
      </c>
      <c r="R24" s="250"/>
      <c r="S24" s="290"/>
      <c r="T24" s="301" t="e">
        <f>IF(Z24&gt;0,"Contrib. Confed.:","")</f>
        <v>#VALUE!</v>
      </c>
      <c r="U24" s="301"/>
      <c r="V24" s="301"/>
      <c r="W24" s="301"/>
      <c r="X24" s="301"/>
      <c r="Y24" s="301"/>
      <c r="Z24" s="528" t="e">
        <f>IF(AH57&gt;0,IF(AH56&gt;AH57,AH57,AH56),AH56)*AF24</f>
        <v>#VALUE!</v>
      </c>
      <c r="AA24" s="528"/>
      <c r="AB24" s="528"/>
      <c r="AC24" s="528"/>
      <c r="AD24" s="447"/>
      <c r="AE24" s="419"/>
      <c r="AF24" s="270">
        <f>IF(AD24="x",0,1)</f>
        <v>1</v>
      </c>
      <c r="AG24" s="302"/>
      <c r="AH24" s="252" t="s">
        <v>16</v>
      </c>
      <c r="AI24" s="295"/>
      <c r="AJ24" s="295" t="e">
        <f>IF(AN24&lt;=AI22,SUM(AJ20:AJ22),0)</f>
        <v>#VALUE!</v>
      </c>
      <c r="AK24" s="295" t="e">
        <f>IF(K22&lt;=AI22,SUM(AK20:AK22),0)</f>
        <v>#VALUE!</v>
      </c>
      <c r="AL24" s="383" t="e">
        <f>IF(K20&lt;=AI22,SUM(AL20:AL22),0)</f>
        <v>#VALUE!</v>
      </c>
      <c r="AM24" s="380" t="s">
        <v>66</v>
      </c>
      <c r="AN24" s="379" t="e">
        <f>SUM(AN21:AN23)</f>
        <v>#VALUE!</v>
      </c>
      <c r="AO24" s="377"/>
    </row>
    <row r="25" spans="1:46" ht="6" customHeight="1" x14ac:dyDescent="0.25">
      <c r="C25" s="250"/>
      <c r="D25" s="290"/>
      <c r="E25" s="290"/>
      <c r="F25" s="290"/>
      <c r="G25" s="290"/>
      <c r="H25" s="290"/>
      <c r="I25" s="290"/>
      <c r="J25" s="290"/>
      <c r="K25" s="292"/>
      <c r="L25" s="292"/>
      <c r="M25" s="292"/>
      <c r="N25" s="292"/>
      <c r="O25" s="290"/>
      <c r="P25" s="290"/>
      <c r="Q25" s="290"/>
      <c r="R25" s="290"/>
      <c r="S25" s="290"/>
      <c r="T25" s="290"/>
      <c r="U25" s="290"/>
      <c r="V25" s="290"/>
      <c r="W25" s="290"/>
      <c r="X25" s="290"/>
      <c r="Y25" s="290"/>
      <c r="Z25" s="297"/>
      <c r="AA25" s="297"/>
      <c r="AB25" s="297"/>
      <c r="AC25" s="297"/>
      <c r="AD25" s="421"/>
      <c r="AE25" s="421"/>
      <c r="AF25" s="270"/>
      <c r="AG25" s="272"/>
    </row>
    <row r="26" spans="1:46" ht="12.75" customHeight="1" x14ac:dyDescent="0.25">
      <c r="A26" s="252">
        <f>IF(C26="x",0,1)</f>
        <v>1</v>
      </c>
      <c r="C26" s="447"/>
      <c r="D26" s="290" t="e">
        <f>IF(K26&gt;0,"1/3 Férias proporcionais:","")</f>
        <v>#VALUE!</v>
      </c>
      <c r="E26" s="290"/>
      <c r="F26" s="290"/>
      <c r="G26" s="290"/>
      <c r="H26" s="290"/>
      <c r="I26" s="290"/>
      <c r="J26" s="290"/>
      <c r="K26" s="529" t="e">
        <f>(K24/3)*A26</f>
        <v>#VALUE!</v>
      </c>
      <c r="L26" s="529"/>
      <c r="M26" s="529"/>
      <c r="N26" s="529"/>
      <c r="O26" s="290"/>
      <c r="P26" s="290"/>
      <c r="Q26" s="290"/>
      <c r="R26" s="290"/>
      <c r="S26" s="290"/>
      <c r="T26" s="278" t="str">
        <f>IF(Z26=0,"","Aviso não cumprido:")</f>
        <v/>
      </c>
      <c r="U26" s="290"/>
      <c r="V26" s="290"/>
      <c r="W26" s="290"/>
      <c r="X26" s="290"/>
      <c r="Y26" s="283"/>
      <c r="Z26" s="523">
        <f>IF(K8="Pedido de demissão",IF(AI5&lt;=Z10,0,(AI5-Z10)*AI13),0)*AF26</f>
        <v>0</v>
      </c>
      <c r="AA26" s="523"/>
      <c r="AB26" s="523"/>
      <c r="AC26" s="523"/>
      <c r="AD26" s="447"/>
      <c r="AE26" s="419"/>
      <c r="AF26" s="270">
        <f>IF(AD26="x",0,1)</f>
        <v>1</v>
      </c>
      <c r="AG26" s="302"/>
      <c r="AH26" s="252" t="s">
        <v>19</v>
      </c>
      <c r="AQ26" s="303"/>
      <c r="AT26" s="303"/>
    </row>
    <row r="27" spans="1:46" ht="6" customHeight="1" x14ac:dyDescent="0.25">
      <c r="C27" s="250"/>
      <c r="D27" s="290"/>
      <c r="E27" s="290"/>
      <c r="F27" s="290"/>
      <c r="G27" s="290"/>
      <c r="H27" s="290"/>
      <c r="I27" s="290"/>
      <c r="J27" s="290"/>
      <c r="K27" s="292"/>
      <c r="L27" s="292"/>
      <c r="M27" s="292"/>
      <c r="N27" s="292"/>
      <c r="O27" s="290"/>
      <c r="P27" s="290"/>
      <c r="Q27" s="290"/>
      <c r="R27" s="290"/>
      <c r="S27" s="290"/>
      <c r="T27" s="290"/>
      <c r="U27" s="290"/>
      <c r="V27" s="290"/>
      <c r="W27" s="290"/>
      <c r="X27" s="290"/>
      <c r="Y27" s="290"/>
      <c r="Z27" s="297"/>
      <c r="AA27" s="297"/>
      <c r="AB27" s="297"/>
      <c r="AC27" s="297"/>
      <c r="AD27" s="421"/>
      <c r="AE27" s="421"/>
      <c r="AF27" s="270"/>
      <c r="AG27" s="272"/>
      <c r="AI27" s="252" t="s">
        <v>22</v>
      </c>
      <c r="AJ27" s="252" t="s">
        <v>20</v>
      </c>
      <c r="AK27" s="252" t="s">
        <v>21</v>
      </c>
      <c r="AL27" s="303" t="s">
        <v>28</v>
      </c>
      <c r="AM27" s="303" t="s">
        <v>29</v>
      </c>
      <c r="AN27" s="303" t="s">
        <v>187</v>
      </c>
      <c r="AO27" s="370" t="s">
        <v>204</v>
      </c>
      <c r="AP27" s="371"/>
      <c r="AQ27" s="372"/>
      <c r="AS27" s="303"/>
    </row>
    <row r="28" spans="1:46" ht="12.75" customHeight="1" x14ac:dyDescent="0.25">
      <c r="A28" s="252">
        <f>IF(C28="x",0,1)</f>
        <v>1</v>
      </c>
      <c r="C28" s="447"/>
      <c r="D28" s="290" t="str">
        <f>IF(K28=0,"","Férias vencidas:")</f>
        <v/>
      </c>
      <c r="E28" s="290"/>
      <c r="F28" s="290"/>
      <c r="G28" s="290"/>
      <c r="H28" s="290"/>
      <c r="I28" s="283"/>
      <c r="J28" s="290"/>
      <c r="K28" s="527">
        <f>IF(K14="sim",IF(mascara!K16="",H12,0),0)*A28</f>
        <v>0</v>
      </c>
      <c r="L28" s="527"/>
      <c r="M28" s="527"/>
      <c r="N28" s="527"/>
      <c r="O28" s="305"/>
      <c r="P28" s="305"/>
      <c r="Q28" s="305"/>
      <c r="R28" s="305"/>
      <c r="S28" s="290"/>
      <c r="T28" s="290" t="e">
        <f>IF(Z28=0,"","IRPF 13º:")</f>
        <v>#VALUE!</v>
      </c>
      <c r="U28" s="278"/>
      <c r="V28" s="278"/>
      <c r="W28" s="278"/>
      <c r="X28" s="278"/>
      <c r="Y28" s="278"/>
      <c r="Z28" s="527" t="e">
        <f>IF(SUM(AM29:AM32)&gt;0,SUM(AM29:AM32),0)*AF28</f>
        <v>#VALUE!</v>
      </c>
      <c r="AA28" s="527"/>
      <c r="AB28" s="527"/>
      <c r="AC28" s="527"/>
      <c r="AD28" s="447"/>
      <c r="AE28" s="419"/>
      <c r="AF28" s="270">
        <f>IF(AD28="x",0,1)</f>
        <v>1</v>
      </c>
      <c r="AG28" s="302"/>
      <c r="AH28" s="306">
        <f>config!F60</f>
        <v>1903.98</v>
      </c>
      <c r="AI28" s="306">
        <f>AH28</f>
        <v>1903.98</v>
      </c>
      <c r="AJ28" s="252">
        <f>config!M60</f>
        <v>0</v>
      </c>
      <c r="AK28" s="303">
        <f>config!P60</f>
        <v>0</v>
      </c>
      <c r="AL28" s="303"/>
      <c r="AO28" s="373" t="s">
        <v>201</v>
      </c>
      <c r="AP28" s="374" t="e">
        <f>IF(mascara!#REF!="sim",mascara!E20,0)</f>
        <v>#REF!</v>
      </c>
      <c r="AQ28" s="375"/>
      <c r="AS28" s="306"/>
      <c r="AT28" s="304"/>
    </row>
    <row r="29" spans="1:46" ht="6" customHeight="1" x14ac:dyDescent="0.25">
      <c r="C29" s="250"/>
      <c r="D29" s="290"/>
      <c r="E29" s="290"/>
      <c r="F29" s="290"/>
      <c r="G29" s="290"/>
      <c r="H29" s="290"/>
      <c r="I29" s="290"/>
      <c r="J29" s="290"/>
      <c r="K29" s="292"/>
      <c r="L29" s="292"/>
      <c r="M29" s="292"/>
      <c r="N29" s="292"/>
      <c r="O29" s="290"/>
      <c r="P29" s="290"/>
      <c r="Q29" s="290"/>
      <c r="R29" s="290"/>
      <c r="S29" s="290"/>
      <c r="T29" s="290"/>
      <c r="U29" s="290"/>
      <c r="V29" s="290"/>
      <c r="W29" s="290"/>
      <c r="X29" s="290"/>
      <c r="Y29" s="290"/>
      <c r="Z29" s="297"/>
      <c r="AA29" s="297"/>
      <c r="AB29" s="297"/>
      <c r="AC29" s="297"/>
      <c r="AD29" s="421"/>
      <c r="AE29" s="421"/>
      <c r="AF29" s="270"/>
      <c r="AG29" s="272"/>
      <c r="AH29" s="306">
        <f>config!J61</f>
        <v>2826.65</v>
      </c>
      <c r="AI29" s="306">
        <f>AH29</f>
        <v>2826.65</v>
      </c>
      <c r="AJ29" s="307">
        <f>config!M61</f>
        <v>7.4999999999999997E-2</v>
      </c>
      <c r="AK29" s="308">
        <f>config!P61</f>
        <v>142.80000000000001</v>
      </c>
      <c r="AL29" s="304" t="e">
        <f>IF($AI$34&gt;$AH28,IF($AI$34&lt;=$AI29,($AI$34*$AJ29)-$AK29,0),0)</f>
        <v>#VALUE!</v>
      </c>
      <c r="AM29" s="304" t="e">
        <f>IF($AI$35&gt;$AH28,IF($AI$35&lt;=$AI29,($AI$35*$AJ29)-$AK29,0),0)</f>
        <v>#VALUE!</v>
      </c>
      <c r="AN29" s="306">
        <f>IF($AI$36&gt;$AH28,IF($AI$36&lt;=$AI29,($AI$36*$AJ29)-$AK29,0),0)</f>
        <v>0</v>
      </c>
      <c r="AO29" s="373" t="s">
        <v>202</v>
      </c>
      <c r="AP29" s="374">
        <f>IF(config!Q83="sim",calculo!M25,0)</f>
        <v>0</v>
      </c>
      <c r="AQ29" s="375"/>
      <c r="AR29" s="306"/>
      <c r="AS29" s="304"/>
    </row>
    <row r="30" spans="1:46" ht="12.75" customHeight="1" x14ac:dyDescent="0.25">
      <c r="A30" s="252">
        <f>IF(C30="x",0,1)</f>
        <v>1</v>
      </c>
      <c r="C30" s="447"/>
      <c r="D30" s="290" t="str">
        <f>IF(K30=0,"","1/3 Férias vencidas:")</f>
        <v/>
      </c>
      <c r="E30" s="290"/>
      <c r="F30" s="290"/>
      <c r="G30" s="290"/>
      <c r="H30" s="290"/>
      <c r="I30" s="290"/>
      <c r="J30" s="283"/>
      <c r="K30" s="527">
        <f>(IF(K28=0,0,K28/3))*A30</f>
        <v>0</v>
      </c>
      <c r="L30" s="527"/>
      <c r="M30" s="527"/>
      <c r="N30" s="527"/>
      <c r="O30" s="305"/>
      <c r="P30" s="305"/>
      <c r="Q30" s="305"/>
      <c r="R30" s="305"/>
      <c r="S30" s="309"/>
      <c r="T30" s="290" t="e">
        <f>IF(Z30=0,"","IRPF:")</f>
        <v>#VALUE!</v>
      </c>
      <c r="U30" s="290"/>
      <c r="V30" s="290"/>
      <c r="W30" s="290"/>
      <c r="X30" s="290"/>
      <c r="Y30" s="290"/>
      <c r="Z30" s="527" t="e">
        <f>IF(SUM(AL29:AL32)&gt;0,SUM(AL29:AL32),0)*AF30</f>
        <v>#VALUE!</v>
      </c>
      <c r="AA30" s="527"/>
      <c r="AB30" s="527"/>
      <c r="AC30" s="527"/>
      <c r="AD30" s="447"/>
      <c r="AE30" s="419"/>
      <c r="AF30" s="270">
        <f>IF(AD30="x",0,1)</f>
        <v>1</v>
      </c>
      <c r="AG30" s="272"/>
      <c r="AH30" s="306">
        <f>config!J62</f>
        <v>3751.05</v>
      </c>
      <c r="AI30" s="306">
        <f>AH30</f>
        <v>3751.05</v>
      </c>
      <c r="AJ30" s="310">
        <f>config!M62</f>
        <v>0.15</v>
      </c>
      <c r="AK30" s="308">
        <f>config!P62</f>
        <v>354.8</v>
      </c>
      <c r="AL30" s="304" t="e">
        <f>IF(AI34&gt;AI29,IF(AI34&lt;=AI30,(AI34*AJ30)-AK30,0),0)</f>
        <v>#VALUE!</v>
      </c>
      <c r="AM30" s="304" t="e">
        <f>IF($AI$35&gt;$AH29,IF($AI$35&lt;=$AI30,($AI$35*$AJ30)-$AK30,0),0)</f>
        <v>#VALUE!</v>
      </c>
      <c r="AN30" s="306">
        <f>IF($AI$36&gt;$AH29,IF($AI$36&lt;=$AI30,($AI$36*$AJ30)-$AK30,0),0)</f>
        <v>0</v>
      </c>
      <c r="AO30" s="373" t="s">
        <v>203</v>
      </c>
      <c r="AP30" s="378">
        <f>M27</f>
        <v>0</v>
      </c>
      <c r="AQ30" s="375"/>
      <c r="AS30" s="306"/>
      <c r="AT30" s="304"/>
    </row>
    <row r="31" spans="1:46" ht="6" customHeight="1" x14ac:dyDescent="0.25">
      <c r="C31" s="250"/>
      <c r="D31" s="290"/>
      <c r="E31" s="290"/>
      <c r="F31" s="290"/>
      <c r="G31" s="290"/>
      <c r="H31" s="290"/>
      <c r="I31" s="290"/>
      <c r="J31" s="290"/>
      <c r="K31" s="292"/>
      <c r="L31" s="292"/>
      <c r="M31" s="292"/>
      <c r="N31" s="292"/>
      <c r="O31" s="305"/>
      <c r="P31" s="305"/>
      <c r="Q31" s="305"/>
      <c r="R31" s="305"/>
      <c r="S31" s="309"/>
      <c r="T31" s="309"/>
      <c r="U31" s="309"/>
      <c r="V31" s="309"/>
      <c r="W31" s="309"/>
      <c r="X31" s="309"/>
      <c r="Y31" s="309"/>
      <c r="Z31" s="292"/>
      <c r="AA31" s="292"/>
      <c r="AB31" s="292"/>
      <c r="AC31" s="292"/>
      <c r="AD31" s="292"/>
      <c r="AE31" s="292"/>
      <c r="AF31" s="270"/>
      <c r="AG31" s="272"/>
      <c r="AH31" s="306">
        <f>config!J63</f>
        <v>4664.68</v>
      </c>
      <c r="AI31" s="306">
        <f>AH31</f>
        <v>4664.68</v>
      </c>
      <c r="AJ31" s="307">
        <f>config!M63</f>
        <v>0.22500000000000001</v>
      </c>
      <c r="AK31" s="308">
        <f>config!P63</f>
        <v>636.13</v>
      </c>
      <c r="AL31" s="304" t="e">
        <f>IF($AI$34&gt;$AH30,IF($AI$34&lt;=$AI31,($AI$34*$AJ31)-$AK31,0),0)</f>
        <v>#VALUE!</v>
      </c>
      <c r="AM31" s="304" t="e">
        <f>IF($AI$35&gt;$AH30,IF($AI$35&lt;=$AI31,($AI$35*$AJ31)-$AK31,0),0)</f>
        <v>#VALUE!</v>
      </c>
      <c r="AN31" s="306">
        <f>IF($AI$36&gt;$AH30,IF($AI$36&lt;=$AI31,($AI$36*$AJ31)-$AK31,0),0)</f>
        <v>0</v>
      </c>
      <c r="AO31" s="376" t="s">
        <v>66</v>
      </c>
      <c r="AP31" s="379" t="e">
        <f>SUM(AP28:AP30)</f>
        <v>#REF!</v>
      </c>
      <c r="AQ31" s="377"/>
      <c r="AR31" s="306"/>
      <c r="AS31" s="304"/>
    </row>
    <row r="32" spans="1:46" ht="12.75" customHeight="1" x14ac:dyDescent="0.25">
      <c r="A32" s="252">
        <f>IF(C32="x",0,1)</f>
        <v>1</v>
      </c>
      <c r="C32" s="447"/>
      <c r="D32" s="290" t="e">
        <f>IF(K32=0,"","Salário família:")</f>
        <v>#VALUE!</v>
      </c>
      <c r="E32" s="290"/>
      <c r="F32" s="290"/>
      <c r="G32" s="290"/>
      <c r="H32" s="290"/>
      <c r="I32" s="290"/>
      <c r="K32" s="529" t="e">
        <f>IF(SUM(AK44:AK45)&gt;0,SUM(AK44:AK45),0)*A32</f>
        <v>#VALUE!</v>
      </c>
      <c r="L32" s="529"/>
      <c r="M32" s="529"/>
      <c r="N32" s="529"/>
      <c r="O32" s="312"/>
      <c r="P32" s="300"/>
      <c r="Q32" s="280"/>
      <c r="R32" s="280"/>
      <c r="S32" s="280"/>
      <c r="T32" s="278" t="str">
        <f>IF(mascara!R20&gt;0,mascara!O20,"")</f>
        <v/>
      </c>
      <c r="U32" s="290"/>
      <c r="V32" s="290"/>
      <c r="W32" s="290"/>
      <c r="X32" s="290"/>
      <c r="Y32" s="290"/>
      <c r="Z32" s="523">
        <f>IF(mascara!R20&gt;0,mascara!R20,0)</f>
        <v>0</v>
      </c>
      <c r="AA32" s="523"/>
      <c r="AB32" s="523"/>
      <c r="AC32" s="523"/>
      <c r="AD32" s="419"/>
      <c r="AE32" s="419"/>
      <c r="AF32" s="270"/>
      <c r="AG32" s="272"/>
      <c r="AH32" s="252" t="s">
        <v>23</v>
      </c>
      <c r="AI32" s="307"/>
      <c r="AJ32" s="307">
        <f>config!M64</f>
        <v>0.27500000000000002</v>
      </c>
      <c r="AK32" s="308">
        <f>config!P64</f>
        <v>869.36</v>
      </c>
      <c r="AL32" s="304" t="e">
        <f>IF($AI34&gt;$AI31,($AI34*$AJ32)-$AK32,0)</f>
        <v>#VALUE!</v>
      </c>
      <c r="AM32" s="306" t="e">
        <f>IF(AI35&gt;AI31,(AI35*AJ32)-AK32,0)</f>
        <v>#VALUE!</v>
      </c>
      <c r="AN32" s="306">
        <f>IF(AI36&gt;AI31,(AI36*AJ32)-AK32,0)</f>
        <v>0</v>
      </c>
      <c r="AO32" s="306"/>
    </row>
    <row r="33" spans="1:39" ht="6" customHeight="1" x14ac:dyDescent="0.25">
      <c r="C33" s="250"/>
      <c r="D33" s="290"/>
      <c r="E33" s="290"/>
      <c r="F33" s="290"/>
      <c r="G33" s="290"/>
      <c r="H33" s="290"/>
      <c r="I33" s="290"/>
      <c r="J33" s="290"/>
      <c r="K33" s="313"/>
      <c r="L33" s="314"/>
      <c r="M33" s="314"/>
      <c r="N33" s="314"/>
      <c r="O33" s="309"/>
      <c r="P33" s="309"/>
      <c r="Q33" s="309"/>
      <c r="R33" s="309"/>
      <c r="S33" s="309"/>
      <c r="T33" s="309"/>
      <c r="U33" s="309"/>
      <c r="V33" s="309"/>
      <c r="W33" s="309"/>
      <c r="X33" s="309"/>
      <c r="Y33" s="309"/>
      <c r="Z33" s="292"/>
      <c r="AA33" s="292"/>
      <c r="AB33" s="292"/>
      <c r="AC33" s="292"/>
      <c r="AD33" s="292"/>
      <c r="AE33" s="292"/>
      <c r="AF33" s="278"/>
      <c r="AG33" s="272"/>
      <c r="AH33" s="252" t="s">
        <v>27</v>
      </c>
      <c r="AI33" s="306">
        <f>config!K66</f>
        <v>189.59</v>
      </c>
      <c r="AJ33" s="315">
        <f>AI33*Z14</f>
        <v>0</v>
      </c>
    </row>
    <row r="34" spans="1:39" ht="12.75" customHeight="1" x14ac:dyDescent="0.25">
      <c r="A34" s="252">
        <f>IF(C34="x",0,1)</f>
        <v>1</v>
      </c>
      <c r="C34" s="447"/>
      <c r="D34" s="316" t="str">
        <f>IF(K34&lt;=0,"","Aviso prévio indenizado CCT")</f>
        <v/>
      </c>
      <c r="E34" s="290"/>
      <c r="F34" s="290"/>
      <c r="G34" s="290"/>
      <c r="H34" s="290"/>
      <c r="I34" s="290"/>
      <c r="J34" s="290"/>
      <c r="K34" s="529">
        <f>IF(AP8&gt;0,AP8*AI13,0)*A34</f>
        <v>0</v>
      </c>
      <c r="L34" s="529"/>
      <c r="M34" s="529"/>
      <c r="N34" s="529"/>
      <c r="O34" s="309">
        <f>IF(C34="x",0,IF(AP8&gt;0,AP8,0))</f>
        <v>0</v>
      </c>
      <c r="P34" s="300" t="str">
        <f>IF(O34=0,"",IF(O34=1,"dia","dias"))</f>
        <v/>
      </c>
      <c r="Q34" s="309"/>
      <c r="R34" s="309"/>
      <c r="S34" s="305"/>
      <c r="U34" s="305"/>
      <c r="V34" s="305"/>
      <c r="W34" s="305"/>
      <c r="X34" s="305"/>
      <c r="Y34" s="305"/>
      <c r="AD34" s="420"/>
      <c r="AE34" s="420"/>
      <c r="AF34" s="270"/>
      <c r="AG34" s="272"/>
      <c r="AH34" s="252" t="s">
        <v>206</v>
      </c>
      <c r="AI34" s="317" t="e">
        <f>IF(mascara!L20="sim",(K20+K36)-Z20-AJ33,K20-(K20*AL24)-AJ33)</f>
        <v>#VALUE!</v>
      </c>
    </row>
    <row r="35" spans="1:39" ht="6" customHeight="1" x14ac:dyDescent="0.25">
      <c r="C35" s="250"/>
      <c r="D35" s="290"/>
      <c r="E35" s="290"/>
      <c r="F35" s="290"/>
      <c r="G35" s="290"/>
      <c r="H35" s="290"/>
      <c r="I35" s="290"/>
      <c r="J35" s="290"/>
      <c r="K35" s="318"/>
      <c r="L35" s="318"/>
      <c r="M35" s="318"/>
      <c r="N35" s="318"/>
      <c r="O35" s="309"/>
      <c r="P35" s="309"/>
      <c r="Q35" s="309"/>
      <c r="R35" s="309"/>
      <c r="S35" s="305"/>
      <c r="T35" s="305"/>
      <c r="U35" s="305"/>
      <c r="V35" s="305"/>
      <c r="W35" s="305"/>
      <c r="X35" s="305"/>
      <c r="Y35" s="305"/>
      <c r="Z35" s="319"/>
      <c r="AA35" s="319"/>
      <c r="AB35" s="319"/>
      <c r="AC35" s="319"/>
      <c r="AD35" s="319"/>
      <c r="AE35" s="319"/>
      <c r="AF35" s="278"/>
      <c r="AG35" s="272"/>
      <c r="AH35" s="252" t="s">
        <v>26</v>
      </c>
      <c r="AI35" s="320" t="e">
        <f>(K22)-Z22-AJ33</f>
        <v>#VALUE!</v>
      </c>
    </row>
    <row r="36" spans="1:39" ht="12.75" customHeight="1" x14ac:dyDescent="0.25">
      <c r="C36" s="250"/>
      <c r="D36" s="290" t="str">
        <f>IF(mascara!E20&gt;0,"Outros:","")</f>
        <v/>
      </c>
      <c r="E36" s="290"/>
      <c r="F36" s="290"/>
      <c r="G36" s="290"/>
      <c r="H36" s="290"/>
      <c r="I36" s="290"/>
      <c r="J36" s="290"/>
      <c r="K36" s="529">
        <f>IF(mascara!E20&gt;0,mascara!E20,0)</f>
        <v>0</v>
      </c>
      <c r="L36" s="529"/>
      <c r="M36" s="529"/>
      <c r="N36" s="529"/>
      <c r="O36" s="290"/>
      <c r="P36" s="290"/>
      <c r="Q36" s="290"/>
      <c r="R36" s="290"/>
      <c r="S36" s="305"/>
      <c r="T36" s="278"/>
      <c r="U36" s="305"/>
      <c r="V36" s="305"/>
      <c r="W36" s="305"/>
      <c r="X36" s="305"/>
      <c r="Y36" s="305"/>
      <c r="Z36" s="523"/>
      <c r="AA36" s="523"/>
      <c r="AB36" s="523"/>
      <c r="AC36" s="523"/>
      <c r="AD36" s="420"/>
      <c r="AE36" s="420"/>
      <c r="AF36" s="278"/>
      <c r="AG36" s="272"/>
      <c r="AI36" s="321"/>
    </row>
    <row r="37" spans="1:39" ht="6" customHeight="1" x14ac:dyDescent="0.25">
      <c r="C37" s="250"/>
      <c r="D37" s="290"/>
      <c r="E37" s="290"/>
      <c r="F37" s="290"/>
      <c r="G37" s="290"/>
      <c r="H37" s="290"/>
      <c r="I37" s="290"/>
      <c r="J37" s="290"/>
      <c r="K37" s="318"/>
      <c r="L37" s="318"/>
      <c r="M37" s="318"/>
      <c r="N37" s="318"/>
      <c r="O37" s="309"/>
      <c r="P37" s="309"/>
      <c r="Q37" s="309"/>
      <c r="R37" s="309"/>
      <c r="S37" s="309"/>
      <c r="T37" s="309"/>
      <c r="U37" s="309"/>
      <c r="V37" s="309"/>
      <c r="W37" s="309"/>
      <c r="X37" s="309"/>
      <c r="Y37" s="309"/>
      <c r="Z37" s="309"/>
      <c r="AA37" s="309"/>
      <c r="AB37" s="309"/>
      <c r="AC37" s="309"/>
      <c r="AD37" s="309"/>
      <c r="AE37" s="309"/>
      <c r="AF37" s="278"/>
      <c r="AG37" s="272"/>
    </row>
    <row r="38" spans="1:39" ht="12.75" customHeight="1" x14ac:dyDescent="0.25">
      <c r="C38" s="447"/>
      <c r="D38" s="252" t="str">
        <f>IF(K38&gt;0,"Multa , Lei Nº 7.238/84","")</f>
        <v/>
      </c>
      <c r="E38" s="290"/>
      <c r="F38" s="290"/>
      <c r="G38" s="290"/>
      <c r="H38" s="290"/>
      <c r="I38" s="290"/>
      <c r="J38" s="290"/>
      <c r="K38" s="529">
        <f>IF(C38="x",0,IF(AI4&gt;0,AI4,0))</f>
        <v>0</v>
      </c>
      <c r="L38" s="529"/>
      <c r="M38" s="529"/>
      <c r="N38" s="529"/>
      <c r="O38" s="290"/>
      <c r="P38" s="290"/>
      <c r="Q38" s="290"/>
      <c r="R38" s="290"/>
      <c r="S38" s="290"/>
      <c r="T38" s="290"/>
      <c r="U38" s="290"/>
      <c r="V38" s="290"/>
      <c r="W38" s="290"/>
      <c r="X38" s="290"/>
      <c r="Y38" s="290"/>
      <c r="Z38" s="290"/>
      <c r="AA38" s="290"/>
      <c r="AB38" s="290"/>
      <c r="AC38" s="290"/>
      <c r="AD38" s="290"/>
      <c r="AE38" s="290"/>
      <c r="AF38" s="270"/>
      <c r="AG38" s="272"/>
      <c r="AH38" s="252" t="s">
        <v>38</v>
      </c>
      <c r="AI38" s="252" t="s">
        <v>35</v>
      </c>
    </row>
    <row r="39" spans="1:39" ht="6" customHeight="1" x14ac:dyDescent="0.25">
      <c r="C39" s="250"/>
      <c r="D39" s="290"/>
      <c r="E39" s="290"/>
      <c r="F39" s="290"/>
      <c r="G39" s="290"/>
      <c r="H39" s="290"/>
      <c r="I39" s="290"/>
      <c r="J39" s="290"/>
      <c r="K39" s="318"/>
      <c r="L39" s="318"/>
      <c r="M39" s="318"/>
      <c r="N39" s="318"/>
      <c r="O39" s="290"/>
      <c r="P39" s="290"/>
      <c r="Q39" s="290"/>
      <c r="R39" s="290"/>
      <c r="S39" s="290"/>
      <c r="T39" s="290"/>
      <c r="U39" s="290"/>
      <c r="V39" s="290"/>
      <c r="W39" s="290"/>
      <c r="X39" s="290"/>
      <c r="Y39" s="290"/>
      <c r="Z39" s="290"/>
      <c r="AA39" s="290"/>
      <c r="AB39" s="290"/>
      <c r="AC39" s="290"/>
      <c r="AD39" s="290"/>
      <c r="AE39" s="290"/>
      <c r="AF39" s="270"/>
      <c r="AG39" s="272"/>
      <c r="AH39" s="252" t="s">
        <v>30</v>
      </c>
      <c r="AI39" s="252" t="s">
        <v>36</v>
      </c>
    </row>
    <row r="40" spans="1:39" ht="12.75" customHeight="1" x14ac:dyDescent="0.25">
      <c r="C40" s="250"/>
      <c r="D40" s="290"/>
      <c r="E40" s="290"/>
      <c r="F40" s="290"/>
      <c r="G40" s="290"/>
      <c r="H40" s="290"/>
      <c r="I40" s="290"/>
      <c r="J40" s="290"/>
      <c r="K40" s="529"/>
      <c r="L40" s="529"/>
      <c r="M40" s="529"/>
      <c r="N40" s="529"/>
      <c r="O40" s="290"/>
      <c r="P40" s="290"/>
      <c r="Q40" s="290"/>
      <c r="R40" s="290"/>
      <c r="S40" s="290"/>
      <c r="T40" s="290"/>
      <c r="U40" s="290"/>
      <c r="V40" s="290"/>
      <c r="W40" s="290"/>
      <c r="X40" s="290"/>
      <c r="Y40" s="290"/>
      <c r="Z40" s="290"/>
      <c r="AA40" s="290"/>
      <c r="AB40" s="290"/>
      <c r="AC40" s="290"/>
      <c r="AD40" s="290"/>
      <c r="AE40" s="290"/>
      <c r="AF40" s="270"/>
      <c r="AG40" s="302"/>
      <c r="AH40" s="252" t="s">
        <v>31</v>
      </c>
      <c r="AI40" s="252" t="s">
        <v>37</v>
      </c>
    </row>
    <row r="41" spans="1:39" ht="6" customHeight="1" x14ac:dyDescent="0.25">
      <c r="C41" s="250"/>
      <c r="D41" s="290"/>
      <c r="E41" s="290"/>
      <c r="F41" s="290"/>
      <c r="G41" s="290"/>
      <c r="H41" s="290"/>
      <c r="I41" s="290"/>
      <c r="J41" s="290"/>
      <c r="K41" s="318"/>
      <c r="L41" s="318"/>
      <c r="M41" s="318"/>
      <c r="N41" s="318"/>
      <c r="O41" s="290"/>
      <c r="P41" s="290"/>
      <c r="Q41" s="290"/>
      <c r="R41" s="290"/>
      <c r="S41" s="290"/>
      <c r="T41" s="290"/>
      <c r="U41" s="290"/>
      <c r="V41" s="290"/>
      <c r="W41" s="290"/>
      <c r="X41" s="290"/>
      <c r="Y41" s="290"/>
      <c r="Z41" s="290"/>
      <c r="AA41" s="290"/>
      <c r="AB41" s="290"/>
      <c r="AC41" s="290"/>
      <c r="AD41" s="290"/>
      <c r="AE41" s="290"/>
      <c r="AF41" s="270"/>
      <c r="AG41" s="322"/>
    </row>
    <row r="42" spans="1:39" ht="12.75" customHeight="1" x14ac:dyDescent="0.25">
      <c r="C42" s="250"/>
      <c r="D42" s="553"/>
      <c r="E42" s="553"/>
      <c r="F42" s="553"/>
      <c r="G42" s="553"/>
      <c r="H42" s="553"/>
      <c r="I42" s="553"/>
      <c r="J42" s="553"/>
      <c r="K42" s="529"/>
      <c r="L42" s="529"/>
      <c r="M42" s="529"/>
      <c r="N42" s="529"/>
      <c r="O42" s="323"/>
      <c r="P42" s="280"/>
      <c r="Q42" s="280"/>
      <c r="R42" s="280"/>
      <c r="S42" s="290"/>
      <c r="T42" s="290"/>
      <c r="U42" s="290"/>
      <c r="V42" s="290"/>
      <c r="W42" s="290"/>
      <c r="X42" s="290"/>
      <c r="Y42" s="290"/>
      <c r="Z42" s="290"/>
      <c r="AA42" s="290"/>
      <c r="AB42" s="290"/>
      <c r="AC42" s="290"/>
      <c r="AD42" s="290"/>
      <c r="AE42" s="290"/>
      <c r="AF42" s="270"/>
      <c r="AG42" s="322"/>
      <c r="AH42" s="519" t="s">
        <v>41</v>
      </c>
      <c r="AI42" s="519" t="s">
        <v>40</v>
      </c>
    </row>
    <row r="43" spans="1:39" ht="9.75" customHeight="1" x14ac:dyDescent="0.25">
      <c r="C43" s="250"/>
      <c r="D43" s="290"/>
      <c r="E43" s="290"/>
      <c r="F43" s="290"/>
      <c r="G43" s="290"/>
      <c r="H43" s="290"/>
      <c r="I43" s="290"/>
      <c r="J43" s="290"/>
      <c r="K43" s="318"/>
      <c r="L43" s="318"/>
      <c r="M43" s="318"/>
      <c r="N43" s="318"/>
      <c r="O43" s="290"/>
      <c r="P43" s="290"/>
      <c r="Q43" s="290"/>
      <c r="R43" s="290"/>
      <c r="S43" s="290"/>
      <c r="T43" s="290"/>
      <c r="U43" s="290"/>
      <c r="V43" s="290"/>
      <c r="W43" s="290"/>
      <c r="X43" s="290"/>
      <c r="Y43" s="290"/>
      <c r="Z43" s="290"/>
      <c r="AA43" s="290"/>
      <c r="AB43" s="290"/>
      <c r="AC43" s="290"/>
      <c r="AD43" s="290"/>
      <c r="AE43" s="290"/>
      <c r="AF43" s="270"/>
      <c r="AG43" s="324"/>
      <c r="AH43" s="519"/>
      <c r="AI43" s="519"/>
      <c r="AJ43" s="252" t="s">
        <v>44</v>
      </c>
      <c r="AK43" s="252" t="s">
        <v>45</v>
      </c>
    </row>
    <row r="44" spans="1:39" s="280" customFormat="1" ht="23.25" customHeight="1" x14ac:dyDescent="0.25">
      <c r="A44" s="252"/>
      <c r="B44" s="252"/>
      <c r="C44" s="250"/>
      <c r="D44" s="325" t="s">
        <v>47</v>
      </c>
      <c r="E44" s="326"/>
      <c r="F44" s="326"/>
      <c r="G44" s="326"/>
      <c r="H44" s="326"/>
      <c r="I44" s="326"/>
      <c r="J44" s="530" t="e">
        <f>SUM(K18:N43)</f>
        <v>#VALUE!</v>
      </c>
      <c r="K44" s="530"/>
      <c r="L44" s="530"/>
      <c r="M44" s="530"/>
      <c r="N44" s="531"/>
      <c r="O44" s="327"/>
      <c r="P44" s="270"/>
      <c r="Q44" s="270"/>
      <c r="R44" s="270"/>
      <c r="S44" s="270"/>
      <c r="T44" s="550" t="s">
        <v>1</v>
      </c>
      <c r="U44" s="551"/>
      <c r="V44" s="551"/>
      <c r="W44" s="551"/>
      <c r="X44" s="551"/>
      <c r="Y44" s="532" t="e">
        <f>SUM(Z20:AC43)</f>
        <v>#VALUE!</v>
      </c>
      <c r="Z44" s="533"/>
      <c r="AA44" s="533"/>
      <c r="AB44" s="533"/>
      <c r="AC44" s="534"/>
      <c r="AD44" s="441"/>
      <c r="AE44" s="441"/>
      <c r="AF44" s="328"/>
      <c r="AH44" s="442">
        <f>config!F90</f>
        <v>806.8</v>
      </c>
      <c r="AI44" s="443">
        <f>config!I90</f>
        <v>41.37</v>
      </c>
      <c r="AJ44" s="280">
        <f>IF(H12&lt;=AH44,Z15*AI44,0)</f>
        <v>0</v>
      </c>
      <c r="AK44" s="444" t="e">
        <f>(AJ44/30)*H20</f>
        <v>#VALUE!</v>
      </c>
    </row>
    <row r="45" spans="1:39" s="280" customFormat="1" ht="9" customHeight="1" thickBot="1" x14ac:dyDescent="0.3">
      <c r="A45" s="252"/>
      <c r="B45" s="252"/>
      <c r="C45" s="250"/>
      <c r="D45" s="270"/>
      <c r="E45" s="270"/>
      <c r="F45" s="270"/>
      <c r="G45" s="270"/>
      <c r="H45" s="270"/>
      <c r="I45" s="270"/>
      <c r="J45" s="270"/>
      <c r="K45" s="270"/>
      <c r="L45" s="270"/>
      <c r="M45" s="270"/>
      <c r="N45" s="270"/>
      <c r="O45" s="270"/>
      <c r="P45" s="270"/>
      <c r="Q45" s="270"/>
      <c r="R45" s="270"/>
      <c r="S45" s="270"/>
      <c r="T45" s="270"/>
      <c r="U45" s="270"/>
      <c r="V45" s="270"/>
      <c r="W45" s="270"/>
      <c r="X45" s="270"/>
      <c r="Y45" s="270"/>
      <c r="Z45" s="270"/>
      <c r="AA45" s="270"/>
      <c r="AB45" s="270"/>
      <c r="AC45" s="270"/>
      <c r="AD45" s="278"/>
      <c r="AE45" s="278"/>
      <c r="AF45" s="328"/>
      <c r="AH45" s="442">
        <f>config!F91</f>
        <v>1212.6400000000001</v>
      </c>
      <c r="AI45" s="443">
        <f>config!I91</f>
        <v>29.16</v>
      </c>
      <c r="AJ45" s="280">
        <f>IF(H12&gt;AH44,IF(H12&lt;=AH45,Z15*AI45,0),0)</f>
        <v>0</v>
      </c>
      <c r="AK45" s="444" t="e">
        <f>(AJ45/30)*H20</f>
        <v>#VALUE!</v>
      </c>
    </row>
    <row r="46" spans="1:39" s="280" customFormat="1" ht="22.5" customHeight="1" thickBot="1" x14ac:dyDescent="0.3">
      <c r="A46" s="252"/>
      <c r="B46" s="252"/>
      <c r="C46" s="250"/>
      <c r="D46" s="545"/>
      <c r="E46" s="545"/>
      <c r="F46" s="545"/>
      <c r="G46" s="545"/>
      <c r="H46" s="545"/>
      <c r="I46" s="545"/>
      <c r="J46" s="545"/>
      <c r="K46" s="545"/>
      <c r="L46" s="545"/>
      <c r="M46" s="545"/>
      <c r="N46" s="545"/>
      <c r="O46" s="545"/>
      <c r="P46" s="545"/>
      <c r="Q46" s="545"/>
      <c r="R46" s="545"/>
      <c r="S46" s="270"/>
      <c r="T46" s="329" t="s">
        <v>46</v>
      </c>
      <c r="U46" s="330"/>
      <c r="V46" s="330"/>
      <c r="W46" s="330"/>
      <c r="X46" s="330"/>
      <c r="Y46" s="330"/>
      <c r="Z46" s="546" t="e">
        <f>IF(J44&gt;Y44,J44-Y44,0)</f>
        <v>#VALUE!</v>
      </c>
      <c r="AA46" s="547"/>
      <c r="AB46" s="547"/>
      <c r="AC46" s="548"/>
      <c r="AD46" s="441"/>
      <c r="AE46" s="441"/>
      <c r="AF46" s="305"/>
      <c r="AH46" s="442"/>
      <c r="AI46" s="442"/>
    </row>
    <row r="47" spans="1:39" ht="5.25" customHeight="1" x14ac:dyDescent="0.25">
      <c r="C47" s="250"/>
      <c r="D47" s="545"/>
      <c r="E47" s="545"/>
      <c r="F47" s="545"/>
      <c r="G47" s="545"/>
      <c r="H47" s="545"/>
      <c r="I47" s="545"/>
      <c r="J47" s="545"/>
      <c r="K47" s="545"/>
      <c r="L47" s="545"/>
      <c r="M47" s="545"/>
      <c r="N47" s="545"/>
      <c r="O47" s="545"/>
      <c r="P47" s="545"/>
      <c r="Q47" s="545"/>
      <c r="R47" s="545"/>
      <c r="S47" s="270"/>
      <c r="T47" s="270"/>
      <c r="U47" s="270"/>
      <c r="V47" s="270"/>
      <c r="W47" s="270"/>
      <c r="X47" s="270"/>
      <c r="Y47" s="270"/>
      <c r="Z47" s="270"/>
      <c r="AA47" s="270"/>
      <c r="AB47" s="270"/>
      <c r="AC47" s="270"/>
      <c r="AD47" s="270"/>
      <c r="AE47" s="270"/>
      <c r="AF47" s="305"/>
      <c r="AG47" s="280"/>
      <c r="AH47" s="331"/>
      <c r="AI47" s="332" t="s">
        <v>165</v>
      </c>
      <c r="AJ47" s="332" t="s">
        <v>166</v>
      </c>
      <c r="AK47" s="333"/>
      <c r="AL47" s="280"/>
      <c r="AM47" s="280"/>
    </row>
    <row r="48" spans="1:39" ht="12" customHeight="1" x14ac:dyDescent="0.25">
      <c r="C48" s="280"/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0"/>
      <c r="R48" s="280"/>
      <c r="S48" s="280"/>
      <c r="T48" s="280"/>
      <c r="U48" s="280"/>
      <c r="V48" s="280"/>
      <c r="W48" s="280"/>
      <c r="X48" s="280"/>
      <c r="Y48" s="280"/>
      <c r="Z48" s="280"/>
      <c r="AA48" s="280"/>
      <c r="AB48" s="280"/>
      <c r="AC48" s="280"/>
      <c r="AD48" s="280"/>
      <c r="AE48" s="280"/>
      <c r="AF48" s="305"/>
      <c r="AG48" s="280"/>
      <c r="AH48" s="334" t="s">
        <v>169</v>
      </c>
      <c r="AI48" s="335">
        <f>IF(K8="Dispensa sem justa causa",mascara!T12+AP8+AM11,0)</f>
        <v>0</v>
      </c>
      <c r="AJ48" s="336">
        <f>IF(K8="Dispensa sem justa causa",IF(AI48&gt;=15,AI48/30,0),0)</f>
        <v>0</v>
      </c>
      <c r="AK48" s="337"/>
      <c r="AL48" s="280"/>
      <c r="AM48" s="280"/>
    </row>
    <row r="49" spans="3:39" ht="15" customHeight="1" x14ac:dyDescent="0.25">
      <c r="C49" s="280"/>
      <c r="D49" s="535" t="e">
        <f>IF('seg aut'!F17&gt;0,"Cálculo de seguro desemprego:","")</f>
        <v>#VALUE!</v>
      </c>
      <c r="E49" s="535"/>
      <c r="F49" s="535"/>
      <c r="G49" s="535"/>
      <c r="H49" s="535"/>
      <c r="I49" s="535"/>
      <c r="J49" s="535"/>
      <c r="K49" s="535"/>
      <c r="L49" s="535"/>
      <c r="M49" s="535"/>
      <c r="N49" s="338"/>
      <c r="O49" s="338"/>
      <c r="P49" s="338"/>
      <c r="Q49" s="338"/>
      <c r="R49" s="515" t="str">
        <f>IF(mascara!H6="Dispensa sem justa causa",IF(mascara!J22&gt;0,"Cálculo de FGTS:",""),"")</f>
        <v/>
      </c>
      <c r="S49" s="515"/>
      <c r="T49" s="515"/>
      <c r="U49" s="515"/>
      <c r="V49" s="515"/>
      <c r="W49" s="515"/>
      <c r="X49" s="515"/>
      <c r="Y49" s="515"/>
      <c r="Z49" s="515"/>
      <c r="AA49" s="515"/>
      <c r="AB49" s="515"/>
      <c r="AC49" s="515"/>
      <c r="AD49" s="429"/>
      <c r="AE49" s="429"/>
      <c r="AF49" s="305"/>
      <c r="AG49" s="280"/>
      <c r="AH49" s="334"/>
      <c r="AI49" s="339" t="e">
        <f>Z11-Q10</f>
        <v>#VALUE!</v>
      </c>
      <c r="AJ49" s="336" t="e">
        <f>IF(AI49&gt;=15,AI49/30,0)</f>
        <v>#VALUE!</v>
      </c>
      <c r="AK49" s="337"/>
      <c r="AL49" s="280" t="e">
        <f>IF(DAY(Z10-G10)+1&gt;=15,MONTH(Z10-G10),MONTH(Z10-G10)-1)</f>
        <v>#VALUE!</v>
      </c>
      <c r="AM49" s="280">
        <f>IF(K8="Dispensa sem justa causa",AL50-O24,0)</f>
        <v>0</v>
      </c>
    </row>
    <row r="50" spans="3:39" ht="2.25" customHeight="1" x14ac:dyDescent="0.25">
      <c r="D50" s="272"/>
      <c r="E50" s="272"/>
      <c r="F50" s="272"/>
      <c r="G50" s="272"/>
      <c r="H50" s="272"/>
      <c r="I50" s="272"/>
      <c r="J50" s="272"/>
      <c r="K50" s="272"/>
      <c r="L50" s="272"/>
      <c r="M50" s="272"/>
      <c r="N50" s="272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  <c r="AF50" s="280"/>
      <c r="AG50" s="280"/>
      <c r="AH50" s="334"/>
      <c r="AI50" s="339" t="e">
        <f>Z10-Q10+1</f>
        <v>#VALUE!</v>
      </c>
      <c r="AJ50" s="336" t="e">
        <f>IF(AI50&lt;15,1,0)</f>
        <v>#VALUE!</v>
      </c>
      <c r="AK50" s="337"/>
      <c r="AL50" s="280" t="e">
        <f>IF(DAY(Z11-G10)+1&gt;=15,MONTH(Z11-G10),MONTH(Z11-G10)-1)</f>
        <v>#VALUE!</v>
      </c>
      <c r="AM50" s="280"/>
    </row>
    <row r="51" spans="3:39" ht="17.25" customHeight="1" thickBot="1" x14ac:dyDescent="0.3">
      <c r="D51" s="517" t="e">
        <f>IF('seg aut'!F17&gt;0,'seg aut'!D17,"")</f>
        <v>#VALUE!</v>
      </c>
      <c r="E51" s="517"/>
      <c r="F51" s="517"/>
      <c r="G51" s="517"/>
      <c r="H51" s="517"/>
      <c r="I51" s="517"/>
      <c r="J51" s="340" t="e">
        <f>IF('seg aut'!F17&gt;0,'seg aut'!F17,"")</f>
        <v>#VALUE!</v>
      </c>
      <c r="K51" s="272"/>
      <c r="L51" s="272"/>
      <c r="M51" s="272"/>
      <c r="N51" s="272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341" t="str">
        <f>IF(R49="Cálculo de FGTS:","Valor aproximado de saldo FGTS:","")</f>
        <v/>
      </c>
      <c r="Z51" s="514" t="str">
        <f>IF(R49="Cálculo de FGTS:",AJ53*mascara!J22*8/100,"")</f>
        <v/>
      </c>
      <c r="AA51" s="514"/>
      <c r="AB51" s="514"/>
      <c r="AC51" s="514"/>
      <c r="AD51" s="428"/>
      <c r="AE51" s="428"/>
      <c r="AF51" s="280"/>
      <c r="AG51" s="280"/>
      <c r="AH51" s="342" t="s">
        <v>168</v>
      </c>
      <c r="AI51" s="343" t="e">
        <f>IF(AJ51&lt;1.5,AJ51-1,IF(AJ51&lt;2.5,AJ51-2,IF(AJ51&lt;3.5,AJ51-3,IF(AJ51&lt;4.5,AJ51-4,IF(AJ51&lt;5.5,AJ51-5,AJ51-6)))))</f>
        <v>#VALUE!</v>
      </c>
      <c r="AJ51" s="344" t="e">
        <f>IF(AJ50+AJ48=0,0,IF(AJ48&lt;AJ49,AJ50+AJ48,AJ48))</f>
        <v>#VALUE!</v>
      </c>
      <c r="AK51" s="345" t="e">
        <f>IF(AJ51=0,0,AJ51-AI51)</f>
        <v>#VALUE!</v>
      </c>
      <c r="AL51" s="280" t="e">
        <f>AL50-AL49</f>
        <v>#VALUE!</v>
      </c>
      <c r="AM51" s="280"/>
    </row>
    <row r="52" spans="3:39" ht="2.25" customHeight="1" x14ac:dyDescent="0.25">
      <c r="D52" s="341"/>
      <c r="E52" s="341"/>
      <c r="F52" s="341"/>
      <c r="G52" s="341"/>
      <c r="H52" s="341"/>
      <c r="I52" s="341"/>
      <c r="J52" s="272"/>
      <c r="K52" s="272"/>
      <c r="L52" s="272"/>
      <c r="M52" s="272"/>
      <c r="N52" s="272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  <c r="AF52" s="280"/>
      <c r="AG52" s="280"/>
      <c r="AH52" s="280"/>
      <c r="AI52" s="280"/>
      <c r="AJ52" s="280"/>
      <c r="AK52" s="280"/>
      <c r="AL52" s="280"/>
      <c r="AM52" s="280"/>
    </row>
    <row r="53" spans="3:39" ht="16.5" customHeight="1" x14ac:dyDescent="0.25">
      <c r="D53" s="517" t="e">
        <f>IF('seg aut'!F19&gt;0,'seg aut'!D19,"")</f>
        <v>#VALUE!</v>
      </c>
      <c r="E53" s="517"/>
      <c r="F53" s="517"/>
      <c r="G53" s="517"/>
      <c r="H53" s="517"/>
      <c r="I53" s="517"/>
      <c r="J53" s="518" t="e">
        <f>IF('seg aut'!F19&gt;0,'seg aut'!F19,"")</f>
        <v>#VALUE!</v>
      </c>
      <c r="K53" s="518"/>
      <c r="L53" s="518"/>
      <c r="M53" s="272"/>
      <c r="N53" s="272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341" t="str">
        <f>IF(R49="Cálculo de FGTS:","Valor aproximado da multa de 40%:","")</f>
        <v/>
      </c>
      <c r="Z53" s="514" t="str">
        <f>IF(R49="Cálculo de FGTS:",Z51*40/100,"")</f>
        <v/>
      </c>
      <c r="AA53" s="514"/>
      <c r="AB53" s="514"/>
      <c r="AC53" s="514"/>
      <c r="AD53" s="428"/>
      <c r="AE53" s="428"/>
      <c r="AF53" s="280"/>
      <c r="AG53" s="280"/>
      <c r="AH53" s="273" t="s">
        <v>186</v>
      </c>
      <c r="AI53" s="273"/>
      <c r="AJ53" s="273" t="e">
        <f>IF(YEAR(AJ7)&gt;YEAR(G10),(YEAR(AJ7)-YEAR(G10))-AN8,0)*12+IF(DAY(Z11-G10)+1&gt;=15,MONTH(Z11-G10),MONTH(Z11-G10)-1)</f>
        <v>#VALUE!</v>
      </c>
      <c r="AK53" s="280"/>
      <c r="AL53" s="280"/>
      <c r="AM53" s="280"/>
    </row>
    <row r="54" spans="3:39" ht="2.25" customHeight="1" x14ac:dyDescent="0.25">
      <c r="D54" s="272"/>
      <c r="E54" s="272"/>
      <c r="F54" s="272"/>
      <c r="G54" s="272"/>
      <c r="H54" s="272"/>
      <c r="I54" s="272"/>
      <c r="J54" s="272"/>
      <c r="K54" s="272"/>
      <c r="L54" s="272"/>
      <c r="M54" s="272"/>
      <c r="N54" s="272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  <c r="AG54" s="280"/>
      <c r="AH54" s="280"/>
      <c r="AI54" s="280"/>
      <c r="AJ54" s="280"/>
      <c r="AK54" s="280"/>
      <c r="AL54" s="280"/>
      <c r="AM54" s="280"/>
    </row>
    <row r="55" spans="3:39" ht="16.5" customHeight="1" x14ac:dyDescent="0.25">
      <c r="D55" s="353" t="e">
        <f>IF(J51="","","*observar regras para recebimento de seguro desemprego")</f>
        <v>#VALUE!</v>
      </c>
      <c r="E55" s="272"/>
      <c r="F55" s="272"/>
      <c r="G55" s="272"/>
      <c r="H55" s="272"/>
      <c r="I55" s="272"/>
      <c r="J55" s="272"/>
      <c r="K55" s="272"/>
      <c r="L55" s="272"/>
      <c r="M55" s="272"/>
      <c r="N55" s="272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346" t="str">
        <f>IF(R49="Cálculo de FGTS:","Total aproximado de FGTS + multa:","")</f>
        <v/>
      </c>
      <c r="Z55" s="516" t="str">
        <f>IF(R49="Cálculo de FGTS:",Z51+Z53,"")</f>
        <v/>
      </c>
      <c r="AA55" s="516"/>
      <c r="AB55" s="516"/>
      <c r="AC55" s="516"/>
      <c r="AD55" s="430"/>
      <c r="AE55" s="430"/>
      <c r="AG55" s="280"/>
      <c r="AH55" s="355" t="s">
        <v>193</v>
      </c>
      <c r="AI55" s="356"/>
      <c r="AJ55" s="357"/>
    </row>
    <row r="56" spans="3:39" ht="5.25" customHeight="1" x14ac:dyDescent="0.25">
      <c r="D56" s="272"/>
      <c r="E56" s="272"/>
      <c r="F56" s="272"/>
      <c r="G56" s="272"/>
      <c r="H56" s="272"/>
      <c r="I56" s="272"/>
      <c r="J56" s="272"/>
      <c r="K56" s="272"/>
      <c r="L56" s="272"/>
      <c r="M56" s="272"/>
      <c r="N56" s="272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346"/>
      <c r="Z56" s="347"/>
      <c r="AA56" s="347"/>
      <c r="AB56" s="347"/>
      <c r="AC56" s="347"/>
      <c r="AD56" s="430"/>
      <c r="AE56" s="430"/>
      <c r="AH56" s="358" t="e">
        <f>IF(config!P8="Sim",(calculo!K36+calculo!K20)*config!P6,K20*config!P6)</f>
        <v>#VALUE!</v>
      </c>
      <c r="AI56" s="359" t="s">
        <v>194</v>
      </c>
      <c r="AJ56" s="360"/>
    </row>
    <row r="57" spans="3:39" ht="4.5" customHeight="1" x14ac:dyDescent="0.25">
      <c r="D57" s="524" t="str">
        <f>config!E110</f>
        <v>Obs. Cálculo baseado nas informações digitadas pelo usuário do site, podendo haver diferenças.</v>
      </c>
      <c r="E57" s="524"/>
      <c r="F57" s="524"/>
      <c r="G57" s="524"/>
      <c r="H57" s="524"/>
      <c r="I57" s="524"/>
      <c r="J57" s="524"/>
      <c r="K57" s="524"/>
      <c r="L57" s="524"/>
      <c r="M57" s="524"/>
      <c r="N57" s="524"/>
      <c r="O57" s="524"/>
      <c r="P57" s="524"/>
      <c r="Q57" s="524"/>
      <c r="R57" s="524"/>
      <c r="S57" s="524"/>
      <c r="T57" s="524"/>
      <c r="U57" s="524"/>
      <c r="V57" s="524"/>
      <c r="W57" s="524"/>
      <c r="X57" s="524"/>
      <c r="Y57" s="524"/>
      <c r="Z57" s="524"/>
      <c r="AA57" s="524"/>
      <c r="AB57" s="524"/>
      <c r="AC57" s="524"/>
      <c r="AD57" s="431"/>
      <c r="AE57" s="431"/>
      <c r="AH57" s="358">
        <f>IF(config!P10&gt;0,config!P10,0)</f>
        <v>40</v>
      </c>
      <c r="AI57" s="359" t="s">
        <v>195</v>
      </c>
      <c r="AJ57" s="360"/>
    </row>
    <row r="58" spans="3:39" ht="16.5" customHeight="1" x14ac:dyDescent="0.25">
      <c r="D58" s="524"/>
      <c r="E58" s="524"/>
      <c r="F58" s="524"/>
      <c r="G58" s="524"/>
      <c r="H58" s="524"/>
      <c r="I58" s="524"/>
      <c r="J58" s="524"/>
      <c r="K58" s="524"/>
      <c r="L58" s="524"/>
      <c r="M58" s="524"/>
      <c r="N58" s="524"/>
      <c r="O58" s="524"/>
      <c r="P58" s="524"/>
      <c r="Q58" s="524"/>
      <c r="R58" s="524"/>
      <c r="S58" s="524"/>
      <c r="T58" s="524"/>
      <c r="U58" s="524"/>
      <c r="V58" s="524"/>
      <c r="W58" s="524"/>
      <c r="X58" s="524"/>
      <c r="Y58" s="524"/>
      <c r="Z58" s="524"/>
      <c r="AA58" s="524"/>
      <c r="AB58" s="524"/>
      <c r="AC58" s="524"/>
      <c r="AD58" s="431"/>
      <c r="AE58" s="431"/>
      <c r="AH58" s="361"/>
      <c r="AI58" s="349"/>
      <c r="AJ58" s="362"/>
    </row>
    <row r="59" spans="3:39" ht="16.5" customHeight="1" x14ac:dyDescent="0.25">
      <c r="D59" s="524"/>
      <c r="E59" s="524"/>
      <c r="F59" s="524"/>
      <c r="G59" s="524"/>
      <c r="H59" s="524"/>
      <c r="I59" s="524"/>
      <c r="J59" s="524"/>
      <c r="K59" s="524"/>
      <c r="L59" s="524"/>
      <c r="M59" s="524"/>
      <c r="N59" s="524"/>
      <c r="O59" s="524"/>
      <c r="P59" s="524"/>
      <c r="Q59" s="524"/>
      <c r="R59" s="524"/>
      <c r="S59" s="524"/>
      <c r="T59" s="524"/>
      <c r="U59" s="524"/>
      <c r="V59" s="524"/>
      <c r="W59" s="524"/>
      <c r="X59" s="524"/>
      <c r="Y59" s="524"/>
      <c r="Z59" s="524"/>
      <c r="AA59" s="524"/>
      <c r="AB59" s="524"/>
      <c r="AC59" s="524"/>
      <c r="AD59" s="431"/>
      <c r="AE59" s="431"/>
    </row>
    <row r="60" spans="3:39" ht="4.5" customHeight="1" x14ac:dyDescent="0.25">
      <c r="C60" s="348"/>
      <c r="D60" s="349"/>
      <c r="E60" s="349"/>
      <c r="F60" s="349"/>
      <c r="G60" s="349"/>
      <c r="H60" s="349"/>
      <c r="I60" s="349"/>
      <c r="J60" s="349"/>
      <c r="K60" s="349"/>
      <c r="L60" s="349"/>
      <c r="M60" s="349"/>
      <c r="N60" s="349"/>
      <c r="O60" s="349"/>
      <c r="P60" s="349"/>
      <c r="Q60" s="349"/>
      <c r="R60" s="349"/>
      <c r="S60" s="349"/>
      <c r="T60" s="349"/>
      <c r="U60" s="349"/>
      <c r="V60" s="349"/>
      <c r="W60" s="349"/>
      <c r="X60" s="349"/>
      <c r="Y60" s="349"/>
      <c r="Z60" s="349"/>
      <c r="AA60" s="349"/>
      <c r="AB60" s="349"/>
      <c r="AC60" s="349"/>
      <c r="AD60" s="359"/>
      <c r="AE60" s="359"/>
    </row>
    <row r="61" spans="3:39" ht="16.5" customHeight="1" x14ac:dyDescent="0.25">
      <c r="C61" s="278" t="str">
        <f>config!P104</f>
        <v>www.sincomerciarios.org.br</v>
      </c>
      <c r="AC61" s="350" t="str">
        <f>config!G105</f>
        <v>itapeva@sincomerciarios.org.br</v>
      </c>
      <c r="AD61" s="423"/>
      <c r="AE61" s="423"/>
    </row>
    <row r="62" spans="3:39" ht="26.25" customHeight="1" x14ac:dyDescent="0.25"/>
    <row r="63" spans="3:39" ht="15.75" customHeight="1" x14ac:dyDescent="0.25"/>
    <row r="64" spans="3:39" ht="15.75" hidden="1" customHeight="1" x14ac:dyDescent="0.25"/>
  </sheetData>
  <sheetProtection password="C47D" sheet="1" objects="1" scenarios="1" selectLockedCells="1"/>
  <mergeCells count="55">
    <mergeCell ref="H20:I20"/>
    <mergeCell ref="D42:J42"/>
    <mergeCell ref="Q10:T10"/>
    <mergeCell ref="K24:N24"/>
    <mergeCell ref="K26:N26"/>
    <mergeCell ref="K20:N20"/>
    <mergeCell ref="K22:N22"/>
    <mergeCell ref="K28:N28"/>
    <mergeCell ref="D46:R47"/>
    <mergeCell ref="Z46:AC46"/>
    <mergeCell ref="K30:N30"/>
    <mergeCell ref="G22:H22"/>
    <mergeCell ref="K34:N34"/>
    <mergeCell ref="T44:X44"/>
    <mergeCell ref="Z22:AC22"/>
    <mergeCell ref="K32:N32"/>
    <mergeCell ref="Z32:AC32"/>
    <mergeCell ref="K38:N38"/>
    <mergeCell ref="D5:AC5"/>
    <mergeCell ref="G10:K10"/>
    <mergeCell ref="Z10:AC10"/>
    <mergeCell ref="H12:M12"/>
    <mergeCell ref="K8:R8"/>
    <mergeCell ref="G6:AC6"/>
    <mergeCell ref="H7:AC7"/>
    <mergeCell ref="Z11:AC11"/>
    <mergeCell ref="D57:AC59"/>
    <mergeCell ref="K14:M14"/>
    <mergeCell ref="P15:Y15"/>
    <mergeCell ref="T18:AC18"/>
    <mergeCell ref="Z26:AC26"/>
    <mergeCell ref="Z28:AC28"/>
    <mergeCell ref="Z20:AC20"/>
    <mergeCell ref="Z24:AC24"/>
    <mergeCell ref="K36:N36"/>
    <mergeCell ref="K40:N40"/>
    <mergeCell ref="Z30:AC30"/>
    <mergeCell ref="K18:N18"/>
    <mergeCell ref="J44:N44"/>
    <mergeCell ref="Y44:AC44"/>
    <mergeCell ref="K42:N42"/>
    <mergeCell ref="D49:M49"/>
    <mergeCell ref="AH42:AH43"/>
    <mergeCell ref="AI42:AI43"/>
    <mergeCell ref="Z14:AA14"/>
    <mergeCell ref="Z15:AA15"/>
    <mergeCell ref="O14:Y14"/>
    <mergeCell ref="Z36:AC36"/>
    <mergeCell ref="Z51:AC51"/>
    <mergeCell ref="Z53:AC53"/>
    <mergeCell ref="R49:AC49"/>
    <mergeCell ref="Z55:AC55"/>
    <mergeCell ref="D51:I51"/>
    <mergeCell ref="D53:I53"/>
    <mergeCell ref="J53:L53"/>
  </mergeCells>
  <phoneticPr fontId="9" type="noConversion"/>
  <conditionalFormatting sqref="Z35:AE36 AD34:AE34 Z20:AC33 AE20:AE33 AD21 AD23 AD25 AD27 AD29 AD31:AD33 K18:N43">
    <cfRule type="notContainsBlanks" dxfId="25" priority="53">
      <formula>LEN(TRIM(K18))&gt;0</formula>
    </cfRule>
  </conditionalFormatting>
  <conditionalFormatting sqref="G22:H22 O24">
    <cfRule type="cellIs" dxfId="24" priority="43" stopIfTrue="1" operator="equal">
      <formula>0</formula>
    </cfRule>
  </conditionalFormatting>
  <conditionalFormatting sqref="Z14:AA15 K18:N18 K34:N34 K36:N36 K38:N38">
    <cfRule type="cellIs" dxfId="23" priority="39" operator="greaterThan">
      <formula>0</formula>
    </cfRule>
  </conditionalFormatting>
  <conditionalFormatting sqref="AE14:AE43 AD14:AD19 AD21 AD23 AD25 AD27 AD29 AD31:AD43 D14:AC43">
    <cfRule type="cellIs" dxfId="22" priority="30" operator="lessThanOrEqual">
      <formula>0</formula>
    </cfRule>
  </conditionalFormatting>
  <conditionalFormatting sqref="K38:N38">
    <cfRule type="cellIs" dxfId="21" priority="1" operator="equal">
      <formula>0</formula>
    </cfRule>
    <cfRule type="notContainsBlanks" dxfId="20" priority="7">
      <formula>LEN(TRIM(K38))&gt;0</formula>
    </cfRule>
  </conditionalFormatting>
  <printOptions horizontalCentered="1"/>
  <pageMargins left="0.15748031496062992" right="0.15748031496062992" top="0.43307086614173229" bottom="0.19685039370078741" header="0.15748031496062992" footer="0.15748031496062992"/>
  <pageSetup paperSize="9" orientation="portrait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pageSetUpPr fitToPage="1"/>
  </sheetPr>
  <dimension ref="A1:IU63"/>
  <sheetViews>
    <sheetView showGridLines="0" showRowColHeaders="0" workbookViewId="0"/>
  </sheetViews>
  <sheetFormatPr defaultColWidth="0" defaultRowHeight="15" customHeight="1" zeroHeight="1" x14ac:dyDescent="0.25"/>
  <cols>
    <col min="1" max="1" width="9.140625" style="156" customWidth="1"/>
    <col min="2" max="2" width="14.140625" customWidth="1"/>
    <col min="3" max="3" width="14.140625" style="156" customWidth="1"/>
    <col min="4" max="5" width="9.140625" customWidth="1"/>
    <col min="6" max="6" width="18" customWidth="1"/>
    <col min="7" max="7" width="11" customWidth="1"/>
    <col min="8" max="8" width="20.28515625" customWidth="1"/>
    <col min="9" max="9" width="11.5703125" style="156" customWidth="1"/>
    <col min="10" max="10" width="19.140625" hidden="1" customWidth="1"/>
    <col min="11" max="11" width="9.140625" hidden="1" customWidth="1"/>
    <col min="12" max="12" width="18.5703125" hidden="1" customWidth="1"/>
    <col min="13" max="255" width="9.140625" hidden="1" customWidth="1"/>
    <col min="256" max="16384" width="3.5703125" hidden="1"/>
  </cols>
  <sheetData>
    <row r="1" spans="1:15" ht="26.25" x14ac:dyDescent="0.4">
      <c r="A1" s="42"/>
      <c r="B1" s="169" t="str">
        <f>config!I101</f>
        <v>SINCOMERCIÁRIOS</v>
      </c>
      <c r="D1" s="156"/>
      <c r="E1" s="156"/>
      <c r="F1" s="156"/>
      <c r="G1" s="156"/>
      <c r="H1" s="156"/>
      <c r="J1" s="4" t="s">
        <v>171</v>
      </c>
    </row>
    <row r="2" spans="1:15" x14ac:dyDescent="0.25">
      <c r="A2" s="42"/>
      <c r="B2" s="172" t="str">
        <f>config!I102</f>
        <v>Sindicato dos Empregados no Comércio de Itapeva</v>
      </c>
      <c r="C2" s="172"/>
      <c r="D2" s="172"/>
      <c r="E2" s="172"/>
      <c r="F2" s="172"/>
      <c r="G2" s="172"/>
      <c r="H2" s="172"/>
    </row>
    <row r="3" spans="1:15" x14ac:dyDescent="0.25">
      <c r="B3" s="156"/>
      <c r="D3" s="156"/>
      <c r="E3" s="156"/>
      <c r="F3" s="156"/>
      <c r="G3" s="156"/>
      <c r="H3" s="156"/>
    </row>
    <row r="4" spans="1:15" x14ac:dyDescent="0.25">
      <c r="B4" s="156"/>
      <c r="D4" s="156"/>
      <c r="E4" s="156"/>
      <c r="F4" s="156"/>
      <c r="G4" s="156"/>
      <c r="H4" s="156"/>
      <c r="K4" s="43"/>
      <c r="L4" s="44"/>
    </row>
    <row r="5" spans="1:15" ht="23.25" x14ac:dyDescent="0.35">
      <c r="B5" s="555" t="s">
        <v>58</v>
      </c>
      <c r="C5" s="555"/>
      <c r="D5" s="555"/>
      <c r="E5" s="555"/>
      <c r="F5" s="555"/>
      <c r="G5" s="555"/>
      <c r="H5" s="555"/>
      <c r="K5" s="43" t="s">
        <v>59</v>
      </c>
      <c r="L5" s="44" t="str">
        <f>F11</f>
        <v/>
      </c>
    </row>
    <row r="6" spans="1:15" ht="19.5" customHeight="1" x14ac:dyDescent="0.25">
      <c r="B6" s="562" t="str">
        <f>IF(mascara!H6="Pedido de demissão","Pedido de demissão não dá direito a seguro desemprego","")</f>
        <v/>
      </c>
      <c r="C6" s="562"/>
      <c r="D6" s="562"/>
      <c r="E6" s="562"/>
      <c r="F6" s="562"/>
      <c r="G6" s="562"/>
      <c r="H6" s="562"/>
      <c r="K6" s="43" t="s">
        <v>60</v>
      </c>
      <c r="L6" s="78" t="e">
        <f>IF(N6&lt;15,M6,M6+1)</f>
        <v>#VALUE!</v>
      </c>
      <c r="M6" t="e">
        <f>(YEAR(F11)-YEAR(F9))*12+MONTH(F11)-MONTH(F9)</f>
        <v>#VALUE!</v>
      </c>
      <c r="N6" s="77" t="e">
        <f>IF(DAY(F11)&gt;DAY(F9),DAY(F11)-DAY(F9)+1,DAY(F9)-DAY(F11)+1)</f>
        <v>#VALUE!</v>
      </c>
    </row>
    <row r="7" spans="1:15" x14ac:dyDescent="0.25">
      <c r="B7" s="156"/>
      <c r="C7" s="186"/>
      <c r="D7" s="186"/>
      <c r="E7" s="45" t="s">
        <v>61</v>
      </c>
      <c r="F7" s="189">
        <f>mascara!H14</f>
        <v>0</v>
      </c>
      <c r="G7" s="46"/>
      <c r="H7" s="186"/>
      <c r="K7" s="43" t="s">
        <v>126</v>
      </c>
      <c r="L7" s="131">
        <f>config!K95</f>
        <v>880</v>
      </c>
      <c r="N7" s="77"/>
    </row>
    <row r="8" spans="1:15" ht="7.5" customHeight="1" x14ac:dyDescent="0.25">
      <c r="B8" s="156"/>
      <c r="C8" s="186"/>
      <c r="D8" s="186"/>
      <c r="E8" s="186"/>
      <c r="F8" s="47"/>
      <c r="G8" s="186"/>
      <c r="H8" s="186"/>
    </row>
    <row r="9" spans="1:15" x14ac:dyDescent="0.25">
      <c r="B9" s="156"/>
      <c r="C9" s="186"/>
      <c r="D9" s="186"/>
      <c r="E9" s="45" t="s">
        <v>62</v>
      </c>
      <c r="F9" s="190">
        <f>mascara!H8</f>
        <v>0</v>
      </c>
      <c r="G9" s="46"/>
      <c r="H9" s="186"/>
      <c r="J9" t="s">
        <v>63</v>
      </c>
      <c r="L9" t="s">
        <v>64</v>
      </c>
      <c r="O9" t="s">
        <v>65</v>
      </c>
    </row>
    <row r="10" spans="1:15" ht="7.5" customHeight="1" x14ac:dyDescent="0.25">
      <c r="B10" s="156"/>
      <c r="C10" s="556"/>
      <c r="D10" s="556"/>
      <c r="E10" s="556"/>
      <c r="F10" s="556"/>
      <c r="G10" s="556"/>
      <c r="H10" s="556"/>
      <c r="J10" t="s">
        <v>12</v>
      </c>
      <c r="K10">
        <f>config!F82</f>
        <v>1360.7</v>
      </c>
      <c r="L10">
        <f>config!T82</f>
        <v>0.8</v>
      </c>
      <c r="O10">
        <f>IF(F7&lt;=K10,F7*L10,0)</f>
        <v>0</v>
      </c>
    </row>
    <row r="11" spans="1:15" x14ac:dyDescent="0.25">
      <c r="B11" s="156"/>
      <c r="C11" s="186"/>
      <c r="D11" s="186"/>
      <c r="E11" s="45" t="s">
        <v>170</v>
      </c>
      <c r="F11" s="190" t="str">
        <f>calculo!Z11</f>
        <v/>
      </c>
      <c r="G11" s="46"/>
      <c r="H11" s="186"/>
      <c r="J11" t="s">
        <v>12</v>
      </c>
      <c r="K11">
        <f>config!J83</f>
        <v>2268.0500000000002</v>
      </c>
      <c r="L11">
        <f>config!Q83</f>
        <v>1360.7</v>
      </c>
      <c r="M11">
        <f>config!X83</f>
        <v>0.5</v>
      </c>
      <c r="N11">
        <f>config!AE83</f>
        <v>1088.56</v>
      </c>
      <c r="O11">
        <f>IF(F7&gt;0,IF(O10=0,IF(F7&lt;=K11,(F7-L11)*M11+(N11),0),0),0)</f>
        <v>0</v>
      </c>
    </row>
    <row r="12" spans="1:15" ht="7.5" customHeight="1" x14ac:dyDescent="0.25">
      <c r="B12" s="156"/>
      <c r="C12" s="556"/>
      <c r="D12" s="556"/>
      <c r="E12" s="556"/>
      <c r="F12" s="556"/>
      <c r="G12" s="556"/>
      <c r="H12" s="556"/>
      <c r="J12" t="s">
        <v>23</v>
      </c>
      <c r="K12">
        <f>config!G84</f>
        <v>2268.0500000000002</v>
      </c>
      <c r="L12">
        <f>config!S84</f>
        <v>1542.24</v>
      </c>
      <c r="O12">
        <f>IF(F7&gt;0,IF(O11+O10=0,L12,0),0)</f>
        <v>0</v>
      </c>
    </row>
    <row r="13" spans="1:15" x14ac:dyDescent="0.25">
      <c r="B13" s="156"/>
      <c r="C13" s="186"/>
      <c r="D13" s="186"/>
      <c r="E13" s="45"/>
      <c r="F13" s="234"/>
      <c r="G13" s="46"/>
      <c r="H13" s="186"/>
      <c r="N13" s="43" t="s">
        <v>66</v>
      </c>
      <c r="O13" t="e">
        <f>IF(L6&gt;5,SUM(O10:O12),0)</f>
        <v>#VALUE!</v>
      </c>
    </row>
    <row r="14" spans="1:15" x14ac:dyDescent="0.25">
      <c r="B14" s="156"/>
      <c r="D14" s="156"/>
      <c r="E14" s="156"/>
      <c r="F14" s="156"/>
      <c r="G14" s="156"/>
      <c r="H14" s="156"/>
    </row>
    <row r="15" spans="1:15" ht="14.25" customHeight="1" x14ac:dyDescent="0.25">
      <c r="B15" s="156"/>
      <c r="D15" s="557" t="e">
        <f>IF(L6&lt;6,IF(L6&gt;0,"Somente tem direito ao benefício quem trabalhou mais de 6 meses.",""),"")</f>
        <v>#VALUE!</v>
      </c>
      <c r="E15" s="557"/>
      <c r="F15" s="557"/>
      <c r="G15" s="557"/>
      <c r="H15" s="557"/>
      <c r="J15" s="48" t="s">
        <v>67</v>
      </c>
      <c r="L15" t="s">
        <v>68</v>
      </c>
    </row>
    <row r="16" spans="1:15" ht="9.75" customHeight="1" thickBot="1" x14ac:dyDescent="0.3">
      <c r="B16" s="156"/>
      <c r="D16" s="156"/>
      <c r="E16" s="156"/>
      <c r="F16" s="156"/>
      <c r="G16" s="156"/>
      <c r="H16" s="156"/>
      <c r="K16">
        <v>0</v>
      </c>
      <c r="L16">
        <v>0</v>
      </c>
    </row>
    <row r="17" spans="2:12" x14ac:dyDescent="0.25">
      <c r="B17" s="156"/>
      <c r="D17" s="558" t="e">
        <f>IF(O13&gt;0,"Parcelas a receber:","")</f>
        <v>#VALUE!</v>
      </c>
      <c r="E17" s="559"/>
      <c r="F17" s="49" t="e">
        <f>IF(B6="",IF(O13&gt;0,VLOOKUP(L6,K16:L40,2),0),0)</f>
        <v>#VALUE!</v>
      </c>
      <c r="G17" s="156"/>
      <c r="H17" s="156"/>
      <c r="K17">
        <v>1</v>
      </c>
      <c r="L17">
        <v>0</v>
      </c>
    </row>
    <row r="18" spans="2:12" ht="8.25" customHeight="1" x14ac:dyDescent="0.25">
      <c r="B18" s="156"/>
      <c r="D18" s="50"/>
      <c r="E18" s="51"/>
      <c r="F18" s="52"/>
      <c r="G18" s="156"/>
      <c r="H18" s="156"/>
      <c r="K18">
        <v>2</v>
      </c>
      <c r="L18">
        <v>0</v>
      </c>
    </row>
    <row r="19" spans="2:12" ht="15.75" thickBot="1" x14ac:dyDescent="0.3">
      <c r="B19" s="156"/>
      <c r="D19" s="560" t="e">
        <f>IF(O13&gt;0,"Valor da parcela:","")</f>
        <v>#VALUE!</v>
      </c>
      <c r="E19" s="561"/>
      <c r="F19" s="53" t="e">
        <f>IF(L6&gt;5,IF(F17&gt;0,IF(O13&gt;=L7,O13,L7),0),0)</f>
        <v>#VALUE!</v>
      </c>
      <c r="G19" s="156"/>
      <c r="H19" s="156"/>
      <c r="K19">
        <v>3</v>
      </c>
      <c r="L19">
        <v>0</v>
      </c>
    </row>
    <row r="20" spans="2:12" x14ac:dyDescent="0.25">
      <c r="B20" s="156"/>
      <c r="D20" s="156"/>
      <c r="E20" s="156"/>
      <c r="F20" s="156"/>
      <c r="G20" s="156"/>
      <c r="H20" s="156"/>
      <c r="K20">
        <v>4</v>
      </c>
      <c r="L20">
        <v>0</v>
      </c>
    </row>
    <row r="21" spans="2:12" ht="30" customHeight="1" x14ac:dyDescent="0.25">
      <c r="B21" s="563" t="str">
        <f>IF(mascara!E28="","",mascara!E28)</f>
        <v/>
      </c>
      <c r="C21" s="563"/>
      <c r="D21" s="563"/>
      <c r="E21" s="563"/>
      <c r="F21" s="563"/>
      <c r="G21" s="563"/>
      <c r="H21" s="563"/>
      <c r="K21">
        <f>K20+1</f>
        <v>5</v>
      </c>
      <c r="L21">
        <v>0</v>
      </c>
    </row>
    <row r="22" spans="2:12" ht="9.75" customHeight="1" x14ac:dyDescent="0.25">
      <c r="B22" s="156"/>
      <c r="D22" s="156"/>
      <c r="E22" s="156"/>
      <c r="F22" s="156"/>
      <c r="G22" s="156"/>
      <c r="H22" s="156"/>
      <c r="K22">
        <f t="shared" ref="K22:K40" si="0">K21+1</f>
        <v>6</v>
      </c>
      <c r="L22">
        <v>3</v>
      </c>
    </row>
    <row r="23" spans="2:12" ht="9" customHeight="1" x14ac:dyDescent="0.25">
      <c r="B23" s="156"/>
      <c r="D23" s="156"/>
      <c r="E23" s="156"/>
      <c r="F23" s="156"/>
      <c r="G23" s="156"/>
      <c r="H23" s="156"/>
      <c r="K23">
        <f>K22+1</f>
        <v>7</v>
      </c>
      <c r="L23">
        <v>3</v>
      </c>
    </row>
    <row r="24" spans="2:12" x14ac:dyDescent="0.25">
      <c r="B24" s="54" t="s">
        <v>69</v>
      </c>
      <c r="C24" s="54"/>
      <c r="D24" s="156"/>
      <c r="E24" s="156"/>
      <c r="F24" s="156"/>
      <c r="G24" s="156"/>
      <c r="H24" s="156"/>
      <c r="K24">
        <f t="shared" si="0"/>
        <v>8</v>
      </c>
      <c r="L24">
        <v>3</v>
      </c>
    </row>
    <row r="25" spans="2:12" ht="16.5" customHeight="1" x14ac:dyDescent="0.25">
      <c r="B25" s="564" t="s">
        <v>70</v>
      </c>
      <c r="C25" s="564"/>
      <c r="D25" s="564"/>
      <c r="E25" s="564"/>
      <c r="F25" s="564"/>
      <c r="G25" s="564"/>
      <c r="H25" s="564"/>
      <c r="K25">
        <f t="shared" si="0"/>
        <v>9</v>
      </c>
      <c r="L25">
        <v>3</v>
      </c>
    </row>
    <row r="26" spans="2:12" ht="16.5" customHeight="1" x14ac:dyDescent="0.25">
      <c r="B26" s="564"/>
      <c r="C26" s="564"/>
      <c r="D26" s="564"/>
      <c r="E26" s="564"/>
      <c r="F26" s="564"/>
      <c r="G26" s="564"/>
      <c r="H26" s="564"/>
      <c r="K26">
        <f t="shared" si="0"/>
        <v>10</v>
      </c>
      <c r="L26">
        <v>3</v>
      </c>
    </row>
    <row r="27" spans="2:12" ht="16.5" customHeight="1" x14ac:dyDescent="0.25">
      <c r="B27" s="564"/>
      <c r="C27" s="564"/>
      <c r="D27" s="564"/>
      <c r="E27" s="564"/>
      <c r="F27" s="564"/>
      <c r="G27" s="564"/>
      <c r="H27" s="564"/>
      <c r="K27">
        <f t="shared" si="0"/>
        <v>11</v>
      </c>
      <c r="L27">
        <v>3</v>
      </c>
    </row>
    <row r="28" spans="2:12" x14ac:dyDescent="0.25">
      <c r="B28" s="564" t="s">
        <v>71</v>
      </c>
      <c r="C28" s="564"/>
      <c r="D28" s="564"/>
      <c r="E28" s="564"/>
      <c r="F28" s="564"/>
      <c r="G28" s="564"/>
      <c r="H28" s="564"/>
      <c r="K28">
        <f t="shared" si="0"/>
        <v>12</v>
      </c>
      <c r="L28">
        <v>4</v>
      </c>
    </row>
    <row r="29" spans="2:12" x14ac:dyDescent="0.25">
      <c r="B29" s="564"/>
      <c r="C29" s="564"/>
      <c r="D29" s="564"/>
      <c r="E29" s="564"/>
      <c r="F29" s="564"/>
      <c r="G29" s="564"/>
      <c r="H29" s="564"/>
      <c r="K29">
        <f t="shared" si="0"/>
        <v>13</v>
      </c>
      <c r="L29">
        <v>4</v>
      </c>
    </row>
    <row r="30" spans="2:12" x14ac:dyDescent="0.25">
      <c r="B30" s="564"/>
      <c r="C30" s="564"/>
      <c r="D30" s="564"/>
      <c r="E30" s="564"/>
      <c r="F30" s="564"/>
      <c r="G30" s="564"/>
      <c r="H30" s="564"/>
      <c r="K30">
        <f t="shared" si="0"/>
        <v>14</v>
      </c>
      <c r="L30">
        <v>4</v>
      </c>
    </row>
    <row r="31" spans="2:12" ht="9.75" customHeight="1" x14ac:dyDescent="0.25">
      <c r="B31" s="156"/>
      <c r="D31" s="156"/>
      <c r="E31" s="156"/>
      <c r="F31" s="156"/>
      <c r="G31" s="156"/>
      <c r="H31" s="156"/>
      <c r="K31">
        <f t="shared" si="0"/>
        <v>15</v>
      </c>
      <c r="L31">
        <v>4</v>
      </c>
    </row>
    <row r="32" spans="2:12" ht="54" customHeight="1" x14ac:dyDescent="0.25">
      <c r="B32" s="565" t="s">
        <v>72</v>
      </c>
      <c r="C32" s="565"/>
      <c r="D32" s="565"/>
      <c r="E32" s="565"/>
      <c r="F32" s="565"/>
      <c r="G32" s="565"/>
      <c r="H32" s="565"/>
      <c r="K32">
        <f t="shared" si="0"/>
        <v>16</v>
      </c>
      <c r="L32">
        <v>4</v>
      </c>
    </row>
    <row r="33" spans="2:12" ht="10.5" customHeight="1" x14ac:dyDescent="0.25">
      <c r="B33" s="565"/>
      <c r="C33" s="565"/>
      <c r="D33" s="565"/>
      <c r="E33" s="565"/>
      <c r="F33" s="565"/>
      <c r="G33" s="565"/>
      <c r="H33" s="565"/>
      <c r="K33">
        <f t="shared" si="0"/>
        <v>17</v>
      </c>
      <c r="L33">
        <v>4</v>
      </c>
    </row>
    <row r="34" spans="2:12" x14ac:dyDescent="0.25">
      <c r="B34" s="566" t="s">
        <v>73</v>
      </c>
      <c r="C34" s="566"/>
      <c r="D34" s="566"/>
      <c r="E34" s="566"/>
      <c r="F34" s="566"/>
      <c r="G34" s="566"/>
      <c r="H34" s="566"/>
      <c r="K34">
        <f t="shared" si="0"/>
        <v>18</v>
      </c>
      <c r="L34">
        <v>4</v>
      </c>
    </row>
    <row r="35" spans="2:12" x14ac:dyDescent="0.25">
      <c r="B35" s="565" t="s">
        <v>74</v>
      </c>
      <c r="C35" s="565"/>
      <c r="D35" s="565"/>
      <c r="E35" s="565"/>
      <c r="F35" s="565"/>
      <c r="G35" s="565"/>
      <c r="H35" s="565"/>
      <c r="K35">
        <f t="shared" si="0"/>
        <v>19</v>
      </c>
      <c r="L35">
        <v>4</v>
      </c>
    </row>
    <row r="36" spans="2:12" ht="9.75" customHeight="1" x14ac:dyDescent="0.25">
      <c r="B36" s="565"/>
      <c r="C36" s="565"/>
      <c r="D36" s="565"/>
      <c r="E36" s="565"/>
      <c r="F36" s="565"/>
      <c r="G36" s="565"/>
      <c r="H36" s="565"/>
      <c r="K36">
        <f t="shared" si="0"/>
        <v>20</v>
      </c>
      <c r="L36">
        <v>4</v>
      </c>
    </row>
    <row r="37" spans="2:12" x14ac:dyDescent="0.25">
      <c r="B37" s="567" t="s">
        <v>75</v>
      </c>
      <c r="C37" s="567"/>
      <c r="D37" s="567"/>
      <c r="E37" s="567"/>
      <c r="F37" s="567"/>
      <c r="G37" s="567"/>
      <c r="H37" s="567"/>
      <c r="K37">
        <f t="shared" si="0"/>
        <v>21</v>
      </c>
      <c r="L37">
        <v>4</v>
      </c>
    </row>
    <row r="38" spans="2:12" ht="9.75" customHeight="1" x14ac:dyDescent="0.25">
      <c r="B38" s="565"/>
      <c r="C38" s="565"/>
      <c r="D38" s="565"/>
      <c r="E38" s="565"/>
      <c r="F38" s="565"/>
      <c r="G38" s="565"/>
      <c r="H38" s="565"/>
      <c r="K38">
        <f t="shared" si="0"/>
        <v>22</v>
      </c>
      <c r="L38">
        <v>4</v>
      </c>
    </row>
    <row r="39" spans="2:12" x14ac:dyDescent="0.25">
      <c r="B39" s="568" t="s">
        <v>76</v>
      </c>
      <c r="C39" s="568"/>
      <c r="D39" s="568"/>
      <c r="E39" s="568"/>
      <c r="F39" s="568"/>
      <c r="G39" s="568"/>
      <c r="H39" s="568"/>
      <c r="K39">
        <f t="shared" si="0"/>
        <v>23</v>
      </c>
      <c r="L39">
        <v>4</v>
      </c>
    </row>
    <row r="40" spans="2:12" ht="9.75" customHeight="1" x14ac:dyDescent="0.25">
      <c r="B40" s="565"/>
      <c r="C40" s="565"/>
      <c r="D40" s="565"/>
      <c r="E40" s="565"/>
      <c r="F40" s="565"/>
      <c r="G40" s="565"/>
      <c r="H40" s="565"/>
      <c r="K40">
        <f t="shared" si="0"/>
        <v>24</v>
      </c>
      <c r="L40">
        <v>5</v>
      </c>
    </row>
    <row r="41" spans="2:12" x14ac:dyDescent="0.25">
      <c r="B41" s="568" t="s">
        <v>77</v>
      </c>
      <c r="C41" s="568"/>
      <c r="D41" s="568"/>
      <c r="E41" s="568"/>
      <c r="F41" s="568"/>
      <c r="G41" s="568"/>
      <c r="H41" s="568"/>
    </row>
    <row r="42" spans="2:12" ht="9.75" customHeight="1" x14ac:dyDescent="0.25">
      <c r="B42" s="565"/>
      <c r="C42" s="565"/>
      <c r="D42" s="565"/>
      <c r="E42" s="565"/>
      <c r="F42" s="565"/>
      <c r="G42" s="565"/>
      <c r="H42" s="565"/>
      <c r="J42" s="55" t="s">
        <v>78</v>
      </c>
    </row>
    <row r="43" spans="2:12" ht="42" customHeight="1" x14ac:dyDescent="0.25">
      <c r="B43" s="568" t="s">
        <v>79</v>
      </c>
      <c r="C43" s="568"/>
      <c r="D43" s="568"/>
      <c r="E43" s="568"/>
      <c r="F43" s="568"/>
      <c r="G43" s="568"/>
      <c r="H43" s="568"/>
    </row>
    <row r="44" spans="2:12" ht="9.75" customHeight="1" x14ac:dyDescent="0.25">
      <c r="B44" s="565"/>
      <c r="C44" s="565"/>
      <c r="D44" s="565"/>
      <c r="E44" s="565"/>
      <c r="F44" s="565"/>
      <c r="G44" s="565"/>
      <c r="H44" s="565"/>
      <c r="L44" t="s">
        <v>30</v>
      </c>
    </row>
    <row r="45" spans="2:12" x14ac:dyDescent="0.25">
      <c r="B45" s="568" t="s">
        <v>80</v>
      </c>
      <c r="C45" s="568"/>
      <c r="D45" s="568"/>
      <c r="E45" s="568"/>
      <c r="F45" s="568"/>
      <c r="G45" s="568"/>
      <c r="H45" s="568"/>
      <c r="L45" t="s">
        <v>31</v>
      </c>
    </row>
    <row r="46" spans="2:12" ht="9.75" customHeight="1" x14ac:dyDescent="0.25">
      <c r="B46" s="565"/>
      <c r="C46" s="565"/>
      <c r="D46" s="565"/>
      <c r="E46" s="565"/>
      <c r="F46" s="565"/>
      <c r="G46" s="565"/>
      <c r="H46" s="565"/>
    </row>
    <row r="47" spans="2:12" x14ac:dyDescent="0.25">
      <c r="B47" s="568" t="s">
        <v>81</v>
      </c>
      <c r="C47" s="568"/>
      <c r="D47" s="568"/>
      <c r="E47" s="568"/>
      <c r="F47" s="568"/>
      <c r="G47" s="568"/>
      <c r="H47" s="568"/>
    </row>
    <row r="48" spans="2:12" ht="9.75" customHeight="1" x14ac:dyDescent="0.25">
      <c r="B48" s="565"/>
      <c r="C48" s="565"/>
      <c r="D48" s="565"/>
      <c r="E48" s="565"/>
      <c r="F48" s="565"/>
      <c r="G48" s="565"/>
      <c r="H48" s="565"/>
    </row>
    <row r="49" spans="1:8" x14ac:dyDescent="0.25">
      <c r="B49" s="568" t="s">
        <v>82</v>
      </c>
      <c r="C49" s="568"/>
      <c r="D49" s="568"/>
      <c r="E49" s="568"/>
      <c r="F49" s="568"/>
      <c r="G49" s="568"/>
      <c r="H49" s="568"/>
    </row>
    <row r="50" spans="1:8" ht="9.75" customHeight="1" x14ac:dyDescent="0.25">
      <c r="B50" s="565"/>
      <c r="C50" s="565"/>
      <c r="D50" s="565"/>
      <c r="E50" s="565"/>
      <c r="F50" s="565"/>
      <c r="G50" s="565"/>
      <c r="H50" s="565"/>
    </row>
    <row r="51" spans="1:8" ht="27" customHeight="1" x14ac:dyDescent="0.25">
      <c r="B51" s="568" t="s">
        <v>83</v>
      </c>
      <c r="C51" s="568"/>
      <c r="D51" s="568"/>
      <c r="E51" s="568"/>
      <c r="F51" s="568"/>
      <c r="G51" s="568"/>
      <c r="H51" s="568"/>
    </row>
    <row r="52" spans="1:8" x14ac:dyDescent="0.25">
      <c r="B52" s="565"/>
      <c r="C52" s="565"/>
      <c r="D52" s="565"/>
      <c r="E52" s="565"/>
      <c r="F52" s="565"/>
      <c r="G52" s="565"/>
      <c r="H52" s="565"/>
    </row>
    <row r="53" spans="1:8" x14ac:dyDescent="0.25">
      <c r="B53" s="566" t="s">
        <v>84</v>
      </c>
      <c r="C53" s="566"/>
      <c r="D53" s="566"/>
      <c r="E53" s="566"/>
      <c r="F53" s="566"/>
      <c r="G53" s="566"/>
      <c r="H53" s="566"/>
    </row>
    <row r="54" spans="1:8" ht="34.5" customHeight="1" x14ac:dyDescent="0.25">
      <c r="B54" s="564" t="s">
        <v>85</v>
      </c>
      <c r="C54" s="564"/>
      <c r="D54" s="564"/>
      <c r="E54" s="564"/>
      <c r="F54" s="564"/>
      <c r="G54" s="564"/>
      <c r="H54" s="564"/>
    </row>
    <row r="55" spans="1:8" ht="29.25" customHeight="1" x14ac:dyDescent="0.25">
      <c r="B55" s="565" t="s">
        <v>86</v>
      </c>
      <c r="C55" s="565"/>
      <c r="D55" s="565"/>
      <c r="E55" s="565"/>
      <c r="F55" s="565"/>
      <c r="G55" s="565"/>
      <c r="H55" s="565"/>
    </row>
    <row r="56" spans="1:8" x14ac:dyDescent="0.25">
      <c r="B56" s="569"/>
      <c r="C56" s="569"/>
      <c r="D56" s="569"/>
      <c r="E56" s="569"/>
      <c r="F56" s="569"/>
      <c r="G56" s="569"/>
      <c r="H56" s="569"/>
    </row>
    <row r="57" spans="1:8" x14ac:dyDescent="0.25">
      <c r="A57" s="170" t="str">
        <f>config!P104</f>
        <v>www.sincomerciarios.org.br</v>
      </c>
      <c r="B57" s="156"/>
      <c r="D57" s="156"/>
      <c r="E57" s="156"/>
      <c r="F57" s="156"/>
      <c r="G57" s="156"/>
      <c r="H57" s="171" t="str">
        <f>config!H104</f>
        <v>(15) 3522 0726</v>
      </c>
    </row>
    <row r="58" spans="1:8" x14ac:dyDescent="0.25">
      <c r="B58" s="156"/>
      <c r="D58" s="156"/>
      <c r="E58" s="156"/>
      <c r="F58" s="156"/>
      <c r="G58" s="156"/>
      <c r="H58" s="156"/>
    </row>
    <row r="59" spans="1:8" hidden="1" x14ac:dyDescent="0.25">
      <c r="B59" s="156"/>
      <c r="D59" s="156"/>
      <c r="E59" s="156"/>
      <c r="F59" s="156"/>
      <c r="G59" s="156"/>
      <c r="H59" s="156"/>
    </row>
    <row r="60" spans="1:8" hidden="1" x14ac:dyDescent="0.25">
      <c r="B60" s="156"/>
      <c r="D60" s="156"/>
      <c r="E60" s="156"/>
      <c r="F60" s="156"/>
      <c r="G60" s="156"/>
      <c r="H60" s="156"/>
    </row>
    <row r="61" spans="1:8" hidden="1" x14ac:dyDescent="0.25">
      <c r="B61" s="156"/>
      <c r="D61" s="156"/>
      <c r="E61" s="156"/>
      <c r="F61" s="156"/>
      <c r="G61" s="156"/>
      <c r="H61" s="156"/>
    </row>
    <row r="62" spans="1:8" hidden="1" x14ac:dyDescent="0.25">
      <c r="B62" s="156"/>
      <c r="D62" s="156"/>
      <c r="E62" s="156"/>
      <c r="F62" s="156"/>
      <c r="G62" s="156"/>
      <c r="H62" s="156"/>
    </row>
    <row r="63" spans="1:8" hidden="1" x14ac:dyDescent="0.25">
      <c r="B63" s="156"/>
      <c r="D63" s="156"/>
      <c r="E63" s="156"/>
      <c r="F63" s="156"/>
      <c r="G63" s="156"/>
      <c r="H63" s="156"/>
    </row>
  </sheetData>
  <sheetProtection password="CB7C" sheet="1" objects="1" scenarios="1" selectLockedCells="1" selectUnlockedCells="1"/>
  <mergeCells count="35">
    <mergeCell ref="B53:H53"/>
    <mergeCell ref="B54:H54"/>
    <mergeCell ref="B55:H55"/>
    <mergeCell ref="B56:H56"/>
    <mergeCell ref="B47:H47"/>
    <mergeCell ref="B48:H48"/>
    <mergeCell ref="B49:H49"/>
    <mergeCell ref="B50:H50"/>
    <mergeCell ref="B51:H51"/>
    <mergeCell ref="B52:H52"/>
    <mergeCell ref="B42:H42"/>
    <mergeCell ref="B43:H43"/>
    <mergeCell ref="B44:H44"/>
    <mergeCell ref="B45:H45"/>
    <mergeCell ref="B46:H46"/>
    <mergeCell ref="B37:H37"/>
    <mergeCell ref="B38:H38"/>
    <mergeCell ref="B39:H39"/>
    <mergeCell ref="B40:H40"/>
    <mergeCell ref="B41:H41"/>
    <mergeCell ref="B32:H32"/>
    <mergeCell ref="B33:H33"/>
    <mergeCell ref="B34:H34"/>
    <mergeCell ref="B35:H35"/>
    <mergeCell ref="B36:H36"/>
    <mergeCell ref="D19:E19"/>
    <mergeCell ref="B6:H6"/>
    <mergeCell ref="B21:H21"/>
    <mergeCell ref="B25:H27"/>
    <mergeCell ref="B28:H30"/>
    <mergeCell ref="B5:H5"/>
    <mergeCell ref="C10:H10"/>
    <mergeCell ref="C12:H12"/>
    <mergeCell ref="D15:H15"/>
    <mergeCell ref="D17:E17"/>
  </mergeCells>
  <conditionalFormatting sqref="D18:E18 F18:F19">
    <cfRule type="cellIs" dxfId="19" priority="6" stopIfTrue="1" operator="notEqual">
      <formula>0</formula>
    </cfRule>
  </conditionalFormatting>
  <conditionalFormatting sqref="D17:E17">
    <cfRule type="containsText" dxfId="18" priority="5" stopIfTrue="1" operator="containsText" text="Parcelas a receber">
      <formula>NOT(ISERROR(SEARCH("Parcelas a receber",D17)))</formula>
    </cfRule>
  </conditionalFormatting>
  <conditionalFormatting sqref="D19:E19">
    <cfRule type="containsText" dxfId="17" priority="4" stopIfTrue="1" operator="containsText" text="Valor da parcela:">
      <formula>NOT(ISERROR(SEARCH("Valor da parcela:",D19)))</formula>
    </cfRule>
  </conditionalFormatting>
  <conditionalFormatting sqref="F17">
    <cfRule type="cellIs" dxfId="16" priority="3" stopIfTrue="1" operator="between">
      <formula>1</formula>
      <formula>5</formula>
    </cfRule>
  </conditionalFormatting>
  <conditionalFormatting sqref="D15:H15">
    <cfRule type="cellIs" dxfId="15" priority="2" stopIfTrue="1" operator="equal">
      <formula>"Somente tem direito ao benefício quem trabalhou mais de 6 meses."</formula>
    </cfRule>
  </conditionalFormatting>
  <conditionalFormatting sqref="B6:H6">
    <cfRule type="notContainsBlanks" dxfId="14" priority="1" stopIfTrue="1">
      <formula>LEN(TRIM(B6))&gt;0</formula>
    </cfRule>
  </conditionalFormatting>
  <pageMargins left="0.34" right="0.34" top="0.32" bottom="0.28000000000000003" header="0.15" footer="0.13"/>
  <pageSetup paperSize="9" scale="82" orientation="portrait" horizontalDpi="300" verticalDpi="300" r:id="rId1"/>
  <ignoredErrors>
    <ignoredError sqref="F9 F7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A1:X24"/>
  <sheetViews>
    <sheetView showGridLines="0" workbookViewId="0">
      <selection activeCell="L8" sqref="L8:N8"/>
    </sheetView>
  </sheetViews>
  <sheetFormatPr defaultColWidth="0" defaultRowHeight="18.75" customHeight="1" zeroHeight="1" x14ac:dyDescent="0.25"/>
  <cols>
    <col min="1" max="14" width="5" style="2" customWidth="1"/>
    <col min="15" max="15" width="3" style="2" customWidth="1"/>
    <col min="16" max="16" width="3.140625" style="2" customWidth="1"/>
    <col min="17" max="17" width="5" style="2" customWidth="1"/>
    <col min="18" max="18" width="9.5703125" style="2" customWidth="1"/>
    <col min="19" max="19" width="22.85546875" style="2" customWidth="1"/>
    <col min="20" max="20" width="8.5703125" style="2" customWidth="1"/>
    <col min="21" max="21" width="37.5703125" style="2" hidden="1" customWidth="1"/>
    <col min="22" max="22" width="10.42578125" style="2" hidden="1" customWidth="1"/>
    <col min="23" max="23" width="48.85546875" style="2" hidden="1" customWidth="1"/>
    <col min="24" max="16384" width="9.140625" style="2" hidden="1"/>
  </cols>
  <sheetData>
    <row r="1" spans="1:23" x14ac:dyDescent="0.2">
      <c r="A1" s="61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495" t="s">
        <v>136</v>
      </c>
      <c r="O1" s="495"/>
      <c r="P1" s="495"/>
      <c r="Q1" s="495"/>
      <c r="R1" s="495"/>
      <c r="S1" s="495"/>
      <c r="T1" s="61"/>
      <c r="V1" s="1"/>
      <c r="W1" s="1"/>
    </row>
    <row r="2" spans="1:23" x14ac:dyDescent="0.2">
      <c r="A2" s="61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495"/>
      <c r="O2" s="495"/>
      <c r="P2" s="495"/>
      <c r="Q2" s="495"/>
      <c r="R2" s="495"/>
      <c r="S2" s="495"/>
      <c r="T2" s="61"/>
      <c r="V2" s="1"/>
      <c r="W2" s="1"/>
    </row>
    <row r="3" spans="1:23" ht="26.25" x14ac:dyDescent="0.25">
      <c r="A3" s="61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496" t="str">
        <f>config!I101</f>
        <v>SINCOMERCIÁRIOS</v>
      </c>
      <c r="O3" s="496"/>
      <c r="P3" s="496"/>
      <c r="Q3" s="496"/>
      <c r="R3" s="496"/>
      <c r="S3" s="496"/>
      <c r="T3" s="61"/>
      <c r="V3" s="1"/>
      <c r="W3" s="1"/>
    </row>
    <row r="4" spans="1:23" ht="4.5" customHeight="1" x14ac:dyDescent="0.25">
      <c r="A4" s="61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61"/>
    </row>
    <row r="5" spans="1:23" ht="9" customHeight="1" x14ac:dyDescent="0.25">
      <c r="A5" s="571"/>
      <c r="B5" s="571"/>
      <c r="C5" s="571"/>
      <c r="D5" s="571"/>
      <c r="E5" s="571"/>
      <c r="F5" s="571"/>
      <c r="G5" s="571"/>
      <c r="H5" s="571"/>
      <c r="I5" s="571"/>
      <c r="J5" s="571"/>
      <c r="K5" s="571"/>
      <c r="L5" s="571"/>
      <c r="M5" s="571"/>
      <c r="N5" s="571"/>
      <c r="O5" s="571"/>
      <c r="P5" s="571"/>
      <c r="Q5" s="571"/>
      <c r="R5" s="571"/>
      <c r="S5" s="571"/>
      <c r="T5" s="571"/>
    </row>
    <row r="6" spans="1:23" x14ac:dyDescent="0.25">
      <c r="A6" s="61"/>
      <c r="B6" s="580" t="s">
        <v>97</v>
      </c>
      <c r="C6" s="580"/>
      <c r="D6" s="580"/>
      <c r="E6" s="580"/>
      <c r="F6" s="580"/>
      <c r="G6" s="580"/>
      <c r="H6" s="580"/>
      <c r="I6" s="580"/>
      <c r="J6" s="580"/>
      <c r="K6" s="580"/>
      <c r="L6" s="580"/>
      <c r="M6" s="580"/>
      <c r="N6" s="580"/>
      <c r="O6" s="580"/>
      <c r="P6" s="580"/>
      <c r="Q6" s="580"/>
      <c r="R6" s="580"/>
      <c r="S6" s="580"/>
      <c r="T6" s="61"/>
    </row>
    <row r="7" spans="1:23" ht="7.5" customHeight="1" x14ac:dyDescent="0.25">
      <c r="A7" s="571"/>
      <c r="B7" s="571"/>
      <c r="C7" s="571"/>
      <c r="D7" s="571"/>
      <c r="E7" s="571"/>
      <c r="F7" s="571"/>
      <c r="G7" s="571"/>
      <c r="H7" s="571"/>
      <c r="I7" s="571"/>
      <c r="J7" s="571"/>
      <c r="K7" s="571"/>
      <c r="L7" s="571"/>
      <c r="M7" s="571"/>
      <c r="N7" s="571"/>
      <c r="O7" s="571"/>
      <c r="P7" s="571"/>
      <c r="Q7" s="571"/>
      <c r="R7" s="571"/>
      <c r="S7" s="571"/>
      <c r="T7" s="571"/>
    </row>
    <row r="8" spans="1:23" ht="21.75" customHeight="1" x14ac:dyDescent="0.25">
      <c r="A8" s="61"/>
      <c r="B8" s="61"/>
      <c r="C8" s="61"/>
      <c r="D8" s="61"/>
      <c r="E8" s="61"/>
      <c r="F8" s="61"/>
      <c r="G8" s="61"/>
      <c r="H8" s="61"/>
      <c r="I8" s="572" t="s">
        <v>2</v>
      </c>
      <c r="J8" s="572"/>
      <c r="K8" s="572"/>
      <c r="L8" s="573"/>
      <c r="M8" s="573"/>
      <c r="N8" s="573"/>
      <c r="O8" s="67" t="s">
        <v>53</v>
      </c>
      <c r="P8" s="65"/>
      <c r="Q8" s="65"/>
      <c r="R8" s="65"/>
      <c r="S8" s="65"/>
      <c r="T8" s="65"/>
    </row>
    <row r="9" spans="1:23" ht="7.5" customHeight="1" x14ac:dyDescent="0.25">
      <c r="A9" s="571"/>
      <c r="B9" s="571"/>
      <c r="C9" s="571"/>
      <c r="D9" s="571"/>
      <c r="E9" s="571"/>
      <c r="F9" s="571"/>
      <c r="G9" s="571"/>
      <c r="H9" s="571"/>
      <c r="I9" s="571"/>
      <c r="J9" s="571"/>
      <c r="K9" s="571"/>
      <c r="L9" s="571"/>
      <c r="M9" s="571"/>
      <c r="N9" s="571"/>
      <c r="O9" s="571"/>
      <c r="P9" s="571"/>
      <c r="Q9" s="571"/>
      <c r="R9" s="571"/>
      <c r="S9" s="571"/>
      <c r="T9" s="571"/>
    </row>
    <row r="10" spans="1:23" ht="21.75" customHeight="1" x14ac:dyDescent="0.25">
      <c r="A10" s="61"/>
      <c r="B10" s="61"/>
      <c r="C10" s="61"/>
      <c r="D10" s="61"/>
      <c r="E10" s="61"/>
      <c r="F10" s="61"/>
      <c r="G10" s="61"/>
      <c r="H10" s="61"/>
      <c r="I10" s="61"/>
      <c r="J10" s="572" t="s">
        <v>3</v>
      </c>
      <c r="K10" s="572"/>
      <c r="L10" s="573"/>
      <c r="M10" s="573"/>
      <c r="N10" s="573"/>
      <c r="O10" s="66" t="s">
        <v>48</v>
      </c>
      <c r="P10" s="61"/>
      <c r="Q10" s="61"/>
      <c r="R10" s="61"/>
      <c r="S10" s="61"/>
      <c r="T10" s="61"/>
    </row>
    <row r="11" spans="1:23" ht="7.5" customHeight="1" x14ac:dyDescent="0.25">
      <c r="A11" s="571"/>
      <c r="B11" s="571"/>
      <c r="C11" s="571"/>
      <c r="D11" s="571"/>
      <c r="E11" s="571"/>
      <c r="F11" s="571"/>
      <c r="G11" s="571"/>
      <c r="H11" s="571"/>
      <c r="I11" s="571"/>
      <c r="J11" s="571"/>
      <c r="K11" s="571"/>
      <c r="L11" s="571"/>
      <c r="M11" s="571"/>
      <c r="N11" s="571"/>
      <c r="O11" s="571"/>
      <c r="P11" s="571"/>
      <c r="Q11" s="571"/>
      <c r="R11" s="571"/>
      <c r="S11" s="571"/>
      <c r="T11" s="571"/>
    </row>
    <row r="12" spans="1:23" ht="21.75" customHeight="1" x14ac:dyDescent="0.25">
      <c r="A12" s="61"/>
      <c r="B12" s="578"/>
      <c r="C12" s="578"/>
      <c r="D12" s="578"/>
      <c r="E12" s="578"/>
      <c r="F12" s="578"/>
      <c r="G12" s="578"/>
      <c r="H12" s="578"/>
      <c r="I12" s="578"/>
      <c r="J12" s="578"/>
      <c r="K12" s="578"/>
      <c r="L12" s="66" t="s">
        <v>98</v>
      </c>
      <c r="M12" s="79"/>
      <c r="N12" s="69">
        <f>IF(L8&gt;0,IF(L10&gt;0,(L10-L8)+1,0),0)</f>
        <v>0</v>
      </c>
      <c r="O12" s="68" t="s">
        <v>8</v>
      </c>
      <c r="P12" s="61"/>
      <c r="Q12" s="61"/>
      <c r="R12" s="61"/>
      <c r="S12" s="65"/>
      <c r="T12" s="61"/>
    </row>
    <row r="13" spans="1:23" ht="7.5" customHeight="1" x14ac:dyDescent="0.25">
      <c r="A13" s="571"/>
      <c r="B13" s="571"/>
      <c r="C13" s="571"/>
      <c r="D13" s="571"/>
      <c r="E13" s="571"/>
      <c r="F13" s="571"/>
      <c r="G13" s="571"/>
      <c r="H13" s="571"/>
      <c r="I13" s="571"/>
      <c r="J13" s="571"/>
      <c r="K13" s="571"/>
      <c r="L13" s="571"/>
      <c r="M13" s="571"/>
      <c r="N13" s="571"/>
      <c r="O13" s="571"/>
      <c r="P13" s="571"/>
      <c r="Q13" s="571"/>
      <c r="R13" s="571"/>
      <c r="S13" s="571"/>
      <c r="T13" s="571"/>
    </row>
    <row r="14" spans="1:23" ht="21.75" customHeight="1" x14ac:dyDescent="0.25">
      <c r="A14" s="61"/>
      <c r="B14" s="61"/>
      <c r="C14" s="61"/>
      <c r="D14" s="61"/>
      <c r="E14" s="61"/>
      <c r="F14" s="61"/>
      <c r="G14" s="61"/>
      <c r="H14" s="61"/>
      <c r="I14" s="572" t="s">
        <v>61</v>
      </c>
      <c r="J14" s="572"/>
      <c r="K14" s="572"/>
      <c r="L14" s="579"/>
      <c r="M14" s="579"/>
      <c r="N14" s="579"/>
      <c r="O14" s="579"/>
      <c r="P14" s="579"/>
      <c r="Q14" s="579"/>
      <c r="R14" s="61"/>
      <c r="S14" s="64"/>
      <c r="T14" s="61"/>
    </row>
    <row r="15" spans="1:23" ht="7.5" customHeight="1" x14ac:dyDescent="0.25">
      <c r="A15" s="571"/>
      <c r="B15" s="571"/>
      <c r="C15" s="571"/>
      <c r="D15" s="571"/>
      <c r="E15" s="571"/>
      <c r="F15" s="571"/>
      <c r="G15" s="571"/>
      <c r="H15" s="571"/>
      <c r="I15" s="571"/>
      <c r="J15" s="571"/>
      <c r="K15" s="571"/>
      <c r="L15" s="571"/>
      <c r="M15" s="571"/>
      <c r="N15" s="571"/>
      <c r="O15" s="571"/>
      <c r="P15" s="571"/>
      <c r="Q15" s="571"/>
      <c r="R15" s="571"/>
      <c r="S15" s="571"/>
      <c r="T15" s="571"/>
    </row>
    <row r="16" spans="1:23" ht="7.5" customHeight="1" x14ac:dyDescent="0.25">
      <c r="A16" s="61"/>
      <c r="B16" s="576"/>
      <c r="C16" s="576"/>
      <c r="D16" s="576"/>
      <c r="E16" s="576"/>
      <c r="F16" s="576"/>
      <c r="G16" s="576"/>
      <c r="H16" s="576"/>
      <c r="I16" s="576"/>
      <c r="J16" s="576"/>
      <c r="K16" s="576"/>
      <c r="L16" s="576"/>
      <c r="M16" s="576"/>
      <c r="N16" s="576"/>
      <c r="O16" s="576"/>
      <c r="P16" s="576"/>
      <c r="Q16" s="576"/>
      <c r="R16" s="576"/>
      <c r="S16" s="576"/>
      <c r="T16" s="61"/>
    </row>
    <row r="17" spans="1:24" ht="9.75" customHeight="1" x14ac:dyDescent="0.25">
      <c r="A17" s="61"/>
      <c r="B17" s="577"/>
      <c r="C17" s="577"/>
      <c r="D17" s="577"/>
      <c r="E17" s="577"/>
      <c r="F17" s="577"/>
      <c r="G17" s="577"/>
      <c r="H17" s="577"/>
      <c r="I17" s="577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61"/>
    </row>
    <row r="18" spans="1:24" ht="21" customHeight="1" x14ac:dyDescent="0.25">
      <c r="A18" s="61"/>
      <c r="B18" s="572" t="s">
        <v>24</v>
      </c>
      <c r="C18" s="572"/>
      <c r="D18" s="572"/>
      <c r="E18" s="572"/>
      <c r="F18" s="572"/>
      <c r="G18" s="572"/>
      <c r="H18" s="572"/>
      <c r="I18" s="572"/>
      <c r="J18" s="572"/>
      <c r="K18" s="575"/>
      <c r="L18" s="575"/>
      <c r="M18" s="61"/>
      <c r="N18" s="61"/>
      <c r="O18" s="61"/>
      <c r="P18" s="572" t="s">
        <v>224</v>
      </c>
      <c r="Q18" s="572"/>
      <c r="R18" s="572"/>
      <c r="S18" s="478"/>
      <c r="T18" s="61"/>
      <c r="U18" s="477"/>
      <c r="V18" s="477"/>
      <c r="W18" s="477"/>
      <c r="X18" s="477"/>
    </row>
    <row r="19" spans="1:24" ht="8.25" customHeight="1" x14ac:dyDescent="0.25">
      <c r="A19" s="571"/>
      <c r="B19" s="571"/>
      <c r="C19" s="571"/>
      <c r="D19" s="571"/>
      <c r="E19" s="571"/>
      <c r="F19" s="571"/>
      <c r="G19" s="571"/>
      <c r="H19" s="571"/>
      <c r="I19" s="571"/>
      <c r="J19" s="571"/>
      <c r="K19" s="571"/>
      <c r="L19" s="571"/>
      <c r="M19" s="571"/>
      <c r="N19" s="571"/>
      <c r="O19" s="571"/>
      <c r="P19" s="571"/>
      <c r="Q19" s="571"/>
      <c r="R19" s="571"/>
      <c r="S19" s="571"/>
      <c r="T19" s="571"/>
    </row>
    <row r="20" spans="1:24" ht="21" customHeight="1" x14ac:dyDescent="0.25">
      <c r="A20" s="61"/>
      <c r="B20" s="572" t="s">
        <v>95</v>
      </c>
      <c r="C20" s="572"/>
      <c r="D20" s="572"/>
      <c r="E20" s="572"/>
      <c r="F20" s="572"/>
      <c r="G20" s="572"/>
      <c r="H20" s="572"/>
      <c r="I20" s="575"/>
      <c r="J20" s="575"/>
      <c r="K20" s="67" t="s">
        <v>129</v>
      </c>
      <c r="L20" s="61"/>
      <c r="M20" s="61"/>
      <c r="N20" s="61"/>
      <c r="O20" s="61"/>
      <c r="P20" s="61"/>
      <c r="Q20" s="61"/>
      <c r="R20" s="61"/>
      <c r="S20" s="153">
        <f>config!F91</f>
        <v>1212.6400000000001</v>
      </c>
      <c r="T20" s="61"/>
    </row>
    <row r="21" spans="1:24" x14ac:dyDescent="0.25">
      <c r="A21" s="61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3"/>
      <c r="P21" s="62"/>
      <c r="Q21" s="62"/>
      <c r="R21" s="62"/>
      <c r="S21" s="62"/>
      <c r="T21" s="61"/>
    </row>
    <row r="22" spans="1:24" ht="10.5" customHeight="1" x14ac:dyDescent="0.25">
      <c r="A22" s="61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</row>
    <row r="23" spans="1:24" ht="22.5" customHeight="1" x14ac:dyDescent="0.25">
      <c r="A23" s="61"/>
      <c r="B23" s="61"/>
      <c r="C23" s="61"/>
      <c r="D23" s="61"/>
      <c r="E23" s="574"/>
      <c r="F23" s="574"/>
      <c r="G23" s="574"/>
      <c r="H23" s="574"/>
      <c r="I23" s="574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</row>
    <row r="24" spans="1:24" x14ac:dyDescent="0.25">
      <c r="A24" s="570" t="str">
        <f>Menu!A31</f>
        <v>Planilha+ 5.1.2   .:.   Acácio Jr   .:.   unico@acaciojunior.com       -      Última atualização: 03/02/2016</v>
      </c>
      <c r="B24" s="570"/>
      <c r="C24" s="570"/>
      <c r="D24" s="570"/>
      <c r="E24" s="570"/>
      <c r="F24" s="570"/>
      <c r="G24" s="570"/>
      <c r="H24" s="570"/>
      <c r="I24" s="570"/>
      <c r="J24" s="570"/>
      <c r="K24" s="570"/>
      <c r="L24" s="570"/>
      <c r="M24" s="570"/>
      <c r="N24" s="570"/>
      <c r="O24" s="570"/>
      <c r="P24" s="570"/>
      <c r="Q24" s="570"/>
      <c r="R24" s="570"/>
      <c r="S24" s="570"/>
      <c r="T24" s="570"/>
    </row>
  </sheetData>
  <sheetProtection password="CB7C" sheet="1" objects="1" scenarios="1" selectLockedCells="1"/>
  <mergeCells count="26">
    <mergeCell ref="P18:R18"/>
    <mergeCell ref="L14:Q14"/>
    <mergeCell ref="N1:S2"/>
    <mergeCell ref="N3:S3"/>
    <mergeCell ref="A5:T5"/>
    <mergeCell ref="A7:T7"/>
    <mergeCell ref="B6:S6"/>
    <mergeCell ref="I8:K8"/>
    <mergeCell ref="L8:N8"/>
    <mergeCell ref="A9:T9"/>
    <mergeCell ref="A24:T24"/>
    <mergeCell ref="A13:T13"/>
    <mergeCell ref="J10:K10"/>
    <mergeCell ref="L10:N10"/>
    <mergeCell ref="A11:T11"/>
    <mergeCell ref="A15:T15"/>
    <mergeCell ref="E23:I23"/>
    <mergeCell ref="A19:T19"/>
    <mergeCell ref="B20:H20"/>
    <mergeCell ref="I20:J20"/>
    <mergeCell ref="B16:S16"/>
    <mergeCell ref="B17:S17"/>
    <mergeCell ref="B18:J18"/>
    <mergeCell ref="K18:L18"/>
    <mergeCell ref="B12:K12"/>
    <mergeCell ref="I14:K14"/>
  </mergeCells>
  <conditionalFormatting sqref="L10:N10">
    <cfRule type="cellIs" dxfId="13" priority="1" stopIfTrue="1" operator="lessThan">
      <formula>$L$8</formula>
    </cfRule>
  </conditionalFormatting>
  <pageMargins left="0.15" right="0.06" top="0.78740157480314965" bottom="0.78740157480314965" header="0.31496062992125984" footer="0.31496062992125984"/>
  <pageSetup paperSize="9" scale="82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fitToPage="1"/>
  </sheetPr>
  <dimension ref="A1:AP60"/>
  <sheetViews>
    <sheetView showGridLines="0" showRowColHeaders="0" workbookViewId="0">
      <selection activeCell="E10" sqref="E10:I10"/>
    </sheetView>
  </sheetViews>
  <sheetFormatPr defaultColWidth="0" defaultRowHeight="12" zeroHeight="1" x14ac:dyDescent="0.25"/>
  <cols>
    <col min="1" max="1" width="3.28515625" style="3" customWidth="1"/>
    <col min="2" max="4" width="3.42578125" style="4" customWidth="1"/>
    <col min="5" max="5" width="2.5703125" style="4" customWidth="1"/>
    <col min="6" max="6" width="2.140625" style="4" customWidth="1"/>
    <col min="7" max="7" width="2.28515625" style="4" customWidth="1"/>
    <col min="8" max="8" width="6.140625" style="4" customWidth="1"/>
    <col min="9" max="12" width="3.42578125" style="4" customWidth="1"/>
    <col min="13" max="13" width="2.7109375" style="4" customWidth="1"/>
    <col min="14" max="27" width="3.42578125" style="4" customWidth="1"/>
    <col min="28" max="28" width="5.28515625" style="4" customWidth="1"/>
    <col min="29" max="29" width="3.28515625" style="4" hidden="1" customWidth="1"/>
    <col min="30" max="30" width="21.85546875" style="4" hidden="1" customWidth="1"/>
    <col min="31" max="32" width="14" style="4" hidden="1" customWidth="1"/>
    <col min="33" max="33" width="15.7109375" style="4" hidden="1" customWidth="1"/>
    <col min="34" max="34" width="18.42578125" style="4" hidden="1" customWidth="1"/>
    <col min="35" max="35" width="16.42578125" style="4" hidden="1" customWidth="1"/>
    <col min="36" max="36" width="11.5703125" style="4" hidden="1" customWidth="1"/>
    <col min="37" max="37" width="12" style="4" hidden="1" customWidth="1"/>
    <col min="38" max="38" width="21.140625" style="4" hidden="1" customWidth="1"/>
    <col min="39" max="16384" width="9.140625" style="4" hidden="1"/>
  </cols>
  <sheetData>
    <row r="1" spans="1:38" ht="30" customHeight="1" x14ac:dyDescent="0.25">
      <c r="A1" s="92"/>
      <c r="B1" s="83" t="str">
        <f>config!I101</f>
        <v>SINCOMERCIÁRIOS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4" t="s">
        <v>171</v>
      </c>
    </row>
    <row r="2" spans="1:38" ht="18.75" customHeight="1" x14ac:dyDescent="0.35">
      <c r="A2" s="92"/>
      <c r="B2" s="92" t="str">
        <f>config!I102</f>
        <v>Sindicato dos Empregados no Comércio de Itapeva</v>
      </c>
      <c r="C2" s="92"/>
      <c r="D2" s="92"/>
      <c r="E2" s="92"/>
      <c r="F2" s="92"/>
      <c r="G2" s="157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92"/>
      <c r="AD2" s="391"/>
      <c r="AE2" s="392" t="s">
        <v>8</v>
      </c>
      <c r="AF2" s="393" t="s">
        <v>60</v>
      </c>
    </row>
    <row r="3" spans="1:38" ht="15.75" customHeight="1" thickBot="1" x14ac:dyDescent="0.4">
      <c r="A3" s="92"/>
      <c r="B3" s="93"/>
      <c r="C3" s="93"/>
      <c r="D3" s="93"/>
      <c r="E3" s="93"/>
      <c r="F3" s="93"/>
      <c r="G3" s="581"/>
      <c r="H3" s="582"/>
      <c r="I3" s="582"/>
      <c r="J3" s="582"/>
      <c r="K3" s="582"/>
      <c r="L3" s="582"/>
      <c r="M3" s="582"/>
      <c r="N3" s="582"/>
      <c r="O3" s="582"/>
      <c r="P3" s="582"/>
      <c r="Q3" s="582"/>
      <c r="R3" s="582"/>
      <c r="S3" s="582"/>
      <c r="T3" s="582"/>
      <c r="U3" s="582"/>
      <c r="V3" s="582"/>
      <c r="W3" s="582"/>
      <c r="X3" s="582"/>
      <c r="Y3" s="582"/>
      <c r="Z3" s="582"/>
      <c r="AA3" s="582"/>
      <c r="AB3" s="92"/>
      <c r="AD3" s="475" t="s">
        <v>223</v>
      </c>
      <c r="AE3" s="396">
        <f>(M10-E10)+1</f>
        <v>1</v>
      </c>
      <c r="AF3" s="476" t="b">
        <f>IF(AE3&gt;=15,IF(AE3&lt;=44,1,IF(AE3&lt;=74,2,IF(AE3&lt;=104,3,IF(AE3&lt;=119,4)))))</f>
        <v>0</v>
      </c>
    </row>
    <row r="4" spans="1:38" x14ac:dyDescent="0.25">
      <c r="A4" s="92"/>
      <c r="B4" s="92" t="str">
        <f>config!J103</f>
        <v>Rua Olívia Marques, 257, Centro - Itapeva/SP</v>
      </c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4" t="str">
        <f>config!H104</f>
        <v>(15) 3522 0726</v>
      </c>
      <c r="AB4" s="92"/>
    </row>
    <row r="5" spans="1:38" ht="10.5" customHeight="1" x14ac:dyDescent="0.25">
      <c r="A5" s="92"/>
      <c r="B5" s="583"/>
      <c r="C5" s="583"/>
      <c r="D5" s="583"/>
      <c r="E5" s="583"/>
      <c r="F5" s="583"/>
      <c r="G5" s="583"/>
      <c r="H5" s="583"/>
      <c r="I5" s="583"/>
      <c r="J5" s="583"/>
      <c r="K5" s="583"/>
      <c r="L5" s="583"/>
      <c r="M5" s="583"/>
      <c r="N5" s="583"/>
      <c r="O5" s="583"/>
      <c r="P5" s="583"/>
      <c r="Q5" s="583"/>
      <c r="R5" s="583"/>
      <c r="S5" s="583"/>
      <c r="T5" s="583"/>
      <c r="U5" s="583"/>
      <c r="V5" s="583"/>
      <c r="W5" s="583"/>
      <c r="X5" s="583"/>
      <c r="Y5" s="583"/>
      <c r="Z5" s="583"/>
      <c r="AA5" s="583"/>
      <c r="AB5" s="92"/>
      <c r="AD5" s="34"/>
      <c r="AH5" s="34"/>
    </row>
    <row r="6" spans="1:38" ht="23.25" customHeight="1" x14ac:dyDescent="0.25">
      <c r="A6" s="92"/>
      <c r="B6" s="584" t="s">
        <v>94</v>
      </c>
      <c r="C6" s="584"/>
      <c r="D6" s="584"/>
      <c r="E6" s="584"/>
      <c r="F6" s="584"/>
      <c r="G6" s="584"/>
      <c r="H6" s="584"/>
      <c r="I6" s="584"/>
      <c r="J6" s="584"/>
      <c r="K6" s="584"/>
      <c r="L6" s="584"/>
      <c r="M6" s="584"/>
      <c r="N6" s="584"/>
      <c r="O6" s="584"/>
      <c r="P6" s="584"/>
      <c r="Q6" s="584"/>
      <c r="R6" s="584"/>
      <c r="S6" s="584"/>
      <c r="T6" s="584"/>
      <c r="U6" s="584"/>
      <c r="V6" s="584"/>
      <c r="W6" s="584"/>
      <c r="X6" s="584"/>
      <c r="Y6" s="584"/>
      <c r="Z6" s="584"/>
      <c r="AA6" s="584"/>
      <c r="AB6" s="92"/>
      <c r="AD6" s="4" t="s">
        <v>49</v>
      </c>
      <c r="AE6" s="4">
        <f>IF(MONTH(M10)=MONTH(E10),IF(YEAR(M10)=YEAR(E10),DAY(M10)-DAY(E10),DAY(M10)),DAY(M10))</f>
        <v>0</v>
      </c>
      <c r="AF6" s="4" t="s">
        <v>133</v>
      </c>
      <c r="AG6" s="4">
        <f>IF(MONTH(M10)=MONTH(E10),IF(YEAR(M10)=YEAR(E10),DAY(M10)-DAY(E10),DAY(M10)),DAY(M10))</f>
        <v>0</v>
      </c>
    </row>
    <row r="7" spans="1:38" ht="7.5" customHeight="1" x14ac:dyDescent="0.25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D7" s="4" t="s">
        <v>33</v>
      </c>
      <c r="AE7" s="6"/>
      <c r="AF7" s="7">
        <f>M10</f>
        <v>0</v>
      </c>
      <c r="AG7" s="4" t="s">
        <v>39</v>
      </c>
      <c r="AI7" s="4" t="s">
        <v>50</v>
      </c>
      <c r="AJ7" s="4" t="s">
        <v>51</v>
      </c>
    </row>
    <row r="8" spans="1:38" ht="14.25" customHeight="1" x14ac:dyDescent="0.25">
      <c r="A8" s="92"/>
      <c r="B8" s="604" t="s">
        <v>96</v>
      </c>
      <c r="C8" s="604"/>
      <c r="D8" s="604"/>
      <c r="E8" s="604"/>
      <c r="F8" s="604"/>
      <c r="G8" s="604"/>
      <c r="H8" s="604"/>
      <c r="I8" s="604"/>
      <c r="J8" s="604"/>
      <c r="K8" s="604"/>
      <c r="L8" s="604"/>
      <c r="M8" s="604"/>
      <c r="N8" s="604"/>
      <c r="O8" s="604"/>
      <c r="P8" s="604"/>
      <c r="Q8" s="604"/>
      <c r="R8" s="604"/>
      <c r="S8" s="604"/>
      <c r="T8" s="604"/>
      <c r="U8" s="604"/>
      <c r="V8" s="604"/>
      <c r="W8" s="604"/>
      <c r="X8" s="604"/>
      <c r="Y8" s="604"/>
      <c r="Z8" s="604"/>
      <c r="AA8" s="604"/>
      <c r="AB8" s="95"/>
      <c r="AC8" s="28"/>
      <c r="AD8" s="4" t="s">
        <v>4</v>
      </c>
      <c r="AE8" s="31">
        <f>IF(YEAR(AF7)&gt;YEAR(E10),(YEAR(AF7)-YEAR(E10))-AH8,0)</f>
        <v>0</v>
      </c>
      <c r="AF8" s="8">
        <f>IF(AG8&lt;=0,DAY(AF7)-DAY(E10),0)</f>
        <v>0</v>
      </c>
      <c r="AG8" s="4">
        <f>MONTH(AF7)-MONTH(E10)</f>
        <v>0</v>
      </c>
      <c r="AH8" s="9">
        <f>IF(AG8&lt;0,1,IF(AF8&lt;0,1,0))</f>
        <v>0</v>
      </c>
      <c r="AI8" s="32">
        <f>DAY(AF7)-DAY(E10)</f>
        <v>0</v>
      </c>
      <c r="AJ8" s="32">
        <f>IF(AI8&gt;=15,AG8+1,AG8)</f>
        <v>0</v>
      </c>
    </row>
    <row r="9" spans="1:38" ht="7.5" customHeight="1" x14ac:dyDescent="0.25">
      <c r="A9" s="92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5"/>
      <c r="AC9" s="28"/>
      <c r="AD9" s="4" t="s">
        <v>5</v>
      </c>
      <c r="AE9" s="6">
        <f>YEAR(M10)</f>
        <v>1900</v>
      </c>
      <c r="AF9" s="7">
        <f>DATE(AE9,1,1)</f>
        <v>1</v>
      </c>
      <c r="AG9" s="7"/>
      <c r="AI9" s="10"/>
    </row>
    <row r="10" spans="1:38" ht="15" x14ac:dyDescent="0.25">
      <c r="A10" s="92"/>
      <c r="B10" s="95" t="s">
        <v>2</v>
      </c>
      <c r="C10" s="95"/>
      <c r="D10" s="95"/>
      <c r="E10" s="585">
        <f>masc_termino!L8</f>
        <v>0</v>
      </c>
      <c r="F10" s="586"/>
      <c r="G10" s="586"/>
      <c r="H10" s="586"/>
      <c r="I10" s="586"/>
      <c r="J10" s="95"/>
      <c r="K10" s="95" t="s">
        <v>3</v>
      </c>
      <c r="L10" s="95"/>
      <c r="M10" s="587">
        <f>masc_termino!L10</f>
        <v>0</v>
      </c>
      <c r="N10" s="587"/>
      <c r="O10" s="587"/>
      <c r="P10" s="587"/>
      <c r="Q10" s="97"/>
      <c r="R10" s="95" t="s">
        <v>61</v>
      </c>
      <c r="S10" s="95"/>
      <c r="T10" s="95"/>
      <c r="U10" s="589">
        <f>masc_termino!L14</f>
        <v>0</v>
      </c>
      <c r="V10" s="589"/>
      <c r="W10" s="589"/>
      <c r="X10" s="589"/>
      <c r="Y10" s="589"/>
      <c r="Z10" s="589"/>
      <c r="AA10" s="120"/>
      <c r="AB10" s="95"/>
      <c r="AC10" s="28"/>
      <c r="AD10" s="4" t="s">
        <v>6</v>
      </c>
      <c r="AE10" s="6">
        <f>MONTH(AF7)+AG10</f>
        <v>0</v>
      </c>
      <c r="AF10" s="9">
        <f>DAY(AF7)</f>
        <v>0</v>
      </c>
      <c r="AG10" s="9">
        <f>IF(AF10&lt;15,-1,0)</f>
        <v>-1</v>
      </c>
      <c r="AH10" s="32"/>
    </row>
    <row r="11" spans="1:38" ht="7.5" customHeight="1" x14ac:dyDescent="0.25">
      <c r="A11" s="92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588"/>
      <c r="T11" s="588"/>
      <c r="U11" s="588"/>
      <c r="V11" s="588"/>
      <c r="W11" s="588"/>
      <c r="X11" s="588"/>
      <c r="Y11" s="588"/>
      <c r="Z11" s="588"/>
      <c r="AA11" s="588"/>
      <c r="AB11" s="95"/>
      <c r="AC11" s="28"/>
      <c r="AD11" s="388" t="s">
        <v>7</v>
      </c>
      <c r="AE11" s="390">
        <f>IF(YEAR(E10)=YEAR(M10),MONTH(M10)-MONTH(E10)-1,IF(MONTH(E10)&gt;MONTH(M10),12-MONTH(E10)+MONTH(M10)-1))+AF11</f>
        <v>-1</v>
      </c>
      <c r="AF11" s="390">
        <f>IF(AG11&gt;=15,1,0)</f>
        <v>0</v>
      </c>
      <c r="AG11" s="389">
        <f>IF(DAY(E10)&gt;DAY(M10),(DAY(AH14)-DAY(E10)+DAY(M10)+1),DAY(M10)-DAY(E10)+1)</f>
        <v>1</v>
      </c>
      <c r="AH11" s="38">
        <f>IF(YEAR(E10)=YEAR(M10),0,IF(DAY(E10)&gt;15,1,0))</f>
        <v>0</v>
      </c>
      <c r="AI11" s="38"/>
      <c r="AJ11" s="38"/>
    </row>
    <row r="12" spans="1:38" ht="3" customHeight="1" x14ac:dyDescent="0.25">
      <c r="A12" s="92"/>
      <c r="B12" s="96"/>
      <c r="C12" s="109"/>
      <c r="D12" s="109"/>
      <c r="E12" s="109"/>
      <c r="F12" s="109"/>
      <c r="G12" s="109"/>
      <c r="H12" s="109"/>
      <c r="I12" s="109"/>
      <c r="J12" s="109"/>
      <c r="K12" s="108"/>
      <c r="L12" s="108"/>
      <c r="M12" s="108"/>
      <c r="N12" s="109"/>
      <c r="O12" s="109"/>
      <c r="P12" s="109"/>
      <c r="Q12" s="109"/>
      <c r="R12" s="109"/>
      <c r="S12" s="109"/>
      <c r="T12" s="108"/>
      <c r="U12" s="108"/>
      <c r="V12" s="108"/>
      <c r="W12" s="108"/>
      <c r="X12" s="108"/>
      <c r="Y12" s="108"/>
      <c r="Z12" s="108"/>
      <c r="AA12" s="95"/>
      <c r="AB12" s="95"/>
      <c r="AC12" s="28"/>
      <c r="AG12" s="38"/>
      <c r="AH12" s="38"/>
      <c r="AI12" s="38"/>
      <c r="AJ12" s="38"/>
    </row>
    <row r="13" spans="1:38" ht="7.5" customHeight="1" x14ac:dyDescent="0.25">
      <c r="A13" s="92"/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28"/>
      <c r="AD13" s="4" t="s">
        <v>10</v>
      </c>
      <c r="AE13" s="11">
        <f>U10/30</f>
        <v>0</v>
      </c>
      <c r="AF13" s="10"/>
    </row>
    <row r="14" spans="1:38" ht="15" x14ac:dyDescent="0.25">
      <c r="A14" s="92"/>
      <c r="B14" s="611" t="s">
        <v>43</v>
      </c>
      <c r="C14" s="611"/>
      <c r="D14" s="611"/>
      <c r="E14" s="611"/>
      <c r="F14" s="611"/>
      <c r="G14" s="611"/>
      <c r="H14" s="611"/>
      <c r="I14" s="611"/>
      <c r="J14" s="611"/>
      <c r="K14" s="611"/>
      <c r="L14" s="611"/>
      <c r="M14" s="590">
        <f>masc_termino!K18</f>
        <v>0</v>
      </c>
      <c r="N14" s="590"/>
      <c r="O14" s="96"/>
      <c r="P14" s="591" t="s">
        <v>42</v>
      </c>
      <c r="Q14" s="591"/>
      <c r="R14" s="591"/>
      <c r="S14" s="591"/>
      <c r="T14" s="591"/>
      <c r="U14" s="591"/>
      <c r="V14" s="591"/>
      <c r="W14" s="591"/>
      <c r="X14" s="591"/>
      <c r="Y14" s="591"/>
      <c r="Z14" s="592">
        <f>masc_termino!I20</f>
        <v>0</v>
      </c>
      <c r="AA14" s="592"/>
      <c r="AB14" s="95"/>
      <c r="AC14" s="28"/>
      <c r="AD14" s="4" t="s">
        <v>11</v>
      </c>
      <c r="AE14" s="11">
        <f>U10/12</f>
        <v>0</v>
      </c>
      <c r="AG14" s="391" t="s">
        <v>212</v>
      </c>
      <c r="AH14" s="398" t="e">
        <f>EOMONTH(M10,-1)</f>
        <v>#NUM!</v>
      </c>
    </row>
    <row r="15" spans="1:38" ht="5.25" customHeight="1" x14ac:dyDescent="0.25">
      <c r="A15" s="92"/>
      <c r="B15" s="99"/>
      <c r="C15" s="95"/>
      <c r="D15" s="95"/>
      <c r="E15" s="95"/>
      <c r="F15" s="95"/>
      <c r="G15" s="95"/>
      <c r="H15" s="92"/>
      <c r="I15" s="92"/>
      <c r="J15" s="92"/>
      <c r="K15" s="95"/>
      <c r="L15" s="108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95"/>
      <c r="AA15" s="95"/>
      <c r="AB15" s="95"/>
      <c r="AC15" s="28"/>
      <c r="AD15" s="391" t="s">
        <v>54</v>
      </c>
      <c r="AE15" s="392" t="s">
        <v>55</v>
      </c>
      <c r="AF15" s="392" t="s">
        <v>8</v>
      </c>
      <c r="AG15" s="392" t="s">
        <v>56</v>
      </c>
      <c r="AH15" s="393"/>
      <c r="AI15" s="38"/>
      <c r="AJ15" s="38"/>
      <c r="AK15" s="38"/>
      <c r="AL15" s="38"/>
    </row>
    <row r="16" spans="1:38" ht="7.5" customHeight="1" x14ac:dyDescent="0.25">
      <c r="A16" s="92"/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1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95"/>
      <c r="AC16" s="28"/>
      <c r="AD16" s="394" t="s">
        <v>54</v>
      </c>
      <c r="AE16" s="395">
        <f>IF(YEAR(M10)&gt;YEAR(E10),IF(AF16&gt;=15,MONTH(M10),MONTH(M10)-1),MONTH(M10)-MONTH(E10))</f>
        <v>0</v>
      </c>
      <c r="AF16" s="396">
        <f>IF(YEAR(E10)=YEAR(M10),IF(DAY(E10)&gt;DAY(M10),(DAY(AH14)-DAY(E10)+DAY(M10)+1),DAY(M10)-DAY(E10)+1),DAY(M10))</f>
        <v>1</v>
      </c>
      <c r="AG16" s="396">
        <f>IF(YEAR(M10)=YEAR(E10),IF(AF16&gt;=15,AE16,AE16-1),AE16)+AH16</f>
        <v>-1</v>
      </c>
      <c r="AH16" s="397">
        <f>IF(YEAR(E10)=YEAR(M10),0,IF(DAY(E10)&gt;15,1,0))</f>
        <v>0</v>
      </c>
      <c r="AI16" s="38"/>
      <c r="AJ16" s="38"/>
      <c r="AK16" s="38"/>
      <c r="AL16" s="38"/>
    </row>
    <row r="17" spans="1:42" ht="7.5" customHeight="1" x14ac:dyDescent="0.25">
      <c r="A17" s="92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28"/>
      <c r="AD17" s="35"/>
      <c r="AF17" s="35"/>
      <c r="AG17" s="36"/>
      <c r="AH17" s="35"/>
      <c r="AI17" s="35"/>
      <c r="AJ17" s="35"/>
      <c r="AK17" s="35"/>
    </row>
    <row r="18" spans="1:42" ht="12.75" customHeight="1" x14ac:dyDescent="0.25">
      <c r="A18" s="92"/>
      <c r="B18" s="102" t="s">
        <v>9</v>
      </c>
      <c r="C18" s="102"/>
      <c r="D18" s="102"/>
      <c r="E18" s="102"/>
      <c r="F18" s="593">
        <f>IF(AG6&gt;30,30,AG6)</f>
        <v>0</v>
      </c>
      <c r="G18" s="593"/>
      <c r="H18" s="102" t="str">
        <f>IF(F18=1,"dia","dias")</f>
        <v>dias</v>
      </c>
      <c r="I18" s="594">
        <f>(F18*AE13)+W12</f>
        <v>0</v>
      </c>
      <c r="J18" s="594"/>
      <c r="K18" s="594"/>
      <c r="L18" s="594"/>
      <c r="M18" s="102"/>
      <c r="N18" s="102"/>
      <c r="O18" s="102"/>
      <c r="P18" s="102"/>
      <c r="Q18" s="102"/>
      <c r="R18" s="595" t="s">
        <v>0</v>
      </c>
      <c r="S18" s="595"/>
      <c r="T18" s="595"/>
      <c r="U18" s="595"/>
      <c r="V18" s="595"/>
      <c r="W18" s="595"/>
      <c r="X18" s="595"/>
      <c r="Y18" s="595"/>
      <c r="Z18" s="595"/>
      <c r="AA18" s="595"/>
      <c r="AB18" s="95"/>
      <c r="AC18" s="28"/>
      <c r="AD18" s="34" t="s">
        <v>52</v>
      </c>
      <c r="AE18" s="6">
        <f>YEAR(AF7)-YEAR(E10)</f>
        <v>0</v>
      </c>
      <c r="AF18" s="9">
        <f>IF(AE18=0,MONTH(AF7)-MONTH(E10),0)</f>
        <v>0</v>
      </c>
      <c r="AG18" s="9">
        <f>IF(AE18=0,DAY(AF7)-DAY(E10),0)</f>
        <v>0</v>
      </c>
      <c r="AH18" s="34">
        <f>IF(AF18&gt;0,IF(AG18&gt;=15,AF18,AF18-1),0)</f>
        <v>0</v>
      </c>
      <c r="AI18" s="9">
        <f>DAY(AF7)</f>
        <v>0</v>
      </c>
      <c r="AJ18" s="14">
        <f>IF(AF18=0,MONTH(AF7),0)</f>
        <v>1</v>
      </c>
      <c r="AK18" s="34">
        <f>IF(AJ18&gt;0,IF(AI18&gt;=15,AJ18,AJ18-1),0)</f>
        <v>0</v>
      </c>
    </row>
    <row r="19" spans="1:42" ht="6" customHeight="1" x14ac:dyDescent="0.25">
      <c r="A19" s="92"/>
      <c r="B19" s="102"/>
      <c r="C19" s="102"/>
      <c r="D19" s="102"/>
      <c r="E19" s="102"/>
      <c r="F19" s="102"/>
      <c r="G19" s="102"/>
      <c r="H19" s="102"/>
      <c r="I19" s="103"/>
      <c r="J19" s="103"/>
      <c r="K19" s="103"/>
      <c r="L19" s="103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95"/>
      <c r="AC19" s="28"/>
      <c r="AD19" s="12" t="s">
        <v>14</v>
      </c>
      <c r="AE19" s="13" t="s">
        <v>15</v>
      </c>
      <c r="AF19" s="14" t="s">
        <v>17</v>
      </c>
      <c r="AG19" s="4" t="s">
        <v>18</v>
      </c>
      <c r="AH19" s="4" t="s">
        <v>57</v>
      </c>
    </row>
    <row r="20" spans="1:42" ht="12.75" customHeight="1" x14ac:dyDescent="0.25">
      <c r="A20" s="92"/>
      <c r="B20" s="102" t="str">
        <f>IF(I20&gt;0,"13º Salário:","")</f>
        <v/>
      </c>
      <c r="C20" s="102"/>
      <c r="D20" s="102"/>
      <c r="E20" s="608" t="b">
        <f>AF3</f>
        <v>0</v>
      </c>
      <c r="F20" s="609"/>
      <c r="G20" s="106" t="str">
        <f>IF(E20&gt;0,IF(E20=1,"mês","meses"),"")</f>
        <v>meses</v>
      </c>
      <c r="H20" s="102"/>
      <c r="I20" s="597">
        <f>AE14*E20</f>
        <v>0</v>
      </c>
      <c r="J20" s="597"/>
      <c r="K20" s="597"/>
      <c r="L20" s="597"/>
      <c r="M20" s="610"/>
      <c r="N20" s="610"/>
      <c r="O20" s="104"/>
      <c r="P20" s="102"/>
      <c r="Q20" s="102"/>
      <c r="R20" s="102" t="str">
        <f>IF(X20&gt;0,"INSS Saldo Salário:","")</f>
        <v/>
      </c>
      <c r="S20" s="102"/>
      <c r="T20" s="102"/>
      <c r="U20" s="102"/>
      <c r="V20" s="102"/>
      <c r="W20" s="102"/>
      <c r="X20" s="597">
        <f>IF(AF24&gt;0,I18*AF24,AE23)</f>
        <v>0</v>
      </c>
      <c r="Y20" s="597"/>
      <c r="Z20" s="597"/>
      <c r="AA20" s="597"/>
      <c r="AB20" s="95"/>
      <c r="AC20" s="28"/>
      <c r="AD20" s="4" t="s">
        <v>12</v>
      </c>
      <c r="AE20" s="15">
        <f>config!F72</f>
        <v>1556.94</v>
      </c>
      <c r="AF20" s="14">
        <f>IF(I22&lt;=AE20,config!M72,0)</f>
        <v>0.08</v>
      </c>
      <c r="AG20" s="4">
        <f>IF(I24&lt;=AE20,config!M72,0)</f>
        <v>0.08</v>
      </c>
      <c r="AH20" s="4">
        <f>IF(I38&lt;=AE20,config!M72,0)</f>
        <v>0.08</v>
      </c>
    </row>
    <row r="21" spans="1:42" ht="6" customHeight="1" x14ac:dyDescent="0.25">
      <c r="A21" s="92"/>
      <c r="B21" s="102"/>
      <c r="C21" s="102"/>
      <c r="D21" s="102"/>
      <c r="E21" s="102"/>
      <c r="F21" s="102"/>
      <c r="G21" s="102"/>
      <c r="H21" s="102"/>
      <c r="I21" s="103"/>
      <c r="J21" s="103"/>
      <c r="K21" s="103"/>
      <c r="L21" s="103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5"/>
      <c r="Y21" s="105"/>
      <c r="Z21" s="105"/>
      <c r="AA21" s="105"/>
      <c r="AB21" s="95"/>
      <c r="AC21" s="28"/>
      <c r="AD21" s="4" t="s">
        <v>12</v>
      </c>
      <c r="AE21" s="15">
        <f>config!J73</f>
        <v>2594.92</v>
      </c>
      <c r="AF21" s="14">
        <f>IF(I22&gt;AE20,IF(I22&lt;=AE21,config!M73,0),0)</f>
        <v>0</v>
      </c>
      <c r="AG21" s="4">
        <f>IF(I24&gt;AE20,IF(I24&lt;=AE21,config!M73,0),0)</f>
        <v>0</v>
      </c>
      <c r="AH21" s="4">
        <f>IF(I38&gt;AE20,IF(I38&lt;=AE21,config!M73,0),0)</f>
        <v>0</v>
      </c>
    </row>
    <row r="22" spans="1:42" ht="12.75" customHeight="1" x14ac:dyDescent="0.25">
      <c r="A22" s="92"/>
      <c r="B22" s="102" t="str">
        <f>IF(I22&gt;0,"Férias Proporcionais:","")</f>
        <v/>
      </c>
      <c r="C22" s="102"/>
      <c r="D22" s="102"/>
      <c r="E22" s="102"/>
      <c r="F22" s="102"/>
      <c r="G22" s="102"/>
      <c r="H22" s="107"/>
      <c r="I22" s="597">
        <f>AE11*AE14</f>
        <v>0</v>
      </c>
      <c r="J22" s="597"/>
      <c r="K22" s="597"/>
      <c r="L22" s="597"/>
      <c r="M22" s="474" t="b">
        <f>AF3</f>
        <v>0</v>
      </c>
      <c r="N22" s="92" t="str">
        <f>IF(M22&gt;1,"meses","mês")</f>
        <v>meses</v>
      </c>
      <c r="O22" s="92"/>
      <c r="P22" s="92"/>
      <c r="Q22" s="102"/>
      <c r="R22" s="102" t="str">
        <f>IF(X22&gt;0,"Inss 13º Salário:","")</f>
        <v/>
      </c>
      <c r="S22" s="102"/>
      <c r="T22" s="102"/>
      <c r="U22" s="102"/>
      <c r="V22" s="102"/>
      <c r="W22" s="98"/>
      <c r="X22" s="594">
        <f>IF(AG24&gt;0,I20*AG24,AE23)</f>
        <v>0</v>
      </c>
      <c r="Y22" s="594"/>
      <c r="Z22" s="594"/>
      <c r="AA22" s="594"/>
      <c r="AB22" s="95"/>
      <c r="AC22" s="28"/>
      <c r="AD22" s="4" t="s">
        <v>12</v>
      </c>
      <c r="AE22" s="15">
        <f>config!J74</f>
        <v>5189.82</v>
      </c>
      <c r="AF22" s="14">
        <f>IF(I22&gt;AE21,IF(I22&lt;=AE22,config!M74,0),0)</f>
        <v>0</v>
      </c>
      <c r="AG22" s="4">
        <f>IF(I24&gt;AE21,IF(I24&lt;=AE22,config!M74,0),0)</f>
        <v>0</v>
      </c>
      <c r="AH22" s="4">
        <f>IF(I38&gt;AE21,IF(I38&lt;=AE22,config!M74,0),0)</f>
        <v>0</v>
      </c>
    </row>
    <row r="23" spans="1:42" ht="6" customHeight="1" x14ac:dyDescent="0.25">
      <c r="A23" s="92"/>
      <c r="B23" s="102"/>
      <c r="C23" s="102"/>
      <c r="D23" s="102"/>
      <c r="E23" s="102"/>
      <c r="F23" s="102"/>
      <c r="G23" s="102"/>
      <c r="H23" s="102"/>
      <c r="I23" s="103"/>
      <c r="J23" s="103"/>
      <c r="K23" s="103"/>
      <c r="L23" s="103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5"/>
      <c r="Y23" s="105"/>
      <c r="Z23" s="105"/>
      <c r="AA23" s="105"/>
      <c r="AB23" s="95"/>
      <c r="AC23" s="28"/>
      <c r="AD23" s="4" t="s">
        <v>13</v>
      </c>
      <c r="AE23" s="15">
        <f>AE22*11%</f>
        <v>570.88019999999995</v>
      </c>
      <c r="AF23" s="14">
        <f>IF(I22&gt;AE22,381.4,0)</f>
        <v>0</v>
      </c>
      <c r="AG23" s="4">
        <f>IF(I24&gt;AE22,381.41,0)</f>
        <v>0</v>
      </c>
      <c r="AH23" s="4">
        <f>IF(I38&gt;AE22,381.41,0)</f>
        <v>0</v>
      </c>
    </row>
    <row r="24" spans="1:42" ht="12.75" customHeight="1" x14ac:dyDescent="0.25">
      <c r="A24" s="92"/>
      <c r="B24" s="102" t="str">
        <f>IF(I24&gt;0,"1/3 Férias Proporcionais:","")</f>
        <v/>
      </c>
      <c r="C24" s="102"/>
      <c r="D24" s="102"/>
      <c r="E24" s="102"/>
      <c r="F24" s="102"/>
      <c r="G24" s="102"/>
      <c r="H24" s="102"/>
      <c r="I24" s="594">
        <f>I22/3</f>
        <v>0</v>
      </c>
      <c r="J24" s="594"/>
      <c r="K24" s="594"/>
      <c r="L24" s="594"/>
      <c r="M24" s="102"/>
      <c r="N24" s="102"/>
      <c r="O24" s="102"/>
      <c r="P24" s="102"/>
      <c r="Q24" s="102"/>
      <c r="R24" s="104" t="str">
        <f>IF(X24&gt;0,"Contrib. Confed.:","")</f>
        <v/>
      </c>
      <c r="S24" s="104"/>
      <c r="T24" s="104"/>
      <c r="U24" s="104"/>
      <c r="V24" s="104"/>
      <c r="W24" s="104"/>
      <c r="X24" s="602">
        <f>IF(I18&lt;=3000,I18*config!P6,60)</f>
        <v>0</v>
      </c>
      <c r="Y24" s="602"/>
      <c r="Z24" s="602"/>
      <c r="AA24" s="602"/>
      <c r="AB24" s="95"/>
      <c r="AC24" s="27"/>
      <c r="AD24" s="4" t="s">
        <v>16</v>
      </c>
      <c r="AE24" s="14"/>
      <c r="AF24" s="14">
        <f>IF(I18&lt;=AE22,SUM(AF20:AF22),0)</f>
        <v>0.08</v>
      </c>
      <c r="AG24" s="14">
        <f>IF(I20&lt;=AE22,SUM(AG20:AG22),0)</f>
        <v>0.08</v>
      </c>
      <c r="AH24" s="4">
        <f>IF(I38&lt;=AE22,SUM(AH20:AH22),0)</f>
        <v>0.08</v>
      </c>
    </row>
    <row r="25" spans="1:42" ht="6" customHeight="1" x14ac:dyDescent="0.25">
      <c r="A25" s="92"/>
      <c r="B25" s="102"/>
      <c r="C25" s="102"/>
      <c r="D25" s="102"/>
      <c r="E25" s="102"/>
      <c r="F25" s="102"/>
      <c r="G25" s="102"/>
      <c r="H25" s="102"/>
      <c r="I25" s="103"/>
      <c r="J25" s="103"/>
      <c r="K25" s="103"/>
      <c r="L25" s="103"/>
      <c r="M25" s="102"/>
      <c r="N25" s="102"/>
      <c r="O25" s="102"/>
      <c r="P25" s="121"/>
      <c r="Q25" s="121"/>
      <c r="R25" s="121"/>
      <c r="S25" s="121"/>
      <c r="T25" s="121"/>
      <c r="U25" s="121"/>
      <c r="V25" s="121"/>
      <c r="W25" s="121"/>
      <c r="X25" s="105"/>
      <c r="Y25" s="105"/>
      <c r="Z25" s="105"/>
      <c r="AA25" s="105"/>
      <c r="AB25" s="95"/>
      <c r="AC25" s="28"/>
    </row>
    <row r="26" spans="1:42" ht="12.75" customHeight="1" x14ac:dyDescent="0.25">
      <c r="A26" s="92"/>
      <c r="B26" s="102" t="str">
        <f>IF(I26&gt;0,"Salário família:","")</f>
        <v/>
      </c>
      <c r="C26" s="102"/>
      <c r="D26" s="102"/>
      <c r="E26" s="102"/>
      <c r="F26" s="102"/>
      <c r="G26" s="102"/>
      <c r="H26" s="102"/>
      <c r="I26" s="594">
        <f>SUM(AG46:AG47)</f>
        <v>0</v>
      </c>
      <c r="J26" s="594"/>
      <c r="K26" s="594"/>
      <c r="L26" s="594"/>
      <c r="M26" s="109"/>
      <c r="N26" s="109"/>
      <c r="O26" s="122"/>
      <c r="P26" s="123"/>
      <c r="Q26" s="121"/>
      <c r="R26" s="121" t="str">
        <f>IF(X26&gt;0,"IRPF 13º:","")</f>
        <v/>
      </c>
      <c r="S26" s="121"/>
      <c r="T26" s="121"/>
      <c r="U26" s="121"/>
      <c r="V26" s="121"/>
      <c r="W26" s="121"/>
      <c r="X26" s="597">
        <f>SUM(AI31:AI34)</f>
        <v>0</v>
      </c>
      <c r="Y26" s="597"/>
      <c r="Z26" s="597"/>
      <c r="AA26" s="597"/>
      <c r="AB26" s="102"/>
      <c r="AC26" s="27"/>
      <c r="AD26" s="4" t="s">
        <v>19</v>
      </c>
      <c r="AM26" s="16"/>
      <c r="AP26" s="16"/>
    </row>
    <row r="27" spans="1:42" ht="6" customHeight="1" x14ac:dyDescent="0.25">
      <c r="A27" s="92"/>
      <c r="B27" s="102"/>
      <c r="C27" s="102"/>
      <c r="D27" s="102"/>
      <c r="E27" s="102"/>
      <c r="F27" s="102"/>
      <c r="G27" s="102"/>
      <c r="H27" s="102"/>
      <c r="I27" s="472"/>
      <c r="J27" s="472"/>
      <c r="K27" s="472"/>
      <c r="L27" s="472"/>
      <c r="M27" s="109"/>
      <c r="N27" s="109"/>
      <c r="O27" s="122"/>
      <c r="P27" s="123"/>
      <c r="Q27" s="121"/>
      <c r="R27" s="121"/>
      <c r="S27" s="121"/>
      <c r="T27" s="121"/>
      <c r="U27" s="121"/>
      <c r="V27" s="121"/>
      <c r="W27" s="121"/>
      <c r="X27" s="473"/>
      <c r="Y27" s="473"/>
      <c r="Z27" s="473"/>
      <c r="AA27" s="473"/>
      <c r="AB27" s="102"/>
      <c r="AC27" s="27"/>
      <c r="AM27" s="16"/>
      <c r="AP27" s="16"/>
    </row>
    <row r="28" spans="1:42" ht="12.75" customHeight="1" x14ac:dyDescent="0.25">
      <c r="A28" s="92"/>
      <c r="B28" s="102"/>
      <c r="C28" s="102"/>
      <c r="D28" s="102"/>
      <c r="E28" s="102"/>
      <c r="F28" s="102"/>
      <c r="G28" s="102"/>
      <c r="H28" s="102"/>
      <c r="I28" s="472"/>
      <c r="J28" s="472"/>
      <c r="K28" s="472"/>
      <c r="L28" s="472"/>
      <c r="M28" s="109"/>
      <c r="N28" s="109"/>
      <c r="O28" s="122"/>
      <c r="P28" s="123"/>
      <c r="Q28" s="121"/>
      <c r="R28" s="121" t="str">
        <f>IF(X28=0,"","Adiantamentos")</f>
        <v/>
      </c>
      <c r="S28" s="121"/>
      <c r="T28" s="121"/>
      <c r="U28" s="121"/>
      <c r="V28" s="121"/>
      <c r="W28" s="121"/>
      <c r="X28" s="602">
        <f>masc_termino!S18</f>
        <v>0</v>
      </c>
      <c r="Y28" s="602"/>
      <c r="Z28" s="602"/>
      <c r="AA28" s="602"/>
      <c r="AB28" s="102"/>
      <c r="AC28" s="27"/>
      <c r="AM28" s="16"/>
      <c r="AP28" s="16"/>
    </row>
    <row r="29" spans="1:42" ht="6" customHeight="1" x14ac:dyDescent="0.25">
      <c r="A29" s="92"/>
      <c r="B29" s="102"/>
      <c r="C29" s="102"/>
      <c r="D29" s="102"/>
      <c r="E29" s="102"/>
      <c r="F29" s="102"/>
      <c r="G29" s="102"/>
      <c r="H29" s="102"/>
      <c r="I29" s="103"/>
      <c r="J29" s="103"/>
      <c r="K29" s="103"/>
      <c r="L29" s="103"/>
      <c r="M29" s="102"/>
      <c r="N29" s="102"/>
      <c r="O29" s="102"/>
      <c r="P29" s="121"/>
      <c r="Q29" s="121"/>
      <c r="R29" s="121"/>
      <c r="S29" s="121"/>
      <c r="T29" s="121"/>
      <c r="U29" s="121"/>
      <c r="V29" s="121"/>
      <c r="W29" s="121"/>
      <c r="X29" s="105"/>
      <c r="Y29" s="105"/>
      <c r="Z29" s="105"/>
      <c r="AA29" s="105"/>
      <c r="AB29" s="95"/>
      <c r="AC29" s="28"/>
      <c r="AE29" s="4" t="s">
        <v>22</v>
      </c>
      <c r="AF29" s="4" t="s">
        <v>20</v>
      </c>
      <c r="AG29" s="4" t="s">
        <v>21</v>
      </c>
      <c r="AH29" s="16" t="s">
        <v>28</v>
      </c>
      <c r="AI29" s="16" t="s">
        <v>29</v>
      </c>
      <c r="AL29" s="18"/>
      <c r="AO29" s="16"/>
    </row>
    <row r="30" spans="1:42" ht="17.25" customHeight="1" x14ac:dyDescent="0.25">
      <c r="A30" s="92"/>
      <c r="M30" s="109"/>
      <c r="N30" s="109"/>
      <c r="O30" s="109"/>
      <c r="P30" s="109"/>
      <c r="Q30" s="121"/>
      <c r="R30" s="121" t="str">
        <f>IF(X30&gt;0,"IRPF Salário:","")</f>
        <v/>
      </c>
      <c r="S30" s="121"/>
      <c r="T30" s="121"/>
      <c r="U30" s="121"/>
      <c r="V30" s="121"/>
      <c r="W30" s="121"/>
      <c r="X30" s="597">
        <f>SUM(AH31:AH34)</f>
        <v>0</v>
      </c>
      <c r="Y30" s="597"/>
      <c r="Z30" s="597"/>
      <c r="AA30" s="597"/>
      <c r="AB30" s="102"/>
      <c r="AC30" s="27"/>
      <c r="AD30" s="17">
        <f>config!F60</f>
        <v>1903.98</v>
      </c>
      <c r="AE30" s="17">
        <f>AD30</f>
        <v>1903.98</v>
      </c>
      <c r="AF30" s="4">
        <f>config!M60</f>
        <v>0</v>
      </c>
      <c r="AG30" s="16">
        <f>config!P60</f>
        <v>0</v>
      </c>
      <c r="AH30" s="16"/>
      <c r="AK30" s="17"/>
      <c r="AL30" s="17"/>
      <c r="AM30" s="18"/>
      <c r="AO30" s="17"/>
      <c r="AP30" s="18"/>
    </row>
    <row r="31" spans="1:42" ht="6" customHeight="1" x14ac:dyDescent="0.25">
      <c r="A31" s="92"/>
      <c r="B31" s="102"/>
      <c r="C31" s="102"/>
      <c r="D31" s="102"/>
      <c r="E31" s="102"/>
      <c r="F31" s="102"/>
      <c r="G31" s="102"/>
      <c r="H31" s="102"/>
      <c r="I31" s="103"/>
      <c r="J31" s="103"/>
      <c r="K31" s="103"/>
      <c r="L31" s="103"/>
      <c r="M31" s="102"/>
      <c r="N31" s="102"/>
      <c r="O31" s="102"/>
      <c r="P31" s="121"/>
      <c r="Q31" s="121"/>
      <c r="R31" s="121"/>
      <c r="S31" s="121"/>
      <c r="T31" s="121"/>
      <c r="U31" s="121"/>
      <c r="V31" s="121"/>
      <c r="W31" s="121"/>
      <c r="X31" s="105"/>
      <c r="Y31" s="105"/>
      <c r="Z31" s="105"/>
      <c r="AA31" s="105"/>
      <c r="AB31" s="95"/>
      <c r="AC31" s="28"/>
      <c r="AD31" s="17">
        <f>config!J61</f>
        <v>2826.65</v>
      </c>
      <c r="AE31" s="17">
        <f>AD31</f>
        <v>2826.65</v>
      </c>
      <c r="AF31" s="19">
        <f>config!M61</f>
        <v>7.4999999999999997E-2</v>
      </c>
      <c r="AG31" s="20">
        <f>config!P61</f>
        <v>142.80000000000001</v>
      </c>
      <c r="AH31" s="18">
        <f>IF($AE$36&gt;$AD30,IF($AE$36&lt;=$AE31,($AE$36*$AF31)-$AG31,0),0)</f>
        <v>0</v>
      </c>
      <c r="AI31" s="18">
        <f>IF($AE$37&gt;$AD30,IF($AE$37&lt;=$AE31,($AE$37*$AF31)-$AG31,0),0)</f>
        <v>0</v>
      </c>
      <c r="AK31" s="17"/>
      <c r="AL31" s="18"/>
      <c r="AN31" s="17"/>
      <c r="AO31" s="18"/>
    </row>
    <row r="32" spans="1:42" ht="15" customHeight="1" x14ac:dyDescent="0.25">
      <c r="A32" s="92"/>
      <c r="B32" s="114" t="s">
        <v>47</v>
      </c>
      <c r="C32" s="115"/>
      <c r="D32" s="115"/>
      <c r="E32" s="115"/>
      <c r="F32" s="115"/>
      <c r="G32" s="115"/>
      <c r="H32" s="598">
        <f>SUM(I18:L29)</f>
        <v>0</v>
      </c>
      <c r="I32" s="598"/>
      <c r="J32" s="598"/>
      <c r="K32" s="598"/>
      <c r="L32" s="599"/>
      <c r="M32" s="109"/>
      <c r="N32" s="109"/>
      <c r="O32" s="109"/>
      <c r="P32" s="124"/>
      <c r="Q32" s="125"/>
      <c r="R32" s="612" t="s">
        <v>1</v>
      </c>
      <c r="S32" s="613"/>
      <c r="T32" s="613"/>
      <c r="U32" s="613"/>
      <c r="V32" s="613"/>
      <c r="W32" s="614">
        <f>SUM(X20:AA30)</f>
        <v>0</v>
      </c>
      <c r="X32" s="615"/>
      <c r="Y32" s="615"/>
      <c r="Z32" s="615"/>
      <c r="AA32" s="616"/>
      <c r="AB32" s="95"/>
      <c r="AC32" s="28"/>
      <c r="AD32" s="17">
        <f>config!J62</f>
        <v>3751.05</v>
      </c>
      <c r="AE32" s="17">
        <f>AD32</f>
        <v>3751.05</v>
      </c>
      <c r="AF32" s="21">
        <f>config!M62</f>
        <v>0.15</v>
      </c>
      <c r="AG32" s="20">
        <f>config!P62</f>
        <v>354.8</v>
      </c>
      <c r="AH32" s="18">
        <f>IF(AE36&gt;AE31,IF(AE36&lt;=AE32,(AE36*AF32)-AG32,0),0)</f>
        <v>0</v>
      </c>
      <c r="AI32" s="18">
        <f>IF($AE$37&gt;$AD31,IF($AE$37&lt;=$AE32,($AE$37*$AF32)-$AG32,0),0)</f>
        <v>0</v>
      </c>
      <c r="AK32" s="17"/>
      <c r="AL32" s="17"/>
      <c r="AM32" s="18"/>
      <c r="AO32" s="17"/>
      <c r="AP32" s="18"/>
    </row>
    <row r="33" spans="1:41" ht="23.25" customHeight="1" thickBot="1" x14ac:dyDescent="0.3">
      <c r="A33" s="92"/>
      <c r="B33" s="110"/>
      <c r="C33" s="110"/>
      <c r="D33" s="110"/>
      <c r="E33" s="110"/>
      <c r="F33" s="110"/>
      <c r="G33" s="110"/>
      <c r="H33" s="110"/>
      <c r="I33" s="103"/>
      <c r="J33" s="103"/>
      <c r="K33" s="103"/>
      <c r="L33" s="103"/>
      <c r="M33" s="109"/>
      <c r="N33" s="109"/>
      <c r="O33" s="109"/>
      <c r="P33" s="124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95"/>
      <c r="AC33" s="28"/>
      <c r="AD33" s="17">
        <f>config!J63</f>
        <v>4664.68</v>
      </c>
      <c r="AE33" s="17">
        <f>AD33</f>
        <v>4664.68</v>
      </c>
      <c r="AF33" s="19">
        <f>config!M63</f>
        <v>0.22500000000000001</v>
      </c>
      <c r="AG33" s="20">
        <f>config!P63</f>
        <v>636.13</v>
      </c>
      <c r="AH33" s="18">
        <f>IF($AE$36&gt;$AD32,IF($AE$36&lt;=$AE33,($AE$36*$AF33)-$AG33,0),0)</f>
        <v>0</v>
      </c>
      <c r="AI33" s="18">
        <f>IF($AE$37&gt;$AD32,IF($AE$37&lt;=$AE33,($AE$37*$AF33)-$AG33,0),0)</f>
        <v>0</v>
      </c>
      <c r="AK33" s="17"/>
      <c r="AL33" s="18"/>
      <c r="AN33" s="17"/>
      <c r="AO33" s="18"/>
    </row>
    <row r="34" spans="1:41" ht="21.75" customHeight="1" thickBot="1" x14ac:dyDescent="0.3">
      <c r="A34" s="92"/>
      <c r="B34" s="110"/>
      <c r="C34" s="110"/>
      <c r="D34" s="110"/>
      <c r="E34" s="110"/>
      <c r="F34" s="110"/>
      <c r="G34" s="110"/>
      <c r="H34" s="117" t="s">
        <v>46</v>
      </c>
      <c r="I34" s="118"/>
      <c r="J34" s="118"/>
      <c r="K34" s="118"/>
      <c r="L34" s="118"/>
      <c r="M34" s="118"/>
      <c r="N34" s="605">
        <f>IF(H32&gt;W32,H32-W32,0)</f>
        <v>0</v>
      </c>
      <c r="O34" s="605"/>
      <c r="P34" s="605"/>
      <c r="Q34" s="606"/>
      <c r="AB34" s="108"/>
      <c r="AC34" s="28"/>
      <c r="AD34" s="4" t="s">
        <v>23</v>
      </c>
      <c r="AE34" s="19"/>
      <c r="AF34" s="19">
        <f>config!M64</f>
        <v>0.27500000000000002</v>
      </c>
      <c r="AG34" s="20">
        <f>config!P64</f>
        <v>869.36</v>
      </c>
      <c r="AH34" s="18">
        <f>IF($AE36&gt;$AE33,($AE36*$AF34)-$AG34,0)</f>
        <v>0</v>
      </c>
      <c r="AI34" s="17">
        <f>IF(AE37&gt;AE33,(AE37*AF34)-AG34,0)</f>
        <v>0</v>
      </c>
      <c r="AK34" s="17"/>
    </row>
    <row r="35" spans="1:41" ht="6" customHeight="1" thickBot="1" x14ac:dyDescent="0.3">
      <c r="A35" s="92"/>
      <c r="B35" s="110"/>
      <c r="C35" s="110"/>
      <c r="D35" s="110"/>
      <c r="E35" s="110"/>
      <c r="F35" s="110"/>
      <c r="G35" s="110" t="s">
        <v>211</v>
      </c>
      <c r="H35" s="399"/>
      <c r="I35" s="399"/>
      <c r="J35" s="399"/>
      <c r="K35" s="399"/>
      <c r="L35" s="399"/>
      <c r="M35" s="399"/>
      <c r="N35" s="400"/>
      <c r="O35" s="400"/>
      <c r="P35" s="400"/>
      <c r="Q35" s="400"/>
      <c r="AB35" s="108"/>
      <c r="AC35" s="28"/>
      <c r="AD35" s="4" t="s">
        <v>27</v>
      </c>
      <c r="AE35" s="17">
        <f>config!K66</f>
        <v>189.59</v>
      </c>
      <c r="AF35" s="22">
        <f>AE35*X14</f>
        <v>0</v>
      </c>
    </row>
    <row r="36" spans="1:41" ht="23.25" customHeight="1" thickBot="1" x14ac:dyDescent="0.3">
      <c r="A36" s="92"/>
      <c r="B36" s="110"/>
      <c r="C36" s="110"/>
      <c r="D36" s="110"/>
      <c r="E36" s="110"/>
      <c r="F36" s="110"/>
      <c r="G36" s="110"/>
      <c r="H36" s="117" t="s">
        <v>210</v>
      </c>
      <c r="I36" s="118"/>
      <c r="J36" s="118"/>
      <c r="K36" s="118"/>
      <c r="L36" s="118"/>
      <c r="M36" s="118"/>
      <c r="N36" s="600">
        <f>((U10/30)*masc_termino!N12)*8%</f>
        <v>0</v>
      </c>
      <c r="O36" s="600"/>
      <c r="P36" s="600"/>
      <c r="Q36" s="601"/>
      <c r="AB36" s="108"/>
      <c r="AC36" s="28"/>
      <c r="AD36" s="4" t="s">
        <v>25</v>
      </c>
      <c r="AE36" s="23">
        <f>I18-X20-AF35</f>
        <v>0</v>
      </c>
    </row>
    <row r="37" spans="1:41" ht="6" customHeight="1" x14ac:dyDescent="0.25">
      <c r="A37" s="92"/>
      <c r="B37" s="110"/>
      <c r="C37" s="110"/>
      <c r="D37" s="110"/>
      <c r="E37" s="110"/>
      <c r="F37" s="110"/>
      <c r="G37" s="110"/>
      <c r="H37" s="110"/>
      <c r="I37" s="111"/>
      <c r="J37" s="112"/>
      <c r="K37" s="112"/>
      <c r="L37" s="112"/>
      <c r="M37" s="110"/>
      <c r="N37" s="110"/>
      <c r="O37" s="110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08"/>
      <c r="AC37" s="28"/>
      <c r="AD37" s="4" t="s">
        <v>26</v>
      </c>
      <c r="AE37" s="24">
        <f>(I20+I38)-X22-AF35</f>
        <v>0</v>
      </c>
    </row>
    <row r="38" spans="1:41" ht="12.75" customHeight="1" x14ac:dyDescent="0.25">
      <c r="A38" s="92"/>
      <c r="B38" s="110"/>
      <c r="C38" s="110"/>
      <c r="D38" s="110"/>
      <c r="E38" s="110"/>
      <c r="F38" s="110"/>
      <c r="G38" s="110"/>
      <c r="H38" s="110"/>
      <c r="I38" s="594"/>
      <c r="J38" s="594"/>
      <c r="K38" s="594"/>
      <c r="L38" s="594"/>
      <c r="M38" s="110"/>
      <c r="N38" s="110"/>
      <c r="O38" s="110"/>
      <c r="P38" s="125"/>
      <c r="Q38" s="124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8"/>
      <c r="AC38" s="28"/>
    </row>
    <row r="39" spans="1:41" ht="6" customHeight="1" x14ac:dyDescent="0.25">
      <c r="A39" s="109"/>
      <c r="B39" s="607" t="str">
        <f>config!E110</f>
        <v>Obs. Cálculo baseado nas informações digitadas pelo usuário do site, podendo haver diferenças.</v>
      </c>
      <c r="C39" s="607"/>
      <c r="D39" s="607"/>
      <c r="E39" s="607"/>
      <c r="F39" s="607"/>
      <c r="G39" s="607"/>
      <c r="H39" s="607"/>
      <c r="I39" s="607"/>
      <c r="J39" s="607"/>
      <c r="K39" s="607"/>
      <c r="L39" s="607"/>
      <c r="M39" s="607"/>
      <c r="N39" s="607"/>
      <c r="O39" s="607"/>
      <c r="P39" s="607"/>
      <c r="Q39" s="607"/>
      <c r="R39" s="607"/>
      <c r="S39" s="607"/>
      <c r="T39" s="607"/>
      <c r="U39" s="607"/>
      <c r="V39" s="607"/>
      <c r="W39" s="607"/>
      <c r="X39" s="607"/>
      <c r="Y39" s="607"/>
      <c r="Z39" s="607"/>
      <c r="AA39" s="607"/>
      <c r="AB39" s="108"/>
      <c r="AC39" s="28"/>
    </row>
    <row r="40" spans="1:41" ht="12.75" customHeight="1" x14ac:dyDescent="0.25">
      <c r="A40" s="109"/>
      <c r="B40" s="607"/>
      <c r="C40" s="607"/>
      <c r="D40" s="607"/>
      <c r="E40" s="607"/>
      <c r="F40" s="607"/>
      <c r="G40" s="607"/>
      <c r="H40" s="607"/>
      <c r="I40" s="607"/>
      <c r="J40" s="607"/>
      <c r="K40" s="607"/>
      <c r="L40" s="607"/>
      <c r="M40" s="607"/>
      <c r="N40" s="607"/>
      <c r="O40" s="607"/>
      <c r="P40" s="607"/>
      <c r="Q40" s="607"/>
      <c r="R40" s="607"/>
      <c r="S40" s="607"/>
      <c r="T40" s="607"/>
      <c r="U40" s="607"/>
      <c r="V40" s="607"/>
      <c r="W40" s="607"/>
      <c r="X40" s="607"/>
      <c r="Y40" s="607"/>
      <c r="Z40" s="607"/>
      <c r="AA40" s="607"/>
      <c r="AB40" s="108"/>
      <c r="AC40" s="28"/>
      <c r="AD40" s="4" t="s">
        <v>38</v>
      </c>
      <c r="AE40" s="4" t="s">
        <v>35</v>
      </c>
    </row>
    <row r="41" spans="1:41" ht="6" customHeight="1" x14ac:dyDescent="0.25">
      <c r="A41" s="109"/>
      <c r="B41" s="607"/>
      <c r="C41" s="607"/>
      <c r="D41" s="607"/>
      <c r="E41" s="607"/>
      <c r="F41" s="607"/>
      <c r="G41" s="607"/>
      <c r="H41" s="607"/>
      <c r="I41" s="607"/>
      <c r="J41" s="607"/>
      <c r="K41" s="607"/>
      <c r="L41" s="607"/>
      <c r="M41" s="607"/>
      <c r="N41" s="607"/>
      <c r="O41" s="607"/>
      <c r="P41" s="607"/>
      <c r="Q41" s="607"/>
      <c r="R41" s="607"/>
      <c r="S41" s="607"/>
      <c r="T41" s="607"/>
      <c r="U41" s="607"/>
      <c r="V41" s="607"/>
      <c r="W41" s="607"/>
      <c r="X41" s="607"/>
      <c r="Y41" s="607"/>
      <c r="Z41" s="607"/>
      <c r="AA41" s="607"/>
      <c r="AB41" s="108"/>
      <c r="AC41" s="28"/>
      <c r="AD41" s="4" t="s">
        <v>30</v>
      </c>
      <c r="AE41" s="4" t="s">
        <v>87</v>
      </c>
    </row>
    <row r="42" spans="1:41" ht="16.5" customHeight="1" x14ac:dyDescent="0.25">
      <c r="A42" s="109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95"/>
      <c r="AC42" s="27"/>
      <c r="AD42" s="4" t="s">
        <v>31</v>
      </c>
      <c r="AE42" s="4" t="s">
        <v>88</v>
      </c>
    </row>
    <row r="43" spans="1:41" ht="6" customHeight="1" x14ac:dyDescent="0.25">
      <c r="A43" s="109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95"/>
      <c r="AC43" s="33"/>
    </row>
    <row r="44" spans="1:41" ht="9" customHeight="1" x14ac:dyDescent="0.25">
      <c r="A44" s="109"/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95"/>
      <c r="AC44" s="33"/>
      <c r="AD44" s="596" t="s">
        <v>41</v>
      </c>
      <c r="AE44" s="596" t="s">
        <v>40</v>
      </c>
    </row>
    <row r="45" spans="1:41" ht="15" customHeight="1" x14ac:dyDescent="0.25">
      <c r="A45" s="109"/>
      <c r="B45" s="110"/>
      <c r="C45" s="110"/>
      <c r="D45" s="110"/>
      <c r="E45" s="110"/>
      <c r="F45" s="110"/>
      <c r="G45" s="110"/>
      <c r="H45" s="110"/>
      <c r="I45" s="126"/>
      <c r="J45" s="126"/>
      <c r="K45" s="126"/>
      <c r="L45" s="126"/>
      <c r="M45" s="110"/>
      <c r="N45" s="110"/>
      <c r="O45" s="110"/>
      <c r="P45" s="125"/>
      <c r="Q45" s="125"/>
      <c r="R45" s="125"/>
      <c r="S45" s="125"/>
      <c r="T45" s="125"/>
      <c r="U45" s="125"/>
      <c r="V45" s="125"/>
      <c r="W45" s="125"/>
      <c r="X45" s="125"/>
      <c r="Y45" s="125"/>
      <c r="Z45" s="125"/>
      <c r="AA45" s="125"/>
      <c r="AB45" s="95"/>
      <c r="AC45" s="41"/>
      <c r="AD45" s="596"/>
      <c r="AE45" s="596"/>
      <c r="AF45" s="4" t="s">
        <v>44</v>
      </c>
      <c r="AG45" s="4" t="s">
        <v>45</v>
      </c>
    </row>
    <row r="46" spans="1:41" ht="23.25" customHeight="1" x14ac:dyDescent="0.25">
      <c r="A46" s="109"/>
      <c r="B46" s="10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27"/>
      <c r="N46" s="108"/>
      <c r="O46" s="108"/>
      <c r="P46" s="108"/>
      <c r="Q46" s="108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16"/>
      <c r="AC46" s="38"/>
      <c r="AD46" s="25">
        <f>config!F90</f>
        <v>806.8</v>
      </c>
      <c r="AE46" s="26">
        <f>config!I90</f>
        <v>41.37</v>
      </c>
      <c r="AF46" s="4">
        <f>IF(U10&lt;=AD46,Z14*AE46,0)</f>
        <v>0</v>
      </c>
      <c r="AG46" s="16">
        <f>(AF46/30)*F18</f>
        <v>0</v>
      </c>
    </row>
    <row r="47" spans="1:41" ht="16.5" customHeight="1" x14ac:dyDescent="0.25">
      <c r="A47" s="119" t="str">
        <f>config!P104</f>
        <v>www.sincomerciarios.org.br</v>
      </c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68" t="str">
        <f>config!G105</f>
        <v>itapeva@sincomerciarios.org.br</v>
      </c>
      <c r="AB47" s="116"/>
      <c r="AC47" s="38"/>
      <c r="AD47" s="25">
        <f>config!F91</f>
        <v>1212.6400000000001</v>
      </c>
      <c r="AE47" s="26">
        <f>config!I91</f>
        <v>29.16</v>
      </c>
      <c r="AF47" s="4">
        <f>IF(U10&gt;AD46,IF(U10&lt;=AD47,Z14*AE47,0),0)</f>
        <v>0</v>
      </c>
      <c r="AG47" s="16">
        <f>(AF47/30)*F18</f>
        <v>0</v>
      </c>
    </row>
    <row r="48" spans="1:41" ht="15" hidden="1" x14ac:dyDescent="0.25">
      <c r="A48" s="38"/>
      <c r="B48" s="603"/>
      <c r="C48" s="603"/>
      <c r="D48" s="603"/>
      <c r="E48" s="603"/>
      <c r="F48" s="603"/>
      <c r="G48" s="603"/>
      <c r="H48" s="603"/>
      <c r="I48" s="603"/>
      <c r="J48" s="603"/>
      <c r="K48" s="603"/>
      <c r="L48" s="603"/>
      <c r="M48" s="603"/>
      <c r="N48" s="603"/>
      <c r="O48" s="603"/>
      <c r="P48" s="603"/>
      <c r="Q48" s="39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25"/>
      <c r="AE48" s="25"/>
    </row>
    <row r="49" spans="1:29" ht="15" hidden="1" x14ac:dyDescent="0.25">
      <c r="A49" s="38"/>
      <c r="B49" s="603"/>
      <c r="C49" s="603"/>
      <c r="D49" s="603"/>
      <c r="E49" s="603"/>
      <c r="F49" s="603"/>
      <c r="G49" s="603"/>
      <c r="H49" s="603"/>
      <c r="I49" s="603"/>
      <c r="J49" s="603"/>
      <c r="K49" s="603"/>
      <c r="L49" s="603"/>
      <c r="M49" s="603"/>
      <c r="N49" s="603"/>
      <c r="O49" s="603"/>
      <c r="P49" s="603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8"/>
      <c r="AC49" s="38"/>
    </row>
    <row r="50" spans="1:29" hidden="1" x14ac:dyDescent="0.25"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</row>
    <row r="51" spans="1:29" hidden="1" x14ac:dyDescent="0.25"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</row>
    <row r="52" spans="1:29" hidden="1" x14ac:dyDescent="0.25"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</row>
    <row r="53" spans="1:29" ht="15" hidden="1" x14ac:dyDescent="0.25">
      <c r="A53" s="38"/>
      <c r="B53" s="38"/>
      <c r="C53" s="38"/>
      <c r="D53" s="38"/>
      <c r="E53" s="38"/>
      <c r="F53" s="38"/>
      <c r="G53" s="38"/>
      <c r="H53" s="40"/>
      <c r="I53" s="40"/>
      <c r="J53" s="40"/>
      <c r="K53" s="40"/>
      <c r="L53" s="40"/>
      <c r="M53" s="40"/>
      <c r="N53" s="40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</row>
    <row r="54" spans="1:29" hidden="1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</row>
    <row r="55" spans="1:29" hidden="1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</row>
    <row r="56" spans="1:29" hidden="1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</row>
    <row r="57" spans="1:29" hidden="1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</row>
    <row r="58" spans="1:29" hidden="1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</row>
    <row r="59" spans="1:29" hidden="1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</row>
    <row r="60" spans="1:29" hidden="1" x14ac:dyDescent="0.25"/>
  </sheetData>
  <sheetProtection password="C47D" sheet="1" objects="1" scenarios="1" selectLockedCells="1" selectUnlockedCells="1"/>
  <mergeCells count="37">
    <mergeCell ref="B48:P49"/>
    <mergeCell ref="B8:AA8"/>
    <mergeCell ref="I38:L38"/>
    <mergeCell ref="N34:Q34"/>
    <mergeCell ref="B39:AA41"/>
    <mergeCell ref="E20:F20"/>
    <mergeCell ref="I20:L20"/>
    <mergeCell ref="M20:N20"/>
    <mergeCell ref="X20:AA20"/>
    <mergeCell ref="B14:L14"/>
    <mergeCell ref="I22:L22"/>
    <mergeCell ref="X22:AA22"/>
    <mergeCell ref="I24:L24"/>
    <mergeCell ref="X24:AA24"/>
    <mergeCell ref="R32:V32"/>
    <mergeCell ref="W32:AA32"/>
    <mergeCell ref="F18:G18"/>
    <mergeCell ref="I18:L18"/>
    <mergeCell ref="R18:AA18"/>
    <mergeCell ref="AE44:AE45"/>
    <mergeCell ref="I26:L26"/>
    <mergeCell ref="X26:AA26"/>
    <mergeCell ref="H32:L32"/>
    <mergeCell ref="X30:AA30"/>
    <mergeCell ref="AD44:AD45"/>
    <mergeCell ref="N36:Q36"/>
    <mergeCell ref="X28:AA28"/>
    <mergeCell ref="S11:AA11"/>
    <mergeCell ref="U10:Z10"/>
    <mergeCell ref="M14:N14"/>
    <mergeCell ref="P14:Y14"/>
    <mergeCell ref="Z14:AA14"/>
    <mergeCell ref="G3:AA3"/>
    <mergeCell ref="B5:AA5"/>
    <mergeCell ref="B6:AA6"/>
    <mergeCell ref="E10:I10"/>
    <mergeCell ref="M10:P10"/>
  </mergeCells>
  <conditionalFormatting sqref="I26:L28 I19:L19 I33:L33 I37:L38">
    <cfRule type="cellIs" dxfId="12" priority="4" stopIfTrue="1" operator="notEqual">
      <formula>0</formula>
    </cfRule>
  </conditionalFormatting>
  <conditionalFormatting sqref="M20:N20">
    <cfRule type="cellIs" dxfId="11" priority="3" stopIfTrue="1" operator="notEqual">
      <formula>0</formula>
    </cfRule>
  </conditionalFormatting>
  <conditionalFormatting sqref="X37:AA37 I18:L29 X33:AA33 I31:L31 X20:AA31">
    <cfRule type="cellIs" dxfId="10" priority="2" stopIfTrue="1" operator="notEqual">
      <formula>0</formula>
    </cfRule>
  </conditionalFormatting>
  <conditionalFormatting sqref="E20:F20">
    <cfRule type="cellIs" dxfId="9" priority="1" stopIfTrue="1" operator="notEqual">
      <formula>0</formula>
    </cfRule>
  </conditionalFormatting>
  <pageMargins left="0.3" right="0.51181102362204722" top="0.78740157480314965" bottom="0.78740157480314965" header="0.31496062992125984" footer="0.31496062992125984"/>
  <pageSetup paperSize="9" scale="98" orientation="portrait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pageSetUpPr fitToPage="1"/>
  </sheetPr>
  <dimension ref="A1:W24"/>
  <sheetViews>
    <sheetView showGridLines="0" workbookViewId="0">
      <selection activeCell="M6" sqref="M6:S6"/>
    </sheetView>
  </sheetViews>
  <sheetFormatPr defaultColWidth="0" defaultRowHeight="18.75" customHeight="1" zeroHeight="1" x14ac:dyDescent="0.25"/>
  <cols>
    <col min="1" max="14" width="5" style="2" customWidth="1"/>
    <col min="15" max="15" width="3" style="2" customWidth="1"/>
    <col min="16" max="16" width="3.140625" style="2" customWidth="1"/>
    <col min="17" max="17" width="5" style="2" customWidth="1"/>
    <col min="18" max="18" width="9.7109375" style="2" customWidth="1"/>
    <col min="19" max="19" width="22.85546875" style="2" customWidth="1"/>
    <col min="20" max="20" width="8.5703125" style="2" customWidth="1"/>
    <col min="21" max="21" width="37.5703125" style="2" hidden="1" customWidth="1"/>
    <col min="22" max="22" width="10.42578125" style="2" hidden="1" customWidth="1"/>
    <col min="23" max="23" width="48.85546875" style="2" hidden="1" customWidth="1"/>
    <col min="24" max="16384" width="9.140625" style="2" hidden="1"/>
  </cols>
  <sheetData>
    <row r="1" spans="1:23" x14ac:dyDescent="0.2">
      <c r="A1" s="80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622" t="s">
        <v>136</v>
      </c>
      <c r="O1" s="622"/>
      <c r="P1" s="622"/>
      <c r="Q1" s="622"/>
      <c r="R1" s="622"/>
      <c r="S1" s="622"/>
      <c r="T1" s="80"/>
      <c r="V1" s="1"/>
      <c r="W1" s="1"/>
    </row>
    <row r="2" spans="1:23" x14ac:dyDescent="0.2">
      <c r="A2" s="80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622"/>
      <c r="O2" s="622"/>
      <c r="P2" s="622"/>
      <c r="Q2" s="622"/>
      <c r="R2" s="622"/>
      <c r="S2" s="622"/>
      <c r="T2" s="80"/>
      <c r="V2" s="1"/>
      <c r="W2" s="1" t="s">
        <v>148</v>
      </c>
    </row>
    <row r="3" spans="1:23" ht="26.25" x14ac:dyDescent="0.25">
      <c r="A3" s="80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623" t="str">
        <f>config!I101</f>
        <v>SINCOMERCIÁRIOS</v>
      </c>
      <c r="O3" s="623"/>
      <c r="P3" s="623"/>
      <c r="Q3" s="623"/>
      <c r="R3" s="623"/>
      <c r="S3" s="623"/>
      <c r="T3" s="80"/>
      <c r="V3" s="1"/>
      <c r="W3" s="1" t="s">
        <v>149</v>
      </c>
    </row>
    <row r="4" spans="1:23" ht="4.5" customHeight="1" x14ac:dyDescent="0.25">
      <c r="A4" s="80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0"/>
    </row>
    <row r="5" spans="1:23" ht="9" customHeight="1" x14ac:dyDescent="0.25">
      <c r="A5" s="618"/>
      <c r="B5" s="618"/>
      <c r="C5" s="618"/>
      <c r="D5" s="618"/>
      <c r="E5" s="618"/>
      <c r="F5" s="618"/>
      <c r="G5" s="618"/>
      <c r="H5" s="618"/>
      <c r="I5" s="618"/>
      <c r="J5" s="618"/>
      <c r="K5" s="618"/>
      <c r="L5" s="618"/>
      <c r="M5" s="618"/>
      <c r="N5" s="618"/>
      <c r="O5" s="618"/>
      <c r="P5" s="618"/>
      <c r="Q5" s="618"/>
      <c r="R5" s="618"/>
      <c r="S5" s="618"/>
      <c r="T5" s="618"/>
    </row>
    <row r="6" spans="1:23" x14ac:dyDescent="0.25">
      <c r="A6" s="80"/>
      <c r="B6" s="621" t="s">
        <v>92</v>
      </c>
      <c r="C6" s="621"/>
      <c r="D6" s="621"/>
      <c r="E6" s="621"/>
      <c r="F6" s="621"/>
      <c r="G6" s="621"/>
      <c r="H6" s="621"/>
      <c r="I6" s="621"/>
      <c r="J6" s="621"/>
      <c r="K6" s="621"/>
      <c r="L6" s="621"/>
      <c r="M6" s="575"/>
      <c r="N6" s="575"/>
      <c r="O6" s="575"/>
      <c r="P6" s="575"/>
      <c r="Q6" s="575"/>
      <c r="R6" s="575"/>
      <c r="S6" s="575"/>
      <c r="T6" s="80"/>
    </row>
    <row r="7" spans="1:23" ht="7.5" customHeight="1" x14ac:dyDescent="0.25">
      <c r="A7" s="618"/>
      <c r="B7" s="618"/>
      <c r="C7" s="618"/>
      <c r="D7" s="618"/>
      <c r="E7" s="618"/>
      <c r="F7" s="618"/>
      <c r="G7" s="618"/>
      <c r="H7" s="618"/>
      <c r="I7" s="618"/>
      <c r="J7" s="618"/>
      <c r="K7" s="618"/>
      <c r="L7" s="618"/>
      <c r="M7" s="618"/>
      <c r="N7" s="618"/>
      <c r="O7" s="618"/>
      <c r="P7" s="618"/>
      <c r="Q7" s="618"/>
      <c r="R7" s="618"/>
      <c r="S7" s="618"/>
      <c r="T7" s="618"/>
    </row>
    <row r="8" spans="1:23" ht="21.75" customHeight="1" x14ac:dyDescent="0.25">
      <c r="A8" s="80"/>
      <c r="B8" s="80"/>
      <c r="C8" s="80"/>
      <c r="D8" s="80"/>
      <c r="E8" s="80"/>
      <c r="F8" s="80"/>
      <c r="G8" s="80"/>
      <c r="H8" s="80"/>
      <c r="I8" s="621" t="s">
        <v>2</v>
      </c>
      <c r="J8" s="621"/>
      <c r="K8" s="621"/>
      <c r="L8" s="573"/>
      <c r="M8" s="573"/>
      <c r="N8" s="573"/>
      <c r="O8" s="84" t="s">
        <v>53</v>
      </c>
      <c r="P8" s="85"/>
      <c r="Q8" s="85"/>
      <c r="R8" s="85"/>
      <c r="S8" s="85"/>
      <c r="T8" s="85"/>
    </row>
    <row r="9" spans="1:23" ht="7.5" customHeight="1" x14ac:dyDescent="0.25">
      <c r="A9" s="618"/>
      <c r="B9" s="618"/>
      <c r="C9" s="618"/>
      <c r="D9" s="618"/>
      <c r="E9" s="618"/>
      <c r="F9" s="618"/>
      <c r="G9" s="618"/>
      <c r="H9" s="618"/>
      <c r="I9" s="618"/>
      <c r="J9" s="618"/>
      <c r="K9" s="618"/>
      <c r="L9" s="618"/>
      <c r="M9" s="618"/>
      <c r="N9" s="618"/>
      <c r="O9" s="618"/>
      <c r="P9" s="618"/>
      <c r="Q9" s="618"/>
      <c r="R9" s="618"/>
      <c r="S9" s="618"/>
      <c r="T9" s="618"/>
    </row>
    <row r="10" spans="1:23" ht="21.75" customHeight="1" x14ac:dyDescent="0.25">
      <c r="A10" s="80"/>
      <c r="B10" s="80"/>
      <c r="C10" s="80"/>
      <c r="D10" s="80"/>
      <c r="E10" s="80"/>
      <c r="F10" s="80"/>
      <c r="G10" s="80"/>
      <c r="H10" s="80"/>
      <c r="I10" s="80"/>
      <c r="J10" s="621" t="s">
        <v>3</v>
      </c>
      <c r="K10" s="621"/>
      <c r="L10" s="573"/>
      <c r="M10" s="573"/>
      <c r="N10" s="573"/>
      <c r="O10" s="86" t="s">
        <v>48</v>
      </c>
      <c r="P10" s="80"/>
      <c r="Q10" s="80"/>
      <c r="R10" s="80"/>
      <c r="S10" s="80"/>
      <c r="T10" s="80"/>
    </row>
    <row r="11" spans="1:23" ht="7.5" customHeight="1" x14ac:dyDescent="0.25">
      <c r="A11" s="618"/>
      <c r="B11" s="618"/>
      <c r="C11" s="618"/>
      <c r="D11" s="618"/>
      <c r="E11" s="618"/>
      <c r="F11" s="618"/>
      <c r="G11" s="618"/>
      <c r="H11" s="618"/>
      <c r="I11" s="618"/>
      <c r="J11" s="618"/>
      <c r="K11" s="618"/>
      <c r="L11" s="618"/>
      <c r="M11" s="618"/>
      <c r="N11" s="618"/>
      <c r="O11" s="618"/>
      <c r="P11" s="618"/>
      <c r="Q11" s="618"/>
      <c r="R11" s="618"/>
      <c r="S11" s="618"/>
      <c r="T11" s="618"/>
    </row>
    <row r="12" spans="1:23" ht="21.75" customHeight="1" x14ac:dyDescent="0.25">
      <c r="A12" s="80"/>
      <c r="B12" s="621" t="s">
        <v>90</v>
      </c>
      <c r="C12" s="621"/>
      <c r="D12" s="621"/>
      <c r="E12" s="621"/>
      <c r="F12" s="621"/>
      <c r="G12" s="621"/>
      <c r="H12" s="621"/>
      <c r="I12" s="621"/>
      <c r="J12" s="621"/>
      <c r="K12" s="621"/>
      <c r="L12" s="575"/>
      <c r="M12" s="575"/>
      <c r="N12" s="86" t="s">
        <v>91</v>
      </c>
      <c r="O12" s="80"/>
      <c r="P12" s="80"/>
      <c r="Q12" s="80"/>
      <c r="R12" s="91">
        <f>IF(L10&gt;L8,(L10-L8)+1,0)</f>
        <v>0</v>
      </c>
      <c r="S12" s="90" t="str">
        <f>IF(R12&gt;=1,"dias trabalhados","")</f>
        <v/>
      </c>
      <c r="T12" s="80"/>
    </row>
    <row r="13" spans="1:23" ht="7.5" customHeight="1" x14ac:dyDescent="0.25">
      <c r="A13" s="618"/>
      <c r="B13" s="618"/>
      <c r="C13" s="618"/>
      <c r="D13" s="618"/>
      <c r="E13" s="618"/>
      <c r="F13" s="618"/>
      <c r="G13" s="618"/>
      <c r="H13" s="618"/>
      <c r="I13" s="618"/>
      <c r="J13" s="618"/>
      <c r="K13" s="618"/>
      <c r="L13" s="618"/>
      <c r="M13" s="618"/>
      <c r="N13" s="618"/>
      <c r="O13" s="618"/>
      <c r="P13" s="618"/>
      <c r="Q13" s="618"/>
      <c r="R13" s="618"/>
      <c r="S13" s="618"/>
      <c r="T13" s="618"/>
    </row>
    <row r="14" spans="1:23" ht="21.75" customHeight="1" x14ac:dyDescent="0.25">
      <c r="A14" s="80"/>
      <c r="B14" s="80"/>
      <c r="C14" s="80"/>
      <c r="D14" s="80"/>
      <c r="E14" s="80"/>
      <c r="F14" s="80"/>
      <c r="G14" s="80"/>
      <c r="H14" s="80"/>
      <c r="I14" s="621" t="s">
        <v>61</v>
      </c>
      <c r="J14" s="621"/>
      <c r="K14" s="621"/>
      <c r="L14" s="579"/>
      <c r="M14" s="579"/>
      <c r="N14" s="579"/>
      <c r="O14" s="579"/>
      <c r="P14" s="579"/>
      <c r="Q14" s="579"/>
      <c r="R14" s="80"/>
      <c r="S14" s="87"/>
      <c r="T14" s="80"/>
    </row>
    <row r="15" spans="1:23" ht="24.75" customHeight="1" x14ac:dyDescent="0.25">
      <c r="A15" s="618" t="str">
        <f>IF(L12&gt;0,IF(L12&lt;R12,"Datas não correspondem com o número de dias do contrato",""),"")</f>
        <v/>
      </c>
      <c r="B15" s="618"/>
      <c r="C15" s="618"/>
      <c r="D15" s="618"/>
      <c r="E15" s="618"/>
      <c r="F15" s="618"/>
      <c r="G15" s="618"/>
      <c r="H15" s="618"/>
      <c r="I15" s="618"/>
      <c r="J15" s="618"/>
      <c r="K15" s="618"/>
      <c r="L15" s="618"/>
      <c r="M15" s="618"/>
      <c r="N15" s="618"/>
      <c r="O15" s="618"/>
      <c r="P15" s="618"/>
      <c r="Q15" s="618"/>
      <c r="R15" s="618"/>
      <c r="S15" s="618"/>
      <c r="T15" s="618"/>
    </row>
    <row r="16" spans="1:23" ht="7.5" customHeight="1" x14ac:dyDescent="0.25">
      <c r="A16" s="80"/>
      <c r="B16" s="619"/>
      <c r="C16" s="619"/>
      <c r="D16" s="619"/>
      <c r="E16" s="619"/>
      <c r="F16" s="619"/>
      <c r="G16" s="619"/>
      <c r="H16" s="619"/>
      <c r="I16" s="619"/>
      <c r="J16" s="619"/>
      <c r="K16" s="619"/>
      <c r="L16" s="619"/>
      <c r="M16" s="619"/>
      <c r="N16" s="619"/>
      <c r="O16" s="619"/>
      <c r="P16" s="619"/>
      <c r="Q16" s="619"/>
      <c r="R16" s="619"/>
      <c r="S16" s="619"/>
      <c r="T16" s="80"/>
    </row>
    <row r="17" spans="1:20" ht="9.75" customHeight="1" x14ac:dyDescent="0.25">
      <c r="A17" s="80"/>
      <c r="B17" s="620"/>
      <c r="C17" s="620"/>
      <c r="D17" s="620"/>
      <c r="E17" s="620"/>
      <c r="F17" s="620"/>
      <c r="G17" s="620"/>
      <c r="H17" s="620"/>
      <c r="I17" s="620"/>
      <c r="J17" s="620"/>
      <c r="K17" s="620"/>
      <c r="L17" s="620"/>
      <c r="M17" s="620"/>
      <c r="N17" s="620"/>
      <c r="O17" s="620"/>
      <c r="P17" s="620"/>
      <c r="Q17" s="620"/>
      <c r="R17" s="620"/>
      <c r="S17" s="620"/>
      <c r="T17" s="80"/>
    </row>
    <row r="18" spans="1:20" ht="21" customHeight="1" x14ac:dyDescent="0.25">
      <c r="A18" s="80"/>
      <c r="B18" s="621" t="s">
        <v>24</v>
      </c>
      <c r="C18" s="621"/>
      <c r="D18" s="621"/>
      <c r="E18" s="621"/>
      <c r="F18" s="621"/>
      <c r="G18" s="621"/>
      <c r="H18" s="621"/>
      <c r="I18" s="621"/>
      <c r="J18" s="621"/>
      <c r="K18" s="575"/>
      <c r="L18" s="575"/>
      <c r="M18" s="80"/>
      <c r="N18" s="471"/>
      <c r="O18" s="471"/>
      <c r="P18" s="471"/>
      <c r="Q18" s="471" t="s">
        <v>224</v>
      </c>
      <c r="R18" s="624"/>
      <c r="S18" s="624"/>
      <c r="T18" s="80"/>
    </row>
    <row r="19" spans="1:20" ht="8.25" customHeight="1" x14ac:dyDescent="0.25">
      <c r="A19" s="618"/>
      <c r="B19" s="618"/>
      <c r="C19" s="618"/>
      <c r="D19" s="618"/>
      <c r="E19" s="618"/>
      <c r="F19" s="618"/>
      <c r="G19" s="618"/>
      <c r="H19" s="618"/>
      <c r="I19" s="618"/>
      <c r="J19" s="618"/>
      <c r="K19" s="618"/>
      <c r="L19" s="618"/>
      <c r="M19" s="618"/>
      <c r="N19" s="618"/>
      <c r="O19" s="618"/>
      <c r="P19" s="618"/>
      <c r="Q19" s="618"/>
      <c r="R19" s="618"/>
      <c r="S19" s="618"/>
      <c r="T19" s="618"/>
    </row>
    <row r="20" spans="1:20" ht="21" customHeight="1" x14ac:dyDescent="0.25">
      <c r="A20" s="80"/>
      <c r="B20" s="621" t="s">
        <v>95</v>
      </c>
      <c r="C20" s="621"/>
      <c r="D20" s="621"/>
      <c r="E20" s="621"/>
      <c r="F20" s="621"/>
      <c r="G20" s="621"/>
      <c r="H20" s="621"/>
      <c r="I20" s="575"/>
      <c r="J20" s="575"/>
      <c r="K20" s="84" t="s">
        <v>128</v>
      </c>
      <c r="L20" s="80"/>
      <c r="M20" s="80"/>
      <c r="N20" s="80"/>
      <c r="O20" s="80"/>
      <c r="P20" s="80"/>
      <c r="Q20" s="80"/>
      <c r="R20" s="80"/>
      <c r="S20" s="152">
        <f>config!F91</f>
        <v>1212.6400000000001</v>
      </c>
      <c r="T20" s="80"/>
    </row>
    <row r="21" spans="1:20" x14ac:dyDescent="0.25">
      <c r="A21" s="80"/>
      <c r="B21" s="88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9"/>
      <c r="P21" s="88"/>
      <c r="Q21" s="88"/>
      <c r="R21" s="88"/>
      <c r="S21" s="88"/>
      <c r="T21" s="80"/>
    </row>
    <row r="22" spans="1:20" ht="10.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</row>
    <row r="23" spans="1:20" ht="22.5" customHeight="1" x14ac:dyDescent="0.25">
      <c r="A23" s="80"/>
      <c r="B23" s="80"/>
      <c r="C23" s="80"/>
      <c r="D23" s="80"/>
      <c r="E23" s="574"/>
      <c r="F23" s="574"/>
      <c r="G23" s="574"/>
      <c r="H23" s="574"/>
      <c r="I23" s="574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</row>
    <row r="24" spans="1:20" x14ac:dyDescent="0.25">
      <c r="A24" s="617" t="str">
        <f>Menu!A31</f>
        <v>Planilha+ 5.1.2   .:.   Acácio Jr   .:.   unico@acaciojunior.com       -      Última atualização: 03/02/2016</v>
      </c>
      <c r="B24" s="617"/>
      <c r="C24" s="617"/>
      <c r="D24" s="617"/>
      <c r="E24" s="617"/>
      <c r="F24" s="617"/>
      <c r="G24" s="617"/>
      <c r="H24" s="617"/>
      <c r="I24" s="617"/>
      <c r="J24" s="617"/>
      <c r="K24" s="617"/>
      <c r="L24" s="617"/>
      <c r="M24" s="617"/>
      <c r="N24" s="617"/>
      <c r="O24" s="617"/>
      <c r="P24" s="617"/>
      <c r="Q24" s="617"/>
      <c r="R24" s="617"/>
      <c r="S24" s="617"/>
      <c r="T24" s="617"/>
    </row>
  </sheetData>
  <sheetProtection password="CB7C" sheet="1" objects="1" scenarios="1" selectLockedCells="1"/>
  <mergeCells count="28">
    <mergeCell ref="I20:J20"/>
    <mergeCell ref="A9:T9"/>
    <mergeCell ref="J10:K10"/>
    <mergeCell ref="N1:S2"/>
    <mergeCell ref="N3:S3"/>
    <mergeCell ref="A5:T5"/>
    <mergeCell ref="A7:T7"/>
    <mergeCell ref="I8:K8"/>
    <mergeCell ref="L8:N8"/>
    <mergeCell ref="B6:L6"/>
    <mergeCell ref="M6:S6"/>
    <mergeCell ref="R18:S18"/>
    <mergeCell ref="A24:T24"/>
    <mergeCell ref="L10:N10"/>
    <mergeCell ref="A11:T11"/>
    <mergeCell ref="B16:S16"/>
    <mergeCell ref="B17:S17"/>
    <mergeCell ref="E23:I23"/>
    <mergeCell ref="B12:K12"/>
    <mergeCell ref="L12:M12"/>
    <mergeCell ref="I14:K14"/>
    <mergeCell ref="B18:J18"/>
    <mergeCell ref="B20:H20"/>
    <mergeCell ref="K18:L18"/>
    <mergeCell ref="A13:T13"/>
    <mergeCell ref="L14:Q14"/>
    <mergeCell ref="A15:T15"/>
    <mergeCell ref="A19:T19"/>
  </mergeCells>
  <conditionalFormatting sqref="L10:N10">
    <cfRule type="cellIs" dxfId="8" priority="6" stopIfTrue="1" operator="lessThan">
      <formula>$L$8</formula>
    </cfRule>
  </conditionalFormatting>
  <conditionalFormatting sqref="L12:M12">
    <cfRule type="cellIs" dxfId="7" priority="3" stopIfTrue="1" operator="lessThan">
      <formula>$R$12</formula>
    </cfRule>
  </conditionalFormatting>
  <conditionalFormatting sqref="A15:T15">
    <cfRule type="cellIs" dxfId="6" priority="2" stopIfTrue="1" operator="equal">
      <formula>"Datas não correspondem com o número de dias do contrato"</formula>
    </cfRule>
  </conditionalFormatting>
  <conditionalFormatting sqref="R12">
    <cfRule type="cellIs" dxfId="5" priority="1" stopIfTrue="1" operator="equal">
      <formula>0</formula>
    </cfRule>
  </conditionalFormatting>
  <dataValidations count="1">
    <dataValidation type="list" allowBlank="1" showInputMessage="1" showErrorMessage="1" errorTitle="Motivo do afastamento" error="Escolha uma das opções disponíveis" sqref="M6:S6">
      <formula1>$W$2:$W$3</formula1>
    </dataValidation>
  </dataValidations>
  <pageMargins left="0.15" right="0.21" top="0.78740157480314965" bottom="0.78740157480314965" header="0.31496062992125984" footer="0.31496062992125984"/>
  <pageSetup paperSize="9" scale="81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pageSetUpPr fitToPage="1"/>
  </sheetPr>
  <dimension ref="A1:AP58"/>
  <sheetViews>
    <sheetView showGridLines="0" showRowColHeaders="0" workbookViewId="0">
      <selection activeCell="E10" sqref="E10:I10"/>
    </sheetView>
  </sheetViews>
  <sheetFormatPr defaultColWidth="0" defaultRowHeight="12" zeroHeight="1" x14ac:dyDescent="0.25"/>
  <cols>
    <col min="1" max="1" width="3.28515625" style="3" customWidth="1"/>
    <col min="2" max="4" width="3.42578125" style="4" customWidth="1"/>
    <col min="5" max="5" width="2.5703125" style="4" customWidth="1"/>
    <col min="6" max="6" width="2.140625" style="4" customWidth="1"/>
    <col min="7" max="7" width="2.28515625" style="4" customWidth="1"/>
    <col min="8" max="8" width="6.140625" style="4" customWidth="1"/>
    <col min="9" max="12" width="3.42578125" style="4" customWidth="1"/>
    <col min="13" max="13" width="2.7109375" style="4" customWidth="1"/>
    <col min="14" max="16" width="3.42578125" style="4" customWidth="1"/>
    <col min="17" max="17" width="4" style="4" customWidth="1"/>
    <col min="18" max="18" width="3.85546875" style="4" customWidth="1"/>
    <col min="19" max="28" width="3.42578125" style="4" customWidth="1"/>
    <col min="29" max="29" width="3.5703125" style="4" hidden="1" customWidth="1"/>
    <col min="30" max="30" width="21.85546875" style="4" hidden="1" customWidth="1"/>
    <col min="31" max="32" width="14" style="4" hidden="1" customWidth="1"/>
    <col min="33" max="33" width="15.7109375" style="4" hidden="1" customWidth="1"/>
    <col min="34" max="34" width="18.42578125" style="4" hidden="1" customWidth="1"/>
    <col min="35" max="35" width="16.42578125" style="4" hidden="1" customWidth="1"/>
    <col min="36" max="36" width="11.5703125" style="4" hidden="1" customWidth="1"/>
    <col min="37" max="37" width="12" style="4" hidden="1" customWidth="1"/>
    <col min="38" max="38" width="21.140625" style="4" hidden="1" customWidth="1"/>
    <col min="39" max="42" width="0" style="4" hidden="1" customWidth="1"/>
    <col min="43" max="16384" width="9.140625" style="4" hidden="1"/>
  </cols>
  <sheetData>
    <row r="1" spans="1:42" ht="33.75" customHeight="1" x14ac:dyDescent="0.25">
      <c r="A1" s="92"/>
      <c r="B1" s="83" t="str">
        <f>config!I101</f>
        <v>SINCOMERCIÁRIOS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</row>
    <row r="2" spans="1:42" ht="18.75" customHeight="1" x14ac:dyDescent="0.35">
      <c r="A2" s="92"/>
      <c r="B2" s="92" t="str">
        <f>config!I102</f>
        <v>Sindicato dos Empregados no Comércio de Itapeva</v>
      </c>
      <c r="C2" s="92"/>
      <c r="D2" s="92"/>
      <c r="E2" s="92"/>
      <c r="F2" s="92"/>
      <c r="G2" s="157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92"/>
      <c r="AD2" s="391"/>
      <c r="AE2" s="392" t="s">
        <v>8</v>
      </c>
      <c r="AF2" s="393" t="s">
        <v>60</v>
      </c>
    </row>
    <row r="3" spans="1:42" ht="15.75" customHeight="1" thickBot="1" x14ac:dyDescent="0.4">
      <c r="A3" s="92"/>
      <c r="B3" s="93"/>
      <c r="C3" s="93"/>
      <c r="D3" s="93"/>
      <c r="E3" s="93"/>
      <c r="F3" s="93"/>
      <c r="G3" s="581"/>
      <c r="H3" s="582"/>
      <c r="I3" s="582"/>
      <c r="J3" s="582"/>
      <c r="K3" s="582"/>
      <c r="L3" s="582"/>
      <c r="M3" s="582"/>
      <c r="N3" s="582"/>
      <c r="O3" s="582"/>
      <c r="P3" s="582"/>
      <c r="Q3" s="582"/>
      <c r="R3" s="582"/>
      <c r="S3" s="582"/>
      <c r="T3" s="582"/>
      <c r="U3" s="582"/>
      <c r="V3" s="582"/>
      <c r="W3" s="582"/>
      <c r="X3" s="582"/>
      <c r="Y3" s="582"/>
      <c r="Z3" s="582"/>
      <c r="AA3" s="582"/>
      <c r="AB3" s="92"/>
      <c r="AD3" s="475" t="s">
        <v>223</v>
      </c>
      <c r="AE3" s="396">
        <f>(M10-E10)+1</f>
        <v>1</v>
      </c>
      <c r="AF3" s="476" t="b">
        <f>IF(AE3&gt;=15,IF(AE3&lt;=44,1,IF(AE3&lt;=74,2,IF(AE3&lt;=104,3,IF(AE3&lt;=119,4)))))</f>
        <v>0</v>
      </c>
    </row>
    <row r="4" spans="1:42" x14ac:dyDescent="0.25">
      <c r="A4" s="92"/>
      <c r="B4" s="92" t="str">
        <f>config!J103</f>
        <v>Rua Olívia Marques, 257, Centro - Itapeva/SP</v>
      </c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4" t="str">
        <f>config!H104</f>
        <v>(15) 3522 0726</v>
      </c>
      <c r="AB4" s="92"/>
    </row>
    <row r="5" spans="1:42" ht="10.5" customHeight="1" x14ac:dyDescent="0.25">
      <c r="A5" s="92"/>
      <c r="B5" s="583"/>
      <c r="C5" s="583"/>
      <c r="D5" s="583"/>
      <c r="E5" s="583"/>
      <c r="F5" s="583"/>
      <c r="G5" s="583"/>
      <c r="H5" s="583"/>
      <c r="I5" s="583"/>
      <c r="J5" s="583"/>
      <c r="K5" s="583"/>
      <c r="L5" s="583"/>
      <c r="M5" s="583"/>
      <c r="N5" s="583"/>
      <c r="O5" s="583"/>
      <c r="P5" s="583"/>
      <c r="Q5" s="583"/>
      <c r="R5" s="583"/>
      <c r="S5" s="583"/>
      <c r="T5" s="583"/>
      <c r="U5" s="583"/>
      <c r="V5" s="583"/>
      <c r="W5" s="583"/>
      <c r="X5" s="583"/>
      <c r="Y5" s="583"/>
      <c r="Z5" s="583"/>
      <c r="AA5" s="583"/>
      <c r="AB5" s="92"/>
      <c r="AD5" s="34" t="s">
        <v>89</v>
      </c>
      <c r="AE5" s="4">
        <f>(X10-M10)/2</f>
        <v>-0.5</v>
      </c>
      <c r="AH5" s="34"/>
    </row>
    <row r="6" spans="1:42" ht="23.25" customHeight="1" x14ac:dyDescent="0.25">
      <c r="A6" s="92"/>
      <c r="B6" s="584" t="s">
        <v>94</v>
      </c>
      <c r="C6" s="584"/>
      <c r="D6" s="584"/>
      <c r="E6" s="584"/>
      <c r="F6" s="584"/>
      <c r="G6" s="584"/>
      <c r="H6" s="584"/>
      <c r="I6" s="584"/>
      <c r="J6" s="584"/>
      <c r="K6" s="584"/>
      <c r="L6" s="584"/>
      <c r="M6" s="584"/>
      <c r="N6" s="584"/>
      <c r="O6" s="584"/>
      <c r="P6" s="584"/>
      <c r="Q6" s="584"/>
      <c r="R6" s="584"/>
      <c r="S6" s="584"/>
      <c r="T6" s="584"/>
      <c r="U6" s="584"/>
      <c r="V6" s="584"/>
      <c r="W6" s="584"/>
      <c r="X6" s="584"/>
      <c r="Y6" s="584"/>
      <c r="Z6" s="584"/>
      <c r="AA6" s="584"/>
      <c r="AB6" s="92"/>
      <c r="AD6" s="4" t="s">
        <v>49</v>
      </c>
      <c r="AE6" s="4">
        <f>IF(MONTH(M10)=MONTH(E10),IF(YEAR(M10)=YEAR(E10),DAY(M10)-DAY(E10),DAY(M10)),DAY(M10))</f>
        <v>0</v>
      </c>
      <c r="AF6" s="4" t="s">
        <v>134</v>
      </c>
      <c r="AG6" s="4">
        <f>IF(MONTH(M10)=MONTH(E10),IF(YEAR(M10)=YEAR(E10),DAY(M10)-DAY(E10)+1,DAY(M10)),DAY(M10))</f>
        <v>1</v>
      </c>
    </row>
    <row r="7" spans="1:42" x14ac:dyDescent="0.25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D7" s="4" t="s">
        <v>33</v>
      </c>
      <c r="AE7" s="6"/>
      <c r="AF7" s="7">
        <f>IF(O8="Dispensa sem justa causa",IF(X10="sim",M10,IF(X10="não",(M10+30))),M10)</f>
        <v>0</v>
      </c>
      <c r="AG7" s="4" t="s">
        <v>39</v>
      </c>
      <c r="AI7" s="4" t="s">
        <v>50</v>
      </c>
      <c r="AJ7" s="4" t="s">
        <v>51</v>
      </c>
    </row>
    <row r="8" spans="1:42" ht="14.25" customHeight="1" x14ac:dyDescent="0.25">
      <c r="A8" s="92"/>
      <c r="B8" s="95" t="s">
        <v>92</v>
      </c>
      <c r="C8" s="95"/>
      <c r="D8" s="95"/>
      <c r="E8" s="95"/>
      <c r="F8" s="95"/>
      <c r="G8" s="95"/>
      <c r="H8" s="96"/>
      <c r="I8" s="96"/>
      <c r="J8" s="96"/>
      <c r="K8" s="96"/>
      <c r="L8" s="96"/>
      <c r="M8" s="96"/>
      <c r="N8" s="96"/>
      <c r="O8" s="592">
        <f>masc_exp2!M6</f>
        <v>0</v>
      </c>
      <c r="P8" s="592"/>
      <c r="Q8" s="592"/>
      <c r="R8" s="592"/>
      <c r="S8" s="592"/>
      <c r="T8" s="592"/>
      <c r="U8" s="592"/>
      <c r="V8" s="108"/>
      <c r="W8" s="108"/>
      <c r="X8" s="108"/>
      <c r="Y8" s="92"/>
      <c r="Z8" s="92"/>
      <c r="AA8" s="92"/>
      <c r="AB8" s="95"/>
      <c r="AC8" s="28"/>
      <c r="AD8" s="4" t="s">
        <v>4</v>
      </c>
      <c r="AE8" s="31">
        <f>IF(YEAR(AF7)&gt;YEAR(E10),(YEAR(AF7)-YEAR(E10))-AH8,0)</f>
        <v>0</v>
      </c>
      <c r="AF8" s="8">
        <f>IF(AG8&lt;=0,DAY(AF7)-DAY(E10),0)</f>
        <v>0</v>
      </c>
      <c r="AG8" s="4">
        <f>MONTH(AF7)-MONTH(E10)</f>
        <v>0</v>
      </c>
      <c r="AH8" s="9">
        <f>IF(AG8&lt;0,1,IF(AF8&lt;0,1,0))</f>
        <v>0</v>
      </c>
      <c r="AI8" s="32">
        <f>DAY(AF7)-DAY(E10)</f>
        <v>0</v>
      </c>
      <c r="AJ8" s="32">
        <f>IF(AI8&gt;=15,AG8+1,AG8)</f>
        <v>0</v>
      </c>
    </row>
    <row r="9" spans="1:42" ht="7.5" customHeight="1" x14ac:dyDescent="0.25">
      <c r="A9" s="92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5"/>
      <c r="AC9" s="28"/>
      <c r="AD9" s="4" t="s">
        <v>5</v>
      </c>
      <c r="AE9" s="6">
        <f>YEAR(M10)</f>
        <v>1900</v>
      </c>
      <c r="AF9" s="7">
        <f>DATE(AE9,1,1)</f>
        <v>1</v>
      </c>
      <c r="AG9" s="7"/>
      <c r="AI9" s="10"/>
    </row>
    <row r="10" spans="1:42" ht="15" x14ac:dyDescent="0.25">
      <c r="A10" s="92"/>
      <c r="B10" s="95" t="s">
        <v>2</v>
      </c>
      <c r="C10" s="95"/>
      <c r="D10" s="95"/>
      <c r="E10" s="585">
        <f>masc_exp2!L8</f>
        <v>0</v>
      </c>
      <c r="F10" s="586"/>
      <c r="G10" s="586"/>
      <c r="H10" s="586"/>
      <c r="I10" s="586"/>
      <c r="J10" s="95"/>
      <c r="K10" s="95" t="s">
        <v>3</v>
      </c>
      <c r="L10" s="95"/>
      <c r="M10" s="587">
        <f>masc_exp2!L10</f>
        <v>0</v>
      </c>
      <c r="N10" s="587"/>
      <c r="O10" s="587"/>
      <c r="P10" s="587"/>
      <c r="Q10" s="97"/>
      <c r="R10" s="628" t="s">
        <v>93</v>
      </c>
      <c r="S10" s="628"/>
      <c r="T10" s="628"/>
      <c r="U10" s="628"/>
      <c r="V10" s="628"/>
      <c r="W10" s="628"/>
      <c r="X10" s="587">
        <f>(masc_exp2!L8+masc_exp2!L12)-1</f>
        <v>-1</v>
      </c>
      <c r="Y10" s="587"/>
      <c r="Z10" s="587"/>
      <c r="AA10" s="587"/>
      <c r="AB10" s="95"/>
      <c r="AC10" s="28"/>
      <c r="AD10" s="4" t="s">
        <v>6</v>
      </c>
      <c r="AE10" s="6">
        <f>MONTH(AF7)+AG10</f>
        <v>0</v>
      </c>
      <c r="AF10" s="9">
        <f>DAY(AF7)</f>
        <v>0</v>
      </c>
      <c r="AG10" s="9">
        <f>IF(AF10&lt;15,-1,0)</f>
        <v>-1</v>
      </c>
      <c r="AH10" s="32"/>
    </row>
    <row r="11" spans="1:42" ht="7.5" customHeight="1" x14ac:dyDescent="0.25">
      <c r="A11" s="92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588"/>
      <c r="T11" s="588"/>
      <c r="U11" s="588"/>
      <c r="V11" s="588"/>
      <c r="W11" s="588"/>
      <c r="X11" s="588"/>
      <c r="Y11" s="588"/>
      <c r="Z11" s="588"/>
      <c r="AA11" s="588"/>
      <c r="AB11" s="95"/>
      <c r="AC11" s="2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</row>
    <row r="12" spans="1:42" ht="15" x14ac:dyDescent="0.25">
      <c r="A12" s="92"/>
      <c r="B12" s="95" t="s">
        <v>61</v>
      </c>
      <c r="C12" s="95"/>
      <c r="D12" s="95"/>
      <c r="E12" s="589">
        <f>masc_exp2!L14</f>
        <v>0</v>
      </c>
      <c r="F12" s="589"/>
      <c r="G12" s="589"/>
      <c r="H12" s="589"/>
      <c r="I12" s="589"/>
      <c r="J12" s="589"/>
      <c r="K12" s="108"/>
      <c r="L12" s="108"/>
      <c r="M12" s="108"/>
      <c r="N12" s="109"/>
      <c r="O12" s="109"/>
      <c r="P12" s="109"/>
      <c r="Q12" s="109"/>
      <c r="R12" s="109"/>
      <c r="S12" s="109"/>
      <c r="T12" s="108"/>
      <c r="U12" s="108"/>
      <c r="V12" s="108"/>
      <c r="W12" s="108"/>
      <c r="X12" s="108"/>
      <c r="Y12" s="108"/>
      <c r="Z12" s="108"/>
      <c r="AA12" s="95"/>
      <c r="AB12" s="95"/>
      <c r="AC12" s="28"/>
      <c r="AD12" s="37" t="s">
        <v>7</v>
      </c>
      <c r="AE12" s="390">
        <f>IF(YEAR(E10)=YEAR(M10),IF(AG12&gt;=15,MONTH(M10)-MONTH(E10)+1,MONTH(M10)-MONTH(E10)),IF(MONTH(E10)&gt;MONTH(M10),12-MONTH(E10)+MONTH(M10)))</f>
        <v>0</v>
      </c>
      <c r="AF12" s="392">
        <f>IF(AG12&gt;=15,1,0)</f>
        <v>0</v>
      </c>
      <c r="AG12" s="393">
        <f>IF(DAY(E10)&gt;DAY(M10),(DAY(AG13)-DAY(E10)+DAY(M10)+1),DAY(M10)-DAY(E10)+1)</f>
        <v>1</v>
      </c>
      <c r="AH12" s="37">
        <f>(AF12-AG12)+1</f>
        <v>0</v>
      </c>
      <c r="AI12" s="37">
        <f>IF(AH12&gt;=15,1,0)</f>
        <v>0</v>
      </c>
      <c r="AJ12" s="37"/>
    </row>
    <row r="13" spans="1:42" ht="7.5" customHeight="1" x14ac:dyDescent="0.25">
      <c r="A13" s="92"/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28"/>
      <c r="AD13" s="4" t="s">
        <v>10</v>
      </c>
      <c r="AE13" s="11">
        <f>E12/30</f>
        <v>0</v>
      </c>
      <c r="AF13" s="402" t="s">
        <v>212</v>
      </c>
      <c r="AG13" s="403" t="e">
        <f>EOMONTH(M10,-1)</f>
        <v>#NUM!</v>
      </c>
    </row>
    <row r="14" spans="1:42" ht="15" x14ac:dyDescent="0.25">
      <c r="A14" s="92"/>
      <c r="B14" s="611" t="s">
        <v>43</v>
      </c>
      <c r="C14" s="611"/>
      <c r="D14" s="611"/>
      <c r="E14" s="611"/>
      <c r="F14" s="611"/>
      <c r="G14" s="611"/>
      <c r="H14" s="611"/>
      <c r="I14" s="611"/>
      <c r="J14" s="611"/>
      <c r="K14" s="611"/>
      <c r="L14" s="611"/>
      <c r="M14" s="592">
        <f>masc_exp2!K18</f>
        <v>0</v>
      </c>
      <c r="N14" s="592"/>
      <c r="O14" s="96"/>
      <c r="P14" s="591" t="s">
        <v>42</v>
      </c>
      <c r="Q14" s="591"/>
      <c r="R14" s="591"/>
      <c r="S14" s="591"/>
      <c r="T14" s="591"/>
      <c r="U14" s="591"/>
      <c r="V14" s="591"/>
      <c r="W14" s="591"/>
      <c r="X14" s="591"/>
      <c r="Y14" s="591"/>
      <c r="Z14" s="592">
        <f>masc_exp2!I20</f>
        <v>0</v>
      </c>
      <c r="AA14" s="592"/>
      <c r="AB14" s="95"/>
      <c r="AC14" s="28"/>
      <c r="AD14" s="4" t="s">
        <v>11</v>
      </c>
      <c r="AE14" s="11">
        <f>E12/12</f>
        <v>0</v>
      </c>
    </row>
    <row r="15" spans="1:42" ht="5.25" customHeight="1" x14ac:dyDescent="0.25">
      <c r="A15" s="92"/>
      <c r="B15" s="99"/>
      <c r="C15" s="95"/>
      <c r="D15" s="95"/>
      <c r="E15" s="95"/>
      <c r="F15" s="95"/>
      <c r="G15" s="95"/>
      <c r="H15" s="92"/>
      <c r="I15" s="92"/>
      <c r="J15" s="92"/>
      <c r="K15" s="95"/>
      <c r="L15" s="108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95"/>
      <c r="AA15" s="95"/>
      <c r="AB15" s="95"/>
      <c r="AC15" s="28"/>
      <c r="AD15" s="391" t="s">
        <v>54</v>
      </c>
      <c r="AE15" s="392" t="s">
        <v>55</v>
      </c>
      <c r="AF15" s="392" t="s">
        <v>8</v>
      </c>
      <c r="AG15" s="392" t="s">
        <v>56</v>
      </c>
      <c r="AH15" s="393"/>
      <c r="AI15" s="38"/>
      <c r="AJ15" s="38"/>
      <c r="AK15" s="38"/>
      <c r="AL15" s="38"/>
      <c r="AM15" s="38"/>
    </row>
    <row r="16" spans="1:42" ht="7.5" customHeight="1" x14ac:dyDescent="0.25">
      <c r="A16" s="92"/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1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95"/>
      <c r="AC16" s="28"/>
      <c r="AD16" s="394" t="s">
        <v>54</v>
      </c>
      <c r="AE16" s="395" t="e">
        <f>IF(YEAR(M10)&gt;YEAR(E10),IF(AF16&gt;=15,MONTH(M10),MONTH(M10)-1),IF(AF16&gt;=15,MONTH(M10)-MONTH(E10)+1,MONTH(M10-MONTH(E10))))</f>
        <v>#NUM!</v>
      </c>
      <c r="AF16" s="396">
        <f>IF(YEAR(E10)=YEAR(M10),IF(DAY(E10)&gt;DAY(M10),(DAY(AG13)-DAY(E10)+DAY(M10)+1),DAY(M10)-DAY(E10)+1),DAY(M10))</f>
        <v>1</v>
      </c>
      <c r="AG16" s="396" t="e">
        <f>IF(YEAR(M10)=YEAR(E10),IF(AF16&gt;=15,AE16,AE16-1),AE16)+AH16</f>
        <v>#NUM!</v>
      </c>
      <c r="AH16" s="397">
        <f>IF(YEAR(E10)=YEAR(M10),0,IF(DAY(E10)&gt;15,1,0))</f>
        <v>0</v>
      </c>
      <c r="AI16" s="38"/>
      <c r="AJ16" s="38"/>
      <c r="AK16" s="38"/>
      <c r="AL16" s="38"/>
      <c r="AM16" s="38"/>
    </row>
    <row r="17" spans="1:42" ht="7.5" customHeight="1" x14ac:dyDescent="0.25">
      <c r="A17" s="92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28"/>
      <c r="AD17" s="35"/>
      <c r="AE17" s="4" t="e">
        <f>DAY(AG13)-DAY(E10)+1</f>
        <v>#NUM!</v>
      </c>
      <c r="AF17" s="35">
        <f>DAY(M10)</f>
        <v>0</v>
      </c>
      <c r="AG17" s="36"/>
      <c r="AH17" s="35"/>
      <c r="AI17" s="38"/>
      <c r="AJ17" s="38"/>
      <c r="AK17" s="38"/>
      <c r="AL17" s="38"/>
      <c r="AM17" s="38"/>
    </row>
    <row r="18" spans="1:42" ht="12.75" customHeight="1" x14ac:dyDescent="0.25">
      <c r="A18" s="92"/>
      <c r="B18" s="102" t="s">
        <v>9</v>
      </c>
      <c r="C18" s="102"/>
      <c r="D18" s="102"/>
      <c r="E18" s="102"/>
      <c r="F18" s="593">
        <f>IF(AG6&gt;30,30,AG6)</f>
        <v>1</v>
      </c>
      <c r="G18" s="593"/>
      <c r="H18" s="102" t="str">
        <f>IF(F18=1,"dia","dias")</f>
        <v>dia</v>
      </c>
      <c r="I18" s="594">
        <f>(F18*AE13)+W12</f>
        <v>0</v>
      </c>
      <c r="J18" s="594"/>
      <c r="K18" s="594"/>
      <c r="L18" s="594"/>
      <c r="M18" s="102"/>
      <c r="N18" s="102"/>
      <c r="O18" s="102"/>
      <c r="P18" s="102"/>
      <c r="Q18" s="102"/>
      <c r="R18" s="595" t="s">
        <v>0</v>
      </c>
      <c r="S18" s="595"/>
      <c r="T18" s="595"/>
      <c r="U18" s="595"/>
      <c r="V18" s="595"/>
      <c r="W18" s="595"/>
      <c r="X18" s="595"/>
      <c r="Y18" s="595"/>
      <c r="Z18" s="595"/>
      <c r="AA18" s="595"/>
      <c r="AB18" s="95"/>
      <c r="AC18" s="28"/>
      <c r="AD18" s="34" t="s">
        <v>52</v>
      </c>
      <c r="AE18" s="6">
        <f>YEAR(AF7)-YEAR(E10)</f>
        <v>0</v>
      </c>
      <c r="AF18" s="9">
        <f>IF(AE18=0,MONTH(AF7)-MONTH(E10),0)</f>
        <v>0</v>
      </c>
      <c r="AG18" s="9">
        <f>IF(AE18=0,DAY(AF7)-DAY(E10),0)</f>
        <v>0</v>
      </c>
      <c r="AH18" s="34">
        <f>IF(AF18&gt;0,IF(AG18&gt;=15,AF18,AF18-1),0)</f>
        <v>0</v>
      </c>
      <c r="AI18" s="9">
        <f>DAY(AF7)</f>
        <v>0</v>
      </c>
      <c r="AJ18" s="14">
        <f>IF(AF18=0,MONTH(AF7),0)</f>
        <v>1</v>
      </c>
      <c r="AK18" s="34">
        <f>IF(AJ18&gt;0,IF(AI18&gt;=15,AJ18,AJ18-1),0)</f>
        <v>0</v>
      </c>
    </row>
    <row r="19" spans="1:42" ht="6" customHeight="1" x14ac:dyDescent="0.25">
      <c r="A19" s="92"/>
      <c r="B19" s="102"/>
      <c r="C19" s="102"/>
      <c r="D19" s="102"/>
      <c r="E19" s="102"/>
      <c r="F19" s="102"/>
      <c r="G19" s="102"/>
      <c r="H19" s="102"/>
      <c r="I19" s="103"/>
      <c r="J19" s="103"/>
      <c r="K19" s="103"/>
      <c r="L19" s="103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95"/>
      <c r="AC19" s="28"/>
      <c r="AD19" s="12" t="s">
        <v>14</v>
      </c>
      <c r="AE19" s="13" t="s">
        <v>15</v>
      </c>
      <c r="AF19" s="14" t="s">
        <v>17</v>
      </c>
      <c r="AG19" s="4" t="s">
        <v>18</v>
      </c>
      <c r="AH19" s="4" t="s">
        <v>57</v>
      </c>
    </row>
    <row r="20" spans="1:42" ht="12.75" customHeight="1" x14ac:dyDescent="0.25">
      <c r="A20" s="92"/>
      <c r="B20" s="102" t="str">
        <f>IF(I20&gt;0,"13º Salário:","")</f>
        <v/>
      </c>
      <c r="C20" s="102"/>
      <c r="D20" s="102"/>
      <c r="E20" s="608" t="b">
        <f>AF3</f>
        <v>0</v>
      </c>
      <c r="F20" s="609"/>
      <c r="G20" s="106" t="str">
        <f>IF(E20&gt;0,IF(E20=1,"mês","meses"),"")</f>
        <v>meses</v>
      </c>
      <c r="H20" s="102"/>
      <c r="I20" s="597">
        <f>AE14*E20</f>
        <v>0</v>
      </c>
      <c r="J20" s="597"/>
      <c r="K20" s="597"/>
      <c r="L20" s="597"/>
      <c r="M20" s="610"/>
      <c r="N20" s="610"/>
      <c r="O20" s="104"/>
      <c r="P20" s="102"/>
      <c r="Q20" s="102"/>
      <c r="R20" s="102" t="str">
        <f>IF(X20&gt;0,"INSS Saldo Salário:","")</f>
        <v/>
      </c>
      <c r="S20" s="102"/>
      <c r="T20" s="102"/>
      <c r="U20" s="102"/>
      <c r="V20" s="102"/>
      <c r="W20" s="102"/>
      <c r="X20" s="597">
        <f>IF(AF24&gt;0,I18*AF24,AE23)</f>
        <v>0</v>
      </c>
      <c r="Y20" s="597"/>
      <c r="Z20" s="597"/>
      <c r="AA20" s="597"/>
      <c r="AB20" s="95"/>
      <c r="AC20" s="28"/>
      <c r="AD20" s="4" t="s">
        <v>12</v>
      </c>
      <c r="AE20" s="15">
        <f>config!F72</f>
        <v>1556.94</v>
      </c>
      <c r="AF20" s="14">
        <f>IF(I22&lt;=AE20,config!M72,0)</f>
        <v>0.08</v>
      </c>
      <c r="AG20" s="4">
        <f>IF(I24&lt;=AE20,config!M72,0)</f>
        <v>0.08</v>
      </c>
      <c r="AH20" s="4">
        <f>IF(I36&lt;=AE20,8%,0)</f>
        <v>0.08</v>
      </c>
    </row>
    <row r="21" spans="1:42" ht="6" customHeight="1" x14ac:dyDescent="0.25">
      <c r="A21" s="92"/>
      <c r="B21" s="102"/>
      <c r="C21" s="102"/>
      <c r="D21" s="102"/>
      <c r="E21" s="102"/>
      <c r="F21" s="102"/>
      <c r="G21" s="102"/>
      <c r="H21" s="102"/>
      <c r="I21" s="103"/>
      <c r="J21" s="103"/>
      <c r="K21" s="103"/>
      <c r="L21" s="103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5"/>
      <c r="Y21" s="105"/>
      <c r="Z21" s="105"/>
      <c r="AA21" s="105"/>
      <c r="AB21" s="95"/>
      <c r="AC21" s="28"/>
      <c r="AD21" s="4" t="s">
        <v>12</v>
      </c>
      <c r="AE21" s="15">
        <f>config!J73</f>
        <v>2594.92</v>
      </c>
      <c r="AF21" s="14">
        <f>IF(I22&gt;AE20,IF(I22&lt;=AE21,config!M73,0),0)</f>
        <v>0</v>
      </c>
      <c r="AG21" s="4">
        <f>IF(I24&gt;AE20,IF(I24&lt;=AE21,config!M73,0),0)</f>
        <v>0</v>
      </c>
      <c r="AH21" s="4">
        <f>IF(I36&gt;AE20,IF(I36&lt;=AE21,9%,0),0)</f>
        <v>0</v>
      </c>
    </row>
    <row r="22" spans="1:42" ht="12.75" customHeight="1" x14ac:dyDescent="0.25">
      <c r="A22" s="92"/>
      <c r="B22" s="102" t="str">
        <f>IF(I22&gt;0,"Férias Proporcionais:","")</f>
        <v/>
      </c>
      <c r="C22" s="102"/>
      <c r="D22" s="102"/>
      <c r="E22" s="102"/>
      <c r="F22" s="102"/>
      <c r="G22" s="102"/>
      <c r="H22" s="107"/>
      <c r="I22" s="597">
        <f>AE12*AE14</f>
        <v>0</v>
      </c>
      <c r="J22" s="597"/>
      <c r="K22" s="597"/>
      <c r="L22" s="597"/>
      <c r="M22" s="474" t="b">
        <f>AF3</f>
        <v>0</v>
      </c>
      <c r="N22" s="92" t="str">
        <f>IF(M22&gt;1,"meses","mês")</f>
        <v>meses</v>
      </c>
      <c r="O22" s="92"/>
      <c r="P22" s="92"/>
      <c r="Q22" s="102"/>
      <c r="R22" s="102" t="str">
        <f>IF(X22&gt;0,"Inss 13º Salário:","")</f>
        <v/>
      </c>
      <c r="S22" s="102"/>
      <c r="T22" s="102"/>
      <c r="U22" s="102"/>
      <c r="V22" s="102"/>
      <c r="W22" s="98"/>
      <c r="X22" s="594">
        <f>IF(AG24&gt;0,I20*AG24,AE23)</f>
        <v>0</v>
      </c>
      <c r="Y22" s="594"/>
      <c r="Z22" s="594"/>
      <c r="AA22" s="594"/>
      <c r="AB22" s="95"/>
      <c r="AC22" s="28"/>
      <c r="AD22" s="4" t="s">
        <v>12</v>
      </c>
      <c r="AE22" s="15">
        <f>config!J74</f>
        <v>5189.82</v>
      </c>
      <c r="AF22" s="14">
        <f>IF(I22&gt;AE21,IF(I22&lt;=AE22,config!M74,0),0)</f>
        <v>0</v>
      </c>
      <c r="AG22" s="4">
        <f>IF(I24&gt;AE21,IF(I24&lt;=AE22,config!M74,0),0)</f>
        <v>0</v>
      </c>
      <c r="AH22" s="4">
        <f>IF(I36&gt;AE21,IF(I36&lt;=AE22,11%,0),0)</f>
        <v>0</v>
      </c>
    </row>
    <row r="23" spans="1:42" ht="6" customHeight="1" x14ac:dyDescent="0.25">
      <c r="A23" s="92"/>
      <c r="B23" s="102"/>
      <c r="C23" s="102"/>
      <c r="D23" s="102"/>
      <c r="E23" s="102"/>
      <c r="F23" s="102"/>
      <c r="G23" s="102"/>
      <c r="H23" s="102"/>
      <c r="I23" s="103"/>
      <c r="J23" s="103"/>
      <c r="K23" s="103"/>
      <c r="L23" s="103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5"/>
      <c r="Y23" s="105"/>
      <c r="Z23" s="105"/>
      <c r="AA23" s="105"/>
      <c r="AB23" s="95"/>
      <c r="AC23" s="28"/>
      <c r="AD23" s="4" t="s">
        <v>13</v>
      </c>
      <c r="AE23" s="15">
        <f>AE22*11%</f>
        <v>570.88019999999995</v>
      </c>
      <c r="AF23" s="14">
        <f>IF(I22&gt;AE22,381.4,0)</f>
        <v>0</v>
      </c>
      <c r="AG23" s="4">
        <f>IF(I24&gt;AE22,381.41,0)</f>
        <v>0</v>
      </c>
      <c r="AH23" s="4">
        <f>IF(I36&gt;AE22,381.41,0)</f>
        <v>0</v>
      </c>
    </row>
    <row r="24" spans="1:42" ht="12.75" customHeight="1" x14ac:dyDescent="0.25">
      <c r="A24" s="92"/>
      <c r="B24" s="102" t="str">
        <f>IF(I24&gt;0,"1/3 Férias Proporcionais:","")</f>
        <v/>
      </c>
      <c r="C24" s="102"/>
      <c r="D24" s="102"/>
      <c r="E24" s="102"/>
      <c r="F24" s="102"/>
      <c r="G24" s="102"/>
      <c r="H24" s="102"/>
      <c r="I24" s="594">
        <f>I22/3</f>
        <v>0</v>
      </c>
      <c r="J24" s="594"/>
      <c r="K24" s="594"/>
      <c r="L24" s="594"/>
      <c r="M24" s="102"/>
      <c r="N24" s="102"/>
      <c r="O24" s="102"/>
      <c r="P24" s="102"/>
      <c r="Q24" s="102"/>
      <c r="R24" s="104" t="str">
        <f>IF(X24&gt;0,"Contrib. Confed.:","")</f>
        <v/>
      </c>
      <c r="S24" s="104"/>
      <c r="T24" s="104"/>
      <c r="U24" s="104"/>
      <c r="V24" s="104"/>
      <c r="W24" s="104"/>
      <c r="X24" s="602">
        <f>IF(I18&lt;=3000,I18*config!P6,60)</f>
        <v>0</v>
      </c>
      <c r="Y24" s="602"/>
      <c r="Z24" s="602"/>
      <c r="AA24" s="602"/>
      <c r="AB24" s="95"/>
      <c r="AC24" s="27"/>
      <c r="AD24" s="4" t="s">
        <v>16</v>
      </c>
      <c r="AE24" s="14"/>
      <c r="AF24" s="14">
        <f>IF(I18&lt;=AE22,SUM(AF20:AF22),0)</f>
        <v>0.08</v>
      </c>
      <c r="AG24" s="14">
        <f>IF(I20&lt;=AE22,SUM(AG20:AG22),0)</f>
        <v>0.08</v>
      </c>
      <c r="AH24" s="4">
        <f>IF(I36&lt;=AE22,SUM(AH20:AH22),0)</f>
        <v>0.08</v>
      </c>
    </row>
    <row r="25" spans="1:42" ht="6" customHeight="1" x14ac:dyDescent="0.25">
      <c r="A25" s="92"/>
      <c r="B25" s="102"/>
      <c r="C25" s="102"/>
      <c r="D25" s="102"/>
      <c r="E25" s="102"/>
      <c r="F25" s="102"/>
      <c r="G25" s="102"/>
      <c r="H25" s="102"/>
      <c r="I25" s="103"/>
      <c r="J25" s="103"/>
      <c r="K25" s="103"/>
      <c r="L25" s="103"/>
      <c r="M25" s="102"/>
      <c r="N25" s="102"/>
      <c r="O25" s="102"/>
      <c r="P25" s="121"/>
      <c r="Q25" s="121"/>
      <c r="R25" s="121"/>
      <c r="S25" s="121"/>
      <c r="T25" s="121"/>
      <c r="U25" s="121"/>
      <c r="V25" s="121"/>
      <c r="W25" s="121"/>
      <c r="X25" s="105"/>
      <c r="Y25" s="105"/>
      <c r="Z25" s="105"/>
      <c r="AA25" s="105"/>
      <c r="AB25" s="95"/>
      <c r="AC25" s="28"/>
    </row>
    <row r="26" spans="1:42" ht="12.75" customHeight="1" x14ac:dyDescent="0.25">
      <c r="A26" s="92"/>
      <c r="B26" s="108" t="str">
        <f>IF(I26&gt;0,"Quebra de contrato:","")</f>
        <v/>
      </c>
      <c r="C26" s="109"/>
      <c r="D26" s="109"/>
      <c r="E26" s="109"/>
      <c r="F26" s="109"/>
      <c r="G26" s="109"/>
      <c r="H26" s="109"/>
      <c r="I26" s="594">
        <f>IF(O8="por parte da empresa",AE5*AE13,0)</f>
        <v>0</v>
      </c>
      <c r="J26" s="594"/>
      <c r="K26" s="594"/>
      <c r="L26" s="594"/>
      <c r="M26" s="109"/>
      <c r="N26" s="109"/>
      <c r="O26" s="122"/>
      <c r="P26" s="124"/>
      <c r="Q26" s="125"/>
      <c r="R26" s="108" t="str">
        <f>IF(X26&gt;0,"Quebra de contrato:","")</f>
        <v/>
      </c>
      <c r="S26" s="109"/>
      <c r="T26" s="109"/>
      <c r="U26" s="109"/>
      <c r="V26" s="109"/>
      <c r="W26" s="109"/>
      <c r="X26" s="602">
        <f>IF(O8="por parte do trabalhador",AE5*AE13,0)</f>
        <v>0</v>
      </c>
      <c r="Y26" s="602"/>
      <c r="Z26" s="602"/>
      <c r="AA26" s="602"/>
      <c r="AB26" s="102"/>
      <c r="AC26" s="27"/>
      <c r="AD26" s="4" t="s">
        <v>19</v>
      </c>
      <c r="AM26" s="16"/>
      <c r="AP26" s="16"/>
    </row>
    <row r="27" spans="1:42" ht="6" customHeight="1" x14ac:dyDescent="0.25">
      <c r="A27" s="92"/>
      <c r="B27" s="102"/>
      <c r="C27" s="102"/>
      <c r="D27" s="102"/>
      <c r="E27" s="102"/>
      <c r="F27" s="102"/>
      <c r="G27" s="102"/>
      <c r="H27" s="102"/>
      <c r="I27" s="103"/>
      <c r="J27" s="103"/>
      <c r="K27" s="103"/>
      <c r="L27" s="103"/>
      <c r="M27" s="102"/>
      <c r="N27" s="102"/>
      <c r="O27" s="102"/>
      <c r="P27" s="125"/>
      <c r="Q27" s="125"/>
      <c r="R27" s="125"/>
      <c r="S27" s="125"/>
      <c r="T27" s="125"/>
      <c r="U27" s="125"/>
      <c r="V27" s="125"/>
      <c r="W27" s="125"/>
      <c r="X27" s="105"/>
      <c r="Y27" s="105"/>
      <c r="Z27" s="105"/>
      <c r="AA27" s="105"/>
      <c r="AB27" s="95"/>
      <c r="AC27" s="28"/>
      <c r="AE27" s="4" t="s">
        <v>22</v>
      </c>
      <c r="AF27" s="4" t="s">
        <v>20</v>
      </c>
      <c r="AG27" s="4" t="s">
        <v>21</v>
      </c>
      <c r="AH27" s="16" t="s">
        <v>28</v>
      </c>
      <c r="AI27" s="16" t="s">
        <v>29</v>
      </c>
      <c r="AL27" s="18"/>
      <c r="AO27" s="16"/>
    </row>
    <row r="28" spans="1:42" ht="12.75" customHeight="1" x14ac:dyDescent="0.25">
      <c r="A28" s="92"/>
      <c r="B28" s="102" t="str">
        <f>IF(I28&gt;0,"Salário família:","")</f>
        <v/>
      </c>
      <c r="C28" s="102"/>
      <c r="D28" s="102"/>
      <c r="E28" s="102"/>
      <c r="F28" s="102"/>
      <c r="G28" s="102"/>
      <c r="H28" s="102"/>
      <c r="I28" s="594">
        <f>SUM(AG46:AG47)</f>
        <v>0</v>
      </c>
      <c r="J28" s="594"/>
      <c r="K28" s="594"/>
      <c r="L28" s="594"/>
      <c r="M28" s="109"/>
      <c r="N28" s="109"/>
      <c r="O28" s="109"/>
      <c r="P28" s="109"/>
      <c r="Q28" s="125"/>
      <c r="R28" s="125" t="str">
        <f>IF(X28&gt;0,"IRPF 13º:","")</f>
        <v/>
      </c>
      <c r="S28" s="125"/>
      <c r="T28" s="125"/>
      <c r="U28" s="125"/>
      <c r="V28" s="125"/>
      <c r="W28" s="125"/>
      <c r="X28" s="597">
        <f>SUM(AI29:AI32)</f>
        <v>0</v>
      </c>
      <c r="Y28" s="597"/>
      <c r="Z28" s="597"/>
      <c r="AA28" s="597"/>
      <c r="AB28" s="102"/>
      <c r="AC28" s="27"/>
      <c r="AD28" s="17">
        <f>config!F60</f>
        <v>1903.98</v>
      </c>
      <c r="AE28" s="17">
        <f>AD28</f>
        <v>1903.98</v>
      </c>
      <c r="AF28" s="4">
        <f>config!M60</f>
        <v>0</v>
      </c>
      <c r="AG28" s="16">
        <f>config!P60</f>
        <v>0</v>
      </c>
      <c r="AH28" s="16"/>
      <c r="AK28" s="17"/>
      <c r="AL28" s="17"/>
      <c r="AM28" s="18"/>
      <c r="AO28" s="17"/>
      <c r="AP28" s="18"/>
    </row>
    <row r="29" spans="1:42" ht="6" customHeight="1" x14ac:dyDescent="0.25">
      <c r="A29" s="92"/>
      <c r="B29" s="102"/>
      <c r="C29" s="102"/>
      <c r="D29" s="102"/>
      <c r="E29" s="102"/>
      <c r="F29" s="102"/>
      <c r="G29" s="102"/>
      <c r="H29" s="102"/>
      <c r="I29" s="103"/>
      <c r="J29" s="103"/>
      <c r="K29" s="103"/>
      <c r="L29" s="103"/>
      <c r="M29" s="102"/>
      <c r="N29" s="102"/>
      <c r="O29" s="102"/>
      <c r="P29" s="121"/>
      <c r="Q29" s="121"/>
      <c r="R29" s="121"/>
      <c r="S29" s="121"/>
      <c r="T29" s="121"/>
      <c r="U29" s="121"/>
      <c r="V29" s="121"/>
      <c r="W29" s="121"/>
      <c r="X29" s="105"/>
      <c r="Y29" s="105"/>
      <c r="Z29" s="105"/>
      <c r="AA29" s="105"/>
      <c r="AB29" s="95"/>
      <c r="AC29" s="28"/>
      <c r="AD29" s="17">
        <f>config!J61</f>
        <v>2826.65</v>
      </c>
      <c r="AE29" s="17">
        <f>AD29</f>
        <v>2826.65</v>
      </c>
      <c r="AF29" s="19">
        <f>config!M61</f>
        <v>7.4999999999999997E-2</v>
      </c>
      <c r="AG29" s="20">
        <f>config!P61</f>
        <v>142.80000000000001</v>
      </c>
      <c r="AH29" s="18">
        <f>IF($AE$36&gt;$AD28,IF($AE$36&lt;=$AE29,($AE$36*$AF29)-$AG29,0),0)</f>
        <v>0</v>
      </c>
      <c r="AI29" s="18">
        <f>IF($AE$37&gt;$AD28,IF($AE$37&lt;=$AE29,($AE$37*$AF29)-$AG29,0),0)</f>
        <v>0</v>
      </c>
      <c r="AK29" s="17"/>
      <c r="AL29" s="18"/>
      <c r="AN29" s="17"/>
      <c r="AO29" s="18"/>
    </row>
    <row r="30" spans="1:42" ht="17.25" customHeight="1" x14ac:dyDescent="0.25">
      <c r="A30" s="92"/>
      <c r="M30" s="109"/>
      <c r="N30" s="109"/>
      <c r="O30" s="109"/>
      <c r="P30" s="124"/>
      <c r="Q30" s="125"/>
      <c r="R30" s="121" t="str">
        <f>IF(X30&gt;0,"IRPF Salário:","")</f>
        <v/>
      </c>
      <c r="S30" s="121"/>
      <c r="T30" s="121"/>
      <c r="U30" s="121"/>
      <c r="V30" s="121"/>
      <c r="W30" s="121"/>
      <c r="X30" s="597">
        <f>SUM(AH29:AH32)</f>
        <v>0</v>
      </c>
      <c r="Y30" s="597"/>
      <c r="Z30" s="597"/>
      <c r="AA30" s="597"/>
      <c r="AB30" s="95"/>
      <c r="AC30" s="28"/>
      <c r="AD30" s="17">
        <f>config!J62</f>
        <v>3751.05</v>
      </c>
      <c r="AE30" s="17">
        <f>AD30</f>
        <v>3751.05</v>
      </c>
      <c r="AF30" s="21">
        <f>config!M62</f>
        <v>0.15</v>
      </c>
      <c r="AG30" s="20">
        <f>config!P62</f>
        <v>354.8</v>
      </c>
      <c r="AH30" s="18">
        <f>IF(AE36&gt;AE29,IF(AE36&lt;=AE30,(AE36*AF30)-AG30,0),0)</f>
        <v>0</v>
      </c>
      <c r="AI30" s="18">
        <f>IF($AE$37&gt;$AD29,IF($AE$37&lt;=$AE30,($AE$37*$AF30)-$AG30,0),0)</f>
        <v>0</v>
      </c>
      <c r="AK30" s="17"/>
      <c r="AL30" s="17"/>
      <c r="AM30" s="18"/>
      <c r="AO30" s="17"/>
      <c r="AP30" s="18"/>
    </row>
    <row r="31" spans="1:42" ht="6" customHeight="1" x14ac:dyDescent="0.25">
      <c r="A31" s="92"/>
      <c r="B31" s="102"/>
      <c r="C31" s="102"/>
      <c r="D31" s="102"/>
      <c r="E31" s="102"/>
      <c r="F31" s="102"/>
      <c r="G31" s="102"/>
      <c r="H31" s="102"/>
      <c r="I31" s="103"/>
      <c r="J31" s="103"/>
      <c r="K31" s="103"/>
      <c r="L31" s="103"/>
      <c r="M31" s="109"/>
      <c r="N31" s="109"/>
      <c r="O31" s="109"/>
      <c r="P31" s="124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95"/>
      <c r="AC31" s="28"/>
      <c r="AD31" s="17">
        <f>config!J63</f>
        <v>4664.68</v>
      </c>
      <c r="AE31" s="17">
        <f>AD31</f>
        <v>4664.68</v>
      </c>
      <c r="AF31" s="19">
        <f>config!M63</f>
        <v>0.22500000000000001</v>
      </c>
      <c r="AG31" s="20">
        <f>config!P63</f>
        <v>636.13</v>
      </c>
      <c r="AH31" s="18">
        <f>IF($AE$36&gt;$AD30,IF($AE$36&lt;=$AE31,($AE$36*$AF31)-$AG31,0),0)</f>
        <v>0</v>
      </c>
      <c r="AI31" s="18">
        <f>IF($AE$37&gt;$AD30,IF($AE$37&lt;=$AE31,($AE$37*$AF31)-$AG31,0),0)</f>
        <v>0</v>
      </c>
      <c r="AK31" s="17"/>
      <c r="AL31" s="18"/>
      <c r="AN31" s="17"/>
      <c r="AO31" s="18"/>
    </row>
    <row r="32" spans="1:42" ht="21.75" customHeight="1" x14ac:dyDescent="0.25">
      <c r="A32" s="92"/>
      <c r="M32" s="109"/>
      <c r="N32" s="109"/>
      <c r="O32" s="109"/>
      <c r="P32" s="124"/>
      <c r="Q32" s="125"/>
      <c r="R32" s="4" t="str">
        <f>IF(X32=0,"","Adiantamentos")</f>
        <v/>
      </c>
      <c r="X32" s="597">
        <f>masc_exp2!R18</f>
        <v>0</v>
      </c>
      <c r="Y32" s="597"/>
      <c r="Z32" s="597"/>
      <c r="AA32" s="597"/>
      <c r="AB32" s="108"/>
      <c r="AC32" s="28"/>
      <c r="AD32" s="4" t="s">
        <v>23</v>
      </c>
      <c r="AE32" s="19"/>
      <c r="AF32" s="19">
        <f>config!M64</f>
        <v>0.27500000000000002</v>
      </c>
      <c r="AG32" s="20">
        <f>config!P64</f>
        <v>869.36</v>
      </c>
      <c r="AH32" s="18">
        <f>IF($AE36&gt;$AE31,($AE36*$AF32)-$AG32,0)</f>
        <v>0</v>
      </c>
      <c r="AI32" s="17">
        <f>IF(AE37&gt;AE31,(AE37*AF32)-AG32,0)</f>
        <v>0</v>
      </c>
      <c r="AK32" s="17"/>
    </row>
    <row r="33" spans="1:37" ht="4.5" customHeight="1" x14ac:dyDescent="0.25">
      <c r="A33" s="92"/>
      <c r="M33" s="109"/>
      <c r="N33" s="109"/>
      <c r="O33" s="109"/>
      <c r="P33" s="124"/>
      <c r="Q33" s="125"/>
      <c r="AB33" s="108"/>
      <c r="AC33" s="28"/>
      <c r="AE33" s="19"/>
      <c r="AF33" s="19"/>
      <c r="AG33" s="20"/>
      <c r="AH33" s="18"/>
      <c r="AI33" s="17"/>
      <c r="AK33" s="17"/>
    </row>
    <row r="34" spans="1:37" ht="21.75" customHeight="1" x14ac:dyDescent="0.25">
      <c r="A34" s="92"/>
      <c r="B34" s="114" t="s">
        <v>47</v>
      </c>
      <c r="C34" s="115"/>
      <c r="D34" s="115"/>
      <c r="E34" s="115"/>
      <c r="F34" s="115"/>
      <c r="G34" s="115"/>
      <c r="H34" s="598">
        <f>I28+I26+I24+I22+I20+I18</f>
        <v>0</v>
      </c>
      <c r="I34" s="598"/>
      <c r="J34" s="598"/>
      <c r="K34" s="598"/>
      <c r="L34" s="599"/>
      <c r="M34" s="109"/>
      <c r="N34" s="109"/>
      <c r="O34" s="109"/>
      <c r="P34" s="124"/>
      <c r="Q34" s="125"/>
      <c r="R34" s="612" t="s">
        <v>1</v>
      </c>
      <c r="S34" s="613"/>
      <c r="T34" s="613"/>
      <c r="U34" s="613"/>
      <c r="V34" s="613"/>
      <c r="W34" s="614">
        <f>X30+X28+X26+X24+X22+X20+X32</f>
        <v>0</v>
      </c>
      <c r="X34" s="615"/>
      <c r="Y34" s="615"/>
      <c r="Z34" s="615"/>
      <c r="AA34" s="616"/>
      <c r="AB34" s="108"/>
      <c r="AC34" s="28"/>
      <c r="AE34" s="19"/>
      <c r="AF34" s="19"/>
      <c r="AG34" s="20"/>
      <c r="AH34" s="18"/>
      <c r="AI34" s="17"/>
      <c r="AK34" s="17"/>
    </row>
    <row r="35" spans="1:37" ht="14.25" customHeight="1" thickBot="1" x14ac:dyDescent="0.3">
      <c r="A35" s="92"/>
      <c r="B35" s="102"/>
      <c r="C35" s="102"/>
      <c r="D35" s="102"/>
      <c r="E35" s="102"/>
      <c r="F35" s="102"/>
      <c r="G35" s="102"/>
      <c r="H35" s="102"/>
      <c r="I35" s="111"/>
      <c r="J35" s="112"/>
      <c r="K35" s="112"/>
      <c r="L35" s="112"/>
      <c r="M35" s="110"/>
      <c r="N35" s="110"/>
      <c r="O35" s="110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08"/>
      <c r="AC35" s="28"/>
      <c r="AD35" s="4" t="s">
        <v>27</v>
      </c>
      <c r="AE35" s="17">
        <f>config!K66</f>
        <v>189.59</v>
      </c>
      <c r="AF35" s="22">
        <f>AE35*X14</f>
        <v>0</v>
      </c>
    </row>
    <row r="36" spans="1:37" ht="23.25" customHeight="1" thickBot="1" x14ac:dyDescent="0.3">
      <c r="A36" s="92"/>
      <c r="B36" s="102"/>
      <c r="C36" s="102"/>
      <c r="D36" s="102"/>
      <c r="E36" s="102"/>
      <c r="F36" s="102"/>
      <c r="G36" s="102"/>
      <c r="H36" s="102"/>
      <c r="I36" s="594"/>
      <c r="J36" s="594"/>
      <c r="K36" s="594"/>
      <c r="L36" s="594"/>
      <c r="M36" s="117" t="s">
        <v>46</v>
      </c>
      <c r="N36" s="404"/>
      <c r="O36" s="404"/>
      <c r="P36" s="405"/>
      <c r="Q36" s="406"/>
      <c r="R36" s="407"/>
      <c r="S36" s="605">
        <f>IF(H34&gt;W34,H34-W34,0)</f>
        <v>0</v>
      </c>
      <c r="T36" s="605"/>
      <c r="U36" s="605"/>
      <c r="V36" s="606"/>
      <c r="W36" s="408"/>
      <c r="AB36" s="108"/>
      <c r="AC36" s="28"/>
      <c r="AD36" s="4" t="s">
        <v>25</v>
      </c>
      <c r="AE36" s="23">
        <f>I18-X20-AF35</f>
        <v>0</v>
      </c>
    </row>
    <row r="37" spans="1:37" ht="9.75" customHeight="1" thickBot="1" x14ac:dyDescent="0.3">
      <c r="A37" s="92"/>
      <c r="B37" s="102"/>
      <c r="C37" s="102"/>
      <c r="D37" s="102"/>
      <c r="E37" s="102"/>
      <c r="F37" s="102"/>
      <c r="G37" s="102"/>
      <c r="H37" s="102"/>
      <c r="I37" s="113"/>
      <c r="J37" s="113"/>
      <c r="K37" s="113"/>
      <c r="L37" s="387" t="s">
        <v>211</v>
      </c>
      <c r="M37" s="110"/>
      <c r="N37" s="110"/>
      <c r="O37" s="110"/>
      <c r="P37" s="125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08"/>
      <c r="AC37" s="28"/>
      <c r="AD37" s="4" t="s">
        <v>26</v>
      </c>
      <c r="AE37" s="24">
        <f>(I20+I36)-X22-AF35</f>
        <v>0</v>
      </c>
    </row>
    <row r="38" spans="1:37" ht="20.25" customHeight="1" thickBot="1" x14ac:dyDescent="0.3">
      <c r="A38" s="92"/>
      <c r="B38" s="102"/>
      <c r="C38" s="102"/>
      <c r="D38" s="110"/>
      <c r="E38" s="110"/>
      <c r="F38" s="110"/>
      <c r="G38" s="110"/>
      <c r="H38" s="110"/>
      <c r="I38" s="594"/>
      <c r="J38" s="594"/>
      <c r="K38" s="594"/>
      <c r="L38" s="594"/>
      <c r="M38" s="117" t="str">
        <f>IF(O8="por parte da empresa","FGTS: (valor estimado)","")</f>
        <v/>
      </c>
      <c r="N38" s="404"/>
      <c r="O38" s="404"/>
      <c r="P38" s="405"/>
      <c r="Q38" s="406"/>
      <c r="R38" s="409"/>
      <c r="S38" s="626" t="str">
        <f>IF(M38="","",((E12/30)*masc_exp2!L12)*8%)</f>
        <v/>
      </c>
      <c r="T38" s="626"/>
      <c r="U38" s="626"/>
      <c r="V38" s="627"/>
      <c r="W38" s="109"/>
      <c r="X38" s="109"/>
      <c r="Y38" s="109"/>
      <c r="Z38" s="109"/>
      <c r="AA38" s="109"/>
      <c r="AB38" s="108"/>
      <c r="AC38" s="28"/>
    </row>
    <row r="39" spans="1:37" ht="6" customHeight="1" x14ac:dyDescent="0.25">
      <c r="A39" s="92"/>
      <c r="B39" s="102"/>
      <c r="C39" s="102"/>
      <c r="D39" s="110"/>
      <c r="E39" s="110"/>
      <c r="F39" s="110"/>
      <c r="G39" s="110"/>
      <c r="H39" s="110"/>
      <c r="I39" s="113"/>
      <c r="J39" s="113"/>
      <c r="K39" s="113"/>
      <c r="L39" s="113"/>
      <c r="M39" s="110"/>
      <c r="N39" s="110"/>
      <c r="O39" s="110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08"/>
      <c r="AC39" s="28"/>
    </row>
    <row r="40" spans="1:37" ht="23.25" customHeight="1" x14ac:dyDescent="0.25">
      <c r="A40" s="92"/>
      <c r="B40" s="625" t="str">
        <f>config!E110</f>
        <v>Obs. Cálculo baseado nas informações digitadas pelo usuário do site, podendo haver diferenças.</v>
      </c>
      <c r="C40" s="625"/>
      <c r="D40" s="625"/>
      <c r="E40" s="625"/>
      <c r="F40" s="625"/>
      <c r="G40" s="625"/>
      <c r="H40" s="625"/>
      <c r="I40" s="625"/>
      <c r="J40" s="625"/>
      <c r="K40" s="625"/>
      <c r="L40" s="625"/>
      <c r="M40" s="625"/>
      <c r="N40" s="625"/>
      <c r="O40" s="625"/>
      <c r="P40" s="625"/>
      <c r="Q40" s="625"/>
      <c r="R40" s="625"/>
      <c r="S40" s="625"/>
      <c r="T40" s="625"/>
      <c r="U40" s="625"/>
      <c r="V40" s="625"/>
      <c r="W40" s="625"/>
      <c r="X40" s="625"/>
      <c r="Y40" s="625"/>
      <c r="Z40" s="625"/>
      <c r="AA40" s="625"/>
      <c r="AB40" s="95"/>
      <c r="AC40" s="28"/>
      <c r="AD40" s="4" t="s">
        <v>38</v>
      </c>
      <c r="AE40" s="4" t="s">
        <v>35</v>
      </c>
    </row>
    <row r="41" spans="1:37" ht="6" customHeight="1" x14ac:dyDescent="0.25">
      <c r="A41" s="92"/>
      <c r="B41" s="625"/>
      <c r="C41" s="625"/>
      <c r="D41" s="625"/>
      <c r="E41" s="625"/>
      <c r="F41" s="625"/>
      <c r="G41" s="625"/>
      <c r="H41" s="625"/>
      <c r="I41" s="625"/>
      <c r="J41" s="625"/>
      <c r="K41" s="625"/>
      <c r="L41" s="625"/>
      <c r="M41" s="625"/>
      <c r="N41" s="625"/>
      <c r="O41" s="625"/>
      <c r="P41" s="625"/>
      <c r="Q41" s="625"/>
      <c r="R41" s="625"/>
      <c r="S41" s="625"/>
      <c r="T41" s="625"/>
      <c r="U41" s="625"/>
      <c r="V41" s="625"/>
      <c r="W41" s="625"/>
      <c r="X41" s="625"/>
      <c r="Y41" s="625"/>
      <c r="Z41" s="625"/>
      <c r="AA41" s="625"/>
      <c r="AB41" s="95"/>
      <c r="AC41" s="28"/>
      <c r="AD41" s="4" t="s">
        <v>30</v>
      </c>
      <c r="AE41" s="4" t="s">
        <v>87</v>
      </c>
    </row>
    <row r="42" spans="1:37" ht="18.75" customHeight="1" x14ac:dyDescent="0.25">
      <c r="A42" s="92"/>
      <c r="B42" s="625"/>
      <c r="C42" s="625"/>
      <c r="D42" s="625"/>
      <c r="E42" s="625"/>
      <c r="F42" s="625"/>
      <c r="G42" s="625"/>
      <c r="H42" s="625"/>
      <c r="I42" s="625"/>
      <c r="J42" s="625"/>
      <c r="K42" s="625"/>
      <c r="L42" s="625"/>
      <c r="M42" s="625"/>
      <c r="N42" s="625"/>
      <c r="O42" s="625"/>
      <c r="P42" s="625"/>
      <c r="Q42" s="625"/>
      <c r="R42" s="625"/>
      <c r="S42" s="625"/>
      <c r="T42" s="625"/>
      <c r="U42" s="625"/>
      <c r="V42" s="625"/>
      <c r="W42" s="625"/>
      <c r="X42" s="625"/>
      <c r="Y42" s="625"/>
      <c r="Z42" s="625"/>
      <c r="AA42" s="625"/>
      <c r="AB42" s="95"/>
      <c r="AC42" s="27"/>
      <c r="AD42" s="4" t="s">
        <v>31</v>
      </c>
      <c r="AE42" s="4" t="s">
        <v>88</v>
      </c>
    </row>
    <row r="43" spans="1:37" ht="6" customHeight="1" x14ac:dyDescent="0.25">
      <c r="A43" s="92"/>
      <c r="B43" s="102"/>
      <c r="C43" s="102"/>
      <c r="D43" s="102"/>
      <c r="E43" s="102"/>
      <c r="F43" s="102"/>
      <c r="G43" s="102"/>
      <c r="H43" s="102"/>
      <c r="I43" s="126"/>
      <c r="J43" s="126"/>
      <c r="K43" s="126"/>
      <c r="L43" s="126"/>
      <c r="M43" s="102"/>
      <c r="N43" s="102"/>
      <c r="O43" s="102"/>
      <c r="P43" s="121"/>
      <c r="Q43" s="121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95"/>
      <c r="AC43" s="33"/>
    </row>
    <row r="44" spans="1:37" ht="19.5" customHeight="1" x14ac:dyDescent="0.25">
      <c r="A44" s="92"/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27"/>
      <c r="N44" s="108"/>
      <c r="O44" s="108"/>
      <c r="P44" s="108"/>
      <c r="Q44" s="108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16"/>
      <c r="AC44" s="33"/>
      <c r="AD44" s="596" t="s">
        <v>41</v>
      </c>
      <c r="AE44" s="596" t="s">
        <v>40</v>
      </c>
    </row>
    <row r="45" spans="1:37" ht="9.75" customHeight="1" x14ac:dyDescent="0.25">
      <c r="A45" s="92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6"/>
      <c r="AC45" s="41"/>
      <c r="AD45" s="596"/>
      <c r="AE45" s="596"/>
      <c r="AF45" s="4" t="s">
        <v>44</v>
      </c>
      <c r="AG45" s="4" t="s">
        <v>45</v>
      </c>
    </row>
    <row r="46" spans="1:37" ht="23.25" customHeight="1" x14ac:dyDescent="0.25">
      <c r="A46" s="128" t="str">
        <f>config!P104</f>
        <v>www.sincomerciarios.org.br</v>
      </c>
      <c r="B46" s="129"/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08"/>
      <c r="R46" s="109"/>
      <c r="S46" s="109"/>
      <c r="T46" s="109"/>
      <c r="U46" s="109"/>
      <c r="V46" s="109"/>
      <c r="W46" s="109"/>
      <c r="X46" s="109"/>
      <c r="Y46" s="109"/>
      <c r="Z46" s="109"/>
      <c r="AA46" s="167" t="str">
        <f>config!G105</f>
        <v>itapeva@sincomerciarios.org.br</v>
      </c>
      <c r="AB46" s="109"/>
      <c r="AC46" s="38"/>
      <c r="AD46" s="25">
        <f>config!F90</f>
        <v>806.8</v>
      </c>
      <c r="AE46" s="26">
        <f>config!I90</f>
        <v>41.37</v>
      </c>
      <c r="AF46" s="4">
        <f>IF(E12&lt;=AD46,Z14*AE46,0)</f>
        <v>0</v>
      </c>
      <c r="AG46" s="16">
        <f>(AF46/30)*F18</f>
        <v>0</v>
      </c>
    </row>
    <row r="47" spans="1:37" ht="6" customHeight="1" x14ac:dyDescent="0.25">
      <c r="A47" s="128"/>
      <c r="B47" s="129"/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9"/>
      <c r="AC47" s="38"/>
      <c r="AD47" s="25">
        <f>config!F91</f>
        <v>1212.6400000000001</v>
      </c>
      <c r="AE47" s="26">
        <f>config!I91</f>
        <v>29.16</v>
      </c>
      <c r="AF47" s="4">
        <f>IF(E12&gt;AD46,IF(E12&lt;=AD47,Z14*AE47,0),0)</f>
        <v>0</v>
      </c>
      <c r="AG47" s="16">
        <f>(AF47/30)*F18</f>
        <v>0</v>
      </c>
    </row>
    <row r="48" spans="1:37" ht="12.75" x14ac:dyDescent="0.25"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25"/>
      <c r="AE48" s="25"/>
    </row>
    <row r="49" spans="1:29" hidden="1" x14ac:dyDescent="0.25"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</row>
    <row r="50" spans="1:29" hidden="1" x14ac:dyDescent="0.25"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</row>
    <row r="51" spans="1:29" ht="15" hidden="1" x14ac:dyDescent="0.25">
      <c r="A51" s="38"/>
      <c r="B51" s="38"/>
      <c r="C51" s="38"/>
      <c r="D51" s="38"/>
      <c r="E51" s="38"/>
      <c r="F51" s="38"/>
      <c r="G51" s="38"/>
      <c r="H51" s="40"/>
      <c r="I51" s="40"/>
      <c r="J51" s="40"/>
      <c r="K51" s="40"/>
      <c r="L51" s="40"/>
      <c r="M51" s="40"/>
      <c r="N51" s="40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</row>
    <row r="52" spans="1:29" hidden="1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</row>
    <row r="53" spans="1:29" hidden="1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</row>
    <row r="54" spans="1:29" hidden="1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</row>
    <row r="55" spans="1:29" hidden="1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</row>
    <row r="56" spans="1:29" hidden="1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</row>
    <row r="57" spans="1:29" hidden="1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</row>
    <row r="58" spans="1:29" hidden="1" x14ac:dyDescent="0.25">
      <c r="AC58" s="38"/>
    </row>
  </sheetData>
  <sheetProtection password="C47D" sheet="1" objects="1" scenarios="1" selectLockedCells="1" selectUnlockedCells="1"/>
  <mergeCells count="41">
    <mergeCell ref="Z14:AA14"/>
    <mergeCell ref="X26:AA26"/>
    <mergeCell ref="I18:L18"/>
    <mergeCell ref="O8:U8"/>
    <mergeCell ref="G3:AA3"/>
    <mergeCell ref="B5:AA5"/>
    <mergeCell ref="B6:AA6"/>
    <mergeCell ref="E10:I10"/>
    <mergeCell ref="M10:P10"/>
    <mergeCell ref="R10:W10"/>
    <mergeCell ref="F18:G18"/>
    <mergeCell ref="E20:F20"/>
    <mergeCell ref="I20:L20"/>
    <mergeCell ref="X24:AA24"/>
    <mergeCell ref="I22:L22"/>
    <mergeCell ref="R18:AA18"/>
    <mergeCell ref="M20:N20"/>
    <mergeCell ref="AE44:AE45"/>
    <mergeCell ref="S36:V36"/>
    <mergeCell ref="B40:AA42"/>
    <mergeCell ref="I36:L36"/>
    <mergeCell ref="I38:L38"/>
    <mergeCell ref="AD44:AD45"/>
    <mergeCell ref="S38:V38"/>
    <mergeCell ref="X32:AA32"/>
    <mergeCell ref="X10:AA10"/>
    <mergeCell ref="I26:L26"/>
    <mergeCell ref="X28:AA28"/>
    <mergeCell ref="X22:AA22"/>
    <mergeCell ref="W34:AA34"/>
    <mergeCell ref="I28:L28"/>
    <mergeCell ref="H34:L34"/>
    <mergeCell ref="R34:V34"/>
    <mergeCell ref="I24:L24"/>
    <mergeCell ref="X30:AA30"/>
    <mergeCell ref="S11:AA11"/>
    <mergeCell ref="E12:J12"/>
    <mergeCell ref="B14:L14"/>
    <mergeCell ref="M14:N14"/>
    <mergeCell ref="P14:Y14"/>
    <mergeCell ref="X20:AA20"/>
  </mergeCells>
  <conditionalFormatting sqref="I19:L19 I28:L28 I31:L31 I35:K39 L35:L36 L38:L39">
    <cfRule type="cellIs" dxfId="4" priority="8" stopIfTrue="1" operator="notEqual">
      <formula>0</formula>
    </cfRule>
  </conditionalFormatting>
  <conditionalFormatting sqref="M20:N20">
    <cfRule type="cellIs" dxfId="3" priority="7" stopIfTrue="1" operator="notEqual">
      <formula>0</formula>
    </cfRule>
  </conditionalFormatting>
  <conditionalFormatting sqref="X35:AA35 X37:AA37 X20:AA31 I18:L29">
    <cfRule type="cellIs" dxfId="2" priority="6" stopIfTrue="1" operator="notEqual">
      <formula>0</formula>
    </cfRule>
  </conditionalFormatting>
  <conditionalFormatting sqref="E20:F20">
    <cfRule type="cellIs" dxfId="1" priority="2" stopIfTrue="1" operator="notEqual">
      <formula>0</formula>
    </cfRule>
  </conditionalFormatting>
  <conditionalFormatting sqref="X32:AA32">
    <cfRule type="cellIs" dxfId="0" priority="1" stopIfTrue="1" operator="notEqual">
      <formula>0</formula>
    </cfRule>
  </conditionalFormatting>
  <pageMargins left="0.32" right="0.32" top="0.78740157480314965" bottom="0.78740157480314965" header="0.31496062992125984" footer="0.31496062992125984"/>
  <pageSetup paperSize="9" orientation="portrait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pageSetUpPr fitToPage="1"/>
  </sheetPr>
  <dimension ref="A1:IU138"/>
  <sheetViews>
    <sheetView showGridLines="0" showRowColHeaders="0" showZeros="0" zoomScale="85" zoomScaleNormal="85" workbookViewId="0">
      <selection activeCell="P6" sqref="P6:R6"/>
    </sheetView>
  </sheetViews>
  <sheetFormatPr defaultColWidth="0" defaultRowHeight="15" zeroHeight="1" x14ac:dyDescent="0.25"/>
  <cols>
    <col min="1" max="24" width="4.28515625" style="130" customWidth="1"/>
    <col min="25" max="25" width="5.28515625" style="130" customWidth="1"/>
    <col min="26" max="35" width="4.28515625" style="130" customWidth="1"/>
    <col min="36" max="36" width="9.140625" style="455" hidden="1" customWidth="1"/>
    <col min="37" max="255" width="9.140625" style="130" hidden="1" customWidth="1"/>
    <col min="256" max="16384" width="5.5703125" style="130" hidden="1"/>
  </cols>
  <sheetData>
    <row r="1" spans="4:39" x14ac:dyDescent="0.25">
      <c r="E1" s="671" t="s">
        <v>119</v>
      </c>
      <c r="F1" s="671"/>
      <c r="G1" s="671"/>
      <c r="H1" s="671"/>
    </row>
    <row r="2" spans="4:39" x14ac:dyDescent="0.25"/>
    <row r="3" spans="4:39" x14ac:dyDescent="0.25">
      <c r="E3" s="54" t="s">
        <v>120</v>
      </c>
    </row>
    <row r="4" spans="4:39" ht="15.75" thickBot="1" x14ac:dyDescent="0.3"/>
    <row r="5" spans="4:39" ht="15.75" thickTop="1" x14ac:dyDescent="0.25">
      <c r="D5" s="674"/>
      <c r="E5" s="675"/>
      <c r="F5" s="675"/>
      <c r="G5" s="675"/>
      <c r="H5" s="675"/>
      <c r="I5" s="675"/>
      <c r="J5" s="675"/>
      <c r="K5" s="675"/>
      <c r="L5" s="675"/>
      <c r="M5" s="675"/>
      <c r="N5" s="675"/>
      <c r="O5" s="675"/>
      <c r="P5" s="675"/>
      <c r="Q5" s="133"/>
      <c r="R5" s="133"/>
      <c r="S5" s="133"/>
      <c r="T5" s="134"/>
    </row>
    <row r="6" spans="4:39" x14ac:dyDescent="0.25">
      <c r="D6" s="135"/>
      <c r="E6" s="137" t="s">
        <v>192</v>
      </c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637">
        <v>1.7500000000000002E-2</v>
      </c>
      <c r="Q6" s="637"/>
      <c r="R6" s="637"/>
      <c r="S6" s="137"/>
      <c r="T6" s="138"/>
    </row>
    <row r="7" spans="4:39" s="351" customFormat="1" x14ac:dyDescent="0.25">
      <c r="D7" s="135"/>
      <c r="E7" s="137"/>
      <c r="F7" s="137"/>
      <c r="G7" s="137"/>
      <c r="H7" s="137"/>
      <c r="I7" s="137"/>
      <c r="J7" s="137"/>
      <c r="K7" s="137"/>
      <c r="L7" s="137"/>
      <c r="M7" s="137"/>
      <c r="N7" s="414"/>
      <c r="O7" s="414"/>
      <c r="P7" s="207"/>
      <c r="Q7" s="207"/>
      <c r="R7" s="207"/>
      <c r="S7" s="207"/>
      <c r="T7" s="415"/>
      <c r="AJ7" s="455"/>
    </row>
    <row r="8" spans="4:39" s="351" customFormat="1" x14ac:dyDescent="0.25">
      <c r="D8" s="135"/>
      <c r="E8" s="137" t="s">
        <v>190</v>
      </c>
      <c r="F8" s="137"/>
      <c r="G8" s="137"/>
      <c r="H8" s="137"/>
      <c r="I8" s="137"/>
      <c r="J8" s="137"/>
      <c r="K8" s="137"/>
      <c r="L8" s="137"/>
      <c r="M8" s="137"/>
      <c r="N8" s="414"/>
      <c r="O8" s="414"/>
      <c r="P8" s="636" t="s">
        <v>130</v>
      </c>
      <c r="Q8" s="636"/>
      <c r="R8" s="636"/>
      <c r="S8" s="137"/>
      <c r="T8" s="138"/>
      <c r="AJ8" s="455"/>
    </row>
    <row r="9" spans="4:39" s="351" customFormat="1" x14ac:dyDescent="0.25">
      <c r="D9" s="135"/>
      <c r="E9" s="137"/>
      <c r="F9" s="137"/>
      <c r="G9" s="137"/>
      <c r="H9" s="137"/>
      <c r="I9" s="137"/>
      <c r="J9" s="137"/>
      <c r="K9" s="137"/>
      <c r="L9" s="207"/>
      <c r="M9" s="207"/>
      <c r="N9" s="414"/>
      <c r="O9" s="414"/>
      <c r="P9" s="207"/>
      <c r="Q9" s="207"/>
      <c r="R9" s="207"/>
      <c r="S9" s="207"/>
      <c r="T9" s="415"/>
      <c r="AJ9" s="455"/>
    </row>
    <row r="10" spans="4:39" s="351" customFormat="1" x14ac:dyDescent="0.25">
      <c r="D10" s="135"/>
      <c r="E10" s="137" t="s">
        <v>191</v>
      </c>
      <c r="F10" s="137"/>
      <c r="G10" s="137"/>
      <c r="H10" s="137"/>
      <c r="I10" s="137"/>
      <c r="J10" s="137"/>
      <c r="K10" s="137"/>
      <c r="L10" s="137"/>
      <c r="M10" s="137"/>
      <c r="N10" s="414"/>
      <c r="O10" s="414"/>
      <c r="P10" s="681">
        <v>40</v>
      </c>
      <c r="Q10" s="681"/>
      <c r="R10" s="681"/>
      <c r="S10" s="137"/>
      <c r="T10" s="138"/>
      <c r="AJ10" s="455"/>
    </row>
    <row r="11" spans="4:39" ht="15.75" thickBot="1" x14ac:dyDescent="0.3">
      <c r="D11" s="676"/>
      <c r="E11" s="677"/>
      <c r="F11" s="677"/>
      <c r="G11" s="677"/>
      <c r="H11" s="677"/>
      <c r="I11" s="677"/>
      <c r="J11" s="677"/>
      <c r="K11" s="677"/>
      <c r="L11" s="677"/>
      <c r="M11" s="677"/>
      <c r="N11" s="677"/>
      <c r="O11" s="677"/>
      <c r="P11" s="677"/>
      <c r="Q11" s="140"/>
      <c r="R11" s="140"/>
      <c r="S11" s="140"/>
      <c r="T11" s="141"/>
    </row>
    <row r="12" spans="4:39" ht="16.5" thickTop="1" thickBot="1" x14ac:dyDescent="0.3"/>
    <row r="13" spans="4:39" s="151" customFormat="1" ht="15.75" thickTop="1" x14ac:dyDescent="0.25">
      <c r="D13" s="132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4"/>
      <c r="AJ13" s="455"/>
    </row>
    <row r="14" spans="4:39" s="151" customFormat="1" x14ac:dyDescent="0.25">
      <c r="D14" s="135"/>
      <c r="E14" s="217" t="s">
        <v>150</v>
      </c>
      <c r="F14" s="217"/>
      <c r="G14" s="217"/>
      <c r="H14" s="217"/>
      <c r="I14" s="217"/>
      <c r="J14" s="217"/>
      <c r="K14" s="218"/>
      <c r="L14" s="218"/>
      <c r="M14" s="218"/>
      <c r="N14" s="218"/>
      <c r="O14" s="218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8"/>
      <c r="AJ14" s="455"/>
    </row>
    <row r="15" spans="4:39" s="151" customFormat="1" ht="15" customHeight="1" x14ac:dyDescent="0.25">
      <c r="D15" s="135"/>
      <c r="E15" s="651" t="s">
        <v>163</v>
      </c>
      <c r="F15" s="651"/>
      <c r="G15" s="651"/>
      <c r="H15" s="651"/>
      <c r="I15" s="651"/>
      <c r="J15" s="651"/>
      <c r="K15" s="651"/>
      <c r="L15" s="651"/>
      <c r="M15" s="651"/>
      <c r="N15" s="651"/>
      <c r="O15" s="651"/>
      <c r="P15" s="651"/>
      <c r="Q15" s="651"/>
      <c r="R15" s="651"/>
      <c r="S15" s="651"/>
      <c r="T15" s="651"/>
      <c r="U15" s="651"/>
      <c r="V15" s="651"/>
      <c r="W15" s="651"/>
      <c r="X15" s="651"/>
      <c r="Y15" s="651"/>
      <c r="Z15" s="137"/>
      <c r="AA15" s="137"/>
      <c r="AB15" s="138"/>
      <c r="AJ15" s="455"/>
    </row>
    <row r="16" spans="4:39" s="151" customFormat="1" x14ac:dyDescent="0.25">
      <c r="D16" s="135"/>
      <c r="E16" s="651"/>
      <c r="F16" s="651"/>
      <c r="G16" s="651"/>
      <c r="H16" s="651"/>
      <c r="I16" s="651"/>
      <c r="J16" s="651"/>
      <c r="K16" s="651"/>
      <c r="L16" s="651"/>
      <c r="M16" s="651"/>
      <c r="N16" s="651"/>
      <c r="O16" s="651"/>
      <c r="P16" s="651"/>
      <c r="Q16" s="651"/>
      <c r="R16" s="651"/>
      <c r="S16" s="651"/>
      <c r="T16" s="651"/>
      <c r="U16" s="651"/>
      <c r="V16" s="651"/>
      <c r="W16" s="651"/>
      <c r="X16" s="651"/>
      <c r="Y16" s="651"/>
      <c r="Z16" s="638" t="s">
        <v>131</v>
      </c>
      <c r="AA16" s="638"/>
      <c r="AB16" s="138"/>
      <c r="AJ16" s="455"/>
      <c r="AM16" s="151" t="s">
        <v>130</v>
      </c>
    </row>
    <row r="17" spans="1:39" s="155" customFormat="1" x14ac:dyDescent="0.25">
      <c r="D17" s="135"/>
      <c r="E17" s="201"/>
      <c r="F17" s="201"/>
      <c r="G17" s="201"/>
      <c r="H17" s="201"/>
      <c r="I17" s="201"/>
      <c r="J17" s="201"/>
      <c r="K17" s="201"/>
      <c r="L17" s="201"/>
      <c r="M17" s="201"/>
      <c r="N17" s="201"/>
      <c r="O17" s="201"/>
      <c r="P17" s="201"/>
      <c r="Q17" s="201"/>
      <c r="R17" s="201"/>
      <c r="S17" s="201"/>
      <c r="T17" s="201"/>
      <c r="U17" s="202"/>
      <c r="V17" s="202"/>
      <c r="W17" s="203"/>
      <c r="X17" s="203"/>
      <c r="Y17" s="204"/>
      <c r="Z17" s="204"/>
      <c r="AA17" s="204"/>
      <c r="AB17" s="138"/>
      <c r="AJ17" s="455"/>
      <c r="AM17" s="151" t="s">
        <v>131</v>
      </c>
    </row>
    <row r="18" spans="1:39" s="155" customFormat="1" x14ac:dyDescent="0.25">
      <c r="D18" s="135"/>
      <c r="E18" s="205"/>
      <c r="F18" s="205"/>
      <c r="G18" s="205"/>
      <c r="H18" s="205"/>
      <c r="I18" s="205"/>
      <c r="J18" s="205"/>
      <c r="K18" s="205"/>
      <c r="L18" s="205"/>
      <c r="M18" s="205"/>
      <c r="N18" s="205"/>
      <c r="O18" s="205"/>
      <c r="P18" s="205"/>
      <c r="Q18" s="205"/>
      <c r="R18" s="205"/>
      <c r="S18" s="205"/>
      <c r="T18" s="205"/>
      <c r="U18" s="660"/>
      <c r="V18" s="660"/>
      <c r="W18" s="206"/>
      <c r="X18" s="206"/>
      <c r="Y18" s="207"/>
      <c r="Z18" s="207"/>
      <c r="AA18" s="207"/>
      <c r="AB18" s="138"/>
      <c r="AJ18" s="455"/>
    </row>
    <row r="19" spans="1:39" s="155" customFormat="1" ht="18" customHeight="1" thickBot="1" x14ac:dyDescent="0.3">
      <c r="D19" s="135"/>
      <c r="E19" s="669" t="s">
        <v>155</v>
      </c>
      <c r="F19" s="669"/>
      <c r="G19" s="669"/>
      <c r="H19" s="669"/>
      <c r="I19" s="669"/>
      <c r="J19" s="669"/>
      <c r="K19" s="669"/>
      <c r="L19" s="669"/>
      <c r="M19" s="669"/>
      <c r="N19" s="669"/>
      <c r="O19" s="669"/>
      <c r="P19" s="669"/>
      <c r="Q19" s="669"/>
      <c r="R19" s="669"/>
      <c r="S19" s="669"/>
      <c r="T19" s="209"/>
      <c r="U19" s="656" t="s">
        <v>151</v>
      </c>
      <c r="V19" s="656"/>
      <c r="W19" s="656"/>
      <c r="X19" s="656"/>
      <c r="Y19" s="656"/>
      <c r="Z19" s="661" t="s">
        <v>130</v>
      </c>
      <c r="AA19" s="661"/>
      <c r="AB19" s="138"/>
      <c r="AJ19" s="455"/>
    </row>
    <row r="20" spans="1:39" s="155" customFormat="1" ht="16.5" thickTop="1" thickBot="1" x14ac:dyDescent="0.3">
      <c r="D20" s="135"/>
      <c r="E20" s="669"/>
      <c r="F20" s="669"/>
      <c r="G20" s="669"/>
      <c r="H20" s="669"/>
      <c r="I20" s="669"/>
      <c r="J20" s="669"/>
      <c r="K20" s="669"/>
      <c r="L20" s="669"/>
      <c r="M20" s="669"/>
      <c r="N20" s="669"/>
      <c r="O20" s="669"/>
      <c r="P20" s="669"/>
      <c r="Q20" s="669"/>
      <c r="R20" s="669"/>
      <c r="S20" s="669"/>
      <c r="T20" s="209"/>
      <c r="U20" s="656" t="s">
        <v>152</v>
      </c>
      <c r="V20" s="656"/>
      <c r="W20" s="656"/>
      <c r="X20" s="656"/>
      <c r="Y20" s="656"/>
      <c r="Z20" s="655">
        <v>50</v>
      </c>
      <c r="AA20" s="655"/>
      <c r="AB20" s="138"/>
      <c r="AJ20" s="455"/>
    </row>
    <row r="21" spans="1:39" s="216" customFormat="1" ht="15" customHeight="1" thickTop="1" thickBot="1" x14ac:dyDescent="0.3">
      <c r="D21" s="135"/>
      <c r="E21" s="669"/>
      <c r="F21" s="669"/>
      <c r="G21" s="669"/>
      <c r="H21" s="669"/>
      <c r="I21" s="669"/>
      <c r="J21" s="669"/>
      <c r="K21" s="669"/>
      <c r="L21" s="669"/>
      <c r="M21" s="669"/>
      <c r="N21" s="669"/>
      <c r="O21" s="669"/>
      <c r="P21" s="669"/>
      <c r="Q21" s="669"/>
      <c r="R21" s="669"/>
      <c r="S21" s="669"/>
      <c r="T21" s="669" t="s">
        <v>153</v>
      </c>
      <c r="U21" s="669"/>
      <c r="V21" s="669"/>
      <c r="W21" s="669"/>
      <c r="X21" s="669"/>
      <c r="Y21" s="669"/>
      <c r="Z21" s="655">
        <v>20</v>
      </c>
      <c r="AA21" s="655"/>
      <c r="AB21" s="138"/>
      <c r="AJ21" s="455"/>
    </row>
    <row r="22" spans="1:39" s="216" customFormat="1" ht="15" customHeight="1" thickTop="1" x14ac:dyDescent="0.25">
      <c r="D22" s="135"/>
      <c r="E22" s="669"/>
      <c r="F22" s="669"/>
      <c r="G22" s="669"/>
      <c r="H22" s="669"/>
      <c r="I22" s="669"/>
      <c r="J22" s="669"/>
      <c r="K22" s="669"/>
      <c r="L22" s="669"/>
      <c r="M22" s="669"/>
      <c r="N22" s="669"/>
      <c r="O22" s="669"/>
      <c r="P22" s="669"/>
      <c r="Q22" s="669"/>
      <c r="R22" s="669"/>
      <c r="S22" s="669"/>
      <c r="T22" s="656" t="s">
        <v>154</v>
      </c>
      <c r="U22" s="656"/>
      <c r="V22" s="656"/>
      <c r="W22" s="656"/>
      <c r="X22" s="656"/>
      <c r="Y22" s="656"/>
      <c r="Z22" s="657">
        <v>15</v>
      </c>
      <c r="AA22" s="657"/>
      <c r="AB22" s="138"/>
      <c r="AJ22" s="455"/>
    </row>
    <row r="23" spans="1:39" ht="15.75" thickBot="1" x14ac:dyDescent="0.3">
      <c r="A23" s="151"/>
      <c r="B23" s="151"/>
      <c r="C23" s="151"/>
      <c r="D23" s="139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40"/>
      <c r="T23" s="140"/>
      <c r="U23" s="140"/>
      <c r="V23" s="140"/>
      <c r="W23" s="173"/>
      <c r="X23" s="173"/>
      <c r="Y23" s="140"/>
      <c r="Z23" s="140"/>
      <c r="AA23" s="195"/>
      <c r="AB23" s="141"/>
      <c r="AC23" s="151"/>
      <c r="AD23" s="151"/>
      <c r="AE23" s="151"/>
      <c r="AF23" s="151"/>
      <c r="AG23" s="151"/>
      <c r="AH23" s="151"/>
    </row>
    <row r="24" spans="1:39" s="235" customFormat="1" ht="16.5" thickTop="1" thickBot="1" x14ac:dyDescent="0.3">
      <c r="D24" s="137"/>
      <c r="E24" s="237"/>
      <c r="F24" s="237"/>
      <c r="G24" s="237"/>
      <c r="H24" s="237"/>
      <c r="I24" s="237"/>
      <c r="J24" s="237"/>
      <c r="K24" s="237"/>
      <c r="L24" s="237"/>
      <c r="M24" s="237"/>
      <c r="N24" s="237"/>
      <c r="O24" s="237"/>
      <c r="P24" s="237"/>
      <c r="Q24" s="237"/>
      <c r="R24" s="237"/>
      <c r="S24" s="137"/>
      <c r="T24" s="137"/>
      <c r="U24" s="137"/>
      <c r="V24" s="137"/>
      <c r="W24" s="209"/>
      <c r="X24" s="209"/>
      <c r="Y24" s="137"/>
      <c r="Z24" s="137"/>
      <c r="AA24" s="137"/>
      <c r="AB24" s="137"/>
      <c r="AJ24" s="455"/>
    </row>
    <row r="25" spans="1:39" s="235" customFormat="1" ht="15.75" thickTop="1" x14ac:dyDescent="0.25">
      <c r="D25" s="132"/>
      <c r="E25" s="239"/>
      <c r="F25" s="239"/>
      <c r="G25" s="239"/>
      <c r="H25" s="239"/>
      <c r="I25" s="239"/>
      <c r="J25" s="239"/>
      <c r="K25" s="239"/>
      <c r="L25" s="239"/>
      <c r="M25" s="239"/>
      <c r="N25" s="241"/>
      <c r="O25" s="237"/>
      <c r="P25" s="237"/>
      <c r="Q25" s="237"/>
      <c r="R25" s="237"/>
      <c r="S25" s="137"/>
      <c r="T25" s="137"/>
      <c r="U25" s="137"/>
      <c r="V25" s="137"/>
      <c r="W25" s="209"/>
      <c r="X25" s="209"/>
      <c r="Y25" s="137"/>
      <c r="Z25" s="137"/>
      <c r="AA25" s="137"/>
      <c r="AB25" s="137"/>
      <c r="AJ25" s="455"/>
    </row>
    <row r="26" spans="1:39" s="235" customFormat="1" ht="60.75" customHeight="1" x14ac:dyDescent="0.25">
      <c r="D26" s="135"/>
      <c r="E26" s="680" t="s">
        <v>173</v>
      </c>
      <c r="F26" s="680"/>
      <c r="G26" s="680"/>
      <c r="H26" s="680"/>
      <c r="I26" s="680"/>
      <c r="J26" s="680"/>
      <c r="K26" s="680"/>
      <c r="L26" s="680"/>
      <c r="M26" s="240"/>
      <c r="N26" s="242"/>
      <c r="O26" s="240"/>
      <c r="P26" s="240"/>
      <c r="Q26" s="240"/>
      <c r="R26" s="209"/>
      <c r="S26" s="209"/>
      <c r="T26" s="209"/>
      <c r="U26" s="209"/>
      <c r="V26" s="209"/>
      <c r="W26" s="209"/>
      <c r="X26" s="209"/>
      <c r="Y26" s="209"/>
      <c r="Z26" s="209"/>
      <c r="AA26" s="209"/>
      <c r="AB26" s="137"/>
      <c r="AJ26" s="455"/>
    </row>
    <row r="27" spans="1:39" s="448" customFormat="1" ht="9.75" customHeight="1" x14ac:dyDescent="0.25">
      <c r="D27" s="135"/>
      <c r="E27" s="454"/>
      <c r="F27" s="454"/>
      <c r="G27" s="454"/>
      <c r="H27" s="454"/>
      <c r="I27" s="454"/>
      <c r="J27" s="454"/>
      <c r="K27" s="454"/>
      <c r="L27" s="454"/>
      <c r="M27" s="240"/>
      <c r="N27" s="242"/>
      <c r="O27" s="240"/>
      <c r="P27" s="240"/>
      <c r="Q27" s="240"/>
      <c r="R27" s="209"/>
      <c r="S27" s="209"/>
      <c r="T27" s="209"/>
      <c r="U27" s="209"/>
      <c r="V27" s="209"/>
      <c r="W27" s="209"/>
      <c r="X27" s="209"/>
      <c r="Y27" s="209"/>
      <c r="Z27" s="209"/>
      <c r="AA27" s="209"/>
      <c r="AB27" s="137"/>
      <c r="AJ27" s="455"/>
    </row>
    <row r="28" spans="1:39" s="448" customFormat="1" ht="16.5" customHeight="1" x14ac:dyDescent="0.25">
      <c r="D28" s="135"/>
      <c r="E28" s="685" t="s">
        <v>217</v>
      </c>
      <c r="F28" s="685"/>
      <c r="G28" s="685"/>
      <c r="H28" s="686" t="s">
        <v>219</v>
      </c>
      <c r="I28" s="686"/>
      <c r="J28" s="686"/>
      <c r="K28" s="686"/>
      <c r="L28" s="686"/>
      <c r="M28" s="240"/>
      <c r="N28" s="242"/>
      <c r="O28" s="240"/>
      <c r="P28" s="240"/>
      <c r="Q28" s="240"/>
      <c r="R28" s="209"/>
      <c r="S28" s="209"/>
      <c r="T28" s="209"/>
      <c r="U28" s="209"/>
      <c r="V28" s="209"/>
      <c r="W28" s="209"/>
      <c r="X28" s="209"/>
      <c r="Y28" s="209"/>
      <c r="Z28" s="209"/>
      <c r="AA28" s="209"/>
      <c r="AB28" s="137"/>
      <c r="AJ28" s="455"/>
      <c r="AK28" s="448" t="s">
        <v>214</v>
      </c>
    </row>
    <row r="29" spans="1:39" s="235" customFormat="1" ht="8.25" customHeight="1" x14ac:dyDescent="0.25">
      <c r="D29" s="135"/>
      <c r="E29" s="237"/>
      <c r="F29" s="237"/>
      <c r="G29" s="237"/>
      <c r="H29" s="237"/>
      <c r="I29" s="237"/>
      <c r="J29" s="237"/>
      <c r="K29" s="237"/>
      <c r="L29" s="237"/>
      <c r="M29" s="237"/>
      <c r="N29" s="241"/>
      <c r="O29" s="237"/>
      <c r="P29" s="237"/>
      <c r="Q29" s="237"/>
      <c r="R29" s="237"/>
      <c r="S29" s="137"/>
      <c r="T29" s="137"/>
      <c r="U29" s="137"/>
      <c r="V29" s="137"/>
      <c r="W29" s="209"/>
      <c r="X29" s="209"/>
      <c r="Y29" s="137"/>
      <c r="Z29" s="137"/>
      <c r="AA29" s="137"/>
      <c r="AB29" s="137"/>
      <c r="AJ29" s="455"/>
      <c r="AK29" s="448" t="s">
        <v>218</v>
      </c>
    </row>
    <row r="30" spans="1:39" s="235" customFormat="1" ht="33.75" customHeight="1" x14ac:dyDescent="0.25">
      <c r="D30" s="135"/>
      <c r="E30" s="679" t="s">
        <v>174</v>
      </c>
      <c r="F30" s="679"/>
      <c r="G30" s="679"/>
      <c r="H30" s="679"/>
      <c r="I30" s="678" t="s">
        <v>175</v>
      </c>
      <c r="J30" s="679"/>
      <c r="K30" s="679"/>
      <c r="L30" s="679"/>
      <c r="N30" s="135"/>
      <c r="O30" s="137"/>
      <c r="P30" s="137"/>
      <c r="Q30" s="240"/>
      <c r="R30" s="237"/>
      <c r="S30" s="137"/>
      <c r="T30" s="209"/>
      <c r="U30" s="209"/>
      <c r="V30" s="209"/>
      <c r="W30" s="209"/>
      <c r="X30" s="209"/>
      <c r="Y30" s="209"/>
      <c r="Z30" s="209"/>
      <c r="AA30" s="209"/>
      <c r="AB30" s="209"/>
      <c r="AC30" s="209"/>
      <c r="AD30" s="209"/>
      <c r="AE30" s="209"/>
      <c r="AF30" s="209"/>
      <c r="AJ30" s="455"/>
      <c r="AK30" s="448" t="s">
        <v>219</v>
      </c>
    </row>
    <row r="31" spans="1:39" s="235" customFormat="1" ht="16.5" customHeight="1" x14ac:dyDescent="0.25">
      <c r="D31" s="135"/>
      <c r="E31" s="670">
        <v>0</v>
      </c>
      <c r="F31" s="670"/>
      <c r="G31" s="670"/>
      <c r="H31" s="682"/>
      <c r="I31" s="687">
        <v>30</v>
      </c>
      <c r="J31" s="688"/>
      <c r="K31" s="688"/>
      <c r="L31" s="688"/>
      <c r="M31" s="453">
        <f>E31</f>
        <v>0</v>
      </c>
      <c r="N31" s="135"/>
      <c r="O31" s="137"/>
      <c r="P31" s="137"/>
      <c r="Q31" s="237"/>
      <c r="R31" s="237"/>
      <c r="S31" s="137"/>
      <c r="T31" s="237"/>
      <c r="U31" s="236"/>
      <c r="V31" s="236"/>
      <c r="W31" s="236"/>
      <c r="X31" s="236"/>
      <c r="Y31" s="236"/>
      <c r="Z31" s="236"/>
      <c r="AA31" s="209"/>
      <c r="AB31" s="237"/>
      <c r="AC31" s="237"/>
      <c r="AD31" s="237"/>
      <c r="AE31" s="237"/>
      <c r="AF31" s="237"/>
      <c r="AJ31" s="455"/>
    </row>
    <row r="32" spans="1:39" s="235" customFormat="1" x14ac:dyDescent="0.25">
      <c r="D32" s="135"/>
      <c r="E32" s="670">
        <v>1</v>
      </c>
      <c r="F32" s="670"/>
      <c r="G32" s="670"/>
      <c r="H32" s="670"/>
      <c r="I32" s="687">
        <v>33</v>
      </c>
      <c r="J32" s="688"/>
      <c r="K32" s="688"/>
      <c r="L32" s="688"/>
      <c r="M32" s="453">
        <f t="shared" ref="M32:M52" si="0">E32</f>
        <v>1</v>
      </c>
      <c r="N32" s="135"/>
      <c r="O32" s="137"/>
      <c r="P32" s="137"/>
      <c r="Q32" s="237"/>
      <c r="R32" s="237"/>
      <c r="S32" s="1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J32" s="455"/>
    </row>
    <row r="33" spans="4:36" s="235" customFormat="1" x14ac:dyDescent="0.25">
      <c r="D33" s="135"/>
      <c r="E33" s="670">
        <v>2</v>
      </c>
      <c r="F33" s="670"/>
      <c r="G33" s="670"/>
      <c r="H33" s="670"/>
      <c r="I33" s="687">
        <v>36</v>
      </c>
      <c r="J33" s="688"/>
      <c r="K33" s="688"/>
      <c r="L33" s="688"/>
      <c r="M33" s="453">
        <f t="shared" si="0"/>
        <v>2</v>
      </c>
      <c r="N33" s="135"/>
      <c r="O33" s="137"/>
      <c r="P33" s="137"/>
      <c r="Q33" s="237"/>
      <c r="R33" s="237"/>
      <c r="S33" s="1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J33" s="455"/>
    </row>
    <row r="34" spans="4:36" s="235" customFormat="1" x14ac:dyDescent="0.25">
      <c r="D34" s="135"/>
      <c r="E34" s="670">
        <v>3</v>
      </c>
      <c r="F34" s="670"/>
      <c r="G34" s="670"/>
      <c r="H34" s="670"/>
      <c r="I34" s="648">
        <f>IF((I33-I32)+(I33)&lt;90,(I33-I32)+(I33),90)</f>
        <v>39</v>
      </c>
      <c r="J34" s="649"/>
      <c r="K34" s="649"/>
      <c r="L34" s="649"/>
      <c r="M34" s="453">
        <f t="shared" si="0"/>
        <v>3</v>
      </c>
      <c r="N34" s="135"/>
      <c r="O34" s="137"/>
      <c r="P34" s="137"/>
      <c r="Q34" s="237"/>
      <c r="R34" s="237"/>
      <c r="S34" s="1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J34" s="455"/>
    </row>
    <row r="35" spans="4:36" s="235" customFormat="1" x14ac:dyDescent="0.25">
      <c r="D35" s="135"/>
      <c r="E35" s="670">
        <v>4</v>
      </c>
      <c r="F35" s="670"/>
      <c r="G35" s="670"/>
      <c r="H35" s="670"/>
      <c r="I35" s="648">
        <f t="shared" ref="I35:I52" si="1">IF((I34-I33)+(I34)&lt;90,(I34-I33)+(I34),90)</f>
        <v>42</v>
      </c>
      <c r="J35" s="649"/>
      <c r="K35" s="649"/>
      <c r="L35" s="649"/>
      <c r="M35" s="453">
        <f t="shared" si="0"/>
        <v>4</v>
      </c>
      <c r="N35" s="135"/>
      <c r="O35" s="137"/>
      <c r="P35" s="137"/>
      <c r="Q35" s="237"/>
      <c r="R35" s="237"/>
      <c r="S35" s="1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J35" s="455"/>
    </row>
    <row r="36" spans="4:36" s="235" customFormat="1" x14ac:dyDescent="0.25">
      <c r="D36" s="135"/>
      <c r="E36" s="670">
        <v>5</v>
      </c>
      <c r="F36" s="670"/>
      <c r="G36" s="670"/>
      <c r="H36" s="670"/>
      <c r="I36" s="648">
        <f t="shared" si="1"/>
        <v>45</v>
      </c>
      <c r="J36" s="649"/>
      <c r="K36" s="649"/>
      <c r="L36" s="649"/>
      <c r="M36" s="453">
        <f t="shared" si="0"/>
        <v>5</v>
      </c>
      <c r="N36" s="135"/>
      <c r="O36" s="137"/>
      <c r="P36" s="137"/>
      <c r="Q36" s="237"/>
      <c r="R36" s="237"/>
      <c r="S36" s="1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J36" s="455"/>
    </row>
    <row r="37" spans="4:36" s="235" customFormat="1" x14ac:dyDescent="0.25">
      <c r="D37" s="135"/>
      <c r="E37" s="670">
        <v>6</v>
      </c>
      <c r="F37" s="670"/>
      <c r="G37" s="670"/>
      <c r="H37" s="670"/>
      <c r="I37" s="648">
        <f t="shared" si="1"/>
        <v>48</v>
      </c>
      <c r="J37" s="649"/>
      <c r="K37" s="649"/>
      <c r="L37" s="649"/>
      <c r="M37" s="453">
        <f t="shared" si="0"/>
        <v>6</v>
      </c>
      <c r="N37" s="135"/>
      <c r="O37" s="137"/>
      <c r="P37" s="137"/>
      <c r="Q37" s="237"/>
      <c r="R37" s="452"/>
      <c r="S37" s="452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J37" s="455"/>
    </row>
    <row r="38" spans="4:36" s="235" customFormat="1" x14ac:dyDescent="0.25">
      <c r="D38" s="135"/>
      <c r="E38" s="670">
        <v>7</v>
      </c>
      <c r="F38" s="670"/>
      <c r="G38" s="670"/>
      <c r="H38" s="670"/>
      <c r="I38" s="648">
        <f t="shared" si="1"/>
        <v>51</v>
      </c>
      <c r="J38" s="649"/>
      <c r="K38" s="649"/>
      <c r="L38" s="649"/>
      <c r="M38" s="453">
        <f t="shared" si="0"/>
        <v>7</v>
      </c>
      <c r="N38" s="135"/>
      <c r="O38" s="137"/>
      <c r="P38" s="137"/>
      <c r="Q38" s="237"/>
      <c r="R38" s="237"/>
      <c r="S38" s="1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J38" s="455"/>
    </row>
    <row r="39" spans="4:36" s="235" customFormat="1" x14ac:dyDescent="0.25">
      <c r="D39" s="135"/>
      <c r="E39" s="670">
        <v>8</v>
      </c>
      <c r="F39" s="670"/>
      <c r="G39" s="670"/>
      <c r="H39" s="670"/>
      <c r="I39" s="648">
        <f t="shared" si="1"/>
        <v>54</v>
      </c>
      <c r="J39" s="649"/>
      <c r="K39" s="649"/>
      <c r="L39" s="649"/>
      <c r="M39" s="453">
        <f t="shared" si="0"/>
        <v>8</v>
      </c>
      <c r="N39" s="135"/>
      <c r="O39" s="137"/>
      <c r="P39" s="137"/>
      <c r="Q39" s="237"/>
      <c r="R39" s="237"/>
      <c r="S39" s="1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J39" s="455"/>
    </row>
    <row r="40" spans="4:36" s="235" customFormat="1" x14ac:dyDescent="0.25">
      <c r="D40" s="135"/>
      <c r="E40" s="670">
        <v>9</v>
      </c>
      <c r="F40" s="670"/>
      <c r="G40" s="670"/>
      <c r="H40" s="670"/>
      <c r="I40" s="648">
        <f t="shared" si="1"/>
        <v>57</v>
      </c>
      <c r="J40" s="649"/>
      <c r="K40" s="649"/>
      <c r="L40" s="649"/>
      <c r="M40" s="453">
        <f t="shared" si="0"/>
        <v>9</v>
      </c>
      <c r="N40" s="135"/>
      <c r="O40" s="137"/>
      <c r="P40" s="137"/>
      <c r="Q40" s="237"/>
      <c r="R40" s="237"/>
      <c r="S40" s="1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J40" s="455"/>
    </row>
    <row r="41" spans="4:36" s="235" customFormat="1" x14ac:dyDescent="0.25">
      <c r="D41" s="135"/>
      <c r="E41" s="670">
        <v>10</v>
      </c>
      <c r="F41" s="670"/>
      <c r="G41" s="670"/>
      <c r="H41" s="670"/>
      <c r="I41" s="648">
        <f t="shared" si="1"/>
        <v>60</v>
      </c>
      <c r="J41" s="649"/>
      <c r="K41" s="649"/>
      <c r="L41" s="649"/>
      <c r="M41" s="453">
        <f t="shared" si="0"/>
        <v>10</v>
      </c>
      <c r="N41" s="135"/>
      <c r="O41" s="137"/>
      <c r="P41" s="137"/>
      <c r="Q41" s="237"/>
      <c r="R41" s="237"/>
      <c r="S41" s="1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J41" s="455"/>
    </row>
    <row r="42" spans="4:36" s="235" customFormat="1" x14ac:dyDescent="0.25">
      <c r="D42" s="135"/>
      <c r="E42" s="670">
        <v>11</v>
      </c>
      <c r="F42" s="670"/>
      <c r="G42" s="670"/>
      <c r="H42" s="670"/>
      <c r="I42" s="648">
        <f t="shared" si="1"/>
        <v>63</v>
      </c>
      <c r="J42" s="649"/>
      <c r="K42" s="649"/>
      <c r="L42" s="649"/>
      <c r="M42" s="453">
        <f t="shared" si="0"/>
        <v>11</v>
      </c>
      <c r="N42" s="135"/>
      <c r="O42" s="137"/>
      <c r="P42" s="137"/>
      <c r="Q42" s="237"/>
      <c r="R42" s="237"/>
      <c r="S42" s="137"/>
      <c r="T42" s="237"/>
      <c r="U42" s="237"/>
      <c r="V42" s="237"/>
      <c r="W42" s="237"/>
      <c r="X42" s="237"/>
      <c r="Y42" s="237"/>
      <c r="Z42" s="237"/>
      <c r="AA42" s="237"/>
      <c r="AB42" s="237"/>
      <c r="AC42" s="237"/>
      <c r="AD42" s="237"/>
      <c r="AE42" s="237"/>
      <c r="AF42" s="237"/>
      <c r="AJ42" s="455"/>
    </row>
    <row r="43" spans="4:36" s="235" customFormat="1" x14ac:dyDescent="0.25">
      <c r="D43" s="135"/>
      <c r="E43" s="670">
        <v>12</v>
      </c>
      <c r="F43" s="670"/>
      <c r="G43" s="670"/>
      <c r="H43" s="670"/>
      <c r="I43" s="648">
        <f t="shared" si="1"/>
        <v>66</v>
      </c>
      <c r="J43" s="649"/>
      <c r="K43" s="649"/>
      <c r="L43" s="649"/>
      <c r="M43" s="453">
        <f t="shared" si="0"/>
        <v>12</v>
      </c>
      <c r="N43" s="135"/>
      <c r="O43" s="137"/>
      <c r="P43" s="137"/>
      <c r="Q43" s="237"/>
      <c r="R43" s="237"/>
      <c r="S43" s="137"/>
      <c r="T43" s="237"/>
      <c r="U43" s="237"/>
      <c r="V43" s="237"/>
      <c r="W43" s="237"/>
      <c r="X43" s="237"/>
      <c r="Y43" s="237"/>
      <c r="Z43" s="237"/>
      <c r="AA43" s="237"/>
      <c r="AB43" s="237"/>
      <c r="AC43" s="237"/>
      <c r="AD43" s="237"/>
      <c r="AE43" s="237"/>
      <c r="AF43" s="237"/>
      <c r="AJ43" s="455"/>
    </row>
    <row r="44" spans="4:36" s="235" customFormat="1" x14ac:dyDescent="0.25">
      <c r="D44" s="135"/>
      <c r="E44" s="670">
        <v>13</v>
      </c>
      <c r="F44" s="670"/>
      <c r="G44" s="670"/>
      <c r="H44" s="670"/>
      <c r="I44" s="648">
        <f t="shared" si="1"/>
        <v>69</v>
      </c>
      <c r="J44" s="649"/>
      <c r="K44" s="649"/>
      <c r="L44" s="649"/>
      <c r="M44" s="453">
        <f t="shared" si="0"/>
        <v>13</v>
      </c>
      <c r="N44" s="135"/>
      <c r="P44" s="137"/>
      <c r="Q44" s="237"/>
      <c r="R44" s="237"/>
      <c r="S44" s="137"/>
      <c r="T44" s="137"/>
      <c r="U44" s="137"/>
      <c r="V44" s="137"/>
      <c r="W44" s="209"/>
      <c r="X44" s="209"/>
      <c r="Y44" s="137"/>
      <c r="Z44" s="137"/>
      <c r="AA44" s="137"/>
      <c r="AB44" s="137"/>
      <c r="AJ44" s="455"/>
    </row>
    <row r="45" spans="4:36" s="235" customFormat="1" x14ac:dyDescent="0.25">
      <c r="D45" s="135"/>
      <c r="E45" s="670">
        <v>14</v>
      </c>
      <c r="F45" s="670"/>
      <c r="G45" s="670"/>
      <c r="H45" s="670"/>
      <c r="I45" s="648">
        <f t="shared" si="1"/>
        <v>72</v>
      </c>
      <c r="J45" s="649"/>
      <c r="K45" s="649"/>
      <c r="L45" s="649"/>
      <c r="M45" s="453">
        <f t="shared" si="0"/>
        <v>14</v>
      </c>
      <c r="N45" s="135"/>
      <c r="O45" s="137"/>
      <c r="P45" s="137"/>
      <c r="Q45" s="237"/>
      <c r="R45" s="237"/>
      <c r="S45" s="137"/>
      <c r="T45" s="137"/>
      <c r="U45" s="137"/>
      <c r="V45" s="137"/>
      <c r="W45" s="209"/>
      <c r="X45" s="209"/>
      <c r="Y45" s="137"/>
      <c r="Z45" s="137"/>
      <c r="AA45" s="137"/>
      <c r="AB45" s="137"/>
      <c r="AJ45" s="455"/>
    </row>
    <row r="46" spans="4:36" s="235" customFormat="1" x14ac:dyDescent="0.25">
      <c r="D46" s="135"/>
      <c r="E46" s="670">
        <v>15</v>
      </c>
      <c r="F46" s="670"/>
      <c r="G46" s="670"/>
      <c r="H46" s="670"/>
      <c r="I46" s="648">
        <f t="shared" si="1"/>
        <v>75</v>
      </c>
      <c r="J46" s="649"/>
      <c r="K46" s="649"/>
      <c r="L46" s="649"/>
      <c r="M46" s="453">
        <f t="shared" si="0"/>
        <v>15</v>
      </c>
      <c r="N46" s="135"/>
      <c r="O46" s="137"/>
      <c r="P46" s="137"/>
      <c r="Q46" s="237"/>
      <c r="R46" s="237"/>
      <c r="S46" s="137"/>
      <c r="T46" s="137"/>
      <c r="U46" s="137"/>
      <c r="V46" s="137"/>
      <c r="W46" s="209"/>
      <c r="X46" s="209"/>
      <c r="Y46" s="137"/>
      <c r="Z46" s="137"/>
      <c r="AA46" s="137"/>
      <c r="AB46" s="137"/>
      <c r="AJ46" s="455"/>
    </row>
    <row r="47" spans="4:36" s="235" customFormat="1" x14ac:dyDescent="0.25">
      <c r="D47" s="135"/>
      <c r="E47" s="670">
        <v>16</v>
      </c>
      <c r="F47" s="670"/>
      <c r="G47" s="670"/>
      <c r="H47" s="670"/>
      <c r="I47" s="648">
        <f t="shared" si="1"/>
        <v>78</v>
      </c>
      <c r="J47" s="649"/>
      <c r="K47" s="649"/>
      <c r="L47" s="649"/>
      <c r="M47" s="453">
        <f t="shared" si="0"/>
        <v>16</v>
      </c>
      <c r="N47" s="135"/>
      <c r="O47" s="137"/>
      <c r="P47" s="137"/>
      <c r="Q47" s="237"/>
      <c r="R47" s="237"/>
      <c r="S47" s="137"/>
      <c r="T47" s="137"/>
      <c r="U47" s="137"/>
      <c r="V47" s="137"/>
      <c r="W47" s="209"/>
      <c r="X47" s="209"/>
      <c r="Y47" s="137"/>
      <c r="Z47" s="137"/>
      <c r="AA47" s="137"/>
      <c r="AB47" s="137"/>
      <c r="AJ47" s="455"/>
    </row>
    <row r="48" spans="4:36" s="235" customFormat="1" x14ac:dyDescent="0.25">
      <c r="D48" s="135"/>
      <c r="E48" s="670">
        <v>17</v>
      </c>
      <c r="F48" s="670"/>
      <c r="G48" s="670"/>
      <c r="H48" s="670"/>
      <c r="I48" s="648">
        <f t="shared" si="1"/>
        <v>81</v>
      </c>
      <c r="J48" s="649"/>
      <c r="K48" s="649"/>
      <c r="L48" s="649"/>
      <c r="M48" s="453">
        <f t="shared" si="0"/>
        <v>17</v>
      </c>
      <c r="N48" s="135"/>
      <c r="O48" s="137"/>
      <c r="P48" s="137"/>
      <c r="Q48" s="237"/>
      <c r="R48" s="237"/>
      <c r="S48" s="137"/>
      <c r="T48" s="137"/>
      <c r="U48" s="137"/>
      <c r="V48" s="137"/>
      <c r="W48" s="209"/>
      <c r="X48" s="209"/>
      <c r="Y48" s="137"/>
      <c r="Z48" s="137"/>
      <c r="AA48" s="137"/>
      <c r="AB48" s="137"/>
      <c r="AJ48" s="455"/>
    </row>
    <row r="49" spans="4:36" s="235" customFormat="1" x14ac:dyDescent="0.25">
      <c r="D49" s="135"/>
      <c r="E49" s="670">
        <v>18</v>
      </c>
      <c r="F49" s="670"/>
      <c r="G49" s="670"/>
      <c r="H49" s="670"/>
      <c r="I49" s="648">
        <f t="shared" si="1"/>
        <v>84</v>
      </c>
      <c r="J49" s="649"/>
      <c r="K49" s="649"/>
      <c r="L49" s="649"/>
      <c r="M49" s="453">
        <f t="shared" si="0"/>
        <v>18</v>
      </c>
      <c r="N49" s="135"/>
      <c r="O49" s="137"/>
      <c r="P49" s="137"/>
      <c r="Q49" s="237"/>
      <c r="R49" s="237"/>
      <c r="S49" s="137"/>
      <c r="T49" s="137"/>
      <c r="U49" s="137"/>
      <c r="V49" s="137"/>
      <c r="W49" s="209"/>
      <c r="X49" s="209"/>
      <c r="Y49" s="137"/>
      <c r="Z49" s="137"/>
      <c r="AA49" s="137"/>
      <c r="AB49" s="137"/>
      <c r="AJ49" s="455"/>
    </row>
    <row r="50" spans="4:36" s="235" customFormat="1" x14ac:dyDescent="0.25">
      <c r="D50" s="135"/>
      <c r="E50" s="670">
        <v>19</v>
      </c>
      <c r="F50" s="670"/>
      <c r="G50" s="670"/>
      <c r="H50" s="670"/>
      <c r="I50" s="648">
        <f t="shared" si="1"/>
        <v>87</v>
      </c>
      <c r="J50" s="649"/>
      <c r="K50" s="649"/>
      <c r="L50" s="649"/>
      <c r="M50" s="453">
        <f t="shared" si="0"/>
        <v>19</v>
      </c>
      <c r="N50" s="135"/>
      <c r="O50" s="137"/>
      <c r="P50" s="137"/>
      <c r="Q50" s="237"/>
      <c r="R50" s="237"/>
      <c r="S50" s="137"/>
      <c r="T50" s="137"/>
      <c r="U50" s="137"/>
      <c r="V50" s="137"/>
      <c r="W50" s="209"/>
      <c r="X50" s="209"/>
      <c r="Y50" s="137"/>
      <c r="Z50" s="137"/>
      <c r="AA50" s="137"/>
      <c r="AB50" s="137"/>
      <c r="AJ50" s="455"/>
    </row>
    <row r="51" spans="4:36" s="235" customFormat="1" x14ac:dyDescent="0.25">
      <c r="D51" s="135"/>
      <c r="E51" s="670">
        <v>20</v>
      </c>
      <c r="F51" s="670"/>
      <c r="G51" s="670"/>
      <c r="H51" s="670"/>
      <c r="I51" s="648">
        <f t="shared" si="1"/>
        <v>90</v>
      </c>
      <c r="J51" s="649"/>
      <c r="K51" s="649"/>
      <c r="L51" s="649"/>
      <c r="M51" s="453">
        <f t="shared" si="0"/>
        <v>20</v>
      </c>
      <c r="N51" s="135"/>
      <c r="O51" s="137"/>
      <c r="P51" s="137"/>
      <c r="Q51" s="237"/>
      <c r="R51" s="237"/>
      <c r="S51" s="137"/>
      <c r="T51" s="137"/>
      <c r="U51" s="137"/>
      <c r="V51" s="137"/>
      <c r="W51" s="209"/>
      <c r="X51" s="209"/>
      <c r="Y51" s="137"/>
      <c r="Z51" s="137"/>
      <c r="AA51" s="137"/>
      <c r="AB51" s="137"/>
      <c r="AJ51" s="455"/>
    </row>
    <row r="52" spans="4:36" s="235" customFormat="1" x14ac:dyDescent="0.25">
      <c r="D52" s="135"/>
      <c r="E52" s="670">
        <v>21</v>
      </c>
      <c r="F52" s="670"/>
      <c r="G52" s="670"/>
      <c r="H52" s="670"/>
      <c r="I52" s="648">
        <f t="shared" si="1"/>
        <v>90</v>
      </c>
      <c r="J52" s="649"/>
      <c r="K52" s="649"/>
      <c r="L52" s="649"/>
      <c r="M52" s="453">
        <f t="shared" si="0"/>
        <v>21</v>
      </c>
      <c r="N52" s="135"/>
      <c r="O52" s="137"/>
      <c r="P52" s="137"/>
      <c r="Q52" s="237"/>
      <c r="R52" s="237"/>
      <c r="S52" s="137"/>
      <c r="T52" s="137"/>
      <c r="U52" s="137"/>
      <c r="V52" s="137"/>
      <c r="W52" s="209"/>
      <c r="X52" s="209"/>
      <c r="Y52" s="137"/>
      <c r="Z52" s="137"/>
      <c r="AA52" s="137"/>
      <c r="AB52" s="137"/>
      <c r="AJ52" s="455"/>
    </row>
    <row r="53" spans="4:36" s="235" customFormat="1" ht="15.75" thickBot="1" x14ac:dyDescent="0.3">
      <c r="D53" s="139"/>
      <c r="E53" s="154"/>
      <c r="F53" s="154"/>
      <c r="G53" s="154"/>
      <c r="H53" s="154"/>
      <c r="I53" s="154"/>
      <c r="J53" s="154"/>
      <c r="K53" s="154"/>
      <c r="L53" s="683">
        <f>VLOOKUP(90,I31:M52,5,FALSE)</f>
        <v>20</v>
      </c>
      <c r="M53" s="684"/>
      <c r="N53" s="241"/>
      <c r="O53" s="237"/>
      <c r="P53" s="237"/>
      <c r="Q53" s="237"/>
      <c r="R53" s="237"/>
      <c r="S53" s="137"/>
      <c r="T53" s="137"/>
      <c r="U53" s="137"/>
      <c r="V53" s="137"/>
      <c r="W53" s="209"/>
      <c r="X53" s="209"/>
      <c r="Y53" s="137"/>
      <c r="Z53" s="137"/>
      <c r="AA53" s="137"/>
      <c r="AB53" s="137"/>
      <c r="AJ53" s="455"/>
    </row>
    <row r="54" spans="4:36" s="235" customFormat="1" ht="15.75" thickTop="1" x14ac:dyDescent="0.25">
      <c r="D54" s="1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37"/>
      <c r="S54" s="137"/>
      <c r="T54" s="137"/>
      <c r="U54" s="137"/>
      <c r="V54" s="137"/>
      <c r="W54" s="209"/>
      <c r="X54" s="209"/>
      <c r="Y54" s="137"/>
      <c r="Z54" s="137"/>
      <c r="AA54" s="137"/>
      <c r="AB54" s="137"/>
      <c r="AJ54" s="455"/>
    </row>
    <row r="55" spans="4:36" s="208" customFormat="1" ht="8.25" customHeight="1" x14ac:dyDescent="0.25">
      <c r="D55" s="210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0"/>
      <c r="T55" s="210"/>
      <c r="U55" s="210"/>
      <c r="V55" s="210"/>
      <c r="W55" s="212"/>
      <c r="X55" s="212"/>
      <c r="Y55" s="210"/>
      <c r="Z55" s="210"/>
      <c r="AA55" s="210"/>
      <c r="AB55" s="210"/>
      <c r="AC55" s="213"/>
      <c r="AD55" s="213"/>
      <c r="AE55" s="213"/>
      <c r="AF55" s="213"/>
      <c r="AG55" s="213"/>
      <c r="AH55" s="213"/>
      <c r="AJ55" s="455"/>
    </row>
    <row r="56" spans="4:36" s="208" customFormat="1" ht="15.75" thickBot="1" x14ac:dyDescent="0.3">
      <c r="AJ56" s="455"/>
    </row>
    <row r="57" spans="4:36" ht="15.75" thickTop="1" x14ac:dyDescent="0.25">
      <c r="D57" s="132"/>
      <c r="E57" s="133"/>
      <c r="F57" s="133"/>
      <c r="G57" s="133"/>
      <c r="H57" s="133"/>
      <c r="I57" s="133"/>
      <c r="J57" s="133"/>
      <c r="K57" s="133"/>
      <c r="L57" s="133"/>
      <c r="M57" s="133"/>
      <c r="N57" s="133"/>
      <c r="O57" s="133"/>
      <c r="P57" s="133"/>
      <c r="Q57" s="133"/>
      <c r="R57" s="133"/>
      <c r="S57" s="133"/>
      <c r="T57" s="133"/>
      <c r="U57" s="133"/>
      <c r="V57" s="133"/>
      <c r="W57" s="134"/>
    </row>
    <row r="58" spans="4:36" x14ac:dyDescent="0.25">
      <c r="D58" s="135"/>
      <c r="E58" s="640" t="s">
        <v>100</v>
      </c>
      <c r="F58" s="640"/>
      <c r="G58" s="640"/>
      <c r="H58" s="640"/>
      <c r="I58" s="640"/>
      <c r="J58" s="640"/>
      <c r="K58" s="640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8"/>
    </row>
    <row r="59" spans="4:36" ht="15.75" thickBot="1" x14ac:dyDescent="0.3">
      <c r="D59" s="135"/>
      <c r="E59" s="136" t="s">
        <v>101</v>
      </c>
      <c r="F59" s="137"/>
      <c r="G59" s="137"/>
      <c r="H59" s="137"/>
      <c r="I59" s="137"/>
      <c r="J59" s="137"/>
      <c r="K59" s="137"/>
      <c r="L59" s="137"/>
      <c r="M59" s="143" t="s">
        <v>104</v>
      </c>
      <c r="N59" s="137"/>
      <c r="O59" s="142"/>
      <c r="P59" s="136" t="s">
        <v>105</v>
      </c>
      <c r="Q59" s="137"/>
      <c r="R59" s="137"/>
      <c r="S59" s="137"/>
      <c r="T59" s="137"/>
      <c r="U59" s="137"/>
      <c r="V59" s="137"/>
      <c r="W59" s="138"/>
    </row>
    <row r="60" spans="4:36" ht="15.75" thickBot="1" x14ac:dyDescent="0.3">
      <c r="D60" s="135"/>
      <c r="E60" s="144" t="s">
        <v>12</v>
      </c>
      <c r="F60" s="639">
        <v>1903.98</v>
      </c>
      <c r="G60" s="639"/>
      <c r="H60" s="639"/>
      <c r="I60" s="144"/>
      <c r="J60" s="645"/>
      <c r="K60" s="645"/>
      <c r="L60" s="672"/>
      <c r="M60" s="641">
        <v>0</v>
      </c>
      <c r="N60" s="642"/>
      <c r="O60" s="145"/>
      <c r="P60" s="641">
        <v>0</v>
      </c>
      <c r="Q60" s="642"/>
      <c r="R60" s="642"/>
      <c r="S60" s="144"/>
      <c r="T60" s="144"/>
      <c r="U60" s="144"/>
      <c r="V60" s="144"/>
      <c r="W60" s="138"/>
    </row>
    <row r="61" spans="4:36" ht="15.75" thickBot="1" x14ac:dyDescent="0.3">
      <c r="D61" s="135"/>
      <c r="E61" s="144" t="s">
        <v>102</v>
      </c>
      <c r="F61" s="645">
        <f>F60+0.01</f>
        <v>1903.99</v>
      </c>
      <c r="G61" s="645"/>
      <c r="H61" s="645"/>
      <c r="I61" s="144" t="s">
        <v>12</v>
      </c>
      <c r="J61" s="639">
        <v>2826.65</v>
      </c>
      <c r="K61" s="639"/>
      <c r="L61" s="639"/>
      <c r="M61" s="652">
        <v>7.4999999999999997E-2</v>
      </c>
      <c r="N61" s="653"/>
      <c r="O61" s="145"/>
      <c r="P61" s="639">
        <v>142.80000000000001</v>
      </c>
      <c r="Q61" s="639"/>
      <c r="R61" s="639"/>
      <c r="S61" s="144"/>
      <c r="T61" s="144"/>
      <c r="U61" s="144"/>
      <c r="V61" s="144"/>
      <c r="W61" s="138"/>
    </row>
    <row r="62" spans="4:36" ht="15.75" thickBot="1" x14ac:dyDescent="0.3">
      <c r="D62" s="135"/>
      <c r="E62" s="144" t="s">
        <v>102</v>
      </c>
      <c r="F62" s="645">
        <f>J61+0.01</f>
        <v>2826.6600000000003</v>
      </c>
      <c r="G62" s="645"/>
      <c r="H62" s="645"/>
      <c r="I62" s="144" t="s">
        <v>12</v>
      </c>
      <c r="J62" s="639">
        <v>3751.05</v>
      </c>
      <c r="K62" s="639"/>
      <c r="L62" s="639"/>
      <c r="M62" s="652">
        <v>0.15</v>
      </c>
      <c r="N62" s="653"/>
      <c r="O62" s="145"/>
      <c r="P62" s="639">
        <v>354.8</v>
      </c>
      <c r="Q62" s="639"/>
      <c r="R62" s="639"/>
      <c r="S62" s="144"/>
      <c r="T62" s="144"/>
      <c r="U62" s="144"/>
      <c r="V62" s="144"/>
      <c r="W62" s="138"/>
    </row>
    <row r="63" spans="4:36" ht="15.75" thickBot="1" x14ac:dyDescent="0.3">
      <c r="D63" s="135"/>
      <c r="E63" s="144" t="s">
        <v>102</v>
      </c>
      <c r="F63" s="645">
        <f>J62+0.01</f>
        <v>3751.0600000000004</v>
      </c>
      <c r="G63" s="645"/>
      <c r="H63" s="645"/>
      <c r="I63" s="144" t="s">
        <v>12</v>
      </c>
      <c r="J63" s="639">
        <v>4664.68</v>
      </c>
      <c r="K63" s="639"/>
      <c r="L63" s="639"/>
      <c r="M63" s="652">
        <v>0.22500000000000001</v>
      </c>
      <c r="N63" s="653"/>
      <c r="O63" s="145"/>
      <c r="P63" s="639">
        <v>636.13</v>
      </c>
      <c r="Q63" s="639"/>
      <c r="R63" s="639"/>
      <c r="S63" s="144"/>
      <c r="T63" s="144"/>
      <c r="U63" s="144"/>
      <c r="V63" s="144"/>
      <c r="W63" s="138"/>
    </row>
    <row r="64" spans="4:36" x14ac:dyDescent="0.25">
      <c r="D64" s="135"/>
      <c r="E64" s="137" t="s">
        <v>103</v>
      </c>
      <c r="F64" s="137"/>
      <c r="G64" s="137"/>
      <c r="H64" s="673">
        <f>J63</f>
        <v>4664.68</v>
      </c>
      <c r="I64" s="673"/>
      <c r="J64" s="673"/>
      <c r="K64" s="137"/>
      <c r="L64" s="137"/>
      <c r="M64" s="654">
        <v>0.27500000000000002</v>
      </c>
      <c r="N64" s="637"/>
      <c r="O64" s="142"/>
      <c r="P64" s="643">
        <v>869.36</v>
      </c>
      <c r="Q64" s="643"/>
      <c r="R64" s="643"/>
      <c r="S64" s="137"/>
      <c r="T64" s="137"/>
      <c r="U64" s="137"/>
      <c r="V64" s="137"/>
      <c r="W64" s="138"/>
    </row>
    <row r="65" spans="4:36" x14ac:dyDescent="0.25">
      <c r="D65" s="135"/>
      <c r="E65" s="137"/>
      <c r="F65" s="137"/>
      <c r="G65" s="137"/>
      <c r="H65" s="149"/>
      <c r="I65" s="149"/>
      <c r="J65" s="149"/>
      <c r="K65" s="137"/>
      <c r="L65" s="137"/>
      <c r="M65" s="150"/>
      <c r="N65" s="150"/>
      <c r="O65" s="137"/>
      <c r="P65" s="149"/>
      <c r="Q65" s="149"/>
      <c r="R65" s="149"/>
      <c r="S65" s="137"/>
      <c r="T65" s="137"/>
      <c r="U65" s="137"/>
      <c r="V65" s="137"/>
      <c r="W65" s="138"/>
    </row>
    <row r="66" spans="4:36" x14ac:dyDescent="0.25">
      <c r="D66" s="135"/>
      <c r="E66" s="137" t="s">
        <v>122</v>
      </c>
      <c r="F66" s="137"/>
      <c r="G66" s="137"/>
      <c r="H66" s="149"/>
      <c r="I66" s="149"/>
      <c r="J66" s="149"/>
      <c r="K66" s="643">
        <v>189.59</v>
      </c>
      <c r="L66" s="643"/>
      <c r="M66" s="643"/>
      <c r="N66" s="150"/>
      <c r="O66" s="137"/>
      <c r="P66" s="149"/>
      <c r="Q66" s="149"/>
      <c r="R66" s="149"/>
      <c r="S66" s="137"/>
      <c r="T66" s="137"/>
      <c r="U66" s="137"/>
      <c r="V66" s="137"/>
      <c r="W66" s="138"/>
    </row>
    <row r="67" spans="4:36" ht="15.75" thickBot="1" x14ac:dyDescent="0.3">
      <c r="D67" s="139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1"/>
    </row>
    <row r="68" spans="4:36" ht="16.5" thickTop="1" thickBot="1" x14ac:dyDescent="0.3"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</row>
    <row r="69" spans="4:36" ht="15.75" thickTop="1" x14ac:dyDescent="0.25">
      <c r="D69" s="132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4"/>
    </row>
    <row r="70" spans="4:36" ht="15.75" thickBot="1" x14ac:dyDescent="0.3">
      <c r="D70" s="135"/>
      <c r="E70" s="658" t="s">
        <v>107</v>
      </c>
      <c r="F70" s="658"/>
      <c r="G70" s="658"/>
      <c r="H70" s="658"/>
      <c r="I70" s="658"/>
      <c r="J70" s="658"/>
      <c r="K70" s="658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8"/>
    </row>
    <row r="71" spans="4:36" ht="15.75" thickBot="1" x14ac:dyDescent="0.3">
      <c r="D71" s="135"/>
      <c r="E71" s="146" t="s">
        <v>106</v>
      </c>
      <c r="F71" s="146"/>
      <c r="G71" s="146"/>
      <c r="H71" s="146"/>
      <c r="I71" s="146"/>
      <c r="J71" s="146"/>
      <c r="K71" s="146"/>
      <c r="L71" s="146"/>
      <c r="M71" s="147" t="s">
        <v>108</v>
      </c>
      <c r="N71" s="146"/>
      <c r="O71" s="144"/>
      <c r="P71" s="144"/>
      <c r="Q71" s="144"/>
      <c r="R71" s="144"/>
      <c r="S71" s="144"/>
      <c r="T71" s="144"/>
      <c r="U71" s="137"/>
      <c r="V71" s="138"/>
    </row>
    <row r="72" spans="4:36" ht="15.75" thickBot="1" x14ac:dyDescent="0.3">
      <c r="D72" s="135"/>
      <c r="E72" s="144" t="s">
        <v>12</v>
      </c>
      <c r="F72" s="639">
        <v>1556.94</v>
      </c>
      <c r="G72" s="639"/>
      <c r="H72" s="639"/>
      <c r="I72" s="144"/>
      <c r="J72" s="144"/>
      <c r="K72" s="144"/>
      <c r="L72" s="144"/>
      <c r="M72" s="646">
        <v>0.08</v>
      </c>
      <c r="N72" s="647"/>
      <c r="O72" s="144"/>
      <c r="P72" s="144"/>
      <c r="Q72" s="144"/>
      <c r="R72" s="144"/>
      <c r="S72" s="144"/>
      <c r="T72" s="144"/>
      <c r="U72" s="137"/>
      <c r="V72" s="138"/>
    </row>
    <row r="73" spans="4:36" ht="15.75" thickBot="1" x14ac:dyDescent="0.3">
      <c r="D73" s="135"/>
      <c r="E73" s="144" t="s">
        <v>102</v>
      </c>
      <c r="F73" s="645">
        <f>F72+0.01</f>
        <v>1556.95</v>
      </c>
      <c r="G73" s="645"/>
      <c r="H73" s="645"/>
      <c r="I73" s="144" t="s">
        <v>12</v>
      </c>
      <c r="J73" s="639">
        <v>2594.92</v>
      </c>
      <c r="K73" s="639"/>
      <c r="L73" s="639"/>
      <c r="M73" s="646">
        <v>0.09</v>
      </c>
      <c r="N73" s="647"/>
      <c r="O73" s="144"/>
      <c r="P73" s="144"/>
      <c r="Q73" s="144"/>
      <c r="R73" s="144"/>
      <c r="S73" s="144"/>
      <c r="T73" s="144"/>
      <c r="U73" s="137"/>
      <c r="V73" s="138"/>
    </row>
    <row r="74" spans="4:36" ht="15.75" thickBot="1" x14ac:dyDescent="0.3">
      <c r="D74" s="135"/>
      <c r="E74" s="144" t="s">
        <v>102</v>
      </c>
      <c r="F74" s="645">
        <f>J73+0.01</f>
        <v>2594.9300000000003</v>
      </c>
      <c r="G74" s="645"/>
      <c r="H74" s="645"/>
      <c r="I74" s="144" t="s">
        <v>12</v>
      </c>
      <c r="J74" s="639">
        <v>5189.82</v>
      </c>
      <c r="K74" s="639"/>
      <c r="L74" s="639"/>
      <c r="M74" s="646">
        <v>0.11</v>
      </c>
      <c r="N74" s="647"/>
      <c r="O74" s="144"/>
      <c r="P74" s="144"/>
      <c r="Q74" s="144"/>
      <c r="R74" s="144"/>
      <c r="S74" s="144"/>
      <c r="T74" s="144"/>
      <c r="U74" s="137"/>
      <c r="V74" s="138"/>
    </row>
    <row r="75" spans="4:36" s="351" customFormat="1" x14ac:dyDescent="0.25">
      <c r="D75" s="135"/>
      <c r="E75" s="137"/>
      <c r="F75" s="352"/>
      <c r="G75" s="352"/>
      <c r="H75" s="352"/>
      <c r="I75" s="137"/>
      <c r="J75" s="416"/>
      <c r="K75" s="416"/>
      <c r="L75" s="416"/>
      <c r="M75" s="417"/>
      <c r="N75" s="417"/>
      <c r="O75" s="137"/>
      <c r="P75" s="137"/>
      <c r="Q75" s="137"/>
      <c r="R75" s="137"/>
      <c r="S75" s="137"/>
      <c r="T75" s="137"/>
      <c r="U75" s="137"/>
      <c r="V75" s="138"/>
      <c r="AJ75" s="455"/>
    </row>
    <row r="76" spans="4:36" s="351" customFormat="1" x14ac:dyDescent="0.25">
      <c r="D76" s="135"/>
      <c r="E76" s="137" t="s">
        <v>189</v>
      </c>
      <c r="F76" s="352"/>
      <c r="G76" s="352"/>
      <c r="H76" s="352"/>
      <c r="I76" s="137"/>
      <c r="J76" s="416"/>
      <c r="K76" s="416"/>
      <c r="L76" s="416"/>
      <c r="M76" s="417"/>
      <c r="N76" s="417"/>
      <c r="O76" s="636" t="s">
        <v>130</v>
      </c>
      <c r="P76" s="636"/>
      <c r="Q76" s="137"/>
      <c r="R76" s="137"/>
      <c r="S76" s="137"/>
      <c r="T76" s="137"/>
      <c r="U76" s="137"/>
      <c r="V76" s="138"/>
      <c r="AJ76" s="455"/>
    </row>
    <row r="77" spans="4:36" ht="15.75" thickBot="1" x14ac:dyDescent="0.3">
      <c r="D77" s="139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1"/>
    </row>
    <row r="78" spans="4:36" ht="16.5" thickTop="1" thickBot="1" x14ac:dyDescent="0.3"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</row>
    <row r="79" spans="4:36" ht="15.75" thickTop="1" x14ac:dyDescent="0.25">
      <c r="D79" s="132"/>
      <c r="E79" s="133"/>
      <c r="F79" s="133"/>
      <c r="G79" s="133"/>
      <c r="H79" s="133"/>
      <c r="I79" s="133"/>
      <c r="J79" s="133"/>
      <c r="K79" s="133"/>
      <c r="L79" s="133"/>
      <c r="M79" s="133"/>
      <c r="N79" s="133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  <c r="AC79" s="133"/>
      <c r="AD79" s="133"/>
      <c r="AE79" s="133"/>
      <c r="AF79" s="133"/>
      <c r="AG79" s="133"/>
      <c r="AH79" s="134"/>
    </row>
    <row r="80" spans="4:36" ht="15.75" thickBot="1" x14ac:dyDescent="0.3">
      <c r="D80" s="135"/>
      <c r="E80" s="640" t="s">
        <v>109</v>
      </c>
      <c r="F80" s="640"/>
      <c r="G80" s="640"/>
      <c r="H80" s="640"/>
      <c r="I80" s="640"/>
      <c r="J80" s="640"/>
      <c r="K80" s="640"/>
      <c r="L80" s="640"/>
      <c r="M80" s="640"/>
      <c r="N80" s="640"/>
      <c r="O80" s="640"/>
      <c r="P80" s="640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8"/>
    </row>
    <row r="81" spans="4:36" ht="15.75" thickBot="1" x14ac:dyDescent="0.3">
      <c r="D81" s="135"/>
      <c r="E81" s="146" t="s">
        <v>110</v>
      </c>
      <c r="F81" s="146"/>
      <c r="G81" s="146"/>
      <c r="H81" s="146"/>
      <c r="I81" s="146"/>
      <c r="J81" s="146"/>
      <c r="K81" s="146"/>
      <c r="L81" s="146"/>
      <c r="M81" s="147" t="s">
        <v>112</v>
      </c>
      <c r="N81" s="144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  <c r="AC81" s="144"/>
      <c r="AD81" s="144"/>
      <c r="AE81" s="144"/>
      <c r="AF81" s="144"/>
      <c r="AG81" s="144"/>
      <c r="AH81" s="138"/>
    </row>
    <row r="82" spans="4:36" ht="15.75" thickBot="1" x14ac:dyDescent="0.3">
      <c r="D82" s="135"/>
      <c r="E82" s="144" t="s">
        <v>12</v>
      </c>
      <c r="F82" s="639">
        <v>1360.7</v>
      </c>
      <c r="G82" s="639"/>
      <c r="H82" s="639"/>
      <c r="I82" s="144"/>
      <c r="J82" s="144"/>
      <c r="K82" s="144"/>
      <c r="L82" s="144"/>
      <c r="M82" s="148" t="s">
        <v>113</v>
      </c>
      <c r="N82" s="144"/>
      <c r="O82" s="144"/>
      <c r="P82" s="144"/>
      <c r="Q82" s="144"/>
      <c r="R82" s="144"/>
      <c r="S82" s="144"/>
      <c r="T82" s="642">
        <v>0.8</v>
      </c>
      <c r="U82" s="642"/>
      <c r="V82" s="644">
        <f>T82*100%</f>
        <v>0.8</v>
      </c>
      <c r="W82" s="644"/>
      <c r="X82" s="144"/>
      <c r="Y82" s="144"/>
      <c r="Z82" s="144"/>
      <c r="AA82" s="144"/>
      <c r="AB82" s="144"/>
      <c r="AC82" s="144"/>
      <c r="AD82" s="144"/>
      <c r="AE82" s="144"/>
      <c r="AF82" s="144"/>
      <c r="AG82" s="144"/>
      <c r="AH82" s="138"/>
    </row>
    <row r="83" spans="4:36" ht="15.75" thickBot="1" x14ac:dyDescent="0.3">
      <c r="D83" s="135"/>
      <c r="E83" s="144" t="s">
        <v>102</v>
      </c>
      <c r="F83" s="645">
        <f>F82+0.01</f>
        <v>1360.71</v>
      </c>
      <c r="G83" s="645"/>
      <c r="H83" s="645"/>
      <c r="I83" s="144" t="s">
        <v>12</v>
      </c>
      <c r="J83" s="639">
        <v>2268.0500000000002</v>
      </c>
      <c r="K83" s="639"/>
      <c r="L83" s="639"/>
      <c r="M83" s="148" t="s">
        <v>114</v>
      </c>
      <c r="N83" s="144"/>
      <c r="O83" s="144"/>
      <c r="P83" s="144"/>
      <c r="Q83" s="639">
        <v>1360.7</v>
      </c>
      <c r="R83" s="639"/>
      <c r="S83" s="639"/>
      <c r="T83" s="144" t="s">
        <v>115</v>
      </c>
      <c r="U83" s="144"/>
      <c r="V83" s="144"/>
      <c r="W83" s="144"/>
      <c r="X83" s="642">
        <v>0.5</v>
      </c>
      <c r="Y83" s="642"/>
      <c r="Z83" s="644">
        <f>X83*100%</f>
        <v>0.5</v>
      </c>
      <c r="AA83" s="644"/>
      <c r="AB83" s="144" t="s">
        <v>116</v>
      </c>
      <c r="AC83" s="144"/>
      <c r="AD83" s="144"/>
      <c r="AE83" s="639">
        <v>1088.56</v>
      </c>
      <c r="AF83" s="639"/>
      <c r="AG83" s="639"/>
      <c r="AH83" s="138"/>
    </row>
    <row r="84" spans="4:36" ht="15.75" thickBot="1" x14ac:dyDescent="0.3">
      <c r="D84" s="135"/>
      <c r="E84" s="144" t="s">
        <v>111</v>
      </c>
      <c r="F84" s="144"/>
      <c r="G84" s="645">
        <f>J83</f>
        <v>2268.0500000000002</v>
      </c>
      <c r="H84" s="645"/>
      <c r="I84" s="645"/>
      <c r="J84" s="144"/>
      <c r="K84" s="144"/>
      <c r="L84" s="144"/>
      <c r="M84" s="148" t="s">
        <v>117</v>
      </c>
      <c r="N84" s="144"/>
      <c r="O84" s="144"/>
      <c r="P84" s="144"/>
      <c r="Q84" s="144"/>
      <c r="R84" s="144"/>
      <c r="S84" s="639">
        <v>1542.24</v>
      </c>
      <c r="T84" s="639"/>
      <c r="U84" s="639"/>
      <c r="V84" s="144" t="s">
        <v>118</v>
      </c>
      <c r="W84" s="144"/>
      <c r="X84" s="144"/>
      <c r="Y84" s="144"/>
      <c r="Z84" s="144"/>
      <c r="AA84" s="144"/>
      <c r="AB84" s="144"/>
      <c r="AC84" s="144"/>
      <c r="AD84" s="144"/>
      <c r="AE84" s="144"/>
      <c r="AF84" s="144"/>
      <c r="AG84" s="144"/>
      <c r="AH84" s="138"/>
    </row>
    <row r="85" spans="4:36" s="351" customFormat="1" ht="15.75" thickBot="1" x14ac:dyDescent="0.3">
      <c r="D85" s="139"/>
      <c r="E85" s="140"/>
      <c r="F85" s="140"/>
      <c r="G85" s="354"/>
      <c r="H85" s="354"/>
      <c r="I85" s="354"/>
      <c r="J85" s="140"/>
      <c r="K85" s="140"/>
      <c r="L85" s="140"/>
      <c r="M85" s="140"/>
      <c r="N85" s="140"/>
      <c r="O85" s="140"/>
      <c r="P85" s="140"/>
      <c r="Q85" s="140"/>
      <c r="R85" s="195"/>
      <c r="S85" s="418"/>
      <c r="T85" s="418"/>
      <c r="U85" s="418"/>
      <c r="V85" s="195"/>
      <c r="W85" s="195"/>
      <c r="X85" s="195"/>
      <c r="Y85" s="195"/>
      <c r="Z85" s="140"/>
      <c r="AA85" s="140"/>
      <c r="AB85" s="140"/>
      <c r="AC85" s="140"/>
      <c r="AD85" s="140"/>
      <c r="AE85" s="140"/>
      <c r="AF85" s="140"/>
      <c r="AG85" s="140"/>
      <c r="AH85" s="141"/>
      <c r="AJ85" s="455"/>
    </row>
    <row r="86" spans="4:36" ht="16.5" thickTop="1" thickBot="1" x14ac:dyDescent="0.3"/>
    <row r="87" spans="4:36" ht="15.75" thickTop="1" x14ac:dyDescent="0.25">
      <c r="D87" s="132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4"/>
    </row>
    <row r="88" spans="4:36" ht="15.75" thickBot="1" x14ac:dyDescent="0.3">
      <c r="D88" s="135"/>
      <c r="E88" s="640" t="s">
        <v>123</v>
      </c>
      <c r="F88" s="640"/>
      <c r="G88" s="640"/>
      <c r="H88" s="640"/>
      <c r="I88" s="640"/>
      <c r="J88" s="640"/>
      <c r="K88" s="137"/>
      <c r="L88" s="137"/>
      <c r="M88" s="137"/>
      <c r="N88" s="137"/>
      <c r="O88" s="137"/>
      <c r="P88" s="137"/>
      <c r="Q88" s="137"/>
      <c r="R88" s="138"/>
    </row>
    <row r="89" spans="4:36" ht="15.75" thickBot="1" x14ac:dyDescent="0.3">
      <c r="D89" s="135"/>
      <c r="E89" s="146" t="s">
        <v>124</v>
      </c>
      <c r="F89" s="144"/>
      <c r="G89" s="144"/>
      <c r="H89" s="144"/>
      <c r="I89" s="147" t="s">
        <v>125</v>
      </c>
      <c r="J89" s="144"/>
      <c r="K89" s="144"/>
      <c r="L89" s="144"/>
      <c r="M89" s="144"/>
      <c r="N89" s="144"/>
      <c r="O89" s="144"/>
      <c r="P89" s="144"/>
      <c r="Q89" s="144"/>
      <c r="R89" s="138"/>
    </row>
    <row r="90" spans="4:36" ht="15.75" thickBot="1" x14ac:dyDescent="0.3">
      <c r="D90" s="135"/>
      <c r="E90" s="144" t="s">
        <v>12</v>
      </c>
      <c r="F90" s="639">
        <v>806.8</v>
      </c>
      <c r="G90" s="639"/>
      <c r="H90" s="639"/>
      <c r="I90" s="666">
        <v>41.37</v>
      </c>
      <c r="J90" s="639"/>
      <c r="K90" s="639"/>
      <c r="L90" s="144"/>
      <c r="M90" s="144"/>
      <c r="N90" s="144"/>
      <c r="O90" s="144"/>
      <c r="P90" s="144"/>
      <c r="Q90" s="144"/>
      <c r="R90" s="138"/>
    </row>
    <row r="91" spans="4:36" ht="15.75" thickBot="1" x14ac:dyDescent="0.3">
      <c r="D91" s="135"/>
      <c r="E91" s="144" t="s">
        <v>12</v>
      </c>
      <c r="F91" s="639">
        <v>1212.6400000000001</v>
      </c>
      <c r="G91" s="639"/>
      <c r="H91" s="639"/>
      <c r="I91" s="666">
        <v>29.16</v>
      </c>
      <c r="J91" s="639"/>
      <c r="K91" s="639"/>
      <c r="L91" s="144"/>
      <c r="M91" s="144"/>
      <c r="N91" s="144"/>
      <c r="O91" s="144"/>
      <c r="P91" s="144"/>
      <c r="Q91" s="144"/>
      <c r="R91" s="138"/>
    </row>
    <row r="92" spans="4:36" ht="15.75" thickBot="1" x14ac:dyDescent="0.3">
      <c r="D92" s="139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1"/>
      <c r="AE92" s="160"/>
    </row>
    <row r="93" spans="4:36" ht="16.5" thickTop="1" thickBot="1" x14ac:dyDescent="0.3">
      <c r="AE93" s="160"/>
    </row>
    <row r="94" spans="4:36" s="151" customFormat="1" ht="15.75" thickTop="1" x14ac:dyDescent="0.25">
      <c r="D94" s="132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33"/>
      <c r="P94" s="133"/>
      <c r="Q94" s="134"/>
      <c r="AE94" s="160"/>
      <c r="AJ94" s="455"/>
    </row>
    <row r="95" spans="4:36" s="151" customFormat="1" x14ac:dyDescent="0.25">
      <c r="D95" s="135"/>
      <c r="E95" s="137" t="s">
        <v>121</v>
      </c>
      <c r="F95" s="137"/>
      <c r="G95" s="137"/>
      <c r="H95" s="137"/>
      <c r="I95" s="137"/>
      <c r="J95" s="137"/>
      <c r="K95" s="643">
        <v>880</v>
      </c>
      <c r="L95" s="643"/>
      <c r="M95" s="643"/>
      <c r="P95" s="667"/>
      <c r="Q95" s="668"/>
      <c r="AJ95" s="455"/>
    </row>
    <row r="96" spans="4:36" s="151" customFormat="1" ht="15.75" thickBot="1" x14ac:dyDescent="0.3">
      <c r="D96" s="139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1"/>
      <c r="AJ96" s="455"/>
    </row>
    <row r="97" spans="1:36" s="151" customFormat="1" ht="15.75" thickTop="1" x14ac:dyDescent="0.25">
      <c r="AJ97" s="455"/>
    </row>
    <row r="98" spans="1:36" s="450" customFormat="1" ht="15.75" thickBot="1" x14ac:dyDescent="0.3">
      <c r="A98" s="160"/>
      <c r="B98" s="160"/>
      <c r="C98" s="160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  <c r="U98" s="159"/>
      <c r="V98" s="159"/>
      <c r="W98" s="159"/>
      <c r="X98" s="160"/>
      <c r="Y98" s="160"/>
      <c r="AJ98" s="456"/>
    </row>
    <row r="99" spans="1:36" s="450" customFormat="1" ht="15.75" thickTop="1" x14ac:dyDescent="0.25">
      <c r="A99" s="160"/>
      <c r="B99" s="160"/>
      <c r="C99" s="160"/>
      <c r="D99" s="174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6"/>
      <c r="AA99" s="462"/>
      <c r="AB99" s="463"/>
      <c r="AC99" s="463"/>
      <c r="AD99" s="463"/>
      <c r="AE99" s="463"/>
      <c r="AF99" s="463"/>
      <c r="AG99" s="464"/>
      <c r="AJ99" s="456"/>
    </row>
    <row r="100" spans="1:36" s="450" customFormat="1" x14ac:dyDescent="0.25">
      <c r="A100" s="160"/>
      <c r="B100" s="160"/>
      <c r="C100" s="160"/>
      <c r="D100" s="177"/>
      <c r="E100" s="635" t="s">
        <v>137</v>
      </c>
      <c r="F100" s="635"/>
      <c r="G100" s="635"/>
      <c r="H100" s="635"/>
      <c r="I100" s="635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59"/>
      <c r="V100" s="159"/>
      <c r="W100" s="159"/>
      <c r="X100" s="159"/>
      <c r="Y100" s="178"/>
      <c r="AA100" s="451"/>
      <c r="AB100" s="635" t="s">
        <v>221</v>
      </c>
      <c r="AC100" s="635"/>
      <c r="AD100" s="635"/>
      <c r="AE100" s="635"/>
      <c r="AF100" s="635"/>
      <c r="AG100" s="465"/>
      <c r="AJ100" s="456"/>
    </row>
    <row r="101" spans="1:36" s="450" customFormat="1" x14ac:dyDescent="0.25">
      <c r="A101" s="160"/>
      <c r="B101" s="160"/>
      <c r="C101" s="160"/>
      <c r="D101" s="177"/>
      <c r="E101" s="161" t="s">
        <v>138</v>
      </c>
      <c r="F101" s="161"/>
      <c r="G101" s="161"/>
      <c r="H101" s="161"/>
      <c r="I101" s="662" t="s">
        <v>176</v>
      </c>
      <c r="J101" s="662"/>
      <c r="K101" s="662"/>
      <c r="L101" s="662"/>
      <c r="M101" s="662"/>
      <c r="N101" s="662"/>
      <c r="O101" s="662"/>
      <c r="P101" s="662"/>
      <c r="Q101" s="662"/>
      <c r="R101" s="662"/>
      <c r="S101" s="662"/>
      <c r="T101" s="161"/>
      <c r="U101" s="161"/>
      <c r="V101" s="161"/>
      <c r="W101" s="161"/>
      <c r="X101" s="161"/>
      <c r="Y101" s="178"/>
      <c r="AA101" s="451"/>
      <c r="AB101" s="449"/>
      <c r="AC101" s="449"/>
      <c r="AD101" s="449"/>
      <c r="AE101" s="449"/>
      <c r="AF101" s="449"/>
      <c r="AG101" s="465"/>
      <c r="AJ101" s="456"/>
    </row>
    <row r="102" spans="1:36" s="450" customFormat="1" x14ac:dyDescent="0.25">
      <c r="A102" s="160"/>
      <c r="B102" s="160"/>
      <c r="C102" s="160"/>
      <c r="D102" s="177"/>
      <c r="E102" s="162" t="s">
        <v>139</v>
      </c>
      <c r="F102" s="162"/>
      <c r="G102" s="162"/>
      <c r="H102" s="162"/>
      <c r="I102" s="663" t="s">
        <v>177</v>
      </c>
      <c r="J102" s="663"/>
      <c r="K102" s="663"/>
      <c r="L102" s="663"/>
      <c r="M102" s="663"/>
      <c r="N102" s="663"/>
      <c r="O102" s="663"/>
      <c r="P102" s="663"/>
      <c r="Q102" s="663"/>
      <c r="R102" s="663"/>
      <c r="S102" s="663"/>
      <c r="T102" s="663"/>
      <c r="U102" s="663"/>
      <c r="V102" s="663"/>
      <c r="W102" s="663"/>
      <c r="X102" s="663"/>
      <c r="Y102" s="178"/>
      <c r="AA102" s="466"/>
      <c r="AB102" s="629" t="s">
        <v>222</v>
      </c>
      <c r="AC102" s="630"/>
      <c r="AD102" s="630" t="s">
        <v>215</v>
      </c>
      <c r="AE102" s="631"/>
      <c r="AF102" s="449"/>
      <c r="AG102" s="465"/>
      <c r="AJ102" s="456"/>
    </row>
    <row r="103" spans="1:36" s="450" customFormat="1" x14ac:dyDescent="0.25">
      <c r="A103" s="160"/>
      <c r="B103" s="160"/>
      <c r="C103" s="160"/>
      <c r="D103" s="177"/>
      <c r="E103" s="162" t="s">
        <v>140</v>
      </c>
      <c r="F103" s="162"/>
      <c r="G103" s="162"/>
      <c r="H103" s="162"/>
      <c r="I103" s="163"/>
      <c r="J103" s="663" t="s">
        <v>178</v>
      </c>
      <c r="K103" s="663"/>
      <c r="L103" s="663"/>
      <c r="M103" s="663"/>
      <c r="N103" s="663"/>
      <c r="O103" s="663"/>
      <c r="P103" s="663"/>
      <c r="Q103" s="663"/>
      <c r="R103" s="663"/>
      <c r="S103" s="663"/>
      <c r="T103" s="663"/>
      <c r="U103" s="663"/>
      <c r="V103" s="663"/>
      <c r="W103" s="663"/>
      <c r="X103" s="663"/>
      <c r="Y103" s="178"/>
      <c r="AA103" s="451"/>
      <c r="AB103" s="632">
        <v>1</v>
      </c>
      <c r="AC103" s="633"/>
      <c r="AD103" s="633">
        <v>9</v>
      </c>
      <c r="AE103" s="634"/>
      <c r="AF103" s="449"/>
      <c r="AG103" s="465"/>
      <c r="AJ103" s="456"/>
    </row>
    <row r="104" spans="1:36" s="450" customFormat="1" ht="15.75" thickBot="1" x14ac:dyDescent="0.3">
      <c r="A104" s="160"/>
      <c r="B104" s="160"/>
      <c r="C104" s="160"/>
      <c r="D104" s="177"/>
      <c r="E104" s="162" t="s">
        <v>141</v>
      </c>
      <c r="F104" s="162"/>
      <c r="G104" s="162"/>
      <c r="H104" s="663" t="s">
        <v>179</v>
      </c>
      <c r="I104" s="663"/>
      <c r="J104" s="663"/>
      <c r="K104" s="663"/>
      <c r="L104" s="663"/>
      <c r="M104" s="663"/>
      <c r="N104" s="163"/>
      <c r="O104" s="185" t="s">
        <v>142</v>
      </c>
      <c r="P104" s="664" t="s">
        <v>180</v>
      </c>
      <c r="Q104" s="664"/>
      <c r="R104" s="664"/>
      <c r="S104" s="664"/>
      <c r="T104" s="664"/>
      <c r="U104" s="664"/>
      <c r="V104" s="664"/>
      <c r="W104" s="664"/>
      <c r="X104" s="664"/>
      <c r="Y104" s="178"/>
      <c r="AA104" s="467"/>
      <c r="AB104" s="468"/>
      <c r="AC104" s="468"/>
      <c r="AD104" s="468"/>
      <c r="AE104" s="468"/>
      <c r="AF104" s="468"/>
      <c r="AG104" s="469"/>
      <c r="AJ104" s="456"/>
    </row>
    <row r="105" spans="1:36" s="450" customFormat="1" x14ac:dyDescent="0.25">
      <c r="A105" s="160"/>
      <c r="B105" s="160"/>
      <c r="C105" s="160"/>
      <c r="D105" s="177"/>
      <c r="E105" s="159" t="s">
        <v>143</v>
      </c>
      <c r="F105" s="159"/>
      <c r="G105" s="665" t="s">
        <v>181</v>
      </c>
      <c r="H105" s="665"/>
      <c r="I105" s="665"/>
      <c r="J105" s="665"/>
      <c r="K105" s="665"/>
      <c r="L105" s="665"/>
      <c r="M105" s="665"/>
      <c r="N105" s="665"/>
      <c r="O105" s="665"/>
      <c r="P105" s="665"/>
      <c r="Q105" s="164"/>
      <c r="R105" s="164"/>
      <c r="S105" s="165"/>
      <c r="T105" s="166"/>
      <c r="U105" s="166"/>
      <c r="V105" s="166"/>
      <c r="W105" s="166"/>
      <c r="X105" s="166"/>
      <c r="Y105" s="178"/>
      <c r="AJ105" s="456"/>
    </row>
    <row r="106" spans="1:36" s="191" customFormat="1" ht="15.75" thickBot="1" x14ac:dyDescent="0.3">
      <c r="D106" s="194"/>
      <c r="E106" s="182"/>
      <c r="F106" s="182"/>
      <c r="G106" s="195"/>
      <c r="H106" s="195"/>
      <c r="I106" s="195"/>
      <c r="J106" s="195"/>
      <c r="K106" s="195"/>
      <c r="L106" s="195"/>
      <c r="M106" s="195"/>
      <c r="N106" s="195"/>
      <c r="O106" s="195"/>
      <c r="P106" s="195"/>
      <c r="Q106" s="182"/>
      <c r="R106" s="182"/>
      <c r="S106" s="183"/>
      <c r="T106" s="184"/>
      <c r="U106" s="184"/>
      <c r="V106" s="184"/>
      <c r="W106" s="184"/>
      <c r="X106" s="184"/>
      <c r="Y106" s="192"/>
      <c r="AJ106" s="440"/>
    </row>
    <row r="107" spans="1:36" s="191" customFormat="1" ht="16.5" thickTop="1" thickBot="1" x14ac:dyDescent="0.3">
      <c r="D107" s="164"/>
      <c r="E107" s="164"/>
      <c r="F107" s="164"/>
      <c r="G107" s="193"/>
      <c r="H107" s="193"/>
      <c r="I107" s="193"/>
      <c r="J107" s="193"/>
      <c r="K107" s="193"/>
      <c r="L107" s="193"/>
      <c r="M107" s="193"/>
      <c r="N107" s="193"/>
      <c r="O107" s="193"/>
      <c r="P107" s="193"/>
      <c r="Q107" s="164"/>
      <c r="R107" s="164"/>
      <c r="S107" s="165"/>
      <c r="T107" s="166"/>
      <c r="U107" s="166"/>
      <c r="V107" s="166"/>
      <c r="W107" s="166"/>
      <c r="X107" s="166"/>
      <c r="AJ107" s="440"/>
    </row>
    <row r="108" spans="1:36" s="191" customFormat="1" ht="15.75" thickTop="1" x14ac:dyDescent="0.25">
      <c r="D108" s="196"/>
      <c r="E108" s="197"/>
      <c r="F108" s="197"/>
      <c r="G108" s="197"/>
      <c r="H108" s="197"/>
      <c r="I108" s="197"/>
      <c r="J108" s="197"/>
      <c r="K108" s="197"/>
      <c r="L108" s="197"/>
      <c r="M108" s="197"/>
      <c r="N108" s="197"/>
      <c r="O108" s="197"/>
      <c r="P108" s="197"/>
      <c r="Q108" s="197"/>
      <c r="R108" s="197"/>
      <c r="S108" s="197"/>
      <c r="T108" s="197"/>
      <c r="U108" s="197"/>
      <c r="V108" s="197"/>
      <c r="W108" s="197"/>
      <c r="X108" s="197"/>
      <c r="Y108" s="197"/>
      <c r="Z108" s="197"/>
      <c r="AA108" s="197"/>
      <c r="AB108" s="197"/>
      <c r="AC108" s="198"/>
      <c r="AJ108" s="440"/>
    </row>
    <row r="109" spans="1:36" s="191" customFormat="1" x14ac:dyDescent="0.25">
      <c r="D109" s="199"/>
      <c r="E109" s="650" t="s">
        <v>146</v>
      </c>
      <c r="F109" s="650"/>
      <c r="G109" s="650"/>
      <c r="H109" s="650"/>
      <c r="I109" s="650"/>
      <c r="J109" s="650"/>
      <c r="K109" s="650"/>
      <c r="L109" s="164"/>
      <c r="M109" s="164"/>
      <c r="N109" s="164"/>
      <c r="O109" s="164"/>
      <c r="P109" s="164"/>
      <c r="Q109" s="164"/>
      <c r="R109" s="164"/>
      <c r="S109" s="164"/>
      <c r="T109" s="164"/>
      <c r="U109" s="164"/>
      <c r="V109" s="164"/>
      <c r="W109" s="164"/>
      <c r="X109" s="164"/>
      <c r="Y109" s="164"/>
      <c r="Z109" s="164"/>
      <c r="AA109" s="164"/>
      <c r="AB109" s="164"/>
      <c r="AC109" s="200"/>
      <c r="AJ109" s="440"/>
    </row>
    <row r="110" spans="1:36" s="160" customFormat="1" ht="51" customHeight="1" x14ac:dyDescent="0.25">
      <c r="D110" s="177"/>
      <c r="E110" s="659" t="s">
        <v>227</v>
      </c>
      <c r="F110" s="659"/>
      <c r="G110" s="659"/>
      <c r="H110" s="659"/>
      <c r="I110" s="659"/>
      <c r="J110" s="659"/>
      <c r="K110" s="659"/>
      <c r="L110" s="659"/>
      <c r="M110" s="659"/>
      <c r="N110" s="659"/>
      <c r="O110" s="659"/>
      <c r="P110" s="659"/>
      <c r="Q110" s="659"/>
      <c r="R110" s="659"/>
      <c r="S110" s="659"/>
      <c r="T110" s="659"/>
      <c r="U110" s="659"/>
      <c r="V110" s="659"/>
      <c r="W110" s="659"/>
      <c r="X110" s="659"/>
      <c r="Y110" s="659"/>
      <c r="Z110" s="659"/>
      <c r="AA110" s="659"/>
      <c r="AB110" s="659"/>
      <c r="AC110" s="179"/>
      <c r="AD110" s="116"/>
      <c r="AJ110" s="456"/>
    </row>
    <row r="111" spans="1:36" s="191" customFormat="1" ht="15" customHeight="1" thickBot="1" x14ac:dyDescent="0.3">
      <c r="B111" s="116"/>
      <c r="C111" s="116"/>
      <c r="D111" s="180"/>
      <c r="E111" s="181"/>
      <c r="F111" s="181"/>
      <c r="G111" s="181"/>
      <c r="H111" s="181"/>
      <c r="I111" s="181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2"/>
      <c r="AB111" s="182"/>
      <c r="AC111" s="192"/>
      <c r="AJ111" s="440"/>
    </row>
    <row r="112" spans="1:36" s="193" customFormat="1" ht="15.75" thickTop="1" x14ac:dyDescent="0.25">
      <c r="A112" s="116"/>
      <c r="B112" s="116"/>
      <c r="C112" s="116"/>
      <c r="D112" s="116"/>
      <c r="E112" s="116"/>
      <c r="F112" s="116"/>
      <c r="G112" s="116"/>
      <c r="H112" s="116"/>
      <c r="I112" s="116"/>
      <c r="J112" s="116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6"/>
      <c r="X112" s="116"/>
      <c r="Y112" s="116"/>
      <c r="Z112" s="116"/>
      <c r="AJ112" s="457"/>
    </row>
    <row r="113" spans="1:36" s="193" customFormat="1" x14ac:dyDescent="0.25">
      <c r="A113" s="191"/>
      <c r="B113" s="191"/>
      <c r="C113" s="191"/>
      <c r="D113" s="191"/>
      <c r="E113" s="191"/>
      <c r="F113" s="191"/>
      <c r="G113" s="191"/>
      <c r="H113" s="191"/>
      <c r="I113" s="191"/>
      <c r="J113" s="191"/>
      <c r="K113" s="191"/>
      <c r="L113" s="191"/>
      <c r="M113" s="191"/>
      <c r="N113" s="191"/>
      <c r="O113" s="191"/>
      <c r="P113" s="191"/>
      <c r="Q113" s="191"/>
      <c r="R113" s="191"/>
      <c r="S113" s="191"/>
      <c r="T113" s="191"/>
      <c r="U113" s="191"/>
      <c r="V113" s="191"/>
      <c r="W113" s="191"/>
      <c r="X113" s="191"/>
      <c r="Y113" s="191"/>
      <c r="Z113" s="191"/>
      <c r="AJ113" s="457"/>
    </row>
    <row r="114" spans="1:36" s="193" customFormat="1" x14ac:dyDescent="0.25">
      <c r="D114" s="228" t="s">
        <v>127</v>
      </c>
      <c r="AJ114" s="457"/>
    </row>
    <row r="115" spans="1:36" s="193" customFormat="1" ht="16.5" customHeight="1" x14ac:dyDescent="0.25">
      <c r="D115" s="228" t="s">
        <v>226</v>
      </c>
      <c r="AJ115" s="457"/>
    </row>
    <row r="116" spans="1:36" s="193" customFormat="1" x14ac:dyDescent="0.25">
      <c r="D116" s="229"/>
      <c r="AJ116" s="457"/>
    </row>
    <row r="117" spans="1:36" s="193" customFormat="1" x14ac:dyDescent="0.25">
      <c r="AJ117" s="457"/>
    </row>
    <row r="118" spans="1:36" s="193" customFormat="1" hidden="1" x14ac:dyDescent="0.25">
      <c r="AJ118" s="457"/>
    </row>
    <row r="119" spans="1:36" s="193" customFormat="1" hidden="1" x14ac:dyDescent="0.25">
      <c r="AJ119" s="457"/>
    </row>
    <row r="120" spans="1:36" s="193" customFormat="1" hidden="1" x14ac:dyDescent="0.25">
      <c r="AJ120" s="457"/>
    </row>
    <row r="121" spans="1:36" s="193" customFormat="1" hidden="1" x14ac:dyDescent="0.25">
      <c r="AJ121" s="457"/>
    </row>
    <row r="122" spans="1:36" hidden="1" x14ac:dyDescent="0.25"/>
    <row r="123" spans="1:36" hidden="1" x14ac:dyDescent="0.25"/>
    <row r="124" spans="1:36" hidden="1" x14ac:dyDescent="0.25"/>
    <row r="125" spans="1:36" hidden="1" x14ac:dyDescent="0.25"/>
    <row r="126" spans="1:36" hidden="1" x14ac:dyDescent="0.25"/>
    <row r="127" spans="1:36" hidden="1" x14ac:dyDescent="0.25"/>
    <row r="128" spans="1:36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</sheetData>
  <sheetProtection password="C47D" sheet="1" objects="1" scenarios="1" selectLockedCells="1"/>
  <mergeCells count="132">
    <mergeCell ref="I49:L49"/>
    <mergeCell ref="E31:H31"/>
    <mergeCell ref="E45:H45"/>
    <mergeCell ref="E39:H39"/>
    <mergeCell ref="E40:H40"/>
    <mergeCell ref="I44:L44"/>
    <mergeCell ref="L53:M53"/>
    <mergeCell ref="E28:G28"/>
    <mergeCell ref="H28:L28"/>
    <mergeCell ref="I50:L50"/>
    <mergeCell ref="I41:L41"/>
    <mergeCell ref="I42:L42"/>
    <mergeCell ref="I43:L43"/>
    <mergeCell ref="I31:L31"/>
    <mergeCell ref="I32:L32"/>
    <mergeCell ref="I33:L33"/>
    <mergeCell ref="I34:L34"/>
    <mergeCell ref="I51:L51"/>
    <mergeCell ref="I38:L38"/>
    <mergeCell ref="I39:L39"/>
    <mergeCell ref="I40:L40"/>
    <mergeCell ref="E42:H42"/>
    <mergeCell ref="E43:H43"/>
    <mergeCell ref="E44:H44"/>
    <mergeCell ref="I46:L46"/>
    <mergeCell ref="I47:L47"/>
    <mergeCell ref="I48:L48"/>
    <mergeCell ref="I36:L36"/>
    <mergeCell ref="I37:L37"/>
    <mergeCell ref="E32:H32"/>
    <mergeCell ref="E33:H33"/>
    <mergeCell ref="E34:H34"/>
    <mergeCell ref="E35:H35"/>
    <mergeCell ref="E36:H36"/>
    <mergeCell ref="E37:H37"/>
    <mergeCell ref="E38:H38"/>
    <mergeCell ref="E1:H1"/>
    <mergeCell ref="F82:H82"/>
    <mergeCell ref="F83:H83"/>
    <mergeCell ref="G84:I84"/>
    <mergeCell ref="J83:L83"/>
    <mergeCell ref="J60:L60"/>
    <mergeCell ref="J61:L61"/>
    <mergeCell ref="J73:L73"/>
    <mergeCell ref="J74:L74"/>
    <mergeCell ref="F60:H60"/>
    <mergeCell ref="H64:J64"/>
    <mergeCell ref="F61:H61"/>
    <mergeCell ref="F62:H62"/>
    <mergeCell ref="F63:H63"/>
    <mergeCell ref="D5:P5"/>
    <mergeCell ref="D11:P11"/>
    <mergeCell ref="E51:H51"/>
    <mergeCell ref="E52:H52"/>
    <mergeCell ref="I35:L35"/>
    <mergeCell ref="I30:L30"/>
    <mergeCell ref="E26:L26"/>
    <mergeCell ref="I52:L52"/>
    <mergeCell ref="E30:H30"/>
    <mergeCell ref="P10:R10"/>
    <mergeCell ref="E110:AB110"/>
    <mergeCell ref="U18:V18"/>
    <mergeCell ref="Z19:AA19"/>
    <mergeCell ref="I101:S101"/>
    <mergeCell ref="I102:X102"/>
    <mergeCell ref="J103:X103"/>
    <mergeCell ref="H104:M104"/>
    <mergeCell ref="P104:X104"/>
    <mergeCell ref="G105:P105"/>
    <mergeCell ref="F90:H90"/>
    <mergeCell ref="F91:H91"/>
    <mergeCell ref="I90:K90"/>
    <mergeCell ref="I91:K91"/>
    <mergeCell ref="P95:Q95"/>
    <mergeCell ref="E88:J88"/>
    <mergeCell ref="E19:S22"/>
    <mergeCell ref="T21:Y21"/>
    <mergeCell ref="T22:Y22"/>
    <mergeCell ref="E46:H46"/>
    <mergeCell ref="E47:H47"/>
    <mergeCell ref="E48:H48"/>
    <mergeCell ref="E49:H49"/>
    <mergeCell ref="E50:H50"/>
    <mergeCell ref="E41:H41"/>
    <mergeCell ref="E109:K109"/>
    <mergeCell ref="E15:Y16"/>
    <mergeCell ref="Z83:AA83"/>
    <mergeCell ref="M61:N61"/>
    <mergeCell ref="M62:N62"/>
    <mergeCell ref="M63:N63"/>
    <mergeCell ref="M64:N64"/>
    <mergeCell ref="J62:L62"/>
    <mergeCell ref="J63:L63"/>
    <mergeCell ref="Z20:AA20"/>
    <mergeCell ref="Z21:AA21"/>
    <mergeCell ref="U19:Y19"/>
    <mergeCell ref="P64:R64"/>
    <mergeCell ref="Z22:AA22"/>
    <mergeCell ref="M60:N60"/>
    <mergeCell ref="M73:N73"/>
    <mergeCell ref="M74:N74"/>
    <mergeCell ref="X83:Y83"/>
    <mergeCell ref="P61:R61"/>
    <mergeCell ref="U20:Y20"/>
    <mergeCell ref="S84:U84"/>
    <mergeCell ref="K95:M95"/>
    <mergeCell ref="E70:K70"/>
    <mergeCell ref="E58:K58"/>
    <mergeCell ref="AB102:AC102"/>
    <mergeCell ref="AD102:AE102"/>
    <mergeCell ref="AB103:AC103"/>
    <mergeCell ref="AD103:AE103"/>
    <mergeCell ref="AB100:AF100"/>
    <mergeCell ref="P8:R8"/>
    <mergeCell ref="P6:R6"/>
    <mergeCell ref="Z16:AA16"/>
    <mergeCell ref="E100:I100"/>
    <mergeCell ref="AE83:AG83"/>
    <mergeCell ref="E80:P80"/>
    <mergeCell ref="P60:R60"/>
    <mergeCell ref="K66:M66"/>
    <mergeCell ref="T82:U82"/>
    <mergeCell ref="V82:W82"/>
    <mergeCell ref="Q83:S83"/>
    <mergeCell ref="F72:H72"/>
    <mergeCell ref="F73:H73"/>
    <mergeCell ref="F74:H74"/>
    <mergeCell ref="M72:N72"/>
    <mergeCell ref="O76:P76"/>
    <mergeCell ref="P62:R62"/>
    <mergeCell ref="P63:R63"/>
    <mergeCell ref="I45:L45"/>
  </mergeCells>
  <dataValidations count="2">
    <dataValidation type="list" allowBlank="1" showInputMessage="1" showErrorMessage="1" sqref="O76:P76 P8 Z16:AA16 Z19:AA19">
      <formula1>$AM$16:$AM$17</formula1>
    </dataValidation>
    <dataValidation type="list" allowBlank="1" showInputMessage="1" showErrorMessage="1" sqref="H28:L28">
      <formula1>$AK$29:$AK$30</formula1>
    </dataValidation>
  </dataValidations>
  <pageMargins left="0.11" right="0.3" top="0.26" bottom="0.26" header="0.19" footer="0.13"/>
  <pageSetup paperSize="9" scale="40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</vt:i4>
      </vt:variant>
    </vt:vector>
  </HeadingPairs>
  <TitlesOfParts>
    <vt:vector size="11" baseType="lpstr">
      <vt:lpstr>Menu</vt:lpstr>
      <vt:lpstr>menu_exp</vt:lpstr>
      <vt:lpstr>mascara</vt:lpstr>
      <vt:lpstr>calculo</vt:lpstr>
      <vt:lpstr>seg aut</vt:lpstr>
      <vt:lpstr>masc_termino</vt:lpstr>
      <vt:lpstr>termin_exp</vt:lpstr>
      <vt:lpstr>masc_exp2</vt:lpstr>
      <vt:lpstr>exp2</vt:lpstr>
      <vt:lpstr>config</vt:lpstr>
      <vt:lpstr>calculo!Area_de_impressao</vt:lpstr>
    </vt:vector>
  </TitlesOfParts>
  <Company>Acácio Jr Tecnol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Cálculo de Rescisão de Contrato de Trabalho</dc:title>
  <dc:subject>Rescisão de Contrato de Trabalho</dc:subject>
  <dc:creator>Acácio Júnior</dc:creator>
  <cp:keywords>Cálculo de Rescisão de Contrato de Trabalho</cp:keywords>
  <dc:description>(15) 9613 6264 / 3524 1185 / 3522 0726</dc:description>
  <cp:lastModifiedBy>Acácio</cp:lastModifiedBy>
  <cp:lastPrinted>2016-02-03T16:02:17Z</cp:lastPrinted>
  <dcterms:created xsi:type="dcterms:W3CDTF">2008-03-17T18:39:22Z</dcterms:created>
  <dcterms:modified xsi:type="dcterms:W3CDTF">2016-02-03T17:12:35Z</dcterms:modified>
  <cp:category>Cálculos</cp:category>
</cp:coreProperties>
</file>