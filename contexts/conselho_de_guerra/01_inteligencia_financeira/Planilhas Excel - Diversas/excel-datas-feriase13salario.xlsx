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ssandro\Desktop\"/>
    </mc:Choice>
  </mc:AlternateContent>
  <bookViews>
    <workbookView xWindow="0" yWindow="0" windowWidth="19200" windowHeight="8235"/>
  </bookViews>
  <sheets>
    <sheet name="Plan2" sheetId="2" r:id="rId1"/>
  </sheets>
  <calcPr calcId="152511"/>
</workbook>
</file>

<file path=xl/calcChain.xml><?xml version="1.0" encoding="utf-8"?>
<calcChain xmlns="http://schemas.openxmlformats.org/spreadsheetml/2006/main">
  <c r="B7" i="2" l="1"/>
  <c r="B4" i="2"/>
  <c r="B8" i="2" s="1"/>
  <c r="E4" i="2"/>
  <c r="E3" i="2"/>
  <c r="E2" i="2"/>
  <c r="B9" i="2" l="1"/>
  <c r="B10" i="2" s="1"/>
  <c r="B11" i="2" l="1"/>
</calcChain>
</file>

<file path=xl/sharedStrings.xml><?xml version="1.0" encoding="utf-8"?>
<sst xmlns="http://schemas.openxmlformats.org/spreadsheetml/2006/main" count="12" uniqueCount="12">
  <si>
    <t>salario</t>
  </si>
  <si>
    <t>admissão</t>
  </si>
  <si>
    <t>demissão</t>
  </si>
  <si>
    <t>Salário</t>
  </si>
  <si>
    <t>13º</t>
  </si>
  <si>
    <t>Férias</t>
  </si>
  <si>
    <t>1/3 Férias</t>
  </si>
  <si>
    <t>avos adquiridos</t>
  </si>
  <si>
    <t>=DATADIF(B2;B3;"M")</t>
  </si>
  <si>
    <t>=DATADIF(B2;B3;"D")</t>
  </si>
  <si>
    <t>=DATADIF(B2;B3;"Y")</t>
  </si>
  <si>
    <t>=SE(DIA(B2)&lt;15;DATADIF(B2;B3;"M")+1;DATADIF(B2;B3;"M"))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</si>
</sst>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5" formatCode="&quot;R$&quot;\ #,##0.00"/>
    <numFmt numFmtId="166" formatCode="0.0000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Protection="1">
      <protection hidden="1"/>
    </xf>
    <xf numFmtId="14" fontId="1" fillId="0" borderId="0" xfId="0" applyNumberFormat="1" applyFont="1" applyProtection="1">
      <protection locked="0"/>
    </xf>
    <xf numFmtId="0" fontId="1" fillId="0" borderId="0" xfId="0" applyNumberFormat="1" applyFont="1" applyProtection="1">
      <protection hidden="1"/>
    </xf>
    <xf numFmtId="14" fontId="1" fillId="0" borderId="0" xfId="0" applyNumberFormat="1" applyFont="1" applyProtection="1">
      <protection hidden="1"/>
    </xf>
    <xf numFmtId="43" fontId="1" fillId="0" borderId="0" xfId="1" applyFont="1" applyProtection="1">
      <protection hidden="1"/>
    </xf>
    <xf numFmtId="165" fontId="1" fillId="0" borderId="0" xfId="0" applyNumberFormat="1" applyFont="1" applyProtection="1">
      <protection locked="0"/>
    </xf>
    <xf numFmtId="165" fontId="1" fillId="0" borderId="0" xfId="0" applyNumberFormat="1" applyFont="1" applyProtection="1">
      <protection hidden="1"/>
    </xf>
    <xf numFmtId="0" fontId="1" fillId="0" borderId="0" xfId="0" quotePrefix="1" applyFont="1" applyProtection="1">
      <protection hidden="1"/>
    </xf>
    <xf numFmtId="166" fontId="1" fillId="0" borderId="0" xfId="0" applyNumberFormat="1" applyFont="1" applyProtection="1">
      <protection hidden="1"/>
    </xf>
    <xf numFmtId="43" fontId="1" fillId="0" borderId="0" xfId="1" applyFont="1" applyProtection="1"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C7" sqref="C7"/>
    </sheetView>
  </sheetViews>
  <sheetFormatPr defaultRowHeight="15" x14ac:dyDescent="0.25"/>
  <cols>
    <col min="1" max="1" width="15" bestFit="1" customWidth="1"/>
    <col min="2" max="2" width="10.7109375" bestFit="1" customWidth="1"/>
    <col min="4" max="4" width="18.140625" customWidth="1"/>
    <col min="5" max="5" width="9.5703125" bestFit="1" customWidth="1"/>
  </cols>
  <sheetData>
    <row r="1" spans="1:8" x14ac:dyDescent="0.25">
      <c r="A1" s="1" t="s">
        <v>0</v>
      </c>
      <c r="B1" s="6">
        <v>2000</v>
      </c>
      <c r="C1" s="1"/>
      <c r="D1" s="1"/>
      <c r="E1" s="1"/>
      <c r="F1" s="1"/>
      <c r="G1" s="1"/>
      <c r="H1" s="1"/>
    </row>
    <row r="2" spans="1:8" x14ac:dyDescent="0.25">
      <c r="A2" s="1" t="s">
        <v>1</v>
      </c>
      <c r="B2" s="2">
        <v>41641</v>
      </c>
      <c r="C2" s="5"/>
      <c r="D2" s="3"/>
      <c r="E2" s="1">
        <f>DATEDIF(B2,B3,"M")</f>
        <v>11</v>
      </c>
      <c r="F2" s="8" t="s">
        <v>8</v>
      </c>
      <c r="G2" s="1"/>
      <c r="H2" s="1"/>
    </row>
    <row r="3" spans="1:8" x14ac:dyDescent="0.25">
      <c r="A3" s="1" t="s">
        <v>2</v>
      </c>
      <c r="B3" s="2">
        <v>42004</v>
      </c>
      <c r="C3" s="5"/>
      <c r="D3" s="3"/>
      <c r="E3" s="1">
        <f>DATEDIF(B2,B3,"D")</f>
        <v>363</v>
      </c>
      <c r="F3" s="8" t="s">
        <v>9</v>
      </c>
      <c r="G3" s="1"/>
      <c r="H3" s="4"/>
    </row>
    <row r="4" spans="1:8" x14ac:dyDescent="0.25">
      <c r="A4" s="1" t="s">
        <v>7</v>
      </c>
      <c r="B4" s="10">
        <f>IF(DAY(B2)&lt;15,DATEDIF(B2,B3,"M")+1,DATEDIF(B2,B3,"M"))</f>
        <v>12</v>
      </c>
      <c r="C4" s="5"/>
      <c r="D4" s="3"/>
      <c r="E4" s="9">
        <f>DATEDIF(B2,B3,"Y")</f>
        <v>0</v>
      </c>
      <c r="F4" s="8" t="s">
        <v>10</v>
      </c>
      <c r="G4" s="1"/>
      <c r="H4" s="4"/>
    </row>
    <row r="5" spans="1:8" x14ac:dyDescent="0.25">
      <c r="A5" s="1"/>
      <c r="B5" s="8" t="s">
        <v>11</v>
      </c>
      <c r="C5" s="1"/>
      <c r="D5" s="1"/>
      <c r="E5" s="1"/>
      <c r="F5" s="1"/>
      <c r="G5" s="1"/>
      <c r="H5" s="4"/>
    </row>
    <row r="6" spans="1:8" x14ac:dyDescent="0.25">
      <c r="A6" s="1"/>
      <c r="B6" s="8"/>
      <c r="C6" s="1"/>
      <c r="D6" s="1"/>
      <c r="E6" s="1"/>
      <c r="F6" s="1"/>
      <c r="G6" s="1"/>
      <c r="H6" s="4"/>
    </row>
    <row r="7" spans="1:8" x14ac:dyDescent="0.25">
      <c r="A7" s="1" t="s">
        <v>3</v>
      </c>
      <c r="B7" s="7">
        <f>B1</f>
        <v>2000</v>
      </c>
      <c r="C7" s="1"/>
      <c r="D7" s="1"/>
      <c r="E7" s="1"/>
      <c r="F7" s="1"/>
      <c r="G7" s="1"/>
      <c r="H7" s="1"/>
    </row>
    <row r="8" spans="1:8" x14ac:dyDescent="0.25">
      <c r="A8" s="1" t="s">
        <v>4</v>
      </c>
      <c r="B8" s="7">
        <f>B7/12*B4</f>
        <v>2000</v>
      </c>
      <c r="C8" s="1"/>
      <c r="D8" s="1"/>
      <c r="E8" s="1"/>
      <c r="F8" s="1"/>
      <c r="G8" s="1"/>
      <c r="H8" s="1"/>
    </row>
    <row r="9" spans="1:8" x14ac:dyDescent="0.25">
      <c r="A9" s="1" t="s">
        <v>5</v>
      </c>
      <c r="B9" s="7">
        <f>B7/12*B4</f>
        <v>2000</v>
      </c>
      <c r="C9" s="1"/>
      <c r="D9" s="1"/>
      <c r="E9" s="1"/>
      <c r="F9" s="1"/>
      <c r="G9" s="1"/>
      <c r="H9" s="1"/>
    </row>
    <row r="10" spans="1:8" x14ac:dyDescent="0.25">
      <c r="A10" s="1" t="s">
        <v>6</v>
      </c>
      <c r="B10" s="7">
        <f>B9/3</f>
        <v>666.66666666666663</v>
      </c>
      <c r="C10" s="1"/>
      <c r="D10" s="1"/>
      <c r="E10" s="1"/>
      <c r="F10" s="1"/>
      <c r="G10" s="1"/>
      <c r="H10" s="1"/>
    </row>
    <row r="11" spans="1:8" x14ac:dyDescent="0.25">
      <c r="A11" s="1"/>
      <c r="B11" s="7">
        <f>SUM(B7:B10)</f>
        <v>6666.666666666667</v>
      </c>
      <c r="C11" s="1"/>
      <c r="D11" s="1"/>
      <c r="E11" s="1"/>
      <c r="F11" s="1"/>
      <c r="G11" s="1"/>
      <c r="H1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Garcia</dc:creator>
  <cp:lastModifiedBy>Alessandro</cp:lastModifiedBy>
  <dcterms:created xsi:type="dcterms:W3CDTF">2014-06-16T14:11:01Z</dcterms:created>
  <dcterms:modified xsi:type="dcterms:W3CDTF">2014-07-03T00:33:15Z</dcterms:modified>
</cp:coreProperties>
</file>