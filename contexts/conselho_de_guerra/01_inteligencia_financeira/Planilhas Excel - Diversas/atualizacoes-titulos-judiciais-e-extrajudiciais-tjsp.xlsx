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f8\AC\Temp\"/>
    </mc:Choice>
  </mc:AlternateContent>
  <xr:revisionPtr revIDLastSave="0" documentId="8_{771B0254-C477-CF4C-8B5D-C4FDA88D7C7D}" xr6:coauthVersionLast="37" xr6:coauthVersionMax="37" xr10:uidLastSave="{00000000-0000-0000-0000-000000000000}"/>
  <bookViews>
    <workbookView xWindow="360" yWindow="15" windowWidth="11340" windowHeight="6540" tabRatio="921" activeTab="1" xr2:uid="{00000000-000D-0000-FFFF-FFFF00000000}"/>
  </bookViews>
  <sheets>
    <sheet name="CÁLCULO TÍTULOS EXTRAJUDICIAIS" sheetId="1" r:id="rId1"/>
    <sheet name="CÁLCULO TÍTULOS JUDICIAIS" sheetId="2" r:id="rId2"/>
    <sheet name="CALC. TÍT.JUDIC. # DATA JUROS M" sheetId="3" r:id="rId3"/>
    <sheet name="Indices TJ" sheetId="4" r:id="rId4"/>
  </sheets>
  <definedNames>
    <definedName name="_xlnm.Print_Area" localSheetId="0">'CÁLCULO TÍTULOS EXTRAJUDICIAIS'!$A$1:$I$35</definedName>
    <definedName name="_xlnm.Print_Area" localSheetId="3">'Indices TJ'!#REF!</definedName>
    <definedName name="Z_1EA129D6_B7D5_44D1_A42D_8520A40A3C99_.wvu.PrintArea" localSheetId="0" hidden="1">'CÁLCULO TÍTULOS EXTRAJUDICIAIS'!$A$1:$I$35</definedName>
    <definedName name="Z_49DAB178_4BA0_48BE_8FEF_530628498037_.wvu.PrintArea" localSheetId="0" hidden="1">'CÁLCULO TÍTULOS EXTRAJUDICIAIS'!$A$1:$I$35</definedName>
    <definedName name="Z_5FA3A750_9528_4A4E_A380_E03425E78E71_.wvu.PrintArea" localSheetId="0" hidden="1">'CÁLCULO TÍTULOS EXTRAJUDICIAIS'!$A$1:$I$35</definedName>
    <definedName name="Z_607D0388_2BEA_426E_8D98_5720E54B1F73_.wvu.PrintArea" localSheetId="0" hidden="1">'CÁLCULO TÍTULOS EXTRAJUDICIAIS'!$A$1:$I$35</definedName>
    <definedName name="Z_838FC631_5CD8_4B5F_94A9_B347B44DBECA_.wvu.PrintArea" localSheetId="0" hidden="1">'CÁLCULO TÍTULOS EXTRAJUDICIAIS'!$A$1:$I$35</definedName>
    <definedName name="Z_A55C2A1B_A1E2_4A91_8110_4C7E057410B0_.wvu.PrintArea" localSheetId="0" hidden="1">'CÁLCULO TÍTULOS EXTRAJUDICIAIS'!$A$1:$I$35</definedName>
    <definedName name="Z_E3F5E2CC_DF49_11DA_B943_00E07DA1701B_.wvu.PrintArea" localSheetId="0" hidden="1">'CÁLCULO TÍTULOS EXTRAJUDICIAIS'!$A$1:$I$35</definedName>
    <definedName name="Z_F34DE23E_C2FC_4B4A_B395_2ECC4B257D7F_.wvu.PrintArea" localSheetId="0" hidden="1">'CÁLCULO TÍTULOS EXTRAJUDICIAIS'!$A$1:$I$35</definedName>
  </definedNames>
  <calcPr calcId="179020"/>
  <customWorkbookViews>
    <customWorkbookView name="Barbosa, Goulart e Guelfi Advogados Associados - Modo de exibição pessoal" guid="{838FC631-5CD8-4B5F-94A9-B347B44DBECA}" mergeInterval="0" personalView="1" maximized="1" xWindow="1" yWindow="1" windowWidth="1024" windowHeight="548" tabRatio="921" activeSheetId="2"/>
    <customWorkbookView name="Dr. Ozorio - Modo de exibição pessoal" guid="{F34DE23E-C2FC-4B4A-B395-2ECC4B257D7F}" mergeInterval="0" personalView="1" maximized="1" windowWidth="796" windowHeight="455" tabRatio="921" activeSheetId="2"/>
    <customWorkbookView name="Marco Antonio Goulart - Modo de exibição pessoal" guid="{1EA129D6-B7D5-44D1-A42D-8520A40A3C99}" mergeInterval="0" personalView="1" maximized="1" windowWidth="1020" windowHeight="618" tabRatio="921" activeSheetId="2"/>
    <customWorkbookView name="Antenor Roberto Barbosa - Modo de exibição pessoal" guid="{A55C2A1B-A1E2-4A91-8110-4C7E057410B0}" mergeInterval="0" personalView="1" maximized="1" windowWidth="1020" windowHeight="605" tabRatio="921" activeSheetId="2"/>
    <customWorkbookView name="Fernando Ambrozio - Modo de exibição pessoal" guid="{607D0388-2BEA-426E-8D98-5720E54B1F73}" mergeInterval="0" personalView="1" maximized="1" xWindow="30" yWindow="33" windowWidth="744" windowHeight="398" tabRatio="755" activeSheetId="2"/>
    <customWorkbookView name="Advocacia - Modo de exibição pessoal" guid="{5FA3A750-9528-4A4E-A380-E03425E78E71}" mergeInterval="0" personalView="1" maximized="1" windowWidth="786" windowHeight="438" tabRatio="921" activeSheetId="2"/>
    <customWorkbookView name="Terminal Estagio 2 - Modo de exibição pessoal" guid="{E3F5E2CC-DF49-11DA-B943-00E07DA1701B}" mergeInterval="0" personalView="1" maximized="1" windowWidth="796" windowHeight="438" tabRatio="921" activeSheetId="1"/>
    <customWorkbookView name="WinXP - Modo de exibição pessoal" guid="{49DAB178-4BA0-48BE-8FEF-530628498037}" mergeInterval="0" personalView="1" maximized="1" windowWidth="1020" windowHeight="622" tabRatio="921" activeSheetId="1"/>
    <customWorkbookView name="Marco A. Goulart - Modo de exibição pessoal" guid="{B3464204-DBC2-41E1-A035-C6DF4814FCBF}" mergeInterval="0" personalView="1" maximized="1" windowWidth="796" windowHeight="398" tabRatio="505" activeSheetId="1"/>
    <customWorkbookView name="Edson Freitas de Oliveira - Modo de exibição pessoal" guid="{4364C298-6ABA-492D-93FD-931037AC5D95}" mergeInterval="0" personalView="1" maximized="1" windowWidth="796" windowHeight="450" tabRatio="755" activeSheetId="2"/>
  </customWorkbookViews>
</workbook>
</file>

<file path=xl/calcChain.xml><?xml version="1.0" encoding="utf-8"?>
<calcChain xmlns="http://schemas.openxmlformats.org/spreadsheetml/2006/main">
  <c r="E104" i="2" l="1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F55" i="2"/>
  <c r="G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F39" i="2"/>
  <c r="G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F29" i="2"/>
  <c r="G29" i="2"/>
  <c r="E28" i="2"/>
  <c r="D28" i="2"/>
  <c r="E27" i="2"/>
  <c r="D27" i="2"/>
  <c r="F27" i="2"/>
  <c r="G27" i="2"/>
  <c r="E26" i="2"/>
  <c r="D26" i="2"/>
  <c r="E25" i="2"/>
  <c r="D25" i="2"/>
  <c r="E24" i="2"/>
  <c r="D24" i="2"/>
  <c r="E23" i="2"/>
  <c r="D23" i="2"/>
  <c r="F36" i="2"/>
  <c r="F35" i="2"/>
  <c r="C5" i="3"/>
  <c r="D6" i="3"/>
  <c r="E6" i="3"/>
  <c r="J9" i="3"/>
  <c r="G6" i="3"/>
  <c r="D7" i="3"/>
  <c r="E7" i="3"/>
  <c r="G7" i="3"/>
  <c r="D8" i="3"/>
  <c r="E8" i="3"/>
  <c r="G8" i="3"/>
  <c r="H8" i="3"/>
  <c r="D9" i="3"/>
  <c r="E9" i="3"/>
  <c r="G9" i="3"/>
  <c r="H9" i="3"/>
  <c r="D10" i="3"/>
  <c r="E10" i="3"/>
  <c r="G10" i="3"/>
  <c r="D11" i="3"/>
  <c r="E11" i="3"/>
  <c r="G11" i="3"/>
  <c r="H11" i="3"/>
  <c r="D12" i="3"/>
  <c r="E12" i="3"/>
  <c r="G12" i="3"/>
  <c r="D13" i="3"/>
  <c r="E13" i="3"/>
  <c r="G13" i="3"/>
  <c r="D14" i="3"/>
  <c r="E14" i="3"/>
  <c r="G14" i="3"/>
  <c r="D15" i="3"/>
  <c r="E15" i="3"/>
  <c r="G15" i="3"/>
  <c r="D16" i="3"/>
  <c r="E16" i="3"/>
  <c r="G16" i="3"/>
  <c r="D17" i="3"/>
  <c r="E17" i="3"/>
  <c r="G17" i="3"/>
  <c r="D18" i="3"/>
  <c r="E18" i="3"/>
  <c r="G18" i="3"/>
  <c r="D19" i="3"/>
  <c r="E19" i="3"/>
  <c r="G19" i="3"/>
  <c r="D20" i="3"/>
  <c r="E20" i="3"/>
  <c r="G20" i="3"/>
  <c r="D21" i="3"/>
  <c r="E21" i="3"/>
  <c r="G21" i="3"/>
  <c r="D22" i="3"/>
  <c r="E22" i="3"/>
  <c r="G22" i="3"/>
  <c r="D23" i="3"/>
  <c r="E23" i="3"/>
  <c r="G23" i="3"/>
  <c r="D24" i="3"/>
  <c r="E24" i="3"/>
  <c r="G24" i="3"/>
  <c r="D25" i="3"/>
  <c r="E25" i="3"/>
  <c r="G25" i="3"/>
  <c r="D26" i="3"/>
  <c r="E26" i="3"/>
  <c r="G26" i="3"/>
  <c r="D27" i="3"/>
  <c r="E27" i="3"/>
  <c r="G27" i="3"/>
  <c r="H27" i="3"/>
  <c r="D28" i="3"/>
  <c r="E28" i="3"/>
  <c r="G28" i="3"/>
  <c r="D29" i="3"/>
  <c r="E29" i="3"/>
  <c r="G29" i="3"/>
  <c r="D30" i="3"/>
  <c r="E30" i="3"/>
  <c r="G30" i="3"/>
  <c r="D31" i="3"/>
  <c r="E31" i="3"/>
  <c r="G31" i="3"/>
  <c r="D32" i="3"/>
  <c r="E32" i="3"/>
  <c r="G32" i="3"/>
  <c r="D33" i="3"/>
  <c r="E33" i="3"/>
  <c r="G33" i="3"/>
  <c r="D34" i="3"/>
  <c r="E34" i="3"/>
  <c r="G34" i="3"/>
  <c r="D35" i="3"/>
  <c r="E35" i="3"/>
  <c r="G35" i="3"/>
  <c r="D36" i="3"/>
  <c r="E36" i="3"/>
  <c r="G36" i="3"/>
  <c r="D37" i="3"/>
  <c r="E37" i="3"/>
  <c r="G37" i="3"/>
  <c r="H37" i="3"/>
  <c r="D38" i="3"/>
  <c r="E38" i="3"/>
  <c r="G38" i="3"/>
  <c r="D39" i="3"/>
  <c r="E39" i="3"/>
  <c r="G39" i="3"/>
  <c r="D40" i="3"/>
  <c r="E40" i="3"/>
  <c r="G40" i="3"/>
  <c r="D41" i="3"/>
  <c r="E41" i="3"/>
  <c r="G41" i="3"/>
  <c r="D42" i="3"/>
  <c r="E42" i="3"/>
  <c r="G42" i="3"/>
  <c r="H42" i="3"/>
  <c r="D43" i="3"/>
  <c r="E43" i="3"/>
  <c r="G43" i="3"/>
  <c r="D44" i="3"/>
  <c r="E44" i="3"/>
  <c r="G44" i="3"/>
  <c r="D45" i="3"/>
  <c r="E45" i="3"/>
  <c r="G45" i="3"/>
  <c r="D46" i="3"/>
  <c r="E46" i="3"/>
  <c r="G46" i="3"/>
  <c r="D47" i="3"/>
  <c r="E47" i="3"/>
  <c r="G47" i="3"/>
  <c r="H47" i="3"/>
  <c r="D48" i="3"/>
  <c r="E48" i="3"/>
  <c r="G48" i="3"/>
  <c r="H48" i="3"/>
  <c r="D49" i="3"/>
  <c r="E49" i="3"/>
  <c r="G49" i="3"/>
  <c r="H49" i="3"/>
  <c r="D50" i="3"/>
  <c r="E50" i="3"/>
  <c r="G50" i="3"/>
  <c r="D51" i="3"/>
  <c r="E51" i="3"/>
  <c r="G51" i="3"/>
  <c r="D52" i="3"/>
  <c r="E52" i="3"/>
  <c r="G52" i="3"/>
  <c r="D53" i="3"/>
  <c r="E53" i="3"/>
  <c r="G53" i="3"/>
  <c r="D54" i="3"/>
  <c r="E54" i="3"/>
  <c r="G54" i="3"/>
  <c r="D55" i="3"/>
  <c r="E55" i="3"/>
  <c r="G55" i="3"/>
  <c r="D56" i="3"/>
  <c r="E56" i="3"/>
  <c r="G56" i="3"/>
  <c r="D57" i="3"/>
  <c r="E57" i="3"/>
  <c r="G57" i="3"/>
  <c r="D58" i="3"/>
  <c r="E58" i="3"/>
  <c r="G58" i="3"/>
  <c r="D59" i="3"/>
  <c r="E59" i="3"/>
  <c r="G59" i="3"/>
  <c r="D60" i="3"/>
  <c r="E60" i="3"/>
  <c r="G60" i="3"/>
  <c r="D61" i="3"/>
  <c r="E61" i="3"/>
  <c r="G61" i="3"/>
  <c r="D62" i="3"/>
  <c r="E62" i="3"/>
  <c r="G62" i="3"/>
  <c r="D63" i="3"/>
  <c r="E63" i="3"/>
  <c r="G63" i="3"/>
  <c r="D64" i="3"/>
  <c r="E64" i="3"/>
  <c r="G64" i="3"/>
  <c r="D65" i="3"/>
  <c r="E65" i="3"/>
  <c r="G65" i="3"/>
  <c r="D66" i="3"/>
  <c r="E66" i="3"/>
  <c r="G66" i="3"/>
  <c r="D67" i="3"/>
  <c r="E67" i="3"/>
  <c r="G67" i="3"/>
  <c r="D68" i="3"/>
  <c r="E68" i="3"/>
  <c r="G68" i="3"/>
  <c r="D69" i="3"/>
  <c r="E69" i="3"/>
  <c r="G69" i="3"/>
  <c r="D70" i="3"/>
  <c r="E70" i="3"/>
  <c r="G70" i="3"/>
  <c r="D71" i="3"/>
  <c r="E71" i="3"/>
  <c r="G71" i="3"/>
  <c r="H71" i="3"/>
  <c r="D72" i="3"/>
  <c r="E72" i="3"/>
  <c r="G72" i="3"/>
  <c r="D73" i="3"/>
  <c r="E73" i="3"/>
  <c r="G73" i="3"/>
  <c r="D74" i="3"/>
  <c r="E74" i="3"/>
  <c r="G74" i="3"/>
  <c r="D75" i="3"/>
  <c r="E75" i="3"/>
  <c r="G75" i="3"/>
  <c r="D76" i="3"/>
  <c r="E76" i="3"/>
  <c r="G76" i="3"/>
  <c r="D77" i="3"/>
  <c r="E77" i="3"/>
  <c r="G77" i="3"/>
  <c r="D78" i="3"/>
  <c r="E78" i="3"/>
  <c r="G78" i="3"/>
  <c r="D79" i="3"/>
  <c r="E79" i="3"/>
  <c r="G79" i="3"/>
  <c r="D80" i="3"/>
  <c r="E80" i="3"/>
  <c r="G80" i="3"/>
  <c r="D81" i="3"/>
  <c r="E81" i="3"/>
  <c r="G81" i="3"/>
  <c r="D82" i="3"/>
  <c r="E82" i="3"/>
  <c r="G82" i="3"/>
  <c r="D83" i="3"/>
  <c r="E83" i="3"/>
  <c r="G83" i="3"/>
  <c r="D84" i="3"/>
  <c r="E84" i="3"/>
  <c r="G84" i="3"/>
  <c r="D85" i="3"/>
  <c r="E85" i="3"/>
  <c r="G85" i="3"/>
  <c r="D86" i="3"/>
  <c r="E86" i="3"/>
  <c r="G86" i="3"/>
  <c r="D87" i="3"/>
  <c r="E87" i="3"/>
  <c r="G87" i="3"/>
  <c r="D88" i="3"/>
  <c r="E88" i="3"/>
  <c r="G88" i="3"/>
  <c r="D89" i="3"/>
  <c r="E89" i="3"/>
  <c r="G89" i="3"/>
  <c r="H89" i="3"/>
  <c r="D90" i="3"/>
  <c r="E90" i="3"/>
  <c r="G90" i="3"/>
  <c r="D91" i="3"/>
  <c r="E91" i="3"/>
  <c r="G91" i="3"/>
  <c r="H91" i="3"/>
  <c r="D92" i="3"/>
  <c r="E92" i="3"/>
  <c r="G92" i="3"/>
  <c r="D93" i="3"/>
  <c r="E93" i="3"/>
  <c r="G93" i="3"/>
  <c r="H93" i="3"/>
  <c r="D94" i="3"/>
  <c r="E94" i="3"/>
  <c r="G94" i="3"/>
  <c r="D95" i="3"/>
  <c r="E95" i="3"/>
  <c r="G95" i="3"/>
  <c r="H95" i="3"/>
  <c r="D96" i="3"/>
  <c r="E96" i="3"/>
  <c r="G96" i="3"/>
  <c r="H96" i="3"/>
  <c r="D97" i="3"/>
  <c r="E97" i="3"/>
  <c r="G97" i="3"/>
  <c r="D98" i="3"/>
  <c r="E98" i="3"/>
  <c r="G98" i="3"/>
  <c r="H98" i="3"/>
  <c r="D99" i="3"/>
  <c r="E99" i="3"/>
  <c r="G99" i="3"/>
  <c r="D100" i="3"/>
  <c r="E100" i="3"/>
  <c r="G100" i="3"/>
  <c r="H100" i="3"/>
  <c r="D101" i="3"/>
  <c r="E101" i="3"/>
  <c r="G101" i="3"/>
  <c r="D102" i="3"/>
  <c r="E102" i="3"/>
  <c r="G102" i="3"/>
  <c r="D103" i="3"/>
  <c r="E103" i="3"/>
  <c r="G103" i="3"/>
  <c r="D104" i="3"/>
  <c r="E104" i="3"/>
  <c r="G104" i="3"/>
  <c r="C5" i="2"/>
  <c r="D6" i="2"/>
  <c r="F6" i="2"/>
  <c r="D7" i="2"/>
  <c r="F7" i="2"/>
  <c r="D8" i="2"/>
  <c r="F8" i="2"/>
  <c r="D9" i="2"/>
  <c r="F9" i="2"/>
  <c r="D10" i="2"/>
  <c r="F10" i="2"/>
  <c r="D11" i="2"/>
  <c r="E11" i="2"/>
  <c r="F11" i="2"/>
  <c r="G11" i="2"/>
  <c r="D12" i="2"/>
  <c r="F12" i="2"/>
  <c r="D13" i="2"/>
  <c r="F13" i="2"/>
  <c r="E6" i="2"/>
  <c r="I10" i="2"/>
  <c r="E7" i="2"/>
  <c r="E8" i="2"/>
  <c r="E9" i="2"/>
  <c r="E10" i="2"/>
  <c r="E12" i="2"/>
  <c r="E13" i="2"/>
  <c r="D14" i="2"/>
  <c r="E14" i="2"/>
  <c r="F14" i="2"/>
  <c r="D15" i="2"/>
  <c r="E15" i="2"/>
  <c r="F15" i="2"/>
  <c r="D16" i="2"/>
  <c r="E16" i="2"/>
  <c r="F16" i="2"/>
  <c r="G16" i="2"/>
  <c r="D17" i="2"/>
  <c r="E17" i="2"/>
  <c r="F17" i="2"/>
  <c r="D18" i="2"/>
  <c r="E18" i="2"/>
  <c r="F18" i="2"/>
  <c r="D19" i="2"/>
  <c r="E19" i="2"/>
  <c r="F19" i="2"/>
  <c r="D20" i="2"/>
  <c r="E20" i="2"/>
  <c r="F20" i="2"/>
  <c r="D21" i="2"/>
  <c r="E21" i="2"/>
  <c r="F21" i="2"/>
  <c r="D22" i="2"/>
  <c r="E22" i="2"/>
  <c r="F22" i="2"/>
  <c r="F23" i="2"/>
  <c r="F24" i="2"/>
  <c r="F25" i="2"/>
  <c r="F26" i="2"/>
  <c r="F28" i="2"/>
  <c r="F30" i="2"/>
  <c r="F31" i="2"/>
  <c r="F32" i="2"/>
  <c r="F33" i="2"/>
  <c r="F34" i="2"/>
  <c r="F37" i="2"/>
  <c r="G37" i="2"/>
  <c r="F38" i="2"/>
  <c r="F40" i="2"/>
  <c r="G40" i="2"/>
  <c r="F41" i="2"/>
  <c r="F42" i="2"/>
  <c r="G42" i="2"/>
  <c r="F43" i="2"/>
  <c r="F44" i="2"/>
  <c r="F45" i="2"/>
  <c r="F46" i="2"/>
  <c r="F47" i="2"/>
  <c r="F48" i="2"/>
  <c r="F49" i="2"/>
  <c r="F50" i="2"/>
  <c r="F51" i="2"/>
  <c r="G51" i="2"/>
  <c r="F52" i="2"/>
  <c r="F53" i="2"/>
  <c r="F54" i="2"/>
  <c r="F56" i="2"/>
  <c r="G56" i="2"/>
  <c r="F57" i="2"/>
  <c r="F58" i="2"/>
  <c r="G58" i="2"/>
  <c r="F59" i="2"/>
  <c r="F60" i="2"/>
  <c r="F61" i="2"/>
  <c r="F62" i="2"/>
  <c r="F63" i="2"/>
  <c r="G63" i="2"/>
  <c r="F64" i="2"/>
  <c r="F65" i="2"/>
  <c r="G65" i="2"/>
  <c r="F66" i="2"/>
  <c r="G66" i="2"/>
  <c r="F67" i="2"/>
  <c r="G67" i="2"/>
  <c r="F68" i="2"/>
  <c r="G68" i="2"/>
  <c r="F69" i="2"/>
  <c r="G69" i="2"/>
  <c r="F70" i="2"/>
  <c r="F71" i="2"/>
  <c r="F72" i="2"/>
  <c r="G72" i="2"/>
  <c r="F73" i="2"/>
  <c r="G73" i="2"/>
  <c r="F74" i="2"/>
  <c r="F75" i="2"/>
  <c r="G75" i="2"/>
  <c r="F76" i="2"/>
  <c r="F77" i="2"/>
  <c r="G77" i="2"/>
  <c r="F78" i="2"/>
  <c r="F79" i="2"/>
  <c r="G79" i="2"/>
  <c r="F80" i="2"/>
  <c r="G80" i="2"/>
  <c r="F81" i="2"/>
  <c r="F82" i="2"/>
  <c r="F83" i="2"/>
  <c r="G83" i="2"/>
  <c r="F84" i="2"/>
  <c r="G84" i="2"/>
  <c r="F85" i="2"/>
  <c r="G85" i="2"/>
  <c r="F86" i="2"/>
  <c r="G86" i="2"/>
  <c r="F87" i="2"/>
  <c r="G87" i="2"/>
  <c r="F88" i="2"/>
  <c r="F89" i="2"/>
  <c r="F90" i="2"/>
  <c r="G90" i="2"/>
  <c r="F91" i="2"/>
  <c r="G91" i="2"/>
  <c r="F92" i="2"/>
  <c r="G92" i="2"/>
  <c r="F93" i="2"/>
  <c r="G93" i="2"/>
  <c r="F94" i="2"/>
  <c r="F95" i="2"/>
  <c r="F96" i="2"/>
  <c r="F97" i="2"/>
  <c r="F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D8" i="1"/>
  <c r="E9" i="1"/>
  <c r="F9" i="1"/>
  <c r="J10" i="1"/>
  <c r="G9" i="1"/>
  <c r="E10" i="1"/>
  <c r="F10" i="1"/>
  <c r="G10" i="1"/>
  <c r="E11" i="1"/>
  <c r="F11" i="1"/>
  <c r="J12" i="1"/>
  <c r="G11" i="1"/>
  <c r="E12" i="1"/>
  <c r="F12" i="1"/>
  <c r="G12" i="1"/>
  <c r="E13" i="1"/>
  <c r="F13" i="1"/>
  <c r="G13" i="1"/>
  <c r="E14" i="1"/>
  <c r="F14" i="1"/>
  <c r="H14" i="1"/>
  <c r="G14" i="1"/>
  <c r="E15" i="1"/>
  <c r="F15" i="1"/>
  <c r="G15" i="1"/>
  <c r="E16" i="1"/>
  <c r="F16" i="1"/>
  <c r="J17" i="1"/>
  <c r="G16" i="1"/>
  <c r="E17" i="1"/>
  <c r="F17" i="1"/>
  <c r="J18" i="1"/>
  <c r="G17" i="1"/>
  <c r="E18" i="1"/>
  <c r="F18" i="1"/>
  <c r="H18" i="1"/>
  <c r="G18" i="1"/>
  <c r="E19" i="1"/>
  <c r="F19" i="1"/>
  <c r="J20" i="1"/>
  <c r="G19" i="1"/>
  <c r="E20" i="1"/>
  <c r="F20" i="1"/>
  <c r="J21" i="1"/>
  <c r="G20" i="1"/>
  <c r="E21" i="1"/>
  <c r="F21" i="1"/>
  <c r="H21" i="1"/>
  <c r="G21" i="1"/>
  <c r="E22" i="1"/>
  <c r="F22" i="1"/>
  <c r="G22" i="1"/>
  <c r="E23" i="1"/>
  <c r="F23" i="1"/>
  <c r="G23" i="1"/>
  <c r="G29" i="1"/>
  <c r="D34" i="1"/>
  <c r="H34" i="1"/>
  <c r="H35" i="1"/>
  <c r="H43" i="3"/>
  <c r="J15" i="1"/>
  <c r="H80" i="3"/>
  <c r="H68" i="3"/>
  <c r="H40" i="3"/>
  <c r="H10" i="3"/>
  <c r="H57" i="3"/>
  <c r="G98" i="2"/>
  <c r="G82" i="2"/>
  <c r="G78" i="2"/>
  <c r="G74" i="2"/>
  <c r="G50" i="2"/>
  <c r="G28" i="2"/>
  <c r="G45" i="2"/>
  <c r="G47" i="2"/>
  <c r="G52" i="2"/>
  <c r="G81" i="2"/>
  <c r="G61" i="2"/>
  <c r="G54" i="2"/>
  <c r="G46" i="2"/>
  <c r="G60" i="2"/>
  <c r="G64" i="2"/>
  <c r="H10" i="1"/>
  <c r="H20" i="1"/>
  <c r="G9" i="2"/>
  <c r="H45" i="3"/>
  <c r="G59" i="2"/>
  <c r="H15" i="1"/>
  <c r="H85" i="3"/>
  <c r="H34" i="3"/>
  <c r="H28" i="3"/>
  <c r="H13" i="3"/>
  <c r="G31" i="2"/>
  <c r="G10" i="2"/>
  <c r="H74" i="3"/>
  <c r="H58" i="3"/>
  <c r="H46" i="3"/>
  <c r="H19" i="3"/>
  <c r="H12" i="3"/>
  <c r="G44" i="2"/>
  <c r="G57" i="2"/>
  <c r="G62" i="2"/>
  <c r="G70" i="2"/>
  <c r="G71" i="2"/>
  <c r="G76" i="2"/>
  <c r="G89" i="2"/>
  <c r="G95" i="2"/>
  <c r="G96" i="2"/>
  <c r="G97" i="2"/>
  <c r="H13" i="1"/>
  <c r="G6" i="2"/>
  <c r="H6" i="2"/>
  <c r="G20" i="2"/>
  <c r="G30" i="2"/>
  <c r="G38" i="2"/>
  <c r="G41" i="2"/>
  <c r="G88" i="2"/>
  <c r="G94" i="2"/>
  <c r="G12" i="2"/>
  <c r="G8" i="2"/>
  <c r="G26" i="2"/>
  <c r="H82" i="3"/>
  <c r="H79" i="3"/>
  <c r="H76" i="3"/>
  <c r="H75" i="3"/>
  <c r="H73" i="3"/>
  <c r="H72" i="3"/>
  <c r="H67" i="3"/>
  <c r="H55" i="3"/>
  <c r="H53" i="3"/>
  <c r="H52" i="3"/>
  <c r="H51" i="3"/>
  <c r="H50" i="3"/>
  <c r="H44" i="3"/>
  <c r="H41" i="3"/>
  <c r="H39" i="3"/>
  <c r="H38" i="3"/>
  <c r="H36" i="3"/>
  <c r="H24" i="3"/>
  <c r="H103" i="3"/>
  <c r="H101" i="3"/>
  <c r="H99" i="3"/>
  <c r="H97" i="3"/>
  <c r="H92" i="3"/>
  <c r="H84" i="3"/>
  <c r="H26" i="3"/>
  <c r="H16" i="3"/>
  <c r="H14" i="3"/>
  <c r="H11" i="1"/>
  <c r="J14" i="1"/>
  <c r="J24" i="1"/>
  <c r="H22" i="1"/>
  <c r="J22" i="1"/>
  <c r="H19" i="1"/>
  <c r="H17" i="1"/>
  <c r="H16" i="1"/>
  <c r="J16" i="1"/>
  <c r="J13" i="1"/>
  <c r="H9" i="1"/>
  <c r="I9" i="1"/>
  <c r="I10" i="1"/>
  <c r="I11" i="1"/>
  <c r="G22" i="2"/>
  <c r="G21" i="2"/>
  <c r="G18" i="2"/>
  <c r="G17" i="2"/>
  <c r="G15" i="2"/>
  <c r="G14" i="2"/>
  <c r="G7" i="2"/>
  <c r="H104" i="3"/>
  <c r="H88" i="3"/>
  <c r="H87" i="3"/>
  <c r="H86" i="3"/>
  <c r="H83" i="3"/>
  <c r="H81" i="3"/>
  <c r="H77" i="3"/>
  <c r="H69" i="3"/>
  <c r="H66" i="3"/>
  <c r="H65" i="3"/>
  <c r="H64" i="3"/>
  <c r="H63" i="3"/>
  <c r="H62" i="3"/>
  <c r="H61" i="3"/>
  <c r="H60" i="3"/>
  <c r="H56" i="3"/>
  <c r="H54" i="3"/>
  <c r="H33" i="3"/>
  <c r="H32" i="3"/>
  <c r="H31" i="3"/>
  <c r="H30" i="3"/>
  <c r="H29" i="3"/>
  <c r="H25" i="3"/>
  <c r="H23" i="3"/>
  <c r="H21" i="3"/>
  <c r="H20" i="3"/>
  <c r="H18" i="3"/>
  <c r="H17" i="3"/>
  <c r="G23" i="2"/>
  <c r="G24" i="2"/>
  <c r="G25" i="2"/>
  <c r="G32" i="2"/>
  <c r="G33" i="2"/>
  <c r="G35" i="2"/>
  <c r="G36" i="2"/>
  <c r="G48" i="2"/>
  <c r="G49" i="2"/>
  <c r="G53" i="2"/>
  <c r="H7" i="2"/>
  <c r="H8" i="2"/>
  <c r="H9" i="2"/>
  <c r="H10" i="2"/>
  <c r="H11" i="2"/>
  <c r="H12" i="2"/>
  <c r="H6" i="3"/>
  <c r="I6" i="3"/>
  <c r="H12" i="1"/>
  <c r="I12" i="1"/>
  <c r="I13" i="1"/>
  <c r="I14" i="1"/>
  <c r="I15" i="1"/>
  <c r="I16" i="1"/>
  <c r="I17" i="1"/>
  <c r="I18" i="1"/>
  <c r="I19" i="1"/>
  <c r="I20" i="1"/>
  <c r="I21" i="1"/>
  <c r="I22" i="1"/>
  <c r="H23" i="1"/>
  <c r="I23" i="1"/>
  <c r="J19" i="1"/>
  <c r="J11" i="1"/>
  <c r="G19" i="2"/>
  <c r="G13" i="2"/>
  <c r="H102" i="3"/>
  <c r="H94" i="3"/>
  <c r="H90" i="3"/>
  <c r="H78" i="3"/>
  <c r="H70" i="3"/>
  <c r="H59" i="3"/>
  <c r="H35" i="3"/>
  <c r="H22" i="3"/>
  <c r="H15" i="3"/>
  <c r="H7" i="3"/>
  <c r="G34" i="2"/>
  <c r="G43" i="2"/>
  <c r="H24" i="1"/>
  <c r="J23" i="1"/>
  <c r="E24" i="1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26" i="1"/>
  <c r="G24" i="1"/>
  <c r="H25" i="1"/>
  <c r="I25" i="1"/>
  <c r="I26" i="1"/>
  <c r="H27" i="1"/>
  <c r="I27" i="1"/>
  <c r="I28" i="1"/>
  <c r="H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Antonio Goulart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3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3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4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5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5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6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6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6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7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7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7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8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8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19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19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9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20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20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0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21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21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1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2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22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2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E23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F23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3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Antonio Goulart</author>
  </authors>
  <commentList>
    <comment ref="D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0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1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1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1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2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2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2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3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3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3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4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4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4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5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5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5" authorId="0" shapeId="0" xr:uid="{00000000-0006-0000-0100-00001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6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6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6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7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7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7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8" authorId="0" shapeId="0" xr:uid="{00000000-0006-0000-0100-00002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8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8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9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9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9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0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0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0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1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1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1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2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2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2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3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3" authorId="0" shapeId="0" xr:uid="{00000000-0006-0000-0100-00003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3" authorId="0" shapeId="0" xr:uid="{00000000-0006-0000-0100-00003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4" authorId="0" shapeId="0" xr:uid="{00000000-0006-0000-0100-00003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4" authorId="0" shapeId="0" xr:uid="{00000000-0006-0000-0100-00003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4" authorId="0" shapeId="0" xr:uid="{00000000-0006-0000-0100-00003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5" authorId="0" shapeId="0" xr:uid="{00000000-0006-0000-0100-00003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5" authorId="0" shapeId="0" xr:uid="{00000000-0006-0000-0100-00003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5" authorId="0" shapeId="0" xr:uid="{00000000-0006-0000-0100-00003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6" authorId="0" shapeId="0" xr:uid="{00000000-0006-0000-0100-00003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6" authorId="0" shapeId="0" xr:uid="{00000000-0006-0000-0100-00003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6" authorId="0" shapeId="0" xr:uid="{00000000-0006-0000-0100-00003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7" authorId="0" shapeId="0" xr:uid="{00000000-0006-0000-0100-00004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7" authorId="0" shapeId="0" xr:uid="{00000000-0006-0000-0100-00004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7" authorId="0" shapeId="0" xr:uid="{00000000-0006-0000-0100-00004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8" authorId="0" shapeId="0" xr:uid="{00000000-0006-0000-0100-00004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8" authorId="0" shapeId="0" xr:uid="{00000000-0006-0000-0100-00004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8" authorId="0" shapeId="0" xr:uid="{00000000-0006-0000-0100-00004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9" authorId="0" shapeId="0" xr:uid="{00000000-0006-0000-0100-00004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9" authorId="0" shapeId="0" xr:uid="{00000000-0006-0000-0100-00004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29" authorId="0" shapeId="0" xr:uid="{00000000-0006-0000-0100-00004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0" authorId="0" shapeId="0" xr:uid="{00000000-0006-0000-0100-00004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0" authorId="0" shapeId="0" xr:uid="{00000000-0006-0000-0100-00004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0" authorId="0" shapeId="0" xr:uid="{00000000-0006-0000-0100-00004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1" authorId="0" shapeId="0" xr:uid="{00000000-0006-0000-0100-00004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1" authorId="0" shapeId="0" xr:uid="{00000000-0006-0000-0100-00004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1" authorId="0" shapeId="0" xr:uid="{00000000-0006-0000-0100-00004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2" authorId="0" shapeId="0" xr:uid="{00000000-0006-0000-0100-00004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2" authorId="0" shapeId="0" xr:uid="{00000000-0006-0000-0100-00005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2" authorId="0" shapeId="0" xr:uid="{00000000-0006-0000-0100-00005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3" authorId="0" shapeId="0" xr:uid="{00000000-0006-0000-0100-00005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3" authorId="0" shapeId="0" xr:uid="{00000000-0006-0000-0100-00005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3" authorId="0" shapeId="0" xr:uid="{00000000-0006-0000-0100-00005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4" authorId="0" shapeId="0" xr:uid="{00000000-0006-0000-0100-00005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4" authorId="0" shapeId="0" xr:uid="{00000000-0006-0000-0100-00005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4" authorId="0" shapeId="0" xr:uid="{00000000-0006-0000-0100-00005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5" authorId="0" shapeId="0" xr:uid="{00000000-0006-0000-0100-00005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5" authorId="0" shapeId="0" xr:uid="{00000000-0006-0000-0100-00005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5" authorId="0" shapeId="0" xr:uid="{00000000-0006-0000-0100-00005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6" authorId="0" shapeId="0" xr:uid="{00000000-0006-0000-0100-00005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6" authorId="0" shapeId="0" xr:uid="{00000000-0006-0000-0100-00005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6" authorId="0" shapeId="0" xr:uid="{00000000-0006-0000-0100-00005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7" authorId="0" shapeId="0" xr:uid="{00000000-0006-0000-0100-00005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7" authorId="0" shapeId="0" xr:uid="{00000000-0006-0000-0100-00005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7" authorId="0" shapeId="0" xr:uid="{00000000-0006-0000-0100-00006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8" authorId="0" shapeId="0" xr:uid="{00000000-0006-0000-0100-00006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8" authorId="0" shapeId="0" xr:uid="{00000000-0006-0000-0100-00006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8" authorId="0" shapeId="0" xr:uid="{00000000-0006-0000-0100-00006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9" authorId="0" shapeId="0" xr:uid="{00000000-0006-0000-0100-00006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9" authorId="0" shapeId="0" xr:uid="{00000000-0006-0000-0100-00006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39" authorId="0" shapeId="0" xr:uid="{00000000-0006-0000-0100-00006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0" authorId="0" shapeId="0" xr:uid="{00000000-0006-0000-0100-00006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0" authorId="0" shapeId="0" xr:uid="{00000000-0006-0000-0100-00006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0" authorId="0" shapeId="0" xr:uid="{00000000-0006-0000-0100-00006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1" authorId="0" shapeId="0" xr:uid="{00000000-0006-0000-0100-00006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1" authorId="0" shapeId="0" xr:uid="{00000000-0006-0000-0100-00006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1" authorId="0" shapeId="0" xr:uid="{00000000-0006-0000-0100-00006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2" authorId="0" shapeId="0" xr:uid="{00000000-0006-0000-0100-00006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2" authorId="0" shapeId="0" xr:uid="{00000000-0006-0000-0100-00006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2" authorId="0" shapeId="0" xr:uid="{00000000-0006-0000-0100-00006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3" authorId="0" shapeId="0" xr:uid="{00000000-0006-0000-0100-00007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3" authorId="0" shapeId="0" xr:uid="{00000000-0006-0000-0100-00007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3" authorId="0" shapeId="0" xr:uid="{00000000-0006-0000-0100-00007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4" authorId="0" shapeId="0" xr:uid="{00000000-0006-0000-0100-00007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4" authorId="0" shapeId="0" xr:uid="{00000000-0006-0000-0100-00007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4" authorId="0" shapeId="0" xr:uid="{00000000-0006-0000-0100-00007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5" authorId="0" shapeId="0" xr:uid="{00000000-0006-0000-0100-00007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5" authorId="0" shapeId="0" xr:uid="{00000000-0006-0000-0100-00007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5" authorId="0" shapeId="0" xr:uid="{00000000-0006-0000-0100-00007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6" authorId="0" shapeId="0" xr:uid="{00000000-0006-0000-0100-00007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6" authorId="0" shapeId="0" xr:uid="{00000000-0006-0000-0100-00007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6" authorId="0" shapeId="0" xr:uid="{00000000-0006-0000-0100-00007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7" authorId="0" shapeId="0" xr:uid="{00000000-0006-0000-0100-00007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7" authorId="0" shapeId="0" xr:uid="{00000000-0006-0000-0100-00007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7" authorId="0" shapeId="0" xr:uid="{00000000-0006-0000-0100-00007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8" authorId="0" shapeId="0" xr:uid="{00000000-0006-0000-0100-00007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8" authorId="0" shapeId="0" xr:uid="{00000000-0006-0000-0100-00008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8" authorId="0" shapeId="0" xr:uid="{00000000-0006-0000-0100-00008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9" authorId="0" shapeId="0" xr:uid="{00000000-0006-0000-0100-00008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9" authorId="0" shapeId="0" xr:uid="{00000000-0006-0000-0100-00008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49" authorId="0" shapeId="0" xr:uid="{00000000-0006-0000-0100-00008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0" authorId="0" shapeId="0" xr:uid="{00000000-0006-0000-0100-00008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0" authorId="0" shapeId="0" xr:uid="{00000000-0006-0000-0100-00008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0" authorId="0" shapeId="0" xr:uid="{00000000-0006-0000-0100-00008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1" authorId="0" shapeId="0" xr:uid="{00000000-0006-0000-0100-00008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1" authorId="0" shapeId="0" xr:uid="{00000000-0006-0000-0100-00008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1" authorId="0" shapeId="0" xr:uid="{00000000-0006-0000-0100-00008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2" authorId="0" shapeId="0" xr:uid="{00000000-0006-0000-0100-00008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2" authorId="0" shapeId="0" xr:uid="{00000000-0006-0000-0100-00008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2" authorId="0" shapeId="0" xr:uid="{00000000-0006-0000-0100-00008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3" authorId="0" shapeId="0" xr:uid="{00000000-0006-0000-0100-00008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3" authorId="0" shapeId="0" xr:uid="{00000000-0006-0000-0100-00008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3" authorId="0" shapeId="0" xr:uid="{00000000-0006-0000-0100-00009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4" authorId="0" shapeId="0" xr:uid="{00000000-0006-0000-0100-00009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4" authorId="0" shapeId="0" xr:uid="{00000000-0006-0000-0100-00009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4" authorId="0" shapeId="0" xr:uid="{00000000-0006-0000-0100-00009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5" authorId="0" shapeId="0" xr:uid="{00000000-0006-0000-0100-00009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5" authorId="0" shapeId="0" xr:uid="{00000000-0006-0000-0100-00009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5" authorId="0" shapeId="0" xr:uid="{00000000-0006-0000-0100-00009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6" authorId="0" shapeId="0" xr:uid="{00000000-0006-0000-0100-00009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6" authorId="0" shapeId="0" xr:uid="{00000000-0006-0000-0100-00009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6" authorId="0" shapeId="0" xr:uid="{00000000-0006-0000-0100-00009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7" authorId="0" shapeId="0" xr:uid="{00000000-0006-0000-0100-00009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7" authorId="0" shapeId="0" xr:uid="{00000000-0006-0000-0100-00009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7" authorId="0" shapeId="0" xr:uid="{00000000-0006-0000-0100-00009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8" authorId="0" shapeId="0" xr:uid="{00000000-0006-0000-0100-00009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8" authorId="0" shapeId="0" xr:uid="{00000000-0006-0000-0100-00009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8" authorId="0" shapeId="0" xr:uid="{00000000-0006-0000-0100-00009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9" authorId="0" shapeId="0" xr:uid="{00000000-0006-0000-0100-0000A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9" authorId="0" shapeId="0" xr:uid="{00000000-0006-0000-0100-0000A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59" authorId="0" shapeId="0" xr:uid="{00000000-0006-0000-0100-0000A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0" authorId="0" shapeId="0" xr:uid="{00000000-0006-0000-0100-0000A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0" authorId="0" shapeId="0" xr:uid="{00000000-0006-0000-0100-0000A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0" authorId="0" shapeId="0" xr:uid="{00000000-0006-0000-0100-0000A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1" authorId="0" shapeId="0" xr:uid="{00000000-0006-0000-0100-0000A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1" authorId="0" shapeId="0" xr:uid="{00000000-0006-0000-0100-0000A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1" authorId="0" shapeId="0" xr:uid="{00000000-0006-0000-0100-0000A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2" authorId="0" shapeId="0" xr:uid="{00000000-0006-0000-0100-0000A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2" authorId="0" shapeId="0" xr:uid="{00000000-0006-0000-0100-0000A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2" authorId="0" shapeId="0" xr:uid="{00000000-0006-0000-0100-0000A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3" authorId="0" shapeId="0" xr:uid="{00000000-0006-0000-0100-0000A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3" authorId="0" shapeId="0" xr:uid="{00000000-0006-0000-0100-0000A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3" authorId="0" shapeId="0" xr:uid="{00000000-0006-0000-0100-0000A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4" authorId="0" shapeId="0" xr:uid="{00000000-0006-0000-0100-0000A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4" authorId="0" shapeId="0" xr:uid="{00000000-0006-0000-0100-0000B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4" authorId="0" shapeId="0" xr:uid="{00000000-0006-0000-0100-0000B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5" authorId="0" shapeId="0" xr:uid="{00000000-0006-0000-0100-0000B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5" authorId="0" shapeId="0" xr:uid="{00000000-0006-0000-0100-0000B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5" authorId="0" shapeId="0" xr:uid="{00000000-0006-0000-0100-0000B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6" authorId="0" shapeId="0" xr:uid="{00000000-0006-0000-0100-0000B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6" authorId="0" shapeId="0" xr:uid="{00000000-0006-0000-0100-0000B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6" authorId="0" shapeId="0" xr:uid="{00000000-0006-0000-0100-0000B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7" authorId="0" shapeId="0" xr:uid="{00000000-0006-0000-0100-0000B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7" authorId="0" shapeId="0" xr:uid="{00000000-0006-0000-0100-0000B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7" authorId="0" shapeId="0" xr:uid="{00000000-0006-0000-0100-0000B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8" authorId="0" shapeId="0" xr:uid="{00000000-0006-0000-0100-0000B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8" authorId="0" shapeId="0" xr:uid="{00000000-0006-0000-0100-0000B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8" authorId="0" shapeId="0" xr:uid="{00000000-0006-0000-0100-0000B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9" authorId="0" shapeId="0" xr:uid="{00000000-0006-0000-0100-0000B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9" authorId="0" shapeId="0" xr:uid="{00000000-0006-0000-0100-0000B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69" authorId="0" shapeId="0" xr:uid="{00000000-0006-0000-0100-0000C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0" authorId="0" shapeId="0" xr:uid="{00000000-0006-0000-0100-0000C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0" authorId="0" shapeId="0" xr:uid="{00000000-0006-0000-0100-0000C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0" authorId="0" shapeId="0" xr:uid="{00000000-0006-0000-0100-0000C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1" authorId="0" shapeId="0" xr:uid="{00000000-0006-0000-0100-0000C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1" authorId="0" shapeId="0" xr:uid="{00000000-0006-0000-0100-0000C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1" authorId="0" shapeId="0" xr:uid="{00000000-0006-0000-0100-0000C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2" authorId="0" shapeId="0" xr:uid="{00000000-0006-0000-0100-0000C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2" authorId="0" shapeId="0" xr:uid="{00000000-0006-0000-0100-0000C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2" authorId="0" shapeId="0" xr:uid="{00000000-0006-0000-0100-0000C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3" authorId="0" shapeId="0" xr:uid="{00000000-0006-0000-0100-0000C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3" authorId="0" shapeId="0" xr:uid="{00000000-0006-0000-0100-0000C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3" authorId="0" shapeId="0" xr:uid="{00000000-0006-0000-0100-0000C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4" authorId="0" shapeId="0" xr:uid="{00000000-0006-0000-0100-0000C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4" authorId="0" shapeId="0" xr:uid="{00000000-0006-0000-0100-0000C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4" authorId="0" shapeId="0" xr:uid="{00000000-0006-0000-0100-0000C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5" authorId="0" shapeId="0" xr:uid="{00000000-0006-0000-0100-0000D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5" authorId="0" shapeId="0" xr:uid="{00000000-0006-0000-0100-0000D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5" authorId="0" shapeId="0" xr:uid="{00000000-0006-0000-0100-0000D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6" authorId="0" shapeId="0" xr:uid="{00000000-0006-0000-0100-0000D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6" authorId="0" shapeId="0" xr:uid="{00000000-0006-0000-0100-0000D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6" authorId="0" shapeId="0" xr:uid="{00000000-0006-0000-0100-0000D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7" authorId="0" shapeId="0" xr:uid="{00000000-0006-0000-0100-0000D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7" authorId="0" shapeId="0" xr:uid="{00000000-0006-0000-0100-0000D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7" authorId="0" shapeId="0" xr:uid="{00000000-0006-0000-0100-0000D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8" authorId="0" shapeId="0" xr:uid="{00000000-0006-0000-0100-0000D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8" authorId="0" shapeId="0" xr:uid="{00000000-0006-0000-0100-0000D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8" authorId="0" shapeId="0" xr:uid="{00000000-0006-0000-0100-0000D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9" authorId="0" shapeId="0" xr:uid="{00000000-0006-0000-0100-0000D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9" authorId="0" shapeId="0" xr:uid="{00000000-0006-0000-0100-0000D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79" authorId="0" shapeId="0" xr:uid="{00000000-0006-0000-0100-0000D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0" authorId="0" shapeId="0" xr:uid="{00000000-0006-0000-0100-0000D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0" authorId="0" shapeId="0" xr:uid="{00000000-0006-0000-0100-0000E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0" authorId="0" shapeId="0" xr:uid="{00000000-0006-0000-0100-0000E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1" authorId="0" shapeId="0" xr:uid="{00000000-0006-0000-0100-0000E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1" authorId="0" shapeId="0" xr:uid="{00000000-0006-0000-0100-0000E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1" authorId="0" shapeId="0" xr:uid="{00000000-0006-0000-0100-0000E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2" authorId="0" shapeId="0" xr:uid="{00000000-0006-0000-0100-0000E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2" authorId="0" shapeId="0" xr:uid="{00000000-0006-0000-0100-0000E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2" authorId="0" shapeId="0" xr:uid="{00000000-0006-0000-0100-0000E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3" authorId="0" shapeId="0" xr:uid="{00000000-0006-0000-0100-0000E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3" authorId="0" shapeId="0" xr:uid="{00000000-0006-0000-0100-0000E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3" authorId="0" shapeId="0" xr:uid="{00000000-0006-0000-0100-0000E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4" authorId="0" shapeId="0" xr:uid="{00000000-0006-0000-0100-0000E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4" authorId="0" shapeId="0" xr:uid="{00000000-0006-0000-0100-0000E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4" authorId="0" shapeId="0" xr:uid="{00000000-0006-0000-0100-0000E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5" authorId="0" shapeId="0" xr:uid="{00000000-0006-0000-0100-0000E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5" authorId="0" shapeId="0" xr:uid="{00000000-0006-0000-0100-0000E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5" authorId="0" shapeId="0" xr:uid="{00000000-0006-0000-0100-0000F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6" authorId="0" shapeId="0" xr:uid="{00000000-0006-0000-0100-0000F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6" authorId="0" shapeId="0" xr:uid="{00000000-0006-0000-0100-0000F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6" authorId="0" shapeId="0" xr:uid="{00000000-0006-0000-0100-0000F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7" authorId="0" shapeId="0" xr:uid="{00000000-0006-0000-0100-0000F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7" authorId="0" shapeId="0" xr:uid="{00000000-0006-0000-0100-0000F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7" authorId="0" shapeId="0" xr:uid="{00000000-0006-0000-0100-0000F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8" authorId="0" shapeId="0" xr:uid="{00000000-0006-0000-0100-0000F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8" authorId="0" shapeId="0" xr:uid="{00000000-0006-0000-0100-0000F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8" authorId="0" shapeId="0" xr:uid="{00000000-0006-0000-0100-0000F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9" authorId="0" shapeId="0" xr:uid="{00000000-0006-0000-0100-0000F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9" authorId="0" shapeId="0" xr:uid="{00000000-0006-0000-0100-0000F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89" authorId="0" shapeId="0" xr:uid="{00000000-0006-0000-0100-0000F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0" authorId="0" shapeId="0" xr:uid="{00000000-0006-0000-0100-0000F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0" authorId="0" shapeId="0" xr:uid="{00000000-0006-0000-0100-0000F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0" authorId="0" shapeId="0" xr:uid="{00000000-0006-0000-0100-0000F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1" authorId="0" shapeId="0" xr:uid="{00000000-0006-0000-0100-000000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1" authorId="0" shapeId="0" xr:uid="{00000000-0006-0000-0100-000001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1" authorId="0" shapeId="0" xr:uid="{00000000-0006-0000-0100-000002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2" authorId="0" shapeId="0" xr:uid="{00000000-0006-0000-0100-000003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2" authorId="0" shapeId="0" xr:uid="{00000000-0006-0000-0100-000004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2" authorId="0" shapeId="0" xr:uid="{00000000-0006-0000-0100-000005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3" authorId="0" shapeId="0" xr:uid="{00000000-0006-0000-0100-000006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3" authorId="0" shapeId="0" xr:uid="{00000000-0006-0000-0100-000007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3" authorId="0" shapeId="0" xr:uid="{00000000-0006-0000-0100-000008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4" authorId="0" shapeId="0" xr:uid="{00000000-0006-0000-0100-000009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4" authorId="0" shapeId="0" xr:uid="{00000000-0006-0000-0100-00000A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4" authorId="0" shapeId="0" xr:uid="{00000000-0006-0000-0100-00000B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5" authorId="0" shapeId="0" xr:uid="{00000000-0006-0000-0100-00000C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5" authorId="0" shapeId="0" xr:uid="{00000000-0006-0000-0100-00000D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5" authorId="0" shapeId="0" xr:uid="{00000000-0006-0000-0100-00000E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6" authorId="0" shapeId="0" xr:uid="{00000000-0006-0000-0100-00000F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6" authorId="0" shapeId="0" xr:uid="{00000000-0006-0000-0100-000010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6" authorId="0" shapeId="0" xr:uid="{00000000-0006-0000-0100-000011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7" authorId="0" shapeId="0" xr:uid="{00000000-0006-0000-0100-000012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7" authorId="0" shapeId="0" xr:uid="{00000000-0006-0000-0100-000013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7" authorId="0" shapeId="0" xr:uid="{00000000-0006-0000-0100-000014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8" authorId="0" shapeId="0" xr:uid="{00000000-0006-0000-0100-000015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8" authorId="0" shapeId="0" xr:uid="{00000000-0006-0000-0100-000016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8" authorId="0" shapeId="0" xr:uid="{00000000-0006-0000-0100-000017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9" authorId="0" shapeId="0" xr:uid="{00000000-0006-0000-0100-000018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9" authorId="0" shapeId="0" xr:uid="{00000000-0006-0000-0100-000019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99" authorId="0" shapeId="0" xr:uid="{00000000-0006-0000-0100-00001A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0" authorId="0" shapeId="0" xr:uid="{00000000-0006-0000-0100-00001B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0" authorId="0" shapeId="0" xr:uid="{00000000-0006-0000-0100-00001C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00" authorId="0" shapeId="0" xr:uid="{00000000-0006-0000-0100-00001D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1" authorId="0" shapeId="0" xr:uid="{00000000-0006-0000-0100-00001E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1" authorId="0" shapeId="0" xr:uid="{00000000-0006-0000-0100-00001F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01" authorId="0" shapeId="0" xr:uid="{00000000-0006-0000-0100-000020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2" authorId="0" shapeId="0" xr:uid="{00000000-0006-0000-0100-000021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2" authorId="0" shapeId="0" xr:uid="{00000000-0006-0000-0100-000022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02" authorId="0" shapeId="0" xr:uid="{00000000-0006-0000-0100-000023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3" authorId="0" shapeId="0" xr:uid="{00000000-0006-0000-0100-000024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3" authorId="0" shapeId="0" xr:uid="{00000000-0006-0000-0100-000025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03" authorId="0" shapeId="0" xr:uid="{00000000-0006-0000-0100-000026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4" authorId="0" shapeId="0" xr:uid="{00000000-0006-0000-0100-000027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4" authorId="0" shapeId="0" xr:uid="{00000000-0006-0000-0100-000028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F104" authorId="0" shapeId="0" xr:uid="{00000000-0006-0000-0100-000029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Antonio Goulart</author>
  </authors>
  <commentList>
    <comment ref="D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1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1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2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2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3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3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3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4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4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4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5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5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5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6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6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6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7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7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7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8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8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8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9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9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9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0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0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0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1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1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1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2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2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2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3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3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3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4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4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4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5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5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5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6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6" authorId="0" shapeId="0" xr:uid="{00000000-0006-0000-0200-00003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6" authorId="0" shapeId="0" xr:uid="{00000000-0006-0000-0200-00003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7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7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7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8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8" authorId="0" shapeId="0" xr:uid="{00000000-0006-0000-0200-00004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8" authorId="0" shapeId="0" xr:uid="{00000000-0006-0000-0200-00004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29" authorId="0" shapeId="0" xr:uid="{00000000-0006-0000-0200-00004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29" authorId="0" shapeId="0" xr:uid="{00000000-0006-0000-0200-00004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29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0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0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0" authorId="0" shapeId="0" xr:uid="{00000000-0006-0000-0200-00004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1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1" authorId="0" shapeId="0" xr:uid="{00000000-0006-0000-0200-00004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1" authorId="0" shapeId="0" xr:uid="{00000000-0006-0000-0200-00004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2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2" authorId="0" shapeId="0" xr:uid="{00000000-0006-0000-0200-00005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2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3" authorId="0" shapeId="0" xr:uid="{00000000-0006-0000-0200-00005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3" authorId="0" shapeId="0" xr:uid="{00000000-0006-0000-0200-00005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3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4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4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4" authorId="0" shapeId="0" xr:uid="{00000000-0006-0000-0200-00005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5" authorId="0" shapeId="0" xr:uid="{00000000-0006-0000-0200-00005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5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5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6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6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6" authorId="0" shapeId="0" xr:uid="{00000000-0006-0000-0200-00005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7" authorId="0" shapeId="0" xr:uid="{00000000-0006-0000-0200-00005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7" authorId="0" shapeId="0" xr:uid="{00000000-0006-0000-0200-00005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7" authorId="0" shapeId="0" xr:uid="{00000000-0006-0000-0200-00006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8" authorId="0" shapeId="0" xr:uid="{00000000-0006-0000-0200-00006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8" authorId="0" shapeId="0" xr:uid="{00000000-0006-0000-0200-00006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8" authorId="0" shapeId="0" xr:uid="{00000000-0006-0000-0200-00006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39" authorId="0" shapeId="0" xr:uid="{00000000-0006-0000-0200-00006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39" authorId="0" shapeId="0" xr:uid="{00000000-0006-0000-0200-00006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39" authorId="0" shapeId="0" xr:uid="{00000000-0006-0000-0200-00006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0" authorId="0" shapeId="0" xr:uid="{00000000-0006-0000-0200-00006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0" authorId="0" shapeId="0" xr:uid="{00000000-0006-0000-0200-00006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0" authorId="0" shapeId="0" xr:uid="{00000000-0006-0000-0200-00006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1" authorId="0" shapeId="0" xr:uid="{00000000-0006-0000-0200-00006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1" authorId="0" shapeId="0" xr:uid="{00000000-0006-0000-0200-00006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1" authorId="0" shapeId="0" xr:uid="{00000000-0006-0000-0200-00006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2" authorId="0" shapeId="0" xr:uid="{00000000-0006-0000-0200-00006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2" authorId="0" shapeId="0" xr:uid="{00000000-0006-0000-0200-00006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2" authorId="0" shapeId="0" xr:uid="{00000000-0006-0000-0200-00006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3" authorId="0" shapeId="0" xr:uid="{00000000-0006-0000-0200-00007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3" authorId="0" shapeId="0" xr:uid="{00000000-0006-0000-0200-00007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3" authorId="0" shapeId="0" xr:uid="{00000000-0006-0000-0200-00007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4" authorId="0" shapeId="0" xr:uid="{00000000-0006-0000-0200-00007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4" authorId="0" shapeId="0" xr:uid="{00000000-0006-0000-0200-00007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4" authorId="0" shapeId="0" xr:uid="{00000000-0006-0000-0200-00007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5" authorId="0" shapeId="0" xr:uid="{00000000-0006-0000-0200-00007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5" authorId="0" shapeId="0" xr:uid="{00000000-0006-0000-0200-00007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5" authorId="0" shapeId="0" xr:uid="{00000000-0006-0000-0200-00007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6" authorId="0" shapeId="0" xr:uid="{00000000-0006-0000-0200-00007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6" authorId="0" shapeId="0" xr:uid="{00000000-0006-0000-0200-00007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6" authorId="0" shapeId="0" xr:uid="{00000000-0006-0000-0200-00007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7" authorId="0" shapeId="0" xr:uid="{00000000-0006-0000-0200-00007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7" authorId="0" shapeId="0" xr:uid="{00000000-0006-0000-0200-00007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7" authorId="0" shapeId="0" xr:uid="{00000000-0006-0000-0200-00007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8" authorId="0" shapeId="0" xr:uid="{00000000-0006-0000-0200-00007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8" authorId="0" shapeId="0" xr:uid="{00000000-0006-0000-0200-00008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8" authorId="0" shapeId="0" xr:uid="{00000000-0006-0000-0200-00008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49" authorId="0" shapeId="0" xr:uid="{00000000-0006-0000-0200-00008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49" authorId="0" shapeId="0" xr:uid="{00000000-0006-0000-0200-00008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49" authorId="0" shapeId="0" xr:uid="{00000000-0006-0000-0200-00008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0" authorId="0" shapeId="0" xr:uid="{00000000-0006-0000-0200-00008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0" authorId="0" shapeId="0" xr:uid="{00000000-0006-0000-0200-00008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0" authorId="0" shapeId="0" xr:uid="{00000000-0006-0000-0200-00008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1" authorId="0" shapeId="0" xr:uid="{00000000-0006-0000-0200-00008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1" authorId="0" shapeId="0" xr:uid="{00000000-0006-0000-0200-00008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1" authorId="0" shapeId="0" xr:uid="{00000000-0006-0000-0200-00008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2" authorId="0" shapeId="0" xr:uid="{00000000-0006-0000-0200-00008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2" authorId="0" shapeId="0" xr:uid="{00000000-0006-0000-0200-00008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2" authorId="0" shapeId="0" xr:uid="{00000000-0006-0000-0200-00008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3" authorId="0" shapeId="0" xr:uid="{00000000-0006-0000-0200-00008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3" authorId="0" shapeId="0" xr:uid="{00000000-0006-0000-0200-00008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3" authorId="0" shapeId="0" xr:uid="{00000000-0006-0000-0200-00009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4" authorId="0" shapeId="0" xr:uid="{00000000-0006-0000-0200-00009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4" authorId="0" shapeId="0" xr:uid="{00000000-0006-0000-0200-00009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4" authorId="0" shapeId="0" xr:uid="{00000000-0006-0000-0200-00009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5" authorId="0" shapeId="0" xr:uid="{00000000-0006-0000-0200-00009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5" authorId="0" shapeId="0" xr:uid="{00000000-0006-0000-0200-00009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5" authorId="0" shapeId="0" xr:uid="{00000000-0006-0000-0200-00009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6" authorId="0" shapeId="0" xr:uid="{00000000-0006-0000-0200-00009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6" authorId="0" shapeId="0" xr:uid="{00000000-0006-0000-0200-00009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6" authorId="0" shapeId="0" xr:uid="{00000000-0006-0000-0200-00009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7" authorId="0" shapeId="0" xr:uid="{00000000-0006-0000-0200-00009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7" authorId="0" shapeId="0" xr:uid="{00000000-0006-0000-0200-00009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7" authorId="0" shapeId="0" xr:uid="{00000000-0006-0000-0200-00009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8" authorId="0" shapeId="0" xr:uid="{00000000-0006-0000-0200-00009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8" authorId="0" shapeId="0" xr:uid="{00000000-0006-0000-0200-00009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8" authorId="0" shapeId="0" xr:uid="{00000000-0006-0000-0200-00009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59" authorId="0" shapeId="0" xr:uid="{00000000-0006-0000-0200-0000A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59" authorId="0" shapeId="0" xr:uid="{00000000-0006-0000-0200-0000A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59" authorId="0" shapeId="0" xr:uid="{00000000-0006-0000-0200-0000A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0" authorId="0" shapeId="0" xr:uid="{00000000-0006-0000-0200-0000A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0" authorId="0" shapeId="0" xr:uid="{00000000-0006-0000-0200-0000A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0" authorId="0" shapeId="0" xr:uid="{00000000-0006-0000-0200-0000A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1" authorId="0" shapeId="0" xr:uid="{00000000-0006-0000-0200-0000A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1" authorId="0" shapeId="0" xr:uid="{00000000-0006-0000-0200-0000A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1" authorId="0" shapeId="0" xr:uid="{00000000-0006-0000-0200-0000A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2" authorId="0" shapeId="0" xr:uid="{00000000-0006-0000-0200-0000A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2" authorId="0" shapeId="0" xr:uid="{00000000-0006-0000-0200-0000A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2" authorId="0" shapeId="0" xr:uid="{00000000-0006-0000-0200-0000A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3" authorId="0" shapeId="0" xr:uid="{00000000-0006-0000-0200-0000A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3" authorId="0" shapeId="0" xr:uid="{00000000-0006-0000-0200-0000A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3" authorId="0" shapeId="0" xr:uid="{00000000-0006-0000-0200-0000A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4" authorId="0" shapeId="0" xr:uid="{00000000-0006-0000-0200-0000A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4" authorId="0" shapeId="0" xr:uid="{00000000-0006-0000-0200-0000B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4" authorId="0" shapeId="0" xr:uid="{00000000-0006-0000-0200-0000B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5" authorId="0" shapeId="0" xr:uid="{00000000-0006-0000-0200-0000B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5" authorId="0" shapeId="0" xr:uid="{00000000-0006-0000-0200-0000B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5" authorId="0" shapeId="0" xr:uid="{00000000-0006-0000-0200-0000B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6" authorId="0" shapeId="0" xr:uid="{00000000-0006-0000-0200-0000B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6" authorId="0" shapeId="0" xr:uid="{00000000-0006-0000-0200-0000B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6" authorId="0" shapeId="0" xr:uid="{00000000-0006-0000-0200-0000B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7" authorId="0" shapeId="0" xr:uid="{00000000-0006-0000-0200-0000B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7" authorId="0" shapeId="0" xr:uid="{00000000-0006-0000-0200-0000B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7" authorId="0" shapeId="0" xr:uid="{00000000-0006-0000-0200-0000B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8" authorId="0" shapeId="0" xr:uid="{00000000-0006-0000-0200-0000B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8" authorId="0" shapeId="0" xr:uid="{00000000-0006-0000-0200-0000B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8" authorId="0" shapeId="0" xr:uid="{00000000-0006-0000-0200-0000B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69" authorId="0" shapeId="0" xr:uid="{00000000-0006-0000-0200-0000B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69" authorId="0" shapeId="0" xr:uid="{00000000-0006-0000-0200-0000B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69" authorId="0" shapeId="0" xr:uid="{00000000-0006-0000-0200-0000C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0" authorId="0" shapeId="0" xr:uid="{00000000-0006-0000-0200-0000C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0" authorId="0" shapeId="0" xr:uid="{00000000-0006-0000-0200-0000C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0" authorId="0" shapeId="0" xr:uid="{00000000-0006-0000-0200-0000C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1" authorId="0" shapeId="0" xr:uid="{00000000-0006-0000-0200-0000C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1" authorId="0" shapeId="0" xr:uid="{00000000-0006-0000-0200-0000C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1" authorId="0" shapeId="0" xr:uid="{00000000-0006-0000-0200-0000C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2" authorId="0" shapeId="0" xr:uid="{00000000-0006-0000-0200-0000C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2" authorId="0" shapeId="0" xr:uid="{00000000-0006-0000-0200-0000C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2" authorId="0" shapeId="0" xr:uid="{00000000-0006-0000-0200-0000C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3" authorId="0" shapeId="0" xr:uid="{00000000-0006-0000-0200-0000C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3" authorId="0" shapeId="0" xr:uid="{00000000-0006-0000-0200-0000C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3" authorId="0" shapeId="0" xr:uid="{00000000-0006-0000-0200-0000C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4" authorId="0" shapeId="0" xr:uid="{00000000-0006-0000-0200-0000C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4" authorId="0" shapeId="0" xr:uid="{00000000-0006-0000-0200-0000C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4" authorId="0" shapeId="0" xr:uid="{00000000-0006-0000-0200-0000C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5" authorId="0" shapeId="0" xr:uid="{00000000-0006-0000-0200-0000D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5" authorId="0" shapeId="0" xr:uid="{00000000-0006-0000-0200-0000D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5" authorId="0" shapeId="0" xr:uid="{00000000-0006-0000-0200-0000D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6" authorId="0" shapeId="0" xr:uid="{00000000-0006-0000-0200-0000D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6" authorId="0" shapeId="0" xr:uid="{00000000-0006-0000-0200-0000D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6" authorId="0" shapeId="0" xr:uid="{00000000-0006-0000-0200-0000D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7" authorId="0" shapeId="0" xr:uid="{00000000-0006-0000-0200-0000D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7" authorId="0" shapeId="0" xr:uid="{00000000-0006-0000-0200-0000D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7" authorId="0" shapeId="0" xr:uid="{00000000-0006-0000-0200-0000D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8" authorId="0" shapeId="0" xr:uid="{00000000-0006-0000-0200-0000D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8" authorId="0" shapeId="0" xr:uid="{00000000-0006-0000-0200-0000D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8" authorId="0" shapeId="0" xr:uid="{00000000-0006-0000-0200-0000D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79" authorId="0" shapeId="0" xr:uid="{00000000-0006-0000-0200-0000D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79" authorId="0" shapeId="0" xr:uid="{00000000-0006-0000-0200-0000D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79" authorId="0" shapeId="0" xr:uid="{00000000-0006-0000-0200-0000D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0" authorId="0" shapeId="0" xr:uid="{00000000-0006-0000-0200-0000D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0" authorId="0" shapeId="0" xr:uid="{00000000-0006-0000-0200-0000E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0" authorId="0" shapeId="0" xr:uid="{00000000-0006-0000-0200-0000E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1" authorId="0" shapeId="0" xr:uid="{00000000-0006-0000-0200-0000E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1" authorId="0" shapeId="0" xr:uid="{00000000-0006-0000-0200-0000E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1" authorId="0" shapeId="0" xr:uid="{00000000-0006-0000-0200-0000E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2" authorId="0" shapeId="0" xr:uid="{00000000-0006-0000-0200-0000E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2" authorId="0" shapeId="0" xr:uid="{00000000-0006-0000-0200-0000E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2" authorId="0" shapeId="0" xr:uid="{00000000-0006-0000-0200-0000E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3" authorId="0" shapeId="0" xr:uid="{00000000-0006-0000-0200-0000E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3" authorId="0" shapeId="0" xr:uid="{00000000-0006-0000-0200-0000E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3" authorId="0" shapeId="0" xr:uid="{00000000-0006-0000-0200-0000E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4" authorId="0" shapeId="0" xr:uid="{00000000-0006-0000-0200-0000E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4" authorId="0" shapeId="0" xr:uid="{00000000-0006-0000-0200-0000E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4" authorId="0" shapeId="0" xr:uid="{00000000-0006-0000-0200-0000E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5" authorId="0" shapeId="0" xr:uid="{00000000-0006-0000-0200-0000E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5" authorId="0" shapeId="0" xr:uid="{00000000-0006-0000-0200-0000E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5" authorId="0" shapeId="0" xr:uid="{00000000-0006-0000-0200-0000F0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6" authorId="0" shapeId="0" xr:uid="{00000000-0006-0000-0200-0000F1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6" authorId="0" shapeId="0" xr:uid="{00000000-0006-0000-0200-0000F2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6" authorId="0" shapeId="0" xr:uid="{00000000-0006-0000-0200-0000F3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7" authorId="0" shapeId="0" xr:uid="{00000000-0006-0000-0200-0000F4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7" authorId="0" shapeId="0" xr:uid="{00000000-0006-0000-0200-0000F5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7" authorId="0" shapeId="0" xr:uid="{00000000-0006-0000-0200-0000F6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8" authorId="0" shapeId="0" xr:uid="{00000000-0006-0000-0200-0000F7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8" authorId="0" shapeId="0" xr:uid="{00000000-0006-0000-0200-0000F8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8" authorId="0" shapeId="0" xr:uid="{00000000-0006-0000-0200-0000F9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89" authorId="0" shapeId="0" xr:uid="{00000000-0006-0000-0200-0000FA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89" authorId="0" shapeId="0" xr:uid="{00000000-0006-0000-0200-0000FB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89" authorId="0" shapeId="0" xr:uid="{00000000-0006-0000-0200-0000FC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0" authorId="0" shapeId="0" xr:uid="{00000000-0006-0000-0200-0000FD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0" authorId="0" shapeId="0" xr:uid="{00000000-0006-0000-0200-0000FE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0" authorId="0" shapeId="0" xr:uid="{00000000-0006-0000-0200-0000FF00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1" authorId="0" shapeId="0" xr:uid="{00000000-0006-0000-0200-000000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1" authorId="0" shapeId="0" xr:uid="{00000000-0006-0000-0200-000001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1" authorId="0" shapeId="0" xr:uid="{00000000-0006-0000-0200-000002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2" authorId="0" shapeId="0" xr:uid="{00000000-0006-0000-0200-000003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2" authorId="0" shapeId="0" xr:uid="{00000000-0006-0000-0200-000004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2" authorId="0" shapeId="0" xr:uid="{00000000-0006-0000-0200-000005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3" authorId="0" shapeId="0" xr:uid="{00000000-0006-0000-0200-000006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3" authorId="0" shapeId="0" xr:uid="{00000000-0006-0000-0200-000007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3" authorId="0" shapeId="0" xr:uid="{00000000-0006-0000-0200-000008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4" authorId="0" shapeId="0" xr:uid="{00000000-0006-0000-0200-000009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4" authorId="0" shapeId="0" xr:uid="{00000000-0006-0000-0200-00000A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4" authorId="0" shapeId="0" xr:uid="{00000000-0006-0000-0200-00000B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5" authorId="0" shapeId="0" xr:uid="{00000000-0006-0000-0200-00000C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5" authorId="0" shapeId="0" xr:uid="{00000000-0006-0000-0200-00000D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5" authorId="0" shapeId="0" xr:uid="{00000000-0006-0000-0200-00000E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6" authorId="0" shapeId="0" xr:uid="{00000000-0006-0000-0200-00000F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6" authorId="0" shapeId="0" xr:uid="{00000000-0006-0000-0200-000010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6" authorId="0" shapeId="0" xr:uid="{00000000-0006-0000-0200-000011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7" authorId="0" shapeId="0" xr:uid="{00000000-0006-0000-0200-000012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7" authorId="0" shapeId="0" xr:uid="{00000000-0006-0000-0200-000013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7" authorId="0" shapeId="0" xr:uid="{00000000-0006-0000-0200-000014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8" authorId="0" shapeId="0" xr:uid="{00000000-0006-0000-0200-000015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8" authorId="0" shapeId="0" xr:uid="{00000000-0006-0000-0200-000016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8" authorId="0" shapeId="0" xr:uid="{00000000-0006-0000-0200-000017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99" authorId="0" shapeId="0" xr:uid="{00000000-0006-0000-0200-000018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99" authorId="0" shapeId="0" xr:uid="{00000000-0006-0000-0200-000019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99" authorId="0" shapeId="0" xr:uid="{00000000-0006-0000-0200-00001A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0" authorId="0" shapeId="0" xr:uid="{00000000-0006-0000-0200-00001B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0" authorId="0" shapeId="0" xr:uid="{00000000-0006-0000-0200-00001C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0" authorId="0" shapeId="0" xr:uid="{00000000-0006-0000-0200-00001D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1" authorId="0" shapeId="0" xr:uid="{00000000-0006-0000-0200-00001E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1" authorId="0" shapeId="0" xr:uid="{00000000-0006-0000-0200-00001F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1" authorId="0" shapeId="0" xr:uid="{00000000-0006-0000-0200-000020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2" authorId="0" shapeId="0" xr:uid="{00000000-0006-0000-0200-000021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2" authorId="0" shapeId="0" xr:uid="{00000000-0006-0000-0200-000022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2" authorId="0" shapeId="0" xr:uid="{00000000-0006-0000-0200-000023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3" authorId="0" shapeId="0" xr:uid="{00000000-0006-0000-0200-000024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3" authorId="0" shapeId="0" xr:uid="{00000000-0006-0000-0200-000025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3" authorId="0" shapeId="0" xr:uid="{00000000-0006-0000-0200-000026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  <comment ref="D104" authorId="0" shapeId="0" xr:uid="{00000000-0006-0000-0200-000027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
</t>
        </r>
      </text>
    </comment>
    <comment ref="E104" authorId="0" shapeId="0" xr:uid="{00000000-0006-0000-0200-000028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o fator após colocar mês e ano ele será inserido automaticamente.</t>
        </r>
      </text>
    </comment>
    <comment ref="G104" authorId="0" shapeId="0" xr:uid="{00000000-0006-0000-0200-000029010000}">
      <text>
        <r>
          <rPr>
            <b/>
            <sz val="9"/>
            <color indexed="81"/>
            <rFont val="Tahoma"/>
            <family val="2"/>
          </rPr>
          <t>Marco Antonio Goulart:</t>
        </r>
        <r>
          <rPr>
            <sz val="9"/>
            <color indexed="81"/>
            <rFont val="Tahoma"/>
            <family val="2"/>
          </rPr>
          <t xml:space="preserve">
NÃO digitar juros ele será calculado automaticamente, de acordo com o valor informado ao lado da tabela.
</t>
        </r>
      </text>
    </comment>
  </commentList>
</comments>
</file>

<file path=xl/sharedStrings.xml><?xml version="1.0" encoding="utf-8"?>
<sst xmlns="http://schemas.openxmlformats.org/spreadsheetml/2006/main" count="119" uniqueCount="62">
  <si>
    <t>JAN</t>
  </si>
  <si>
    <t>-----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</si>
  <si>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</si>
  <si>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</si>
  <si>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</si>
  <si>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</si>
  <si>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</si>
  <si>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</si>
  <si>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</si>
  <si>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</si>
  <si>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</si>
  <si>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</si>
  <si>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</si>
  <si>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   6,170000</t>
  </si>
  <si>
    <t>  8,805824</t>
  </si>
  <si>
    <r>
      <t xml:space="preserve">Observação I: </t>
    </r>
    <r>
      <rPr>
        <sz val="9"/>
        <rFont val="Verdana"/>
        <family val="2"/>
      </rPr>
      <t>Dividir o valor a atualizar (observar o padrão monetário vigente à época) pelo fator do mês do termo inicial e multiplicar pelo fator do mês do termo final, obtendo-se o resultado na moeda vigente na data do termo final, não sendo necessário efetuar qualquer conversão. Esclarecendo que, nesta tabela, não estão incluídos os juros moratórios, apenas a correção monetária.</t>
    </r>
  </si>
  <si>
    <t>Correção Monetária</t>
  </si>
  <si>
    <t>n°</t>
  </si>
  <si>
    <t>DEMONSTRATIVO DE CÁLCULO *</t>
  </si>
  <si>
    <t>Soma Total em Reais (R$)</t>
  </si>
  <si>
    <t>* Correção monetária seguindo tabela praticada pelo Tribunal de Justiça do Estado de São Paulo.</t>
  </si>
  <si>
    <t>Valor Inicial</t>
  </si>
  <si>
    <t>Fator Inicial</t>
  </si>
  <si>
    <t>Fator Final</t>
  </si>
  <si>
    <t>Juros Moratórios (a.m.)</t>
  </si>
  <si>
    <t>Valor Corrigido e Atualizado (R$)</t>
  </si>
  <si>
    <t xml:space="preserve"> Para calcular basta dividir o valor a atualizar (observar o padrão monetário vigente à época) pelo fator do mês do termo inicial e multiplicar pelo fator do mês do termo final, obtendo-se o resultado na moeda vigente na data do termo final, não sendo necessário efetuar qualquer conversão.</t>
  </si>
  <si>
    <t xml:space="preserve">Data da atualização da dívida  (mês/ano) </t>
  </si>
  <si>
    <t xml:space="preserve"> Para calcular basta dividir o valor a atualizar (observar o padrão monetário vigente à época) pelo fator do mês do termo inicial e multiplicar pelo fator do mês do termo final, obtendo-se o resultado na moeda vigente na data do termo final, não sendo nec</t>
  </si>
  <si>
    <t>Descrição</t>
  </si>
  <si>
    <t>VALOR DA DÍVIDA EM:</t>
  </si>
  <si>
    <t xml:space="preserve">Data da correção monetária (mês/ano) </t>
  </si>
  <si>
    <t xml:space="preserve">Data da atualização da dívida  (dia/mês/ano) </t>
  </si>
  <si>
    <t>Data Inicial (dia/mês/ano)</t>
  </si>
  <si>
    <t>* Correção monetária seguindo tabela praticada pelo Tribunal de Justiça do Estado de São Paulo. - www.tj.sp.gov.br</t>
  </si>
  <si>
    <t>Valor Inicial (R$)</t>
  </si>
  <si>
    <t>Observação: Para atualizar o valor, basta dividir o valor a atualizar (observar o padrão monetário vigente à época) pelo fator do mês do termo inicial e multiplicar pelo fator do mês do termo final, obtendo-se o resultado na moeda vigente na data do termo final, não sendo necessário efetuar qualquer conversão. Os juros morátorios são aplicados sobre o valor atualizado.</t>
  </si>
  <si>
    <t>Multa moratória</t>
  </si>
  <si>
    <t>Honorários advocatícios</t>
  </si>
  <si>
    <t>Despesas extras com a cobrança em Reais (R$)</t>
  </si>
  <si>
    <r>
      <t>Data Inicial (mês/ano)</t>
    </r>
    <r>
      <rPr>
        <sz val="8"/>
        <rFont val="Arial"/>
        <family val="2"/>
      </rPr>
      <t xml:space="preserve"> (correção monetária)</t>
    </r>
  </si>
  <si>
    <r>
      <t xml:space="preserve">Data da atualização da dívida </t>
    </r>
    <r>
      <rPr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(mês/ano) </t>
    </r>
  </si>
  <si>
    <t>Totais em Reais (R$)</t>
  </si>
  <si>
    <r>
      <t>Atualização</t>
    </r>
    <r>
      <rPr>
        <sz val="7"/>
        <rFont val="Arial"/>
        <family val="2"/>
      </rPr>
      <t>(R$)</t>
    </r>
  </si>
  <si>
    <t>Juros (R$)</t>
  </si>
  <si>
    <t>PARCELAMENTO DA DÍVIDA</t>
  </si>
  <si>
    <t>Número de Parcelas</t>
  </si>
  <si>
    <t>Juros Mensais</t>
  </si>
  <si>
    <t>Valor da parcela mensal (fixa)</t>
  </si>
  <si>
    <t>Valor a ser parcelado</t>
  </si>
  <si>
    <t xml:space="preserve">VALOR TOTAL PARCELADO  </t>
  </si>
  <si>
    <t>Abatimento / desconto ( - )</t>
  </si>
  <si>
    <t>Valor deduzido abatimento/desconto</t>
  </si>
  <si>
    <t>Devedor</t>
  </si>
  <si>
    <t>Credor</t>
  </si>
  <si>
    <t>DESCONTO</t>
  </si>
  <si>
    <r>
      <t>Data Inicial (mês/ano)</t>
    </r>
    <r>
      <rPr>
        <sz val="7"/>
        <rFont val="Arial"/>
        <family val="2"/>
      </rPr>
      <t xml:space="preserve">     (juros moratórios)</t>
    </r>
  </si>
  <si>
    <t>Data Inicial</t>
  </si>
  <si>
    <t>Cheque 290238</t>
  </si>
  <si>
    <t>DMI - 0-000003036/0183042-1</t>
  </si>
  <si>
    <t>Custas Judiciais</t>
  </si>
  <si>
    <t>Cheque 290239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</si>
</sst>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$&quot;#,##0.00_);[Red]\(&quot;R$&quot;#,##0.00\)"/>
    <numFmt numFmtId="166" formatCode="0.0%"/>
    <numFmt numFmtId="167" formatCode="_(* #,##0.000000_);_(* \(#,##0.000000\);_(* &quot;0&quot;??_);_(@_)"/>
    <numFmt numFmtId="168" formatCode="&quot;R$&quot;#,##0.00"/>
    <numFmt numFmtId="169" formatCode="&quot;R$&quot;\ #,##0.00"/>
    <numFmt numFmtId="170" formatCode="&quot;R$ &quot;#,##0.00"/>
    <numFmt numFmtId="171" formatCode="0.000000"/>
    <numFmt numFmtId="172" formatCode="00"/>
    <numFmt numFmtId="173" formatCode="mm/yyyy"/>
  </numFmts>
  <fonts count="42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name val="Verdana"/>
      <family val="2"/>
    </font>
    <font>
      <b/>
      <sz val="7.5"/>
      <name val="Verdana"/>
      <family val="2"/>
    </font>
    <font>
      <sz val="7.5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7.5"/>
      <name val="Arial"/>
      <family val="2"/>
    </font>
    <font>
      <sz val="8"/>
      <name val="Arial"/>
      <family val="2"/>
    </font>
    <font>
      <sz val="9"/>
      <color indexed="8"/>
      <name val="Verdana"/>
      <family val="2"/>
    </font>
    <font>
      <sz val="10"/>
      <color indexed="9"/>
      <name val="Arial"/>
      <family val="2"/>
    </font>
    <font>
      <sz val="9"/>
      <color indexed="9"/>
      <name val="Arial"/>
      <family val="2"/>
    </font>
    <font>
      <i/>
      <sz val="9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8"/>
      <color indexed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9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i/>
      <sz val="8"/>
      <name val="Arial"/>
      <family val="2"/>
    </font>
    <font>
      <i/>
      <sz val="8"/>
      <color indexed="9"/>
      <name val="Arial"/>
      <family val="2"/>
    </font>
    <font>
      <b/>
      <sz val="7"/>
      <color indexed="9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2"/>
      <color indexed="8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8"/>
      <name val="MS Sans Serif"/>
      <family val="2"/>
    </font>
    <font>
      <sz val="10"/>
      <color rgb="FF3535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0" fontId="40" fillId="0" borderId="0"/>
    <xf numFmtId="164" fontId="1" fillId="0" borderId="0" applyFont="0" applyFill="0" applyBorder="0" applyAlignment="0" applyProtection="0"/>
  </cellStyleXfs>
  <cellXfs count="262">
    <xf numFmtId="0" fontId="0" fillId="0" borderId="0" xfId="0"/>
    <xf numFmtId="0" fontId="6" fillId="0" borderId="1" xfId="0" applyFont="1" applyBorder="1" applyAlignment="1" applyProtection="1">
      <alignment horizontal="center" wrapText="1"/>
    </xf>
    <xf numFmtId="0" fontId="6" fillId="0" borderId="2" xfId="0" applyFont="1" applyBorder="1" applyAlignment="1" applyProtection="1">
      <alignment horizontal="center" wrapText="1"/>
    </xf>
    <xf numFmtId="0" fontId="2" fillId="0" borderId="3" xfId="0" applyFont="1" applyBorder="1" applyAlignment="1" applyProtection="1">
      <alignment horizontal="center" wrapText="1"/>
    </xf>
    <xf numFmtId="0" fontId="2" fillId="0" borderId="2" xfId="0" applyFont="1" applyBorder="1" applyAlignment="1" applyProtection="1">
      <alignment horizontal="center" wrapText="1"/>
    </xf>
    <xf numFmtId="0" fontId="2" fillId="0" borderId="4" xfId="0" applyFont="1" applyBorder="1" applyAlignment="1" applyProtection="1">
      <alignment horizontal="center" wrapText="1"/>
    </xf>
    <xf numFmtId="0" fontId="3" fillId="2" borderId="5" xfId="0" applyFont="1" applyFill="1" applyBorder="1" applyProtection="1"/>
    <xf numFmtId="0" fontId="7" fillId="0" borderId="2" xfId="0" applyFont="1" applyBorder="1" applyAlignment="1" applyProtection="1">
      <alignment horizontal="center" wrapText="1"/>
    </xf>
    <xf numFmtId="0" fontId="8" fillId="0" borderId="2" xfId="0" applyFont="1" applyBorder="1" applyAlignment="1" applyProtection="1">
      <alignment horizontal="center" wrapText="1"/>
    </xf>
    <xf numFmtId="4" fontId="8" fillId="0" borderId="2" xfId="0" applyNumberFormat="1" applyFont="1" applyBorder="1" applyAlignment="1" applyProtection="1">
      <alignment horizontal="center" wrapText="1"/>
    </xf>
    <xf numFmtId="0" fontId="8" fillId="0" borderId="2" xfId="0" applyFont="1" applyBorder="1" applyAlignment="1" applyProtection="1">
      <alignment horizontal="right" wrapText="1"/>
    </xf>
    <xf numFmtId="4" fontId="8" fillId="0" borderId="2" xfId="0" applyNumberFormat="1" applyFont="1" applyBorder="1" applyAlignment="1" applyProtection="1">
      <alignment horizontal="right" wrapText="1"/>
    </xf>
    <xf numFmtId="171" fontId="8" fillId="0" borderId="2" xfId="0" applyNumberFormat="1" applyFont="1" applyBorder="1" applyAlignment="1" applyProtection="1">
      <alignment horizontal="right" wrapText="1"/>
    </xf>
    <xf numFmtId="171" fontId="10" fillId="0" borderId="6" xfId="0" applyNumberFormat="1" applyFont="1" applyBorder="1" applyProtection="1"/>
    <xf numFmtId="171" fontId="13" fillId="0" borderId="6" xfId="0" applyNumberFormat="1" applyFont="1" applyBorder="1" applyProtection="1"/>
    <xf numFmtId="171" fontId="3" fillId="2" borderId="5" xfId="0" applyNumberFormat="1" applyFont="1" applyFill="1" applyBorder="1" applyProtection="1"/>
    <xf numFmtId="171" fontId="8" fillId="0" borderId="1" xfId="0" applyNumberFormat="1" applyFont="1" applyBorder="1" applyAlignment="1" applyProtection="1">
      <alignment horizontal="right" wrapText="1"/>
    </xf>
    <xf numFmtId="171" fontId="8" fillId="0" borderId="3" xfId="0" applyNumberFormat="1" applyFont="1" applyBorder="1" applyAlignment="1" applyProtection="1">
      <alignment horizontal="right" wrapText="1"/>
    </xf>
    <xf numFmtId="171" fontId="13" fillId="0" borderId="7" xfId="0" applyNumberFormat="1" applyFont="1" applyBorder="1" applyProtection="1"/>
    <xf numFmtId="171" fontId="14" fillId="0" borderId="8" xfId="0" applyNumberFormat="1" applyFont="1" applyBorder="1" applyAlignment="1" applyProtection="1">
      <alignment horizontal="right" wrapText="1"/>
    </xf>
    <xf numFmtId="171" fontId="14" fillId="0" borderId="2" xfId="0" applyNumberFormat="1" applyFont="1" applyBorder="1" applyAlignment="1" applyProtection="1">
      <alignment horizontal="right" wrapText="1"/>
    </xf>
    <xf numFmtId="171" fontId="16" fillId="0" borderId="0" xfId="0" applyNumberFormat="1" applyFont="1" applyProtection="1"/>
    <xf numFmtId="171" fontId="15" fillId="0" borderId="2" xfId="0" applyNumberFormat="1" applyFont="1" applyBorder="1" applyAlignment="1" applyProtection="1">
      <alignment horizontal="right" wrapText="1"/>
    </xf>
    <xf numFmtId="171" fontId="13" fillId="0" borderId="9" xfId="0" applyNumberFormat="1" applyFont="1" applyBorder="1" applyProtection="1"/>
    <xf numFmtId="171" fontId="3" fillId="2" borderId="5" xfId="0" applyNumberFormat="1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167" fontId="18" fillId="0" borderId="6" xfId="2" applyNumberFormat="1" applyFont="1" applyFill="1" applyBorder="1" applyAlignment="1" applyProtection="1">
      <alignment horizontal="center" vertical="center"/>
      <protection hidden="1"/>
    </xf>
    <xf numFmtId="169" fontId="17" fillId="0" borderId="10" xfId="0" applyNumberFormat="1" applyFont="1" applyFill="1" applyBorder="1" applyAlignment="1" applyProtection="1">
      <alignment horizontal="center" vertical="center" wrapText="1"/>
      <protection hidden="1"/>
    </xf>
    <xf numFmtId="172" fontId="3" fillId="0" borderId="6" xfId="0" applyNumberFormat="1" applyFont="1" applyBorder="1" applyAlignment="1" applyProtection="1">
      <alignment horizontal="center" vertical="center"/>
      <protection hidden="1"/>
    </xf>
    <xf numFmtId="10" fontId="18" fillId="0" borderId="6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/>
      <protection hidden="1"/>
    </xf>
    <xf numFmtId="49" fontId="3" fillId="0" borderId="0" xfId="0" applyNumberFormat="1" applyFont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/>
      <protection hidden="1"/>
    </xf>
    <xf numFmtId="0" fontId="13" fillId="0" borderId="11" xfId="0" applyFont="1" applyBorder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70" fontId="22" fillId="0" borderId="12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Border="1" applyAlignment="1" applyProtection="1">
      <alignment horizontal="center" vertical="top" wrapText="1"/>
      <protection hidden="1"/>
    </xf>
    <xf numFmtId="165" fontId="4" fillId="0" borderId="0" xfId="0" applyNumberFormat="1" applyFont="1" applyBorder="1" applyAlignment="1" applyProtection="1">
      <alignment horizontal="center" vertical="top" wrapText="1"/>
      <protection hidden="1"/>
    </xf>
    <xf numFmtId="0" fontId="3" fillId="0" borderId="0" xfId="0" applyFont="1" applyBorder="1" applyAlignment="1" applyProtection="1">
      <alignment horizontal="center" wrapText="1"/>
      <protection hidden="1"/>
    </xf>
    <xf numFmtId="17" fontId="4" fillId="0" borderId="0" xfId="0" applyNumberFormat="1" applyFont="1" applyBorder="1" applyAlignment="1" applyProtection="1">
      <alignment horizontal="center" vertical="top" wrapText="1"/>
      <protection hidden="1"/>
    </xf>
    <xf numFmtId="168" fontId="4" fillId="0" borderId="0" xfId="0" applyNumberFormat="1" applyFont="1" applyFill="1" applyBorder="1" applyAlignment="1" applyProtection="1">
      <alignment horizontal="center" vertical="center" wrapText="1"/>
      <protection hidden="1"/>
    </xf>
    <xf numFmtId="168" fontId="3" fillId="0" borderId="0" xfId="0" applyNumberFormat="1" applyFont="1" applyAlignment="1" applyProtection="1">
      <alignment horizontal="center" vertical="center"/>
      <protection hidden="1"/>
    </xf>
    <xf numFmtId="172" fontId="3" fillId="0" borderId="0" xfId="0" applyNumberFormat="1" applyFont="1" applyAlignment="1" applyProtection="1">
      <alignment horizontal="left" vertical="center"/>
      <protection hidden="1"/>
    </xf>
    <xf numFmtId="172" fontId="3" fillId="0" borderId="0" xfId="0" applyNumberFormat="1" applyFont="1" applyAlignment="1" applyProtection="1">
      <alignment horizontal="center" vertical="center"/>
      <protection hidden="1"/>
    </xf>
    <xf numFmtId="170" fontId="3" fillId="0" borderId="0" xfId="0" applyNumberFormat="1" applyFont="1" applyAlignment="1" applyProtection="1">
      <alignment horizontal="center" vertical="center"/>
      <protection hidden="1"/>
    </xf>
    <xf numFmtId="166" fontId="3" fillId="0" borderId="0" xfId="0" applyNumberFormat="1" applyFont="1" applyAlignment="1" applyProtection="1">
      <alignment horizontal="center" vertical="center"/>
      <protection hidden="1"/>
    </xf>
    <xf numFmtId="10" fontId="2" fillId="0" borderId="7" xfId="0" applyNumberFormat="1" applyFont="1" applyBorder="1" applyAlignment="1" applyProtection="1">
      <alignment horizontal="center" vertical="center"/>
      <protection locked="0" hidden="1"/>
    </xf>
    <xf numFmtId="173" fontId="3" fillId="0" borderId="6" xfId="0" applyNumberFormat="1" applyFont="1" applyBorder="1" applyAlignment="1" applyProtection="1">
      <alignment horizontal="center" vertical="center"/>
      <protection locked="0" hidden="1"/>
    </xf>
    <xf numFmtId="4" fontId="18" fillId="0" borderId="6" xfId="0" applyNumberFormat="1" applyFont="1" applyFill="1" applyBorder="1" applyAlignment="1" applyProtection="1">
      <alignment horizontal="center" vertical="center" wrapText="1"/>
      <protection hidden="1"/>
    </xf>
    <xf numFmtId="172" fontId="3" fillId="0" borderId="0" xfId="0" applyNumberFormat="1" applyFont="1" applyAlignment="1" applyProtection="1">
      <alignment horizontal="center" vertical="center"/>
      <protection locked="0" hidden="1"/>
    </xf>
    <xf numFmtId="170" fontId="3" fillId="0" borderId="0" xfId="0" applyNumberFormat="1" applyFont="1" applyAlignment="1" applyProtection="1">
      <alignment horizontal="center" vertical="center"/>
      <protection locked="0" hidden="1"/>
    </xf>
    <xf numFmtId="4" fontId="13" fillId="0" borderId="7" xfId="0" applyNumberFormat="1" applyFont="1" applyBorder="1" applyAlignment="1" applyProtection="1">
      <alignment horizontal="right" vertical="center"/>
      <protection hidden="1"/>
    </xf>
    <xf numFmtId="4" fontId="19" fillId="0" borderId="6" xfId="0" applyNumberFormat="1" applyFont="1" applyFill="1" applyBorder="1" applyAlignment="1" applyProtection="1">
      <alignment horizontal="right" vertical="center" wrapText="1"/>
      <protection hidden="1"/>
    </xf>
    <xf numFmtId="4" fontId="3" fillId="0" borderId="0" xfId="0" applyNumberFormat="1" applyFont="1" applyAlignment="1" applyProtection="1">
      <alignment horizontal="right" vertical="center"/>
      <protection hidden="1"/>
    </xf>
    <xf numFmtId="173" fontId="23" fillId="0" borderId="7" xfId="0" applyNumberFormat="1" applyFont="1" applyBorder="1" applyAlignment="1" applyProtection="1">
      <alignment horizontal="center" vertical="center"/>
      <protection locked="0" hidden="1"/>
    </xf>
    <xf numFmtId="10" fontId="2" fillId="0" borderId="13" xfId="0" applyNumberFormat="1" applyFont="1" applyBorder="1" applyAlignment="1" applyProtection="1">
      <alignment horizontal="center" vertical="center"/>
      <protection locked="0" hidden="1"/>
    </xf>
    <xf numFmtId="166" fontId="3" fillId="0" borderId="12" xfId="0" applyNumberFormat="1" applyFont="1" applyBorder="1" applyAlignment="1" applyProtection="1">
      <alignment horizontal="center" vertical="center"/>
      <protection hidden="1"/>
    </xf>
    <xf numFmtId="167" fontId="26" fillId="0" borderId="6" xfId="2" applyNumberFormat="1" applyFont="1" applyFill="1" applyBorder="1" applyAlignment="1" applyProtection="1">
      <alignment horizontal="center" vertical="center"/>
      <protection hidden="1"/>
    </xf>
    <xf numFmtId="10" fontId="26" fillId="0" borderId="6" xfId="0" applyNumberFormat="1" applyFont="1" applyBorder="1" applyAlignment="1" applyProtection="1">
      <alignment horizontal="center" vertical="center" wrapText="1"/>
      <protection hidden="1"/>
    </xf>
    <xf numFmtId="4" fontId="26" fillId="0" borderId="6" xfId="0" applyNumberFormat="1" applyFont="1" applyFill="1" applyBorder="1" applyAlignment="1" applyProtection="1">
      <alignment horizontal="center" vertical="center" wrapText="1"/>
      <protection hidden="1"/>
    </xf>
    <xf numFmtId="14" fontId="24" fillId="0" borderId="7" xfId="0" applyNumberFormat="1" applyFont="1" applyBorder="1" applyAlignment="1" applyProtection="1">
      <alignment horizontal="center" vertical="center"/>
      <protection locked="0" hidden="1"/>
    </xf>
    <xf numFmtId="10" fontId="24" fillId="0" borderId="7" xfId="0" applyNumberFormat="1" applyFont="1" applyBorder="1" applyAlignment="1" applyProtection="1">
      <alignment horizontal="center" vertical="center"/>
      <protection locked="0" hidden="1"/>
    </xf>
    <xf numFmtId="172" fontId="15" fillId="0" borderId="14" xfId="0" applyNumberFormat="1" applyFont="1" applyBorder="1" applyAlignment="1" applyProtection="1">
      <alignment horizontal="center" vertical="center"/>
      <protection hidden="1"/>
    </xf>
    <xf numFmtId="4" fontId="27" fillId="0" borderId="15" xfId="0" applyNumberFormat="1" applyFont="1" applyFill="1" applyBorder="1" applyAlignment="1" applyProtection="1">
      <alignment horizontal="right" vertical="center" wrapText="1"/>
      <protection hidden="1"/>
    </xf>
    <xf numFmtId="172" fontId="15" fillId="0" borderId="16" xfId="0" applyNumberFormat="1" applyFont="1" applyBorder="1" applyAlignment="1" applyProtection="1">
      <alignment horizontal="center" vertical="center"/>
      <protection hidden="1"/>
    </xf>
    <xf numFmtId="167" fontId="26" fillId="0" borderId="17" xfId="2" applyNumberFormat="1" applyFont="1" applyFill="1" applyBorder="1" applyAlignment="1" applyProtection="1">
      <alignment horizontal="center" vertical="center"/>
      <protection hidden="1"/>
    </xf>
    <xf numFmtId="10" fontId="26" fillId="0" borderId="17" xfId="0" applyNumberFormat="1" applyFont="1" applyBorder="1" applyAlignment="1" applyProtection="1">
      <alignment horizontal="center" vertical="center" wrapText="1"/>
      <protection hidden="1"/>
    </xf>
    <xf numFmtId="4" fontId="30" fillId="0" borderId="18" xfId="0" applyNumberFormat="1" applyFont="1" applyFill="1" applyBorder="1" applyAlignment="1" applyProtection="1">
      <alignment horizontal="right" vertical="center" wrapText="1"/>
      <protection hidden="1"/>
    </xf>
    <xf numFmtId="169" fontId="4" fillId="0" borderId="0" xfId="0" applyNumberFormat="1" applyFont="1" applyFill="1" applyBorder="1" applyAlignment="1" applyProtection="1">
      <alignment horizontal="left" vertical="center" wrapText="1"/>
      <protection hidden="1"/>
    </xf>
    <xf numFmtId="4" fontId="31" fillId="0" borderId="12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166" fontId="3" fillId="0" borderId="19" xfId="0" applyNumberFormat="1" applyFont="1" applyBorder="1" applyAlignment="1" applyProtection="1">
      <alignment horizontal="center" vertical="center"/>
      <protection hidden="1"/>
    </xf>
    <xf numFmtId="168" fontId="3" fillId="0" borderId="19" xfId="0" applyNumberFormat="1" applyFont="1" applyBorder="1" applyAlignment="1" applyProtection="1">
      <alignment horizontal="center" vertical="center"/>
      <protection hidden="1"/>
    </xf>
    <xf numFmtId="4" fontId="3" fillId="0" borderId="20" xfId="0" applyNumberFormat="1" applyFont="1" applyBorder="1" applyAlignment="1" applyProtection="1">
      <alignment horizontal="right" vertical="center"/>
      <protection hidden="1"/>
    </xf>
    <xf numFmtId="4" fontId="29" fillId="0" borderId="21" xfId="0" applyNumberFormat="1" applyFont="1" applyBorder="1" applyAlignment="1" applyProtection="1">
      <alignment horizontal="right" vertical="center"/>
      <protection hidden="1"/>
    </xf>
    <xf numFmtId="4" fontId="25" fillId="0" borderId="6" xfId="0" applyNumberFormat="1" applyFont="1" applyBorder="1" applyAlignment="1" applyProtection="1">
      <alignment horizontal="right" vertical="center"/>
      <protection hidden="1"/>
    </xf>
    <xf numFmtId="10" fontId="15" fillId="0" borderId="6" xfId="0" applyNumberFormat="1" applyFont="1" applyBorder="1" applyAlignment="1" applyProtection="1">
      <alignment horizontal="right" vertical="center"/>
      <protection hidden="1"/>
    </xf>
    <xf numFmtId="14" fontId="24" fillId="0" borderId="22" xfId="0" applyNumberFormat="1" applyFont="1" applyBorder="1" applyAlignment="1" applyProtection="1">
      <alignment horizontal="center" vertical="center"/>
      <protection hidden="1"/>
    </xf>
    <xf numFmtId="170" fontId="3" fillId="0" borderId="19" xfId="0" applyNumberFormat="1" applyFont="1" applyBorder="1" applyAlignment="1" applyProtection="1">
      <alignment horizontal="center" vertical="center"/>
      <protection hidden="1"/>
    </xf>
    <xf numFmtId="173" fontId="23" fillId="0" borderId="11" xfId="0" applyNumberFormat="1" applyFont="1" applyBorder="1" applyAlignment="1" applyProtection="1">
      <alignment horizontal="center" vertical="center"/>
      <protection hidden="1"/>
    </xf>
    <xf numFmtId="4" fontId="15" fillId="0" borderId="23" xfId="0" applyNumberFormat="1" applyFont="1" applyBorder="1" applyAlignment="1" applyProtection="1">
      <alignment horizontal="center" vertical="center"/>
      <protection hidden="1"/>
    </xf>
    <xf numFmtId="4" fontId="24" fillId="0" borderId="12" xfId="0" applyNumberFormat="1" applyFont="1" applyBorder="1" applyAlignment="1" applyProtection="1">
      <alignment horizontal="right" vertical="center"/>
      <protection hidden="1"/>
    </xf>
    <xf numFmtId="4" fontId="15" fillId="0" borderId="19" xfId="0" applyNumberFormat="1" applyFont="1" applyBorder="1" applyAlignment="1" applyProtection="1">
      <alignment vertical="center" shrinkToFit="1"/>
      <protection hidden="1"/>
    </xf>
    <xf numFmtId="4" fontId="26" fillId="0" borderId="24" xfId="0" applyNumberFormat="1" applyFont="1" applyFill="1" applyBorder="1" applyAlignment="1" applyProtection="1">
      <alignment horizontal="right" vertical="center" wrapText="1"/>
      <protection hidden="1"/>
    </xf>
    <xf numFmtId="4" fontId="26" fillId="0" borderId="24" xfId="0" applyNumberFormat="1" applyFont="1" applyFill="1" applyBorder="1" applyAlignment="1" applyProtection="1">
      <alignment horizontal="center" vertical="center" wrapText="1"/>
      <protection hidden="1"/>
    </xf>
    <xf numFmtId="4" fontId="26" fillId="3" borderId="0" xfId="0" applyNumberFormat="1" applyFont="1" applyFill="1" applyBorder="1" applyAlignment="1" applyProtection="1">
      <alignment horizontal="center" vertical="center" wrapText="1"/>
      <protection hidden="1"/>
    </xf>
    <xf numFmtId="173" fontId="24" fillId="0" borderId="25" xfId="0" applyNumberFormat="1" applyFont="1" applyBorder="1" applyAlignment="1" applyProtection="1">
      <alignment horizontal="center" vertical="center"/>
      <protection locked="0" hidden="1"/>
    </xf>
    <xf numFmtId="170" fontId="13" fillId="0" borderId="6" xfId="0" applyNumberFormat="1" applyFont="1" applyBorder="1" applyAlignment="1" applyProtection="1">
      <alignment horizontal="center" vertical="center"/>
      <protection locked="0"/>
    </xf>
    <xf numFmtId="172" fontId="13" fillId="0" borderId="6" xfId="0" applyNumberFormat="1" applyFont="1" applyBorder="1" applyAlignment="1" applyProtection="1">
      <alignment horizontal="center" vertical="center"/>
      <protection locked="0"/>
    </xf>
    <xf numFmtId="10" fontId="13" fillId="0" borderId="6" xfId="0" applyNumberFormat="1" applyFont="1" applyBorder="1" applyAlignment="1" applyProtection="1">
      <alignment horizontal="center" vertical="center"/>
      <protection locked="0"/>
    </xf>
    <xf numFmtId="0" fontId="24" fillId="3" borderId="10" xfId="0" applyFont="1" applyFill="1" applyBorder="1" applyAlignment="1" applyProtection="1">
      <alignment horizontal="center" vertical="center" wrapText="1"/>
    </xf>
    <xf numFmtId="0" fontId="24" fillId="3" borderId="26" xfId="0" applyFont="1" applyFill="1" applyBorder="1" applyAlignment="1" applyProtection="1">
      <alignment horizontal="center" vertical="center" wrapText="1"/>
    </xf>
    <xf numFmtId="4" fontId="22" fillId="0" borderId="27" xfId="0" applyNumberFormat="1" applyFont="1" applyFill="1" applyBorder="1" applyAlignment="1" applyProtection="1">
      <alignment horizontal="right" vertical="center" wrapText="1"/>
      <protection hidden="1"/>
    </xf>
    <xf numFmtId="0" fontId="0" fillId="0" borderId="0" xfId="0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horizontal="left" vertical="center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165" fontId="4" fillId="0" borderId="0" xfId="0" applyNumberFormat="1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17" fontId="4" fillId="0" borderId="0" xfId="0" applyNumberFormat="1" applyFont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hidden="1"/>
    </xf>
    <xf numFmtId="0" fontId="28" fillId="0" borderId="28" xfId="0" applyNumberFormat="1" applyFont="1" applyFill="1" applyBorder="1" applyAlignment="1" applyProtection="1">
      <alignment horizontal="left" vertical="center"/>
      <protection hidden="1"/>
    </xf>
    <xf numFmtId="0" fontId="0" fillId="0" borderId="19" xfId="0" applyBorder="1" applyAlignment="1" applyProtection="1">
      <alignment horizontal="left" vertical="center"/>
      <protection hidden="1"/>
    </xf>
    <xf numFmtId="0" fontId="9" fillId="0" borderId="0" xfId="0" applyFont="1" applyBorder="1" applyAlignment="1" applyProtection="1">
      <alignment vertical="center" wrapText="1"/>
      <protection hidden="1"/>
    </xf>
    <xf numFmtId="0" fontId="11" fillId="0" borderId="0" xfId="0" applyFont="1" applyBorder="1" applyAlignment="1" applyProtection="1">
      <alignment vertical="center" wrapText="1"/>
      <protection hidden="1"/>
    </xf>
    <xf numFmtId="0" fontId="0" fillId="0" borderId="0" xfId="0" applyBorder="1" applyAlignment="1" applyProtection="1">
      <alignment vertical="center" wrapText="1"/>
      <protection hidden="1"/>
    </xf>
    <xf numFmtId="0" fontId="0" fillId="0" borderId="0" xfId="0" applyAlignment="1" applyProtection="1">
      <alignment vertical="center" wrapText="1"/>
      <protection hidden="1"/>
    </xf>
    <xf numFmtId="171" fontId="13" fillId="0" borderId="26" xfId="0" applyNumberFormat="1" applyFont="1" applyFill="1" applyBorder="1" applyProtection="1"/>
    <xf numFmtId="0" fontId="4" fillId="3" borderId="0" xfId="0" applyFont="1" applyFill="1" applyBorder="1" applyAlignment="1" applyProtection="1">
      <alignment horizontal="left" vertical="center"/>
      <protection hidden="1"/>
    </xf>
    <xf numFmtId="172" fontId="28" fillId="0" borderId="6" xfId="0" applyNumberFormat="1" applyFont="1" applyBorder="1" applyAlignment="1" applyProtection="1">
      <alignment horizontal="center" vertical="center"/>
      <protection locked="0"/>
    </xf>
    <xf numFmtId="14" fontId="15" fillId="0" borderId="6" xfId="0" applyNumberFormat="1" applyFont="1" applyBorder="1" applyAlignment="1" applyProtection="1">
      <alignment horizontal="center" vertical="center"/>
      <protection locked="0"/>
    </xf>
    <xf numFmtId="4" fontId="15" fillId="0" borderId="6" xfId="0" applyNumberFormat="1" applyFont="1" applyBorder="1" applyAlignment="1" applyProtection="1">
      <alignment horizontal="center" vertical="center"/>
      <protection locked="0"/>
    </xf>
    <xf numFmtId="10" fontId="24" fillId="0" borderId="12" xfId="0" applyNumberFormat="1" applyFont="1" applyBorder="1" applyAlignment="1" applyProtection="1">
      <alignment horizontal="center" vertical="center"/>
      <protection locked="0"/>
    </xf>
    <xf numFmtId="10" fontId="24" fillId="0" borderId="6" xfId="0" applyNumberFormat="1" applyFont="1" applyBorder="1" applyAlignment="1" applyProtection="1">
      <alignment horizontal="center" vertical="center"/>
      <protection locked="0"/>
    </xf>
    <xf numFmtId="4" fontId="24" fillId="0" borderId="13" xfId="0" applyNumberFormat="1" applyFont="1" applyBorder="1" applyAlignment="1" applyProtection="1">
      <alignment horizontal="right" vertical="center"/>
      <protection locked="0"/>
    </xf>
    <xf numFmtId="173" fontId="3" fillId="0" borderId="6" xfId="0" applyNumberFormat="1" applyFont="1" applyBorder="1" applyAlignment="1" applyProtection="1">
      <alignment horizontal="center" vertical="center"/>
      <protection locked="0"/>
    </xf>
    <xf numFmtId="4" fontId="3" fillId="0" borderId="6" xfId="0" applyNumberFormat="1" applyFont="1" applyBorder="1" applyAlignment="1" applyProtection="1">
      <alignment horizontal="center" vertical="center"/>
      <protection locked="0"/>
    </xf>
    <xf numFmtId="171" fontId="3" fillId="0" borderId="6" xfId="0" applyNumberFormat="1" applyFont="1" applyBorder="1" applyProtection="1"/>
    <xf numFmtId="4" fontId="13" fillId="0" borderId="6" xfId="0" applyNumberFormat="1" applyFont="1" applyBorder="1" applyAlignment="1" applyProtection="1">
      <alignment horizontal="center" vertical="center"/>
      <protection locked="0"/>
    </xf>
    <xf numFmtId="171" fontId="3" fillId="0" borderId="9" xfId="0" applyNumberFormat="1" applyFont="1" applyBorder="1" applyProtection="1"/>
    <xf numFmtId="171" fontId="13" fillId="0" borderId="0" xfId="0" applyNumberFormat="1" applyFont="1" applyProtection="1"/>
    <xf numFmtId="171" fontId="13" fillId="0" borderId="0" xfId="0" applyNumberFormat="1" applyFont="1"/>
    <xf numFmtId="14" fontId="13" fillId="0" borderId="29" xfId="0" applyNumberFormat="1" applyFont="1" applyBorder="1" applyAlignment="1" applyProtection="1">
      <alignment horizontal="center"/>
      <protection locked="0"/>
    </xf>
    <xf numFmtId="14" fontId="15" fillId="0" borderId="29" xfId="0" applyNumberFormat="1" applyFont="1" applyBorder="1" applyAlignment="1" applyProtection="1">
      <alignment horizontal="center"/>
      <protection locked="0"/>
    </xf>
    <xf numFmtId="0" fontId="11" fillId="0" borderId="29" xfId="0" applyFont="1" applyBorder="1" applyAlignment="1" applyProtection="1">
      <alignment horizontal="center"/>
      <protection locked="0"/>
    </xf>
    <xf numFmtId="167" fontId="18" fillId="0" borderId="7" xfId="2" applyNumberFormat="1" applyFont="1" applyFill="1" applyBorder="1" applyAlignment="1" applyProtection="1">
      <alignment horizontal="center" vertical="center"/>
      <protection hidden="1"/>
    </xf>
    <xf numFmtId="4" fontId="22" fillId="0" borderId="26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center"/>
    </xf>
    <xf numFmtId="0" fontId="3" fillId="0" borderId="0" xfId="0" applyFont="1"/>
    <xf numFmtId="4" fontId="38" fillId="0" borderId="29" xfId="0" applyNumberFormat="1" applyFont="1" applyBorder="1" applyAlignment="1" applyProtection="1">
      <alignment horizontal="center"/>
      <protection locked="0"/>
    </xf>
    <xf numFmtId="0" fontId="41" fillId="0" borderId="0" xfId="0" applyFont="1"/>
    <xf numFmtId="4" fontId="28" fillId="0" borderId="20" xfId="0" applyNumberFormat="1" applyFont="1" applyBorder="1" applyAlignment="1" applyProtection="1">
      <alignment horizontal="center"/>
      <protection locked="0"/>
    </xf>
    <xf numFmtId="0" fontId="28" fillId="0" borderId="29" xfId="0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14" fontId="11" fillId="0" borderId="6" xfId="1" applyNumberFormat="1" applyFont="1" applyBorder="1" applyAlignment="1" applyProtection="1">
      <protection locked="0"/>
    </xf>
    <xf numFmtId="2" fontId="11" fillId="0" borderId="6" xfId="1" applyNumberFormat="1" applyFont="1" applyBorder="1" applyAlignment="1" applyProtection="1">
      <alignment horizontal="center"/>
      <protection locked="0"/>
    </xf>
    <xf numFmtId="4" fontId="39" fillId="0" borderId="20" xfId="0" applyNumberFormat="1" applyFont="1" applyBorder="1" applyAlignment="1" applyProtection="1">
      <alignment horizontal="center"/>
      <protection locked="0"/>
    </xf>
    <xf numFmtId="0" fontId="11" fillId="0" borderId="6" xfId="1" applyFont="1" applyBorder="1" applyAlignment="1" applyProtection="1">
      <alignment horizontal="center"/>
      <protection locked="0"/>
    </xf>
    <xf numFmtId="165" fontId="4" fillId="0" borderId="0" xfId="0" applyNumberFormat="1" applyFont="1" applyBorder="1" applyAlignment="1" applyProtection="1">
      <alignment horizontal="center" vertical="center" wrapText="1"/>
      <protection hidden="1"/>
    </xf>
    <xf numFmtId="0" fontId="15" fillId="0" borderId="30" xfId="0" applyFont="1" applyBorder="1" applyAlignment="1" applyProtection="1">
      <alignment horizontal="center" vertical="center"/>
      <protection hidden="1"/>
    </xf>
    <xf numFmtId="0" fontId="15" fillId="0" borderId="31" xfId="0" applyFont="1" applyBorder="1" applyAlignment="1" applyProtection="1">
      <alignment horizontal="center" vertical="center"/>
      <protection hidden="1"/>
    </xf>
    <xf numFmtId="0" fontId="15" fillId="0" borderId="32" xfId="0" applyFont="1" applyBorder="1" applyAlignment="1" applyProtection="1">
      <alignment horizontal="center" vertical="center"/>
      <protection hidden="1"/>
    </xf>
    <xf numFmtId="0" fontId="15" fillId="0" borderId="33" xfId="0" applyFont="1" applyBorder="1" applyAlignment="1" applyProtection="1">
      <alignment horizontal="center" vertical="center"/>
      <protection hidden="1"/>
    </xf>
    <xf numFmtId="172" fontId="24" fillId="0" borderId="34" xfId="0" applyNumberFormat="1" applyFont="1" applyBorder="1" applyAlignment="1" applyProtection="1">
      <alignment horizontal="center" vertical="center"/>
      <protection hidden="1"/>
    </xf>
    <xf numFmtId="0" fontId="15" fillId="0" borderId="26" xfId="0" applyFont="1" applyBorder="1" applyAlignment="1" applyProtection="1">
      <alignment horizontal="center" vertical="center"/>
      <protection hidden="1"/>
    </xf>
    <xf numFmtId="0" fontId="15" fillId="0" borderId="12" xfId="0" applyFont="1" applyBorder="1" applyAlignment="1" applyProtection="1">
      <alignment horizontal="center" vertical="center"/>
      <protection hidden="1"/>
    </xf>
    <xf numFmtId="0" fontId="24" fillId="0" borderId="35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horizontal="left" vertical="center"/>
      <protection hidden="1"/>
    </xf>
    <xf numFmtId="172" fontId="15" fillId="0" borderId="36" xfId="0" applyNumberFormat="1" applyFont="1" applyBorder="1" applyAlignment="1" applyProtection="1">
      <alignment horizontal="left" vertical="center"/>
      <protection hidden="1"/>
    </xf>
    <xf numFmtId="0" fontId="15" fillId="0" borderId="37" xfId="0" applyFont="1" applyBorder="1" applyAlignment="1" applyProtection="1">
      <alignment vertical="center"/>
      <protection hidden="1"/>
    </xf>
    <xf numFmtId="0" fontId="15" fillId="0" borderId="38" xfId="0" applyFont="1" applyBorder="1" applyAlignment="1" applyProtection="1">
      <alignment vertical="center"/>
      <protection hidden="1"/>
    </xf>
    <xf numFmtId="4" fontId="25" fillId="0" borderId="39" xfId="0" applyNumberFormat="1" applyFont="1" applyFill="1" applyBorder="1" applyAlignment="1" applyProtection="1">
      <alignment horizontal="center" vertical="center" wrapText="1"/>
      <protection hidden="1"/>
    </xf>
    <xf numFmtId="4" fontId="25" fillId="0" borderId="21" xfId="0" applyNumberFormat="1" applyFont="1" applyFill="1" applyBorder="1" applyAlignment="1" applyProtection="1">
      <alignment horizontal="center" vertical="center" wrapText="1"/>
      <protection hidden="1"/>
    </xf>
    <xf numFmtId="4" fontId="25" fillId="0" borderId="40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Border="1" applyAlignment="1" applyProtection="1">
      <alignment horizontal="left" vertical="center"/>
      <protection locked="0"/>
    </xf>
    <xf numFmtId="0" fontId="15" fillId="0" borderId="0" xfId="0" applyFont="1" applyBorder="1" applyAlignment="1" applyProtection="1">
      <alignment vertical="center"/>
      <protection locked="0"/>
    </xf>
    <xf numFmtId="0" fontId="15" fillId="0" borderId="41" xfId="0" applyFont="1" applyBorder="1" applyAlignment="1" applyProtection="1">
      <alignment vertical="center"/>
      <protection locked="0"/>
    </xf>
    <xf numFmtId="0" fontId="24" fillId="0" borderId="33" xfId="0" applyFont="1" applyBorder="1" applyAlignment="1" applyProtection="1">
      <alignment horizontal="left" vertical="center"/>
      <protection locked="0"/>
    </xf>
    <xf numFmtId="0" fontId="15" fillId="0" borderId="33" xfId="0" applyFont="1" applyBorder="1" applyAlignment="1" applyProtection="1">
      <alignment vertical="center"/>
      <protection locked="0"/>
    </xf>
    <xf numFmtId="0" fontId="15" fillId="0" borderId="42" xfId="0" applyFont="1" applyBorder="1" applyAlignment="1" applyProtection="1">
      <alignment vertical="center"/>
      <protection locked="0"/>
    </xf>
    <xf numFmtId="49" fontId="20" fillId="0" borderId="43" xfId="0" applyNumberFormat="1" applyFont="1" applyBorder="1" applyAlignment="1" applyProtection="1">
      <alignment horizontal="center" vertical="center"/>
      <protection hidden="1"/>
    </xf>
    <xf numFmtId="49" fontId="20" fillId="0" borderId="22" xfId="0" applyNumberFormat="1" applyFont="1" applyBorder="1" applyAlignment="1" applyProtection="1">
      <alignment horizontal="center" vertical="center"/>
      <protection hidden="1"/>
    </xf>
    <xf numFmtId="0" fontId="34" fillId="0" borderId="22" xfId="0" applyFont="1" applyBorder="1" applyAlignment="1" applyProtection="1">
      <alignment horizontal="center" vertical="center"/>
      <protection hidden="1"/>
    </xf>
    <xf numFmtId="0" fontId="34" fillId="0" borderId="44" xfId="0" applyFont="1" applyBorder="1" applyAlignment="1" applyProtection="1">
      <alignment horizontal="center" vertical="center"/>
      <protection hidden="1"/>
    </xf>
    <xf numFmtId="0" fontId="4" fillId="0" borderId="0" xfId="0" applyNumberFormat="1" applyFont="1" applyFill="1" applyBorder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Border="1" applyAlignment="1" applyProtection="1">
      <alignment horizontal="left" vertical="center"/>
      <protection hidden="1"/>
    </xf>
    <xf numFmtId="172" fontId="24" fillId="0" borderId="45" xfId="0" applyNumberFormat="1" applyFont="1" applyBorder="1" applyAlignment="1" applyProtection="1">
      <alignment horizontal="center" vertical="center"/>
      <protection hidden="1"/>
    </xf>
    <xf numFmtId="0" fontId="15" fillId="0" borderId="46" xfId="0" applyFont="1" applyBorder="1" applyAlignment="1" applyProtection="1">
      <alignment horizontal="center" vertical="center"/>
      <protection hidden="1"/>
    </xf>
    <xf numFmtId="0" fontId="15" fillId="0" borderId="47" xfId="0" applyFont="1" applyBorder="1" applyAlignment="1" applyProtection="1">
      <alignment horizontal="center" vertical="center"/>
      <protection hidden="1"/>
    </xf>
    <xf numFmtId="172" fontId="24" fillId="0" borderId="48" xfId="0" applyNumberFormat="1" applyFont="1" applyBorder="1" applyAlignment="1" applyProtection="1">
      <alignment horizontal="center" vertical="center" wrapText="1"/>
      <protection hidden="1"/>
    </xf>
    <xf numFmtId="0" fontId="15" fillId="0" borderId="10" xfId="0" applyFont="1" applyBorder="1" applyAlignment="1" applyProtection="1">
      <alignment horizontal="center" vertical="center"/>
      <protection hidden="1"/>
    </xf>
    <xf numFmtId="0" fontId="15" fillId="0" borderId="49" xfId="0" applyFont="1" applyBorder="1" applyAlignment="1" applyProtection="1">
      <alignment horizontal="center" vertical="center"/>
      <protection hidden="1"/>
    </xf>
    <xf numFmtId="4" fontId="25" fillId="0" borderId="34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26" xfId="0" applyFont="1" applyBorder="1" applyAlignment="1" applyProtection="1">
      <alignment horizontal="center" vertical="center" wrapText="1"/>
      <protection hidden="1"/>
    </xf>
    <xf numFmtId="0" fontId="24" fillId="0" borderId="34" xfId="0" applyFont="1" applyBorder="1" applyAlignment="1" applyProtection="1">
      <alignment horizontal="center" vertical="center" wrapText="1"/>
      <protection hidden="1"/>
    </xf>
    <xf numFmtId="0" fontId="24" fillId="0" borderId="12" xfId="0" applyFont="1" applyBorder="1" applyAlignment="1" applyProtection="1">
      <alignment horizontal="center" vertical="center" wrapText="1"/>
      <protection hidden="1"/>
    </xf>
    <xf numFmtId="168" fontId="25" fillId="0" borderId="50" xfId="0" applyNumberFormat="1" applyFont="1" applyFill="1" applyBorder="1" applyAlignment="1" applyProtection="1">
      <alignment horizontal="center" vertical="center" wrapText="1"/>
      <protection hidden="1"/>
    </xf>
    <xf numFmtId="168" fontId="25" fillId="0" borderId="6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51" xfId="0" applyFont="1" applyBorder="1" applyAlignment="1" applyProtection="1">
      <alignment horizontal="left"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25" fillId="0" borderId="26" xfId="0" applyFont="1" applyFill="1" applyBorder="1" applyAlignment="1" applyProtection="1">
      <alignment horizontal="center" vertical="center" wrapText="1"/>
      <protection hidden="1"/>
    </xf>
    <xf numFmtId="0" fontId="15" fillId="0" borderId="12" xfId="0" applyFont="1" applyBorder="1" applyAlignment="1" applyProtection="1">
      <alignment horizontal="center" vertical="center" wrapText="1"/>
      <protection hidden="1"/>
    </xf>
    <xf numFmtId="0" fontId="24" fillId="0" borderId="26" xfId="0" applyFont="1" applyFill="1" applyBorder="1" applyAlignment="1" applyProtection="1">
      <alignment horizontal="center" vertical="center" wrapText="1"/>
      <protection hidden="1"/>
    </xf>
    <xf numFmtId="4" fontId="24" fillId="0" borderId="52" xfId="0" applyNumberFormat="1" applyFont="1" applyBorder="1" applyAlignment="1" applyProtection="1">
      <alignment horizontal="right" vertical="center"/>
      <protection hidden="1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15" fillId="0" borderId="28" xfId="0" applyFont="1" applyBorder="1" applyAlignment="1" applyProtection="1">
      <alignment horizontal="center" vertical="center"/>
      <protection hidden="1"/>
    </xf>
    <xf numFmtId="0" fontId="0" fillId="0" borderId="19" xfId="0" applyBorder="1" applyAlignment="1">
      <alignment vertical="center"/>
    </xf>
    <xf numFmtId="0" fontId="24" fillId="0" borderId="50" xfId="0" applyFont="1" applyBorder="1" applyAlignment="1" applyProtection="1">
      <alignment horizontal="center" vertical="center" wrapText="1"/>
      <protection hidden="1"/>
    </xf>
    <xf numFmtId="0" fontId="10" fillId="0" borderId="0" xfId="0" applyFont="1" applyBorder="1" applyAlignment="1" applyProtection="1">
      <alignment horizontal="left" vertical="center" wrapText="1"/>
      <protection hidden="1"/>
    </xf>
    <xf numFmtId="0" fontId="32" fillId="0" borderId="0" xfId="0" applyFont="1" applyBorder="1" applyAlignment="1" applyProtection="1">
      <alignment horizontal="left" vertical="center" wrapText="1"/>
      <protection hidden="1"/>
    </xf>
    <xf numFmtId="0" fontId="2" fillId="2" borderId="28" xfId="0" applyFont="1" applyFill="1" applyBorder="1" applyAlignment="1" applyProtection="1">
      <alignment horizontal="center" vertical="center"/>
    </xf>
    <xf numFmtId="0" fontId="3" fillId="2" borderId="19" xfId="0" applyFont="1" applyFill="1" applyBorder="1" applyAlignment="1" applyProtection="1">
      <alignment vertical="center"/>
    </xf>
    <xf numFmtId="0" fontId="3" fillId="2" borderId="20" xfId="0" applyFont="1" applyFill="1" applyBorder="1" applyAlignment="1" applyProtection="1">
      <alignment vertical="center"/>
    </xf>
    <xf numFmtId="0" fontId="24" fillId="3" borderId="55" xfId="0" applyFont="1" applyFill="1" applyBorder="1" applyAlignment="1" applyProtection="1">
      <alignment horizontal="center" vertical="center" wrapText="1"/>
    </xf>
    <xf numFmtId="0" fontId="15" fillId="3" borderId="56" xfId="0" applyFont="1" applyFill="1" applyBorder="1" applyAlignment="1" applyProtection="1">
      <alignment horizontal="center" vertical="center"/>
    </xf>
    <xf numFmtId="0" fontId="24" fillId="3" borderId="26" xfId="0" applyFont="1" applyFill="1" applyBorder="1" applyAlignment="1" applyProtection="1">
      <alignment horizontal="center" vertical="center" wrapText="1"/>
    </xf>
    <xf numFmtId="0" fontId="15" fillId="3" borderId="21" xfId="0" applyFont="1" applyFill="1" applyBorder="1" applyAlignment="1" applyProtection="1">
      <alignment horizontal="center" vertical="center" wrapText="1"/>
    </xf>
    <xf numFmtId="170" fontId="2" fillId="0" borderId="6" xfId="0" applyNumberFormat="1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vertical="center"/>
    </xf>
    <xf numFmtId="0" fontId="13" fillId="0" borderId="43" xfId="0" applyFont="1" applyBorder="1" applyAlignment="1" applyProtection="1">
      <alignment horizontal="right" vertical="center"/>
    </xf>
    <xf numFmtId="0" fontId="13" fillId="0" borderId="22" xfId="0" applyFont="1" applyBorder="1" applyAlignment="1" applyProtection="1">
      <alignment vertical="center"/>
    </xf>
    <xf numFmtId="0" fontId="13" fillId="0" borderId="57" xfId="0" applyFont="1" applyBorder="1" applyAlignment="1" applyProtection="1">
      <alignment vertical="center"/>
    </xf>
    <xf numFmtId="170" fontId="13" fillId="0" borderId="58" xfId="0" applyNumberFormat="1" applyFont="1" applyBorder="1" applyAlignment="1" applyProtection="1">
      <alignment horizontal="center" vertical="center"/>
    </xf>
    <xf numFmtId="0" fontId="13" fillId="0" borderId="44" xfId="0" applyFont="1" applyBorder="1" applyAlignment="1" applyProtection="1">
      <alignment horizontal="center" vertical="center"/>
    </xf>
    <xf numFmtId="0" fontId="24" fillId="0" borderId="35" xfId="0" applyFont="1" applyBorder="1" applyAlignment="1" applyProtection="1">
      <alignment horizontal="right" vertical="center"/>
      <protection hidden="1"/>
    </xf>
    <xf numFmtId="0" fontId="24" fillId="0" borderId="11" xfId="0" applyFont="1" applyBorder="1" applyAlignment="1" applyProtection="1">
      <alignment horizontal="right" vertical="center"/>
      <protection hidden="1"/>
    </xf>
    <xf numFmtId="0" fontId="24" fillId="3" borderId="10" xfId="0" applyFont="1" applyFill="1" applyBorder="1" applyAlignment="1" applyProtection="1">
      <alignment horizontal="center" vertical="center" wrapText="1"/>
    </xf>
    <xf numFmtId="170" fontId="13" fillId="0" borderId="6" xfId="0" applyNumberFormat="1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170" fontId="2" fillId="0" borderId="58" xfId="0" applyNumberFormat="1" applyFont="1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</xf>
    <xf numFmtId="0" fontId="28" fillId="0" borderId="28" xfId="0" applyNumberFormat="1" applyFont="1" applyFill="1" applyBorder="1" applyAlignment="1" applyProtection="1">
      <alignment horizontal="left" vertical="center"/>
      <protection hidden="1"/>
    </xf>
    <xf numFmtId="0" fontId="0" fillId="0" borderId="20" xfId="0" applyBorder="1" applyAlignment="1">
      <alignment vertical="center"/>
    </xf>
    <xf numFmtId="0" fontId="24" fillId="0" borderId="43" xfId="0" applyFont="1" applyBorder="1" applyAlignment="1" applyProtection="1">
      <alignment horizontal="right" vertical="center"/>
      <protection hidden="1"/>
    </xf>
    <xf numFmtId="0" fontId="15" fillId="0" borderId="22" xfId="0" applyFont="1" applyBorder="1" applyAlignment="1" applyProtection="1">
      <alignment horizontal="right" vertical="center"/>
      <protection hidden="1"/>
    </xf>
    <xf numFmtId="170" fontId="2" fillId="0" borderId="58" xfId="0" applyNumberFormat="1" applyFont="1" applyBorder="1" applyAlignment="1" applyProtection="1">
      <alignment horizontal="center" vertical="center"/>
      <protection hidden="1"/>
    </xf>
    <xf numFmtId="0" fontId="3" fillId="0" borderId="44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165" fontId="4" fillId="0" borderId="0" xfId="0" applyNumberFormat="1" applyFont="1" applyBorder="1" applyAlignment="1" applyProtection="1">
      <alignment horizontal="center" vertical="top" wrapText="1"/>
      <protection hidden="1"/>
    </xf>
    <xf numFmtId="49" fontId="20" fillId="0" borderId="51" xfId="0" applyNumberFormat="1" applyFont="1" applyBorder="1" applyAlignment="1" applyProtection="1">
      <alignment horizontal="center" vertical="center"/>
      <protection hidden="1"/>
    </xf>
    <xf numFmtId="0" fontId="21" fillId="0" borderId="11" xfId="0" applyFont="1" applyBorder="1" applyAlignment="1" applyProtection="1">
      <alignment horizontal="center" vertical="center"/>
      <protection hidden="1"/>
    </xf>
    <xf numFmtId="0" fontId="21" fillId="0" borderId="7" xfId="0" applyFont="1" applyBorder="1" applyAlignment="1" applyProtection="1">
      <alignment horizontal="center" vertical="center"/>
      <protection hidden="1"/>
    </xf>
    <xf numFmtId="0" fontId="4" fillId="0" borderId="10" xfId="0" applyNumberFormat="1" applyFont="1" applyFill="1" applyBorder="1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0" xfId="0" applyBorder="1" applyAlignment="1" applyProtection="1">
      <alignment horizontal="left"/>
      <protection hidden="1"/>
    </xf>
    <xf numFmtId="0" fontId="12" fillId="0" borderId="51" xfId="0" applyFont="1" applyBorder="1" applyAlignment="1" applyProtection="1">
      <alignment horizontal="center" vertical="center"/>
      <protection hidden="1"/>
    </xf>
    <xf numFmtId="0" fontId="13" fillId="0" borderId="11" xfId="0" applyFont="1" applyBorder="1" applyAlignment="1" applyProtection="1">
      <alignment horizontal="center" vertical="center"/>
      <protection hidden="1"/>
    </xf>
    <xf numFmtId="172" fontId="12" fillId="0" borderId="13" xfId="0" applyNumberFormat="1" applyFont="1" applyBorder="1" applyAlignment="1" applyProtection="1">
      <alignment horizontal="center" vertical="center"/>
      <protection hidden="1"/>
    </xf>
    <xf numFmtId="0" fontId="13" fillId="0" borderId="26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center" vertical="center"/>
      <protection hidden="1"/>
    </xf>
    <xf numFmtId="172" fontId="12" fillId="0" borderId="59" xfId="0" applyNumberFormat="1" applyFont="1" applyBorder="1" applyAlignment="1" applyProtection="1">
      <alignment horizontal="center" vertical="center" wrapText="1"/>
      <protection hidden="1"/>
    </xf>
    <xf numFmtId="0" fontId="13" fillId="0" borderId="10" xfId="0" applyFont="1" applyBorder="1" applyAlignment="1" applyProtection="1">
      <alignment horizontal="center" vertical="center"/>
      <protection hidden="1"/>
    </xf>
    <xf numFmtId="4" fontId="5" fillId="0" borderId="13" xfId="0" applyNumberFormat="1" applyFont="1" applyFill="1" applyBorder="1" applyAlignment="1" applyProtection="1">
      <alignment horizontal="center" vertical="center" wrapText="1"/>
      <protection hidden="1"/>
    </xf>
    <xf numFmtId="0" fontId="12" fillId="0" borderId="26" xfId="0" applyFont="1" applyBorder="1" applyAlignment="1" applyProtection="1">
      <alignment horizont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168" fontId="5" fillId="0" borderId="6" xfId="0" applyNumberFormat="1" applyFont="1" applyFill="1" applyBorder="1" applyAlignment="1" applyProtection="1">
      <alignment horizontal="center" vertical="center" wrapText="1"/>
      <protection hidden="1"/>
    </xf>
    <xf numFmtId="4" fontId="5" fillId="0" borderId="26" xfId="0" applyNumberFormat="1" applyFont="1" applyFill="1" applyBorder="1" applyAlignment="1" applyProtection="1">
      <alignment horizontal="center" vertical="center" wrapText="1"/>
      <protection hidden="1"/>
    </xf>
    <xf numFmtId="4" fontId="5" fillId="0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26" xfId="0" applyFont="1" applyFill="1" applyBorder="1" applyAlignment="1" applyProtection="1">
      <alignment horizontal="center" vertical="center" wrapText="1"/>
      <protection hidden="1"/>
    </xf>
    <xf numFmtId="0" fontId="0" fillId="0" borderId="12" xfId="0" applyBorder="1" applyAlignment="1">
      <alignment horizontal="center" wrapText="1"/>
    </xf>
    <xf numFmtId="0" fontId="12" fillId="0" borderId="26" xfId="0" applyFont="1" applyFill="1" applyBorder="1" applyAlignment="1" applyProtection="1">
      <alignment horizontal="center" vertical="center" wrapText="1"/>
      <protection hidden="1"/>
    </xf>
    <xf numFmtId="0" fontId="0" fillId="0" borderId="12" xfId="0" applyBorder="1" applyAlignment="1">
      <alignment horizontal="center" vertical="center" wrapText="1"/>
    </xf>
    <xf numFmtId="169" fontId="4" fillId="0" borderId="10" xfId="0" applyNumberFormat="1" applyFont="1" applyFill="1" applyBorder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10" xfId="0" applyFont="1" applyBorder="1" applyAlignment="1" applyProtection="1">
      <alignment horizontal="left"/>
      <protection hidden="1"/>
    </xf>
    <xf numFmtId="0" fontId="0" fillId="0" borderId="12" xfId="0" applyBorder="1" applyAlignment="1" applyProtection="1">
      <alignment horizontal="center" wrapText="1"/>
      <protection hidden="1"/>
    </xf>
    <xf numFmtId="0" fontId="0" fillId="0" borderId="12" xfId="0" applyBorder="1" applyAlignment="1" applyProtection="1">
      <alignment horizontal="center" vertical="center" wrapText="1"/>
      <protection hidden="1"/>
    </xf>
    <xf numFmtId="172" fontId="35" fillId="0" borderId="13" xfId="0" applyNumberFormat="1" applyFont="1" applyBorder="1" applyAlignment="1" applyProtection="1">
      <alignment horizontal="center" vertical="center" wrapText="1"/>
      <protection hidden="1"/>
    </xf>
    <xf numFmtId="0" fontId="35" fillId="0" borderId="12" xfId="0" applyFont="1" applyBorder="1" applyAlignment="1" applyProtection="1">
      <alignment horizontal="center" vertical="center"/>
      <protection hidden="1"/>
    </xf>
    <xf numFmtId="172" fontId="24" fillId="0" borderId="59" xfId="0" applyNumberFormat="1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9" fillId="0" borderId="60" xfId="0" applyFont="1" applyBorder="1" applyAlignment="1" applyProtection="1">
      <alignment vertical="top" wrapText="1"/>
    </xf>
    <xf numFmtId="0" fontId="9" fillId="0" borderId="61" xfId="0" applyFont="1" applyBorder="1" applyAlignment="1" applyProtection="1">
      <alignment vertical="top" wrapText="1"/>
    </xf>
    <xf numFmtId="0" fontId="11" fillId="0" borderId="0" xfId="0" applyFont="1" applyAlignment="1" applyProtection="1">
      <alignment wrapText="1"/>
    </xf>
    <xf numFmtId="0" fontId="11" fillId="0" borderId="62" xfId="0" applyFont="1" applyBorder="1" applyAlignment="1" applyProtection="1">
      <alignment wrapText="1"/>
    </xf>
    <xf numFmtId="0" fontId="11" fillId="0" borderId="0" xfId="0" applyFont="1" applyBorder="1" applyAlignment="1" applyProtection="1">
      <alignment wrapText="1"/>
    </xf>
    <xf numFmtId="0" fontId="0" fillId="0" borderId="63" xfId="0" applyBorder="1" applyAlignment="1" applyProtection="1">
      <alignment wrapText="1"/>
    </xf>
    <xf numFmtId="0" fontId="0" fillId="0" borderId="64" xfId="0" applyBorder="1" applyAlignment="1" applyProtection="1">
      <alignment wrapText="1"/>
    </xf>
  </cellXfs>
  <cellStyles count="3">
    <cellStyle name="Normal" xfId="0" builtinId="0"/>
    <cellStyle name="Normal_Plan1" xfId="1" xr:uid="{00000000-0005-0000-0000-000002000000}"/>
    <cellStyle name="Vírgula" xfId="2" builtinId="3"/>
  </cellStyles>
  <dxfs count="21"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u/>
        <color indexed="8"/>
      </font>
    </dxf>
    <dxf>
      <font>
        <b/>
        <i val="0"/>
        <condense val="0"/>
        <extend val="0"/>
        <u/>
        <color indexed="8"/>
      </font>
    </dxf>
    <dxf>
      <font>
        <b/>
        <i val="0"/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u/>
        <color indexed="8"/>
      </font>
    </dxf>
    <dxf>
      <font>
        <b/>
        <i val="0"/>
        <condense val="0"/>
        <extend val="0"/>
        <u/>
        <color indexed="8"/>
      </font>
    </dxf>
    <dxf>
      <font>
        <b/>
        <i val="0"/>
        <condense val="0"/>
        <extend val="0"/>
        <color indexed="9"/>
      </font>
    </dxf>
    <dxf>
      <font>
        <condense val="0"/>
        <extend val="0"/>
        <color indexed="8"/>
      </font>
    </dxf>
    <dxf>
      <font>
        <b/>
        <i val="0"/>
        <condense val="0"/>
        <extend val="0"/>
        <u/>
        <color indexed="8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u/>
        <color indexed="8"/>
      </font>
    </dxf>
    <dxf>
      <font>
        <b/>
        <i val="0"/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 /><Relationship Id="rId3" Type="http://schemas.openxmlformats.org/officeDocument/2006/relationships/printerSettings" Target="../printerSettings/printerSettings3.bin" /><Relationship Id="rId7" Type="http://schemas.openxmlformats.org/officeDocument/2006/relationships/printerSettings" Target="../printerSettings/printerSettings7.bin" /><Relationship Id="rId2" Type="http://schemas.openxmlformats.org/officeDocument/2006/relationships/printerSettings" Target="../printerSettings/printerSettings2.bin" /><Relationship Id="rId1" Type="http://schemas.openxmlformats.org/officeDocument/2006/relationships/printerSettings" Target="../printerSettings/printerSettings1.bin" /><Relationship Id="rId6" Type="http://schemas.openxmlformats.org/officeDocument/2006/relationships/printerSettings" Target="../printerSettings/printerSettings6.bin" /><Relationship Id="rId11" Type="http://schemas.openxmlformats.org/officeDocument/2006/relationships/comments" Target="../comments1.xml" /><Relationship Id="rId5" Type="http://schemas.openxmlformats.org/officeDocument/2006/relationships/printerSettings" Target="../printerSettings/printerSettings5.bin" /><Relationship Id="rId10" Type="http://schemas.openxmlformats.org/officeDocument/2006/relationships/vmlDrawing" Target="../drawings/vmlDrawing1.vml" /><Relationship Id="rId4" Type="http://schemas.openxmlformats.org/officeDocument/2006/relationships/printerSettings" Target="../printerSettings/printerSettings4.bin" /><Relationship Id="rId9" Type="http://schemas.openxmlformats.org/officeDocument/2006/relationships/printerSettings" Target="../printerSettings/printerSettings9.bin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.bin" /><Relationship Id="rId3" Type="http://schemas.openxmlformats.org/officeDocument/2006/relationships/printerSettings" Target="../printerSettings/printerSettings12.bin" /><Relationship Id="rId7" Type="http://schemas.openxmlformats.org/officeDocument/2006/relationships/printerSettings" Target="../printerSettings/printerSettings16.bin" /><Relationship Id="rId2" Type="http://schemas.openxmlformats.org/officeDocument/2006/relationships/printerSettings" Target="../printerSettings/printerSettings11.bin" /><Relationship Id="rId1" Type="http://schemas.openxmlformats.org/officeDocument/2006/relationships/printerSettings" Target="../printerSettings/printerSettings10.bin" /><Relationship Id="rId6" Type="http://schemas.openxmlformats.org/officeDocument/2006/relationships/printerSettings" Target="../printerSettings/printerSettings15.bin" /><Relationship Id="rId5" Type="http://schemas.openxmlformats.org/officeDocument/2006/relationships/printerSettings" Target="../printerSettings/printerSettings14.bin" /><Relationship Id="rId10" Type="http://schemas.openxmlformats.org/officeDocument/2006/relationships/comments" Target="../comments2.xml" /><Relationship Id="rId4" Type="http://schemas.openxmlformats.org/officeDocument/2006/relationships/printerSettings" Target="../printerSettings/printerSettings13.bin" /><Relationship Id="rId9" Type="http://schemas.openxmlformats.org/officeDocument/2006/relationships/vmlDrawing" Target="../drawings/vmlDrawing2.vm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.bin" /><Relationship Id="rId3" Type="http://schemas.openxmlformats.org/officeDocument/2006/relationships/printerSettings" Target="../printerSettings/printerSettings20.bin" /><Relationship Id="rId7" Type="http://schemas.openxmlformats.org/officeDocument/2006/relationships/printerSettings" Target="../printerSettings/printerSettings24.bin" /><Relationship Id="rId2" Type="http://schemas.openxmlformats.org/officeDocument/2006/relationships/printerSettings" Target="../printerSettings/printerSettings19.bin" /><Relationship Id="rId1" Type="http://schemas.openxmlformats.org/officeDocument/2006/relationships/printerSettings" Target="../printerSettings/printerSettings18.bin" /><Relationship Id="rId6" Type="http://schemas.openxmlformats.org/officeDocument/2006/relationships/printerSettings" Target="../printerSettings/printerSettings23.bin" /><Relationship Id="rId11" Type="http://schemas.openxmlformats.org/officeDocument/2006/relationships/comments" Target="../comments3.xml" /><Relationship Id="rId5" Type="http://schemas.openxmlformats.org/officeDocument/2006/relationships/printerSettings" Target="../printerSettings/printerSettings22.bin" /><Relationship Id="rId10" Type="http://schemas.openxmlformats.org/officeDocument/2006/relationships/vmlDrawing" Target="../drawings/vmlDrawing3.vml" /><Relationship Id="rId4" Type="http://schemas.openxmlformats.org/officeDocument/2006/relationships/printerSettings" Target="../printerSettings/printerSettings21.bin" /><Relationship Id="rId9" Type="http://schemas.openxmlformats.org/officeDocument/2006/relationships/printerSettings" Target="../printerSettings/printerSettings26.bin" 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.bin" /><Relationship Id="rId3" Type="http://schemas.openxmlformats.org/officeDocument/2006/relationships/printerSettings" Target="../printerSettings/printerSettings29.bin" /><Relationship Id="rId7" Type="http://schemas.openxmlformats.org/officeDocument/2006/relationships/printerSettings" Target="../printerSettings/printerSettings33.bin" /><Relationship Id="rId2" Type="http://schemas.openxmlformats.org/officeDocument/2006/relationships/printerSettings" Target="../printerSettings/printerSettings28.bin" /><Relationship Id="rId1" Type="http://schemas.openxmlformats.org/officeDocument/2006/relationships/printerSettings" Target="../printerSettings/printerSettings27.bin" /><Relationship Id="rId6" Type="http://schemas.openxmlformats.org/officeDocument/2006/relationships/printerSettings" Target="../printerSettings/printerSettings32.bin" /><Relationship Id="rId11" Type="http://schemas.openxmlformats.org/officeDocument/2006/relationships/printerSettings" Target="../printerSettings/printerSettings37.bin" /><Relationship Id="rId5" Type="http://schemas.openxmlformats.org/officeDocument/2006/relationships/printerSettings" Target="../printerSettings/printerSettings31.bin" /><Relationship Id="rId10" Type="http://schemas.openxmlformats.org/officeDocument/2006/relationships/printerSettings" Target="../printerSettings/printerSettings36.bin" /><Relationship Id="rId4" Type="http://schemas.openxmlformats.org/officeDocument/2006/relationships/printerSettings" Target="../printerSettings/printerSettings30.bin" /><Relationship Id="rId9" Type="http://schemas.openxmlformats.org/officeDocument/2006/relationships/printerSettings" Target="../printerSettings/printerSettings3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indexed="10"/>
  </sheetPr>
  <dimension ref="A1:Q530"/>
  <sheetViews>
    <sheetView showGridLines="0" zoomScale="110" zoomScaleNormal="110" workbookViewId="0" xr3:uid="{AEA406A1-0E4B-5B11-9CD5-51D6E497D94C}">
      <selection activeCell="A5" sqref="A5:I5"/>
    </sheetView>
  </sheetViews>
  <sheetFormatPr defaultColWidth="9.16796875" defaultRowHeight="12.75"/>
  <cols>
    <col min="1" max="1" width="3.37109375" style="42" customWidth="1"/>
    <col min="2" max="2" width="12.13671875" style="42" customWidth="1"/>
    <col min="3" max="3" width="11.8671875" style="43" customWidth="1"/>
    <col min="4" max="4" width="10.65234375" style="34" customWidth="1"/>
    <col min="5" max="5" width="11.32421875" style="34" customWidth="1"/>
    <col min="6" max="6" width="11.19140625" style="34" customWidth="1"/>
    <col min="7" max="7" width="9.70703125" style="45" customWidth="1"/>
    <col min="8" max="8" width="9.9765625" style="41" customWidth="1"/>
    <col min="9" max="9" width="11.0546875" style="53" customWidth="1"/>
    <col min="10" max="10" width="17.6640625" style="41" customWidth="1"/>
    <col min="11" max="11" width="10.3828125" style="34" bestFit="1" customWidth="1"/>
    <col min="12" max="12" width="13.75390625" style="34" bestFit="1" customWidth="1"/>
    <col min="13" max="16384" width="9.16796875" style="34"/>
  </cols>
  <sheetData>
    <row r="1" spans="1:17" s="31" customFormat="1" ht="15" thickBot="1">
      <c r="A1" s="160" t="s">
        <v>18</v>
      </c>
      <c r="B1" s="161"/>
      <c r="C1" s="162"/>
      <c r="D1" s="162"/>
      <c r="E1" s="162"/>
      <c r="F1" s="162"/>
      <c r="G1" s="162"/>
      <c r="H1" s="162"/>
      <c r="I1" s="163"/>
      <c r="J1" s="41"/>
      <c r="K1" s="34"/>
      <c r="L1" s="34"/>
      <c r="M1" s="93"/>
    </row>
    <row r="2" spans="1:17" s="31" customFormat="1">
      <c r="A2" s="139" t="s">
        <v>53</v>
      </c>
      <c r="B2" s="140"/>
      <c r="C2" s="154"/>
      <c r="D2" s="155"/>
      <c r="E2" s="155"/>
      <c r="F2" s="155"/>
      <c r="G2" s="155"/>
      <c r="H2" s="155"/>
      <c r="I2" s="156"/>
      <c r="J2" s="164"/>
      <c r="K2" s="165"/>
      <c r="L2" s="165"/>
      <c r="M2" s="93"/>
    </row>
    <row r="3" spans="1:17" s="31" customFormat="1" ht="17.25" customHeight="1">
      <c r="A3" s="141" t="s">
        <v>54</v>
      </c>
      <c r="B3" s="142"/>
      <c r="C3" s="157"/>
      <c r="D3" s="158"/>
      <c r="E3" s="158"/>
      <c r="F3" s="158"/>
      <c r="G3" s="158"/>
      <c r="H3" s="158"/>
      <c r="I3" s="159"/>
      <c r="J3" s="166"/>
      <c r="K3" s="165"/>
      <c r="L3" s="165"/>
      <c r="M3" s="93"/>
    </row>
    <row r="4" spans="1:17" ht="16.5" customHeight="1">
      <c r="A4" s="146" t="s">
        <v>32</v>
      </c>
      <c r="B4" s="147"/>
      <c r="C4" s="147"/>
      <c r="D4" s="147"/>
      <c r="E4" s="60">
        <v>40374</v>
      </c>
      <c r="F4" s="179" t="s">
        <v>31</v>
      </c>
      <c r="G4" s="180"/>
      <c r="H4" s="180"/>
      <c r="I4" s="86">
        <v>40374</v>
      </c>
      <c r="J4" s="68"/>
      <c r="K4" s="94"/>
      <c r="L4" s="94"/>
      <c r="M4" s="93"/>
    </row>
    <row r="5" spans="1:17" ht="21" customHeight="1" thickBot="1">
      <c r="A5" s="148"/>
      <c r="B5" s="149"/>
      <c r="C5" s="149"/>
      <c r="D5" s="149"/>
      <c r="E5" s="149"/>
      <c r="F5" s="149"/>
      <c r="G5" s="149"/>
      <c r="H5" s="149"/>
      <c r="I5" s="150"/>
      <c r="J5" s="95"/>
      <c r="K5" s="94"/>
      <c r="L5" s="94"/>
      <c r="M5" s="93"/>
    </row>
    <row r="6" spans="1:17" ht="12.75" customHeight="1">
      <c r="A6" s="167" t="s">
        <v>17</v>
      </c>
      <c r="B6" s="143" t="s">
        <v>29</v>
      </c>
      <c r="C6" s="170" t="s">
        <v>33</v>
      </c>
      <c r="D6" s="173" t="s">
        <v>35</v>
      </c>
      <c r="E6" s="189" t="s">
        <v>16</v>
      </c>
      <c r="F6" s="189"/>
      <c r="G6" s="175" t="s">
        <v>24</v>
      </c>
      <c r="H6" s="177" t="s">
        <v>25</v>
      </c>
      <c r="I6" s="151" t="s">
        <v>19</v>
      </c>
      <c r="J6" s="95"/>
      <c r="K6" s="94"/>
      <c r="L6" s="94"/>
      <c r="M6" s="93"/>
    </row>
    <row r="7" spans="1:17" ht="18" customHeight="1">
      <c r="A7" s="168"/>
      <c r="B7" s="144"/>
      <c r="C7" s="171"/>
      <c r="D7" s="174"/>
      <c r="E7" s="181" t="s">
        <v>22</v>
      </c>
      <c r="F7" s="183" t="s">
        <v>23</v>
      </c>
      <c r="G7" s="176"/>
      <c r="H7" s="178"/>
      <c r="I7" s="152"/>
      <c r="J7" s="95"/>
      <c r="K7" s="94"/>
      <c r="L7" s="94"/>
      <c r="M7" s="93"/>
      <c r="N7" s="96"/>
      <c r="O7" s="138"/>
      <c r="P7" s="138"/>
      <c r="Q7" s="98"/>
    </row>
    <row r="8" spans="1:17" ht="15" customHeight="1">
      <c r="A8" s="169"/>
      <c r="B8" s="145"/>
      <c r="C8" s="172"/>
      <c r="D8" s="69">
        <f>SUMIF(D9:D23,"&gt;0",D9:D23)</f>
        <v>125570.88</v>
      </c>
      <c r="E8" s="182"/>
      <c r="F8" s="182"/>
      <c r="G8" s="61">
        <v>0.01</v>
      </c>
      <c r="H8" s="178"/>
      <c r="I8" s="153"/>
      <c r="J8" s="95"/>
      <c r="K8" s="94"/>
      <c r="L8" s="94"/>
      <c r="M8" s="93"/>
      <c r="N8" s="96"/>
      <c r="O8" s="138"/>
      <c r="P8" s="138"/>
      <c r="Q8" s="98"/>
    </row>
    <row r="9" spans="1:17" ht="15" customHeight="1">
      <c r="A9" s="62">
        <v>1</v>
      </c>
      <c r="B9" s="137" t="s">
        <v>58</v>
      </c>
      <c r="C9" s="134">
        <v>40280</v>
      </c>
      <c r="D9" s="135">
        <v>40691.22</v>
      </c>
      <c r="E9" s="57">
        <f>HLOOKUP(YEAR(C9),'Indices TJ'!$A$1:$AZ$13,MONTH(C9)+1)</f>
        <v>42.452959999999997</v>
      </c>
      <c r="F9" s="57">
        <f>HLOOKUP(YEAR($I$4),'Indices TJ'!$A$1:$AZ$13,MONTH($I$4)+1)</f>
        <v>42.899504</v>
      </c>
      <c r="G9" s="58">
        <f>IF(($E$4-C9)&gt;30,ROUND(($E$4-C9)/30,0)*$G$8,ROUND(($E$4-C9)/30,2)*$G$8)</f>
        <v>0.03</v>
      </c>
      <c r="H9" s="59">
        <f>IF(AND(E9&lt;&gt;0,F9&lt;&gt;0),(((D9/E9)*F9))+(((D9/E9)*F9))*G9,D9*(1+G9))</f>
        <v>42352.810023365309</v>
      </c>
      <c r="I9" s="63">
        <f>H9</f>
        <v>42352.810023365309</v>
      </c>
      <c r="J9" s="108"/>
      <c r="K9" s="94"/>
      <c r="L9" s="94"/>
      <c r="M9" s="99"/>
      <c r="N9" s="96"/>
      <c r="O9" s="97"/>
      <c r="P9" s="97"/>
      <c r="Q9" s="98"/>
    </row>
    <row r="10" spans="1:17" ht="15" customHeight="1">
      <c r="A10" s="62">
        <v>2</v>
      </c>
      <c r="B10" s="137" t="s">
        <v>61</v>
      </c>
      <c r="C10" s="134">
        <v>40281</v>
      </c>
      <c r="D10" s="135">
        <v>40000</v>
      </c>
      <c r="E10" s="57">
        <f>HLOOKUP(YEAR(C10),'Indices TJ'!$A$1:$AZ$13,MONTH(C10)+1)</f>
        <v>42.452959999999997</v>
      </c>
      <c r="F10" s="57">
        <f>HLOOKUP(YEAR($I$4),'Indices TJ'!$A$1:$AZ$13,MONTH($I$4)+1)</f>
        <v>42.899504</v>
      </c>
      <c r="G10" s="58">
        <f>IF(($E$4-C10)&gt;30,ROUND(($E$4-C10)/30,0)*$G$8,ROUND(($E$4-C10)/30,2)*$G$8)</f>
        <v>0.03</v>
      </c>
      <c r="H10" s="59">
        <f t="shared" ref="H10:H23" si="0">IF(AND(E10&lt;&gt;0,F10&lt;&gt;0),(((D10/E10)*F10))+(((D10/E10)*F10))*G10,D10*(1+G10))</f>
        <v>41633.36466526716</v>
      </c>
      <c r="I10" s="63">
        <f t="shared" ref="I10:I23" si="1">I9+H10</f>
        <v>83986.174688632469</v>
      </c>
      <c r="J10" s="85">
        <f>((D9/E9)*F9)-D9</f>
        <v>428.01303239350091</v>
      </c>
      <c r="K10" s="94"/>
      <c r="L10" s="94"/>
      <c r="M10" s="99"/>
      <c r="N10" s="96"/>
      <c r="O10" s="138"/>
      <c r="P10" s="138"/>
      <c r="Q10" s="98"/>
    </row>
    <row r="11" spans="1:17" ht="15" customHeight="1">
      <c r="A11" s="62">
        <v>3</v>
      </c>
      <c r="B11" s="137" t="s">
        <v>59</v>
      </c>
      <c r="C11" s="134">
        <v>40295</v>
      </c>
      <c r="D11" s="135">
        <v>43513.58</v>
      </c>
      <c r="E11" s="57">
        <f>HLOOKUP(YEAR(C11),'Indices TJ'!$A$1:$AZ$13,MONTH(C11)+1)</f>
        <v>42.452959999999997</v>
      </c>
      <c r="F11" s="57">
        <f>HLOOKUP(YEAR($I$4),'Indices TJ'!$A$1:$AZ$13,MONTH($I$4)+1)</f>
        <v>42.899504</v>
      </c>
      <c r="G11" s="58">
        <f t="shared" ref="G11:G23" si="2">IF(($E$4-C11)&gt;30,ROUND(($E$4-C11)/30,0)*$G$8,ROUND(($E$4-C11)/30,2)*$G$8)</f>
        <v>0.03</v>
      </c>
      <c r="H11" s="59">
        <f t="shared" si="0"/>
        <v>45290.418600781893</v>
      </c>
      <c r="I11" s="63">
        <f t="shared" si="1"/>
        <v>129276.59328941436</v>
      </c>
      <c r="J11" s="85">
        <f t="shared" ref="J11:J24" si="3">((D10/E10)*F10)-D10</f>
        <v>420.74239346326067</v>
      </c>
      <c r="K11" s="40"/>
      <c r="L11" s="97"/>
      <c r="M11" s="99"/>
      <c r="N11" s="96"/>
      <c r="O11" s="138"/>
      <c r="P11" s="138"/>
      <c r="Q11" s="98"/>
    </row>
    <row r="12" spans="1:17" ht="15" customHeight="1">
      <c r="A12" s="62">
        <v>4</v>
      </c>
      <c r="B12" s="137" t="s">
        <v>60</v>
      </c>
      <c r="C12" s="134">
        <v>40351</v>
      </c>
      <c r="D12" s="135">
        <v>1366.08</v>
      </c>
      <c r="E12" s="57">
        <f>HLOOKUP(YEAR(C12),'Indices TJ'!$A$1:$AZ$13,MONTH(C12)+1)</f>
        <v>42.946745999999997</v>
      </c>
      <c r="F12" s="57">
        <f>HLOOKUP(YEAR($I$4),'Indices TJ'!$A$1:$AZ$13,MONTH($I$4)+1)</f>
        <v>42.899504</v>
      </c>
      <c r="G12" s="58">
        <f t="shared" si="2"/>
        <v>7.7000000000000002E-3</v>
      </c>
      <c r="H12" s="59">
        <f t="shared" si="0"/>
        <v>1375.0845387305308</v>
      </c>
      <c r="I12" s="63">
        <f t="shared" si="1"/>
        <v>130651.67782814489</v>
      </c>
      <c r="J12" s="85">
        <f t="shared" si="3"/>
        <v>457.70019493387372</v>
      </c>
      <c r="K12" s="40"/>
      <c r="L12" s="97"/>
      <c r="M12" s="99"/>
      <c r="N12" s="96"/>
      <c r="O12" s="138"/>
      <c r="P12" s="138"/>
      <c r="Q12" s="98"/>
    </row>
    <row r="13" spans="1:17" ht="15" customHeight="1" thickBot="1">
      <c r="A13" s="62">
        <v>5</v>
      </c>
      <c r="B13" s="124"/>
      <c r="C13" s="122"/>
      <c r="D13" s="111"/>
      <c r="E13" s="57" t="e">
        <f>HLOOKUP(YEAR(C13),'Indices TJ'!$A$1:$AZ$13,MONTH(C13)+1)</f>
        <v>#N/A</v>
      </c>
      <c r="F13" s="57">
        <f>HLOOKUP(YEAR($I$4),'Indices TJ'!$A$1:$AZ$13,MONTH($I$4)+1)</f>
        <v>42.899504</v>
      </c>
      <c r="G13" s="58">
        <f t="shared" si="2"/>
        <v>13.46</v>
      </c>
      <c r="H13" s="59" t="e">
        <f t="shared" si="0"/>
        <v>#N/A</v>
      </c>
      <c r="I13" s="63" t="e">
        <f t="shared" si="1"/>
        <v>#N/A</v>
      </c>
      <c r="J13" s="85">
        <f t="shared" si="3"/>
        <v>-1.5027064299583799</v>
      </c>
      <c r="K13" s="40"/>
      <c r="L13" s="97"/>
      <c r="M13" s="99"/>
      <c r="N13" s="96"/>
      <c r="O13" s="138"/>
      <c r="P13" s="138"/>
      <c r="Q13" s="98"/>
    </row>
    <row r="14" spans="1:17" ht="15" customHeight="1" thickBot="1">
      <c r="A14" s="62">
        <v>6</v>
      </c>
      <c r="B14" s="124"/>
      <c r="C14" s="122"/>
      <c r="D14" s="111"/>
      <c r="E14" s="57" t="e">
        <f>HLOOKUP(YEAR(C14),'Indices TJ'!$A$1:$AZ$13,MONTH(C14)+1)</f>
        <v>#N/A</v>
      </c>
      <c r="F14" s="57">
        <f>HLOOKUP(YEAR($I$4),'Indices TJ'!$A$1:$AZ$13,MONTH($I$4)+1)</f>
        <v>42.899504</v>
      </c>
      <c r="G14" s="58">
        <f t="shared" si="2"/>
        <v>13.46</v>
      </c>
      <c r="H14" s="59" t="e">
        <f t="shared" si="0"/>
        <v>#N/A</v>
      </c>
      <c r="I14" s="63" t="e">
        <f t="shared" si="1"/>
        <v>#N/A</v>
      </c>
      <c r="J14" s="85" t="e">
        <f t="shared" si="3"/>
        <v>#N/A</v>
      </c>
      <c r="K14" s="40"/>
      <c r="L14" s="97"/>
      <c r="M14" s="99"/>
      <c r="N14" s="96"/>
      <c r="O14" s="138"/>
      <c r="P14" s="138"/>
      <c r="Q14" s="98"/>
    </row>
    <row r="15" spans="1:17" ht="15" customHeight="1" thickBot="1">
      <c r="A15" s="62">
        <v>7</v>
      </c>
      <c r="B15" s="124"/>
      <c r="C15" s="122"/>
      <c r="D15" s="111"/>
      <c r="E15" s="57" t="e">
        <f>HLOOKUP(YEAR(C15),'Indices TJ'!$A$1:$AZ$13,MONTH(C15)+1)</f>
        <v>#N/A</v>
      </c>
      <c r="F15" s="57">
        <f>HLOOKUP(YEAR($I$4),'Indices TJ'!$A$1:$AZ$13,MONTH($I$4)+1)</f>
        <v>42.899504</v>
      </c>
      <c r="G15" s="58">
        <f t="shared" si="2"/>
        <v>13.46</v>
      </c>
      <c r="H15" s="59" t="e">
        <f t="shared" si="0"/>
        <v>#N/A</v>
      </c>
      <c r="I15" s="63" t="e">
        <f t="shared" si="1"/>
        <v>#N/A</v>
      </c>
      <c r="J15" s="85" t="e">
        <f t="shared" si="3"/>
        <v>#N/A</v>
      </c>
      <c r="K15" s="40"/>
      <c r="L15" s="97"/>
      <c r="M15" s="99"/>
      <c r="N15" s="96"/>
      <c r="O15" s="138"/>
      <c r="P15" s="138"/>
      <c r="Q15" s="98"/>
    </row>
    <row r="16" spans="1:17" ht="15" customHeight="1" thickBot="1">
      <c r="A16" s="62">
        <v>8</v>
      </c>
      <c r="B16" s="132"/>
      <c r="C16" s="123"/>
      <c r="D16" s="111"/>
      <c r="E16" s="57" t="e">
        <f>HLOOKUP(YEAR(C16),'Indices TJ'!$A$1:$AZ$13,MONTH(C16)+1)</f>
        <v>#N/A</v>
      </c>
      <c r="F16" s="57">
        <f>HLOOKUP(YEAR($I$4),'Indices TJ'!$A$1:$AZ$13,MONTH($I$4)+1)</f>
        <v>42.899504</v>
      </c>
      <c r="G16" s="58">
        <f t="shared" si="2"/>
        <v>13.46</v>
      </c>
      <c r="H16" s="59" t="e">
        <f t="shared" si="0"/>
        <v>#N/A</v>
      </c>
      <c r="I16" s="63" t="e">
        <f t="shared" si="1"/>
        <v>#N/A</v>
      </c>
      <c r="J16" s="85" t="e">
        <f t="shared" si="3"/>
        <v>#N/A</v>
      </c>
      <c r="K16" s="40"/>
      <c r="L16" s="97"/>
      <c r="M16" s="99"/>
      <c r="N16" s="96"/>
      <c r="O16" s="138"/>
      <c r="P16" s="138"/>
      <c r="Q16" s="98"/>
    </row>
    <row r="17" spans="1:17" ht="15" customHeight="1" thickBot="1">
      <c r="A17" s="62">
        <v>9</v>
      </c>
      <c r="B17" s="132"/>
      <c r="C17" s="123"/>
      <c r="D17" s="111"/>
      <c r="E17" s="57" t="e">
        <f>HLOOKUP(YEAR(C17),'Indices TJ'!$A$1:$AZ$13,MONTH(C17)+1)</f>
        <v>#N/A</v>
      </c>
      <c r="F17" s="57">
        <f>HLOOKUP(YEAR($I$4),'Indices TJ'!$A$1:$AZ$13,MONTH($I$4)+1)</f>
        <v>42.899504</v>
      </c>
      <c r="G17" s="58">
        <f t="shared" si="2"/>
        <v>13.46</v>
      </c>
      <c r="H17" s="59" t="e">
        <f t="shared" si="0"/>
        <v>#N/A</v>
      </c>
      <c r="I17" s="63" t="e">
        <f t="shared" si="1"/>
        <v>#N/A</v>
      </c>
      <c r="J17" s="85" t="e">
        <f t="shared" si="3"/>
        <v>#N/A</v>
      </c>
      <c r="K17" s="40"/>
      <c r="L17" s="97"/>
      <c r="M17" s="99"/>
      <c r="N17" s="96"/>
      <c r="O17" s="138"/>
      <c r="P17" s="138"/>
      <c r="Q17" s="98"/>
    </row>
    <row r="18" spans="1:17" ht="15" customHeight="1" thickBot="1">
      <c r="A18" s="62">
        <v>10</v>
      </c>
      <c r="B18" s="132"/>
      <c r="C18" s="123"/>
      <c r="D18" s="111"/>
      <c r="E18" s="57" t="e">
        <f>HLOOKUP(YEAR(C18),'Indices TJ'!$A$1:$AZ$13,MONTH(C18)+1)</f>
        <v>#N/A</v>
      </c>
      <c r="F18" s="57">
        <f>HLOOKUP(YEAR($I$4),'Indices TJ'!$A$1:$AZ$13,MONTH($I$4)+1)</f>
        <v>42.899504</v>
      </c>
      <c r="G18" s="58">
        <f t="shared" si="2"/>
        <v>13.46</v>
      </c>
      <c r="H18" s="59" t="e">
        <f t="shared" si="0"/>
        <v>#N/A</v>
      </c>
      <c r="I18" s="63" t="e">
        <f t="shared" si="1"/>
        <v>#N/A</v>
      </c>
      <c r="J18" s="85" t="e">
        <f t="shared" si="3"/>
        <v>#N/A</v>
      </c>
      <c r="K18" s="40"/>
      <c r="L18" s="97"/>
      <c r="M18" s="99"/>
      <c r="N18" s="96"/>
      <c r="O18" s="138"/>
      <c r="P18" s="138"/>
      <c r="Q18" s="98"/>
    </row>
    <row r="19" spans="1:17" ht="15" customHeight="1" thickBot="1">
      <c r="A19" s="62">
        <v>11</v>
      </c>
      <c r="B19" s="132"/>
      <c r="C19" s="123"/>
      <c r="D19" s="111"/>
      <c r="E19" s="57" t="e">
        <f>HLOOKUP(YEAR(C19),'Indices TJ'!$A$1:$AZ$13,MONTH(C19)+1)</f>
        <v>#N/A</v>
      </c>
      <c r="F19" s="57">
        <f>HLOOKUP(YEAR($I$4),'Indices TJ'!$A$1:$AZ$13,MONTH($I$4)+1)</f>
        <v>42.899504</v>
      </c>
      <c r="G19" s="58">
        <f t="shared" si="2"/>
        <v>13.46</v>
      </c>
      <c r="H19" s="59" t="e">
        <f t="shared" si="0"/>
        <v>#N/A</v>
      </c>
      <c r="I19" s="63" t="e">
        <f t="shared" si="1"/>
        <v>#N/A</v>
      </c>
      <c r="J19" s="85" t="e">
        <f t="shared" si="3"/>
        <v>#N/A</v>
      </c>
      <c r="K19" s="40"/>
      <c r="L19" s="97"/>
      <c r="M19" s="99"/>
      <c r="N19" s="96"/>
      <c r="O19" s="138"/>
      <c r="P19" s="138"/>
      <c r="Q19" s="98"/>
    </row>
    <row r="20" spans="1:17" ht="15" customHeight="1">
      <c r="A20" s="62">
        <v>12</v>
      </c>
      <c r="B20" s="109"/>
      <c r="C20" s="110"/>
      <c r="D20" s="111"/>
      <c r="E20" s="57" t="e">
        <f>HLOOKUP(YEAR(C20),'Indices TJ'!$A$1:$AZ$13,MONTH(C20)+1)</f>
        <v>#N/A</v>
      </c>
      <c r="F20" s="57">
        <f>HLOOKUP(YEAR($I$4),'Indices TJ'!$A$1:$AZ$13,MONTH($I$4)+1)</f>
        <v>42.899504</v>
      </c>
      <c r="G20" s="58">
        <f t="shared" si="2"/>
        <v>13.46</v>
      </c>
      <c r="H20" s="59" t="e">
        <f t="shared" si="0"/>
        <v>#N/A</v>
      </c>
      <c r="I20" s="63" t="e">
        <f t="shared" si="1"/>
        <v>#N/A</v>
      </c>
      <c r="J20" s="85" t="e">
        <f t="shared" si="3"/>
        <v>#N/A</v>
      </c>
      <c r="K20" s="40"/>
      <c r="L20" s="97"/>
      <c r="M20" s="99"/>
      <c r="N20" s="96"/>
      <c r="O20" s="138"/>
      <c r="P20" s="138"/>
      <c r="Q20" s="98"/>
    </row>
    <row r="21" spans="1:17" ht="15" customHeight="1">
      <c r="A21" s="62">
        <v>13</v>
      </c>
      <c r="B21" s="109"/>
      <c r="C21" s="110"/>
      <c r="D21" s="111"/>
      <c r="E21" s="57" t="e">
        <f>HLOOKUP(YEAR(C21),'Indices TJ'!$A$1:$AZ$13,MONTH(C21)+1)</f>
        <v>#N/A</v>
      </c>
      <c r="F21" s="57">
        <f>HLOOKUP(YEAR($I$4),'Indices TJ'!$A$1:$AZ$13,MONTH($I$4)+1)</f>
        <v>42.899504</v>
      </c>
      <c r="G21" s="58">
        <f t="shared" si="2"/>
        <v>13.46</v>
      </c>
      <c r="H21" s="59" t="e">
        <f t="shared" si="0"/>
        <v>#N/A</v>
      </c>
      <c r="I21" s="63" t="e">
        <f t="shared" si="1"/>
        <v>#N/A</v>
      </c>
      <c r="J21" s="85" t="e">
        <f t="shared" si="3"/>
        <v>#N/A</v>
      </c>
      <c r="K21" s="40"/>
      <c r="L21" s="97"/>
      <c r="M21" s="99"/>
      <c r="N21" s="96"/>
      <c r="O21" s="138"/>
      <c r="P21" s="138"/>
      <c r="Q21" s="98"/>
    </row>
    <row r="22" spans="1:17" ht="15" customHeight="1">
      <c r="A22" s="62">
        <v>14</v>
      </c>
      <c r="B22" s="109"/>
      <c r="C22" s="110"/>
      <c r="D22" s="111"/>
      <c r="E22" s="57" t="e">
        <f>HLOOKUP(YEAR(C22),'Indices TJ'!$A$1:$AZ$13,MONTH(C22)+1)</f>
        <v>#N/A</v>
      </c>
      <c r="F22" s="57">
        <f>HLOOKUP(YEAR($I$4),'Indices TJ'!$A$1:$AZ$13,MONTH($I$4)+1)</f>
        <v>42.899504</v>
      </c>
      <c r="G22" s="58">
        <f t="shared" si="2"/>
        <v>13.46</v>
      </c>
      <c r="H22" s="59" t="e">
        <f t="shared" si="0"/>
        <v>#N/A</v>
      </c>
      <c r="I22" s="63" t="e">
        <f t="shared" si="1"/>
        <v>#N/A</v>
      </c>
      <c r="J22" s="85" t="e">
        <f t="shared" si="3"/>
        <v>#N/A</v>
      </c>
      <c r="K22" s="40"/>
      <c r="L22" s="97"/>
      <c r="M22" s="99"/>
      <c r="N22" s="96"/>
      <c r="O22" s="138"/>
      <c r="P22" s="138"/>
      <c r="Q22" s="98"/>
    </row>
    <row r="23" spans="1:17" ht="15" customHeight="1" thickBot="1">
      <c r="A23" s="64">
        <v>15</v>
      </c>
      <c r="B23" s="109"/>
      <c r="C23" s="110"/>
      <c r="D23" s="111"/>
      <c r="E23" s="65" t="e">
        <f>HLOOKUP(YEAR(C23),'Indices TJ'!$A$1:$AZ$13,MONTH(C23)+1)</f>
        <v>#N/A</v>
      </c>
      <c r="F23" s="65">
        <f>HLOOKUP(YEAR($I$4),'Indices TJ'!$A$1:$AZ$13,MONTH($I$4)+1)</f>
        <v>42.899504</v>
      </c>
      <c r="G23" s="66">
        <f t="shared" si="2"/>
        <v>13.46</v>
      </c>
      <c r="H23" s="59" t="e">
        <f t="shared" si="0"/>
        <v>#N/A</v>
      </c>
      <c r="I23" s="67" t="e">
        <f t="shared" si="1"/>
        <v>#N/A</v>
      </c>
      <c r="J23" s="85" t="e">
        <f t="shared" si="3"/>
        <v>#N/A</v>
      </c>
      <c r="K23" s="40"/>
      <c r="L23" s="97"/>
      <c r="M23" s="99"/>
      <c r="N23" s="96"/>
      <c r="O23" s="138"/>
      <c r="P23" s="138"/>
      <c r="Q23" s="98"/>
    </row>
    <row r="24" spans="1:17" ht="13.5" thickBot="1">
      <c r="A24" s="187" t="s">
        <v>42</v>
      </c>
      <c r="B24" s="188"/>
      <c r="C24" s="188"/>
      <c r="D24" s="82" t="s">
        <v>43</v>
      </c>
      <c r="E24" s="83">
        <f>(SUMIF($J$10:$J$24,"&gt;0",$J$10:$J$24))</f>
        <v>1306.4556207906353</v>
      </c>
      <c r="F24" s="83" t="s">
        <v>44</v>
      </c>
      <c r="G24" s="84">
        <f>(H24-D8)-E24</f>
        <v>3774.3422073542533</v>
      </c>
      <c r="H24" s="92">
        <f>SUMIF(H9:H23,"&gt;0",H9:H23)</f>
        <v>130651.67782814489</v>
      </c>
      <c r="I24" s="80"/>
      <c r="J24" s="85" t="e">
        <f t="shared" si="3"/>
        <v>#N/A</v>
      </c>
    </row>
    <row r="25" spans="1:17" s="100" customFormat="1" ht="15.75" customHeight="1" thickBot="1">
      <c r="A25" s="184" t="s">
        <v>37</v>
      </c>
      <c r="B25" s="185"/>
      <c r="C25" s="185"/>
      <c r="D25" s="185"/>
      <c r="E25" s="185"/>
      <c r="F25" s="186"/>
      <c r="G25" s="112">
        <v>0</v>
      </c>
      <c r="H25" s="81">
        <f>G25*H24</f>
        <v>0</v>
      </c>
      <c r="I25" s="74">
        <f>H24+H25</f>
        <v>130651.67782814489</v>
      </c>
    </row>
    <row r="26" spans="1:17" s="100" customFormat="1" ht="15.75" customHeight="1">
      <c r="A26" s="184" t="s">
        <v>55</v>
      </c>
      <c r="B26" s="185"/>
      <c r="C26" s="185"/>
      <c r="D26" s="185"/>
      <c r="E26" s="185"/>
      <c r="F26" s="186"/>
      <c r="G26" s="112">
        <v>0</v>
      </c>
      <c r="H26" s="81">
        <f>G26*H24</f>
        <v>0</v>
      </c>
      <c r="I26" s="74">
        <f>I25-H26</f>
        <v>130651.67782814489</v>
      </c>
    </row>
    <row r="27" spans="1:17" s="100" customFormat="1" ht="15.75" customHeight="1">
      <c r="A27" s="206" t="s">
        <v>38</v>
      </c>
      <c r="B27" s="207"/>
      <c r="C27" s="207"/>
      <c r="D27" s="207"/>
      <c r="E27" s="207"/>
      <c r="F27" s="207"/>
      <c r="G27" s="113">
        <v>0.05</v>
      </c>
      <c r="H27" s="75">
        <f>G27*I26</f>
        <v>6532.5838914072447</v>
      </c>
      <c r="I27" s="74">
        <f>I26+H27</f>
        <v>137184.26171955213</v>
      </c>
    </row>
    <row r="28" spans="1:17" s="100" customFormat="1" ht="16.5" customHeight="1">
      <c r="A28" s="206" t="s">
        <v>39</v>
      </c>
      <c r="B28" s="207"/>
      <c r="C28" s="207"/>
      <c r="D28" s="207"/>
      <c r="E28" s="207"/>
      <c r="F28" s="207"/>
      <c r="G28" s="76"/>
      <c r="H28" s="114"/>
      <c r="I28" s="74">
        <f>I27+H28</f>
        <v>137184.26171955213</v>
      </c>
    </row>
    <row r="29" spans="1:17" s="100" customFormat="1" ht="15.75" customHeight="1" thickBot="1">
      <c r="A29" s="215" t="s">
        <v>30</v>
      </c>
      <c r="B29" s="216"/>
      <c r="C29" s="216"/>
      <c r="D29" s="216"/>
      <c r="E29" s="216"/>
      <c r="F29" s="216"/>
      <c r="G29" s="77">
        <f>E4</f>
        <v>40374</v>
      </c>
      <c r="H29" s="217">
        <f>I28</f>
        <v>137184.26171955213</v>
      </c>
      <c r="I29" s="218"/>
    </row>
    <row r="30" spans="1:17" s="100" customFormat="1" ht="17.25" customHeight="1" thickBot="1">
      <c r="A30" s="101" t="s">
        <v>34</v>
      </c>
      <c r="B30" s="102"/>
      <c r="C30" s="102"/>
      <c r="D30" s="78"/>
      <c r="E30" s="70"/>
      <c r="F30" s="70"/>
      <c r="G30" s="71"/>
      <c r="H30" s="72"/>
      <c r="I30" s="73"/>
    </row>
    <row r="31" spans="1:17" ht="13.5" thickBot="1">
      <c r="A31" s="213"/>
      <c r="B31" s="188"/>
      <c r="C31" s="188"/>
      <c r="D31" s="188"/>
      <c r="E31" s="188"/>
      <c r="F31" s="188"/>
      <c r="G31" s="188"/>
      <c r="H31" s="188"/>
      <c r="I31" s="214"/>
    </row>
    <row r="32" spans="1:17" ht="13.5" thickBot="1">
      <c r="A32" s="192" t="s">
        <v>45</v>
      </c>
      <c r="B32" s="193"/>
      <c r="C32" s="193"/>
      <c r="D32" s="193"/>
      <c r="E32" s="193"/>
      <c r="F32" s="193"/>
      <c r="G32" s="193"/>
      <c r="H32" s="193"/>
      <c r="I32" s="194"/>
    </row>
    <row r="33" spans="1:12" ht="20.25" customHeight="1">
      <c r="A33" s="195" t="s">
        <v>49</v>
      </c>
      <c r="B33" s="196"/>
      <c r="C33" s="90" t="s">
        <v>51</v>
      </c>
      <c r="D33" s="208" t="s">
        <v>52</v>
      </c>
      <c r="E33" s="196"/>
      <c r="F33" s="90" t="s">
        <v>46</v>
      </c>
      <c r="G33" s="91" t="s">
        <v>47</v>
      </c>
      <c r="H33" s="197" t="s">
        <v>48</v>
      </c>
      <c r="I33" s="198"/>
      <c r="J33" s="103"/>
      <c r="K33" s="103"/>
      <c r="L33" s="103"/>
    </row>
    <row r="34" spans="1:12" ht="24" customHeight="1" thickBot="1">
      <c r="A34" s="211">
        <v>136865.95000000001</v>
      </c>
      <c r="B34" s="212"/>
      <c r="C34" s="87">
        <v>0</v>
      </c>
      <c r="D34" s="209">
        <f>A34-C34</f>
        <v>136865.95000000001</v>
      </c>
      <c r="E34" s="210"/>
      <c r="F34" s="88">
        <v>10</v>
      </c>
      <c r="G34" s="89">
        <v>5.0000000000000001E-3</v>
      </c>
      <c r="H34" s="199">
        <f>((D34*(F34*G34)+D34))/(((G34*(F34-1)/2)+1)*F34)</f>
        <v>14054.694132029341</v>
      </c>
      <c r="I34" s="200"/>
      <c r="J34" s="104"/>
      <c r="K34" s="104"/>
      <c r="L34" s="104"/>
    </row>
    <row r="35" spans="1:12" ht="13.5" thickBot="1">
      <c r="A35" s="201" t="s">
        <v>50</v>
      </c>
      <c r="B35" s="202"/>
      <c r="C35" s="202"/>
      <c r="D35" s="202"/>
      <c r="E35" s="202"/>
      <c r="F35" s="202"/>
      <c r="G35" s="203"/>
      <c r="H35" s="204">
        <f>F34*H34</f>
        <v>140546.94132029341</v>
      </c>
      <c r="I35" s="205"/>
      <c r="J35" s="104"/>
      <c r="K35" s="104"/>
      <c r="L35" s="104"/>
    </row>
    <row r="36" spans="1:12">
      <c r="A36" s="106"/>
      <c r="B36" s="106"/>
      <c r="C36" s="106"/>
      <c r="D36" s="106"/>
      <c r="E36" s="106"/>
      <c r="F36" s="106"/>
      <c r="G36" s="106"/>
      <c r="H36" s="106"/>
      <c r="I36" s="106"/>
      <c r="J36" s="105"/>
      <c r="K36" s="105"/>
      <c r="L36" s="105"/>
    </row>
    <row r="37" spans="1:12">
      <c r="A37" s="190" t="s">
        <v>36</v>
      </c>
      <c r="B37" s="191"/>
      <c r="C37" s="191"/>
      <c r="D37" s="191"/>
      <c r="E37" s="191"/>
      <c r="F37" s="191"/>
      <c r="G37" s="191"/>
      <c r="H37" s="191"/>
      <c r="I37" s="191"/>
    </row>
    <row r="38" spans="1:12">
      <c r="A38" s="191"/>
      <c r="B38" s="191"/>
      <c r="C38" s="191"/>
      <c r="D38" s="191"/>
      <c r="E38" s="191"/>
      <c r="F38" s="191"/>
      <c r="G38" s="191"/>
      <c r="H38" s="191"/>
      <c r="I38" s="191"/>
    </row>
    <row r="39" spans="1:12">
      <c r="A39" s="191"/>
      <c r="B39" s="191"/>
      <c r="C39" s="191"/>
      <c r="D39" s="191"/>
      <c r="E39" s="191"/>
      <c r="F39" s="191"/>
      <c r="G39" s="191"/>
      <c r="H39" s="191"/>
      <c r="I39" s="191"/>
    </row>
    <row r="40" spans="1:12">
      <c r="A40" s="191"/>
      <c r="B40" s="191"/>
      <c r="C40" s="191"/>
      <c r="D40" s="191"/>
      <c r="E40" s="191"/>
      <c r="F40" s="191"/>
      <c r="G40" s="191"/>
      <c r="H40" s="191"/>
      <c r="I40" s="191"/>
    </row>
    <row r="41" spans="1:12">
      <c r="A41" s="191"/>
      <c r="B41" s="191"/>
      <c r="C41" s="191"/>
      <c r="D41" s="191"/>
      <c r="E41" s="191"/>
      <c r="F41" s="191"/>
      <c r="G41" s="191"/>
      <c r="H41" s="191"/>
      <c r="I41" s="191"/>
    </row>
    <row r="42" spans="1:12">
      <c r="D42" s="44"/>
    </row>
    <row r="43" spans="1:12">
      <c r="D43" s="44"/>
    </row>
    <row r="44" spans="1:12">
      <c r="D44" s="44"/>
    </row>
    <row r="45" spans="1:12">
      <c r="D45" s="44"/>
    </row>
    <row r="46" spans="1:12">
      <c r="D46" s="44"/>
    </row>
    <row r="47" spans="1:12">
      <c r="D47" s="44"/>
    </row>
    <row r="48" spans="1:12">
      <c r="D48" s="44"/>
    </row>
    <row r="49" spans="4:4">
      <c r="D49" s="44"/>
    </row>
    <row r="50" spans="4:4">
      <c r="D50" s="44"/>
    </row>
    <row r="51" spans="4:4">
      <c r="D51" s="44"/>
    </row>
    <row r="52" spans="4:4">
      <c r="D52" s="44"/>
    </row>
    <row r="53" spans="4:4">
      <c r="D53" s="44"/>
    </row>
    <row r="54" spans="4:4">
      <c r="D54" s="44"/>
    </row>
    <row r="55" spans="4:4">
      <c r="D55" s="44"/>
    </row>
    <row r="56" spans="4:4">
      <c r="D56" s="44"/>
    </row>
    <row r="57" spans="4:4">
      <c r="D57" s="44"/>
    </row>
    <row r="58" spans="4:4">
      <c r="D58" s="44"/>
    </row>
    <row r="59" spans="4:4">
      <c r="D59" s="44"/>
    </row>
    <row r="60" spans="4:4">
      <c r="D60" s="44"/>
    </row>
    <row r="61" spans="4:4">
      <c r="D61" s="44"/>
    </row>
    <row r="62" spans="4:4">
      <c r="D62" s="44"/>
    </row>
    <row r="63" spans="4:4">
      <c r="D63" s="44"/>
    </row>
    <row r="64" spans="4:4">
      <c r="D64" s="44"/>
    </row>
    <row r="65" spans="4:4">
      <c r="D65" s="44"/>
    </row>
    <row r="66" spans="4:4">
      <c r="D66" s="44"/>
    </row>
    <row r="67" spans="4:4">
      <c r="D67" s="44"/>
    </row>
    <row r="68" spans="4:4">
      <c r="D68" s="44"/>
    </row>
    <row r="69" spans="4:4">
      <c r="D69" s="44"/>
    </row>
    <row r="70" spans="4:4">
      <c r="D70" s="44"/>
    </row>
    <row r="71" spans="4:4">
      <c r="D71" s="44"/>
    </row>
    <row r="72" spans="4:4">
      <c r="D72" s="44"/>
    </row>
    <row r="73" spans="4:4">
      <c r="D73" s="44"/>
    </row>
    <row r="74" spans="4:4">
      <c r="D74" s="44"/>
    </row>
    <row r="75" spans="4:4">
      <c r="D75" s="44"/>
    </row>
    <row r="76" spans="4:4">
      <c r="D76" s="44"/>
    </row>
    <row r="77" spans="4:4">
      <c r="D77" s="44"/>
    </row>
    <row r="78" spans="4:4">
      <c r="D78" s="44"/>
    </row>
    <row r="79" spans="4:4">
      <c r="D79" s="44"/>
    </row>
    <row r="80" spans="4:4">
      <c r="D80" s="44"/>
    </row>
    <row r="81" spans="4:4">
      <c r="D81" s="44"/>
    </row>
    <row r="82" spans="4:4">
      <c r="D82" s="44"/>
    </row>
    <row r="83" spans="4:4">
      <c r="D83" s="44"/>
    </row>
    <row r="84" spans="4:4">
      <c r="D84" s="44"/>
    </row>
    <row r="85" spans="4:4">
      <c r="D85" s="44"/>
    </row>
    <row r="86" spans="4:4">
      <c r="D86" s="44"/>
    </row>
    <row r="87" spans="4:4">
      <c r="D87" s="44"/>
    </row>
    <row r="88" spans="4:4">
      <c r="D88" s="44"/>
    </row>
    <row r="89" spans="4:4">
      <c r="D89" s="44"/>
    </row>
    <row r="90" spans="4:4">
      <c r="D90" s="44"/>
    </row>
    <row r="91" spans="4:4">
      <c r="D91" s="44"/>
    </row>
    <row r="92" spans="4:4">
      <c r="D92" s="44"/>
    </row>
    <row r="93" spans="4:4">
      <c r="D93" s="44"/>
    </row>
    <row r="94" spans="4:4">
      <c r="D94" s="44"/>
    </row>
    <row r="95" spans="4:4">
      <c r="D95" s="44"/>
    </row>
    <row r="96" spans="4:4">
      <c r="D96" s="44"/>
    </row>
    <row r="97" spans="4:4">
      <c r="D97" s="44"/>
    </row>
    <row r="98" spans="4:4">
      <c r="D98" s="44"/>
    </row>
    <row r="99" spans="4:4">
      <c r="D99" s="44"/>
    </row>
    <row r="100" spans="4:4">
      <c r="D100" s="44"/>
    </row>
    <row r="101" spans="4:4">
      <c r="D101" s="44"/>
    </row>
    <row r="102" spans="4:4">
      <c r="D102" s="44"/>
    </row>
    <row r="103" spans="4:4">
      <c r="D103" s="44"/>
    </row>
    <row r="104" spans="4:4">
      <c r="D104" s="44"/>
    </row>
    <row r="105" spans="4:4">
      <c r="D105" s="44"/>
    </row>
    <row r="106" spans="4:4">
      <c r="D106" s="44"/>
    </row>
    <row r="107" spans="4:4">
      <c r="D107" s="44"/>
    </row>
    <row r="108" spans="4:4">
      <c r="D108" s="44"/>
    </row>
    <row r="109" spans="4:4">
      <c r="D109" s="44"/>
    </row>
    <row r="110" spans="4:4">
      <c r="D110" s="44"/>
    </row>
    <row r="111" spans="4:4">
      <c r="D111" s="44"/>
    </row>
    <row r="112" spans="4:4">
      <c r="D112" s="44"/>
    </row>
    <row r="113" spans="4:4">
      <c r="D113" s="44"/>
    </row>
    <row r="114" spans="4:4">
      <c r="D114" s="44"/>
    </row>
    <row r="115" spans="4:4">
      <c r="D115" s="44"/>
    </row>
    <row r="116" spans="4:4">
      <c r="D116" s="44"/>
    </row>
    <row r="117" spans="4:4">
      <c r="D117" s="44"/>
    </row>
    <row r="118" spans="4:4">
      <c r="D118" s="44"/>
    </row>
    <row r="119" spans="4:4">
      <c r="D119" s="44"/>
    </row>
    <row r="120" spans="4:4">
      <c r="D120" s="44"/>
    </row>
    <row r="121" spans="4:4">
      <c r="D121" s="44"/>
    </row>
    <row r="122" spans="4:4">
      <c r="D122" s="44"/>
    </row>
    <row r="123" spans="4:4">
      <c r="D123" s="44"/>
    </row>
    <row r="124" spans="4:4">
      <c r="D124" s="44"/>
    </row>
    <row r="125" spans="4:4">
      <c r="D125" s="44"/>
    </row>
    <row r="126" spans="4:4">
      <c r="D126" s="44"/>
    </row>
    <row r="127" spans="4:4">
      <c r="D127" s="44"/>
    </row>
    <row r="128" spans="4:4">
      <c r="D128" s="44"/>
    </row>
    <row r="129" spans="4:4">
      <c r="D129" s="44"/>
    </row>
    <row r="130" spans="4:4">
      <c r="D130" s="44"/>
    </row>
    <row r="131" spans="4:4">
      <c r="D131" s="44"/>
    </row>
    <row r="132" spans="4:4">
      <c r="D132" s="44"/>
    </row>
    <row r="133" spans="4:4">
      <c r="D133" s="44"/>
    </row>
    <row r="134" spans="4:4">
      <c r="D134" s="44"/>
    </row>
    <row r="135" spans="4:4">
      <c r="D135" s="44"/>
    </row>
    <row r="136" spans="4:4">
      <c r="D136" s="44"/>
    </row>
    <row r="137" spans="4:4">
      <c r="D137" s="44"/>
    </row>
    <row r="138" spans="4:4">
      <c r="D138" s="44"/>
    </row>
    <row r="139" spans="4:4">
      <c r="D139" s="44"/>
    </row>
    <row r="140" spans="4:4">
      <c r="D140" s="44"/>
    </row>
    <row r="141" spans="4:4">
      <c r="D141" s="44"/>
    </row>
    <row r="142" spans="4:4">
      <c r="D142" s="44"/>
    </row>
    <row r="143" spans="4:4">
      <c r="D143" s="44"/>
    </row>
    <row r="144" spans="4:4">
      <c r="D144" s="44"/>
    </row>
    <row r="145" spans="4:4">
      <c r="D145" s="44"/>
    </row>
    <row r="146" spans="4:4">
      <c r="D146" s="44"/>
    </row>
    <row r="147" spans="4:4">
      <c r="D147" s="44"/>
    </row>
    <row r="148" spans="4:4">
      <c r="D148" s="44"/>
    </row>
    <row r="149" spans="4:4">
      <c r="D149" s="44"/>
    </row>
    <row r="150" spans="4:4">
      <c r="D150" s="44"/>
    </row>
    <row r="151" spans="4:4">
      <c r="D151" s="44"/>
    </row>
    <row r="152" spans="4:4">
      <c r="D152" s="44"/>
    </row>
    <row r="153" spans="4:4">
      <c r="D153" s="44"/>
    </row>
    <row r="154" spans="4:4">
      <c r="D154" s="44"/>
    </row>
    <row r="155" spans="4:4">
      <c r="D155" s="44"/>
    </row>
    <row r="156" spans="4:4">
      <c r="D156" s="44"/>
    </row>
    <row r="157" spans="4:4">
      <c r="D157" s="44"/>
    </row>
    <row r="158" spans="4:4">
      <c r="D158" s="44"/>
    </row>
    <row r="159" spans="4:4">
      <c r="D159" s="44"/>
    </row>
    <row r="160" spans="4:4">
      <c r="D160" s="44"/>
    </row>
    <row r="161" spans="4:4">
      <c r="D161" s="44"/>
    </row>
    <row r="162" spans="4:4">
      <c r="D162" s="44"/>
    </row>
    <row r="163" spans="4:4">
      <c r="D163" s="44"/>
    </row>
    <row r="164" spans="4:4">
      <c r="D164" s="44"/>
    </row>
    <row r="165" spans="4:4">
      <c r="D165" s="44"/>
    </row>
    <row r="166" spans="4:4">
      <c r="D166" s="44"/>
    </row>
    <row r="167" spans="4:4">
      <c r="D167" s="44"/>
    </row>
    <row r="168" spans="4:4">
      <c r="D168" s="44"/>
    </row>
    <row r="169" spans="4:4">
      <c r="D169" s="44"/>
    </row>
    <row r="170" spans="4:4">
      <c r="D170" s="44"/>
    </row>
    <row r="171" spans="4:4">
      <c r="D171" s="44"/>
    </row>
    <row r="172" spans="4:4">
      <c r="D172" s="44"/>
    </row>
    <row r="173" spans="4:4">
      <c r="D173" s="44"/>
    </row>
    <row r="174" spans="4:4">
      <c r="D174" s="44"/>
    </row>
    <row r="175" spans="4:4">
      <c r="D175" s="44"/>
    </row>
    <row r="176" spans="4:4">
      <c r="D176" s="44"/>
    </row>
    <row r="177" spans="4:4">
      <c r="D177" s="44"/>
    </row>
    <row r="178" spans="4:4">
      <c r="D178" s="44"/>
    </row>
    <row r="179" spans="4:4">
      <c r="D179" s="44"/>
    </row>
    <row r="180" spans="4:4">
      <c r="D180" s="44"/>
    </row>
    <row r="181" spans="4:4">
      <c r="D181" s="44"/>
    </row>
    <row r="182" spans="4:4">
      <c r="D182" s="44"/>
    </row>
    <row r="183" spans="4:4">
      <c r="D183" s="44"/>
    </row>
    <row r="184" spans="4:4">
      <c r="D184" s="44"/>
    </row>
    <row r="185" spans="4:4">
      <c r="D185" s="44"/>
    </row>
    <row r="186" spans="4:4">
      <c r="D186" s="44"/>
    </row>
    <row r="187" spans="4:4">
      <c r="D187" s="44"/>
    </row>
    <row r="188" spans="4:4">
      <c r="D188" s="44"/>
    </row>
    <row r="189" spans="4:4">
      <c r="D189" s="44"/>
    </row>
    <row r="190" spans="4:4">
      <c r="D190" s="44"/>
    </row>
    <row r="191" spans="4:4">
      <c r="D191" s="44"/>
    </row>
    <row r="192" spans="4:4">
      <c r="D192" s="44"/>
    </row>
    <row r="193" spans="4:4">
      <c r="D193" s="44"/>
    </row>
    <row r="194" spans="4:4">
      <c r="D194" s="44"/>
    </row>
    <row r="195" spans="4:4">
      <c r="D195" s="44"/>
    </row>
    <row r="196" spans="4:4">
      <c r="D196" s="44"/>
    </row>
    <row r="197" spans="4:4">
      <c r="D197" s="44"/>
    </row>
    <row r="198" spans="4:4">
      <c r="D198" s="44"/>
    </row>
    <row r="199" spans="4:4">
      <c r="D199" s="44"/>
    </row>
    <row r="200" spans="4:4">
      <c r="D200" s="44"/>
    </row>
    <row r="201" spans="4:4">
      <c r="D201" s="44"/>
    </row>
    <row r="202" spans="4:4">
      <c r="D202" s="44"/>
    </row>
    <row r="203" spans="4:4">
      <c r="D203" s="44"/>
    </row>
    <row r="204" spans="4:4">
      <c r="D204" s="44"/>
    </row>
    <row r="205" spans="4:4">
      <c r="D205" s="44"/>
    </row>
    <row r="206" spans="4:4">
      <c r="D206" s="44"/>
    </row>
    <row r="207" spans="4:4">
      <c r="D207" s="44"/>
    </row>
    <row r="208" spans="4:4">
      <c r="D208" s="44"/>
    </row>
    <row r="209" spans="4:4">
      <c r="D209" s="44"/>
    </row>
    <row r="210" spans="4:4">
      <c r="D210" s="44"/>
    </row>
    <row r="211" spans="4:4">
      <c r="D211" s="44"/>
    </row>
    <row r="212" spans="4:4">
      <c r="D212" s="44"/>
    </row>
    <row r="213" spans="4:4">
      <c r="D213" s="44"/>
    </row>
    <row r="214" spans="4:4">
      <c r="D214" s="44"/>
    </row>
    <row r="215" spans="4:4">
      <c r="D215" s="44"/>
    </row>
    <row r="216" spans="4:4">
      <c r="D216" s="44"/>
    </row>
    <row r="217" spans="4:4">
      <c r="D217" s="44"/>
    </row>
    <row r="218" spans="4:4">
      <c r="D218" s="44"/>
    </row>
    <row r="219" spans="4:4">
      <c r="D219" s="44"/>
    </row>
    <row r="220" spans="4:4">
      <c r="D220" s="44"/>
    </row>
    <row r="221" spans="4:4">
      <c r="D221" s="44"/>
    </row>
    <row r="222" spans="4:4">
      <c r="D222" s="44"/>
    </row>
    <row r="223" spans="4:4">
      <c r="D223" s="44"/>
    </row>
    <row r="224" spans="4:4">
      <c r="D224" s="44"/>
    </row>
    <row r="225" spans="4:4">
      <c r="D225" s="44"/>
    </row>
    <row r="226" spans="4:4">
      <c r="D226" s="44"/>
    </row>
    <row r="227" spans="4:4">
      <c r="D227" s="44"/>
    </row>
    <row r="228" spans="4:4">
      <c r="D228" s="44"/>
    </row>
    <row r="229" spans="4:4">
      <c r="D229" s="44"/>
    </row>
    <row r="230" spans="4:4">
      <c r="D230" s="44"/>
    </row>
    <row r="231" spans="4:4">
      <c r="D231" s="44"/>
    </row>
    <row r="232" spans="4:4">
      <c r="D232" s="44"/>
    </row>
    <row r="233" spans="4:4">
      <c r="D233" s="44"/>
    </row>
    <row r="234" spans="4:4">
      <c r="D234" s="44"/>
    </row>
    <row r="235" spans="4:4">
      <c r="D235" s="44"/>
    </row>
    <row r="236" spans="4:4">
      <c r="D236" s="44"/>
    </row>
    <row r="237" spans="4:4">
      <c r="D237" s="44"/>
    </row>
    <row r="238" spans="4:4">
      <c r="D238" s="44"/>
    </row>
    <row r="239" spans="4:4">
      <c r="D239" s="44"/>
    </row>
    <row r="240" spans="4:4">
      <c r="D240" s="44"/>
    </row>
    <row r="241" spans="4:4">
      <c r="D241" s="44"/>
    </row>
    <row r="242" spans="4:4">
      <c r="D242" s="44"/>
    </row>
    <row r="243" spans="4:4">
      <c r="D243" s="44"/>
    </row>
    <row r="244" spans="4:4">
      <c r="D244" s="44"/>
    </row>
    <row r="245" spans="4:4">
      <c r="D245" s="44"/>
    </row>
    <row r="246" spans="4:4">
      <c r="D246" s="44"/>
    </row>
    <row r="247" spans="4:4">
      <c r="D247" s="44"/>
    </row>
    <row r="248" spans="4:4">
      <c r="D248" s="44"/>
    </row>
    <row r="249" spans="4:4">
      <c r="D249" s="44"/>
    </row>
    <row r="250" spans="4:4">
      <c r="D250" s="44"/>
    </row>
    <row r="251" spans="4:4">
      <c r="D251" s="44"/>
    </row>
    <row r="252" spans="4:4">
      <c r="D252" s="44"/>
    </row>
    <row r="253" spans="4:4">
      <c r="D253" s="44"/>
    </row>
    <row r="254" spans="4:4">
      <c r="D254" s="44"/>
    </row>
    <row r="255" spans="4:4">
      <c r="D255" s="44"/>
    </row>
    <row r="256" spans="4:4">
      <c r="D256" s="44"/>
    </row>
    <row r="257" spans="4:4">
      <c r="D257" s="44"/>
    </row>
    <row r="258" spans="4:4">
      <c r="D258" s="44"/>
    </row>
    <row r="259" spans="4:4">
      <c r="D259" s="44"/>
    </row>
    <row r="260" spans="4:4">
      <c r="D260" s="44"/>
    </row>
    <row r="261" spans="4:4">
      <c r="D261" s="44"/>
    </row>
    <row r="262" spans="4:4">
      <c r="D262" s="44"/>
    </row>
    <row r="263" spans="4:4">
      <c r="D263" s="44"/>
    </row>
    <row r="264" spans="4:4">
      <c r="D264" s="44"/>
    </row>
    <row r="265" spans="4:4">
      <c r="D265" s="44"/>
    </row>
    <row r="266" spans="4:4">
      <c r="D266" s="44"/>
    </row>
    <row r="267" spans="4:4">
      <c r="D267" s="44"/>
    </row>
    <row r="268" spans="4:4">
      <c r="D268" s="44"/>
    </row>
    <row r="269" spans="4:4">
      <c r="D269" s="44"/>
    </row>
    <row r="270" spans="4:4">
      <c r="D270" s="44"/>
    </row>
    <row r="271" spans="4:4">
      <c r="D271" s="44"/>
    </row>
    <row r="272" spans="4:4">
      <c r="D272" s="44"/>
    </row>
    <row r="273" spans="4:4">
      <c r="D273" s="44"/>
    </row>
    <row r="274" spans="4:4">
      <c r="D274" s="44"/>
    </row>
    <row r="275" spans="4:4">
      <c r="D275" s="44"/>
    </row>
    <row r="276" spans="4:4">
      <c r="D276" s="44"/>
    </row>
    <row r="277" spans="4:4">
      <c r="D277" s="44"/>
    </row>
    <row r="278" spans="4:4">
      <c r="D278" s="44"/>
    </row>
    <row r="279" spans="4:4">
      <c r="D279" s="44"/>
    </row>
    <row r="280" spans="4:4">
      <c r="D280" s="44"/>
    </row>
    <row r="281" spans="4:4">
      <c r="D281" s="44"/>
    </row>
    <row r="282" spans="4:4">
      <c r="D282" s="44"/>
    </row>
    <row r="283" spans="4:4">
      <c r="D283" s="44"/>
    </row>
    <row r="284" spans="4:4">
      <c r="D284" s="44"/>
    </row>
    <row r="285" spans="4:4">
      <c r="D285" s="44"/>
    </row>
    <row r="286" spans="4:4">
      <c r="D286" s="44"/>
    </row>
    <row r="287" spans="4:4">
      <c r="D287" s="44"/>
    </row>
    <row r="288" spans="4:4">
      <c r="D288" s="44"/>
    </row>
    <row r="289" spans="4:4">
      <c r="D289" s="44"/>
    </row>
    <row r="290" spans="4:4">
      <c r="D290" s="44"/>
    </row>
    <row r="291" spans="4:4">
      <c r="D291" s="44"/>
    </row>
    <row r="292" spans="4:4">
      <c r="D292" s="44"/>
    </row>
    <row r="293" spans="4:4">
      <c r="D293" s="44"/>
    </row>
    <row r="294" spans="4:4">
      <c r="D294" s="44"/>
    </row>
    <row r="295" spans="4:4">
      <c r="D295" s="44"/>
    </row>
    <row r="296" spans="4:4">
      <c r="D296" s="44"/>
    </row>
    <row r="297" spans="4:4">
      <c r="D297" s="44"/>
    </row>
    <row r="298" spans="4:4">
      <c r="D298" s="44"/>
    </row>
    <row r="299" spans="4:4">
      <c r="D299" s="44"/>
    </row>
    <row r="300" spans="4:4">
      <c r="D300" s="44"/>
    </row>
    <row r="301" spans="4:4">
      <c r="D301" s="44"/>
    </row>
    <row r="302" spans="4:4">
      <c r="D302" s="44"/>
    </row>
    <row r="303" spans="4:4">
      <c r="D303" s="44"/>
    </row>
    <row r="304" spans="4:4">
      <c r="D304" s="44"/>
    </row>
    <row r="305" spans="4:4">
      <c r="D305" s="44"/>
    </row>
    <row r="306" spans="4:4">
      <c r="D306" s="44"/>
    </row>
    <row r="307" spans="4:4">
      <c r="D307" s="44"/>
    </row>
    <row r="308" spans="4:4">
      <c r="D308" s="44"/>
    </row>
    <row r="309" spans="4:4">
      <c r="D309" s="44"/>
    </row>
    <row r="310" spans="4:4">
      <c r="D310" s="44"/>
    </row>
    <row r="311" spans="4:4">
      <c r="D311" s="44"/>
    </row>
    <row r="312" spans="4:4">
      <c r="D312" s="44"/>
    </row>
    <row r="313" spans="4:4">
      <c r="D313" s="44"/>
    </row>
    <row r="314" spans="4:4">
      <c r="D314" s="44"/>
    </row>
    <row r="315" spans="4:4">
      <c r="D315" s="44"/>
    </row>
    <row r="316" spans="4:4">
      <c r="D316" s="44"/>
    </row>
    <row r="317" spans="4:4">
      <c r="D317" s="44"/>
    </row>
    <row r="318" spans="4:4">
      <c r="D318" s="44"/>
    </row>
    <row r="319" spans="4:4">
      <c r="D319" s="44"/>
    </row>
    <row r="320" spans="4:4">
      <c r="D320" s="44"/>
    </row>
    <row r="321" spans="4:4">
      <c r="D321" s="44"/>
    </row>
    <row r="322" spans="4:4">
      <c r="D322" s="44"/>
    </row>
    <row r="323" spans="4:4">
      <c r="D323" s="44"/>
    </row>
    <row r="324" spans="4:4">
      <c r="D324" s="44"/>
    </row>
    <row r="325" spans="4:4">
      <c r="D325" s="44"/>
    </row>
    <row r="326" spans="4:4">
      <c r="D326" s="44"/>
    </row>
    <row r="327" spans="4:4">
      <c r="D327" s="44"/>
    </row>
    <row r="328" spans="4:4">
      <c r="D328" s="44"/>
    </row>
    <row r="329" spans="4:4">
      <c r="D329" s="44"/>
    </row>
    <row r="330" spans="4:4">
      <c r="D330" s="44"/>
    </row>
    <row r="331" spans="4:4">
      <c r="D331" s="44"/>
    </row>
    <row r="332" spans="4:4">
      <c r="D332" s="44"/>
    </row>
    <row r="333" spans="4:4">
      <c r="D333" s="44"/>
    </row>
    <row r="334" spans="4:4">
      <c r="D334" s="44"/>
    </row>
    <row r="335" spans="4:4">
      <c r="D335" s="44"/>
    </row>
    <row r="336" spans="4:4">
      <c r="D336" s="44"/>
    </row>
    <row r="337" spans="4:4">
      <c r="D337" s="44"/>
    </row>
    <row r="338" spans="4:4">
      <c r="D338" s="44"/>
    </row>
    <row r="339" spans="4:4">
      <c r="D339" s="44"/>
    </row>
    <row r="340" spans="4:4">
      <c r="D340" s="44"/>
    </row>
    <row r="341" spans="4:4">
      <c r="D341" s="44"/>
    </row>
    <row r="342" spans="4:4">
      <c r="D342" s="44"/>
    </row>
    <row r="343" spans="4:4">
      <c r="D343" s="44"/>
    </row>
    <row r="344" spans="4:4">
      <c r="D344" s="44"/>
    </row>
    <row r="345" spans="4:4">
      <c r="D345" s="44"/>
    </row>
    <row r="346" spans="4:4">
      <c r="D346" s="44"/>
    </row>
    <row r="347" spans="4:4">
      <c r="D347" s="44"/>
    </row>
    <row r="348" spans="4:4">
      <c r="D348" s="44"/>
    </row>
    <row r="349" spans="4:4">
      <c r="D349" s="44"/>
    </row>
    <row r="350" spans="4:4">
      <c r="D350" s="44"/>
    </row>
    <row r="351" spans="4:4">
      <c r="D351" s="44"/>
    </row>
    <row r="352" spans="4:4">
      <c r="D352" s="44"/>
    </row>
    <row r="353" spans="4:4">
      <c r="D353" s="44"/>
    </row>
    <row r="354" spans="4:4">
      <c r="D354" s="44"/>
    </row>
    <row r="355" spans="4:4">
      <c r="D355" s="44"/>
    </row>
    <row r="356" spans="4:4">
      <c r="D356" s="44"/>
    </row>
    <row r="357" spans="4:4">
      <c r="D357" s="44"/>
    </row>
    <row r="358" spans="4:4">
      <c r="D358" s="44"/>
    </row>
    <row r="359" spans="4:4">
      <c r="D359" s="44"/>
    </row>
    <row r="360" spans="4:4">
      <c r="D360" s="44"/>
    </row>
    <row r="361" spans="4:4">
      <c r="D361" s="44"/>
    </row>
    <row r="362" spans="4:4">
      <c r="D362" s="44"/>
    </row>
    <row r="363" spans="4:4">
      <c r="D363" s="44"/>
    </row>
    <row r="364" spans="4:4">
      <c r="D364" s="44"/>
    </row>
    <row r="365" spans="4:4">
      <c r="D365" s="44"/>
    </row>
    <row r="366" spans="4:4">
      <c r="D366" s="44"/>
    </row>
    <row r="367" spans="4:4">
      <c r="D367" s="44"/>
    </row>
    <row r="368" spans="4:4">
      <c r="D368" s="44"/>
    </row>
    <row r="369" spans="4:4">
      <c r="D369" s="44"/>
    </row>
    <row r="370" spans="4:4">
      <c r="D370" s="44"/>
    </row>
    <row r="371" spans="4:4">
      <c r="D371" s="44"/>
    </row>
    <row r="372" spans="4:4">
      <c r="D372" s="44"/>
    </row>
    <row r="373" spans="4:4">
      <c r="D373" s="44"/>
    </row>
    <row r="374" spans="4:4">
      <c r="D374" s="44"/>
    </row>
    <row r="375" spans="4:4">
      <c r="D375" s="44"/>
    </row>
    <row r="376" spans="4:4">
      <c r="D376" s="44"/>
    </row>
    <row r="377" spans="4:4">
      <c r="D377" s="44"/>
    </row>
    <row r="378" spans="4:4">
      <c r="D378" s="44"/>
    </row>
    <row r="379" spans="4:4">
      <c r="D379" s="44"/>
    </row>
    <row r="380" spans="4:4">
      <c r="D380" s="44"/>
    </row>
    <row r="381" spans="4:4">
      <c r="D381" s="44"/>
    </row>
    <row r="382" spans="4:4">
      <c r="D382" s="44"/>
    </row>
    <row r="383" spans="4:4">
      <c r="D383" s="44"/>
    </row>
    <row r="384" spans="4:4">
      <c r="D384" s="44"/>
    </row>
    <row r="385" spans="4:4">
      <c r="D385" s="44"/>
    </row>
    <row r="386" spans="4:4">
      <c r="D386" s="44"/>
    </row>
    <row r="387" spans="4:4">
      <c r="D387" s="44"/>
    </row>
    <row r="388" spans="4:4">
      <c r="D388" s="44"/>
    </row>
    <row r="389" spans="4:4">
      <c r="D389" s="44"/>
    </row>
    <row r="390" spans="4:4">
      <c r="D390" s="44"/>
    </row>
    <row r="391" spans="4:4">
      <c r="D391" s="44"/>
    </row>
    <row r="392" spans="4:4">
      <c r="D392" s="44"/>
    </row>
    <row r="393" spans="4:4">
      <c r="D393" s="44"/>
    </row>
    <row r="394" spans="4:4">
      <c r="D394" s="44"/>
    </row>
    <row r="395" spans="4:4">
      <c r="D395" s="44"/>
    </row>
    <row r="396" spans="4:4">
      <c r="D396" s="44"/>
    </row>
    <row r="397" spans="4:4">
      <c r="D397" s="44"/>
    </row>
    <row r="398" spans="4:4">
      <c r="D398" s="44"/>
    </row>
    <row r="399" spans="4:4">
      <c r="D399" s="44"/>
    </row>
    <row r="400" spans="4:4">
      <c r="D400" s="44"/>
    </row>
    <row r="401" spans="4:4">
      <c r="D401" s="44"/>
    </row>
    <row r="402" spans="4:4">
      <c r="D402" s="44"/>
    </row>
    <row r="403" spans="4:4">
      <c r="D403" s="44"/>
    </row>
    <row r="404" spans="4:4">
      <c r="D404" s="44"/>
    </row>
    <row r="405" spans="4:4">
      <c r="D405" s="44"/>
    </row>
    <row r="406" spans="4:4">
      <c r="D406" s="44"/>
    </row>
    <row r="407" spans="4:4">
      <c r="D407" s="44"/>
    </row>
    <row r="408" spans="4:4">
      <c r="D408" s="44"/>
    </row>
    <row r="409" spans="4:4">
      <c r="D409" s="44"/>
    </row>
    <row r="410" spans="4:4">
      <c r="D410" s="44"/>
    </row>
    <row r="411" spans="4:4">
      <c r="D411" s="44"/>
    </row>
    <row r="412" spans="4:4">
      <c r="D412" s="44"/>
    </row>
    <row r="413" spans="4:4">
      <c r="D413" s="44"/>
    </row>
    <row r="414" spans="4:4">
      <c r="D414" s="44"/>
    </row>
    <row r="415" spans="4:4">
      <c r="D415" s="44"/>
    </row>
    <row r="416" spans="4:4">
      <c r="D416" s="44"/>
    </row>
    <row r="417" spans="4:4">
      <c r="D417" s="44"/>
    </row>
    <row r="418" spans="4:4">
      <c r="D418" s="44"/>
    </row>
    <row r="419" spans="4:4">
      <c r="D419" s="44"/>
    </row>
    <row r="420" spans="4:4">
      <c r="D420" s="44"/>
    </row>
    <row r="421" spans="4:4">
      <c r="D421" s="44"/>
    </row>
    <row r="422" spans="4:4">
      <c r="D422" s="44"/>
    </row>
    <row r="423" spans="4:4">
      <c r="D423" s="44"/>
    </row>
    <row r="424" spans="4:4">
      <c r="D424" s="44"/>
    </row>
    <row r="425" spans="4:4">
      <c r="D425" s="44"/>
    </row>
    <row r="426" spans="4:4">
      <c r="D426" s="44"/>
    </row>
    <row r="427" spans="4:4">
      <c r="D427" s="44"/>
    </row>
    <row r="428" spans="4:4">
      <c r="D428" s="44"/>
    </row>
    <row r="429" spans="4:4">
      <c r="D429" s="44"/>
    </row>
    <row r="430" spans="4:4">
      <c r="D430" s="44"/>
    </row>
    <row r="431" spans="4:4">
      <c r="D431" s="44"/>
    </row>
    <row r="432" spans="4:4">
      <c r="D432" s="44"/>
    </row>
    <row r="433" spans="4:4">
      <c r="D433" s="44"/>
    </row>
    <row r="434" spans="4:4">
      <c r="D434" s="44"/>
    </row>
    <row r="435" spans="4:4">
      <c r="D435" s="44"/>
    </row>
    <row r="436" spans="4:4">
      <c r="D436" s="44"/>
    </row>
    <row r="437" spans="4:4">
      <c r="D437" s="44"/>
    </row>
    <row r="438" spans="4:4">
      <c r="D438" s="44"/>
    </row>
    <row r="439" spans="4:4">
      <c r="D439" s="44"/>
    </row>
    <row r="440" spans="4:4">
      <c r="D440" s="44"/>
    </row>
    <row r="441" spans="4:4">
      <c r="D441" s="44"/>
    </row>
    <row r="442" spans="4:4">
      <c r="D442" s="44"/>
    </row>
    <row r="443" spans="4:4">
      <c r="D443" s="44"/>
    </row>
    <row r="444" spans="4:4">
      <c r="D444" s="44"/>
    </row>
    <row r="445" spans="4:4">
      <c r="D445" s="44"/>
    </row>
    <row r="446" spans="4:4">
      <c r="D446" s="44"/>
    </row>
    <row r="447" spans="4:4">
      <c r="D447" s="44"/>
    </row>
    <row r="448" spans="4:4">
      <c r="D448" s="44"/>
    </row>
    <row r="449" spans="4:4">
      <c r="D449" s="44"/>
    </row>
    <row r="450" spans="4:4">
      <c r="D450" s="44"/>
    </row>
    <row r="451" spans="4:4">
      <c r="D451" s="44"/>
    </row>
    <row r="452" spans="4:4">
      <c r="D452" s="44"/>
    </row>
    <row r="453" spans="4:4">
      <c r="D453" s="44"/>
    </row>
    <row r="454" spans="4:4">
      <c r="D454" s="44"/>
    </row>
    <row r="455" spans="4:4">
      <c r="D455" s="44"/>
    </row>
    <row r="456" spans="4:4">
      <c r="D456" s="44"/>
    </row>
    <row r="457" spans="4:4">
      <c r="D457" s="44"/>
    </row>
    <row r="458" spans="4:4">
      <c r="D458" s="44"/>
    </row>
    <row r="459" spans="4:4">
      <c r="D459" s="44"/>
    </row>
    <row r="460" spans="4:4">
      <c r="D460" s="44"/>
    </row>
    <row r="461" spans="4:4">
      <c r="D461" s="44"/>
    </row>
    <row r="462" spans="4:4">
      <c r="D462" s="44"/>
    </row>
    <row r="463" spans="4:4">
      <c r="D463" s="44"/>
    </row>
    <row r="464" spans="4:4">
      <c r="D464" s="44"/>
    </row>
    <row r="465" spans="4:4">
      <c r="D465" s="44"/>
    </row>
    <row r="466" spans="4:4">
      <c r="D466" s="44"/>
    </row>
    <row r="467" spans="4:4">
      <c r="D467" s="44"/>
    </row>
    <row r="468" spans="4:4">
      <c r="D468" s="44"/>
    </row>
    <row r="469" spans="4:4">
      <c r="D469" s="44"/>
    </row>
    <row r="470" spans="4:4">
      <c r="D470" s="44"/>
    </row>
    <row r="471" spans="4:4">
      <c r="D471" s="44"/>
    </row>
    <row r="472" spans="4:4">
      <c r="D472" s="44"/>
    </row>
    <row r="473" spans="4:4">
      <c r="D473" s="44"/>
    </row>
    <row r="474" spans="4:4">
      <c r="D474" s="44"/>
    </row>
    <row r="475" spans="4:4">
      <c r="D475" s="44"/>
    </row>
    <row r="476" spans="4:4">
      <c r="D476" s="44"/>
    </row>
    <row r="477" spans="4:4">
      <c r="D477" s="44"/>
    </row>
    <row r="478" spans="4:4">
      <c r="D478" s="44"/>
    </row>
    <row r="479" spans="4:4">
      <c r="D479" s="44"/>
    </row>
    <row r="480" spans="4:4">
      <c r="D480" s="44"/>
    </row>
    <row r="481" spans="4:4">
      <c r="D481" s="44"/>
    </row>
    <row r="482" spans="4:4">
      <c r="D482" s="44"/>
    </row>
    <row r="483" spans="4:4">
      <c r="D483" s="44"/>
    </row>
    <row r="484" spans="4:4">
      <c r="D484" s="44"/>
    </row>
    <row r="485" spans="4:4">
      <c r="D485" s="44"/>
    </row>
    <row r="486" spans="4:4">
      <c r="D486" s="44"/>
    </row>
    <row r="487" spans="4:4">
      <c r="D487" s="44"/>
    </row>
    <row r="488" spans="4:4">
      <c r="D488" s="44"/>
    </row>
    <row r="489" spans="4:4">
      <c r="D489" s="44"/>
    </row>
    <row r="490" spans="4:4">
      <c r="D490" s="44"/>
    </row>
    <row r="491" spans="4:4">
      <c r="D491" s="44"/>
    </row>
    <row r="492" spans="4:4">
      <c r="D492" s="44"/>
    </row>
    <row r="493" spans="4:4">
      <c r="D493" s="44"/>
    </row>
    <row r="494" spans="4:4">
      <c r="D494" s="44"/>
    </row>
    <row r="495" spans="4:4">
      <c r="D495" s="44"/>
    </row>
    <row r="496" spans="4:4">
      <c r="D496" s="44"/>
    </row>
    <row r="497" spans="4:4">
      <c r="D497" s="44"/>
    </row>
    <row r="498" spans="4:4">
      <c r="D498" s="44"/>
    </row>
    <row r="499" spans="4:4">
      <c r="D499" s="44"/>
    </row>
    <row r="500" spans="4:4">
      <c r="D500" s="44"/>
    </row>
    <row r="501" spans="4:4">
      <c r="D501" s="44"/>
    </row>
    <row r="502" spans="4:4">
      <c r="D502" s="44"/>
    </row>
    <row r="503" spans="4:4">
      <c r="D503" s="44"/>
    </row>
    <row r="504" spans="4:4">
      <c r="D504" s="44"/>
    </row>
    <row r="505" spans="4:4">
      <c r="D505" s="44"/>
    </row>
    <row r="506" spans="4:4">
      <c r="D506" s="44"/>
    </row>
    <row r="507" spans="4:4">
      <c r="D507" s="44"/>
    </row>
    <row r="508" spans="4:4">
      <c r="D508" s="44"/>
    </row>
    <row r="509" spans="4:4">
      <c r="D509" s="44"/>
    </row>
    <row r="510" spans="4:4">
      <c r="D510" s="44"/>
    </row>
    <row r="511" spans="4:4">
      <c r="D511" s="44"/>
    </row>
    <row r="512" spans="4:4">
      <c r="D512" s="44"/>
    </row>
    <row r="513" spans="4:4">
      <c r="D513" s="44"/>
    </row>
    <row r="514" spans="4:4">
      <c r="D514" s="44"/>
    </row>
    <row r="515" spans="4:4">
      <c r="D515" s="44"/>
    </row>
    <row r="516" spans="4:4">
      <c r="D516" s="44"/>
    </row>
    <row r="517" spans="4:4">
      <c r="D517" s="44"/>
    </row>
    <row r="518" spans="4:4">
      <c r="D518" s="44"/>
    </row>
    <row r="519" spans="4:4">
      <c r="D519" s="44"/>
    </row>
    <row r="520" spans="4:4">
      <c r="D520" s="44"/>
    </row>
    <row r="521" spans="4:4">
      <c r="D521" s="44"/>
    </row>
    <row r="522" spans="4:4">
      <c r="D522" s="44"/>
    </row>
    <row r="523" spans="4:4">
      <c r="D523" s="44"/>
    </row>
    <row r="524" spans="4:4">
      <c r="D524" s="44"/>
    </row>
    <row r="525" spans="4:4">
      <c r="D525" s="44"/>
    </row>
    <row r="526" spans="4:4">
      <c r="D526" s="44"/>
    </row>
    <row r="527" spans="4:4">
      <c r="D527" s="44"/>
    </row>
    <row r="528" spans="4:4">
      <c r="D528" s="44"/>
    </row>
    <row r="529" spans="4:4">
      <c r="D529" s="44"/>
    </row>
    <row r="530" spans="4:4">
      <c r="D530" s="44"/>
    </row>
  </sheetData>
  <sheetProtection password="F67A" sheet="1" objects="1" scenarios="1"/>
  <customSheetViews>
    <customSheetView guid="{838FC631-5CD8-4B5F-94A9-B347B44DBECA}" showPageBreaks="1" showGridLines="0" printArea="1">
      <selection activeCell="A5" sqref="A5:I5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1"/>
      <headerFooter alignWithMargins="0"/>
    </customSheetView>
    <customSheetView guid="{F34DE23E-C2FC-4B4A-B395-2ECC4B257D7F}" showGridLines="0" showRuler="0">
      <selection activeCell="C3" sqref="C3:I3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2"/>
      <headerFooter alignWithMargins="0"/>
    </customSheetView>
    <customSheetView guid="{1EA129D6-B7D5-44D1-A42D-8520A40A3C99}" showPageBreaks="1" showGridLines="0" printArea="1" showRuler="0">
      <selection activeCell="A5" sqref="A5:I5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3"/>
      <headerFooter alignWithMargins="0"/>
    </customSheetView>
    <customSheetView guid="{A55C2A1B-A1E2-4A91-8110-4C7E057410B0}" showGridLines="0" showRuler="0">
      <selection activeCell="A5" sqref="A5:I5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4"/>
      <headerFooter alignWithMargins="0"/>
    </customSheetView>
    <customSheetView guid="{607D0388-2BEA-426E-8D98-5720E54B1F73}" showGridLines="0" showRuler="0">
      <selection activeCell="A34" sqref="A34:G34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5"/>
      <headerFooter alignWithMargins="0"/>
    </customSheetView>
    <customSheetView guid="{5FA3A750-9528-4A4E-A380-E03425E78E71}" showPageBreaks="1" showGridLines="0" printArea="1" showRuler="0">
      <selection sqref="A1:I1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6"/>
      <headerFooter alignWithMargins="0"/>
    </customSheetView>
    <customSheetView guid="{E3F5E2CC-DF49-11DA-B943-00E07DA1701B}" showGridLines="0" showRuler="0">
      <selection activeCell="A37" sqref="A37:I41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7"/>
      <headerFooter alignWithMargins="0"/>
    </customSheetView>
    <customSheetView guid="{49DAB178-4BA0-48BE-8FEF-530628498037}" showPageBreaks="1" showGridLines="0" printArea="1" showRuler="0" topLeftCell="A11">
      <selection activeCell="J34" sqref="J34"/>
      <colBreaks count="1" manualBreakCount="1">
        <brk id="9" max="1048575" man="1"/>
      </colBreaks>
      <pageMargins left="1.1811023622047245" right="0.78740157480314965" top="0.98425196850393704" bottom="0.98425196850393704" header="0.51181102362204722" footer="0.51181102362204722"/>
      <pageSetup paperSize="9" scale="82" orientation="portrait" horizontalDpi="300" verticalDpi="300" r:id="rId8"/>
      <headerFooter alignWithMargins="0"/>
    </customSheetView>
  </customSheetViews>
  <mergeCells count="53">
    <mergeCell ref="A27:F27"/>
    <mergeCell ref="D33:E33"/>
    <mergeCell ref="D34:E34"/>
    <mergeCell ref="A34:B34"/>
    <mergeCell ref="A31:I31"/>
    <mergeCell ref="A28:F28"/>
    <mergeCell ref="A29:F29"/>
    <mergeCell ref="H29:I29"/>
    <mergeCell ref="A37:I41"/>
    <mergeCell ref="A32:I32"/>
    <mergeCell ref="A33:B33"/>
    <mergeCell ref="H33:I33"/>
    <mergeCell ref="H34:I34"/>
    <mergeCell ref="A35:G35"/>
    <mergeCell ref="H35:I35"/>
    <mergeCell ref="A26:F26"/>
    <mergeCell ref="O17:P17"/>
    <mergeCell ref="O18:P18"/>
    <mergeCell ref="O19:P19"/>
    <mergeCell ref="O20:P20"/>
    <mergeCell ref="O23:P23"/>
    <mergeCell ref="A24:C24"/>
    <mergeCell ref="A25:F25"/>
    <mergeCell ref="O22:P22"/>
    <mergeCell ref="O21:P21"/>
    <mergeCell ref="A1:I1"/>
    <mergeCell ref="J2:L3"/>
    <mergeCell ref="A6:A8"/>
    <mergeCell ref="C6:C8"/>
    <mergeCell ref="D6:D7"/>
    <mergeCell ref="G6:G7"/>
    <mergeCell ref="H6:H8"/>
    <mergeCell ref="F4:H4"/>
    <mergeCell ref="E7:E8"/>
    <mergeCell ref="F7:F8"/>
    <mergeCell ref="E6:F6"/>
    <mergeCell ref="A2:B2"/>
    <mergeCell ref="A3:B3"/>
    <mergeCell ref="O10:P10"/>
    <mergeCell ref="B6:B8"/>
    <mergeCell ref="O7:P7"/>
    <mergeCell ref="A4:D4"/>
    <mergeCell ref="A5:I5"/>
    <mergeCell ref="I6:I8"/>
    <mergeCell ref="C2:I2"/>
    <mergeCell ref="C3:I3"/>
    <mergeCell ref="O16:P16"/>
    <mergeCell ref="O8:P8"/>
    <mergeCell ref="O15:P15"/>
    <mergeCell ref="O11:P11"/>
    <mergeCell ref="O12:P12"/>
    <mergeCell ref="O13:P13"/>
    <mergeCell ref="O14:P14"/>
  </mergeCells>
  <phoneticPr fontId="0" type="noConversion"/>
  <conditionalFormatting sqref="F9:F23">
    <cfRule type="expression" dxfId="20" priority="1" stopIfTrue="1">
      <formula>D9&gt;0</formula>
    </cfRule>
  </conditionalFormatting>
  <conditionalFormatting sqref="G9:G23">
    <cfRule type="expression" dxfId="19" priority="2" stopIfTrue="1">
      <formula>D9&gt;0</formula>
    </cfRule>
  </conditionalFormatting>
  <conditionalFormatting sqref="I9:I22">
    <cfRule type="expression" dxfId="18" priority="3" stopIfTrue="1">
      <formula>AND(ISERROR(H9),ISERROR(H10))</formula>
    </cfRule>
    <cfRule type="expression" dxfId="17" priority="4" stopIfTrue="1">
      <formula>AND(ISERROR(H10))</formula>
    </cfRule>
  </conditionalFormatting>
  <conditionalFormatting sqref="C33 F34 I24:I26 G25:I25 H35 C2:C3 I4 E4 A2:A3 D24:D25 G26:G29 H26:H27 H29">
    <cfRule type="cellIs" dxfId="16" priority="5" stopIfTrue="1" operator="lessThanOrEqual">
      <formula>0</formula>
    </cfRule>
  </conditionalFormatting>
  <conditionalFormatting sqref="I23">
    <cfRule type="cellIs" dxfId="15" priority="6" stopIfTrue="1" operator="greaterThan">
      <formula>0</formula>
    </cfRule>
  </conditionalFormatting>
  <conditionalFormatting sqref="H9:H23 E9:E23 E24:H25 D8 D13:D23">
    <cfRule type="cellIs" dxfId="14" priority="7" stopIfTrue="1" operator="greaterThanOrEqual">
      <formula>0</formula>
    </cfRule>
  </conditionalFormatting>
  <pageMargins left="1.1811023622047245" right="0.78740157480314965" top="0.98425196850393704" bottom="0.98425196850393704" header="0.51181102362204722" footer="0.51181102362204722"/>
  <pageSetup paperSize="9" scale="82" orientation="portrait" horizontalDpi="300" verticalDpi="300" r:id="rId9"/>
  <headerFooter alignWithMargins="0"/>
  <colBreaks count="1" manualBreakCount="1">
    <brk id="9" max="1048575" man="1"/>
  </colBreaks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12"/>
  </sheetPr>
  <dimension ref="A1:IV606"/>
  <sheetViews>
    <sheetView tabSelected="1" zoomScaleNormal="100" workbookViewId="0" xr3:uid="{958C4451-9541-5A59-BF78-D2F731DF1C81}">
      <selection activeCell="D3" sqref="D3:E3"/>
    </sheetView>
  </sheetViews>
  <sheetFormatPr defaultColWidth="9.16796875" defaultRowHeight="12.75"/>
  <cols>
    <col min="1" max="1" width="3.37109375" style="42" customWidth="1"/>
    <col min="2" max="2" width="10.515625" style="43" customWidth="1"/>
    <col min="3" max="3" width="10.24609375" style="34" customWidth="1"/>
    <col min="4" max="4" width="10.78515625" style="34" customWidth="1"/>
    <col min="5" max="5" width="11.4609375" style="34" customWidth="1"/>
    <col min="6" max="6" width="10.65234375" style="45" customWidth="1"/>
    <col min="7" max="7" width="12.5390625" style="41" customWidth="1"/>
    <col min="8" max="8" width="11.0546875" style="53" customWidth="1"/>
    <col min="9" max="9" width="17.6640625" style="41" customWidth="1"/>
    <col min="10" max="10" width="10.3828125" style="34" bestFit="1" customWidth="1"/>
    <col min="11" max="11" width="13.75390625" style="34" bestFit="1" customWidth="1"/>
    <col min="12" max="16384" width="9.16796875" style="34"/>
  </cols>
  <sheetData>
    <row r="1" spans="1:256" ht="14.25">
      <c r="A1" s="221" t="s">
        <v>18</v>
      </c>
      <c r="B1" s="222"/>
      <c r="C1" s="222"/>
      <c r="D1" s="222"/>
      <c r="E1" s="222"/>
      <c r="F1" s="222"/>
      <c r="G1" s="222"/>
      <c r="H1" s="223"/>
      <c r="I1" s="221" t="s">
        <v>18</v>
      </c>
      <c r="J1" s="222"/>
      <c r="K1" s="222"/>
      <c r="L1" s="222"/>
      <c r="M1" s="222"/>
      <c r="N1" s="222"/>
      <c r="O1" s="222"/>
      <c r="P1" s="223"/>
      <c r="Q1" s="221" t="s">
        <v>18</v>
      </c>
      <c r="R1" s="222"/>
      <c r="S1" s="222"/>
      <c r="T1" s="222"/>
      <c r="U1" s="222"/>
      <c r="V1" s="222"/>
      <c r="W1" s="222"/>
      <c r="X1" s="223"/>
      <c r="Y1" s="221" t="s">
        <v>18</v>
      </c>
      <c r="Z1" s="222"/>
      <c r="AA1" s="222"/>
      <c r="AB1" s="222"/>
      <c r="AC1" s="222"/>
      <c r="AD1" s="222"/>
      <c r="AE1" s="222"/>
      <c r="AF1" s="223"/>
      <c r="AG1" s="221" t="s">
        <v>18</v>
      </c>
      <c r="AH1" s="222"/>
      <c r="AI1" s="222"/>
      <c r="AJ1" s="222"/>
      <c r="AK1" s="222"/>
      <c r="AL1" s="222"/>
      <c r="AM1" s="222"/>
      <c r="AN1" s="223"/>
      <c r="AO1" s="221" t="s">
        <v>18</v>
      </c>
      <c r="AP1" s="222"/>
      <c r="AQ1" s="222"/>
      <c r="AR1" s="222"/>
      <c r="AS1" s="222"/>
      <c r="AT1" s="222"/>
      <c r="AU1" s="222"/>
      <c r="AV1" s="223"/>
      <c r="AW1" s="221" t="s">
        <v>18</v>
      </c>
      <c r="AX1" s="222"/>
      <c r="AY1" s="222"/>
      <c r="AZ1" s="222"/>
      <c r="BA1" s="222"/>
      <c r="BB1" s="222"/>
      <c r="BC1" s="222"/>
      <c r="BD1" s="223"/>
      <c r="BE1" s="221" t="s">
        <v>18</v>
      </c>
      <c r="BF1" s="222"/>
      <c r="BG1" s="222"/>
      <c r="BH1" s="222"/>
      <c r="BI1" s="222"/>
      <c r="BJ1" s="222"/>
      <c r="BK1" s="222"/>
      <c r="BL1" s="223"/>
      <c r="BM1" s="221" t="s">
        <v>18</v>
      </c>
      <c r="BN1" s="222"/>
      <c r="BO1" s="222"/>
      <c r="BP1" s="222"/>
      <c r="BQ1" s="222"/>
      <c r="BR1" s="222"/>
      <c r="BS1" s="222"/>
      <c r="BT1" s="223"/>
      <c r="BU1" s="221" t="s">
        <v>18</v>
      </c>
      <c r="BV1" s="222"/>
      <c r="BW1" s="222"/>
      <c r="BX1" s="222"/>
      <c r="BY1" s="222"/>
      <c r="BZ1" s="222"/>
      <c r="CA1" s="222"/>
      <c r="CB1" s="223"/>
      <c r="CC1" s="221" t="s">
        <v>18</v>
      </c>
      <c r="CD1" s="222"/>
      <c r="CE1" s="222"/>
      <c r="CF1" s="222"/>
      <c r="CG1" s="222"/>
      <c r="CH1" s="222"/>
      <c r="CI1" s="222"/>
      <c r="CJ1" s="223"/>
      <c r="CK1" s="221" t="s">
        <v>18</v>
      </c>
      <c r="CL1" s="222"/>
      <c r="CM1" s="222"/>
      <c r="CN1" s="222"/>
      <c r="CO1" s="222"/>
      <c r="CP1" s="222"/>
      <c r="CQ1" s="222"/>
      <c r="CR1" s="223"/>
      <c r="CS1" s="221" t="s">
        <v>18</v>
      </c>
      <c r="CT1" s="222"/>
      <c r="CU1" s="222"/>
      <c r="CV1" s="222"/>
      <c r="CW1" s="222"/>
      <c r="CX1" s="222"/>
      <c r="CY1" s="222"/>
      <c r="CZ1" s="223"/>
      <c r="DA1" s="221" t="s">
        <v>18</v>
      </c>
      <c r="DB1" s="222"/>
      <c r="DC1" s="222"/>
      <c r="DD1" s="222"/>
      <c r="DE1" s="222"/>
      <c r="DF1" s="222"/>
      <c r="DG1" s="222"/>
      <c r="DH1" s="223"/>
      <c r="DI1" s="221" t="s">
        <v>18</v>
      </c>
      <c r="DJ1" s="222"/>
      <c r="DK1" s="222"/>
      <c r="DL1" s="222"/>
      <c r="DM1" s="222"/>
      <c r="DN1" s="222"/>
      <c r="DO1" s="222"/>
      <c r="DP1" s="223"/>
      <c r="DQ1" s="221" t="s">
        <v>18</v>
      </c>
      <c r="DR1" s="222"/>
      <c r="DS1" s="222"/>
      <c r="DT1" s="222"/>
      <c r="DU1" s="222"/>
      <c r="DV1" s="222"/>
      <c r="DW1" s="222"/>
      <c r="DX1" s="223"/>
      <c r="DY1" s="221" t="s">
        <v>18</v>
      </c>
      <c r="DZ1" s="222"/>
      <c r="EA1" s="222"/>
      <c r="EB1" s="222"/>
      <c r="EC1" s="222"/>
      <c r="ED1" s="222"/>
      <c r="EE1" s="222"/>
      <c r="EF1" s="223"/>
      <c r="EG1" s="221" t="s">
        <v>18</v>
      </c>
      <c r="EH1" s="222"/>
      <c r="EI1" s="222"/>
      <c r="EJ1" s="222"/>
      <c r="EK1" s="222"/>
      <c r="EL1" s="222"/>
      <c r="EM1" s="222"/>
      <c r="EN1" s="223"/>
      <c r="EO1" s="221" t="s">
        <v>18</v>
      </c>
      <c r="EP1" s="222"/>
      <c r="EQ1" s="222"/>
      <c r="ER1" s="222"/>
      <c r="ES1" s="222"/>
      <c r="ET1" s="222"/>
      <c r="EU1" s="222"/>
      <c r="EV1" s="223"/>
      <c r="EW1" s="221" t="s">
        <v>18</v>
      </c>
      <c r="EX1" s="222"/>
      <c r="EY1" s="222"/>
      <c r="EZ1" s="222"/>
      <c r="FA1" s="222"/>
      <c r="FB1" s="222"/>
      <c r="FC1" s="222"/>
      <c r="FD1" s="223"/>
      <c r="FE1" s="221" t="s">
        <v>18</v>
      </c>
      <c r="FF1" s="222"/>
      <c r="FG1" s="222"/>
      <c r="FH1" s="222"/>
      <c r="FI1" s="222"/>
      <c r="FJ1" s="222"/>
      <c r="FK1" s="222"/>
      <c r="FL1" s="223"/>
      <c r="FM1" s="221" t="s">
        <v>18</v>
      </c>
      <c r="FN1" s="222"/>
      <c r="FO1" s="222"/>
      <c r="FP1" s="222"/>
      <c r="FQ1" s="222"/>
      <c r="FR1" s="222"/>
      <c r="FS1" s="222"/>
      <c r="FT1" s="223"/>
      <c r="FU1" s="221" t="s">
        <v>18</v>
      </c>
      <c r="FV1" s="222"/>
      <c r="FW1" s="222"/>
      <c r="FX1" s="222"/>
      <c r="FY1" s="222"/>
      <c r="FZ1" s="222"/>
      <c r="GA1" s="222"/>
      <c r="GB1" s="223"/>
      <c r="GC1" s="221" t="s">
        <v>18</v>
      </c>
      <c r="GD1" s="222"/>
      <c r="GE1" s="222"/>
      <c r="GF1" s="222"/>
      <c r="GG1" s="222"/>
      <c r="GH1" s="222"/>
      <c r="GI1" s="222"/>
      <c r="GJ1" s="223"/>
      <c r="GK1" s="221" t="s">
        <v>18</v>
      </c>
      <c r="GL1" s="222"/>
      <c r="GM1" s="222"/>
      <c r="GN1" s="222"/>
      <c r="GO1" s="222"/>
      <c r="GP1" s="222"/>
      <c r="GQ1" s="222"/>
      <c r="GR1" s="223"/>
      <c r="GS1" s="221" t="s">
        <v>18</v>
      </c>
      <c r="GT1" s="222"/>
      <c r="GU1" s="222"/>
      <c r="GV1" s="222"/>
      <c r="GW1" s="222"/>
      <c r="GX1" s="222"/>
      <c r="GY1" s="222"/>
      <c r="GZ1" s="223"/>
      <c r="HA1" s="221" t="s">
        <v>18</v>
      </c>
      <c r="HB1" s="222"/>
      <c r="HC1" s="222"/>
      <c r="HD1" s="222"/>
      <c r="HE1" s="222"/>
      <c r="HF1" s="222"/>
      <c r="HG1" s="222"/>
      <c r="HH1" s="223"/>
      <c r="HI1" s="221" t="s">
        <v>18</v>
      </c>
      <c r="HJ1" s="222"/>
      <c r="HK1" s="222"/>
      <c r="HL1" s="222"/>
      <c r="HM1" s="222"/>
      <c r="HN1" s="222"/>
      <c r="HO1" s="222"/>
      <c r="HP1" s="223"/>
      <c r="HQ1" s="221" t="s">
        <v>18</v>
      </c>
      <c r="HR1" s="222"/>
      <c r="HS1" s="222"/>
      <c r="HT1" s="222"/>
      <c r="HU1" s="222"/>
      <c r="HV1" s="222"/>
      <c r="HW1" s="222"/>
      <c r="HX1" s="223"/>
      <c r="HY1" s="221" t="s">
        <v>18</v>
      </c>
      <c r="HZ1" s="222"/>
      <c r="IA1" s="222"/>
      <c r="IB1" s="222"/>
      <c r="IC1" s="222"/>
      <c r="ID1" s="222"/>
      <c r="IE1" s="222"/>
      <c r="IF1" s="223"/>
      <c r="IG1" s="221" t="s">
        <v>18</v>
      </c>
      <c r="IH1" s="222"/>
      <c r="II1" s="222"/>
      <c r="IJ1" s="222"/>
      <c r="IK1" s="222"/>
      <c r="IL1" s="222"/>
      <c r="IM1" s="222"/>
      <c r="IN1" s="223"/>
      <c r="IO1" s="221" t="s">
        <v>18</v>
      </c>
      <c r="IP1" s="222"/>
      <c r="IQ1" s="222"/>
      <c r="IR1" s="222"/>
      <c r="IS1" s="222"/>
      <c r="IT1" s="222"/>
      <c r="IU1" s="222"/>
      <c r="IV1" s="223"/>
    </row>
    <row r="2" spans="1:256" s="31" customFormat="1" ht="13.5">
      <c r="A2" s="227" t="s">
        <v>27</v>
      </c>
      <c r="B2" s="228"/>
      <c r="C2" s="228"/>
      <c r="D2" s="228"/>
      <c r="E2" s="54">
        <v>40374</v>
      </c>
      <c r="F2" s="32"/>
      <c r="G2" s="33"/>
      <c r="H2" s="51"/>
      <c r="I2" s="224" t="s">
        <v>20</v>
      </c>
      <c r="J2" s="225"/>
      <c r="K2" s="225"/>
      <c r="L2" s="30"/>
    </row>
    <row r="3" spans="1:256" s="31" customFormat="1" ht="20.25" customHeight="1">
      <c r="A3" s="229" t="s">
        <v>17</v>
      </c>
      <c r="B3" s="232" t="s">
        <v>57</v>
      </c>
      <c r="C3" s="234" t="s">
        <v>21</v>
      </c>
      <c r="D3" s="219" t="s">
        <v>16</v>
      </c>
      <c r="E3" s="219"/>
      <c r="F3" s="236" t="s">
        <v>24</v>
      </c>
      <c r="G3" s="238" t="s">
        <v>25</v>
      </c>
      <c r="H3" s="234" t="s">
        <v>19</v>
      </c>
      <c r="I3" s="226"/>
      <c r="J3" s="225"/>
      <c r="K3" s="225"/>
      <c r="L3" s="30"/>
    </row>
    <row r="4" spans="1:256" ht="14.25" customHeight="1">
      <c r="A4" s="230"/>
      <c r="B4" s="233"/>
      <c r="C4" s="235"/>
      <c r="D4" s="241" t="s">
        <v>22</v>
      </c>
      <c r="E4" s="243" t="s">
        <v>23</v>
      </c>
      <c r="F4" s="237"/>
      <c r="G4" s="238"/>
      <c r="H4" s="239"/>
      <c r="I4" s="245" t="s">
        <v>26</v>
      </c>
      <c r="J4" s="246"/>
      <c r="K4" s="246"/>
      <c r="L4" s="30"/>
    </row>
    <row r="5" spans="1:256" ht="21" customHeight="1">
      <c r="A5" s="231"/>
      <c r="B5" s="233"/>
      <c r="C5" s="126">
        <f>SUMIF(C6:C104,"&lt;&gt;0",C6:C104)</f>
        <v>9000</v>
      </c>
      <c r="D5" s="242"/>
      <c r="E5" s="244"/>
      <c r="F5" s="46">
        <v>0.01</v>
      </c>
      <c r="G5" s="238"/>
      <c r="H5" s="240"/>
      <c r="I5" s="247"/>
      <c r="J5" s="246"/>
      <c r="K5" s="246"/>
      <c r="L5" s="30"/>
    </row>
    <row r="6" spans="1:256" ht="18" customHeight="1">
      <c r="A6" s="28">
        <v>1</v>
      </c>
      <c r="B6" s="134">
        <v>39979</v>
      </c>
      <c r="C6" s="135">
        <v>3000</v>
      </c>
      <c r="D6" s="125">
        <f>HLOOKUP(YEAR(B6),'Indices TJ'!$A$1:$AZ$13,MONTH(B6)+1)</f>
        <v>40.780757000000001</v>
      </c>
      <c r="E6" s="26">
        <f>HLOOKUP(YEAR($E$2),'Indices TJ'!$A$1:$AZ$13,MONTH($E$2)+1)</f>
        <v>42.899504</v>
      </c>
      <c r="F6" s="29">
        <f t="shared" ref="F6:F11" si="0">IF(($E$2-B6)&gt;30,ROUND(($E$2-B6)/30,0)*$F$5,0)</f>
        <v>0.13</v>
      </c>
      <c r="G6" s="48">
        <f t="shared" ref="G6:G11" si="1">(((C6/D6)*E6))+(((C6/D6)*E6))*F6</f>
        <v>3566.1260177195827</v>
      </c>
      <c r="H6" s="52">
        <f>G6</f>
        <v>3566.1260177195827</v>
      </c>
      <c r="I6" s="247"/>
      <c r="J6" s="246"/>
      <c r="K6" s="246"/>
      <c r="L6" s="30"/>
      <c r="M6" s="36"/>
      <c r="N6" s="220"/>
      <c r="O6" s="220"/>
      <c r="P6" s="38"/>
    </row>
    <row r="7" spans="1:256" ht="15" customHeight="1">
      <c r="A7" s="28">
        <v>2</v>
      </c>
      <c r="B7" s="134">
        <v>40009</v>
      </c>
      <c r="C7" s="135">
        <v>3000</v>
      </c>
      <c r="D7" s="125">
        <f>HLOOKUP(YEAR(B7),'Indices TJ'!$A$1:$AZ$13,MONTH(B7)+1)</f>
        <v>40.952036</v>
      </c>
      <c r="E7" s="26">
        <f>HLOOKUP(YEAR($E$2),'Indices TJ'!$A$1:$AZ$13,MONTH($E$2)+1)</f>
        <v>42.899504</v>
      </c>
      <c r="F7" s="29">
        <f t="shared" si="0"/>
        <v>0.12</v>
      </c>
      <c r="G7" s="48">
        <f t="shared" si="1"/>
        <v>3519.7843018110261</v>
      </c>
      <c r="H7" s="52">
        <f>H6+G7</f>
        <v>7085.9103195306088</v>
      </c>
      <c r="I7" s="247"/>
      <c r="J7" s="246"/>
      <c r="K7" s="246"/>
      <c r="L7" s="30"/>
      <c r="M7" s="36"/>
      <c r="N7" s="220"/>
      <c r="O7" s="220"/>
      <c r="P7" s="38"/>
    </row>
    <row r="8" spans="1:256" ht="15" customHeight="1">
      <c r="A8" s="28">
        <v>3</v>
      </c>
      <c r="B8" s="134">
        <v>39949</v>
      </c>
      <c r="C8" s="135">
        <v>3000</v>
      </c>
      <c r="D8" s="125">
        <f>HLOOKUP(YEAR(B8),'Indices TJ'!$A$1:$AZ$13,MONTH(B8)+1)</f>
        <v>40.537531999999999</v>
      </c>
      <c r="E8" s="26">
        <f>HLOOKUP(YEAR($E$2),'Indices TJ'!$A$1:$AZ$13,MONTH($E$2)+1)</f>
        <v>42.899504</v>
      </c>
      <c r="F8" s="29">
        <f t="shared" si="0"/>
        <v>0.14000000000000001</v>
      </c>
      <c r="G8" s="48">
        <f t="shared" si="1"/>
        <v>3619.2707459349031</v>
      </c>
      <c r="H8" s="52">
        <f>H7+G8</f>
        <v>10705.181065465513</v>
      </c>
      <c r="I8" s="247"/>
      <c r="J8" s="246"/>
      <c r="K8" s="246"/>
      <c r="L8" s="39"/>
      <c r="M8" s="36"/>
      <c r="N8" s="37"/>
      <c r="O8" s="37"/>
      <c r="P8" s="38"/>
    </row>
    <row r="9" spans="1:256" ht="15" customHeight="1" thickBot="1">
      <c r="A9" s="28">
        <v>4</v>
      </c>
      <c r="B9" s="134"/>
      <c r="C9" s="135"/>
      <c r="D9" s="125" t="e">
        <f>HLOOKUP(YEAR(B9),'Indices TJ'!$A$1:$AZ$13,MONTH(B9)+1)</f>
        <v>#N/A</v>
      </c>
      <c r="E9" s="26">
        <f>HLOOKUP(YEAR($E$2),'Indices TJ'!$A$1:$AZ$13,MONTH($E$2)+1)</f>
        <v>42.899504</v>
      </c>
      <c r="F9" s="29">
        <f t="shared" si="0"/>
        <v>13.46</v>
      </c>
      <c r="G9" s="48" t="e">
        <f t="shared" si="1"/>
        <v>#N/A</v>
      </c>
      <c r="H9" s="52" t="e">
        <f t="shared" ref="H9:H54" si="2">H8+G9</f>
        <v>#N/A</v>
      </c>
      <c r="I9" s="247"/>
      <c r="J9" s="246"/>
      <c r="K9" s="246"/>
      <c r="L9" s="39"/>
      <c r="M9" s="36"/>
      <c r="N9" s="220"/>
      <c r="O9" s="220"/>
      <c r="P9" s="38"/>
    </row>
    <row r="10" spans="1:256" ht="15" customHeight="1" thickBot="1">
      <c r="A10" s="28">
        <v>5</v>
      </c>
      <c r="B10" s="134"/>
      <c r="C10" s="136"/>
      <c r="D10" s="125" t="e">
        <f>HLOOKUP(YEAR(B10),'Indices TJ'!$A$1:$AZ$13,MONTH(B10)+1)</f>
        <v>#N/A</v>
      </c>
      <c r="E10" s="26">
        <f>HLOOKUP(YEAR($E$2),'Indices TJ'!$A$1:$AZ$13,MONTH($E$2)+1)</f>
        <v>42.899504</v>
      </c>
      <c r="F10" s="29">
        <f t="shared" si="0"/>
        <v>13.46</v>
      </c>
      <c r="G10" s="48" t="e">
        <f t="shared" si="1"/>
        <v>#N/A</v>
      </c>
      <c r="H10" s="52" t="e">
        <f t="shared" si="2"/>
        <v>#N/A</v>
      </c>
      <c r="I10" s="27" t="b">
        <f>AND(E6&gt;0,C6&gt;0)</f>
        <v>1</v>
      </c>
      <c r="J10" s="40"/>
      <c r="K10" s="37"/>
      <c r="L10" s="39"/>
      <c r="M10" s="36"/>
      <c r="N10" s="220"/>
      <c r="O10" s="220"/>
      <c r="P10" s="38"/>
    </row>
    <row r="11" spans="1:256" ht="15" customHeight="1" thickBot="1">
      <c r="A11" s="28">
        <v>6</v>
      </c>
      <c r="B11" s="134"/>
      <c r="C11" s="131"/>
      <c r="D11" s="125" t="e">
        <f>HLOOKUP(YEAR(B11),'Indices TJ'!$A$1:$AZ$13,MONTH(B11)+1)</f>
        <v>#N/A</v>
      </c>
      <c r="E11" s="26">
        <f>HLOOKUP(YEAR($E$2),'Indices TJ'!$A$1:$AZ$13,MONTH($E$2)+1)</f>
        <v>42.899504</v>
      </c>
      <c r="F11" s="29">
        <f t="shared" si="0"/>
        <v>13.46</v>
      </c>
      <c r="G11" s="48" t="e">
        <f t="shared" si="1"/>
        <v>#N/A</v>
      </c>
      <c r="H11" s="52" t="e">
        <f t="shared" si="2"/>
        <v>#N/A</v>
      </c>
      <c r="I11" s="27"/>
      <c r="J11" s="40"/>
      <c r="K11" s="37"/>
      <c r="L11" s="39"/>
      <c r="M11" s="36"/>
      <c r="N11" s="220"/>
      <c r="O11" s="220"/>
      <c r="P11" s="38"/>
    </row>
    <row r="12" spans="1:256" ht="15" customHeight="1" thickBot="1">
      <c r="A12" s="28">
        <v>7</v>
      </c>
      <c r="B12" s="134"/>
      <c r="C12" s="131"/>
      <c r="D12" s="125" t="e">
        <f>HLOOKUP(YEAR(B12),'Indices TJ'!$A$1:$AZ$13,MONTH(B12)+1)</f>
        <v>#N/A</v>
      </c>
      <c r="E12" s="26">
        <f>HLOOKUP(YEAR($E$2),'Indices TJ'!$A$1:$AZ$13,MONTH($E$2)+1)</f>
        <v>42.899504</v>
      </c>
      <c r="F12" s="29">
        <f t="shared" ref="F12:F75" si="3">IF(($E$2-B12)&gt;30,ROUND(($E$2-B12)/30,0)*$F$5,0)</f>
        <v>13.46</v>
      </c>
      <c r="G12" s="48" t="e">
        <f t="shared" ref="G12:G54" si="4">(((C12/D12)*E12))+(((C12/D12)*E12))*F12</f>
        <v>#N/A</v>
      </c>
      <c r="H12" s="52" t="e">
        <f t="shared" si="2"/>
        <v>#N/A</v>
      </c>
      <c r="I12" s="27"/>
      <c r="J12" s="40"/>
      <c r="K12" s="37"/>
      <c r="L12" s="39"/>
      <c r="M12" s="36"/>
      <c r="N12" s="220"/>
      <c r="O12" s="220"/>
      <c r="P12" s="38"/>
    </row>
    <row r="13" spans="1:256" ht="15" customHeight="1" thickBot="1">
      <c r="A13" s="28">
        <v>8</v>
      </c>
      <c r="B13" s="134"/>
      <c r="C13" s="131"/>
      <c r="D13" s="125" t="e">
        <f>HLOOKUP(YEAR(B13),'Indices TJ'!$A$1:$AZ$13,MONTH(B13)+1)</f>
        <v>#N/A</v>
      </c>
      <c r="E13" s="26">
        <f>HLOOKUP(YEAR($E$2),'Indices TJ'!$A$1:$AZ$13,MONTH($E$2)+1)</f>
        <v>42.899504</v>
      </c>
      <c r="F13" s="29">
        <f t="shared" si="3"/>
        <v>13.46</v>
      </c>
      <c r="G13" s="48" t="e">
        <f t="shared" si="4"/>
        <v>#N/A</v>
      </c>
      <c r="H13" s="52" t="e">
        <f t="shared" si="2"/>
        <v>#N/A</v>
      </c>
      <c r="I13" s="27"/>
      <c r="J13" s="40"/>
      <c r="K13" s="37"/>
      <c r="L13" s="39"/>
      <c r="M13" s="36"/>
      <c r="N13" s="220"/>
      <c r="O13" s="220"/>
      <c r="P13" s="38"/>
    </row>
    <row r="14" spans="1:256" ht="15" customHeight="1" thickBot="1">
      <c r="A14" s="28">
        <v>9</v>
      </c>
      <c r="B14" s="134"/>
      <c r="C14" s="131"/>
      <c r="D14" s="125" t="e">
        <f>HLOOKUP(YEAR(B14),'Indices TJ'!$A$1:$AZ$13,MONTH(B14)+1)</f>
        <v>#N/A</v>
      </c>
      <c r="E14" s="26">
        <f>HLOOKUP(YEAR($E$2),'Indices TJ'!$A$1:$AZ$13,MONTH($E$2)+1)</f>
        <v>42.899504</v>
      </c>
      <c r="F14" s="29">
        <f t="shared" si="3"/>
        <v>13.46</v>
      </c>
      <c r="G14" s="48" t="e">
        <f t="shared" si="4"/>
        <v>#N/A</v>
      </c>
      <c r="H14" s="52" t="e">
        <f t="shared" si="2"/>
        <v>#N/A</v>
      </c>
      <c r="I14" s="27"/>
      <c r="J14" s="40"/>
      <c r="K14" s="37"/>
      <c r="L14" s="39"/>
      <c r="M14" s="36"/>
      <c r="N14" s="220"/>
      <c r="O14" s="220"/>
      <c r="P14" s="38"/>
    </row>
    <row r="15" spans="1:256" ht="15" customHeight="1" thickBot="1">
      <c r="A15" s="28">
        <v>10</v>
      </c>
      <c r="B15" s="134"/>
      <c r="C15" s="131"/>
      <c r="D15" s="125" t="e">
        <f>HLOOKUP(YEAR(B15),'Indices TJ'!$A$1:$AZ$13,MONTH(B15)+1)</f>
        <v>#N/A</v>
      </c>
      <c r="E15" s="26">
        <f>HLOOKUP(YEAR($E$2),'Indices TJ'!$A$1:$AZ$13,MONTH($E$2)+1)</f>
        <v>42.899504</v>
      </c>
      <c r="F15" s="29">
        <f t="shared" si="3"/>
        <v>13.46</v>
      </c>
      <c r="G15" s="48" t="e">
        <f t="shared" si="4"/>
        <v>#N/A</v>
      </c>
      <c r="H15" s="52" t="e">
        <f t="shared" si="2"/>
        <v>#N/A</v>
      </c>
      <c r="I15" s="27"/>
      <c r="J15" s="40"/>
      <c r="K15" s="37"/>
      <c r="L15" s="39"/>
      <c r="M15" s="36"/>
      <c r="N15" s="220"/>
      <c r="O15" s="220"/>
      <c r="P15" s="38"/>
    </row>
    <row r="16" spans="1:256" ht="15" customHeight="1" thickBot="1">
      <c r="A16" s="28">
        <v>11</v>
      </c>
      <c r="B16" s="134"/>
      <c r="C16" s="131"/>
      <c r="D16" s="125" t="e">
        <f>HLOOKUP(YEAR(B16),'Indices TJ'!$A$1:$AZ$13,MONTH(B16)+1)</f>
        <v>#N/A</v>
      </c>
      <c r="E16" s="26">
        <f>HLOOKUP(YEAR($E$2),'Indices TJ'!$A$1:$AZ$13,MONTH($E$2)+1)</f>
        <v>42.899504</v>
      </c>
      <c r="F16" s="29">
        <f t="shared" si="3"/>
        <v>13.46</v>
      </c>
      <c r="G16" s="48" t="e">
        <f t="shared" si="4"/>
        <v>#N/A</v>
      </c>
      <c r="H16" s="52" t="e">
        <f t="shared" si="2"/>
        <v>#N/A</v>
      </c>
      <c r="I16" s="27"/>
      <c r="J16" s="40"/>
      <c r="K16" s="37"/>
      <c r="L16" s="39"/>
      <c r="M16" s="36"/>
      <c r="N16" s="220"/>
      <c r="O16" s="220"/>
      <c r="P16" s="38"/>
    </row>
    <row r="17" spans="1:16" ht="15" customHeight="1" thickBot="1">
      <c r="A17" s="28">
        <v>12</v>
      </c>
      <c r="B17" s="134"/>
      <c r="C17" s="131"/>
      <c r="D17" s="125" t="e">
        <f>HLOOKUP(YEAR(B17),'Indices TJ'!$A$1:$AZ$13,MONTH(B17)+1)</f>
        <v>#N/A</v>
      </c>
      <c r="E17" s="26">
        <f>HLOOKUP(YEAR($E$2),'Indices TJ'!$A$1:$AZ$13,MONTH($E$2)+1)</f>
        <v>42.899504</v>
      </c>
      <c r="F17" s="29">
        <f t="shared" si="3"/>
        <v>13.46</v>
      </c>
      <c r="G17" s="48" t="e">
        <f t="shared" si="4"/>
        <v>#N/A</v>
      </c>
      <c r="H17" s="52" t="e">
        <f t="shared" si="2"/>
        <v>#N/A</v>
      </c>
      <c r="I17" s="27"/>
      <c r="J17" s="40"/>
      <c r="K17" s="37"/>
      <c r="L17" s="39"/>
      <c r="M17" s="36"/>
      <c r="N17" s="220"/>
      <c r="O17" s="220"/>
      <c r="P17" s="38"/>
    </row>
    <row r="18" spans="1:16" ht="15" customHeight="1" thickBot="1">
      <c r="A18" s="28">
        <v>13</v>
      </c>
      <c r="B18" s="134"/>
      <c r="C18" s="131"/>
      <c r="D18" s="125" t="e">
        <f>HLOOKUP(YEAR(B18),'Indices TJ'!$A$1:$AZ$13,MONTH(B18)+1)</f>
        <v>#N/A</v>
      </c>
      <c r="E18" s="26">
        <f>HLOOKUP(YEAR($E$2),'Indices TJ'!$A$1:$AZ$13,MONTH($E$2)+1)</f>
        <v>42.899504</v>
      </c>
      <c r="F18" s="29">
        <f t="shared" si="3"/>
        <v>13.46</v>
      </c>
      <c r="G18" s="48" t="e">
        <f t="shared" si="4"/>
        <v>#N/A</v>
      </c>
      <c r="H18" s="52" t="e">
        <f t="shared" si="2"/>
        <v>#N/A</v>
      </c>
      <c r="I18" s="27"/>
      <c r="J18" s="40"/>
      <c r="K18" s="37"/>
      <c r="L18" s="39"/>
      <c r="M18" s="36"/>
      <c r="N18" s="220"/>
      <c r="O18" s="220"/>
      <c r="P18" s="38"/>
    </row>
    <row r="19" spans="1:16" ht="15" customHeight="1" thickBot="1">
      <c r="A19" s="28">
        <v>14</v>
      </c>
      <c r="B19" s="134"/>
      <c r="C19" s="131"/>
      <c r="D19" s="125" t="e">
        <f>HLOOKUP(YEAR(B19),'Indices TJ'!$A$1:$AZ$13,MONTH(B19)+1)</f>
        <v>#N/A</v>
      </c>
      <c r="E19" s="26">
        <f>HLOOKUP(YEAR($E$2),'Indices TJ'!$A$1:$AZ$13,MONTH($E$2)+1)</f>
        <v>42.899504</v>
      </c>
      <c r="F19" s="29">
        <f t="shared" si="3"/>
        <v>13.46</v>
      </c>
      <c r="G19" s="48" t="e">
        <f t="shared" si="4"/>
        <v>#N/A</v>
      </c>
      <c r="H19" s="52" t="e">
        <f t="shared" si="2"/>
        <v>#N/A</v>
      </c>
      <c r="I19" s="27"/>
      <c r="J19" s="40"/>
      <c r="K19" s="37"/>
      <c r="L19" s="39"/>
      <c r="M19" s="36"/>
      <c r="N19" s="220"/>
      <c r="O19" s="220"/>
      <c r="P19" s="38"/>
    </row>
    <row r="20" spans="1:16" ht="15" customHeight="1" thickBot="1">
      <c r="A20" s="28">
        <v>15</v>
      </c>
      <c r="B20" s="134"/>
      <c r="C20" s="131"/>
      <c r="D20" s="125" t="e">
        <f>HLOOKUP(YEAR(B20),'Indices TJ'!$A$1:$AZ$13,MONTH(B20)+1)</f>
        <v>#N/A</v>
      </c>
      <c r="E20" s="26">
        <f>HLOOKUP(YEAR($E$2),'Indices TJ'!$A$1:$AZ$13,MONTH($E$2)+1)</f>
        <v>42.899504</v>
      </c>
      <c r="F20" s="29">
        <f t="shared" si="3"/>
        <v>13.46</v>
      </c>
      <c r="G20" s="48" t="e">
        <f t="shared" si="4"/>
        <v>#N/A</v>
      </c>
      <c r="H20" s="52" t="e">
        <f t="shared" si="2"/>
        <v>#N/A</v>
      </c>
      <c r="I20" s="27"/>
      <c r="J20" s="40"/>
      <c r="K20" s="37"/>
      <c r="L20" s="39"/>
      <c r="M20" s="36"/>
      <c r="N20" s="220"/>
      <c r="O20" s="220"/>
      <c r="P20" s="38"/>
    </row>
    <row r="21" spans="1:16" ht="15" customHeight="1" thickBot="1">
      <c r="A21" s="28">
        <v>16</v>
      </c>
      <c r="B21" s="134"/>
      <c r="C21" s="131"/>
      <c r="D21" s="125" t="e">
        <f>HLOOKUP(YEAR(B21),'Indices TJ'!$A$1:$AZ$13,MONTH(B21)+1)</f>
        <v>#N/A</v>
      </c>
      <c r="E21" s="26">
        <f>HLOOKUP(YEAR($E$2),'Indices TJ'!$A$1:$AZ$13,MONTH($E$2)+1)</f>
        <v>42.899504</v>
      </c>
      <c r="F21" s="29">
        <f t="shared" si="3"/>
        <v>13.46</v>
      </c>
      <c r="G21" s="48" t="e">
        <f t="shared" si="4"/>
        <v>#N/A</v>
      </c>
      <c r="H21" s="52" t="e">
        <f t="shared" si="2"/>
        <v>#N/A</v>
      </c>
      <c r="I21" s="27"/>
      <c r="J21" s="40"/>
      <c r="K21" s="37"/>
      <c r="L21" s="39"/>
      <c r="M21" s="36"/>
      <c r="N21" s="220"/>
      <c r="O21" s="220"/>
      <c r="P21" s="38"/>
    </row>
    <row r="22" spans="1:16" ht="15" customHeight="1" thickBot="1">
      <c r="A22" s="28">
        <v>17</v>
      </c>
      <c r="B22" s="134"/>
      <c r="C22" s="131"/>
      <c r="D22" s="125" t="e">
        <f>HLOOKUP(YEAR(B22),'Indices TJ'!$A$1:$AZ$13,MONTH(B22)+1)</f>
        <v>#N/A</v>
      </c>
      <c r="E22" s="26">
        <f>HLOOKUP(YEAR($E$2),'Indices TJ'!$A$1:$AZ$13,MONTH($E$2)+1)</f>
        <v>42.899504</v>
      </c>
      <c r="F22" s="29">
        <f t="shared" si="3"/>
        <v>13.46</v>
      </c>
      <c r="G22" s="48" t="e">
        <f t="shared" si="4"/>
        <v>#N/A</v>
      </c>
      <c r="H22" s="52" t="e">
        <f t="shared" si="2"/>
        <v>#N/A</v>
      </c>
      <c r="I22" s="27"/>
      <c r="J22" s="40"/>
      <c r="K22" s="37"/>
      <c r="L22" s="39"/>
      <c r="M22" s="36"/>
      <c r="N22" s="220"/>
      <c r="O22" s="220"/>
      <c r="P22" s="38"/>
    </row>
    <row r="23" spans="1:16" ht="15" customHeight="1" thickBot="1">
      <c r="A23" s="28">
        <v>18</v>
      </c>
      <c r="B23" s="134"/>
      <c r="C23" s="131"/>
      <c r="D23" s="125" t="e">
        <f>HLOOKUP(YEAR(B23),'Indices TJ'!$A$1:$AZ$13,MONTH(B23)+1)</f>
        <v>#N/A</v>
      </c>
      <c r="E23" s="26">
        <f>HLOOKUP(YEAR($E$2),'Indices TJ'!$A$1:$AZ$13,MONTH($E$2)+1)</f>
        <v>42.899504</v>
      </c>
      <c r="F23" s="29">
        <f t="shared" si="3"/>
        <v>13.46</v>
      </c>
      <c r="G23" s="48" t="e">
        <f t="shared" si="4"/>
        <v>#N/A</v>
      </c>
      <c r="H23" s="52" t="e">
        <f t="shared" si="2"/>
        <v>#N/A</v>
      </c>
      <c r="I23" s="27"/>
      <c r="J23" s="40"/>
      <c r="K23" s="37"/>
      <c r="L23" s="39"/>
      <c r="M23" s="36"/>
      <c r="N23" s="220"/>
      <c r="O23" s="220"/>
      <c r="P23" s="38"/>
    </row>
    <row r="24" spans="1:16" ht="15" customHeight="1" thickBot="1">
      <c r="A24" s="28">
        <v>19</v>
      </c>
      <c r="B24" s="134"/>
      <c r="C24" s="131"/>
      <c r="D24" s="125" t="e">
        <f>HLOOKUP(YEAR(B24),'Indices TJ'!$A$1:$AZ$13,MONTH(B24)+1)</f>
        <v>#N/A</v>
      </c>
      <c r="E24" s="26">
        <f>HLOOKUP(YEAR($E$2),'Indices TJ'!$A$1:$AZ$13,MONTH($E$2)+1)</f>
        <v>42.899504</v>
      </c>
      <c r="F24" s="29">
        <f t="shared" si="3"/>
        <v>13.46</v>
      </c>
      <c r="G24" s="48" t="e">
        <f t="shared" si="4"/>
        <v>#N/A</v>
      </c>
      <c r="H24" s="52" t="e">
        <f t="shared" si="2"/>
        <v>#N/A</v>
      </c>
      <c r="I24" s="27"/>
      <c r="J24" s="40"/>
      <c r="K24" s="37"/>
      <c r="L24" s="39"/>
      <c r="M24" s="36"/>
      <c r="N24" s="220"/>
      <c r="O24" s="220"/>
      <c r="P24" s="38"/>
    </row>
    <row r="25" spans="1:16" ht="15" customHeight="1" thickBot="1">
      <c r="A25" s="28">
        <v>20</v>
      </c>
      <c r="B25" s="134"/>
      <c r="C25" s="131"/>
      <c r="D25" s="125" t="e">
        <f>HLOOKUP(YEAR(B25),'Indices TJ'!$A$1:$AZ$13,MONTH(B25)+1)</f>
        <v>#N/A</v>
      </c>
      <c r="E25" s="26">
        <f>HLOOKUP(YEAR($E$2),'Indices TJ'!$A$1:$AZ$13,MONTH($E$2)+1)</f>
        <v>42.899504</v>
      </c>
      <c r="F25" s="29">
        <f t="shared" si="3"/>
        <v>13.46</v>
      </c>
      <c r="G25" s="48" t="e">
        <f t="shared" si="4"/>
        <v>#N/A</v>
      </c>
      <c r="H25" s="52" t="e">
        <f t="shared" si="2"/>
        <v>#N/A</v>
      </c>
      <c r="I25" s="27"/>
      <c r="J25" s="40"/>
      <c r="K25" s="37"/>
      <c r="L25" s="39"/>
      <c r="M25" s="36"/>
      <c r="N25" s="220"/>
      <c r="O25" s="220"/>
      <c r="P25" s="38"/>
    </row>
    <row r="26" spans="1:16" ht="15" customHeight="1" thickBot="1">
      <c r="A26" s="28">
        <v>21</v>
      </c>
      <c r="B26" s="134"/>
      <c r="C26" s="131"/>
      <c r="D26" s="125" t="e">
        <f>HLOOKUP(YEAR(B26),'Indices TJ'!$A$1:$AZ$13,MONTH(B26)+1)</f>
        <v>#N/A</v>
      </c>
      <c r="E26" s="26">
        <f>HLOOKUP(YEAR($E$2),'Indices TJ'!$A$1:$AZ$13,MONTH($E$2)+1)</f>
        <v>42.899504</v>
      </c>
      <c r="F26" s="29">
        <f t="shared" si="3"/>
        <v>13.46</v>
      </c>
      <c r="G26" s="48" t="e">
        <f t="shared" si="4"/>
        <v>#N/A</v>
      </c>
      <c r="H26" s="52" t="e">
        <f t="shared" si="2"/>
        <v>#N/A</v>
      </c>
      <c r="I26" s="27"/>
      <c r="J26" s="40"/>
      <c r="K26" s="37"/>
      <c r="L26" s="39"/>
      <c r="M26" s="36"/>
      <c r="N26" s="220"/>
      <c r="O26" s="220"/>
      <c r="P26" s="38"/>
    </row>
    <row r="27" spans="1:16" ht="15" customHeight="1" thickBot="1">
      <c r="A27" s="28">
        <v>22</v>
      </c>
      <c r="B27" s="134"/>
      <c r="C27" s="131"/>
      <c r="D27" s="125" t="e">
        <f>HLOOKUP(YEAR(B27),'Indices TJ'!$A$1:$AZ$13,MONTH(B27)+1)</f>
        <v>#N/A</v>
      </c>
      <c r="E27" s="26">
        <f>HLOOKUP(YEAR($E$2),'Indices TJ'!$A$1:$AZ$13,MONTH($E$2)+1)</f>
        <v>42.899504</v>
      </c>
      <c r="F27" s="29">
        <f t="shared" si="3"/>
        <v>13.46</v>
      </c>
      <c r="G27" s="48" t="e">
        <f t="shared" si="4"/>
        <v>#N/A</v>
      </c>
      <c r="H27" s="52" t="e">
        <f t="shared" si="2"/>
        <v>#N/A</v>
      </c>
      <c r="I27" s="27"/>
      <c r="J27" s="40"/>
      <c r="K27" s="37"/>
      <c r="L27" s="39"/>
      <c r="M27" s="36"/>
      <c r="N27" s="220"/>
      <c r="O27" s="220"/>
      <c r="P27" s="38"/>
    </row>
    <row r="28" spans="1:16" ht="13.5" thickBot="1">
      <c r="A28" s="28">
        <v>23</v>
      </c>
      <c r="B28" s="134"/>
      <c r="C28" s="131"/>
      <c r="D28" s="125" t="e">
        <f>HLOOKUP(YEAR(B28),'Indices TJ'!$A$1:$AZ$13,MONTH(B28)+1)</f>
        <v>#N/A</v>
      </c>
      <c r="E28" s="26">
        <f>HLOOKUP(YEAR($E$2),'Indices TJ'!$A$1:$AZ$13,MONTH($E$2)+1)</f>
        <v>42.899504</v>
      </c>
      <c r="F28" s="29">
        <f t="shared" si="3"/>
        <v>13.46</v>
      </c>
      <c r="G28" s="48" t="e">
        <f t="shared" si="4"/>
        <v>#N/A</v>
      </c>
      <c r="H28" s="52" t="e">
        <f t="shared" si="2"/>
        <v>#N/A</v>
      </c>
      <c r="I28" s="27"/>
    </row>
    <row r="29" spans="1:16" ht="13.5" thickBot="1">
      <c r="A29" s="28">
        <v>24</v>
      </c>
      <c r="B29" s="134"/>
      <c r="C29" s="131"/>
      <c r="D29" s="125" t="e">
        <f>HLOOKUP(YEAR(B29),'Indices TJ'!$A$1:$AZ$13,MONTH(B29)+1)</f>
        <v>#N/A</v>
      </c>
      <c r="E29" s="26">
        <f>HLOOKUP(YEAR($E$2),'Indices TJ'!$A$1:$AZ$13,MONTH($E$2)+1)</f>
        <v>42.899504</v>
      </c>
      <c r="F29" s="29">
        <f t="shared" si="3"/>
        <v>13.46</v>
      </c>
      <c r="G29" s="48" t="e">
        <f t="shared" si="4"/>
        <v>#N/A</v>
      </c>
      <c r="H29" s="52" t="e">
        <f t="shared" si="2"/>
        <v>#N/A</v>
      </c>
      <c r="I29" s="27"/>
    </row>
    <row r="30" spans="1:16" ht="13.5" thickBot="1">
      <c r="A30" s="28">
        <v>25</v>
      </c>
      <c r="B30" s="134"/>
      <c r="C30" s="131"/>
      <c r="D30" s="125" t="e">
        <f>HLOOKUP(YEAR(B30),'Indices TJ'!$A$1:$AZ$13,MONTH(B30)+1)</f>
        <v>#N/A</v>
      </c>
      <c r="E30" s="26">
        <f>HLOOKUP(YEAR($E$2),'Indices TJ'!$A$1:$AZ$13,MONTH($E$2)+1)</f>
        <v>42.899504</v>
      </c>
      <c r="F30" s="29">
        <f>IF(($E$2-B35)&gt;30,ROUND(($E$2-B35)/30,0)*$F$5,0)</f>
        <v>13.46</v>
      </c>
      <c r="G30" s="48" t="e">
        <f t="shared" si="4"/>
        <v>#N/A</v>
      </c>
      <c r="H30" s="52" t="e">
        <f t="shared" si="2"/>
        <v>#N/A</v>
      </c>
      <c r="I30" s="27"/>
    </row>
    <row r="31" spans="1:16" ht="13.5" thickBot="1">
      <c r="A31" s="28">
        <v>26</v>
      </c>
      <c r="B31" s="134"/>
      <c r="C31" s="131"/>
      <c r="D31" s="125" t="e">
        <f>HLOOKUP(YEAR(B31),'Indices TJ'!$A$1:$AZ$13,MONTH(B31)+1)</f>
        <v>#N/A</v>
      </c>
      <c r="E31" s="26">
        <f>HLOOKUP(YEAR($E$2),'Indices TJ'!$A$1:$AZ$13,MONTH($E$2)+1)</f>
        <v>42.899504</v>
      </c>
      <c r="F31" s="29">
        <f>IF(($E$2-B36)&gt;30,ROUND(($E$2-B36)/30,0)*$F$5,0)</f>
        <v>13.46</v>
      </c>
      <c r="G31" s="48" t="e">
        <f t="shared" si="4"/>
        <v>#N/A</v>
      </c>
      <c r="H31" s="52" t="e">
        <f t="shared" si="2"/>
        <v>#N/A</v>
      </c>
      <c r="I31" s="27"/>
    </row>
    <row r="32" spans="1:16" ht="13.5" thickBot="1">
      <c r="A32" s="28">
        <v>27</v>
      </c>
      <c r="B32" s="134"/>
      <c r="C32" s="131"/>
      <c r="D32" s="125" t="e">
        <f>HLOOKUP(YEAR(B32),'Indices TJ'!$A$1:$AZ$13,MONTH(B32)+1)</f>
        <v>#N/A</v>
      </c>
      <c r="E32" s="26">
        <f>HLOOKUP(YEAR($E$2),'Indices TJ'!$A$1:$AZ$13,MONTH($E$2)+1)</f>
        <v>42.899504</v>
      </c>
      <c r="F32" s="29">
        <f t="shared" si="3"/>
        <v>13.46</v>
      </c>
      <c r="G32" s="48" t="e">
        <f t="shared" si="4"/>
        <v>#N/A</v>
      </c>
      <c r="H32" s="52" t="e">
        <f t="shared" si="2"/>
        <v>#N/A</v>
      </c>
      <c r="I32" s="27"/>
    </row>
    <row r="33" spans="1:9" ht="13.5" thickBot="1">
      <c r="A33" s="28">
        <v>28</v>
      </c>
      <c r="B33" s="134"/>
      <c r="C33" s="131"/>
      <c r="D33" s="125" t="e">
        <f>HLOOKUP(YEAR(B33),'Indices TJ'!$A$1:$AZ$13,MONTH(B33)+1)</f>
        <v>#N/A</v>
      </c>
      <c r="E33" s="26">
        <f>HLOOKUP(YEAR($E$2),'Indices TJ'!$A$1:$AZ$13,MONTH($E$2)+1)</f>
        <v>42.899504</v>
      </c>
      <c r="F33" s="29">
        <f t="shared" si="3"/>
        <v>13.46</v>
      </c>
      <c r="G33" s="48" t="e">
        <f t="shared" si="4"/>
        <v>#N/A</v>
      </c>
      <c r="H33" s="52" t="e">
        <f t="shared" si="2"/>
        <v>#N/A</v>
      </c>
      <c r="I33" s="27"/>
    </row>
    <row r="34" spans="1:9" ht="13.5" thickBot="1">
      <c r="A34" s="28">
        <v>29</v>
      </c>
      <c r="B34" s="134"/>
      <c r="C34" s="131"/>
      <c r="D34" s="125" t="e">
        <f>HLOOKUP(YEAR(B34),'Indices TJ'!$A$1:$AZ$13,MONTH(B34)+1)</f>
        <v>#N/A</v>
      </c>
      <c r="E34" s="26">
        <f>HLOOKUP(YEAR($E$2),'Indices TJ'!$A$1:$AZ$13,MONTH($E$2)+1)</f>
        <v>42.899504</v>
      </c>
      <c r="F34" s="29">
        <f t="shared" si="3"/>
        <v>13.46</v>
      </c>
      <c r="G34" s="48" t="e">
        <f t="shared" si="4"/>
        <v>#N/A</v>
      </c>
      <c r="H34" s="52" t="e">
        <f t="shared" si="2"/>
        <v>#N/A</v>
      </c>
      <c r="I34" s="27"/>
    </row>
    <row r="35" spans="1:9" ht="13.5" thickBot="1">
      <c r="A35" s="28">
        <v>30</v>
      </c>
      <c r="B35" s="134"/>
      <c r="C35" s="131"/>
      <c r="D35" s="125" t="e">
        <f>HLOOKUP(YEAR(B35),'Indices TJ'!$A$1:$AZ$13,MONTH(B35)+1)</f>
        <v>#N/A</v>
      </c>
      <c r="E35" s="26">
        <f>HLOOKUP(YEAR($E$2),'Indices TJ'!$A$1:$AZ$13,MONTH($E$2)+1)</f>
        <v>42.899504</v>
      </c>
      <c r="F35" s="29">
        <f t="shared" si="3"/>
        <v>13.46</v>
      </c>
      <c r="G35" s="48" t="e">
        <f t="shared" ref="G35:G44" si="5">(((C35/D35)*E35))+(((C35/D35)*E35))*F35</f>
        <v>#N/A</v>
      </c>
      <c r="H35" s="52" t="e">
        <f>H34+G35</f>
        <v>#N/A</v>
      </c>
      <c r="I35" s="27"/>
    </row>
    <row r="36" spans="1:9" ht="13.5" thickBot="1">
      <c r="A36" s="28">
        <v>31</v>
      </c>
      <c r="B36" s="134"/>
      <c r="C36" s="131"/>
      <c r="D36" s="125" t="e">
        <f>HLOOKUP(YEAR(B36),'Indices TJ'!$A$1:$AZ$13,MONTH(B36)+1)</f>
        <v>#N/A</v>
      </c>
      <c r="E36" s="26">
        <f>HLOOKUP(YEAR($E$2),'Indices TJ'!$A$1:$AZ$13,MONTH($E$2)+1)</f>
        <v>42.899504</v>
      </c>
      <c r="F36" s="29">
        <f t="shared" si="3"/>
        <v>13.46</v>
      </c>
      <c r="G36" s="48" t="e">
        <f t="shared" si="5"/>
        <v>#N/A</v>
      </c>
      <c r="H36" s="52" t="e">
        <f t="shared" ref="H36:H44" si="6">H35+G36</f>
        <v>#N/A</v>
      </c>
      <c r="I36" s="27"/>
    </row>
    <row r="37" spans="1:9" ht="13.5" thickBot="1">
      <c r="A37" s="28">
        <v>32</v>
      </c>
      <c r="B37" s="134"/>
      <c r="C37" s="131"/>
      <c r="D37" s="125" t="e">
        <f>HLOOKUP(YEAR(B37),'Indices TJ'!$A$1:$AZ$13,MONTH(B37)+1)</f>
        <v>#N/A</v>
      </c>
      <c r="E37" s="26">
        <f>HLOOKUP(YEAR($E$2),'Indices TJ'!$A$1:$AZ$13,MONTH($E$2)+1)</f>
        <v>42.899504</v>
      </c>
      <c r="F37" s="29">
        <f t="shared" si="3"/>
        <v>13.46</v>
      </c>
      <c r="G37" s="48" t="e">
        <f t="shared" si="5"/>
        <v>#N/A</v>
      </c>
      <c r="H37" s="52" t="e">
        <f t="shared" si="6"/>
        <v>#N/A</v>
      </c>
    </row>
    <row r="38" spans="1:9" ht="13.5" thickBot="1">
      <c r="A38" s="28">
        <v>33</v>
      </c>
      <c r="B38" s="134"/>
      <c r="C38" s="131"/>
      <c r="D38" s="125" t="e">
        <f>HLOOKUP(YEAR(B38),'Indices TJ'!$A$1:$AZ$13,MONTH(B38)+1)</f>
        <v>#N/A</v>
      </c>
      <c r="E38" s="26">
        <f>HLOOKUP(YEAR($E$2),'Indices TJ'!$A$1:$AZ$13,MONTH($E$2)+1)</f>
        <v>42.899504</v>
      </c>
      <c r="F38" s="29">
        <f t="shared" si="3"/>
        <v>13.46</v>
      </c>
      <c r="G38" s="48" t="e">
        <f t="shared" si="5"/>
        <v>#N/A</v>
      </c>
      <c r="H38" s="52" t="e">
        <f t="shared" si="6"/>
        <v>#N/A</v>
      </c>
    </row>
    <row r="39" spans="1:9" ht="13.5" thickBot="1">
      <c r="A39" s="28">
        <v>34</v>
      </c>
      <c r="B39" s="134"/>
      <c r="C39" s="129"/>
      <c r="D39" s="125" t="e">
        <f>HLOOKUP(YEAR(B39),'Indices TJ'!$A$1:$AZ$13,MONTH(B39)+1)</f>
        <v>#N/A</v>
      </c>
      <c r="E39" s="26">
        <f>HLOOKUP(YEAR($E$2),'Indices TJ'!$A$1:$AZ$13,MONTH($E$2)+1)</f>
        <v>42.899504</v>
      </c>
      <c r="F39" s="29">
        <f t="shared" si="3"/>
        <v>13.46</v>
      </c>
      <c r="G39" s="48" t="e">
        <f t="shared" si="5"/>
        <v>#N/A</v>
      </c>
      <c r="H39" s="52" t="e">
        <f t="shared" si="6"/>
        <v>#N/A</v>
      </c>
    </row>
    <row r="40" spans="1:9" ht="13.5" thickBot="1">
      <c r="A40" s="28">
        <v>35</v>
      </c>
      <c r="B40" s="134"/>
      <c r="C40" s="129"/>
      <c r="D40" s="125" t="e">
        <f>HLOOKUP(YEAR(B40),'Indices TJ'!$A$1:$AZ$13,MONTH(B40)+1)</f>
        <v>#N/A</v>
      </c>
      <c r="E40" s="26">
        <f>HLOOKUP(YEAR($E$2),'Indices TJ'!$A$1:$AZ$13,MONTH($E$2)+1)</f>
        <v>42.899504</v>
      </c>
      <c r="F40" s="29">
        <f t="shared" si="3"/>
        <v>13.46</v>
      </c>
      <c r="G40" s="48" t="e">
        <f t="shared" si="5"/>
        <v>#N/A</v>
      </c>
      <c r="H40" s="52" t="e">
        <f t="shared" si="6"/>
        <v>#N/A</v>
      </c>
    </row>
    <row r="41" spans="1:9" ht="13.5" thickBot="1">
      <c r="A41" s="28">
        <v>36</v>
      </c>
      <c r="B41" s="134"/>
      <c r="C41" s="129"/>
      <c r="D41" s="125" t="e">
        <f>HLOOKUP(YEAR(B41),'Indices TJ'!$A$1:$AZ$13,MONTH(B41)+1)</f>
        <v>#N/A</v>
      </c>
      <c r="E41" s="26">
        <f>HLOOKUP(YEAR($E$2),'Indices TJ'!$A$1:$AZ$13,MONTH($E$2)+1)</f>
        <v>42.899504</v>
      </c>
      <c r="F41" s="29">
        <f t="shared" si="3"/>
        <v>13.46</v>
      </c>
      <c r="G41" s="48" t="e">
        <f t="shared" si="5"/>
        <v>#N/A</v>
      </c>
      <c r="H41" s="52" t="e">
        <f t="shared" si="6"/>
        <v>#N/A</v>
      </c>
    </row>
    <row r="42" spans="1:9" ht="13.5" thickBot="1">
      <c r="A42" s="28">
        <v>37</v>
      </c>
      <c r="B42" s="134"/>
      <c r="C42" s="129"/>
      <c r="D42" s="125" t="e">
        <f>HLOOKUP(YEAR(B42),'Indices TJ'!$A$1:$AZ$13,MONTH(B42)+1)</f>
        <v>#N/A</v>
      </c>
      <c r="E42" s="26">
        <f>HLOOKUP(YEAR($E$2),'Indices TJ'!$A$1:$AZ$13,MONTH($E$2)+1)</f>
        <v>42.899504</v>
      </c>
      <c r="F42" s="29">
        <f t="shared" si="3"/>
        <v>13.46</v>
      </c>
      <c r="G42" s="48" t="e">
        <f t="shared" si="5"/>
        <v>#N/A</v>
      </c>
      <c r="H42" s="52" t="e">
        <f t="shared" si="6"/>
        <v>#N/A</v>
      </c>
    </row>
    <row r="43" spans="1:9" ht="13.5" thickBot="1">
      <c r="A43" s="28">
        <v>38</v>
      </c>
      <c r="B43" s="134"/>
      <c r="C43" s="129"/>
      <c r="D43" s="125" t="e">
        <f>HLOOKUP(YEAR(B43),'Indices TJ'!$A$1:$AZ$13,MONTH(B43)+1)</f>
        <v>#N/A</v>
      </c>
      <c r="E43" s="26">
        <f>HLOOKUP(YEAR($E$2),'Indices TJ'!$A$1:$AZ$13,MONTH($E$2)+1)</f>
        <v>42.899504</v>
      </c>
      <c r="F43" s="29">
        <f t="shared" si="3"/>
        <v>13.46</v>
      </c>
      <c r="G43" s="48" t="e">
        <f t="shared" si="5"/>
        <v>#N/A</v>
      </c>
      <c r="H43" s="52" t="e">
        <f t="shared" si="6"/>
        <v>#N/A</v>
      </c>
    </row>
    <row r="44" spans="1:9">
      <c r="A44" s="28">
        <v>39</v>
      </c>
      <c r="B44" s="134"/>
      <c r="C44" s="118"/>
      <c r="D44" s="125" t="e">
        <f>HLOOKUP(YEAR(B44),'Indices TJ'!$A$1:$AZ$13,MONTH(B44)+1)</f>
        <v>#N/A</v>
      </c>
      <c r="E44" s="26">
        <f>HLOOKUP(YEAR($E$2),'Indices TJ'!$A$1:$AZ$13,MONTH($E$2)+1)</f>
        <v>42.899504</v>
      </c>
      <c r="F44" s="29">
        <f t="shared" si="3"/>
        <v>13.46</v>
      </c>
      <c r="G44" s="48" t="e">
        <f t="shared" si="5"/>
        <v>#N/A</v>
      </c>
      <c r="H44" s="52" t="e">
        <f t="shared" si="6"/>
        <v>#N/A</v>
      </c>
    </row>
    <row r="45" spans="1:9">
      <c r="A45" s="28">
        <v>40</v>
      </c>
      <c r="B45" s="134"/>
      <c r="C45" s="118"/>
      <c r="D45" s="125" t="e">
        <f>HLOOKUP(YEAR(B45),'Indices TJ'!$A$1:$AZ$13,MONTH(B45)+1)</f>
        <v>#N/A</v>
      </c>
      <c r="E45" s="26">
        <f>HLOOKUP(YEAR($E$2),'Indices TJ'!$A$1:$AZ$13,MONTH($E$2)+1)</f>
        <v>42.899504</v>
      </c>
      <c r="F45" s="29">
        <f t="shared" si="3"/>
        <v>13.46</v>
      </c>
      <c r="G45" s="48" t="e">
        <f t="shared" si="4"/>
        <v>#N/A</v>
      </c>
      <c r="H45" s="52" t="e">
        <f>H44+G45</f>
        <v>#N/A</v>
      </c>
    </row>
    <row r="46" spans="1:9">
      <c r="A46" s="28">
        <v>41</v>
      </c>
      <c r="B46" s="134"/>
      <c r="C46" s="118"/>
      <c r="D46" s="125" t="e">
        <f>HLOOKUP(YEAR(B46),'Indices TJ'!$A$1:$AZ$13,MONTH(B46)+1)</f>
        <v>#N/A</v>
      </c>
      <c r="E46" s="26">
        <f>HLOOKUP(YEAR($E$2),'Indices TJ'!$A$1:$AZ$13,MONTH($E$2)+1)</f>
        <v>42.899504</v>
      </c>
      <c r="F46" s="29">
        <f t="shared" si="3"/>
        <v>13.46</v>
      </c>
      <c r="G46" s="48" t="e">
        <f t="shared" si="4"/>
        <v>#N/A</v>
      </c>
      <c r="H46" s="52" t="e">
        <f t="shared" si="2"/>
        <v>#N/A</v>
      </c>
      <c r="I46" s="27"/>
    </row>
    <row r="47" spans="1:9">
      <c r="A47" s="28">
        <v>42</v>
      </c>
      <c r="B47" s="134"/>
      <c r="C47" s="118"/>
      <c r="D47" s="125" t="e">
        <f>HLOOKUP(YEAR(B47),'Indices TJ'!$A$1:$AZ$13,MONTH(B47)+1)</f>
        <v>#N/A</v>
      </c>
      <c r="E47" s="26">
        <f>HLOOKUP(YEAR($E$2),'Indices TJ'!$A$1:$AZ$13,MONTH($E$2)+1)</f>
        <v>42.899504</v>
      </c>
      <c r="F47" s="29">
        <f t="shared" si="3"/>
        <v>13.46</v>
      </c>
      <c r="G47" s="48" t="e">
        <f t="shared" si="4"/>
        <v>#N/A</v>
      </c>
      <c r="H47" s="52" t="e">
        <f t="shared" si="2"/>
        <v>#N/A</v>
      </c>
    </row>
    <row r="48" spans="1:9">
      <c r="A48" s="28">
        <v>43</v>
      </c>
      <c r="B48" s="134"/>
      <c r="C48" s="118"/>
      <c r="D48" s="125" t="e">
        <f>HLOOKUP(YEAR(B48),'Indices TJ'!$A$1:$AZ$13,MONTH(B48)+1)</f>
        <v>#N/A</v>
      </c>
      <c r="E48" s="26">
        <f>HLOOKUP(YEAR($E$2),'Indices TJ'!$A$1:$AZ$13,MONTH($E$2)+1)</f>
        <v>42.899504</v>
      </c>
      <c r="F48" s="29">
        <f t="shared" si="3"/>
        <v>13.46</v>
      </c>
      <c r="G48" s="48" t="e">
        <f t="shared" si="4"/>
        <v>#N/A</v>
      </c>
      <c r="H48" s="52" t="e">
        <f t="shared" si="2"/>
        <v>#N/A</v>
      </c>
    </row>
    <row r="49" spans="1:16">
      <c r="A49" s="28">
        <v>44</v>
      </c>
      <c r="B49" s="134"/>
      <c r="C49" s="118"/>
      <c r="D49" s="125" t="e">
        <f>HLOOKUP(YEAR(B49),'Indices TJ'!$A$1:$AZ$13,MONTH(B49)+1)</f>
        <v>#N/A</v>
      </c>
      <c r="E49" s="26">
        <f>HLOOKUP(YEAR($E$2),'Indices TJ'!$A$1:$AZ$13,MONTH($E$2)+1)</f>
        <v>42.899504</v>
      </c>
      <c r="F49" s="29">
        <f t="shared" si="3"/>
        <v>13.46</v>
      </c>
      <c r="G49" s="48" t="e">
        <f t="shared" si="4"/>
        <v>#N/A</v>
      </c>
      <c r="H49" s="52" t="e">
        <f t="shared" si="2"/>
        <v>#N/A</v>
      </c>
    </row>
    <row r="50" spans="1:16">
      <c r="A50" s="28">
        <v>45</v>
      </c>
      <c r="B50" s="134"/>
      <c r="C50" s="118"/>
      <c r="D50" s="125" t="e">
        <f>HLOOKUP(YEAR(B50),'Indices TJ'!$A$1:$AZ$13,MONTH(B50)+1)</f>
        <v>#N/A</v>
      </c>
      <c r="E50" s="26">
        <f>HLOOKUP(YEAR($E$2),'Indices TJ'!$A$1:$AZ$13,MONTH($E$2)+1)</f>
        <v>42.899504</v>
      </c>
      <c r="F50" s="29">
        <f t="shared" si="3"/>
        <v>13.46</v>
      </c>
      <c r="G50" s="48" t="e">
        <f t="shared" si="4"/>
        <v>#N/A</v>
      </c>
      <c r="H50" s="52" t="e">
        <f t="shared" si="2"/>
        <v>#N/A</v>
      </c>
    </row>
    <row r="51" spans="1:16">
      <c r="A51" s="28">
        <v>46</v>
      </c>
      <c r="B51" s="134"/>
      <c r="C51" s="118"/>
      <c r="D51" s="125" t="e">
        <f>HLOOKUP(YEAR(B51),'Indices TJ'!$A$1:$AZ$13,MONTH(B51)+1)</f>
        <v>#N/A</v>
      </c>
      <c r="E51" s="26">
        <f>HLOOKUP(YEAR($E$2),'Indices TJ'!$A$1:$AZ$13,MONTH($E$2)+1)</f>
        <v>42.899504</v>
      </c>
      <c r="F51" s="29">
        <f t="shared" si="3"/>
        <v>13.46</v>
      </c>
      <c r="G51" s="48" t="e">
        <f t="shared" si="4"/>
        <v>#N/A</v>
      </c>
      <c r="H51" s="52" t="e">
        <f t="shared" si="2"/>
        <v>#N/A</v>
      </c>
    </row>
    <row r="52" spans="1:16">
      <c r="A52" s="28">
        <v>47</v>
      </c>
      <c r="B52" s="134"/>
      <c r="C52" s="118"/>
      <c r="D52" s="125" t="e">
        <f>HLOOKUP(YEAR(B52),'Indices TJ'!$A$1:$AZ$13,MONTH(B52)+1)</f>
        <v>#N/A</v>
      </c>
      <c r="E52" s="26">
        <f>HLOOKUP(YEAR($E$2),'Indices TJ'!$A$1:$AZ$13,MONTH($E$2)+1)</f>
        <v>42.899504</v>
      </c>
      <c r="F52" s="29">
        <f t="shared" si="3"/>
        <v>13.46</v>
      </c>
      <c r="G52" s="48" t="e">
        <f t="shared" si="4"/>
        <v>#N/A</v>
      </c>
      <c r="H52" s="52" t="e">
        <f t="shared" si="2"/>
        <v>#N/A</v>
      </c>
    </row>
    <row r="53" spans="1:16">
      <c r="A53" s="28">
        <v>48</v>
      </c>
      <c r="B53" s="134"/>
      <c r="C53" s="118"/>
      <c r="D53" s="125" t="e">
        <f>HLOOKUP(YEAR(B53),'Indices TJ'!$A$1:$AZ$13,MONTH(B53)+1)</f>
        <v>#N/A</v>
      </c>
      <c r="E53" s="26">
        <f>HLOOKUP(YEAR($E$2),'Indices TJ'!$A$1:$AZ$13,MONTH($E$2)+1)</f>
        <v>42.899504</v>
      </c>
      <c r="F53" s="29">
        <f t="shared" si="3"/>
        <v>13.46</v>
      </c>
      <c r="G53" s="48" t="e">
        <f t="shared" si="4"/>
        <v>#N/A</v>
      </c>
      <c r="H53" s="52" t="e">
        <f t="shared" si="2"/>
        <v>#N/A</v>
      </c>
    </row>
    <row r="54" spans="1:16">
      <c r="A54" s="28">
        <v>49</v>
      </c>
      <c r="B54" s="134"/>
      <c r="C54" s="118"/>
      <c r="D54" s="125" t="e">
        <f>HLOOKUP(YEAR(B54),'Indices TJ'!$A$1:$AZ$13,MONTH(B54)+1)</f>
        <v>#N/A</v>
      </c>
      <c r="E54" s="26">
        <f>HLOOKUP(YEAR($E$2),'Indices TJ'!$A$1:$AZ$13,MONTH($E$2)+1)</f>
        <v>42.899504</v>
      </c>
      <c r="F54" s="29">
        <f t="shared" si="3"/>
        <v>13.46</v>
      </c>
      <c r="G54" s="48" t="e">
        <f t="shared" si="4"/>
        <v>#N/A</v>
      </c>
      <c r="H54" s="52" t="e">
        <f t="shared" si="2"/>
        <v>#N/A</v>
      </c>
    </row>
    <row r="55" spans="1:16">
      <c r="A55" s="28">
        <v>50</v>
      </c>
      <c r="B55" s="134"/>
      <c r="C55" s="118"/>
      <c r="D55" s="125" t="e">
        <f>HLOOKUP(YEAR(B55),'Indices TJ'!$A$1:$AZ$13,MONTH(B55)+1)</f>
        <v>#N/A</v>
      </c>
      <c r="E55" s="26">
        <f>HLOOKUP(YEAR($E$2),'Indices TJ'!$A$1:$AZ$13,MONTH($E$2)+1)</f>
        <v>42.899504</v>
      </c>
      <c r="F55" s="29">
        <f t="shared" si="3"/>
        <v>13.46</v>
      </c>
      <c r="G55" s="48" t="e">
        <f t="shared" ref="G55:G94" si="7">(((C55/D55)*E55))+(((C55/D55)*E55))*F55</f>
        <v>#N/A</v>
      </c>
      <c r="H55" s="52" t="e">
        <f t="shared" ref="H55:H74" si="8">H54+G55</f>
        <v>#N/A</v>
      </c>
    </row>
    <row r="56" spans="1:16" ht="15" customHeight="1">
      <c r="A56" s="28">
        <v>51</v>
      </c>
      <c r="B56" s="134"/>
      <c r="C56" s="118"/>
      <c r="D56" s="125" t="e">
        <f>HLOOKUP(YEAR(B56),'Indices TJ'!$A$1:$AZ$13,MONTH(B56)+1)</f>
        <v>#N/A</v>
      </c>
      <c r="E56" s="26">
        <f>HLOOKUP(YEAR($E$2),'Indices TJ'!$A$1:$AZ$13,MONTH($E$2)+1)</f>
        <v>42.899504</v>
      </c>
      <c r="F56" s="29">
        <f t="shared" si="3"/>
        <v>13.46</v>
      </c>
      <c r="G56" s="48" t="e">
        <f t="shared" si="7"/>
        <v>#N/A</v>
      </c>
      <c r="H56" s="52" t="e">
        <f t="shared" si="8"/>
        <v>#N/A</v>
      </c>
      <c r="I56" s="27"/>
      <c r="J56" s="40"/>
      <c r="K56" s="37"/>
      <c r="L56" s="39"/>
      <c r="M56" s="36"/>
      <c r="N56" s="220"/>
      <c r="O56" s="220"/>
      <c r="P56" s="38"/>
    </row>
    <row r="57" spans="1:16" ht="15" customHeight="1">
      <c r="A57" s="28">
        <v>52</v>
      </c>
      <c r="B57" s="134"/>
      <c r="C57" s="118"/>
      <c r="D57" s="125" t="e">
        <f>HLOOKUP(YEAR(B57),'Indices TJ'!$A$1:$AZ$13,MONTH(B57)+1)</f>
        <v>#N/A</v>
      </c>
      <c r="E57" s="26">
        <f>HLOOKUP(YEAR($E$2),'Indices TJ'!$A$1:$AZ$13,MONTH($E$2)+1)</f>
        <v>42.899504</v>
      </c>
      <c r="F57" s="29">
        <f t="shared" si="3"/>
        <v>13.46</v>
      </c>
      <c r="G57" s="48" t="e">
        <f t="shared" si="7"/>
        <v>#N/A</v>
      </c>
      <c r="H57" s="52" t="e">
        <f t="shared" si="8"/>
        <v>#N/A</v>
      </c>
      <c r="I57" s="27"/>
      <c r="J57" s="40"/>
      <c r="K57" s="37"/>
      <c r="L57" s="39"/>
      <c r="M57" s="36"/>
      <c r="N57" s="220"/>
      <c r="O57" s="220"/>
      <c r="P57" s="38"/>
    </row>
    <row r="58" spans="1:16" ht="15" customHeight="1">
      <c r="A58" s="28">
        <v>53</v>
      </c>
      <c r="B58" s="134"/>
      <c r="C58" s="118"/>
      <c r="D58" s="125" t="e">
        <f>HLOOKUP(YEAR(B58),'Indices TJ'!$A$1:$AZ$13,MONTH(B58)+1)</f>
        <v>#N/A</v>
      </c>
      <c r="E58" s="26">
        <f>HLOOKUP(YEAR($E$2),'Indices TJ'!$A$1:$AZ$13,MONTH($E$2)+1)</f>
        <v>42.899504</v>
      </c>
      <c r="F58" s="29">
        <f t="shared" si="3"/>
        <v>13.46</v>
      </c>
      <c r="G58" s="48" t="e">
        <f t="shared" si="7"/>
        <v>#N/A</v>
      </c>
      <c r="H58" s="52" t="e">
        <f t="shared" si="8"/>
        <v>#N/A</v>
      </c>
      <c r="I58" s="27"/>
      <c r="J58" s="40"/>
      <c r="K58" s="37"/>
      <c r="L58" s="39"/>
      <c r="M58" s="36"/>
      <c r="N58" s="220"/>
      <c r="O58" s="220"/>
      <c r="P58" s="38"/>
    </row>
    <row r="59" spans="1:16" ht="15" customHeight="1">
      <c r="A59" s="28">
        <v>54</v>
      </c>
      <c r="B59" s="134"/>
      <c r="C59" s="118"/>
      <c r="D59" s="125" t="e">
        <f>HLOOKUP(YEAR(B59),'Indices TJ'!$A$1:$AZ$13,MONTH(B59)+1)</f>
        <v>#N/A</v>
      </c>
      <c r="E59" s="26">
        <f>HLOOKUP(YEAR($E$2),'Indices TJ'!$A$1:$AZ$13,MONTH($E$2)+1)</f>
        <v>42.899504</v>
      </c>
      <c r="F59" s="29">
        <f t="shared" si="3"/>
        <v>13.46</v>
      </c>
      <c r="G59" s="48" t="e">
        <f t="shared" si="7"/>
        <v>#N/A</v>
      </c>
      <c r="H59" s="52" t="e">
        <f t="shared" si="8"/>
        <v>#N/A</v>
      </c>
      <c r="I59" s="27"/>
      <c r="J59" s="40"/>
      <c r="K59" s="37"/>
      <c r="L59" s="39"/>
      <c r="M59" s="36"/>
      <c r="N59" s="220"/>
      <c r="O59" s="220"/>
      <c r="P59" s="38"/>
    </row>
    <row r="60" spans="1:16" ht="15" customHeight="1">
      <c r="A60" s="28">
        <v>55</v>
      </c>
      <c r="B60" s="134"/>
      <c r="C60" s="118"/>
      <c r="D60" s="125" t="e">
        <f>HLOOKUP(YEAR(B60),'Indices TJ'!$A$1:$AZ$13,MONTH(B60)+1)</f>
        <v>#N/A</v>
      </c>
      <c r="E60" s="26">
        <f>HLOOKUP(YEAR($E$2),'Indices TJ'!$A$1:$AZ$13,MONTH($E$2)+1)</f>
        <v>42.899504</v>
      </c>
      <c r="F60" s="29">
        <f t="shared" si="3"/>
        <v>13.46</v>
      </c>
      <c r="G60" s="48" t="e">
        <f t="shared" si="7"/>
        <v>#N/A</v>
      </c>
      <c r="H60" s="52" t="e">
        <f t="shared" si="8"/>
        <v>#N/A</v>
      </c>
      <c r="I60" s="27"/>
      <c r="J60" s="40"/>
      <c r="K60" s="37"/>
      <c r="L60" s="39"/>
      <c r="M60" s="36"/>
      <c r="N60" s="220"/>
      <c r="O60" s="220"/>
      <c r="P60" s="38"/>
    </row>
    <row r="61" spans="1:16" ht="15" customHeight="1">
      <c r="A61" s="28">
        <v>56</v>
      </c>
      <c r="B61" s="134"/>
      <c r="C61" s="118"/>
      <c r="D61" s="125" t="e">
        <f>HLOOKUP(YEAR(B61),'Indices TJ'!$A$1:$AZ$13,MONTH(B61)+1)</f>
        <v>#N/A</v>
      </c>
      <c r="E61" s="26">
        <f>HLOOKUP(YEAR($E$2),'Indices TJ'!$A$1:$AZ$13,MONTH($E$2)+1)</f>
        <v>42.899504</v>
      </c>
      <c r="F61" s="29">
        <f t="shared" si="3"/>
        <v>13.46</v>
      </c>
      <c r="G61" s="48" t="e">
        <f t="shared" si="7"/>
        <v>#N/A</v>
      </c>
      <c r="H61" s="52" t="e">
        <f t="shared" si="8"/>
        <v>#N/A</v>
      </c>
      <c r="I61" s="27"/>
      <c r="J61" s="40"/>
      <c r="K61" s="37"/>
      <c r="L61" s="39"/>
      <c r="M61" s="36"/>
      <c r="N61" s="220"/>
      <c r="O61" s="220"/>
      <c r="P61" s="38"/>
    </row>
    <row r="62" spans="1:16" ht="15" customHeight="1">
      <c r="A62" s="28">
        <v>57</v>
      </c>
      <c r="B62" s="134"/>
      <c r="C62" s="118"/>
      <c r="D62" s="125" t="e">
        <f>HLOOKUP(YEAR(B62),'Indices TJ'!$A$1:$AZ$13,MONTH(B62)+1)</f>
        <v>#N/A</v>
      </c>
      <c r="E62" s="26">
        <f>HLOOKUP(YEAR($E$2),'Indices TJ'!$A$1:$AZ$13,MONTH($E$2)+1)</f>
        <v>42.899504</v>
      </c>
      <c r="F62" s="29">
        <f t="shared" si="3"/>
        <v>13.46</v>
      </c>
      <c r="G62" s="48" t="e">
        <f t="shared" si="7"/>
        <v>#N/A</v>
      </c>
      <c r="H62" s="52" t="e">
        <f t="shared" si="8"/>
        <v>#N/A</v>
      </c>
      <c r="I62" s="27"/>
      <c r="J62" s="40"/>
      <c r="K62" s="37"/>
      <c r="L62" s="39"/>
      <c r="M62" s="36"/>
      <c r="N62" s="220"/>
      <c r="O62" s="220"/>
      <c r="P62" s="38"/>
    </row>
    <row r="63" spans="1:16" ht="15" customHeight="1">
      <c r="A63" s="28">
        <v>58</v>
      </c>
      <c r="B63" s="134"/>
      <c r="C63" s="118"/>
      <c r="D63" s="125" t="e">
        <f>HLOOKUP(YEAR(B63),'Indices TJ'!$A$1:$AZ$13,MONTH(B63)+1)</f>
        <v>#N/A</v>
      </c>
      <c r="E63" s="26">
        <f>HLOOKUP(YEAR($E$2),'Indices TJ'!$A$1:$AZ$13,MONTH($E$2)+1)</f>
        <v>42.899504</v>
      </c>
      <c r="F63" s="29">
        <f t="shared" si="3"/>
        <v>13.46</v>
      </c>
      <c r="G63" s="48" t="e">
        <f t="shared" si="7"/>
        <v>#N/A</v>
      </c>
      <c r="H63" s="52" t="e">
        <f t="shared" si="8"/>
        <v>#N/A</v>
      </c>
      <c r="I63" s="27"/>
      <c r="J63" s="40"/>
      <c r="K63" s="37"/>
      <c r="L63" s="39"/>
      <c r="M63" s="36"/>
      <c r="N63" s="220"/>
      <c r="O63" s="220"/>
      <c r="P63" s="38"/>
    </row>
    <row r="64" spans="1:16" ht="15" customHeight="1">
      <c r="A64" s="28">
        <v>59</v>
      </c>
      <c r="B64" s="134"/>
      <c r="C64" s="118"/>
      <c r="D64" s="125" t="e">
        <f>HLOOKUP(YEAR(B64),'Indices TJ'!$A$1:$AZ$13,MONTH(B64)+1)</f>
        <v>#N/A</v>
      </c>
      <c r="E64" s="26">
        <f>HLOOKUP(YEAR($E$2),'Indices TJ'!$A$1:$AZ$13,MONTH($E$2)+1)</f>
        <v>42.899504</v>
      </c>
      <c r="F64" s="29">
        <f t="shared" si="3"/>
        <v>13.46</v>
      </c>
      <c r="G64" s="48" t="e">
        <f t="shared" si="7"/>
        <v>#N/A</v>
      </c>
      <c r="H64" s="52" t="e">
        <f t="shared" si="8"/>
        <v>#N/A</v>
      </c>
      <c r="I64" s="27"/>
      <c r="J64" s="40"/>
      <c r="K64" s="37"/>
      <c r="L64" s="39"/>
      <c r="M64" s="36"/>
      <c r="N64" s="220"/>
      <c r="O64" s="220"/>
      <c r="P64" s="38"/>
    </row>
    <row r="65" spans="1:16" ht="15" customHeight="1">
      <c r="A65" s="28">
        <v>60</v>
      </c>
      <c r="B65" s="134"/>
      <c r="C65" s="118"/>
      <c r="D65" s="125" t="e">
        <f>HLOOKUP(YEAR(B65),'Indices TJ'!$A$1:$AZ$13,MONTH(B65)+1)</f>
        <v>#N/A</v>
      </c>
      <c r="E65" s="26">
        <f>HLOOKUP(YEAR($E$2),'Indices TJ'!$A$1:$AZ$13,MONTH($E$2)+1)</f>
        <v>42.899504</v>
      </c>
      <c r="F65" s="29">
        <f t="shared" si="3"/>
        <v>13.46</v>
      </c>
      <c r="G65" s="48" t="e">
        <f t="shared" si="7"/>
        <v>#N/A</v>
      </c>
      <c r="H65" s="52" t="e">
        <f t="shared" si="8"/>
        <v>#N/A</v>
      </c>
      <c r="I65" s="27"/>
      <c r="J65" s="40"/>
      <c r="K65" s="37"/>
      <c r="L65" s="39"/>
      <c r="M65" s="36"/>
      <c r="N65" s="220"/>
      <c r="O65" s="220"/>
      <c r="P65" s="38"/>
    </row>
    <row r="66" spans="1:16" ht="15" customHeight="1">
      <c r="A66" s="28">
        <v>61</v>
      </c>
      <c r="B66" s="134"/>
      <c r="C66" s="118"/>
      <c r="D66" s="125" t="e">
        <f>HLOOKUP(YEAR(B66),'Indices TJ'!$A$1:$AZ$13,MONTH(B66)+1)</f>
        <v>#N/A</v>
      </c>
      <c r="E66" s="26">
        <f>HLOOKUP(YEAR($E$2),'Indices TJ'!$A$1:$AZ$13,MONTH($E$2)+1)</f>
        <v>42.899504</v>
      </c>
      <c r="F66" s="29">
        <f t="shared" si="3"/>
        <v>13.46</v>
      </c>
      <c r="G66" s="48" t="e">
        <f t="shared" si="7"/>
        <v>#N/A</v>
      </c>
      <c r="H66" s="52" t="e">
        <f t="shared" si="8"/>
        <v>#N/A</v>
      </c>
      <c r="I66" s="27"/>
      <c r="J66" s="40"/>
      <c r="K66" s="37"/>
      <c r="L66" s="39"/>
      <c r="M66" s="36"/>
      <c r="N66" s="220"/>
      <c r="O66" s="220"/>
      <c r="P66" s="38"/>
    </row>
    <row r="67" spans="1:16" ht="15" customHeight="1">
      <c r="A67" s="28">
        <v>62</v>
      </c>
      <c r="B67" s="134"/>
      <c r="C67" s="118"/>
      <c r="D67" s="125" t="e">
        <f>HLOOKUP(YEAR(B67),'Indices TJ'!$A$1:$AZ$13,MONTH(B67)+1)</f>
        <v>#N/A</v>
      </c>
      <c r="E67" s="26">
        <f>HLOOKUP(YEAR($E$2),'Indices TJ'!$A$1:$AZ$13,MONTH($E$2)+1)</f>
        <v>42.899504</v>
      </c>
      <c r="F67" s="29">
        <f t="shared" si="3"/>
        <v>13.46</v>
      </c>
      <c r="G67" s="48" t="e">
        <f t="shared" si="7"/>
        <v>#N/A</v>
      </c>
      <c r="H67" s="52" t="e">
        <f t="shared" si="8"/>
        <v>#N/A</v>
      </c>
      <c r="I67" s="27"/>
      <c r="J67" s="40"/>
      <c r="K67" s="37"/>
      <c r="L67" s="39"/>
      <c r="M67" s="36"/>
      <c r="N67" s="220"/>
      <c r="O67" s="220"/>
      <c r="P67" s="38"/>
    </row>
    <row r="68" spans="1:16">
      <c r="A68" s="28">
        <v>63</v>
      </c>
      <c r="B68" s="134"/>
      <c r="C68" s="118"/>
      <c r="D68" s="125" t="e">
        <f>HLOOKUP(YEAR(B68),'Indices TJ'!$A$1:$AZ$13,MONTH(B68)+1)</f>
        <v>#N/A</v>
      </c>
      <c r="E68" s="26">
        <f>HLOOKUP(YEAR($E$2),'Indices TJ'!$A$1:$AZ$13,MONTH($E$2)+1)</f>
        <v>42.899504</v>
      </c>
      <c r="F68" s="29">
        <f t="shared" si="3"/>
        <v>13.46</v>
      </c>
      <c r="G68" s="48" t="e">
        <f t="shared" si="7"/>
        <v>#N/A</v>
      </c>
      <c r="H68" s="52" t="e">
        <f t="shared" si="8"/>
        <v>#N/A</v>
      </c>
      <c r="I68" s="27"/>
    </row>
    <row r="69" spans="1:16">
      <c r="A69" s="28">
        <v>64</v>
      </c>
      <c r="B69" s="134"/>
      <c r="C69" s="118"/>
      <c r="D69" s="125" t="e">
        <f>HLOOKUP(YEAR(B69),'Indices TJ'!$A$1:$AZ$13,MONTH(B69)+1)</f>
        <v>#N/A</v>
      </c>
      <c r="E69" s="26">
        <f>HLOOKUP(YEAR($E$2),'Indices TJ'!$A$1:$AZ$13,MONTH($E$2)+1)</f>
        <v>42.899504</v>
      </c>
      <c r="F69" s="29">
        <f t="shared" si="3"/>
        <v>13.46</v>
      </c>
      <c r="G69" s="48" t="e">
        <f t="shared" si="7"/>
        <v>#N/A</v>
      </c>
      <c r="H69" s="52" t="e">
        <f t="shared" si="8"/>
        <v>#N/A</v>
      </c>
      <c r="I69" s="27"/>
    </row>
    <row r="70" spans="1:16">
      <c r="A70" s="28">
        <v>65</v>
      </c>
      <c r="B70" s="134"/>
      <c r="C70" s="118"/>
      <c r="D70" s="125" t="e">
        <f>HLOOKUP(YEAR(B70),'Indices TJ'!$A$1:$AZ$13,MONTH(B70)+1)</f>
        <v>#N/A</v>
      </c>
      <c r="E70" s="26">
        <f>HLOOKUP(YEAR($E$2),'Indices TJ'!$A$1:$AZ$13,MONTH($E$2)+1)</f>
        <v>42.899504</v>
      </c>
      <c r="F70" s="29">
        <f t="shared" si="3"/>
        <v>13.46</v>
      </c>
      <c r="G70" s="48" t="e">
        <f t="shared" si="7"/>
        <v>#N/A</v>
      </c>
      <c r="H70" s="52" t="e">
        <f t="shared" si="8"/>
        <v>#N/A</v>
      </c>
      <c r="I70" s="27"/>
    </row>
    <row r="71" spans="1:16">
      <c r="A71" s="28">
        <v>66</v>
      </c>
      <c r="B71" s="134"/>
      <c r="C71" s="118"/>
      <c r="D71" s="125" t="e">
        <f>HLOOKUP(YEAR(B71),'Indices TJ'!$A$1:$AZ$13,MONTH(B71)+1)</f>
        <v>#N/A</v>
      </c>
      <c r="E71" s="26">
        <f>HLOOKUP(YEAR($E$2),'Indices TJ'!$A$1:$AZ$13,MONTH($E$2)+1)</f>
        <v>42.899504</v>
      </c>
      <c r="F71" s="29">
        <f t="shared" si="3"/>
        <v>13.46</v>
      </c>
      <c r="G71" s="48" t="e">
        <f t="shared" si="7"/>
        <v>#N/A</v>
      </c>
      <c r="H71" s="52" t="e">
        <f t="shared" si="8"/>
        <v>#N/A</v>
      </c>
      <c r="I71" s="27"/>
    </row>
    <row r="72" spans="1:16">
      <c r="A72" s="28">
        <v>67</v>
      </c>
      <c r="B72" s="134"/>
      <c r="C72" s="118"/>
      <c r="D72" s="125" t="e">
        <f>HLOOKUP(YEAR(B72),'Indices TJ'!$A$1:$AZ$13,MONTH(B72)+1)</f>
        <v>#N/A</v>
      </c>
      <c r="E72" s="26">
        <f>HLOOKUP(YEAR($E$2),'Indices TJ'!$A$1:$AZ$13,MONTH($E$2)+1)</f>
        <v>42.899504</v>
      </c>
      <c r="F72" s="29">
        <f t="shared" si="3"/>
        <v>13.46</v>
      </c>
      <c r="G72" s="48" t="e">
        <f t="shared" si="7"/>
        <v>#N/A</v>
      </c>
      <c r="H72" s="52" t="e">
        <f t="shared" si="8"/>
        <v>#N/A</v>
      </c>
      <c r="I72" s="27"/>
    </row>
    <row r="73" spans="1:16">
      <c r="A73" s="28">
        <v>68</v>
      </c>
      <c r="B73" s="134"/>
      <c r="C73" s="118"/>
      <c r="D73" s="125" t="e">
        <f>HLOOKUP(YEAR(B73),'Indices TJ'!$A$1:$AZ$13,MONTH(B73)+1)</f>
        <v>#N/A</v>
      </c>
      <c r="E73" s="26">
        <f>HLOOKUP(YEAR($E$2),'Indices TJ'!$A$1:$AZ$13,MONTH($E$2)+1)</f>
        <v>42.899504</v>
      </c>
      <c r="F73" s="29">
        <f t="shared" si="3"/>
        <v>13.46</v>
      </c>
      <c r="G73" s="48" t="e">
        <f t="shared" si="7"/>
        <v>#N/A</v>
      </c>
      <c r="H73" s="52" t="e">
        <f t="shared" si="8"/>
        <v>#N/A</v>
      </c>
      <c r="I73" s="27"/>
    </row>
    <row r="74" spans="1:16">
      <c r="A74" s="28">
        <v>69</v>
      </c>
      <c r="B74" s="134"/>
      <c r="C74" s="118"/>
      <c r="D74" s="125" t="e">
        <f>HLOOKUP(YEAR(B74),'Indices TJ'!$A$1:$AZ$13,MONTH(B74)+1)</f>
        <v>#N/A</v>
      </c>
      <c r="E74" s="26">
        <f>HLOOKUP(YEAR($E$2),'Indices TJ'!$A$1:$AZ$13,MONTH($E$2)+1)</f>
        <v>42.899504</v>
      </c>
      <c r="F74" s="29">
        <f t="shared" si="3"/>
        <v>13.46</v>
      </c>
      <c r="G74" s="48" t="e">
        <f t="shared" si="7"/>
        <v>#N/A</v>
      </c>
      <c r="H74" s="52" t="e">
        <f t="shared" si="8"/>
        <v>#N/A</v>
      </c>
      <c r="I74" s="27"/>
    </row>
    <row r="75" spans="1:16">
      <c r="A75" s="28">
        <v>70</v>
      </c>
      <c r="B75" s="134"/>
      <c r="C75" s="118"/>
      <c r="D75" s="125" t="e">
        <f>HLOOKUP(YEAR(B75),'Indices TJ'!$A$1:$AZ$13,MONTH(B75)+1)</f>
        <v>#N/A</v>
      </c>
      <c r="E75" s="26">
        <f>HLOOKUP(YEAR($E$2),'Indices TJ'!$A$1:$AZ$13,MONTH($E$2)+1)</f>
        <v>42.899504</v>
      </c>
      <c r="F75" s="29">
        <f t="shared" si="3"/>
        <v>13.46</v>
      </c>
      <c r="G75" s="48" t="e">
        <f t="shared" si="7"/>
        <v>#N/A</v>
      </c>
      <c r="H75" s="52" t="e">
        <f>H74+G75</f>
        <v>#N/A</v>
      </c>
      <c r="I75" s="27"/>
    </row>
    <row r="76" spans="1:16">
      <c r="A76" s="28">
        <v>71</v>
      </c>
      <c r="B76" s="134"/>
      <c r="C76" s="118"/>
      <c r="D76" s="125" t="e">
        <f>HLOOKUP(YEAR(B76),'Indices TJ'!$A$1:$AZ$13,MONTH(B76)+1)</f>
        <v>#N/A</v>
      </c>
      <c r="E76" s="26">
        <f>HLOOKUP(YEAR($E$2),'Indices TJ'!$A$1:$AZ$13,MONTH($E$2)+1)</f>
        <v>42.899504</v>
      </c>
      <c r="F76" s="29">
        <f t="shared" ref="F76:F104" si="9">IF(($E$2-B76)&gt;30,ROUND(($E$2-B76)/30,0)*$F$5,0)</f>
        <v>13.46</v>
      </c>
      <c r="G76" s="48" t="e">
        <f t="shared" si="7"/>
        <v>#N/A</v>
      </c>
      <c r="H76" s="52" t="e">
        <f t="shared" ref="H76:H84" si="10">H75+G76</f>
        <v>#N/A</v>
      </c>
      <c r="I76" s="27"/>
    </row>
    <row r="77" spans="1:16">
      <c r="A77" s="28">
        <v>72</v>
      </c>
      <c r="B77" s="134"/>
      <c r="C77" s="118"/>
      <c r="D77" s="125" t="e">
        <f>HLOOKUP(YEAR(B77),'Indices TJ'!$A$1:$AZ$13,MONTH(B77)+1)</f>
        <v>#N/A</v>
      </c>
      <c r="E77" s="26">
        <f>HLOOKUP(YEAR($E$2),'Indices TJ'!$A$1:$AZ$13,MONTH($E$2)+1)</f>
        <v>42.899504</v>
      </c>
      <c r="F77" s="29">
        <f t="shared" si="9"/>
        <v>13.46</v>
      </c>
      <c r="G77" s="48" t="e">
        <f t="shared" si="7"/>
        <v>#N/A</v>
      </c>
      <c r="H77" s="52" t="e">
        <f t="shared" si="10"/>
        <v>#N/A</v>
      </c>
    </row>
    <row r="78" spans="1:16">
      <c r="A78" s="28">
        <v>73</v>
      </c>
      <c r="B78" s="134"/>
      <c r="C78" s="118"/>
      <c r="D78" s="125" t="e">
        <f>HLOOKUP(YEAR(B78),'Indices TJ'!$A$1:$AZ$13,MONTH(B78)+1)</f>
        <v>#N/A</v>
      </c>
      <c r="E78" s="26">
        <f>HLOOKUP(YEAR($E$2),'Indices TJ'!$A$1:$AZ$13,MONTH($E$2)+1)</f>
        <v>42.899504</v>
      </c>
      <c r="F78" s="29">
        <f t="shared" si="9"/>
        <v>13.46</v>
      </c>
      <c r="G78" s="48" t="e">
        <f t="shared" si="7"/>
        <v>#N/A</v>
      </c>
      <c r="H78" s="52" t="e">
        <f t="shared" si="10"/>
        <v>#N/A</v>
      </c>
    </row>
    <row r="79" spans="1:16">
      <c r="A79" s="28">
        <v>74</v>
      </c>
      <c r="B79" s="134"/>
      <c r="C79" s="118"/>
      <c r="D79" s="125" t="e">
        <f>HLOOKUP(YEAR(B79),'Indices TJ'!$A$1:$AZ$13,MONTH(B79)+1)</f>
        <v>#N/A</v>
      </c>
      <c r="E79" s="26">
        <f>HLOOKUP(YEAR($E$2),'Indices TJ'!$A$1:$AZ$13,MONTH($E$2)+1)</f>
        <v>42.899504</v>
      </c>
      <c r="F79" s="29">
        <f t="shared" si="9"/>
        <v>13.46</v>
      </c>
      <c r="G79" s="48" t="e">
        <f t="shared" si="7"/>
        <v>#N/A</v>
      </c>
      <c r="H79" s="52" t="e">
        <f t="shared" si="10"/>
        <v>#N/A</v>
      </c>
    </row>
    <row r="80" spans="1:16">
      <c r="A80" s="28">
        <v>75</v>
      </c>
      <c r="B80" s="134"/>
      <c r="C80" s="118"/>
      <c r="D80" s="125" t="e">
        <f>HLOOKUP(YEAR(B80),'Indices TJ'!$A$1:$AZ$13,MONTH(B80)+1)</f>
        <v>#N/A</v>
      </c>
      <c r="E80" s="26">
        <f>HLOOKUP(YEAR($E$2),'Indices TJ'!$A$1:$AZ$13,MONTH($E$2)+1)</f>
        <v>42.899504</v>
      </c>
      <c r="F80" s="29">
        <f t="shared" si="9"/>
        <v>13.46</v>
      </c>
      <c r="G80" s="48" t="e">
        <f t="shared" si="7"/>
        <v>#N/A</v>
      </c>
      <c r="H80" s="52" t="e">
        <f t="shared" si="10"/>
        <v>#N/A</v>
      </c>
    </row>
    <row r="81" spans="1:9">
      <c r="A81" s="28">
        <v>76</v>
      </c>
      <c r="B81" s="134"/>
      <c r="C81" s="118"/>
      <c r="D81" s="125" t="e">
        <f>HLOOKUP(YEAR(B81),'Indices TJ'!$A$1:$AZ$13,MONTH(B81)+1)</f>
        <v>#N/A</v>
      </c>
      <c r="E81" s="26">
        <f>HLOOKUP(YEAR($E$2),'Indices TJ'!$A$1:$AZ$13,MONTH($E$2)+1)</f>
        <v>42.899504</v>
      </c>
      <c r="F81" s="29">
        <f t="shared" si="9"/>
        <v>13.46</v>
      </c>
      <c r="G81" s="48" t="e">
        <f t="shared" si="7"/>
        <v>#N/A</v>
      </c>
      <c r="H81" s="52" t="e">
        <f t="shared" si="10"/>
        <v>#N/A</v>
      </c>
    </row>
    <row r="82" spans="1:9">
      <c r="A82" s="28">
        <v>77</v>
      </c>
      <c r="B82" s="134"/>
      <c r="C82" s="118"/>
      <c r="D82" s="125" t="e">
        <f>HLOOKUP(YEAR(B82),'Indices TJ'!$A$1:$AZ$13,MONTH(B82)+1)</f>
        <v>#N/A</v>
      </c>
      <c r="E82" s="26">
        <f>HLOOKUP(YEAR($E$2),'Indices TJ'!$A$1:$AZ$13,MONTH($E$2)+1)</f>
        <v>42.899504</v>
      </c>
      <c r="F82" s="29">
        <f t="shared" si="9"/>
        <v>13.46</v>
      </c>
      <c r="G82" s="48" t="e">
        <f t="shared" si="7"/>
        <v>#N/A</v>
      </c>
      <c r="H82" s="52" t="e">
        <f t="shared" si="10"/>
        <v>#N/A</v>
      </c>
    </row>
    <row r="83" spans="1:9">
      <c r="A83" s="28">
        <v>78</v>
      </c>
      <c r="B83" s="134"/>
      <c r="C83" s="118"/>
      <c r="D83" s="125" t="e">
        <f>HLOOKUP(YEAR(B83),'Indices TJ'!$A$1:$AZ$13,MONTH(B83)+1)</f>
        <v>#N/A</v>
      </c>
      <c r="E83" s="26">
        <f>HLOOKUP(YEAR($E$2),'Indices TJ'!$A$1:$AZ$13,MONTH($E$2)+1)</f>
        <v>42.899504</v>
      </c>
      <c r="F83" s="29">
        <f t="shared" si="9"/>
        <v>13.46</v>
      </c>
      <c r="G83" s="48" t="e">
        <f t="shared" si="7"/>
        <v>#N/A</v>
      </c>
      <c r="H83" s="52" t="e">
        <f t="shared" si="10"/>
        <v>#N/A</v>
      </c>
    </row>
    <row r="84" spans="1:9">
      <c r="A84" s="28">
        <v>79</v>
      </c>
      <c r="B84" s="134"/>
      <c r="C84" s="118"/>
      <c r="D84" s="125" t="e">
        <f>HLOOKUP(YEAR(B84),'Indices TJ'!$A$1:$AZ$13,MONTH(B84)+1)</f>
        <v>#N/A</v>
      </c>
      <c r="E84" s="26">
        <f>HLOOKUP(YEAR($E$2),'Indices TJ'!$A$1:$AZ$13,MONTH($E$2)+1)</f>
        <v>42.899504</v>
      </c>
      <c r="F84" s="29">
        <f t="shared" si="9"/>
        <v>13.46</v>
      </c>
      <c r="G84" s="48" t="e">
        <f t="shared" si="7"/>
        <v>#N/A</v>
      </c>
      <c r="H84" s="52" t="e">
        <f t="shared" si="10"/>
        <v>#N/A</v>
      </c>
    </row>
    <row r="85" spans="1:9">
      <c r="A85" s="28">
        <v>80</v>
      </c>
      <c r="B85" s="134"/>
      <c r="C85" s="118"/>
      <c r="D85" s="125" t="e">
        <f>HLOOKUP(YEAR(B85),'Indices TJ'!$A$1:$AZ$13,MONTH(B85)+1)</f>
        <v>#N/A</v>
      </c>
      <c r="E85" s="26">
        <f>HLOOKUP(YEAR($E$2),'Indices TJ'!$A$1:$AZ$13,MONTH($E$2)+1)</f>
        <v>42.899504</v>
      </c>
      <c r="F85" s="29">
        <f t="shared" si="9"/>
        <v>13.46</v>
      </c>
      <c r="G85" s="48" t="e">
        <f t="shared" si="7"/>
        <v>#N/A</v>
      </c>
      <c r="H85" s="52" t="e">
        <f>H84+G85</f>
        <v>#N/A</v>
      </c>
    </row>
    <row r="86" spans="1:9">
      <c r="A86" s="28">
        <v>81</v>
      </c>
      <c r="B86" s="134"/>
      <c r="C86" s="118"/>
      <c r="D86" s="125" t="e">
        <f>HLOOKUP(YEAR(B86),'Indices TJ'!$A$1:$AZ$13,MONTH(B86)+1)</f>
        <v>#N/A</v>
      </c>
      <c r="E86" s="26">
        <f>HLOOKUP(YEAR($E$2),'Indices TJ'!$A$1:$AZ$13,MONTH($E$2)+1)</f>
        <v>42.899504</v>
      </c>
      <c r="F86" s="29">
        <f t="shared" si="9"/>
        <v>13.46</v>
      </c>
      <c r="G86" s="48" t="e">
        <f t="shared" si="7"/>
        <v>#N/A</v>
      </c>
      <c r="H86" s="52" t="e">
        <f t="shared" ref="H86:H94" si="11">H85+G86</f>
        <v>#N/A</v>
      </c>
      <c r="I86" s="27"/>
    </row>
    <row r="87" spans="1:9">
      <c r="A87" s="28">
        <v>82</v>
      </c>
      <c r="B87" s="134"/>
      <c r="C87" s="118"/>
      <c r="D87" s="125" t="e">
        <f>HLOOKUP(YEAR(B87),'Indices TJ'!$A$1:$AZ$13,MONTH(B87)+1)</f>
        <v>#N/A</v>
      </c>
      <c r="E87" s="26">
        <f>HLOOKUP(YEAR($E$2),'Indices TJ'!$A$1:$AZ$13,MONTH($E$2)+1)</f>
        <v>42.899504</v>
      </c>
      <c r="F87" s="29">
        <f t="shared" si="9"/>
        <v>13.46</v>
      </c>
      <c r="G87" s="48" t="e">
        <f t="shared" si="7"/>
        <v>#N/A</v>
      </c>
      <c r="H87" s="52" t="e">
        <f t="shared" si="11"/>
        <v>#N/A</v>
      </c>
    </row>
    <row r="88" spans="1:9">
      <c r="A88" s="28">
        <v>83</v>
      </c>
      <c r="B88" s="134"/>
      <c r="C88" s="118"/>
      <c r="D88" s="125" t="e">
        <f>HLOOKUP(YEAR(B88),'Indices TJ'!$A$1:$AZ$13,MONTH(B88)+1)</f>
        <v>#N/A</v>
      </c>
      <c r="E88" s="26">
        <f>HLOOKUP(YEAR($E$2),'Indices TJ'!$A$1:$AZ$13,MONTH($E$2)+1)</f>
        <v>42.899504</v>
      </c>
      <c r="F88" s="29">
        <f t="shared" si="9"/>
        <v>13.46</v>
      </c>
      <c r="G88" s="48" t="e">
        <f t="shared" si="7"/>
        <v>#N/A</v>
      </c>
      <c r="H88" s="52" t="e">
        <f t="shared" si="11"/>
        <v>#N/A</v>
      </c>
    </row>
    <row r="89" spans="1:9">
      <c r="A89" s="28">
        <v>84</v>
      </c>
      <c r="B89" s="134"/>
      <c r="C89" s="118"/>
      <c r="D89" s="125" t="e">
        <f>HLOOKUP(YEAR(B89),'Indices TJ'!$A$1:$AZ$13,MONTH(B89)+1)</f>
        <v>#N/A</v>
      </c>
      <c r="E89" s="26">
        <f>HLOOKUP(YEAR($E$2),'Indices TJ'!$A$1:$AZ$13,MONTH($E$2)+1)</f>
        <v>42.899504</v>
      </c>
      <c r="F89" s="29">
        <f t="shared" si="9"/>
        <v>13.46</v>
      </c>
      <c r="G89" s="48" t="e">
        <f t="shared" si="7"/>
        <v>#N/A</v>
      </c>
      <c r="H89" s="52" t="e">
        <f t="shared" si="11"/>
        <v>#N/A</v>
      </c>
    </row>
    <row r="90" spans="1:9">
      <c r="A90" s="28">
        <v>85</v>
      </c>
      <c r="B90" s="134"/>
      <c r="C90" s="118"/>
      <c r="D90" s="125" t="e">
        <f>HLOOKUP(YEAR(B90),'Indices TJ'!$A$1:$AZ$13,MONTH(B90)+1)</f>
        <v>#N/A</v>
      </c>
      <c r="E90" s="26">
        <f>HLOOKUP(YEAR($E$2),'Indices TJ'!$A$1:$AZ$13,MONTH($E$2)+1)</f>
        <v>42.899504</v>
      </c>
      <c r="F90" s="29">
        <f t="shared" si="9"/>
        <v>13.46</v>
      </c>
      <c r="G90" s="48" t="e">
        <f t="shared" si="7"/>
        <v>#N/A</v>
      </c>
      <c r="H90" s="52" t="e">
        <f t="shared" si="11"/>
        <v>#N/A</v>
      </c>
    </row>
    <row r="91" spans="1:9">
      <c r="A91" s="28">
        <v>86</v>
      </c>
      <c r="B91" s="134"/>
      <c r="C91" s="118"/>
      <c r="D91" s="125" t="e">
        <f>HLOOKUP(YEAR(B91),'Indices TJ'!$A$1:$AZ$13,MONTH(B91)+1)</f>
        <v>#N/A</v>
      </c>
      <c r="E91" s="26">
        <f>HLOOKUP(YEAR($E$2),'Indices TJ'!$A$1:$AZ$13,MONTH($E$2)+1)</f>
        <v>42.899504</v>
      </c>
      <c r="F91" s="29">
        <f t="shared" si="9"/>
        <v>13.46</v>
      </c>
      <c r="G91" s="48" t="e">
        <f t="shared" si="7"/>
        <v>#N/A</v>
      </c>
      <c r="H91" s="52" t="e">
        <f t="shared" si="11"/>
        <v>#N/A</v>
      </c>
    </row>
    <row r="92" spans="1:9">
      <c r="A92" s="28">
        <v>87</v>
      </c>
      <c r="B92" s="134"/>
      <c r="C92" s="118"/>
      <c r="D92" s="125" t="e">
        <f>HLOOKUP(YEAR(B92),'Indices TJ'!$A$1:$AZ$13,MONTH(B92)+1)</f>
        <v>#N/A</v>
      </c>
      <c r="E92" s="26">
        <f>HLOOKUP(YEAR($E$2),'Indices TJ'!$A$1:$AZ$13,MONTH($E$2)+1)</f>
        <v>42.899504</v>
      </c>
      <c r="F92" s="29">
        <f t="shared" si="9"/>
        <v>13.46</v>
      </c>
      <c r="G92" s="48" t="e">
        <f t="shared" si="7"/>
        <v>#N/A</v>
      </c>
      <c r="H92" s="52" t="e">
        <f t="shared" si="11"/>
        <v>#N/A</v>
      </c>
    </row>
    <row r="93" spans="1:9">
      <c r="A93" s="28">
        <v>88</v>
      </c>
      <c r="B93" s="134"/>
      <c r="C93" s="118"/>
      <c r="D93" s="125" t="e">
        <f>HLOOKUP(YEAR(B93),'Indices TJ'!$A$1:$AZ$13,MONTH(B93)+1)</f>
        <v>#N/A</v>
      </c>
      <c r="E93" s="26">
        <f>HLOOKUP(YEAR($E$2),'Indices TJ'!$A$1:$AZ$13,MONTH($E$2)+1)</f>
        <v>42.899504</v>
      </c>
      <c r="F93" s="29">
        <f t="shared" si="9"/>
        <v>13.46</v>
      </c>
      <c r="G93" s="48" t="e">
        <f t="shared" si="7"/>
        <v>#N/A</v>
      </c>
      <c r="H93" s="52" t="e">
        <f t="shared" si="11"/>
        <v>#N/A</v>
      </c>
    </row>
    <row r="94" spans="1:9">
      <c r="A94" s="28">
        <v>89</v>
      </c>
      <c r="B94" s="134"/>
      <c r="C94" s="118"/>
      <c r="D94" s="125" t="e">
        <f>HLOOKUP(YEAR(B94),'Indices TJ'!$A$1:$AZ$13,MONTH(B94)+1)</f>
        <v>#N/A</v>
      </c>
      <c r="E94" s="26">
        <f>HLOOKUP(YEAR($E$2),'Indices TJ'!$A$1:$AZ$13,MONTH($E$2)+1)</f>
        <v>42.899504</v>
      </c>
      <c r="F94" s="29">
        <f t="shared" si="9"/>
        <v>13.46</v>
      </c>
      <c r="G94" s="48" t="e">
        <f t="shared" si="7"/>
        <v>#N/A</v>
      </c>
      <c r="H94" s="52" t="e">
        <f t="shared" si="11"/>
        <v>#N/A</v>
      </c>
    </row>
    <row r="95" spans="1:9">
      <c r="A95" s="28">
        <v>90</v>
      </c>
      <c r="B95" s="134"/>
      <c r="C95" s="118"/>
      <c r="D95" s="125" t="e">
        <f>HLOOKUP(YEAR(B95),'Indices TJ'!$A$1:$AZ$13,MONTH(B95)+1)</f>
        <v>#N/A</v>
      </c>
      <c r="E95" s="26">
        <f>HLOOKUP(YEAR($E$2),'Indices TJ'!$A$1:$AZ$13,MONTH($E$2)+1)</f>
        <v>42.899504</v>
      </c>
      <c r="F95" s="29">
        <f t="shared" si="9"/>
        <v>13.46</v>
      </c>
      <c r="G95" s="48" t="e">
        <f t="shared" ref="G95:G103" si="12">(((C95/D95)*E95))+(((C95/D95)*E95))*F95</f>
        <v>#N/A</v>
      </c>
      <c r="H95" s="52" t="e">
        <f>H94+G95</f>
        <v>#N/A</v>
      </c>
    </row>
    <row r="96" spans="1:9">
      <c r="A96" s="28">
        <v>91</v>
      </c>
      <c r="B96" s="134"/>
      <c r="C96" s="118"/>
      <c r="D96" s="125" t="e">
        <f>HLOOKUP(YEAR(B96),'Indices TJ'!$A$1:$AZ$13,MONTH(B96)+1)</f>
        <v>#N/A</v>
      </c>
      <c r="E96" s="26">
        <f>HLOOKUP(YEAR($E$2),'Indices TJ'!$A$1:$AZ$13,MONTH($E$2)+1)</f>
        <v>42.899504</v>
      </c>
      <c r="F96" s="29">
        <f t="shared" si="9"/>
        <v>13.46</v>
      </c>
      <c r="G96" s="48" t="e">
        <f t="shared" si="12"/>
        <v>#N/A</v>
      </c>
      <c r="H96" s="52" t="e">
        <f t="shared" ref="H96:H103" si="13">H95+G96</f>
        <v>#N/A</v>
      </c>
      <c r="I96" s="27"/>
    </row>
    <row r="97" spans="1:8">
      <c r="A97" s="28">
        <v>92</v>
      </c>
      <c r="B97" s="134"/>
      <c r="C97" s="118"/>
      <c r="D97" s="125" t="e">
        <f>HLOOKUP(YEAR(B97),'Indices TJ'!$A$1:$AZ$13,MONTH(B97)+1)</f>
        <v>#N/A</v>
      </c>
      <c r="E97" s="26">
        <f>HLOOKUP(YEAR($E$2),'Indices TJ'!$A$1:$AZ$13,MONTH($E$2)+1)</f>
        <v>42.899504</v>
      </c>
      <c r="F97" s="29">
        <f t="shared" si="9"/>
        <v>13.46</v>
      </c>
      <c r="G97" s="48" t="e">
        <f t="shared" si="12"/>
        <v>#N/A</v>
      </c>
      <c r="H97" s="52" t="e">
        <f t="shared" si="13"/>
        <v>#N/A</v>
      </c>
    </row>
    <row r="98" spans="1:8">
      <c r="A98" s="28">
        <v>93</v>
      </c>
      <c r="B98" s="134"/>
      <c r="C98" s="118"/>
      <c r="D98" s="125" t="e">
        <f>HLOOKUP(YEAR(B98),'Indices TJ'!$A$1:$AZ$13,MONTH(B98)+1)</f>
        <v>#N/A</v>
      </c>
      <c r="E98" s="26">
        <f>HLOOKUP(YEAR($E$2),'Indices TJ'!$A$1:$AZ$13,MONTH($E$2)+1)</f>
        <v>42.899504</v>
      </c>
      <c r="F98" s="29">
        <f t="shared" si="9"/>
        <v>13.46</v>
      </c>
      <c r="G98" s="48" t="e">
        <f t="shared" si="12"/>
        <v>#N/A</v>
      </c>
      <c r="H98" s="52" t="e">
        <f t="shared" si="13"/>
        <v>#N/A</v>
      </c>
    </row>
    <row r="99" spans="1:8">
      <c r="A99" s="28">
        <v>94</v>
      </c>
      <c r="B99" s="134"/>
      <c r="C99" s="118"/>
      <c r="D99" s="125" t="e">
        <f>HLOOKUP(YEAR(B99),'Indices TJ'!$A$1:$AZ$13,MONTH(B99)+1)</f>
        <v>#N/A</v>
      </c>
      <c r="E99" s="26">
        <f>HLOOKUP(YEAR($E$2),'Indices TJ'!$A$1:$AZ$13,MONTH($E$2)+1)</f>
        <v>42.899504</v>
      </c>
      <c r="F99" s="29">
        <f t="shared" si="9"/>
        <v>13.46</v>
      </c>
      <c r="G99" s="48" t="e">
        <f t="shared" si="12"/>
        <v>#N/A</v>
      </c>
      <c r="H99" s="52" t="e">
        <f t="shared" si="13"/>
        <v>#N/A</v>
      </c>
    </row>
    <row r="100" spans="1:8">
      <c r="A100" s="28">
        <v>95</v>
      </c>
      <c r="B100" s="134"/>
      <c r="C100" s="118"/>
      <c r="D100" s="125" t="e">
        <f>HLOOKUP(YEAR(B100),'Indices TJ'!$A$1:$AZ$13,MONTH(B100)+1)</f>
        <v>#N/A</v>
      </c>
      <c r="E100" s="26">
        <f>HLOOKUP(YEAR($E$2),'Indices TJ'!$A$1:$AZ$13,MONTH($E$2)+1)</f>
        <v>42.899504</v>
      </c>
      <c r="F100" s="29">
        <f t="shared" si="9"/>
        <v>13.46</v>
      </c>
      <c r="G100" s="48" t="e">
        <f t="shared" si="12"/>
        <v>#N/A</v>
      </c>
      <c r="H100" s="52" t="e">
        <f t="shared" si="13"/>
        <v>#N/A</v>
      </c>
    </row>
    <row r="101" spans="1:8">
      <c r="A101" s="28">
        <v>96</v>
      </c>
      <c r="B101" s="134"/>
      <c r="C101" s="118"/>
      <c r="D101" s="125" t="e">
        <f>HLOOKUP(YEAR(B101),'Indices TJ'!$A$1:$AZ$13,MONTH(B101)+1)</f>
        <v>#N/A</v>
      </c>
      <c r="E101" s="26">
        <f>HLOOKUP(YEAR($E$2),'Indices TJ'!$A$1:$AZ$13,MONTH($E$2)+1)</f>
        <v>42.899504</v>
      </c>
      <c r="F101" s="29">
        <f t="shared" si="9"/>
        <v>13.46</v>
      </c>
      <c r="G101" s="48" t="e">
        <f t="shared" si="12"/>
        <v>#N/A</v>
      </c>
      <c r="H101" s="52" t="e">
        <f t="shared" si="13"/>
        <v>#N/A</v>
      </c>
    </row>
    <row r="102" spans="1:8">
      <c r="A102" s="28">
        <v>97</v>
      </c>
      <c r="B102" s="134"/>
      <c r="C102" s="118"/>
      <c r="D102" s="125" t="e">
        <f>HLOOKUP(YEAR(B102),'Indices TJ'!$A$1:$AZ$13,MONTH(B102)+1)</f>
        <v>#N/A</v>
      </c>
      <c r="E102" s="26">
        <f>HLOOKUP(YEAR($E$2),'Indices TJ'!$A$1:$AZ$13,MONTH($E$2)+1)</f>
        <v>42.899504</v>
      </c>
      <c r="F102" s="29">
        <f t="shared" si="9"/>
        <v>13.46</v>
      </c>
      <c r="G102" s="48" t="e">
        <f t="shared" si="12"/>
        <v>#N/A</v>
      </c>
      <c r="H102" s="52" t="e">
        <f t="shared" si="13"/>
        <v>#N/A</v>
      </c>
    </row>
    <row r="103" spans="1:8">
      <c r="A103" s="28">
        <v>98</v>
      </c>
      <c r="B103" s="134"/>
      <c r="C103" s="118"/>
      <c r="D103" s="125" t="e">
        <f>HLOOKUP(YEAR(B103),'Indices TJ'!$A$1:$AZ$13,MONTH(B103)+1)</f>
        <v>#N/A</v>
      </c>
      <c r="E103" s="26">
        <f>HLOOKUP(YEAR($E$2),'Indices TJ'!$A$1:$AZ$13,MONTH($E$2)+1)</f>
        <v>42.899504</v>
      </c>
      <c r="F103" s="29">
        <f t="shared" si="9"/>
        <v>13.46</v>
      </c>
      <c r="G103" s="48" t="e">
        <f t="shared" si="12"/>
        <v>#N/A</v>
      </c>
      <c r="H103" s="52" t="e">
        <f t="shared" si="13"/>
        <v>#N/A</v>
      </c>
    </row>
    <row r="104" spans="1:8">
      <c r="A104" s="28">
        <v>99</v>
      </c>
      <c r="B104" s="134"/>
      <c r="C104" s="118"/>
      <c r="D104" s="125" t="e">
        <f>HLOOKUP(YEAR(B104),'Indices TJ'!$A$1:$AZ$13,MONTH(B104)+1)</f>
        <v>#N/A</v>
      </c>
      <c r="E104" s="26">
        <f>HLOOKUP(YEAR($E$2),'Indices TJ'!$A$1:$AZ$13,MONTH($E$2)+1)</f>
        <v>42.899504</v>
      </c>
      <c r="F104" s="29">
        <f t="shared" si="9"/>
        <v>13.46</v>
      </c>
      <c r="G104" s="48" t="e">
        <f>(((C104/D104)*E104))+(((C104/D104)*E104))*F104</f>
        <v>#N/A</v>
      </c>
      <c r="H104" s="52" t="e">
        <f>H103+G104</f>
        <v>#N/A</v>
      </c>
    </row>
    <row r="105" spans="1:8">
      <c r="B105" s="49"/>
      <c r="C105" s="50"/>
    </row>
    <row r="106" spans="1:8">
      <c r="B106" s="49"/>
      <c r="C106" s="50"/>
    </row>
    <row r="107" spans="1:8">
      <c r="B107" s="49"/>
      <c r="C107" s="50"/>
    </row>
    <row r="108" spans="1:8">
      <c r="C108" s="44"/>
    </row>
    <row r="109" spans="1:8">
      <c r="C109" s="44"/>
    </row>
    <row r="110" spans="1:8">
      <c r="C110" s="44"/>
    </row>
    <row r="111" spans="1:8">
      <c r="C111" s="44"/>
    </row>
    <row r="112" spans="1:8">
      <c r="C112" s="44"/>
    </row>
    <row r="113" spans="3:3">
      <c r="C113" s="44"/>
    </row>
    <row r="114" spans="3:3">
      <c r="C114" s="44"/>
    </row>
    <row r="115" spans="3:3">
      <c r="C115" s="44"/>
    </row>
    <row r="116" spans="3:3">
      <c r="C116" s="44"/>
    </row>
    <row r="117" spans="3:3">
      <c r="C117" s="44"/>
    </row>
    <row r="118" spans="3:3">
      <c r="C118" s="44"/>
    </row>
    <row r="119" spans="3:3">
      <c r="C119" s="44"/>
    </row>
    <row r="120" spans="3:3">
      <c r="C120" s="44"/>
    </row>
    <row r="121" spans="3:3">
      <c r="C121" s="44"/>
    </row>
    <row r="122" spans="3:3">
      <c r="C122" s="44"/>
    </row>
    <row r="123" spans="3:3">
      <c r="C123" s="44"/>
    </row>
    <row r="124" spans="3:3">
      <c r="C124" s="44"/>
    </row>
    <row r="125" spans="3:3">
      <c r="C125" s="44"/>
    </row>
    <row r="126" spans="3:3">
      <c r="C126" s="44"/>
    </row>
    <row r="127" spans="3:3">
      <c r="C127" s="44"/>
    </row>
    <row r="128" spans="3:3">
      <c r="C128" s="44"/>
    </row>
    <row r="129" spans="3:3">
      <c r="C129" s="44"/>
    </row>
    <row r="130" spans="3:3">
      <c r="C130" s="44"/>
    </row>
    <row r="131" spans="3:3">
      <c r="C131" s="44"/>
    </row>
    <row r="132" spans="3:3">
      <c r="C132" s="44"/>
    </row>
    <row r="133" spans="3:3">
      <c r="C133" s="44"/>
    </row>
    <row r="134" spans="3:3">
      <c r="C134" s="44"/>
    </row>
    <row r="135" spans="3:3">
      <c r="C135" s="44"/>
    </row>
    <row r="136" spans="3:3">
      <c r="C136" s="44"/>
    </row>
    <row r="137" spans="3:3">
      <c r="C137" s="44"/>
    </row>
    <row r="138" spans="3:3">
      <c r="C138" s="44"/>
    </row>
    <row r="139" spans="3:3">
      <c r="C139" s="44"/>
    </row>
    <row r="140" spans="3:3">
      <c r="C140" s="44"/>
    </row>
    <row r="141" spans="3:3">
      <c r="C141" s="44"/>
    </row>
    <row r="142" spans="3:3">
      <c r="C142" s="44"/>
    </row>
    <row r="143" spans="3:3">
      <c r="C143" s="44"/>
    </row>
    <row r="144" spans="3:3">
      <c r="C144" s="44"/>
    </row>
    <row r="145" spans="3:3">
      <c r="C145" s="44"/>
    </row>
    <row r="146" spans="3:3">
      <c r="C146" s="44"/>
    </row>
    <row r="147" spans="3:3">
      <c r="C147" s="44"/>
    </row>
    <row r="148" spans="3:3">
      <c r="C148" s="44"/>
    </row>
    <row r="149" spans="3:3">
      <c r="C149" s="44"/>
    </row>
    <row r="150" spans="3:3">
      <c r="C150" s="44"/>
    </row>
    <row r="151" spans="3:3">
      <c r="C151" s="44"/>
    </row>
    <row r="152" spans="3:3">
      <c r="C152" s="44"/>
    </row>
    <row r="153" spans="3:3">
      <c r="C153" s="44"/>
    </row>
    <row r="154" spans="3:3">
      <c r="C154" s="44"/>
    </row>
    <row r="155" spans="3:3">
      <c r="C155" s="44"/>
    </row>
    <row r="156" spans="3:3">
      <c r="C156" s="44"/>
    </row>
    <row r="157" spans="3:3">
      <c r="C157" s="44"/>
    </row>
    <row r="158" spans="3:3">
      <c r="C158" s="44"/>
    </row>
    <row r="159" spans="3:3">
      <c r="C159" s="44"/>
    </row>
    <row r="160" spans="3:3">
      <c r="C160" s="44"/>
    </row>
    <row r="161" spans="3:3">
      <c r="C161" s="44"/>
    </row>
    <row r="162" spans="3:3">
      <c r="C162" s="44"/>
    </row>
    <row r="163" spans="3:3">
      <c r="C163" s="44"/>
    </row>
    <row r="164" spans="3:3">
      <c r="C164" s="44"/>
    </row>
    <row r="165" spans="3:3">
      <c r="C165" s="44"/>
    </row>
    <row r="166" spans="3:3">
      <c r="C166" s="44"/>
    </row>
    <row r="167" spans="3:3">
      <c r="C167" s="44"/>
    </row>
    <row r="168" spans="3:3">
      <c r="C168" s="44"/>
    </row>
    <row r="169" spans="3:3">
      <c r="C169" s="44"/>
    </row>
    <row r="170" spans="3:3">
      <c r="C170" s="44"/>
    </row>
    <row r="171" spans="3:3">
      <c r="C171" s="44"/>
    </row>
    <row r="172" spans="3:3">
      <c r="C172" s="44"/>
    </row>
    <row r="173" spans="3:3">
      <c r="C173" s="44"/>
    </row>
    <row r="174" spans="3:3">
      <c r="C174" s="44"/>
    </row>
    <row r="175" spans="3:3">
      <c r="C175" s="44"/>
    </row>
    <row r="176" spans="3:3">
      <c r="C176" s="44"/>
    </row>
    <row r="177" spans="3:3">
      <c r="C177" s="44"/>
    </row>
    <row r="178" spans="3:3">
      <c r="C178" s="44"/>
    </row>
    <row r="179" spans="3:3">
      <c r="C179" s="44"/>
    </row>
    <row r="180" spans="3:3">
      <c r="C180" s="44"/>
    </row>
    <row r="181" spans="3:3">
      <c r="C181" s="44"/>
    </row>
    <row r="182" spans="3:3">
      <c r="C182" s="44"/>
    </row>
    <row r="183" spans="3:3">
      <c r="C183" s="44"/>
    </row>
    <row r="184" spans="3:3">
      <c r="C184" s="44"/>
    </row>
    <row r="185" spans="3:3">
      <c r="C185" s="44"/>
    </row>
    <row r="186" spans="3:3">
      <c r="C186" s="44"/>
    </row>
    <row r="187" spans="3:3">
      <c r="C187" s="44"/>
    </row>
    <row r="188" spans="3:3">
      <c r="C188" s="44"/>
    </row>
    <row r="189" spans="3:3">
      <c r="C189" s="44"/>
    </row>
    <row r="190" spans="3:3">
      <c r="C190" s="44"/>
    </row>
    <row r="191" spans="3:3">
      <c r="C191" s="44"/>
    </row>
    <row r="192" spans="3:3">
      <c r="C192" s="44"/>
    </row>
    <row r="193" spans="3:3">
      <c r="C193" s="44"/>
    </row>
    <row r="194" spans="3:3">
      <c r="C194" s="44"/>
    </row>
    <row r="195" spans="3:3">
      <c r="C195" s="44"/>
    </row>
    <row r="196" spans="3:3">
      <c r="C196" s="44"/>
    </row>
    <row r="197" spans="3:3">
      <c r="C197" s="44"/>
    </row>
    <row r="198" spans="3:3">
      <c r="C198" s="44"/>
    </row>
    <row r="199" spans="3:3">
      <c r="C199" s="44"/>
    </row>
    <row r="200" spans="3:3">
      <c r="C200" s="44"/>
    </row>
    <row r="201" spans="3:3">
      <c r="C201" s="44"/>
    </row>
    <row r="202" spans="3:3">
      <c r="C202" s="44"/>
    </row>
    <row r="203" spans="3:3">
      <c r="C203" s="44"/>
    </row>
    <row r="204" spans="3:3">
      <c r="C204" s="44"/>
    </row>
    <row r="205" spans="3:3">
      <c r="C205" s="44"/>
    </row>
    <row r="206" spans="3:3">
      <c r="C206" s="44"/>
    </row>
    <row r="207" spans="3:3">
      <c r="C207" s="44"/>
    </row>
    <row r="208" spans="3:3">
      <c r="C208" s="44"/>
    </row>
    <row r="209" spans="3:3">
      <c r="C209" s="44"/>
    </row>
    <row r="210" spans="3:3">
      <c r="C210" s="44"/>
    </row>
    <row r="211" spans="3:3">
      <c r="C211" s="44"/>
    </row>
    <row r="212" spans="3:3">
      <c r="C212" s="44"/>
    </row>
    <row r="213" spans="3:3">
      <c r="C213" s="44"/>
    </row>
    <row r="214" spans="3:3">
      <c r="C214" s="44"/>
    </row>
    <row r="215" spans="3:3">
      <c r="C215" s="44"/>
    </row>
    <row r="216" spans="3:3">
      <c r="C216" s="44"/>
    </row>
    <row r="217" spans="3:3">
      <c r="C217" s="44"/>
    </row>
    <row r="218" spans="3:3">
      <c r="C218" s="44"/>
    </row>
    <row r="219" spans="3:3">
      <c r="C219" s="44"/>
    </row>
    <row r="220" spans="3:3">
      <c r="C220" s="44"/>
    </row>
    <row r="221" spans="3:3">
      <c r="C221" s="44"/>
    </row>
    <row r="222" spans="3:3">
      <c r="C222" s="44"/>
    </row>
    <row r="223" spans="3:3">
      <c r="C223" s="44"/>
    </row>
    <row r="224" spans="3:3">
      <c r="C224" s="44"/>
    </row>
    <row r="225" spans="3:3">
      <c r="C225" s="44"/>
    </row>
    <row r="226" spans="3:3">
      <c r="C226" s="44"/>
    </row>
    <row r="227" spans="3:3">
      <c r="C227" s="44"/>
    </row>
    <row r="228" spans="3:3">
      <c r="C228" s="44"/>
    </row>
    <row r="229" spans="3:3">
      <c r="C229" s="44"/>
    </row>
    <row r="230" spans="3:3">
      <c r="C230" s="44"/>
    </row>
    <row r="231" spans="3:3">
      <c r="C231" s="44"/>
    </row>
    <row r="232" spans="3:3">
      <c r="C232" s="44"/>
    </row>
    <row r="233" spans="3:3">
      <c r="C233" s="44"/>
    </row>
    <row r="234" spans="3:3">
      <c r="C234" s="44"/>
    </row>
    <row r="235" spans="3:3">
      <c r="C235" s="44"/>
    </row>
    <row r="236" spans="3:3">
      <c r="C236" s="44"/>
    </row>
    <row r="237" spans="3:3">
      <c r="C237" s="44"/>
    </row>
    <row r="238" spans="3:3">
      <c r="C238" s="44"/>
    </row>
    <row r="239" spans="3:3">
      <c r="C239" s="44"/>
    </row>
    <row r="240" spans="3:3">
      <c r="C240" s="44"/>
    </row>
    <row r="241" spans="3:3">
      <c r="C241" s="44"/>
    </row>
    <row r="242" spans="3:3">
      <c r="C242" s="44"/>
    </row>
    <row r="243" spans="3:3">
      <c r="C243" s="44"/>
    </row>
    <row r="244" spans="3:3">
      <c r="C244" s="44"/>
    </row>
    <row r="245" spans="3:3">
      <c r="C245" s="44"/>
    </row>
    <row r="246" spans="3:3">
      <c r="C246" s="44"/>
    </row>
    <row r="247" spans="3:3">
      <c r="C247" s="44"/>
    </row>
    <row r="248" spans="3:3">
      <c r="C248" s="44"/>
    </row>
    <row r="249" spans="3:3">
      <c r="C249" s="44"/>
    </row>
    <row r="250" spans="3:3">
      <c r="C250" s="44"/>
    </row>
    <row r="251" spans="3:3">
      <c r="C251" s="44"/>
    </row>
    <row r="252" spans="3:3">
      <c r="C252" s="44"/>
    </row>
    <row r="253" spans="3:3">
      <c r="C253" s="44"/>
    </row>
    <row r="254" spans="3:3">
      <c r="C254" s="44"/>
    </row>
    <row r="255" spans="3:3">
      <c r="C255" s="44"/>
    </row>
    <row r="256" spans="3:3">
      <c r="C256" s="44"/>
    </row>
    <row r="257" spans="3:3">
      <c r="C257" s="44"/>
    </row>
    <row r="258" spans="3:3">
      <c r="C258" s="44"/>
    </row>
    <row r="259" spans="3:3">
      <c r="C259" s="44"/>
    </row>
    <row r="260" spans="3:3">
      <c r="C260" s="44"/>
    </row>
    <row r="261" spans="3:3">
      <c r="C261" s="44"/>
    </row>
    <row r="262" spans="3:3">
      <c r="C262" s="44"/>
    </row>
    <row r="263" spans="3:3">
      <c r="C263" s="44"/>
    </row>
    <row r="264" spans="3:3">
      <c r="C264" s="44"/>
    </row>
    <row r="265" spans="3:3">
      <c r="C265" s="44"/>
    </row>
    <row r="266" spans="3:3">
      <c r="C266" s="44"/>
    </row>
    <row r="267" spans="3:3">
      <c r="C267" s="44"/>
    </row>
    <row r="268" spans="3:3">
      <c r="C268" s="44"/>
    </row>
    <row r="269" spans="3:3">
      <c r="C269" s="44"/>
    </row>
    <row r="270" spans="3:3">
      <c r="C270" s="44"/>
    </row>
    <row r="271" spans="3:3">
      <c r="C271" s="44"/>
    </row>
    <row r="272" spans="3:3">
      <c r="C272" s="44"/>
    </row>
    <row r="273" spans="3:3">
      <c r="C273" s="44"/>
    </row>
    <row r="274" spans="3:3">
      <c r="C274" s="44"/>
    </row>
    <row r="275" spans="3:3">
      <c r="C275" s="44"/>
    </row>
    <row r="276" spans="3:3">
      <c r="C276" s="44"/>
    </row>
    <row r="277" spans="3:3">
      <c r="C277" s="44"/>
    </row>
    <row r="278" spans="3:3">
      <c r="C278" s="44"/>
    </row>
    <row r="279" spans="3:3">
      <c r="C279" s="44"/>
    </row>
    <row r="280" spans="3:3">
      <c r="C280" s="44"/>
    </row>
    <row r="281" spans="3:3">
      <c r="C281" s="44"/>
    </row>
    <row r="282" spans="3:3">
      <c r="C282" s="44"/>
    </row>
    <row r="283" spans="3:3">
      <c r="C283" s="44"/>
    </row>
    <row r="284" spans="3:3">
      <c r="C284" s="44"/>
    </row>
    <row r="285" spans="3:3">
      <c r="C285" s="44"/>
    </row>
    <row r="286" spans="3:3">
      <c r="C286" s="44"/>
    </row>
    <row r="287" spans="3:3">
      <c r="C287" s="44"/>
    </row>
    <row r="288" spans="3:3">
      <c r="C288" s="44"/>
    </row>
    <row r="289" spans="3:3">
      <c r="C289" s="44"/>
    </row>
    <row r="290" spans="3:3">
      <c r="C290" s="44"/>
    </row>
    <row r="291" spans="3:3">
      <c r="C291" s="44"/>
    </row>
    <row r="292" spans="3:3">
      <c r="C292" s="44"/>
    </row>
    <row r="293" spans="3:3">
      <c r="C293" s="44"/>
    </row>
    <row r="294" spans="3:3">
      <c r="C294" s="44"/>
    </row>
    <row r="295" spans="3:3">
      <c r="C295" s="44"/>
    </row>
    <row r="296" spans="3:3">
      <c r="C296" s="44"/>
    </row>
    <row r="297" spans="3:3">
      <c r="C297" s="44"/>
    </row>
    <row r="298" spans="3:3">
      <c r="C298" s="44"/>
    </row>
    <row r="299" spans="3:3">
      <c r="C299" s="44"/>
    </row>
    <row r="300" spans="3:3">
      <c r="C300" s="44"/>
    </row>
    <row r="301" spans="3:3">
      <c r="C301" s="44"/>
    </row>
    <row r="302" spans="3:3">
      <c r="C302" s="44"/>
    </row>
    <row r="303" spans="3:3">
      <c r="C303" s="44"/>
    </row>
    <row r="304" spans="3:3">
      <c r="C304" s="44"/>
    </row>
    <row r="305" spans="3:3">
      <c r="C305" s="44"/>
    </row>
    <row r="306" spans="3:3">
      <c r="C306" s="44"/>
    </row>
    <row r="307" spans="3:3">
      <c r="C307" s="44"/>
    </row>
    <row r="308" spans="3:3">
      <c r="C308" s="44"/>
    </row>
    <row r="309" spans="3:3">
      <c r="C309" s="44"/>
    </row>
    <row r="310" spans="3:3">
      <c r="C310" s="44"/>
    </row>
    <row r="311" spans="3:3">
      <c r="C311" s="44"/>
    </row>
    <row r="312" spans="3:3">
      <c r="C312" s="44"/>
    </row>
    <row r="313" spans="3:3">
      <c r="C313" s="44"/>
    </row>
    <row r="314" spans="3:3">
      <c r="C314" s="44"/>
    </row>
    <row r="315" spans="3:3">
      <c r="C315" s="44"/>
    </row>
    <row r="316" spans="3:3">
      <c r="C316" s="44"/>
    </row>
    <row r="317" spans="3:3">
      <c r="C317" s="44"/>
    </row>
    <row r="318" spans="3:3">
      <c r="C318" s="44"/>
    </row>
    <row r="319" spans="3:3">
      <c r="C319" s="44"/>
    </row>
    <row r="320" spans="3:3">
      <c r="C320" s="44"/>
    </row>
    <row r="321" spans="3:3">
      <c r="C321" s="44"/>
    </row>
    <row r="322" spans="3:3">
      <c r="C322" s="44"/>
    </row>
    <row r="323" spans="3:3">
      <c r="C323" s="44"/>
    </row>
    <row r="324" spans="3:3">
      <c r="C324" s="44"/>
    </row>
    <row r="325" spans="3:3">
      <c r="C325" s="44"/>
    </row>
    <row r="326" spans="3:3">
      <c r="C326" s="44"/>
    </row>
    <row r="327" spans="3:3">
      <c r="C327" s="44"/>
    </row>
    <row r="328" spans="3:3">
      <c r="C328" s="44"/>
    </row>
    <row r="329" spans="3:3">
      <c r="C329" s="44"/>
    </row>
    <row r="330" spans="3:3">
      <c r="C330" s="44"/>
    </row>
    <row r="331" spans="3:3">
      <c r="C331" s="44"/>
    </row>
    <row r="332" spans="3:3">
      <c r="C332" s="44"/>
    </row>
    <row r="333" spans="3:3">
      <c r="C333" s="44"/>
    </row>
    <row r="334" spans="3:3">
      <c r="C334" s="44"/>
    </row>
    <row r="335" spans="3:3">
      <c r="C335" s="44"/>
    </row>
    <row r="336" spans="3:3">
      <c r="C336" s="44"/>
    </row>
    <row r="337" spans="3:3">
      <c r="C337" s="44"/>
    </row>
    <row r="338" spans="3:3">
      <c r="C338" s="44"/>
    </row>
    <row r="339" spans="3:3">
      <c r="C339" s="44"/>
    </row>
    <row r="340" spans="3:3">
      <c r="C340" s="44"/>
    </row>
    <row r="341" spans="3:3">
      <c r="C341" s="44"/>
    </row>
    <row r="342" spans="3:3">
      <c r="C342" s="44"/>
    </row>
    <row r="343" spans="3:3">
      <c r="C343" s="44"/>
    </row>
    <row r="344" spans="3:3">
      <c r="C344" s="44"/>
    </row>
    <row r="345" spans="3:3">
      <c r="C345" s="44"/>
    </row>
    <row r="346" spans="3:3">
      <c r="C346" s="44"/>
    </row>
    <row r="347" spans="3:3">
      <c r="C347" s="44"/>
    </row>
    <row r="348" spans="3:3">
      <c r="C348" s="44"/>
    </row>
    <row r="349" spans="3:3">
      <c r="C349" s="44"/>
    </row>
    <row r="350" spans="3:3">
      <c r="C350" s="44"/>
    </row>
    <row r="351" spans="3:3">
      <c r="C351" s="44"/>
    </row>
    <row r="352" spans="3:3">
      <c r="C352" s="44"/>
    </row>
    <row r="353" spans="3:3">
      <c r="C353" s="44"/>
    </row>
    <row r="354" spans="3:3">
      <c r="C354" s="44"/>
    </row>
    <row r="355" spans="3:3">
      <c r="C355" s="44"/>
    </row>
    <row r="356" spans="3:3">
      <c r="C356" s="44"/>
    </row>
    <row r="357" spans="3:3">
      <c r="C357" s="44"/>
    </row>
    <row r="358" spans="3:3">
      <c r="C358" s="44"/>
    </row>
    <row r="359" spans="3:3">
      <c r="C359" s="44"/>
    </row>
    <row r="360" spans="3:3">
      <c r="C360" s="44"/>
    </row>
    <row r="361" spans="3:3">
      <c r="C361" s="44"/>
    </row>
    <row r="362" spans="3:3">
      <c r="C362" s="44"/>
    </row>
    <row r="363" spans="3:3">
      <c r="C363" s="44"/>
    </row>
    <row r="364" spans="3:3">
      <c r="C364" s="44"/>
    </row>
    <row r="365" spans="3:3">
      <c r="C365" s="44"/>
    </row>
    <row r="366" spans="3:3">
      <c r="C366" s="44"/>
    </row>
    <row r="367" spans="3:3">
      <c r="C367" s="44"/>
    </row>
    <row r="368" spans="3:3">
      <c r="C368" s="44"/>
    </row>
    <row r="369" spans="3:3">
      <c r="C369" s="44"/>
    </row>
    <row r="370" spans="3:3">
      <c r="C370" s="44"/>
    </row>
    <row r="371" spans="3:3">
      <c r="C371" s="44"/>
    </row>
    <row r="372" spans="3:3">
      <c r="C372" s="44"/>
    </row>
    <row r="373" spans="3:3">
      <c r="C373" s="44"/>
    </row>
    <row r="374" spans="3:3">
      <c r="C374" s="44"/>
    </row>
    <row r="375" spans="3:3">
      <c r="C375" s="44"/>
    </row>
    <row r="376" spans="3:3">
      <c r="C376" s="44"/>
    </row>
    <row r="377" spans="3:3">
      <c r="C377" s="44"/>
    </row>
    <row r="378" spans="3:3">
      <c r="C378" s="44"/>
    </row>
    <row r="379" spans="3:3">
      <c r="C379" s="44"/>
    </row>
    <row r="380" spans="3:3">
      <c r="C380" s="44"/>
    </row>
    <row r="381" spans="3:3">
      <c r="C381" s="44"/>
    </row>
    <row r="382" spans="3:3">
      <c r="C382" s="44"/>
    </row>
    <row r="383" spans="3:3">
      <c r="C383" s="44"/>
    </row>
    <row r="384" spans="3:3">
      <c r="C384" s="44"/>
    </row>
    <row r="385" spans="3:3">
      <c r="C385" s="44"/>
    </row>
    <row r="386" spans="3:3">
      <c r="C386" s="44"/>
    </row>
    <row r="387" spans="3:3">
      <c r="C387" s="44"/>
    </row>
    <row r="388" spans="3:3">
      <c r="C388" s="44"/>
    </row>
    <row r="389" spans="3:3">
      <c r="C389" s="44"/>
    </row>
    <row r="390" spans="3:3">
      <c r="C390" s="44"/>
    </row>
    <row r="391" spans="3:3">
      <c r="C391" s="44"/>
    </row>
    <row r="392" spans="3:3">
      <c r="C392" s="44"/>
    </row>
    <row r="393" spans="3:3">
      <c r="C393" s="44"/>
    </row>
    <row r="394" spans="3:3">
      <c r="C394" s="44"/>
    </row>
    <row r="395" spans="3:3">
      <c r="C395" s="44"/>
    </row>
    <row r="396" spans="3:3">
      <c r="C396" s="44"/>
    </row>
    <row r="397" spans="3:3">
      <c r="C397" s="44"/>
    </row>
    <row r="398" spans="3:3">
      <c r="C398" s="44"/>
    </row>
    <row r="399" spans="3:3">
      <c r="C399" s="44"/>
    </row>
    <row r="400" spans="3:3">
      <c r="C400" s="44"/>
    </row>
    <row r="401" spans="3:3">
      <c r="C401" s="44"/>
    </row>
    <row r="402" spans="3:3">
      <c r="C402" s="44"/>
    </row>
    <row r="403" spans="3:3">
      <c r="C403" s="44"/>
    </row>
    <row r="404" spans="3:3">
      <c r="C404" s="44"/>
    </row>
    <row r="405" spans="3:3">
      <c r="C405" s="44"/>
    </row>
    <row r="406" spans="3:3">
      <c r="C406" s="44"/>
    </row>
    <row r="407" spans="3:3">
      <c r="C407" s="44"/>
    </row>
    <row r="408" spans="3:3">
      <c r="C408" s="44"/>
    </row>
    <row r="409" spans="3:3">
      <c r="C409" s="44"/>
    </row>
    <row r="410" spans="3:3">
      <c r="C410" s="44"/>
    </row>
    <row r="411" spans="3:3">
      <c r="C411" s="44"/>
    </row>
    <row r="412" spans="3:3">
      <c r="C412" s="44"/>
    </row>
    <row r="413" spans="3:3">
      <c r="C413" s="44"/>
    </row>
    <row r="414" spans="3:3">
      <c r="C414" s="44"/>
    </row>
    <row r="415" spans="3:3">
      <c r="C415" s="44"/>
    </row>
    <row r="416" spans="3:3">
      <c r="C416" s="44"/>
    </row>
    <row r="417" spans="3:3">
      <c r="C417" s="44"/>
    </row>
    <row r="418" spans="3:3">
      <c r="C418" s="44"/>
    </row>
    <row r="419" spans="3:3">
      <c r="C419" s="44"/>
    </row>
    <row r="420" spans="3:3">
      <c r="C420" s="44"/>
    </row>
    <row r="421" spans="3:3">
      <c r="C421" s="44"/>
    </row>
    <row r="422" spans="3:3">
      <c r="C422" s="44"/>
    </row>
    <row r="423" spans="3:3">
      <c r="C423" s="44"/>
    </row>
    <row r="424" spans="3:3">
      <c r="C424" s="44"/>
    </row>
    <row r="425" spans="3:3">
      <c r="C425" s="44"/>
    </row>
    <row r="426" spans="3:3">
      <c r="C426" s="44"/>
    </row>
    <row r="427" spans="3:3">
      <c r="C427" s="44"/>
    </row>
    <row r="428" spans="3:3">
      <c r="C428" s="44"/>
    </row>
    <row r="429" spans="3:3">
      <c r="C429" s="44"/>
    </row>
    <row r="430" spans="3:3">
      <c r="C430" s="44"/>
    </row>
    <row r="431" spans="3:3">
      <c r="C431" s="44"/>
    </row>
    <row r="432" spans="3:3">
      <c r="C432" s="44"/>
    </row>
    <row r="433" spans="3:3">
      <c r="C433" s="44"/>
    </row>
    <row r="434" spans="3:3">
      <c r="C434" s="44"/>
    </row>
    <row r="435" spans="3:3">
      <c r="C435" s="44"/>
    </row>
    <row r="436" spans="3:3">
      <c r="C436" s="44"/>
    </row>
    <row r="437" spans="3:3">
      <c r="C437" s="44"/>
    </row>
    <row r="438" spans="3:3">
      <c r="C438" s="44"/>
    </row>
    <row r="439" spans="3:3">
      <c r="C439" s="44"/>
    </row>
    <row r="440" spans="3:3">
      <c r="C440" s="44"/>
    </row>
    <row r="441" spans="3:3">
      <c r="C441" s="44"/>
    </row>
    <row r="442" spans="3:3">
      <c r="C442" s="44"/>
    </row>
    <row r="443" spans="3:3">
      <c r="C443" s="44"/>
    </row>
    <row r="444" spans="3:3">
      <c r="C444" s="44"/>
    </row>
    <row r="445" spans="3:3">
      <c r="C445" s="44"/>
    </row>
    <row r="446" spans="3:3">
      <c r="C446" s="44"/>
    </row>
    <row r="447" spans="3:3">
      <c r="C447" s="44"/>
    </row>
    <row r="448" spans="3:3">
      <c r="C448" s="44"/>
    </row>
    <row r="449" spans="3:3">
      <c r="C449" s="44"/>
    </row>
    <row r="450" spans="3:3">
      <c r="C450" s="44"/>
    </row>
    <row r="451" spans="3:3">
      <c r="C451" s="44"/>
    </row>
    <row r="452" spans="3:3">
      <c r="C452" s="44"/>
    </row>
    <row r="453" spans="3:3">
      <c r="C453" s="44"/>
    </row>
    <row r="454" spans="3:3">
      <c r="C454" s="44"/>
    </row>
    <row r="455" spans="3:3">
      <c r="C455" s="44"/>
    </row>
    <row r="456" spans="3:3">
      <c r="C456" s="44"/>
    </row>
    <row r="457" spans="3:3">
      <c r="C457" s="44"/>
    </row>
    <row r="458" spans="3:3">
      <c r="C458" s="44"/>
    </row>
    <row r="459" spans="3:3">
      <c r="C459" s="44"/>
    </row>
    <row r="460" spans="3:3">
      <c r="C460" s="44"/>
    </row>
    <row r="461" spans="3:3">
      <c r="C461" s="44"/>
    </row>
    <row r="462" spans="3:3">
      <c r="C462" s="44"/>
    </row>
    <row r="463" spans="3:3">
      <c r="C463" s="44"/>
    </row>
    <row r="464" spans="3:3">
      <c r="C464" s="44"/>
    </row>
    <row r="465" spans="3:3">
      <c r="C465" s="44"/>
    </row>
    <row r="466" spans="3:3">
      <c r="C466" s="44"/>
    </row>
    <row r="467" spans="3:3">
      <c r="C467" s="44"/>
    </row>
    <row r="468" spans="3:3">
      <c r="C468" s="44"/>
    </row>
    <row r="469" spans="3:3">
      <c r="C469" s="44"/>
    </row>
    <row r="470" spans="3:3">
      <c r="C470" s="44"/>
    </row>
    <row r="471" spans="3:3">
      <c r="C471" s="44"/>
    </row>
    <row r="472" spans="3:3">
      <c r="C472" s="44"/>
    </row>
    <row r="473" spans="3:3">
      <c r="C473" s="44"/>
    </row>
    <row r="474" spans="3:3">
      <c r="C474" s="44"/>
    </row>
    <row r="475" spans="3:3">
      <c r="C475" s="44"/>
    </row>
    <row r="476" spans="3:3">
      <c r="C476" s="44"/>
    </row>
    <row r="477" spans="3:3">
      <c r="C477" s="44"/>
    </row>
    <row r="478" spans="3:3">
      <c r="C478" s="44"/>
    </row>
    <row r="479" spans="3:3">
      <c r="C479" s="44"/>
    </row>
    <row r="480" spans="3:3">
      <c r="C480" s="44"/>
    </row>
    <row r="481" spans="3:3">
      <c r="C481" s="44"/>
    </row>
    <row r="482" spans="3:3">
      <c r="C482" s="44"/>
    </row>
    <row r="483" spans="3:3">
      <c r="C483" s="44"/>
    </row>
    <row r="484" spans="3:3">
      <c r="C484" s="44"/>
    </row>
    <row r="485" spans="3:3">
      <c r="C485" s="44"/>
    </row>
    <row r="486" spans="3:3">
      <c r="C486" s="44"/>
    </row>
    <row r="487" spans="3:3">
      <c r="C487" s="44"/>
    </row>
    <row r="488" spans="3:3">
      <c r="C488" s="44"/>
    </row>
    <row r="489" spans="3:3">
      <c r="C489" s="44"/>
    </row>
    <row r="490" spans="3:3">
      <c r="C490" s="44"/>
    </row>
    <row r="491" spans="3:3">
      <c r="C491" s="44"/>
    </row>
    <row r="492" spans="3:3">
      <c r="C492" s="44"/>
    </row>
    <row r="493" spans="3:3">
      <c r="C493" s="44"/>
    </row>
    <row r="494" spans="3:3">
      <c r="C494" s="44"/>
    </row>
    <row r="495" spans="3:3">
      <c r="C495" s="44"/>
    </row>
    <row r="496" spans="3:3">
      <c r="C496" s="44"/>
    </row>
    <row r="497" spans="3:3">
      <c r="C497" s="44"/>
    </row>
    <row r="498" spans="3:3">
      <c r="C498" s="44"/>
    </row>
    <row r="499" spans="3:3">
      <c r="C499" s="44"/>
    </row>
    <row r="500" spans="3:3">
      <c r="C500" s="44"/>
    </row>
    <row r="501" spans="3:3">
      <c r="C501" s="44"/>
    </row>
    <row r="502" spans="3:3">
      <c r="C502" s="44"/>
    </row>
    <row r="503" spans="3:3">
      <c r="C503" s="44"/>
    </row>
    <row r="504" spans="3:3">
      <c r="C504" s="44"/>
    </row>
    <row r="505" spans="3:3">
      <c r="C505" s="44"/>
    </row>
    <row r="506" spans="3:3">
      <c r="C506" s="44"/>
    </row>
    <row r="507" spans="3:3">
      <c r="C507" s="44"/>
    </row>
    <row r="508" spans="3:3">
      <c r="C508" s="44"/>
    </row>
    <row r="509" spans="3:3">
      <c r="C509" s="44"/>
    </row>
    <row r="510" spans="3:3">
      <c r="C510" s="44"/>
    </row>
    <row r="511" spans="3:3">
      <c r="C511" s="44"/>
    </row>
    <row r="512" spans="3:3">
      <c r="C512" s="44"/>
    </row>
    <row r="513" spans="3:3">
      <c r="C513" s="44"/>
    </row>
    <row r="514" spans="3:3">
      <c r="C514" s="44"/>
    </row>
    <row r="515" spans="3:3">
      <c r="C515" s="44"/>
    </row>
    <row r="516" spans="3:3">
      <c r="C516" s="44"/>
    </row>
    <row r="517" spans="3:3">
      <c r="C517" s="44"/>
    </row>
    <row r="518" spans="3:3">
      <c r="C518" s="44"/>
    </row>
    <row r="519" spans="3:3">
      <c r="C519" s="44"/>
    </row>
    <row r="520" spans="3:3">
      <c r="C520" s="44"/>
    </row>
    <row r="521" spans="3:3">
      <c r="C521" s="44"/>
    </row>
    <row r="522" spans="3:3">
      <c r="C522" s="44"/>
    </row>
    <row r="523" spans="3:3">
      <c r="C523" s="44"/>
    </row>
    <row r="524" spans="3:3">
      <c r="C524" s="44"/>
    </row>
    <row r="525" spans="3:3">
      <c r="C525" s="44"/>
    </row>
    <row r="526" spans="3:3">
      <c r="C526" s="44"/>
    </row>
    <row r="527" spans="3:3">
      <c r="C527" s="44"/>
    </row>
    <row r="528" spans="3:3">
      <c r="C528" s="44"/>
    </row>
    <row r="529" spans="3:3">
      <c r="C529" s="44"/>
    </row>
    <row r="530" spans="3:3">
      <c r="C530" s="44"/>
    </row>
    <row r="531" spans="3:3">
      <c r="C531" s="44"/>
    </row>
    <row r="532" spans="3:3">
      <c r="C532" s="44"/>
    </row>
    <row r="533" spans="3:3">
      <c r="C533" s="44"/>
    </row>
    <row r="534" spans="3:3">
      <c r="C534" s="44"/>
    </row>
    <row r="535" spans="3:3">
      <c r="C535" s="44"/>
    </row>
    <row r="536" spans="3:3">
      <c r="C536" s="44"/>
    </row>
    <row r="537" spans="3:3">
      <c r="C537" s="44"/>
    </row>
    <row r="538" spans="3:3">
      <c r="C538" s="44"/>
    </row>
    <row r="539" spans="3:3">
      <c r="C539" s="44"/>
    </row>
    <row r="540" spans="3:3">
      <c r="C540" s="44"/>
    </row>
    <row r="541" spans="3:3">
      <c r="C541" s="44"/>
    </row>
    <row r="542" spans="3:3">
      <c r="C542" s="44"/>
    </row>
    <row r="543" spans="3:3">
      <c r="C543" s="44"/>
    </row>
    <row r="544" spans="3:3">
      <c r="C544" s="44"/>
    </row>
    <row r="545" spans="3:3">
      <c r="C545" s="44"/>
    </row>
    <row r="546" spans="3:3">
      <c r="C546" s="44"/>
    </row>
    <row r="547" spans="3:3">
      <c r="C547" s="44"/>
    </row>
    <row r="548" spans="3:3">
      <c r="C548" s="44"/>
    </row>
    <row r="549" spans="3:3">
      <c r="C549" s="44"/>
    </row>
    <row r="550" spans="3:3">
      <c r="C550" s="44"/>
    </row>
    <row r="551" spans="3:3">
      <c r="C551" s="44"/>
    </row>
    <row r="552" spans="3:3">
      <c r="C552" s="44"/>
    </row>
    <row r="553" spans="3:3">
      <c r="C553" s="44"/>
    </row>
    <row r="554" spans="3:3">
      <c r="C554" s="44"/>
    </row>
    <row r="555" spans="3:3">
      <c r="C555" s="44"/>
    </row>
    <row r="556" spans="3:3">
      <c r="C556" s="44"/>
    </row>
    <row r="557" spans="3:3">
      <c r="C557" s="44"/>
    </row>
    <row r="558" spans="3:3">
      <c r="C558" s="44"/>
    </row>
    <row r="559" spans="3:3">
      <c r="C559" s="44"/>
    </row>
    <row r="560" spans="3:3">
      <c r="C560" s="44"/>
    </row>
    <row r="561" spans="3:3">
      <c r="C561" s="44"/>
    </row>
    <row r="562" spans="3:3">
      <c r="C562" s="44"/>
    </row>
    <row r="563" spans="3:3">
      <c r="C563" s="44"/>
    </row>
    <row r="564" spans="3:3">
      <c r="C564" s="44"/>
    </row>
    <row r="565" spans="3:3">
      <c r="C565" s="44"/>
    </row>
    <row r="566" spans="3:3">
      <c r="C566" s="44"/>
    </row>
    <row r="567" spans="3:3">
      <c r="C567" s="44"/>
    </row>
    <row r="568" spans="3:3">
      <c r="C568" s="44"/>
    </row>
    <row r="569" spans="3:3">
      <c r="C569" s="44"/>
    </row>
    <row r="570" spans="3:3">
      <c r="C570" s="44"/>
    </row>
    <row r="571" spans="3:3">
      <c r="C571" s="44"/>
    </row>
    <row r="572" spans="3:3">
      <c r="C572" s="44"/>
    </row>
    <row r="573" spans="3:3">
      <c r="C573" s="44"/>
    </row>
    <row r="574" spans="3:3">
      <c r="C574" s="44"/>
    </row>
    <row r="575" spans="3:3">
      <c r="C575" s="44"/>
    </row>
    <row r="576" spans="3:3">
      <c r="C576" s="44"/>
    </row>
    <row r="577" spans="3:3">
      <c r="C577" s="44"/>
    </row>
    <row r="578" spans="3:3">
      <c r="C578" s="44"/>
    </row>
    <row r="579" spans="3:3">
      <c r="C579" s="44"/>
    </row>
    <row r="580" spans="3:3">
      <c r="C580" s="44"/>
    </row>
    <row r="581" spans="3:3">
      <c r="C581" s="44"/>
    </row>
    <row r="582" spans="3:3">
      <c r="C582" s="44"/>
    </row>
    <row r="583" spans="3:3">
      <c r="C583" s="44"/>
    </row>
    <row r="584" spans="3:3">
      <c r="C584" s="44"/>
    </row>
    <row r="585" spans="3:3">
      <c r="C585" s="44"/>
    </row>
    <row r="586" spans="3:3">
      <c r="C586" s="44"/>
    </row>
    <row r="587" spans="3:3">
      <c r="C587" s="44"/>
    </row>
    <row r="588" spans="3:3">
      <c r="C588" s="44"/>
    </row>
    <row r="589" spans="3:3">
      <c r="C589" s="44"/>
    </row>
    <row r="590" spans="3:3">
      <c r="C590" s="44"/>
    </row>
    <row r="591" spans="3:3">
      <c r="C591" s="44"/>
    </row>
    <row r="592" spans="3:3">
      <c r="C592" s="44"/>
    </row>
    <row r="593" spans="3:3">
      <c r="C593" s="44"/>
    </row>
    <row r="594" spans="3:3">
      <c r="C594" s="44"/>
    </row>
    <row r="595" spans="3:3">
      <c r="C595" s="44"/>
    </row>
    <row r="596" spans="3:3">
      <c r="C596" s="44"/>
    </row>
    <row r="597" spans="3:3">
      <c r="C597" s="44"/>
    </row>
    <row r="598" spans="3:3">
      <c r="C598" s="44"/>
    </row>
    <row r="599" spans="3:3">
      <c r="C599" s="44"/>
    </row>
    <row r="600" spans="3:3">
      <c r="C600" s="44"/>
    </row>
    <row r="601" spans="3:3">
      <c r="C601" s="44"/>
    </row>
    <row r="602" spans="3:3">
      <c r="C602" s="44"/>
    </row>
    <row r="603" spans="3:3">
      <c r="C603" s="44"/>
    </row>
    <row r="604" spans="3:3">
      <c r="C604" s="44"/>
    </row>
    <row r="605" spans="3:3">
      <c r="C605" s="44"/>
    </row>
    <row r="606" spans="3:3">
      <c r="C606" s="44"/>
    </row>
  </sheetData>
  <sheetProtection password="E9BA" sheet="1" objects="1" scenarios="1"/>
  <customSheetViews>
    <customSheetView guid="{838FC631-5CD8-4B5F-94A9-B347B44DBECA}">
      <selection activeCell="D3" sqref="D3:E3"/>
      <colBreaks count="1" manualBreakCount="1">
        <brk id="8" max="1048575" man="1"/>
      </colBreaks>
      <pageMargins left="0.78740157499999996" right="0.78740157499999996" top="0.984251969" bottom="0.984251969" header="0.49212598499999999" footer="0.49212598499999999"/>
      <pageSetup paperSize="9" scale="96" orientation="portrait" r:id="rId1"/>
      <headerFooter alignWithMargins="0"/>
    </customSheetView>
    <customSheetView guid="{F34DE23E-C2FC-4B4A-B395-2ECC4B257D7F}" showRuler="0">
      <selection activeCell="H10" sqref="A1:H10"/>
      <colBreaks count="1" manualBreakCount="1">
        <brk id="8" max="1048575" man="1"/>
      </colBreaks>
      <pageMargins left="0.78740157499999996" right="0.78740157499999996" top="0.984251969" bottom="0.984251969" header="0.49212598499999999" footer="0.49212598499999999"/>
      <pageSetup paperSize="9" scale="96" orientation="portrait" r:id="rId2"/>
      <headerFooter alignWithMargins="0"/>
    </customSheetView>
    <customSheetView guid="{1EA129D6-B7D5-44D1-A42D-8520A40A3C99}" showRuler="0">
      <selection sqref="A1:H6"/>
      <colBreaks count="1" manualBreakCount="1">
        <brk id="8" max="1048575" man="1"/>
      </colBreaks>
      <pageMargins left="0.78740157499999996" right="0.78740157499999996" top="0.984251969" bottom="0.984251969" header="0.49212598499999999" footer="0.49212598499999999"/>
      <pageSetup paperSize="9" scale="96" orientation="portrait" r:id="rId3"/>
      <headerFooter alignWithMargins="0"/>
    </customSheetView>
    <customSheetView guid="{A55C2A1B-A1E2-4A91-8110-4C7E057410B0}" showRuler="0">
      <selection activeCell="I17" sqref="I17"/>
      <colBreaks count="1" manualBreakCount="1">
        <brk id="8" max="1048575" man="1"/>
      </colBreaks>
      <pageMargins left="0.78740157499999996" right="0.78740157499999996" top="0.984251969" bottom="0.984251969" header="0.49212598499999999" footer="0.49212598499999999"/>
      <pageSetup paperSize="9" scale="96" orientation="portrait" r:id="rId4"/>
      <headerFooter alignWithMargins="0"/>
    </customSheetView>
    <customSheetView guid="{607D0388-2BEA-426E-8D98-5720E54B1F73}" showRuler="0">
      <selection sqref="A1:H8"/>
      <pageMargins left="0.78740157499999996" right="0.78740157499999996" top="0.984251969" bottom="0.984251969" header="0.49212598499999999" footer="0.49212598499999999"/>
      <pageSetup paperSize="9" orientation="portrait" horizontalDpi="300" verticalDpi="300" r:id="rId5"/>
      <headerFooter alignWithMargins="0"/>
    </customSheetView>
    <customSheetView guid="{5FA3A750-9528-4A4E-A380-E03425E78E71}" showRuler="0">
      <selection sqref="A1:H6"/>
      <pageMargins left="0.78740157499999996" right="0.78740157499999996" top="0.984251969" bottom="0.984251969" header="0.49212598499999999" footer="0.49212598499999999"/>
      <headerFooter alignWithMargins="0"/>
    </customSheetView>
    <customSheetView guid="{E3F5E2CC-DF49-11DA-B943-00E07DA1701B}" showRuler="0">
      <selection activeCell="A10" sqref="A10"/>
      <pageMargins left="0.78740157499999996" right="0.78740157499999996" top="0.984251969" bottom="0.984251969" header="0.49212598499999999" footer="0.49212598499999999"/>
      <pageSetup paperSize="9" orientation="portrait" horizontalDpi="300" verticalDpi="300" r:id="rId6"/>
      <headerFooter alignWithMargins="0"/>
    </customSheetView>
    <customSheetView guid="{49DAB178-4BA0-48BE-8FEF-530628498037}" showRuler="0">
      <selection activeCell="E8" sqref="E8"/>
      <pageMargins left="0.78740157499999996" right="0.78740157499999996" top="0.984251969" bottom="0.984251969" header="0.49212598499999999" footer="0.49212598499999999"/>
      <pageSetup paperSize="9" orientation="portrait" horizontalDpi="300" verticalDpi="300" r:id="rId7"/>
      <headerFooter alignWithMargins="0"/>
    </customSheetView>
    <customSheetView guid="{4364C298-6ABA-492D-93FD-931037AC5D95}" showRuler="0">
      <selection activeCell="D13" sqref="D13"/>
      <pageMargins left="0.78740157499999996" right="0.78740157499999996" top="0.984251969" bottom="0.984251969" header="0.49212598499999999" footer="0.49212598499999999"/>
      <headerFooter alignWithMargins="0"/>
    </customSheetView>
  </customSheetViews>
  <mergeCells count="77">
    <mergeCell ref="GK1:GR1"/>
    <mergeCell ref="FU1:GB1"/>
    <mergeCell ref="EO1:EV1"/>
    <mergeCell ref="EW1:FD1"/>
    <mergeCell ref="FE1:FL1"/>
    <mergeCell ref="GC1:GJ1"/>
    <mergeCell ref="IO1:IV1"/>
    <mergeCell ref="GS1:GZ1"/>
    <mergeCell ref="HA1:HH1"/>
    <mergeCell ref="HI1:HP1"/>
    <mergeCell ref="HQ1:HX1"/>
    <mergeCell ref="HY1:IF1"/>
    <mergeCell ref="IG1:IN1"/>
    <mergeCell ref="Q1:X1"/>
    <mergeCell ref="Y1:AF1"/>
    <mergeCell ref="FM1:FT1"/>
    <mergeCell ref="DA1:DH1"/>
    <mergeCell ref="DI1:DP1"/>
    <mergeCell ref="DQ1:DX1"/>
    <mergeCell ref="DY1:EF1"/>
    <mergeCell ref="EG1:EN1"/>
    <mergeCell ref="BU1:CB1"/>
    <mergeCell ref="CC1:CJ1"/>
    <mergeCell ref="CK1:CR1"/>
    <mergeCell ref="CS1:CZ1"/>
    <mergeCell ref="AG1:AN1"/>
    <mergeCell ref="AO1:AV1"/>
    <mergeCell ref="BE1:BL1"/>
    <mergeCell ref="AW1:BD1"/>
    <mergeCell ref="BM1:BT1"/>
    <mergeCell ref="N67:O67"/>
    <mergeCell ref="N60:O60"/>
    <mergeCell ref="N61:O61"/>
    <mergeCell ref="N62:O62"/>
    <mergeCell ref="N63:O63"/>
    <mergeCell ref="N65:O65"/>
    <mergeCell ref="N64:O64"/>
    <mergeCell ref="N66:O66"/>
    <mergeCell ref="N59:O59"/>
    <mergeCell ref="N6:O6"/>
    <mergeCell ref="N7:O7"/>
    <mergeCell ref="N56:O56"/>
    <mergeCell ref="N57:O57"/>
    <mergeCell ref="N10:O10"/>
    <mergeCell ref="N14:O14"/>
    <mergeCell ref="N18:O18"/>
    <mergeCell ref="N9:O9"/>
    <mergeCell ref="N58:O58"/>
    <mergeCell ref="N21:O21"/>
    <mergeCell ref="N20:O20"/>
    <mergeCell ref="N11:O11"/>
    <mergeCell ref="N19:O19"/>
    <mergeCell ref="N15:O15"/>
    <mergeCell ref="N16:O16"/>
    <mergeCell ref="A1:H1"/>
    <mergeCell ref="I2:K3"/>
    <mergeCell ref="A2:D2"/>
    <mergeCell ref="A3:A5"/>
    <mergeCell ref="B3:B5"/>
    <mergeCell ref="C3:C4"/>
    <mergeCell ref="F3:F4"/>
    <mergeCell ref="G3:G5"/>
    <mergeCell ref="H3:H5"/>
    <mergeCell ref="D4:D5"/>
    <mergeCell ref="E4:E5"/>
    <mergeCell ref="I4:K9"/>
    <mergeCell ref="I1:P1"/>
    <mergeCell ref="D3:E3"/>
    <mergeCell ref="N13:O13"/>
    <mergeCell ref="N26:O26"/>
    <mergeCell ref="N27:O27"/>
    <mergeCell ref="N22:O22"/>
    <mergeCell ref="N23:O23"/>
    <mergeCell ref="N24:O24"/>
    <mergeCell ref="N25:O25"/>
    <mergeCell ref="N17:O17"/>
    <mergeCell ref="N12:O12"/>
  </mergeCells>
  <phoneticPr fontId="0" type="noConversion"/>
  <conditionalFormatting sqref="H6:H103">
    <cfRule type="expression" dxfId="13" priority="5" stopIfTrue="1">
      <formula>AND(ISERROR(G6),ISERROR(G7))</formula>
    </cfRule>
    <cfRule type="expression" dxfId="12" priority="6" stopIfTrue="1">
      <formula>AND(ISERROR(G7))</formula>
    </cfRule>
  </conditionalFormatting>
  <conditionalFormatting sqref="H104">
    <cfRule type="cellIs" dxfId="11" priority="7" stopIfTrue="1" operator="greaterThan">
      <formula>0</formula>
    </cfRule>
  </conditionalFormatting>
  <conditionalFormatting sqref="E2">
    <cfRule type="cellIs" dxfId="10" priority="8" stopIfTrue="1" operator="lessThanOrEqual">
      <formula>0</formula>
    </cfRule>
  </conditionalFormatting>
  <conditionalFormatting sqref="C5 C39:C104 G6:G104 D6:D104">
    <cfRule type="cellIs" dxfId="9" priority="9" stopIfTrue="1" operator="notEqual">
      <formula>0</formula>
    </cfRule>
  </conditionalFormatting>
  <conditionalFormatting sqref="E6:E104">
    <cfRule type="expression" dxfId="8" priority="11" stopIfTrue="1">
      <formula>C6&lt;&gt;0</formula>
    </cfRule>
  </conditionalFormatting>
  <conditionalFormatting sqref="F6:F104">
    <cfRule type="expression" dxfId="7" priority="12" stopIfTrue="1">
      <formula>C6&lt;&gt;0</formula>
    </cfRule>
  </conditionalFormatting>
  <pageMargins left="0.78740157499999996" right="0.78740157499999996" top="0.984251969" bottom="0.984251969" header="0.49212598499999999" footer="0.49212598499999999"/>
  <pageSetup paperSize="9" scale="96" orientation="portrait" r:id="rId8"/>
  <headerFooter alignWithMargins="0"/>
  <colBreaks count="1" manualBreakCount="1">
    <brk id="8" max="1048575" man="1"/>
  </colBreaks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>
    <tabColor indexed="44"/>
  </sheetPr>
  <dimension ref="A1:Q606"/>
  <sheetViews>
    <sheetView zoomScaleNormal="100" workbookViewId="0" xr3:uid="{842E5F09-E766-5B8D-85AF-A39847EA96FD}">
      <selection activeCell="D3" sqref="D3:E3"/>
    </sheetView>
  </sheetViews>
  <sheetFormatPr defaultColWidth="9.16796875" defaultRowHeight="12.75"/>
  <cols>
    <col min="1" max="1" width="3.37109375" style="42" customWidth="1"/>
    <col min="2" max="2" width="10.515625" style="43" customWidth="1"/>
    <col min="3" max="3" width="12.13671875" style="34" customWidth="1"/>
    <col min="4" max="4" width="11.32421875" style="34" customWidth="1"/>
    <col min="5" max="5" width="10.78515625" style="34" customWidth="1"/>
    <col min="6" max="6" width="12" style="43" customWidth="1"/>
    <col min="7" max="7" width="9.3046875" style="45" customWidth="1"/>
    <col min="8" max="8" width="12.5390625" style="41" customWidth="1"/>
    <col min="9" max="9" width="10.65234375" style="53" customWidth="1"/>
    <col min="10" max="10" width="17.6640625" style="41" customWidth="1"/>
    <col min="11" max="11" width="10.3828125" style="34" bestFit="1" customWidth="1"/>
    <col min="12" max="12" width="13.75390625" style="34" bestFit="1" customWidth="1"/>
    <col min="13" max="16384" width="9.16796875" style="34"/>
  </cols>
  <sheetData>
    <row r="1" spans="1:17" s="31" customFormat="1" ht="14.25">
      <c r="A1" s="221" t="s">
        <v>18</v>
      </c>
      <c r="B1" s="222"/>
      <c r="C1" s="222"/>
      <c r="D1" s="222"/>
      <c r="E1" s="222"/>
      <c r="F1" s="222"/>
      <c r="G1" s="222"/>
      <c r="H1" s="222"/>
      <c r="I1" s="223"/>
      <c r="J1" s="224" t="s">
        <v>20</v>
      </c>
      <c r="K1" s="225"/>
      <c r="L1" s="225"/>
      <c r="M1" s="30"/>
    </row>
    <row r="2" spans="1:17" s="31" customFormat="1" ht="20.25" customHeight="1">
      <c r="A2" s="227" t="s">
        <v>41</v>
      </c>
      <c r="B2" s="228"/>
      <c r="C2" s="228"/>
      <c r="D2" s="228"/>
      <c r="E2" s="54">
        <v>40374</v>
      </c>
      <c r="F2" s="79"/>
      <c r="G2" s="32"/>
      <c r="H2" s="33"/>
      <c r="I2" s="51"/>
      <c r="J2" s="226"/>
      <c r="K2" s="225"/>
      <c r="L2" s="225"/>
      <c r="M2" s="30"/>
    </row>
    <row r="3" spans="1:17" ht="14.25" customHeight="1">
      <c r="A3" s="229" t="s">
        <v>17</v>
      </c>
      <c r="B3" s="252" t="s">
        <v>40</v>
      </c>
      <c r="C3" s="234" t="s">
        <v>21</v>
      </c>
      <c r="D3" s="219" t="s">
        <v>16</v>
      </c>
      <c r="E3" s="219"/>
      <c r="F3" s="253" t="s">
        <v>24</v>
      </c>
      <c r="G3" s="254"/>
      <c r="H3" s="238" t="s">
        <v>25</v>
      </c>
      <c r="I3" s="234" t="s">
        <v>19</v>
      </c>
      <c r="J3" s="245" t="s">
        <v>28</v>
      </c>
      <c r="K3" s="246"/>
      <c r="L3" s="246"/>
      <c r="M3" s="30"/>
    </row>
    <row r="4" spans="1:17" ht="21" customHeight="1">
      <c r="A4" s="230"/>
      <c r="B4" s="171"/>
      <c r="C4" s="235"/>
      <c r="D4" s="241" t="s">
        <v>22</v>
      </c>
      <c r="E4" s="243" t="s">
        <v>23</v>
      </c>
      <c r="F4" s="250" t="s">
        <v>56</v>
      </c>
      <c r="G4" s="55">
        <v>0.01</v>
      </c>
      <c r="H4" s="238"/>
      <c r="I4" s="239"/>
      <c r="J4" s="247"/>
      <c r="K4" s="246"/>
      <c r="L4" s="246"/>
      <c r="M4" s="30"/>
    </row>
    <row r="5" spans="1:17" ht="21" customHeight="1">
      <c r="A5" s="231"/>
      <c r="B5" s="172"/>
      <c r="C5" s="35">
        <f>SUMIF(C6:C104,"&lt;&gt;0",C6:C104)</f>
        <v>9946.5400000000009</v>
      </c>
      <c r="D5" s="248"/>
      <c r="E5" s="249"/>
      <c r="F5" s="251"/>
      <c r="G5" s="56"/>
      <c r="H5" s="238"/>
      <c r="I5" s="240"/>
      <c r="J5" s="247"/>
      <c r="K5" s="246"/>
      <c r="L5" s="246"/>
      <c r="M5" s="30"/>
      <c r="N5" s="36"/>
      <c r="O5" s="220"/>
      <c r="P5" s="220"/>
      <c r="Q5" s="38"/>
    </row>
    <row r="6" spans="1:17" ht="15" customHeight="1">
      <c r="A6" s="28">
        <v>1</v>
      </c>
      <c r="B6" s="115">
        <v>40026</v>
      </c>
      <c r="C6" s="116">
        <v>10500</v>
      </c>
      <c r="D6" s="26">
        <f>HLOOKUP(YEAR(B6),'Indices TJ'!$A$1:$AZ$13,MONTH(B6)+1)</f>
        <v>41.046225</v>
      </c>
      <c r="E6" s="26">
        <f>HLOOKUP(YEAR($E$2),'Indices TJ'!$A$1:$AZ$13,MONTH($E$2)+1)</f>
        <v>42.899504</v>
      </c>
      <c r="F6" s="47">
        <v>40118</v>
      </c>
      <c r="G6" s="29">
        <f>IF(($E$2-F6)&gt;30,ROUND(($E$2-F6)/30,0)*$G$4,ROUND(($E$2-F6)/30,2)*$G$4)</f>
        <v>0.09</v>
      </c>
      <c r="H6" s="48">
        <f t="shared" ref="H6:H37" si="0">(((C6/D6)*E6))+(((C6/D6)*E6))*G6</f>
        <v>11961.753444561589</v>
      </c>
      <c r="I6" s="52">
        <f>H6</f>
        <v>11961.753444561589</v>
      </c>
      <c r="J6" s="247"/>
      <c r="K6" s="246"/>
      <c r="L6" s="246"/>
      <c r="M6" s="30"/>
      <c r="N6" s="36"/>
      <c r="O6" s="220"/>
      <c r="P6" s="220"/>
      <c r="Q6" s="38"/>
    </row>
    <row r="7" spans="1:17" ht="12.75" customHeight="1">
      <c r="A7" s="28">
        <v>2</v>
      </c>
      <c r="B7" s="115">
        <v>40330</v>
      </c>
      <c r="C7" s="116">
        <v>-553.46</v>
      </c>
      <c r="D7" s="26">
        <f>HLOOKUP(YEAR(B7),'Indices TJ'!$A$1:$AZ$13,MONTH(B7)+1)</f>
        <v>42.946745999999997</v>
      </c>
      <c r="E7" s="26">
        <f>HLOOKUP(YEAR($E$2),'Indices TJ'!$A$1:$AZ$13,MONTH($E$2)+1)</f>
        <v>42.899504</v>
      </c>
      <c r="F7" s="47">
        <v>40344</v>
      </c>
      <c r="G7" s="29">
        <f t="shared" ref="G7:G70" si="1">IF(($E$2-F7)&gt;30,ROUND(($E$2-F7)/30,0)*$G$4,ROUND(($E$2-F7)/30,2)*$G$4)</f>
        <v>0.01</v>
      </c>
      <c r="H7" s="48">
        <f t="shared" si="0"/>
        <v>-558.37969839853304</v>
      </c>
      <c r="I7" s="52">
        <f t="shared" ref="I7:I38" si="2">I6+H7</f>
        <v>11403.373746163055</v>
      </c>
      <c r="J7" s="247"/>
      <c r="K7" s="246"/>
      <c r="L7" s="246"/>
      <c r="M7" s="39"/>
      <c r="N7" s="36"/>
      <c r="O7" s="37"/>
      <c r="P7" s="37"/>
      <c r="Q7" s="38"/>
    </row>
    <row r="8" spans="1:17" ht="15" customHeight="1">
      <c r="A8" s="28">
        <v>3</v>
      </c>
      <c r="B8" s="115"/>
      <c r="C8" s="116"/>
      <c r="D8" s="26" t="e">
        <f>HLOOKUP(YEAR(B8),'Indices TJ'!$A$1:$AZ$13,MONTH(B8)+1)</f>
        <v>#N/A</v>
      </c>
      <c r="E8" s="26">
        <f>HLOOKUP(YEAR($E$2),'Indices TJ'!$A$1:$AZ$13,MONTH($E$2)+1)</f>
        <v>42.899504</v>
      </c>
      <c r="F8" s="47"/>
      <c r="G8" s="29">
        <f t="shared" si="1"/>
        <v>13.46</v>
      </c>
      <c r="H8" s="48" t="e">
        <f t="shared" si="0"/>
        <v>#N/A</v>
      </c>
      <c r="I8" s="52" t="e">
        <f t="shared" si="2"/>
        <v>#N/A</v>
      </c>
      <c r="J8" s="247"/>
      <c r="K8" s="246"/>
      <c r="L8" s="246"/>
      <c r="M8" s="39"/>
      <c r="N8" s="36"/>
      <c r="O8" s="220"/>
      <c r="P8" s="220"/>
      <c r="Q8" s="38"/>
    </row>
    <row r="9" spans="1:17" ht="15" customHeight="1">
      <c r="A9" s="28">
        <v>4</v>
      </c>
      <c r="B9" s="115"/>
      <c r="C9" s="116"/>
      <c r="D9" s="26" t="e">
        <f>HLOOKUP(YEAR(B9),'Indices TJ'!$A$1:$AZ$13,MONTH(B9)+1)</f>
        <v>#N/A</v>
      </c>
      <c r="E9" s="26">
        <f>HLOOKUP(YEAR($E$2),'Indices TJ'!$A$1:$AZ$13,MONTH($E$2)+1)</f>
        <v>42.899504</v>
      </c>
      <c r="F9" s="47"/>
      <c r="G9" s="29">
        <f t="shared" si="1"/>
        <v>13.46</v>
      </c>
      <c r="H9" s="48" t="e">
        <f t="shared" si="0"/>
        <v>#N/A</v>
      </c>
      <c r="I9" s="52" t="e">
        <f t="shared" si="2"/>
        <v>#N/A</v>
      </c>
      <c r="J9" s="27" t="b">
        <f>AND(E6&gt;0,C6&gt;0)</f>
        <v>1</v>
      </c>
      <c r="K9" s="40"/>
      <c r="L9" s="37"/>
      <c r="M9" s="39"/>
      <c r="N9" s="36"/>
      <c r="O9" s="220"/>
      <c r="P9" s="220"/>
      <c r="Q9" s="38"/>
    </row>
    <row r="10" spans="1:17" ht="15" customHeight="1">
      <c r="A10" s="28">
        <v>5</v>
      </c>
      <c r="B10" s="115"/>
      <c r="C10" s="116"/>
      <c r="D10" s="26" t="e">
        <f>HLOOKUP(YEAR(B10),'Indices TJ'!$A$1:$AZ$13,MONTH(B10)+1)</f>
        <v>#N/A</v>
      </c>
      <c r="E10" s="26">
        <f>HLOOKUP(YEAR($E$2),'Indices TJ'!$A$1:$AZ$13,MONTH($E$2)+1)</f>
        <v>42.899504</v>
      </c>
      <c r="F10" s="47"/>
      <c r="G10" s="29">
        <f t="shared" si="1"/>
        <v>13.46</v>
      </c>
      <c r="H10" s="48" t="e">
        <f t="shared" si="0"/>
        <v>#N/A</v>
      </c>
      <c r="I10" s="52" t="e">
        <f t="shared" si="2"/>
        <v>#N/A</v>
      </c>
      <c r="J10" s="27"/>
      <c r="K10" s="40"/>
      <c r="L10" s="37"/>
      <c r="M10" s="39"/>
      <c r="N10" s="36"/>
      <c r="O10" s="220"/>
      <c r="P10" s="220"/>
      <c r="Q10" s="38"/>
    </row>
    <row r="11" spans="1:17" ht="15" customHeight="1">
      <c r="A11" s="28">
        <v>6</v>
      </c>
      <c r="B11" s="115"/>
      <c r="C11" s="116"/>
      <c r="D11" s="26" t="e">
        <f>HLOOKUP(YEAR(B11),'Indices TJ'!$A$1:$AZ$13,MONTH(B11)+1)</f>
        <v>#N/A</v>
      </c>
      <c r="E11" s="26">
        <f>HLOOKUP(YEAR($E$2),'Indices TJ'!$A$1:$AZ$13,MONTH($E$2)+1)</f>
        <v>42.899504</v>
      </c>
      <c r="F11" s="47"/>
      <c r="G11" s="29">
        <f t="shared" si="1"/>
        <v>13.46</v>
      </c>
      <c r="H11" s="48" t="e">
        <f t="shared" si="0"/>
        <v>#N/A</v>
      </c>
      <c r="I11" s="52" t="e">
        <f t="shared" si="2"/>
        <v>#N/A</v>
      </c>
      <c r="J11" s="27"/>
      <c r="K11" s="40"/>
      <c r="L11" s="37"/>
      <c r="M11" s="39"/>
      <c r="N11" s="36"/>
      <c r="O11" s="220"/>
      <c r="P11" s="220"/>
      <c r="Q11" s="38"/>
    </row>
    <row r="12" spans="1:17" ht="15" customHeight="1">
      <c r="A12" s="28">
        <v>7</v>
      </c>
      <c r="B12" s="115"/>
      <c r="C12" s="116"/>
      <c r="D12" s="26" t="e">
        <f>HLOOKUP(YEAR(B12),'Indices TJ'!$A$1:$AZ$13,MONTH(B12)+1)</f>
        <v>#N/A</v>
      </c>
      <c r="E12" s="26">
        <f>HLOOKUP(YEAR($E$2),'Indices TJ'!$A$1:$AZ$13,MONTH($E$2)+1)</f>
        <v>42.899504</v>
      </c>
      <c r="F12" s="47"/>
      <c r="G12" s="29">
        <f t="shared" si="1"/>
        <v>13.46</v>
      </c>
      <c r="H12" s="48" t="e">
        <f t="shared" si="0"/>
        <v>#N/A</v>
      </c>
      <c r="I12" s="52" t="e">
        <f t="shared" si="2"/>
        <v>#N/A</v>
      </c>
      <c r="J12" s="27"/>
      <c r="K12" s="40"/>
      <c r="L12" s="37"/>
      <c r="M12" s="39"/>
      <c r="N12" s="36"/>
      <c r="O12" s="220"/>
      <c r="P12" s="220"/>
      <c r="Q12" s="38"/>
    </row>
    <row r="13" spans="1:17" ht="15" customHeight="1">
      <c r="A13" s="28">
        <v>8</v>
      </c>
      <c r="B13" s="115"/>
      <c r="C13" s="116"/>
      <c r="D13" s="26" t="e">
        <f>HLOOKUP(YEAR(B13),'Indices TJ'!$A$1:$AZ$13,MONTH(B13)+1)</f>
        <v>#N/A</v>
      </c>
      <c r="E13" s="26">
        <f>HLOOKUP(YEAR($E$2),'Indices TJ'!$A$1:$AZ$13,MONTH($E$2)+1)</f>
        <v>42.899504</v>
      </c>
      <c r="F13" s="47"/>
      <c r="G13" s="29">
        <f t="shared" si="1"/>
        <v>13.46</v>
      </c>
      <c r="H13" s="48" t="e">
        <f t="shared" si="0"/>
        <v>#N/A</v>
      </c>
      <c r="I13" s="52" t="e">
        <f t="shared" si="2"/>
        <v>#N/A</v>
      </c>
      <c r="J13" s="27"/>
      <c r="K13" s="40"/>
      <c r="L13" s="37"/>
      <c r="M13" s="39"/>
      <c r="N13" s="36"/>
      <c r="O13" s="220"/>
      <c r="P13" s="220"/>
      <c r="Q13" s="38"/>
    </row>
    <row r="14" spans="1:17" ht="15" customHeight="1">
      <c r="A14" s="28">
        <v>9</v>
      </c>
      <c r="B14" s="115"/>
      <c r="C14" s="116"/>
      <c r="D14" s="26" t="e">
        <f>HLOOKUP(YEAR(B14),'Indices TJ'!$A$1:$AZ$13,MONTH(B14)+1)</f>
        <v>#N/A</v>
      </c>
      <c r="E14" s="26">
        <f>HLOOKUP(YEAR($E$2),'Indices TJ'!$A$1:$AZ$13,MONTH($E$2)+1)</f>
        <v>42.899504</v>
      </c>
      <c r="F14" s="47"/>
      <c r="G14" s="29">
        <f t="shared" si="1"/>
        <v>13.46</v>
      </c>
      <c r="H14" s="48" t="e">
        <f t="shared" si="0"/>
        <v>#N/A</v>
      </c>
      <c r="I14" s="52" t="e">
        <f t="shared" si="2"/>
        <v>#N/A</v>
      </c>
      <c r="J14" s="27"/>
      <c r="K14" s="40"/>
      <c r="L14" s="37"/>
      <c r="M14" s="39"/>
      <c r="N14" s="36"/>
      <c r="O14" s="220"/>
      <c r="P14" s="220"/>
      <c r="Q14" s="38"/>
    </row>
    <row r="15" spans="1:17" ht="15" customHeight="1">
      <c r="A15" s="28">
        <v>10</v>
      </c>
      <c r="B15" s="115"/>
      <c r="C15" s="116"/>
      <c r="D15" s="26" t="e">
        <f>HLOOKUP(YEAR(B15),'Indices TJ'!$A$1:$AZ$13,MONTH(B15)+1)</f>
        <v>#N/A</v>
      </c>
      <c r="E15" s="26">
        <f>HLOOKUP(YEAR($E$2),'Indices TJ'!$A$1:$AZ$13,MONTH($E$2)+1)</f>
        <v>42.899504</v>
      </c>
      <c r="F15" s="47"/>
      <c r="G15" s="29">
        <f t="shared" si="1"/>
        <v>13.46</v>
      </c>
      <c r="H15" s="48" t="e">
        <f t="shared" si="0"/>
        <v>#N/A</v>
      </c>
      <c r="I15" s="52" t="e">
        <f t="shared" si="2"/>
        <v>#N/A</v>
      </c>
      <c r="J15" s="27"/>
      <c r="K15" s="40"/>
      <c r="L15" s="37"/>
      <c r="M15" s="39"/>
      <c r="N15" s="36"/>
      <c r="O15" s="220"/>
      <c r="P15" s="220"/>
      <c r="Q15" s="38"/>
    </row>
    <row r="16" spans="1:17" ht="15" customHeight="1">
      <c r="A16" s="28">
        <v>11</v>
      </c>
      <c r="B16" s="115"/>
      <c r="C16" s="116"/>
      <c r="D16" s="26" t="e">
        <f>HLOOKUP(YEAR(B16),'Indices TJ'!$A$1:$AZ$13,MONTH(B16)+1)</f>
        <v>#N/A</v>
      </c>
      <c r="E16" s="26">
        <f>HLOOKUP(YEAR($E$2),'Indices TJ'!$A$1:$AZ$13,MONTH($E$2)+1)</f>
        <v>42.899504</v>
      </c>
      <c r="F16" s="47"/>
      <c r="G16" s="29">
        <f t="shared" si="1"/>
        <v>13.46</v>
      </c>
      <c r="H16" s="48" t="e">
        <f t="shared" si="0"/>
        <v>#N/A</v>
      </c>
      <c r="I16" s="52" t="e">
        <f t="shared" si="2"/>
        <v>#N/A</v>
      </c>
      <c r="J16" s="27"/>
      <c r="K16" s="40"/>
      <c r="L16" s="37"/>
      <c r="M16" s="39"/>
      <c r="N16" s="36"/>
      <c r="O16" s="220"/>
      <c r="P16" s="220"/>
      <c r="Q16" s="38"/>
    </row>
    <row r="17" spans="1:17" ht="15" customHeight="1">
      <c r="A17" s="28">
        <v>12</v>
      </c>
      <c r="B17" s="115"/>
      <c r="C17" s="116"/>
      <c r="D17" s="26" t="e">
        <f>HLOOKUP(YEAR(B17),'Indices TJ'!$A$1:$AZ$13,MONTH(B17)+1)</f>
        <v>#N/A</v>
      </c>
      <c r="E17" s="26">
        <f>HLOOKUP(YEAR($E$2),'Indices TJ'!$A$1:$AZ$13,MONTH($E$2)+1)</f>
        <v>42.899504</v>
      </c>
      <c r="F17" s="47"/>
      <c r="G17" s="29">
        <f t="shared" si="1"/>
        <v>13.46</v>
      </c>
      <c r="H17" s="48" t="e">
        <f t="shared" si="0"/>
        <v>#N/A</v>
      </c>
      <c r="I17" s="52" t="e">
        <f t="shared" si="2"/>
        <v>#N/A</v>
      </c>
      <c r="J17" s="27"/>
      <c r="K17" s="40"/>
      <c r="L17" s="37"/>
      <c r="M17" s="39"/>
      <c r="N17" s="36"/>
      <c r="O17" s="220"/>
      <c r="P17" s="220"/>
      <c r="Q17" s="38"/>
    </row>
    <row r="18" spans="1:17" ht="15" customHeight="1">
      <c r="A18" s="28">
        <v>13</v>
      </c>
      <c r="B18" s="115"/>
      <c r="C18" s="116"/>
      <c r="D18" s="26" t="e">
        <f>HLOOKUP(YEAR(B18),'Indices TJ'!$A$1:$AZ$13,MONTH(B18)+1)</f>
        <v>#N/A</v>
      </c>
      <c r="E18" s="26">
        <f>HLOOKUP(YEAR($E$2),'Indices TJ'!$A$1:$AZ$13,MONTH($E$2)+1)</f>
        <v>42.899504</v>
      </c>
      <c r="F18" s="47"/>
      <c r="G18" s="29">
        <f t="shared" si="1"/>
        <v>13.46</v>
      </c>
      <c r="H18" s="48" t="e">
        <f t="shared" si="0"/>
        <v>#N/A</v>
      </c>
      <c r="I18" s="52" t="e">
        <f t="shared" si="2"/>
        <v>#N/A</v>
      </c>
      <c r="J18" s="27"/>
      <c r="K18" s="40"/>
      <c r="L18" s="37"/>
      <c r="M18" s="39"/>
      <c r="N18" s="36"/>
      <c r="O18" s="220"/>
      <c r="P18" s="220"/>
      <c r="Q18" s="38"/>
    </row>
    <row r="19" spans="1:17" ht="15" customHeight="1">
      <c r="A19" s="28">
        <v>14</v>
      </c>
      <c r="B19" s="115"/>
      <c r="C19" s="116"/>
      <c r="D19" s="26" t="e">
        <f>HLOOKUP(YEAR(B19),'Indices TJ'!$A$1:$AZ$13,MONTH(B19)+1)</f>
        <v>#N/A</v>
      </c>
      <c r="E19" s="26">
        <f>HLOOKUP(YEAR($E$2),'Indices TJ'!$A$1:$AZ$13,MONTH($E$2)+1)</f>
        <v>42.899504</v>
      </c>
      <c r="F19" s="47"/>
      <c r="G19" s="29">
        <f t="shared" si="1"/>
        <v>13.46</v>
      </c>
      <c r="H19" s="48" t="e">
        <f t="shared" si="0"/>
        <v>#N/A</v>
      </c>
      <c r="I19" s="52" t="e">
        <f t="shared" si="2"/>
        <v>#N/A</v>
      </c>
      <c r="J19" s="27"/>
      <c r="K19" s="40"/>
      <c r="L19" s="37"/>
      <c r="M19" s="39"/>
      <c r="N19" s="36"/>
      <c r="O19" s="220"/>
      <c r="P19" s="220"/>
      <c r="Q19" s="38"/>
    </row>
    <row r="20" spans="1:17" ht="15" customHeight="1">
      <c r="A20" s="28">
        <v>15</v>
      </c>
      <c r="B20" s="115"/>
      <c r="C20" s="116"/>
      <c r="D20" s="26" t="e">
        <f>HLOOKUP(YEAR(B20),'Indices TJ'!$A$1:$AZ$13,MONTH(B20)+1)</f>
        <v>#N/A</v>
      </c>
      <c r="E20" s="26">
        <f>HLOOKUP(YEAR($E$2),'Indices TJ'!$A$1:$AZ$13,MONTH($E$2)+1)</f>
        <v>42.899504</v>
      </c>
      <c r="F20" s="47"/>
      <c r="G20" s="29">
        <f t="shared" si="1"/>
        <v>13.46</v>
      </c>
      <c r="H20" s="48" t="e">
        <f t="shared" si="0"/>
        <v>#N/A</v>
      </c>
      <c r="I20" s="52" t="e">
        <f t="shared" si="2"/>
        <v>#N/A</v>
      </c>
      <c r="J20" s="27"/>
      <c r="K20" s="40"/>
      <c r="L20" s="37"/>
      <c r="M20" s="39"/>
      <c r="N20" s="36"/>
      <c r="O20" s="220"/>
      <c r="P20" s="220"/>
      <c r="Q20" s="38"/>
    </row>
    <row r="21" spans="1:17" ht="15" customHeight="1">
      <c r="A21" s="28">
        <v>16</v>
      </c>
      <c r="B21" s="115"/>
      <c r="C21" s="116"/>
      <c r="D21" s="26" t="e">
        <f>HLOOKUP(YEAR(B21),'Indices TJ'!$A$1:$AZ$13,MONTH(B21)+1)</f>
        <v>#N/A</v>
      </c>
      <c r="E21" s="26">
        <f>HLOOKUP(YEAR($E$2),'Indices TJ'!$A$1:$AZ$13,MONTH($E$2)+1)</f>
        <v>42.899504</v>
      </c>
      <c r="F21" s="47"/>
      <c r="G21" s="29">
        <f t="shared" si="1"/>
        <v>13.46</v>
      </c>
      <c r="H21" s="48" t="e">
        <f t="shared" si="0"/>
        <v>#N/A</v>
      </c>
      <c r="I21" s="52" t="e">
        <f t="shared" si="2"/>
        <v>#N/A</v>
      </c>
      <c r="J21" s="27"/>
      <c r="K21" s="40"/>
      <c r="L21" s="37"/>
      <c r="M21" s="39"/>
      <c r="N21" s="36"/>
      <c r="O21" s="220"/>
      <c r="P21" s="220"/>
      <c r="Q21" s="38"/>
    </row>
    <row r="22" spans="1:17" ht="15" customHeight="1">
      <c r="A22" s="28">
        <v>17</v>
      </c>
      <c r="B22" s="115"/>
      <c r="C22" s="116"/>
      <c r="D22" s="26" t="e">
        <f>HLOOKUP(YEAR(B22),'Indices TJ'!$A$1:$AZ$13,MONTH(B22)+1)</f>
        <v>#N/A</v>
      </c>
      <c r="E22" s="26">
        <f>HLOOKUP(YEAR($E$2),'Indices TJ'!$A$1:$AZ$13,MONTH($E$2)+1)</f>
        <v>42.899504</v>
      </c>
      <c r="F22" s="47"/>
      <c r="G22" s="29">
        <f t="shared" si="1"/>
        <v>13.46</v>
      </c>
      <c r="H22" s="48" t="e">
        <f t="shared" si="0"/>
        <v>#N/A</v>
      </c>
      <c r="I22" s="52" t="e">
        <f t="shared" si="2"/>
        <v>#N/A</v>
      </c>
      <c r="J22" s="27"/>
      <c r="K22" s="40"/>
      <c r="L22" s="37"/>
      <c r="M22" s="39"/>
      <c r="N22" s="36"/>
      <c r="O22" s="220"/>
      <c r="P22" s="220"/>
      <c r="Q22" s="38"/>
    </row>
    <row r="23" spans="1:17" ht="15" customHeight="1">
      <c r="A23" s="28">
        <v>18</v>
      </c>
      <c r="B23" s="115"/>
      <c r="C23" s="116"/>
      <c r="D23" s="26" t="e">
        <f>HLOOKUP(YEAR(B23),'Indices TJ'!$A$1:$AZ$13,MONTH(B23)+1)</f>
        <v>#N/A</v>
      </c>
      <c r="E23" s="26">
        <f>HLOOKUP(YEAR($E$2),'Indices TJ'!$A$1:$AZ$13,MONTH($E$2)+1)</f>
        <v>42.899504</v>
      </c>
      <c r="F23" s="47"/>
      <c r="G23" s="29">
        <f t="shared" si="1"/>
        <v>13.46</v>
      </c>
      <c r="H23" s="48" t="e">
        <f t="shared" si="0"/>
        <v>#N/A</v>
      </c>
      <c r="I23" s="52" t="e">
        <f t="shared" si="2"/>
        <v>#N/A</v>
      </c>
      <c r="J23" s="27"/>
      <c r="K23" s="40"/>
      <c r="L23" s="37"/>
      <c r="M23" s="39"/>
      <c r="N23" s="36"/>
      <c r="O23" s="220"/>
      <c r="P23" s="220"/>
      <c r="Q23" s="38"/>
    </row>
    <row r="24" spans="1:17" ht="15" customHeight="1">
      <c r="A24" s="28">
        <v>19</v>
      </c>
      <c r="B24" s="115"/>
      <c r="C24" s="116"/>
      <c r="D24" s="26" t="e">
        <f>HLOOKUP(YEAR(B24),'Indices TJ'!$A$1:$AZ$13,MONTH(B24)+1)</f>
        <v>#N/A</v>
      </c>
      <c r="E24" s="26">
        <f>HLOOKUP(YEAR($E$2),'Indices TJ'!$A$1:$AZ$13,MONTH($E$2)+1)</f>
        <v>42.899504</v>
      </c>
      <c r="F24" s="47"/>
      <c r="G24" s="29">
        <f t="shared" si="1"/>
        <v>13.46</v>
      </c>
      <c r="H24" s="48" t="e">
        <f t="shared" si="0"/>
        <v>#N/A</v>
      </c>
      <c r="I24" s="52" t="e">
        <f t="shared" si="2"/>
        <v>#N/A</v>
      </c>
      <c r="J24" s="27"/>
      <c r="K24" s="40"/>
      <c r="L24" s="37"/>
      <c r="M24" s="39"/>
      <c r="N24" s="36"/>
      <c r="O24" s="220"/>
      <c r="P24" s="220"/>
      <c r="Q24" s="38"/>
    </row>
    <row r="25" spans="1:17" ht="15" customHeight="1">
      <c r="A25" s="28">
        <v>20</v>
      </c>
      <c r="B25" s="115"/>
      <c r="C25" s="116"/>
      <c r="D25" s="26" t="e">
        <f>HLOOKUP(YEAR(B25),'Indices TJ'!$A$1:$AZ$13,MONTH(B25)+1)</f>
        <v>#N/A</v>
      </c>
      <c r="E25" s="26">
        <f>HLOOKUP(YEAR($E$2),'Indices TJ'!$A$1:$AZ$13,MONTH($E$2)+1)</f>
        <v>42.899504</v>
      </c>
      <c r="F25" s="47"/>
      <c r="G25" s="29">
        <f t="shared" si="1"/>
        <v>13.46</v>
      </c>
      <c r="H25" s="48" t="e">
        <f t="shared" si="0"/>
        <v>#N/A</v>
      </c>
      <c r="I25" s="52" t="e">
        <f t="shared" si="2"/>
        <v>#N/A</v>
      </c>
      <c r="J25" s="27"/>
      <c r="K25" s="40"/>
      <c r="L25" s="37"/>
      <c r="M25" s="39"/>
      <c r="N25" s="36"/>
      <c r="O25" s="220"/>
      <c r="P25" s="220"/>
      <c r="Q25" s="38"/>
    </row>
    <row r="26" spans="1:17" ht="15" customHeight="1">
      <c r="A26" s="28">
        <v>21</v>
      </c>
      <c r="B26" s="115"/>
      <c r="C26" s="116"/>
      <c r="D26" s="26" t="e">
        <f>HLOOKUP(YEAR(B26),'Indices TJ'!$A$1:$AZ$13,MONTH(B26)+1)</f>
        <v>#N/A</v>
      </c>
      <c r="E26" s="26">
        <f>HLOOKUP(YEAR($E$2),'Indices TJ'!$A$1:$AZ$13,MONTH($E$2)+1)</f>
        <v>42.899504</v>
      </c>
      <c r="F26" s="47"/>
      <c r="G26" s="29">
        <f t="shared" si="1"/>
        <v>13.46</v>
      </c>
      <c r="H26" s="48" t="e">
        <f t="shared" si="0"/>
        <v>#N/A</v>
      </c>
      <c r="I26" s="52" t="e">
        <f t="shared" si="2"/>
        <v>#N/A</v>
      </c>
      <c r="J26" s="27"/>
      <c r="K26" s="40"/>
      <c r="L26" s="37"/>
      <c r="M26" s="39"/>
      <c r="N26" s="36"/>
      <c r="O26" s="220"/>
      <c r="P26" s="220"/>
      <c r="Q26" s="38"/>
    </row>
    <row r="27" spans="1:17">
      <c r="A27" s="28">
        <v>22</v>
      </c>
      <c r="B27" s="115"/>
      <c r="C27" s="116"/>
      <c r="D27" s="26" t="e">
        <f>HLOOKUP(YEAR(B27),'Indices TJ'!$A$1:$AZ$13,MONTH(B27)+1)</f>
        <v>#N/A</v>
      </c>
      <c r="E27" s="26">
        <f>HLOOKUP(YEAR($E$2),'Indices TJ'!$A$1:$AZ$13,MONTH($E$2)+1)</f>
        <v>42.899504</v>
      </c>
      <c r="F27" s="47"/>
      <c r="G27" s="29">
        <f t="shared" si="1"/>
        <v>13.46</v>
      </c>
      <c r="H27" s="48" t="e">
        <f t="shared" si="0"/>
        <v>#N/A</v>
      </c>
      <c r="I27" s="52" t="e">
        <f t="shared" si="2"/>
        <v>#N/A</v>
      </c>
      <c r="J27" s="27"/>
    </row>
    <row r="28" spans="1:17">
      <c r="A28" s="28">
        <v>23</v>
      </c>
      <c r="B28" s="115"/>
      <c r="C28" s="116"/>
      <c r="D28" s="26" t="e">
        <f>HLOOKUP(YEAR(B28),'Indices TJ'!$A$1:$AZ$13,MONTH(B28)+1)</f>
        <v>#N/A</v>
      </c>
      <c r="E28" s="26">
        <f>HLOOKUP(YEAR($E$2),'Indices TJ'!$A$1:$AZ$13,MONTH($E$2)+1)</f>
        <v>42.899504</v>
      </c>
      <c r="F28" s="47"/>
      <c r="G28" s="29">
        <f t="shared" si="1"/>
        <v>13.46</v>
      </c>
      <c r="H28" s="48" t="e">
        <f t="shared" si="0"/>
        <v>#N/A</v>
      </c>
      <c r="I28" s="52" t="e">
        <f t="shared" si="2"/>
        <v>#N/A</v>
      </c>
      <c r="J28" s="27"/>
    </row>
    <row r="29" spans="1:17">
      <c r="A29" s="28">
        <v>24</v>
      </c>
      <c r="B29" s="115"/>
      <c r="C29" s="116"/>
      <c r="D29" s="26" t="e">
        <f>HLOOKUP(YEAR(B29),'Indices TJ'!$A$1:$AZ$13,MONTH(B29)+1)</f>
        <v>#N/A</v>
      </c>
      <c r="E29" s="26">
        <f>HLOOKUP(YEAR($E$2),'Indices TJ'!$A$1:$AZ$13,MONTH($E$2)+1)</f>
        <v>42.899504</v>
      </c>
      <c r="F29" s="47"/>
      <c r="G29" s="29">
        <f t="shared" si="1"/>
        <v>13.46</v>
      </c>
      <c r="H29" s="48" t="e">
        <f t="shared" si="0"/>
        <v>#N/A</v>
      </c>
      <c r="I29" s="52" t="e">
        <f t="shared" si="2"/>
        <v>#N/A</v>
      </c>
      <c r="J29" s="27"/>
    </row>
    <row r="30" spans="1:17">
      <c r="A30" s="28">
        <v>25</v>
      </c>
      <c r="B30" s="115"/>
      <c r="C30" s="116"/>
      <c r="D30" s="26" t="e">
        <f>HLOOKUP(YEAR(B30),'Indices TJ'!$A$1:$AZ$13,MONTH(B30)+1)</f>
        <v>#N/A</v>
      </c>
      <c r="E30" s="26">
        <f>HLOOKUP(YEAR($E$2),'Indices TJ'!$A$1:$AZ$13,MONTH($E$2)+1)</f>
        <v>42.899504</v>
      </c>
      <c r="F30" s="47"/>
      <c r="G30" s="29">
        <f t="shared" si="1"/>
        <v>13.46</v>
      </c>
      <c r="H30" s="48" t="e">
        <f t="shared" si="0"/>
        <v>#N/A</v>
      </c>
      <c r="I30" s="52" t="e">
        <f t="shared" si="2"/>
        <v>#N/A</v>
      </c>
      <c r="J30" s="27"/>
    </row>
    <row r="31" spans="1:17">
      <c r="A31" s="28">
        <v>26</v>
      </c>
      <c r="B31" s="115"/>
      <c r="C31" s="116"/>
      <c r="D31" s="26" t="e">
        <f>HLOOKUP(YEAR(B31),'Indices TJ'!$A$1:$AZ$13,MONTH(B31)+1)</f>
        <v>#N/A</v>
      </c>
      <c r="E31" s="26">
        <f>HLOOKUP(YEAR($E$2),'Indices TJ'!$A$1:$AZ$13,MONTH($E$2)+1)</f>
        <v>42.899504</v>
      </c>
      <c r="F31" s="47"/>
      <c r="G31" s="29">
        <f t="shared" si="1"/>
        <v>13.46</v>
      </c>
      <c r="H31" s="48" t="e">
        <f t="shared" si="0"/>
        <v>#N/A</v>
      </c>
      <c r="I31" s="52" t="e">
        <f t="shared" si="2"/>
        <v>#N/A</v>
      </c>
      <c r="J31" s="27"/>
    </row>
    <row r="32" spans="1:17">
      <c r="A32" s="28">
        <v>27</v>
      </c>
      <c r="B32" s="115"/>
      <c r="C32" s="116"/>
      <c r="D32" s="26" t="e">
        <f>HLOOKUP(YEAR(B32),'Indices TJ'!$A$1:$AZ$13,MONTH(B32)+1)</f>
        <v>#N/A</v>
      </c>
      <c r="E32" s="26">
        <f>HLOOKUP(YEAR($E$2),'Indices TJ'!$A$1:$AZ$13,MONTH($E$2)+1)</f>
        <v>42.899504</v>
      </c>
      <c r="F32" s="47"/>
      <c r="G32" s="29">
        <f t="shared" si="1"/>
        <v>13.46</v>
      </c>
      <c r="H32" s="48" t="e">
        <f t="shared" si="0"/>
        <v>#N/A</v>
      </c>
      <c r="I32" s="52" t="e">
        <f t="shared" si="2"/>
        <v>#N/A</v>
      </c>
      <c r="J32" s="27"/>
    </row>
    <row r="33" spans="1:10">
      <c r="A33" s="28">
        <v>28</v>
      </c>
      <c r="B33" s="115"/>
      <c r="C33" s="116"/>
      <c r="D33" s="26" t="e">
        <f>HLOOKUP(YEAR(B33),'Indices TJ'!$A$1:$AZ$13,MONTH(B33)+1)</f>
        <v>#N/A</v>
      </c>
      <c r="E33" s="26">
        <f>HLOOKUP(YEAR($E$2),'Indices TJ'!$A$1:$AZ$13,MONTH($E$2)+1)</f>
        <v>42.899504</v>
      </c>
      <c r="F33" s="47"/>
      <c r="G33" s="29">
        <f t="shared" si="1"/>
        <v>13.46</v>
      </c>
      <c r="H33" s="48" t="e">
        <f t="shared" si="0"/>
        <v>#N/A</v>
      </c>
      <c r="I33" s="52" t="e">
        <f t="shared" si="2"/>
        <v>#N/A</v>
      </c>
      <c r="J33" s="27"/>
    </row>
    <row r="34" spans="1:10">
      <c r="A34" s="28">
        <v>29</v>
      </c>
      <c r="B34" s="115"/>
      <c r="C34" s="116"/>
      <c r="D34" s="26" t="e">
        <f>HLOOKUP(YEAR(B34),'Indices TJ'!$A$1:$AZ$13,MONTH(B34)+1)</f>
        <v>#N/A</v>
      </c>
      <c r="E34" s="26">
        <f>HLOOKUP(YEAR($E$2),'Indices TJ'!$A$1:$AZ$13,MONTH($E$2)+1)</f>
        <v>42.899504</v>
      </c>
      <c r="F34" s="47"/>
      <c r="G34" s="29">
        <f t="shared" si="1"/>
        <v>13.46</v>
      </c>
      <c r="H34" s="48" t="e">
        <f t="shared" si="0"/>
        <v>#N/A</v>
      </c>
      <c r="I34" s="52" t="e">
        <f t="shared" si="2"/>
        <v>#N/A</v>
      </c>
      <c r="J34" s="27"/>
    </row>
    <row r="35" spans="1:10">
      <c r="A35" s="28">
        <v>30</v>
      </c>
      <c r="B35" s="115"/>
      <c r="C35" s="116"/>
      <c r="D35" s="26" t="e">
        <f>HLOOKUP(YEAR(B35),'Indices TJ'!$A$1:$AZ$13,MONTH(B35)+1)</f>
        <v>#N/A</v>
      </c>
      <c r="E35" s="26">
        <f>HLOOKUP(YEAR($E$2),'Indices TJ'!$A$1:$AZ$13,MONTH($E$2)+1)</f>
        <v>42.899504</v>
      </c>
      <c r="F35" s="47"/>
      <c r="G35" s="29">
        <f t="shared" si="1"/>
        <v>13.46</v>
      </c>
      <c r="H35" s="48" t="e">
        <f t="shared" si="0"/>
        <v>#N/A</v>
      </c>
      <c r="I35" s="52" t="e">
        <f t="shared" si="2"/>
        <v>#N/A</v>
      </c>
      <c r="J35" s="27"/>
    </row>
    <row r="36" spans="1:10">
      <c r="A36" s="28">
        <v>31</v>
      </c>
      <c r="B36" s="115"/>
      <c r="C36" s="116"/>
      <c r="D36" s="26" t="e">
        <f>HLOOKUP(YEAR(B36),'Indices TJ'!$A$1:$AZ$13,MONTH(B36)+1)</f>
        <v>#N/A</v>
      </c>
      <c r="E36" s="26">
        <f>HLOOKUP(YEAR($E$2),'Indices TJ'!$A$1:$AZ$13,MONTH($E$2)+1)</f>
        <v>42.899504</v>
      </c>
      <c r="F36" s="47"/>
      <c r="G36" s="29">
        <f t="shared" si="1"/>
        <v>13.46</v>
      </c>
      <c r="H36" s="48" t="e">
        <f t="shared" si="0"/>
        <v>#N/A</v>
      </c>
      <c r="I36" s="52" t="e">
        <f t="shared" si="2"/>
        <v>#N/A</v>
      </c>
    </row>
    <row r="37" spans="1:10">
      <c r="A37" s="28">
        <v>32</v>
      </c>
      <c r="B37" s="115"/>
      <c r="C37" s="116"/>
      <c r="D37" s="26" t="e">
        <f>HLOOKUP(YEAR(B37),'Indices TJ'!$A$1:$AZ$13,MONTH(B37)+1)</f>
        <v>#N/A</v>
      </c>
      <c r="E37" s="26">
        <f>HLOOKUP(YEAR($E$2),'Indices TJ'!$A$1:$AZ$13,MONTH($E$2)+1)</f>
        <v>42.899504</v>
      </c>
      <c r="F37" s="47"/>
      <c r="G37" s="29">
        <f t="shared" si="1"/>
        <v>13.46</v>
      </c>
      <c r="H37" s="48" t="e">
        <f t="shared" si="0"/>
        <v>#N/A</v>
      </c>
      <c r="I37" s="52" t="e">
        <f t="shared" si="2"/>
        <v>#N/A</v>
      </c>
    </row>
    <row r="38" spans="1:10">
      <c r="A38" s="28">
        <v>33</v>
      </c>
      <c r="B38" s="115"/>
      <c r="C38" s="116"/>
      <c r="D38" s="26" t="e">
        <f>HLOOKUP(YEAR(B38),'Indices TJ'!$A$1:$AZ$13,MONTH(B38)+1)</f>
        <v>#N/A</v>
      </c>
      <c r="E38" s="26">
        <f>HLOOKUP(YEAR($E$2),'Indices TJ'!$A$1:$AZ$13,MONTH($E$2)+1)</f>
        <v>42.899504</v>
      </c>
      <c r="F38" s="47"/>
      <c r="G38" s="29">
        <f t="shared" si="1"/>
        <v>13.46</v>
      </c>
      <c r="H38" s="48" t="e">
        <f t="shared" ref="H38:H69" si="3">(((C38/D38)*E38))+(((C38/D38)*E38))*G38</f>
        <v>#N/A</v>
      </c>
      <c r="I38" s="52" t="e">
        <f t="shared" si="2"/>
        <v>#N/A</v>
      </c>
    </row>
    <row r="39" spans="1:10">
      <c r="A39" s="28">
        <v>34</v>
      </c>
      <c r="B39" s="115"/>
      <c r="C39" s="116"/>
      <c r="D39" s="26" t="e">
        <f>HLOOKUP(YEAR(B39),'Indices TJ'!$A$1:$AZ$13,MONTH(B39)+1)</f>
        <v>#N/A</v>
      </c>
      <c r="E39" s="26">
        <f>HLOOKUP(YEAR($E$2),'Indices TJ'!$A$1:$AZ$13,MONTH($E$2)+1)</f>
        <v>42.899504</v>
      </c>
      <c r="F39" s="47"/>
      <c r="G39" s="29">
        <f t="shared" si="1"/>
        <v>13.46</v>
      </c>
      <c r="H39" s="48" t="e">
        <f t="shared" si="3"/>
        <v>#N/A</v>
      </c>
      <c r="I39" s="52" t="e">
        <f t="shared" ref="I39:I70" si="4">I38+H39</f>
        <v>#N/A</v>
      </c>
    </row>
    <row r="40" spans="1:10">
      <c r="A40" s="28">
        <v>35</v>
      </c>
      <c r="B40" s="115"/>
      <c r="C40" s="116"/>
      <c r="D40" s="26" t="e">
        <f>HLOOKUP(YEAR(B40),'Indices TJ'!$A$1:$AZ$13,MONTH(B40)+1)</f>
        <v>#N/A</v>
      </c>
      <c r="E40" s="26">
        <f>HLOOKUP(YEAR($E$2),'Indices TJ'!$A$1:$AZ$13,MONTH($E$2)+1)</f>
        <v>42.899504</v>
      </c>
      <c r="F40" s="47"/>
      <c r="G40" s="29">
        <f t="shared" si="1"/>
        <v>13.46</v>
      </c>
      <c r="H40" s="48" t="e">
        <f t="shared" si="3"/>
        <v>#N/A</v>
      </c>
      <c r="I40" s="52" t="e">
        <f t="shared" si="4"/>
        <v>#N/A</v>
      </c>
    </row>
    <row r="41" spans="1:10">
      <c r="A41" s="28">
        <v>36</v>
      </c>
      <c r="B41" s="115"/>
      <c r="C41" s="116"/>
      <c r="D41" s="26" t="e">
        <f>HLOOKUP(YEAR(B41),'Indices TJ'!$A$1:$AZ$13,MONTH(B41)+1)</f>
        <v>#N/A</v>
      </c>
      <c r="E41" s="26">
        <f>HLOOKUP(YEAR($E$2),'Indices TJ'!$A$1:$AZ$13,MONTH($E$2)+1)</f>
        <v>42.899504</v>
      </c>
      <c r="F41" s="47"/>
      <c r="G41" s="29">
        <f t="shared" si="1"/>
        <v>13.46</v>
      </c>
      <c r="H41" s="48" t="e">
        <f t="shared" si="3"/>
        <v>#N/A</v>
      </c>
      <c r="I41" s="52" t="e">
        <f t="shared" si="4"/>
        <v>#N/A</v>
      </c>
    </row>
    <row r="42" spans="1:10">
      <c r="A42" s="28">
        <v>37</v>
      </c>
      <c r="B42" s="115"/>
      <c r="C42" s="116"/>
      <c r="D42" s="26" t="e">
        <f>HLOOKUP(YEAR(B42),'Indices TJ'!$A$1:$AZ$13,MONTH(B42)+1)</f>
        <v>#N/A</v>
      </c>
      <c r="E42" s="26">
        <f>HLOOKUP(YEAR($E$2),'Indices TJ'!$A$1:$AZ$13,MONTH($E$2)+1)</f>
        <v>42.899504</v>
      </c>
      <c r="F42" s="47"/>
      <c r="G42" s="29">
        <f t="shared" si="1"/>
        <v>13.46</v>
      </c>
      <c r="H42" s="48" t="e">
        <f t="shared" si="3"/>
        <v>#N/A</v>
      </c>
      <c r="I42" s="52" t="e">
        <f t="shared" si="4"/>
        <v>#N/A</v>
      </c>
    </row>
    <row r="43" spans="1:10">
      <c r="A43" s="28">
        <v>38</v>
      </c>
      <c r="B43" s="115"/>
      <c r="C43" s="116"/>
      <c r="D43" s="26" t="e">
        <f>HLOOKUP(YEAR(B43),'Indices TJ'!$A$1:$AZ$13,MONTH(B43)+1)</f>
        <v>#N/A</v>
      </c>
      <c r="E43" s="26">
        <f>HLOOKUP(YEAR($E$2),'Indices TJ'!$A$1:$AZ$13,MONTH($E$2)+1)</f>
        <v>42.899504</v>
      </c>
      <c r="F43" s="47"/>
      <c r="G43" s="29">
        <f t="shared" si="1"/>
        <v>13.46</v>
      </c>
      <c r="H43" s="48" t="e">
        <f t="shared" si="3"/>
        <v>#N/A</v>
      </c>
      <c r="I43" s="52" t="e">
        <f t="shared" si="4"/>
        <v>#N/A</v>
      </c>
    </row>
    <row r="44" spans="1:10">
      <c r="A44" s="28">
        <v>39</v>
      </c>
      <c r="B44" s="115"/>
      <c r="C44" s="116"/>
      <c r="D44" s="26" t="e">
        <f>HLOOKUP(YEAR(B44),'Indices TJ'!$A$1:$AZ$13,MONTH(B44)+1)</f>
        <v>#N/A</v>
      </c>
      <c r="E44" s="26">
        <f>HLOOKUP(YEAR($E$2),'Indices TJ'!$A$1:$AZ$13,MONTH($E$2)+1)</f>
        <v>42.899504</v>
      </c>
      <c r="F44" s="47"/>
      <c r="G44" s="29">
        <f t="shared" si="1"/>
        <v>13.46</v>
      </c>
      <c r="H44" s="48" t="e">
        <f t="shared" si="3"/>
        <v>#N/A</v>
      </c>
      <c r="I44" s="52" t="e">
        <f t="shared" si="4"/>
        <v>#N/A</v>
      </c>
    </row>
    <row r="45" spans="1:10">
      <c r="A45" s="28">
        <v>40</v>
      </c>
      <c r="B45" s="115"/>
      <c r="C45" s="116"/>
      <c r="D45" s="26" t="e">
        <f>HLOOKUP(YEAR(B45),'Indices TJ'!$A$1:$AZ$13,MONTH(B45)+1)</f>
        <v>#N/A</v>
      </c>
      <c r="E45" s="26">
        <f>HLOOKUP(YEAR($E$2),'Indices TJ'!$A$1:$AZ$13,MONTH($E$2)+1)</f>
        <v>42.899504</v>
      </c>
      <c r="F45" s="47"/>
      <c r="G45" s="29">
        <f t="shared" si="1"/>
        <v>13.46</v>
      </c>
      <c r="H45" s="48" t="e">
        <f t="shared" si="3"/>
        <v>#N/A</v>
      </c>
      <c r="I45" s="52" t="e">
        <f t="shared" si="4"/>
        <v>#N/A</v>
      </c>
      <c r="J45" s="27"/>
    </row>
    <row r="46" spans="1:10">
      <c r="A46" s="28">
        <v>41</v>
      </c>
      <c r="B46" s="115"/>
      <c r="C46" s="116"/>
      <c r="D46" s="26" t="e">
        <f>HLOOKUP(YEAR(B46),'Indices TJ'!$A$1:$AZ$13,MONTH(B46)+1)</f>
        <v>#N/A</v>
      </c>
      <c r="E46" s="26">
        <f>HLOOKUP(YEAR($E$2),'Indices TJ'!$A$1:$AZ$13,MONTH($E$2)+1)</f>
        <v>42.899504</v>
      </c>
      <c r="F46" s="47"/>
      <c r="G46" s="29">
        <f t="shared" si="1"/>
        <v>13.46</v>
      </c>
      <c r="H46" s="48" t="e">
        <f t="shared" si="3"/>
        <v>#N/A</v>
      </c>
      <c r="I46" s="52" t="e">
        <f t="shared" si="4"/>
        <v>#N/A</v>
      </c>
    </row>
    <row r="47" spans="1:10">
      <c r="A47" s="28">
        <v>42</v>
      </c>
      <c r="B47" s="115"/>
      <c r="C47" s="116"/>
      <c r="D47" s="26" t="e">
        <f>HLOOKUP(YEAR(B47),'Indices TJ'!$A$1:$AZ$13,MONTH(B47)+1)</f>
        <v>#N/A</v>
      </c>
      <c r="E47" s="26">
        <f>HLOOKUP(YEAR($E$2),'Indices TJ'!$A$1:$AZ$13,MONTH($E$2)+1)</f>
        <v>42.899504</v>
      </c>
      <c r="F47" s="47"/>
      <c r="G47" s="29">
        <f t="shared" si="1"/>
        <v>13.46</v>
      </c>
      <c r="H47" s="48" t="e">
        <f t="shared" si="3"/>
        <v>#N/A</v>
      </c>
      <c r="I47" s="52" t="e">
        <f t="shared" si="4"/>
        <v>#N/A</v>
      </c>
    </row>
    <row r="48" spans="1:10">
      <c r="A48" s="28">
        <v>43</v>
      </c>
      <c r="B48" s="115"/>
      <c r="C48" s="116"/>
      <c r="D48" s="26" t="e">
        <f>HLOOKUP(YEAR(B48),'Indices TJ'!$A$1:$AZ$13,MONTH(B48)+1)</f>
        <v>#N/A</v>
      </c>
      <c r="E48" s="26">
        <f>HLOOKUP(YEAR($E$2),'Indices TJ'!$A$1:$AZ$13,MONTH($E$2)+1)</f>
        <v>42.899504</v>
      </c>
      <c r="F48" s="47"/>
      <c r="G48" s="29">
        <f t="shared" si="1"/>
        <v>13.46</v>
      </c>
      <c r="H48" s="48" t="e">
        <f t="shared" si="3"/>
        <v>#N/A</v>
      </c>
      <c r="I48" s="52" t="e">
        <f t="shared" si="4"/>
        <v>#N/A</v>
      </c>
    </row>
    <row r="49" spans="1:17">
      <c r="A49" s="28">
        <v>44</v>
      </c>
      <c r="B49" s="115"/>
      <c r="C49" s="116"/>
      <c r="D49" s="26" t="e">
        <f>HLOOKUP(YEAR(B49),'Indices TJ'!$A$1:$AZ$13,MONTH(B49)+1)</f>
        <v>#N/A</v>
      </c>
      <c r="E49" s="26">
        <f>HLOOKUP(YEAR($E$2),'Indices TJ'!$A$1:$AZ$13,MONTH($E$2)+1)</f>
        <v>42.899504</v>
      </c>
      <c r="F49" s="47"/>
      <c r="G49" s="29">
        <f t="shared" si="1"/>
        <v>13.46</v>
      </c>
      <c r="H49" s="48" t="e">
        <f t="shared" si="3"/>
        <v>#N/A</v>
      </c>
      <c r="I49" s="52" t="e">
        <f t="shared" si="4"/>
        <v>#N/A</v>
      </c>
    </row>
    <row r="50" spans="1:17">
      <c r="A50" s="28">
        <v>45</v>
      </c>
      <c r="B50" s="115"/>
      <c r="C50" s="116"/>
      <c r="D50" s="26" t="e">
        <f>HLOOKUP(YEAR(B50),'Indices TJ'!$A$1:$AZ$13,MONTH(B50)+1)</f>
        <v>#N/A</v>
      </c>
      <c r="E50" s="26">
        <f>HLOOKUP(YEAR($E$2),'Indices TJ'!$A$1:$AZ$13,MONTH($E$2)+1)</f>
        <v>42.899504</v>
      </c>
      <c r="F50" s="47"/>
      <c r="G50" s="29">
        <f t="shared" si="1"/>
        <v>13.46</v>
      </c>
      <c r="H50" s="48" t="e">
        <f t="shared" si="3"/>
        <v>#N/A</v>
      </c>
      <c r="I50" s="52" t="e">
        <f t="shared" si="4"/>
        <v>#N/A</v>
      </c>
    </row>
    <row r="51" spans="1:17">
      <c r="A51" s="28">
        <v>46</v>
      </c>
      <c r="B51" s="115"/>
      <c r="C51" s="116"/>
      <c r="D51" s="26" t="e">
        <f>HLOOKUP(YEAR(B51),'Indices TJ'!$A$1:$AZ$13,MONTH(B51)+1)</f>
        <v>#N/A</v>
      </c>
      <c r="E51" s="26">
        <f>HLOOKUP(YEAR($E$2),'Indices TJ'!$A$1:$AZ$13,MONTH($E$2)+1)</f>
        <v>42.899504</v>
      </c>
      <c r="F51" s="47"/>
      <c r="G51" s="29">
        <f t="shared" si="1"/>
        <v>13.46</v>
      </c>
      <c r="H51" s="48" t="e">
        <f t="shared" si="3"/>
        <v>#N/A</v>
      </c>
      <c r="I51" s="52" t="e">
        <f t="shared" si="4"/>
        <v>#N/A</v>
      </c>
    </row>
    <row r="52" spans="1:17">
      <c r="A52" s="28">
        <v>47</v>
      </c>
      <c r="B52" s="115"/>
      <c r="C52" s="116"/>
      <c r="D52" s="26" t="e">
        <f>HLOOKUP(YEAR(B52),'Indices TJ'!$A$1:$AZ$13,MONTH(B52)+1)</f>
        <v>#N/A</v>
      </c>
      <c r="E52" s="26">
        <f>HLOOKUP(YEAR($E$2),'Indices TJ'!$A$1:$AZ$13,MONTH($E$2)+1)</f>
        <v>42.899504</v>
      </c>
      <c r="F52" s="47"/>
      <c r="G52" s="29">
        <f t="shared" si="1"/>
        <v>13.46</v>
      </c>
      <c r="H52" s="48" t="e">
        <f t="shared" si="3"/>
        <v>#N/A</v>
      </c>
      <c r="I52" s="52" t="e">
        <f t="shared" si="4"/>
        <v>#N/A</v>
      </c>
    </row>
    <row r="53" spans="1:17">
      <c r="A53" s="28">
        <v>48</v>
      </c>
      <c r="B53" s="115"/>
      <c r="C53" s="116"/>
      <c r="D53" s="26" t="e">
        <f>HLOOKUP(YEAR(B53),'Indices TJ'!$A$1:$AZ$13,MONTH(B53)+1)</f>
        <v>#N/A</v>
      </c>
      <c r="E53" s="26">
        <f>HLOOKUP(YEAR($E$2),'Indices TJ'!$A$1:$AZ$13,MONTH($E$2)+1)</f>
        <v>42.899504</v>
      </c>
      <c r="F53" s="47"/>
      <c r="G53" s="29">
        <f t="shared" si="1"/>
        <v>13.46</v>
      </c>
      <c r="H53" s="48" t="e">
        <f t="shared" si="3"/>
        <v>#N/A</v>
      </c>
      <c r="I53" s="52" t="e">
        <f t="shared" si="4"/>
        <v>#N/A</v>
      </c>
    </row>
    <row r="54" spans="1:17">
      <c r="A54" s="28">
        <v>49</v>
      </c>
      <c r="B54" s="115"/>
      <c r="C54" s="116"/>
      <c r="D54" s="26" t="e">
        <f>HLOOKUP(YEAR(B54),'Indices TJ'!$A$1:$AZ$13,MONTH(B54)+1)</f>
        <v>#N/A</v>
      </c>
      <c r="E54" s="26">
        <f>HLOOKUP(YEAR($E$2),'Indices TJ'!$A$1:$AZ$13,MONTH($E$2)+1)</f>
        <v>42.899504</v>
      </c>
      <c r="F54" s="47"/>
      <c r="G54" s="29">
        <f t="shared" si="1"/>
        <v>13.46</v>
      </c>
      <c r="H54" s="48" t="e">
        <f t="shared" si="3"/>
        <v>#N/A</v>
      </c>
      <c r="I54" s="52" t="e">
        <f t="shared" si="4"/>
        <v>#N/A</v>
      </c>
    </row>
    <row r="55" spans="1:17" ht="15" customHeight="1">
      <c r="A55" s="28">
        <v>50</v>
      </c>
      <c r="B55" s="115"/>
      <c r="C55" s="116"/>
      <c r="D55" s="26" t="e">
        <f>HLOOKUP(YEAR(B55),'Indices TJ'!$A$1:$AZ$13,MONTH(B55)+1)</f>
        <v>#N/A</v>
      </c>
      <c r="E55" s="26">
        <f>HLOOKUP(YEAR($E$2),'Indices TJ'!$A$1:$AZ$13,MONTH($E$2)+1)</f>
        <v>42.899504</v>
      </c>
      <c r="F55" s="47"/>
      <c r="G55" s="29">
        <f t="shared" si="1"/>
        <v>13.46</v>
      </c>
      <c r="H55" s="48" t="e">
        <f t="shared" si="3"/>
        <v>#N/A</v>
      </c>
      <c r="I55" s="52" t="e">
        <f t="shared" si="4"/>
        <v>#N/A</v>
      </c>
      <c r="J55" s="27"/>
      <c r="K55" s="40"/>
      <c r="L55" s="37"/>
      <c r="M55" s="39"/>
      <c r="N55" s="36"/>
      <c r="O55" s="220"/>
      <c r="P55" s="220"/>
      <c r="Q55" s="38"/>
    </row>
    <row r="56" spans="1:17" ht="15" customHeight="1">
      <c r="A56" s="28">
        <v>51</v>
      </c>
      <c r="B56" s="115"/>
      <c r="C56" s="116"/>
      <c r="D56" s="26" t="e">
        <f>HLOOKUP(YEAR(B56),'Indices TJ'!$A$1:$AZ$13,MONTH(B56)+1)</f>
        <v>#N/A</v>
      </c>
      <c r="E56" s="26">
        <f>HLOOKUP(YEAR($E$2),'Indices TJ'!$A$1:$AZ$13,MONTH($E$2)+1)</f>
        <v>42.899504</v>
      </c>
      <c r="F56" s="47"/>
      <c r="G56" s="29">
        <f t="shared" si="1"/>
        <v>13.46</v>
      </c>
      <c r="H56" s="48" t="e">
        <f t="shared" si="3"/>
        <v>#N/A</v>
      </c>
      <c r="I56" s="52" t="e">
        <f t="shared" si="4"/>
        <v>#N/A</v>
      </c>
      <c r="J56" s="27"/>
      <c r="K56" s="40"/>
      <c r="L56" s="37"/>
      <c r="M56" s="39"/>
      <c r="N56" s="36"/>
      <c r="O56" s="220"/>
      <c r="P56" s="220"/>
      <c r="Q56" s="38"/>
    </row>
    <row r="57" spans="1:17" ht="15" customHeight="1">
      <c r="A57" s="28">
        <v>52</v>
      </c>
      <c r="B57" s="115"/>
      <c r="C57" s="116"/>
      <c r="D57" s="26" t="e">
        <f>HLOOKUP(YEAR(B57),'Indices TJ'!$A$1:$AZ$13,MONTH(B57)+1)</f>
        <v>#N/A</v>
      </c>
      <c r="E57" s="26">
        <f>HLOOKUP(YEAR($E$2),'Indices TJ'!$A$1:$AZ$13,MONTH($E$2)+1)</f>
        <v>42.899504</v>
      </c>
      <c r="F57" s="47"/>
      <c r="G57" s="29">
        <f t="shared" si="1"/>
        <v>13.46</v>
      </c>
      <c r="H57" s="48" t="e">
        <f t="shared" si="3"/>
        <v>#N/A</v>
      </c>
      <c r="I57" s="52" t="e">
        <f t="shared" si="4"/>
        <v>#N/A</v>
      </c>
      <c r="J57" s="27"/>
      <c r="K57" s="40"/>
      <c r="L57" s="37"/>
      <c r="M57" s="39"/>
      <c r="N57" s="36"/>
      <c r="O57" s="220"/>
      <c r="P57" s="220"/>
      <c r="Q57" s="38"/>
    </row>
    <row r="58" spans="1:17" ht="15" customHeight="1">
      <c r="A58" s="28">
        <v>53</v>
      </c>
      <c r="B58" s="115"/>
      <c r="C58" s="116"/>
      <c r="D58" s="26" t="e">
        <f>HLOOKUP(YEAR(B58),'Indices TJ'!$A$1:$AZ$13,MONTH(B58)+1)</f>
        <v>#N/A</v>
      </c>
      <c r="E58" s="26">
        <f>HLOOKUP(YEAR($E$2),'Indices TJ'!$A$1:$AZ$13,MONTH($E$2)+1)</f>
        <v>42.899504</v>
      </c>
      <c r="F58" s="47"/>
      <c r="G58" s="29">
        <f t="shared" si="1"/>
        <v>13.46</v>
      </c>
      <c r="H58" s="48" t="e">
        <f t="shared" si="3"/>
        <v>#N/A</v>
      </c>
      <c r="I58" s="52" t="e">
        <f t="shared" si="4"/>
        <v>#N/A</v>
      </c>
      <c r="J58" s="27"/>
      <c r="K58" s="40"/>
      <c r="L58" s="37"/>
      <c r="M58" s="39"/>
      <c r="N58" s="36"/>
      <c r="O58" s="220"/>
      <c r="P58" s="220"/>
      <c r="Q58" s="38"/>
    </row>
    <row r="59" spans="1:17" ht="15" customHeight="1">
      <c r="A59" s="28">
        <v>54</v>
      </c>
      <c r="B59" s="115"/>
      <c r="C59" s="116"/>
      <c r="D59" s="26" t="e">
        <f>HLOOKUP(YEAR(B59),'Indices TJ'!$A$1:$AZ$13,MONTH(B59)+1)</f>
        <v>#N/A</v>
      </c>
      <c r="E59" s="26">
        <f>HLOOKUP(YEAR($E$2),'Indices TJ'!$A$1:$AZ$13,MONTH($E$2)+1)</f>
        <v>42.899504</v>
      </c>
      <c r="F59" s="47"/>
      <c r="G59" s="29">
        <f t="shared" si="1"/>
        <v>13.46</v>
      </c>
      <c r="H59" s="48" t="e">
        <f t="shared" si="3"/>
        <v>#N/A</v>
      </c>
      <c r="I59" s="52" t="e">
        <f t="shared" si="4"/>
        <v>#N/A</v>
      </c>
      <c r="J59" s="27"/>
      <c r="K59" s="40"/>
      <c r="L59" s="37"/>
      <c r="M59" s="39"/>
      <c r="N59" s="36"/>
      <c r="O59" s="220"/>
      <c r="P59" s="220"/>
      <c r="Q59" s="38"/>
    </row>
    <row r="60" spans="1:17" ht="15" customHeight="1">
      <c r="A60" s="28">
        <v>55</v>
      </c>
      <c r="B60" s="115"/>
      <c r="C60" s="116"/>
      <c r="D60" s="26" t="e">
        <f>HLOOKUP(YEAR(B60),'Indices TJ'!$A$1:$AZ$13,MONTH(B60)+1)</f>
        <v>#N/A</v>
      </c>
      <c r="E60" s="26">
        <f>HLOOKUP(YEAR($E$2),'Indices TJ'!$A$1:$AZ$13,MONTH($E$2)+1)</f>
        <v>42.899504</v>
      </c>
      <c r="F60" s="47"/>
      <c r="G60" s="29">
        <f t="shared" si="1"/>
        <v>13.46</v>
      </c>
      <c r="H60" s="48" t="e">
        <f t="shared" si="3"/>
        <v>#N/A</v>
      </c>
      <c r="I60" s="52" t="e">
        <f t="shared" si="4"/>
        <v>#N/A</v>
      </c>
      <c r="J60" s="27"/>
      <c r="K60" s="40"/>
      <c r="L60" s="37"/>
      <c r="M60" s="39"/>
      <c r="N60" s="36"/>
      <c r="O60" s="220"/>
      <c r="P60" s="220"/>
      <c r="Q60" s="38"/>
    </row>
    <row r="61" spans="1:17" ht="15" customHeight="1">
      <c r="A61" s="28">
        <v>56</v>
      </c>
      <c r="B61" s="115"/>
      <c r="C61" s="116"/>
      <c r="D61" s="26" t="e">
        <f>HLOOKUP(YEAR(B61),'Indices TJ'!$A$1:$AZ$13,MONTH(B61)+1)</f>
        <v>#N/A</v>
      </c>
      <c r="E61" s="26">
        <f>HLOOKUP(YEAR($E$2),'Indices TJ'!$A$1:$AZ$13,MONTH($E$2)+1)</f>
        <v>42.899504</v>
      </c>
      <c r="F61" s="47"/>
      <c r="G61" s="29">
        <f t="shared" si="1"/>
        <v>13.46</v>
      </c>
      <c r="H61" s="48" t="e">
        <f t="shared" si="3"/>
        <v>#N/A</v>
      </c>
      <c r="I61" s="52" t="e">
        <f t="shared" si="4"/>
        <v>#N/A</v>
      </c>
      <c r="J61" s="27"/>
      <c r="K61" s="40"/>
      <c r="L61" s="37"/>
      <c r="M61" s="39"/>
      <c r="N61" s="36"/>
      <c r="O61" s="220"/>
      <c r="P61" s="220"/>
      <c r="Q61" s="38"/>
    </row>
    <row r="62" spans="1:17" ht="15" customHeight="1">
      <c r="A62" s="28">
        <v>57</v>
      </c>
      <c r="B62" s="115"/>
      <c r="C62" s="116"/>
      <c r="D62" s="26" t="e">
        <f>HLOOKUP(YEAR(B62),'Indices TJ'!$A$1:$AZ$13,MONTH(B62)+1)</f>
        <v>#N/A</v>
      </c>
      <c r="E62" s="26">
        <f>HLOOKUP(YEAR($E$2),'Indices TJ'!$A$1:$AZ$13,MONTH($E$2)+1)</f>
        <v>42.899504</v>
      </c>
      <c r="F62" s="47"/>
      <c r="G62" s="29">
        <f t="shared" si="1"/>
        <v>13.46</v>
      </c>
      <c r="H62" s="48" t="e">
        <f t="shared" si="3"/>
        <v>#N/A</v>
      </c>
      <c r="I62" s="52" t="e">
        <f t="shared" si="4"/>
        <v>#N/A</v>
      </c>
      <c r="J62" s="27"/>
      <c r="K62" s="40"/>
      <c r="L62" s="37"/>
      <c r="M62" s="39"/>
      <c r="N62" s="36"/>
      <c r="O62" s="220"/>
      <c r="P62" s="220"/>
      <c r="Q62" s="38"/>
    </row>
    <row r="63" spans="1:17" ht="15" customHeight="1">
      <c r="A63" s="28">
        <v>58</v>
      </c>
      <c r="B63" s="115"/>
      <c r="C63" s="116"/>
      <c r="D63" s="26" t="e">
        <f>HLOOKUP(YEAR(B63),'Indices TJ'!$A$1:$AZ$13,MONTH(B63)+1)</f>
        <v>#N/A</v>
      </c>
      <c r="E63" s="26">
        <f>HLOOKUP(YEAR($E$2),'Indices TJ'!$A$1:$AZ$13,MONTH($E$2)+1)</f>
        <v>42.899504</v>
      </c>
      <c r="F63" s="47"/>
      <c r="G63" s="29">
        <f t="shared" si="1"/>
        <v>13.46</v>
      </c>
      <c r="H63" s="48" t="e">
        <f t="shared" si="3"/>
        <v>#N/A</v>
      </c>
      <c r="I63" s="52" t="e">
        <f t="shared" si="4"/>
        <v>#N/A</v>
      </c>
      <c r="J63" s="27"/>
      <c r="K63" s="40"/>
      <c r="L63" s="37"/>
      <c r="M63" s="39"/>
      <c r="N63" s="36"/>
      <c r="O63" s="220"/>
      <c r="P63" s="220"/>
      <c r="Q63" s="38"/>
    </row>
    <row r="64" spans="1:17" ht="15" customHeight="1">
      <c r="A64" s="28">
        <v>59</v>
      </c>
      <c r="B64" s="115"/>
      <c r="C64" s="116"/>
      <c r="D64" s="26" t="e">
        <f>HLOOKUP(YEAR(B64),'Indices TJ'!$A$1:$AZ$13,MONTH(B64)+1)</f>
        <v>#N/A</v>
      </c>
      <c r="E64" s="26">
        <f>HLOOKUP(YEAR($E$2),'Indices TJ'!$A$1:$AZ$13,MONTH($E$2)+1)</f>
        <v>42.899504</v>
      </c>
      <c r="F64" s="47"/>
      <c r="G64" s="29">
        <f t="shared" si="1"/>
        <v>13.46</v>
      </c>
      <c r="H64" s="48" t="e">
        <f t="shared" si="3"/>
        <v>#N/A</v>
      </c>
      <c r="I64" s="52" t="e">
        <f t="shared" si="4"/>
        <v>#N/A</v>
      </c>
      <c r="J64" s="27"/>
      <c r="K64" s="40"/>
      <c r="L64" s="37"/>
      <c r="M64" s="39"/>
      <c r="N64" s="36"/>
      <c r="O64" s="220"/>
      <c r="P64" s="220"/>
      <c r="Q64" s="38"/>
    </row>
    <row r="65" spans="1:17" ht="15" customHeight="1">
      <c r="A65" s="28">
        <v>60</v>
      </c>
      <c r="B65" s="115"/>
      <c r="C65" s="116"/>
      <c r="D65" s="26" t="e">
        <f>HLOOKUP(YEAR(B65),'Indices TJ'!$A$1:$AZ$13,MONTH(B65)+1)</f>
        <v>#N/A</v>
      </c>
      <c r="E65" s="26">
        <f>HLOOKUP(YEAR($E$2),'Indices TJ'!$A$1:$AZ$13,MONTH($E$2)+1)</f>
        <v>42.899504</v>
      </c>
      <c r="F65" s="47"/>
      <c r="G65" s="29">
        <f t="shared" si="1"/>
        <v>13.46</v>
      </c>
      <c r="H65" s="48" t="e">
        <f t="shared" si="3"/>
        <v>#N/A</v>
      </c>
      <c r="I65" s="52" t="e">
        <f t="shared" si="4"/>
        <v>#N/A</v>
      </c>
      <c r="J65" s="27"/>
      <c r="K65" s="40"/>
      <c r="L65" s="37"/>
      <c r="M65" s="39"/>
      <c r="N65" s="36"/>
      <c r="O65" s="220"/>
      <c r="P65" s="220"/>
      <c r="Q65" s="38"/>
    </row>
    <row r="66" spans="1:17" ht="15" customHeight="1">
      <c r="A66" s="28">
        <v>61</v>
      </c>
      <c r="B66" s="115"/>
      <c r="C66" s="116"/>
      <c r="D66" s="26" t="e">
        <f>HLOOKUP(YEAR(B66),'Indices TJ'!$A$1:$AZ$13,MONTH(B66)+1)</f>
        <v>#N/A</v>
      </c>
      <c r="E66" s="26">
        <f>HLOOKUP(YEAR($E$2),'Indices TJ'!$A$1:$AZ$13,MONTH($E$2)+1)</f>
        <v>42.899504</v>
      </c>
      <c r="F66" s="47"/>
      <c r="G66" s="29">
        <f t="shared" si="1"/>
        <v>13.46</v>
      </c>
      <c r="H66" s="48" t="e">
        <f t="shared" si="3"/>
        <v>#N/A</v>
      </c>
      <c r="I66" s="52" t="e">
        <f t="shared" si="4"/>
        <v>#N/A</v>
      </c>
      <c r="J66" s="27"/>
      <c r="K66" s="40"/>
      <c r="L66" s="37"/>
      <c r="M66" s="39"/>
      <c r="N66" s="36"/>
      <c r="O66" s="220"/>
      <c r="P66" s="220"/>
      <c r="Q66" s="38"/>
    </row>
    <row r="67" spans="1:17">
      <c r="A67" s="28">
        <v>62</v>
      </c>
      <c r="B67" s="115"/>
      <c r="C67" s="116"/>
      <c r="D67" s="26" t="e">
        <f>HLOOKUP(YEAR(B67),'Indices TJ'!$A$1:$AZ$13,MONTH(B67)+1)</f>
        <v>#N/A</v>
      </c>
      <c r="E67" s="26">
        <f>HLOOKUP(YEAR($E$2),'Indices TJ'!$A$1:$AZ$13,MONTH($E$2)+1)</f>
        <v>42.899504</v>
      </c>
      <c r="F67" s="47"/>
      <c r="G67" s="29">
        <f t="shared" si="1"/>
        <v>13.46</v>
      </c>
      <c r="H67" s="48" t="e">
        <f t="shared" si="3"/>
        <v>#N/A</v>
      </c>
      <c r="I67" s="52" t="e">
        <f t="shared" si="4"/>
        <v>#N/A</v>
      </c>
      <c r="J67" s="27"/>
    </row>
    <row r="68" spans="1:17">
      <c r="A68" s="28">
        <v>63</v>
      </c>
      <c r="B68" s="115"/>
      <c r="C68" s="116"/>
      <c r="D68" s="26" t="e">
        <f>HLOOKUP(YEAR(B68),'Indices TJ'!$A$1:$AZ$13,MONTH(B68)+1)</f>
        <v>#N/A</v>
      </c>
      <c r="E68" s="26">
        <f>HLOOKUP(YEAR($E$2),'Indices TJ'!$A$1:$AZ$13,MONTH($E$2)+1)</f>
        <v>42.899504</v>
      </c>
      <c r="F68" s="47"/>
      <c r="G68" s="29">
        <f t="shared" si="1"/>
        <v>13.46</v>
      </c>
      <c r="H68" s="48" t="e">
        <f t="shared" si="3"/>
        <v>#N/A</v>
      </c>
      <c r="I68" s="52" t="e">
        <f t="shared" si="4"/>
        <v>#N/A</v>
      </c>
      <c r="J68" s="27"/>
    </row>
    <row r="69" spans="1:17">
      <c r="A69" s="28">
        <v>64</v>
      </c>
      <c r="B69" s="115"/>
      <c r="C69" s="116"/>
      <c r="D69" s="26" t="e">
        <f>HLOOKUP(YEAR(B69),'Indices TJ'!$A$1:$AZ$13,MONTH(B69)+1)</f>
        <v>#N/A</v>
      </c>
      <c r="E69" s="26">
        <f>HLOOKUP(YEAR($E$2),'Indices TJ'!$A$1:$AZ$13,MONTH($E$2)+1)</f>
        <v>42.899504</v>
      </c>
      <c r="F69" s="47"/>
      <c r="G69" s="29">
        <f t="shared" si="1"/>
        <v>13.46</v>
      </c>
      <c r="H69" s="48" t="e">
        <f t="shared" si="3"/>
        <v>#N/A</v>
      </c>
      <c r="I69" s="52" t="e">
        <f t="shared" si="4"/>
        <v>#N/A</v>
      </c>
      <c r="J69" s="27"/>
    </row>
    <row r="70" spans="1:17">
      <c r="A70" s="28">
        <v>65</v>
      </c>
      <c r="B70" s="115"/>
      <c r="C70" s="116"/>
      <c r="D70" s="26" t="e">
        <f>HLOOKUP(YEAR(B70),'Indices TJ'!$A$1:$AZ$13,MONTH(B70)+1)</f>
        <v>#N/A</v>
      </c>
      <c r="E70" s="26">
        <f>HLOOKUP(YEAR($E$2),'Indices TJ'!$A$1:$AZ$13,MONTH($E$2)+1)</f>
        <v>42.899504</v>
      </c>
      <c r="F70" s="47"/>
      <c r="G70" s="29">
        <f t="shared" si="1"/>
        <v>13.46</v>
      </c>
      <c r="H70" s="48" t="e">
        <f t="shared" ref="H70:H101" si="5">(((C70/D70)*E70))+(((C70/D70)*E70))*G70</f>
        <v>#N/A</v>
      </c>
      <c r="I70" s="52" t="e">
        <f t="shared" si="4"/>
        <v>#N/A</v>
      </c>
      <c r="J70" s="27"/>
    </row>
    <row r="71" spans="1:17">
      <c r="A71" s="28">
        <v>66</v>
      </c>
      <c r="B71" s="115"/>
      <c r="C71" s="116"/>
      <c r="D71" s="26" t="e">
        <f>HLOOKUP(YEAR(B71),'Indices TJ'!$A$1:$AZ$13,MONTH(B71)+1)</f>
        <v>#N/A</v>
      </c>
      <c r="E71" s="26">
        <f>HLOOKUP(YEAR($E$2),'Indices TJ'!$A$1:$AZ$13,MONTH($E$2)+1)</f>
        <v>42.899504</v>
      </c>
      <c r="F71" s="47"/>
      <c r="G71" s="29">
        <f t="shared" ref="G71:G104" si="6">IF(($E$2-F71)&gt;30,ROUND(($E$2-F71)/30,0)*$G$4,ROUND(($E$2-F71)/30,2)*$G$4)</f>
        <v>13.46</v>
      </c>
      <c r="H71" s="48" t="e">
        <f t="shared" si="5"/>
        <v>#N/A</v>
      </c>
      <c r="I71" s="52" t="e">
        <f t="shared" ref="I71:I102" si="7">I70+H71</f>
        <v>#N/A</v>
      </c>
      <c r="J71" s="27"/>
    </row>
    <row r="72" spans="1:17">
      <c r="A72" s="28">
        <v>67</v>
      </c>
      <c r="B72" s="115"/>
      <c r="C72" s="116"/>
      <c r="D72" s="26" t="e">
        <f>HLOOKUP(YEAR(B72),'Indices TJ'!$A$1:$AZ$13,MONTH(B72)+1)</f>
        <v>#N/A</v>
      </c>
      <c r="E72" s="26">
        <f>HLOOKUP(YEAR($E$2),'Indices TJ'!$A$1:$AZ$13,MONTH($E$2)+1)</f>
        <v>42.899504</v>
      </c>
      <c r="F72" s="47"/>
      <c r="G72" s="29">
        <f t="shared" si="6"/>
        <v>13.46</v>
      </c>
      <c r="H72" s="48" t="e">
        <f t="shared" si="5"/>
        <v>#N/A</v>
      </c>
      <c r="I72" s="52" t="e">
        <f t="shared" si="7"/>
        <v>#N/A</v>
      </c>
      <c r="J72" s="27"/>
    </row>
    <row r="73" spans="1:17">
      <c r="A73" s="28">
        <v>68</v>
      </c>
      <c r="B73" s="115"/>
      <c r="C73" s="116"/>
      <c r="D73" s="26" t="e">
        <f>HLOOKUP(YEAR(B73),'Indices TJ'!$A$1:$AZ$13,MONTH(B73)+1)</f>
        <v>#N/A</v>
      </c>
      <c r="E73" s="26">
        <f>HLOOKUP(YEAR($E$2),'Indices TJ'!$A$1:$AZ$13,MONTH($E$2)+1)</f>
        <v>42.899504</v>
      </c>
      <c r="F73" s="47"/>
      <c r="G73" s="29">
        <f t="shared" si="6"/>
        <v>13.46</v>
      </c>
      <c r="H73" s="48" t="e">
        <f t="shared" si="5"/>
        <v>#N/A</v>
      </c>
      <c r="I73" s="52" t="e">
        <f t="shared" si="7"/>
        <v>#N/A</v>
      </c>
      <c r="J73" s="27"/>
    </row>
    <row r="74" spans="1:17">
      <c r="A74" s="28">
        <v>69</v>
      </c>
      <c r="B74" s="115"/>
      <c r="C74" s="116"/>
      <c r="D74" s="26" t="e">
        <f>HLOOKUP(YEAR(B74),'Indices TJ'!$A$1:$AZ$13,MONTH(B74)+1)</f>
        <v>#N/A</v>
      </c>
      <c r="E74" s="26">
        <f>HLOOKUP(YEAR($E$2),'Indices TJ'!$A$1:$AZ$13,MONTH($E$2)+1)</f>
        <v>42.899504</v>
      </c>
      <c r="F74" s="47"/>
      <c r="G74" s="29">
        <f t="shared" si="6"/>
        <v>13.46</v>
      </c>
      <c r="H74" s="48" t="e">
        <f t="shared" si="5"/>
        <v>#N/A</v>
      </c>
      <c r="I74" s="52" t="e">
        <f t="shared" si="7"/>
        <v>#N/A</v>
      </c>
      <c r="J74" s="27"/>
    </row>
    <row r="75" spans="1:17">
      <c r="A75" s="28">
        <v>70</v>
      </c>
      <c r="B75" s="115"/>
      <c r="C75" s="116"/>
      <c r="D75" s="26" t="e">
        <f>HLOOKUP(YEAR(B75),'Indices TJ'!$A$1:$AZ$13,MONTH(B75)+1)</f>
        <v>#N/A</v>
      </c>
      <c r="E75" s="26">
        <f>HLOOKUP(YEAR($E$2),'Indices TJ'!$A$1:$AZ$13,MONTH($E$2)+1)</f>
        <v>42.899504</v>
      </c>
      <c r="F75" s="47"/>
      <c r="G75" s="29">
        <f t="shared" si="6"/>
        <v>13.46</v>
      </c>
      <c r="H75" s="48" t="e">
        <f t="shared" si="5"/>
        <v>#N/A</v>
      </c>
      <c r="I75" s="52" t="e">
        <f t="shared" si="7"/>
        <v>#N/A</v>
      </c>
      <c r="J75" s="27"/>
    </row>
    <row r="76" spans="1:17">
      <c r="A76" s="28">
        <v>71</v>
      </c>
      <c r="B76" s="115"/>
      <c r="C76" s="116"/>
      <c r="D76" s="26" t="e">
        <f>HLOOKUP(YEAR(B76),'Indices TJ'!$A$1:$AZ$13,MONTH(B76)+1)</f>
        <v>#N/A</v>
      </c>
      <c r="E76" s="26">
        <f>HLOOKUP(YEAR($E$2),'Indices TJ'!$A$1:$AZ$13,MONTH($E$2)+1)</f>
        <v>42.899504</v>
      </c>
      <c r="F76" s="47"/>
      <c r="G76" s="29">
        <f t="shared" si="6"/>
        <v>13.46</v>
      </c>
      <c r="H76" s="48" t="e">
        <f t="shared" si="5"/>
        <v>#N/A</v>
      </c>
      <c r="I76" s="52" t="e">
        <f t="shared" si="7"/>
        <v>#N/A</v>
      </c>
    </row>
    <row r="77" spans="1:17">
      <c r="A77" s="28">
        <v>72</v>
      </c>
      <c r="B77" s="115"/>
      <c r="C77" s="116"/>
      <c r="D77" s="26" t="e">
        <f>HLOOKUP(YEAR(B77),'Indices TJ'!$A$1:$AZ$13,MONTH(B77)+1)</f>
        <v>#N/A</v>
      </c>
      <c r="E77" s="26">
        <f>HLOOKUP(YEAR($E$2),'Indices TJ'!$A$1:$AZ$13,MONTH($E$2)+1)</f>
        <v>42.899504</v>
      </c>
      <c r="F77" s="47"/>
      <c r="G77" s="29">
        <f t="shared" si="6"/>
        <v>13.46</v>
      </c>
      <c r="H77" s="48" t="e">
        <f t="shared" si="5"/>
        <v>#N/A</v>
      </c>
      <c r="I77" s="52" t="e">
        <f t="shared" si="7"/>
        <v>#N/A</v>
      </c>
    </row>
    <row r="78" spans="1:17">
      <c r="A78" s="28">
        <v>73</v>
      </c>
      <c r="B78" s="115"/>
      <c r="C78" s="116"/>
      <c r="D78" s="26" t="e">
        <f>HLOOKUP(YEAR(B78),'Indices TJ'!$A$1:$AZ$13,MONTH(B78)+1)</f>
        <v>#N/A</v>
      </c>
      <c r="E78" s="26">
        <f>HLOOKUP(YEAR($E$2),'Indices TJ'!$A$1:$AZ$13,MONTH($E$2)+1)</f>
        <v>42.899504</v>
      </c>
      <c r="F78" s="47"/>
      <c r="G78" s="29">
        <f t="shared" si="6"/>
        <v>13.46</v>
      </c>
      <c r="H78" s="48" t="e">
        <f t="shared" si="5"/>
        <v>#N/A</v>
      </c>
      <c r="I78" s="52" t="e">
        <f t="shared" si="7"/>
        <v>#N/A</v>
      </c>
    </row>
    <row r="79" spans="1:17">
      <c r="A79" s="28">
        <v>74</v>
      </c>
      <c r="B79" s="115"/>
      <c r="C79" s="116"/>
      <c r="D79" s="26" t="e">
        <f>HLOOKUP(YEAR(B79),'Indices TJ'!$A$1:$AZ$13,MONTH(B79)+1)</f>
        <v>#N/A</v>
      </c>
      <c r="E79" s="26">
        <f>HLOOKUP(YEAR($E$2),'Indices TJ'!$A$1:$AZ$13,MONTH($E$2)+1)</f>
        <v>42.899504</v>
      </c>
      <c r="F79" s="47"/>
      <c r="G79" s="29">
        <f t="shared" si="6"/>
        <v>13.46</v>
      </c>
      <c r="H79" s="48" t="e">
        <f t="shared" si="5"/>
        <v>#N/A</v>
      </c>
      <c r="I79" s="52" t="e">
        <f t="shared" si="7"/>
        <v>#N/A</v>
      </c>
    </row>
    <row r="80" spans="1:17">
      <c r="A80" s="28">
        <v>75</v>
      </c>
      <c r="B80" s="115"/>
      <c r="C80" s="116"/>
      <c r="D80" s="26" t="e">
        <f>HLOOKUP(YEAR(B80),'Indices TJ'!$A$1:$AZ$13,MONTH(B80)+1)</f>
        <v>#N/A</v>
      </c>
      <c r="E80" s="26">
        <f>HLOOKUP(YEAR($E$2),'Indices TJ'!$A$1:$AZ$13,MONTH($E$2)+1)</f>
        <v>42.899504</v>
      </c>
      <c r="F80" s="47"/>
      <c r="G80" s="29">
        <f t="shared" si="6"/>
        <v>13.46</v>
      </c>
      <c r="H80" s="48" t="e">
        <f t="shared" si="5"/>
        <v>#N/A</v>
      </c>
      <c r="I80" s="52" t="e">
        <f t="shared" si="7"/>
        <v>#N/A</v>
      </c>
    </row>
    <row r="81" spans="1:10">
      <c r="A81" s="28">
        <v>76</v>
      </c>
      <c r="B81" s="115"/>
      <c r="C81" s="116"/>
      <c r="D81" s="26" t="e">
        <f>HLOOKUP(YEAR(B81),'Indices TJ'!$A$1:$AZ$13,MONTH(B81)+1)</f>
        <v>#N/A</v>
      </c>
      <c r="E81" s="26">
        <f>HLOOKUP(YEAR($E$2),'Indices TJ'!$A$1:$AZ$13,MONTH($E$2)+1)</f>
        <v>42.899504</v>
      </c>
      <c r="F81" s="47"/>
      <c r="G81" s="29">
        <f t="shared" si="6"/>
        <v>13.46</v>
      </c>
      <c r="H81" s="48" t="e">
        <f t="shared" si="5"/>
        <v>#N/A</v>
      </c>
      <c r="I81" s="52" t="e">
        <f t="shared" si="7"/>
        <v>#N/A</v>
      </c>
    </row>
    <row r="82" spans="1:10">
      <c r="A82" s="28">
        <v>77</v>
      </c>
      <c r="B82" s="115"/>
      <c r="C82" s="116"/>
      <c r="D82" s="26" t="e">
        <f>HLOOKUP(YEAR(B82),'Indices TJ'!$A$1:$AZ$13,MONTH(B82)+1)</f>
        <v>#N/A</v>
      </c>
      <c r="E82" s="26">
        <f>HLOOKUP(YEAR($E$2),'Indices TJ'!$A$1:$AZ$13,MONTH($E$2)+1)</f>
        <v>42.899504</v>
      </c>
      <c r="F82" s="47"/>
      <c r="G82" s="29">
        <f t="shared" si="6"/>
        <v>13.46</v>
      </c>
      <c r="H82" s="48" t="e">
        <f t="shared" si="5"/>
        <v>#N/A</v>
      </c>
      <c r="I82" s="52" t="e">
        <f t="shared" si="7"/>
        <v>#N/A</v>
      </c>
    </row>
    <row r="83" spans="1:10">
      <c r="A83" s="28">
        <v>78</v>
      </c>
      <c r="B83" s="115"/>
      <c r="C83" s="116"/>
      <c r="D83" s="26" t="e">
        <f>HLOOKUP(YEAR(B83),'Indices TJ'!$A$1:$AZ$13,MONTH(B83)+1)</f>
        <v>#N/A</v>
      </c>
      <c r="E83" s="26">
        <f>HLOOKUP(YEAR($E$2),'Indices TJ'!$A$1:$AZ$13,MONTH($E$2)+1)</f>
        <v>42.899504</v>
      </c>
      <c r="F83" s="47"/>
      <c r="G83" s="29">
        <f t="shared" si="6"/>
        <v>13.46</v>
      </c>
      <c r="H83" s="48" t="e">
        <f t="shared" si="5"/>
        <v>#N/A</v>
      </c>
      <c r="I83" s="52" t="e">
        <f t="shared" si="7"/>
        <v>#N/A</v>
      </c>
    </row>
    <row r="84" spans="1:10">
      <c r="A84" s="28">
        <v>79</v>
      </c>
      <c r="B84" s="115"/>
      <c r="C84" s="116"/>
      <c r="D84" s="26" t="e">
        <f>HLOOKUP(YEAR(B84),'Indices TJ'!$A$1:$AZ$13,MONTH(B84)+1)</f>
        <v>#N/A</v>
      </c>
      <c r="E84" s="26">
        <f>HLOOKUP(YEAR($E$2),'Indices TJ'!$A$1:$AZ$13,MONTH($E$2)+1)</f>
        <v>42.899504</v>
      </c>
      <c r="F84" s="47"/>
      <c r="G84" s="29">
        <f t="shared" si="6"/>
        <v>13.46</v>
      </c>
      <c r="H84" s="48" t="e">
        <f t="shared" si="5"/>
        <v>#N/A</v>
      </c>
      <c r="I84" s="52" t="e">
        <f t="shared" si="7"/>
        <v>#N/A</v>
      </c>
    </row>
    <row r="85" spans="1:10">
      <c r="A85" s="28">
        <v>80</v>
      </c>
      <c r="B85" s="115"/>
      <c r="C85" s="116"/>
      <c r="D85" s="26" t="e">
        <f>HLOOKUP(YEAR(B85),'Indices TJ'!$A$1:$AZ$13,MONTH(B85)+1)</f>
        <v>#N/A</v>
      </c>
      <c r="E85" s="26">
        <f>HLOOKUP(YEAR($E$2),'Indices TJ'!$A$1:$AZ$13,MONTH($E$2)+1)</f>
        <v>42.899504</v>
      </c>
      <c r="F85" s="47"/>
      <c r="G85" s="29">
        <f t="shared" si="6"/>
        <v>13.46</v>
      </c>
      <c r="H85" s="48" t="e">
        <f t="shared" si="5"/>
        <v>#N/A</v>
      </c>
      <c r="I85" s="52" t="e">
        <f t="shared" si="7"/>
        <v>#N/A</v>
      </c>
      <c r="J85" s="27"/>
    </row>
    <row r="86" spans="1:10">
      <c r="A86" s="28">
        <v>81</v>
      </c>
      <c r="B86" s="115"/>
      <c r="C86" s="116"/>
      <c r="D86" s="26" t="e">
        <f>HLOOKUP(YEAR(B86),'Indices TJ'!$A$1:$AZ$13,MONTH(B86)+1)</f>
        <v>#N/A</v>
      </c>
      <c r="E86" s="26">
        <f>HLOOKUP(YEAR($E$2),'Indices TJ'!$A$1:$AZ$13,MONTH($E$2)+1)</f>
        <v>42.899504</v>
      </c>
      <c r="F86" s="47"/>
      <c r="G86" s="29">
        <f t="shared" si="6"/>
        <v>13.46</v>
      </c>
      <c r="H86" s="48" t="e">
        <f t="shared" si="5"/>
        <v>#N/A</v>
      </c>
      <c r="I86" s="52" t="e">
        <f t="shared" si="7"/>
        <v>#N/A</v>
      </c>
    </row>
    <row r="87" spans="1:10">
      <c r="A87" s="28">
        <v>82</v>
      </c>
      <c r="B87" s="115"/>
      <c r="C87" s="116"/>
      <c r="D87" s="26" t="e">
        <f>HLOOKUP(YEAR(B87),'Indices TJ'!$A$1:$AZ$13,MONTH(B87)+1)</f>
        <v>#N/A</v>
      </c>
      <c r="E87" s="26">
        <f>HLOOKUP(YEAR($E$2),'Indices TJ'!$A$1:$AZ$13,MONTH($E$2)+1)</f>
        <v>42.899504</v>
      </c>
      <c r="F87" s="47"/>
      <c r="G87" s="29">
        <f t="shared" si="6"/>
        <v>13.46</v>
      </c>
      <c r="H87" s="48" t="e">
        <f t="shared" si="5"/>
        <v>#N/A</v>
      </c>
      <c r="I87" s="52" t="e">
        <f t="shared" si="7"/>
        <v>#N/A</v>
      </c>
    </row>
    <row r="88" spans="1:10">
      <c r="A88" s="28">
        <v>83</v>
      </c>
      <c r="B88" s="115"/>
      <c r="C88" s="116"/>
      <c r="D88" s="26" t="e">
        <f>HLOOKUP(YEAR(B88),'Indices TJ'!$A$1:$AZ$13,MONTH(B88)+1)</f>
        <v>#N/A</v>
      </c>
      <c r="E88" s="26">
        <f>HLOOKUP(YEAR($E$2),'Indices TJ'!$A$1:$AZ$13,MONTH($E$2)+1)</f>
        <v>42.899504</v>
      </c>
      <c r="F88" s="47"/>
      <c r="G88" s="29">
        <f t="shared" si="6"/>
        <v>13.46</v>
      </c>
      <c r="H88" s="48" t="e">
        <f t="shared" si="5"/>
        <v>#N/A</v>
      </c>
      <c r="I88" s="52" t="e">
        <f t="shared" si="7"/>
        <v>#N/A</v>
      </c>
    </row>
    <row r="89" spans="1:10">
      <c r="A89" s="28">
        <v>84</v>
      </c>
      <c r="B89" s="115"/>
      <c r="C89" s="116"/>
      <c r="D89" s="26" t="e">
        <f>HLOOKUP(YEAR(B89),'Indices TJ'!$A$1:$AZ$13,MONTH(B89)+1)</f>
        <v>#N/A</v>
      </c>
      <c r="E89" s="26">
        <f>HLOOKUP(YEAR($E$2),'Indices TJ'!$A$1:$AZ$13,MONTH($E$2)+1)</f>
        <v>42.899504</v>
      </c>
      <c r="F89" s="47"/>
      <c r="G89" s="29">
        <f t="shared" si="6"/>
        <v>13.46</v>
      </c>
      <c r="H89" s="48" t="e">
        <f t="shared" si="5"/>
        <v>#N/A</v>
      </c>
      <c r="I89" s="52" t="e">
        <f t="shared" si="7"/>
        <v>#N/A</v>
      </c>
    </row>
    <row r="90" spans="1:10">
      <c r="A90" s="28">
        <v>85</v>
      </c>
      <c r="B90" s="115"/>
      <c r="C90" s="116"/>
      <c r="D90" s="26" t="e">
        <f>HLOOKUP(YEAR(B90),'Indices TJ'!$A$1:$AZ$13,MONTH(B90)+1)</f>
        <v>#N/A</v>
      </c>
      <c r="E90" s="26">
        <f>HLOOKUP(YEAR($E$2),'Indices TJ'!$A$1:$AZ$13,MONTH($E$2)+1)</f>
        <v>42.899504</v>
      </c>
      <c r="F90" s="47"/>
      <c r="G90" s="29">
        <f t="shared" si="6"/>
        <v>13.46</v>
      </c>
      <c r="H90" s="48" t="e">
        <f t="shared" si="5"/>
        <v>#N/A</v>
      </c>
      <c r="I90" s="52" t="e">
        <f t="shared" si="7"/>
        <v>#N/A</v>
      </c>
    </row>
    <row r="91" spans="1:10">
      <c r="A91" s="28">
        <v>86</v>
      </c>
      <c r="B91" s="115"/>
      <c r="C91" s="116"/>
      <c r="D91" s="26" t="e">
        <f>HLOOKUP(YEAR(B91),'Indices TJ'!$A$1:$AZ$13,MONTH(B91)+1)</f>
        <v>#N/A</v>
      </c>
      <c r="E91" s="26">
        <f>HLOOKUP(YEAR($E$2),'Indices TJ'!$A$1:$AZ$13,MONTH($E$2)+1)</f>
        <v>42.899504</v>
      </c>
      <c r="F91" s="47"/>
      <c r="G91" s="29">
        <f t="shared" si="6"/>
        <v>13.46</v>
      </c>
      <c r="H91" s="48" t="e">
        <f t="shared" si="5"/>
        <v>#N/A</v>
      </c>
      <c r="I91" s="52" t="e">
        <f t="shared" si="7"/>
        <v>#N/A</v>
      </c>
    </row>
    <row r="92" spans="1:10">
      <c r="A92" s="28">
        <v>87</v>
      </c>
      <c r="B92" s="115"/>
      <c r="C92" s="116"/>
      <c r="D92" s="26" t="e">
        <f>HLOOKUP(YEAR(B92),'Indices TJ'!$A$1:$AZ$13,MONTH(B92)+1)</f>
        <v>#N/A</v>
      </c>
      <c r="E92" s="26">
        <f>HLOOKUP(YEAR($E$2),'Indices TJ'!$A$1:$AZ$13,MONTH($E$2)+1)</f>
        <v>42.899504</v>
      </c>
      <c r="F92" s="47"/>
      <c r="G92" s="29">
        <f t="shared" si="6"/>
        <v>13.46</v>
      </c>
      <c r="H92" s="48" t="e">
        <f t="shared" si="5"/>
        <v>#N/A</v>
      </c>
      <c r="I92" s="52" t="e">
        <f t="shared" si="7"/>
        <v>#N/A</v>
      </c>
    </row>
    <row r="93" spans="1:10">
      <c r="A93" s="28">
        <v>88</v>
      </c>
      <c r="B93" s="115"/>
      <c r="C93" s="116"/>
      <c r="D93" s="26" t="e">
        <f>HLOOKUP(YEAR(B93),'Indices TJ'!$A$1:$AZ$13,MONTH(B93)+1)</f>
        <v>#N/A</v>
      </c>
      <c r="E93" s="26">
        <f>HLOOKUP(YEAR($E$2),'Indices TJ'!$A$1:$AZ$13,MONTH($E$2)+1)</f>
        <v>42.899504</v>
      </c>
      <c r="F93" s="47"/>
      <c r="G93" s="29">
        <f t="shared" si="6"/>
        <v>13.46</v>
      </c>
      <c r="H93" s="48" t="e">
        <f t="shared" si="5"/>
        <v>#N/A</v>
      </c>
      <c r="I93" s="52" t="e">
        <f t="shared" si="7"/>
        <v>#N/A</v>
      </c>
    </row>
    <row r="94" spans="1:10">
      <c r="A94" s="28">
        <v>89</v>
      </c>
      <c r="B94" s="115"/>
      <c r="C94" s="116"/>
      <c r="D94" s="26" t="e">
        <f>HLOOKUP(YEAR(B94),'Indices TJ'!$A$1:$AZ$13,MONTH(B94)+1)</f>
        <v>#N/A</v>
      </c>
      <c r="E94" s="26">
        <f>HLOOKUP(YEAR($E$2),'Indices TJ'!$A$1:$AZ$13,MONTH($E$2)+1)</f>
        <v>42.899504</v>
      </c>
      <c r="F94" s="47"/>
      <c r="G94" s="29">
        <f t="shared" si="6"/>
        <v>13.46</v>
      </c>
      <c r="H94" s="48" t="e">
        <f t="shared" si="5"/>
        <v>#N/A</v>
      </c>
      <c r="I94" s="52" t="e">
        <f t="shared" si="7"/>
        <v>#N/A</v>
      </c>
    </row>
    <row r="95" spans="1:10">
      <c r="A95" s="28">
        <v>90</v>
      </c>
      <c r="B95" s="115"/>
      <c r="C95" s="116"/>
      <c r="D95" s="26" t="e">
        <f>HLOOKUP(YEAR(B95),'Indices TJ'!$A$1:$AZ$13,MONTH(B95)+1)</f>
        <v>#N/A</v>
      </c>
      <c r="E95" s="26">
        <f>HLOOKUP(YEAR($E$2),'Indices TJ'!$A$1:$AZ$13,MONTH($E$2)+1)</f>
        <v>42.899504</v>
      </c>
      <c r="F95" s="47"/>
      <c r="G95" s="29">
        <f t="shared" si="6"/>
        <v>13.46</v>
      </c>
      <c r="H95" s="48" t="e">
        <f t="shared" si="5"/>
        <v>#N/A</v>
      </c>
      <c r="I95" s="52" t="e">
        <f t="shared" si="7"/>
        <v>#N/A</v>
      </c>
      <c r="J95" s="27"/>
    </row>
    <row r="96" spans="1:10">
      <c r="A96" s="28">
        <v>91</v>
      </c>
      <c r="B96" s="115"/>
      <c r="C96" s="116"/>
      <c r="D96" s="26" t="e">
        <f>HLOOKUP(YEAR(B96),'Indices TJ'!$A$1:$AZ$13,MONTH(B96)+1)</f>
        <v>#N/A</v>
      </c>
      <c r="E96" s="26">
        <f>HLOOKUP(YEAR($E$2),'Indices TJ'!$A$1:$AZ$13,MONTH($E$2)+1)</f>
        <v>42.899504</v>
      </c>
      <c r="F96" s="47"/>
      <c r="G96" s="29">
        <f t="shared" si="6"/>
        <v>13.46</v>
      </c>
      <c r="H96" s="48" t="e">
        <f t="shared" si="5"/>
        <v>#N/A</v>
      </c>
      <c r="I96" s="52" t="e">
        <f t="shared" si="7"/>
        <v>#N/A</v>
      </c>
    </row>
    <row r="97" spans="1:9">
      <c r="A97" s="28">
        <v>92</v>
      </c>
      <c r="B97" s="115"/>
      <c r="C97" s="116"/>
      <c r="D97" s="26" t="e">
        <f>HLOOKUP(YEAR(B97),'Indices TJ'!$A$1:$AZ$13,MONTH(B97)+1)</f>
        <v>#N/A</v>
      </c>
      <c r="E97" s="26">
        <f>HLOOKUP(YEAR($E$2),'Indices TJ'!$A$1:$AZ$13,MONTH($E$2)+1)</f>
        <v>42.899504</v>
      </c>
      <c r="F97" s="47"/>
      <c r="G97" s="29">
        <f t="shared" si="6"/>
        <v>13.46</v>
      </c>
      <c r="H97" s="48" t="e">
        <f t="shared" si="5"/>
        <v>#N/A</v>
      </c>
      <c r="I97" s="52" t="e">
        <f t="shared" si="7"/>
        <v>#N/A</v>
      </c>
    </row>
    <row r="98" spans="1:9">
      <c r="A98" s="28">
        <v>93</v>
      </c>
      <c r="B98" s="115"/>
      <c r="C98" s="116"/>
      <c r="D98" s="26" t="e">
        <f>HLOOKUP(YEAR(B98),'Indices TJ'!$A$1:$AZ$13,MONTH(B98)+1)</f>
        <v>#N/A</v>
      </c>
      <c r="E98" s="26">
        <f>HLOOKUP(YEAR($E$2),'Indices TJ'!$A$1:$AZ$13,MONTH($E$2)+1)</f>
        <v>42.899504</v>
      </c>
      <c r="F98" s="47"/>
      <c r="G98" s="29">
        <f t="shared" si="6"/>
        <v>13.46</v>
      </c>
      <c r="H98" s="48" t="e">
        <f t="shared" si="5"/>
        <v>#N/A</v>
      </c>
      <c r="I98" s="52" t="e">
        <f t="shared" si="7"/>
        <v>#N/A</v>
      </c>
    </row>
    <row r="99" spans="1:9">
      <c r="A99" s="28">
        <v>94</v>
      </c>
      <c r="B99" s="115"/>
      <c r="C99" s="116"/>
      <c r="D99" s="26" t="e">
        <f>HLOOKUP(YEAR(B99),'Indices TJ'!$A$1:$AZ$13,MONTH(B99)+1)</f>
        <v>#N/A</v>
      </c>
      <c r="E99" s="26">
        <f>HLOOKUP(YEAR($E$2),'Indices TJ'!$A$1:$AZ$13,MONTH($E$2)+1)</f>
        <v>42.899504</v>
      </c>
      <c r="F99" s="47"/>
      <c r="G99" s="29">
        <f t="shared" si="6"/>
        <v>13.46</v>
      </c>
      <c r="H99" s="48" t="e">
        <f t="shared" si="5"/>
        <v>#N/A</v>
      </c>
      <c r="I99" s="52" t="e">
        <f t="shared" si="7"/>
        <v>#N/A</v>
      </c>
    </row>
    <row r="100" spans="1:9">
      <c r="A100" s="28">
        <v>95</v>
      </c>
      <c r="B100" s="115"/>
      <c r="C100" s="116"/>
      <c r="D100" s="26" t="e">
        <f>HLOOKUP(YEAR(B100),'Indices TJ'!$A$1:$AZ$13,MONTH(B100)+1)</f>
        <v>#N/A</v>
      </c>
      <c r="E100" s="26">
        <f>HLOOKUP(YEAR($E$2),'Indices TJ'!$A$1:$AZ$13,MONTH($E$2)+1)</f>
        <v>42.899504</v>
      </c>
      <c r="F100" s="47"/>
      <c r="G100" s="29">
        <f t="shared" si="6"/>
        <v>13.46</v>
      </c>
      <c r="H100" s="48" t="e">
        <f t="shared" si="5"/>
        <v>#N/A</v>
      </c>
      <c r="I100" s="52" t="e">
        <f t="shared" si="7"/>
        <v>#N/A</v>
      </c>
    </row>
    <row r="101" spans="1:9">
      <c r="A101" s="28">
        <v>96</v>
      </c>
      <c r="B101" s="115"/>
      <c r="C101" s="116"/>
      <c r="D101" s="26" t="e">
        <f>HLOOKUP(YEAR(B101),'Indices TJ'!$A$1:$AZ$13,MONTH(B101)+1)</f>
        <v>#N/A</v>
      </c>
      <c r="E101" s="26">
        <f>HLOOKUP(YEAR($E$2),'Indices TJ'!$A$1:$AZ$13,MONTH($E$2)+1)</f>
        <v>42.899504</v>
      </c>
      <c r="F101" s="47"/>
      <c r="G101" s="29">
        <f t="shared" si="6"/>
        <v>13.46</v>
      </c>
      <c r="H101" s="48" t="e">
        <f t="shared" si="5"/>
        <v>#N/A</v>
      </c>
      <c r="I101" s="52" t="e">
        <f t="shared" si="7"/>
        <v>#N/A</v>
      </c>
    </row>
    <row r="102" spans="1:9">
      <c r="A102" s="28">
        <v>97</v>
      </c>
      <c r="B102" s="115"/>
      <c r="C102" s="116"/>
      <c r="D102" s="26" t="e">
        <f>HLOOKUP(YEAR(B102),'Indices TJ'!$A$1:$AZ$13,MONTH(B102)+1)</f>
        <v>#N/A</v>
      </c>
      <c r="E102" s="26">
        <f>HLOOKUP(YEAR($E$2),'Indices TJ'!$A$1:$AZ$13,MONTH($E$2)+1)</f>
        <v>42.899504</v>
      </c>
      <c r="F102" s="47"/>
      <c r="G102" s="29">
        <f t="shared" si="6"/>
        <v>13.46</v>
      </c>
      <c r="H102" s="48" t="e">
        <f>(((C102/D102)*E102))+(((C102/D102)*E102))*G102</f>
        <v>#N/A</v>
      </c>
      <c r="I102" s="52" t="e">
        <f t="shared" si="7"/>
        <v>#N/A</v>
      </c>
    </row>
    <row r="103" spans="1:9">
      <c r="A103" s="28">
        <v>98</v>
      </c>
      <c r="B103" s="115"/>
      <c r="C103" s="116"/>
      <c r="D103" s="26" t="e">
        <f>HLOOKUP(YEAR(B103),'Indices TJ'!$A$1:$AZ$13,MONTH(B103)+1)</f>
        <v>#N/A</v>
      </c>
      <c r="E103" s="26">
        <f>HLOOKUP(YEAR($E$2),'Indices TJ'!$A$1:$AZ$13,MONTH($E$2)+1)</f>
        <v>42.899504</v>
      </c>
      <c r="F103" s="47"/>
      <c r="G103" s="29">
        <f t="shared" si="6"/>
        <v>13.46</v>
      </c>
      <c r="H103" s="48" t="e">
        <f>(((C103/D103)*E103))+(((C103/D103)*E103))*G103</f>
        <v>#N/A</v>
      </c>
      <c r="I103" s="52" t="e">
        <f>I102+H103</f>
        <v>#N/A</v>
      </c>
    </row>
    <row r="104" spans="1:9">
      <c r="A104" s="28">
        <v>99</v>
      </c>
      <c r="B104" s="115"/>
      <c r="C104" s="116"/>
      <c r="D104" s="26" t="e">
        <f>HLOOKUP(YEAR(B104),'Indices TJ'!$A$1:$AZ$13,MONTH(B104)+1)</f>
        <v>#N/A</v>
      </c>
      <c r="E104" s="26">
        <f>HLOOKUP(YEAR($E$2),'Indices TJ'!$A$1:$AZ$13,MONTH($E$2)+1)</f>
        <v>42.899504</v>
      </c>
      <c r="F104" s="47"/>
      <c r="G104" s="29">
        <f t="shared" si="6"/>
        <v>13.46</v>
      </c>
      <c r="H104" s="48" t="e">
        <f>(((C104/D104)*E104))+(((C104/D104)*E104))*G104</f>
        <v>#N/A</v>
      </c>
      <c r="I104" s="52" t="e">
        <f>I103+H104</f>
        <v>#N/A</v>
      </c>
    </row>
    <row r="105" spans="1:9">
      <c r="B105" s="49"/>
      <c r="C105" s="50"/>
      <c r="F105" s="49"/>
    </row>
    <row r="106" spans="1:9">
      <c r="B106" s="49"/>
      <c r="C106" s="50"/>
      <c r="F106" s="49"/>
    </row>
    <row r="107" spans="1:9">
      <c r="B107" s="49"/>
      <c r="C107" s="50"/>
      <c r="F107" s="49"/>
    </row>
    <row r="108" spans="1:9">
      <c r="C108" s="44"/>
    </row>
    <row r="109" spans="1:9">
      <c r="C109" s="44"/>
    </row>
    <row r="110" spans="1:9">
      <c r="C110" s="44"/>
    </row>
    <row r="111" spans="1:9">
      <c r="C111" s="44"/>
    </row>
    <row r="112" spans="1:9">
      <c r="C112" s="44"/>
    </row>
    <row r="113" spans="3:3">
      <c r="C113" s="44"/>
    </row>
    <row r="114" spans="3:3">
      <c r="C114" s="44"/>
    </row>
    <row r="115" spans="3:3">
      <c r="C115" s="44"/>
    </row>
    <row r="116" spans="3:3">
      <c r="C116" s="44"/>
    </row>
    <row r="117" spans="3:3">
      <c r="C117" s="44"/>
    </row>
    <row r="118" spans="3:3">
      <c r="C118" s="44"/>
    </row>
    <row r="119" spans="3:3">
      <c r="C119" s="44"/>
    </row>
    <row r="120" spans="3:3">
      <c r="C120" s="44"/>
    </row>
    <row r="121" spans="3:3">
      <c r="C121" s="44"/>
    </row>
    <row r="122" spans="3:3">
      <c r="C122" s="44"/>
    </row>
    <row r="123" spans="3:3">
      <c r="C123" s="44"/>
    </row>
    <row r="124" spans="3:3">
      <c r="C124" s="44"/>
    </row>
    <row r="125" spans="3:3">
      <c r="C125" s="44"/>
    </row>
    <row r="126" spans="3:3">
      <c r="C126" s="44"/>
    </row>
    <row r="127" spans="3:3">
      <c r="C127" s="44"/>
    </row>
    <row r="128" spans="3:3">
      <c r="C128" s="44"/>
    </row>
    <row r="129" spans="3:3">
      <c r="C129" s="44"/>
    </row>
    <row r="130" spans="3:3">
      <c r="C130" s="44"/>
    </row>
    <row r="131" spans="3:3">
      <c r="C131" s="44"/>
    </row>
    <row r="132" spans="3:3">
      <c r="C132" s="44"/>
    </row>
    <row r="133" spans="3:3">
      <c r="C133" s="44"/>
    </row>
    <row r="134" spans="3:3">
      <c r="C134" s="44"/>
    </row>
    <row r="135" spans="3:3">
      <c r="C135" s="44"/>
    </row>
    <row r="136" spans="3:3">
      <c r="C136" s="44"/>
    </row>
    <row r="137" spans="3:3">
      <c r="C137" s="44"/>
    </row>
    <row r="138" spans="3:3">
      <c r="C138" s="44"/>
    </row>
    <row r="139" spans="3:3">
      <c r="C139" s="44"/>
    </row>
    <row r="140" spans="3:3">
      <c r="C140" s="44"/>
    </row>
    <row r="141" spans="3:3">
      <c r="C141" s="44"/>
    </row>
    <row r="142" spans="3:3">
      <c r="C142" s="44"/>
    </row>
    <row r="143" spans="3:3">
      <c r="C143" s="44"/>
    </row>
    <row r="144" spans="3:3">
      <c r="C144" s="44"/>
    </row>
    <row r="145" spans="3:3">
      <c r="C145" s="44"/>
    </row>
    <row r="146" spans="3:3">
      <c r="C146" s="44"/>
    </row>
    <row r="147" spans="3:3">
      <c r="C147" s="44"/>
    </row>
    <row r="148" spans="3:3">
      <c r="C148" s="44"/>
    </row>
    <row r="149" spans="3:3">
      <c r="C149" s="44"/>
    </row>
    <row r="150" spans="3:3">
      <c r="C150" s="44"/>
    </row>
    <row r="151" spans="3:3">
      <c r="C151" s="44"/>
    </row>
    <row r="152" spans="3:3">
      <c r="C152" s="44"/>
    </row>
    <row r="153" spans="3:3">
      <c r="C153" s="44"/>
    </row>
    <row r="154" spans="3:3">
      <c r="C154" s="44"/>
    </row>
    <row r="155" spans="3:3">
      <c r="C155" s="44"/>
    </row>
    <row r="156" spans="3:3">
      <c r="C156" s="44"/>
    </row>
    <row r="157" spans="3:3">
      <c r="C157" s="44"/>
    </row>
    <row r="158" spans="3:3">
      <c r="C158" s="44"/>
    </row>
    <row r="159" spans="3:3">
      <c r="C159" s="44"/>
    </row>
    <row r="160" spans="3:3">
      <c r="C160" s="44"/>
    </row>
    <row r="161" spans="3:3">
      <c r="C161" s="44"/>
    </row>
    <row r="162" spans="3:3">
      <c r="C162" s="44"/>
    </row>
    <row r="163" spans="3:3">
      <c r="C163" s="44"/>
    </row>
    <row r="164" spans="3:3">
      <c r="C164" s="44"/>
    </row>
    <row r="165" spans="3:3">
      <c r="C165" s="44"/>
    </row>
    <row r="166" spans="3:3">
      <c r="C166" s="44"/>
    </row>
    <row r="167" spans="3:3">
      <c r="C167" s="44"/>
    </row>
    <row r="168" spans="3:3">
      <c r="C168" s="44"/>
    </row>
    <row r="169" spans="3:3">
      <c r="C169" s="44"/>
    </row>
    <row r="170" spans="3:3">
      <c r="C170" s="44"/>
    </row>
    <row r="171" spans="3:3">
      <c r="C171" s="44"/>
    </row>
    <row r="172" spans="3:3">
      <c r="C172" s="44"/>
    </row>
    <row r="173" spans="3:3">
      <c r="C173" s="44"/>
    </row>
    <row r="174" spans="3:3">
      <c r="C174" s="44"/>
    </row>
    <row r="175" spans="3:3">
      <c r="C175" s="44"/>
    </row>
    <row r="176" spans="3:3">
      <c r="C176" s="44"/>
    </row>
    <row r="177" spans="3:3">
      <c r="C177" s="44"/>
    </row>
    <row r="178" spans="3:3">
      <c r="C178" s="44"/>
    </row>
    <row r="179" spans="3:3">
      <c r="C179" s="44"/>
    </row>
    <row r="180" spans="3:3">
      <c r="C180" s="44"/>
    </row>
    <row r="181" spans="3:3">
      <c r="C181" s="44"/>
    </row>
    <row r="182" spans="3:3">
      <c r="C182" s="44"/>
    </row>
    <row r="183" spans="3:3">
      <c r="C183" s="44"/>
    </row>
    <row r="184" spans="3:3">
      <c r="C184" s="44"/>
    </row>
    <row r="185" spans="3:3">
      <c r="C185" s="44"/>
    </row>
    <row r="186" spans="3:3">
      <c r="C186" s="44"/>
    </row>
    <row r="187" spans="3:3">
      <c r="C187" s="44"/>
    </row>
    <row r="188" spans="3:3">
      <c r="C188" s="44"/>
    </row>
    <row r="189" spans="3:3">
      <c r="C189" s="44"/>
    </row>
    <row r="190" spans="3:3">
      <c r="C190" s="44"/>
    </row>
    <row r="191" spans="3:3">
      <c r="C191" s="44"/>
    </row>
    <row r="192" spans="3:3">
      <c r="C192" s="44"/>
    </row>
    <row r="193" spans="3:3">
      <c r="C193" s="44"/>
    </row>
    <row r="194" spans="3:3">
      <c r="C194" s="44"/>
    </row>
    <row r="195" spans="3:3">
      <c r="C195" s="44"/>
    </row>
    <row r="196" spans="3:3">
      <c r="C196" s="44"/>
    </row>
    <row r="197" spans="3:3">
      <c r="C197" s="44"/>
    </row>
    <row r="198" spans="3:3">
      <c r="C198" s="44"/>
    </row>
    <row r="199" spans="3:3">
      <c r="C199" s="44"/>
    </row>
    <row r="200" spans="3:3">
      <c r="C200" s="44"/>
    </row>
    <row r="201" spans="3:3">
      <c r="C201" s="44"/>
    </row>
    <row r="202" spans="3:3">
      <c r="C202" s="44"/>
    </row>
    <row r="203" spans="3:3">
      <c r="C203" s="44"/>
    </row>
    <row r="204" spans="3:3">
      <c r="C204" s="44"/>
    </row>
    <row r="205" spans="3:3">
      <c r="C205" s="44"/>
    </row>
    <row r="206" spans="3:3">
      <c r="C206" s="44"/>
    </row>
    <row r="207" spans="3:3">
      <c r="C207" s="44"/>
    </row>
    <row r="208" spans="3:3">
      <c r="C208" s="44"/>
    </row>
    <row r="209" spans="3:3">
      <c r="C209" s="44"/>
    </row>
    <row r="210" spans="3:3">
      <c r="C210" s="44"/>
    </row>
    <row r="211" spans="3:3">
      <c r="C211" s="44"/>
    </row>
    <row r="212" spans="3:3">
      <c r="C212" s="44"/>
    </row>
    <row r="213" spans="3:3">
      <c r="C213" s="44"/>
    </row>
    <row r="214" spans="3:3">
      <c r="C214" s="44"/>
    </row>
    <row r="215" spans="3:3">
      <c r="C215" s="44"/>
    </row>
    <row r="216" spans="3:3">
      <c r="C216" s="44"/>
    </row>
    <row r="217" spans="3:3">
      <c r="C217" s="44"/>
    </row>
    <row r="218" spans="3:3">
      <c r="C218" s="44"/>
    </row>
    <row r="219" spans="3:3">
      <c r="C219" s="44"/>
    </row>
    <row r="220" spans="3:3">
      <c r="C220" s="44"/>
    </row>
    <row r="221" spans="3:3">
      <c r="C221" s="44"/>
    </row>
    <row r="222" spans="3:3">
      <c r="C222" s="44"/>
    </row>
    <row r="223" spans="3:3">
      <c r="C223" s="44"/>
    </row>
    <row r="224" spans="3:3">
      <c r="C224" s="44"/>
    </row>
    <row r="225" spans="3:3">
      <c r="C225" s="44"/>
    </row>
    <row r="226" spans="3:3">
      <c r="C226" s="44"/>
    </row>
    <row r="227" spans="3:3">
      <c r="C227" s="44"/>
    </row>
    <row r="228" spans="3:3">
      <c r="C228" s="44"/>
    </row>
    <row r="229" spans="3:3">
      <c r="C229" s="44"/>
    </row>
    <row r="230" spans="3:3">
      <c r="C230" s="44"/>
    </row>
    <row r="231" spans="3:3">
      <c r="C231" s="44"/>
    </row>
    <row r="232" spans="3:3">
      <c r="C232" s="44"/>
    </row>
    <row r="233" spans="3:3">
      <c r="C233" s="44"/>
    </row>
    <row r="234" spans="3:3">
      <c r="C234" s="44"/>
    </row>
    <row r="235" spans="3:3">
      <c r="C235" s="44"/>
    </row>
    <row r="236" spans="3:3">
      <c r="C236" s="44"/>
    </row>
    <row r="237" spans="3:3">
      <c r="C237" s="44"/>
    </row>
    <row r="238" spans="3:3">
      <c r="C238" s="44"/>
    </row>
    <row r="239" spans="3:3">
      <c r="C239" s="44"/>
    </row>
    <row r="240" spans="3:3">
      <c r="C240" s="44"/>
    </row>
    <row r="241" spans="3:3">
      <c r="C241" s="44"/>
    </row>
    <row r="242" spans="3:3">
      <c r="C242" s="44"/>
    </row>
    <row r="243" spans="3:3">
      <c r="C243" s="44"/>
    </row>
    <row r="244" spans="3:3">
      <c r="C244" s="44"/>
    </row>
    <row r="245" spans="3:3">
      <c r="C245" s="44"/>
    </row>
    <row r="246" spans="3:3">
      <c r="C246" s="44"/>
    </row>
    <row r="247" spans="3:3">
      <c r="C247" s="44"/>
    </row>
    <row r="248" spans="3:3">
      <c r="C248" s="44"/>
    </row>
    <row r="249" spans="3:3">
      <c r="C249" s="44"/>
    </row>
    <row r="250" spans="3:3">
      <c r="C250" s="44"/>
    </row>
    <row r="251" spans="3:3">
      <c r="C251" s="44"/>
    </row>
    <row r="252" spans="3:3">
      <c r="C252" s="44"/>
    </row>
    <row r="253" spans="3:3">
      <c r="C253" s="44"/>
    </row>
    <row r="254" spans="3:3">
      <c r="C254" s="44"/>
    </row>
    <row r="255" spans="3:3">
      <c r="C255" s="44"/>
    </row>
    <row r="256" spans="3:3">
      <c r="C256" s="44"/>
    </row>
    <row r="257" spans="3:3">
      <c r="C257" s="44"/>
    </row>
    <row r="258" spans="3:3">
      <c r="C258" s="44"/>
    </row>
    <row r="259" spans="3:3">
      <c r="C259" s="44"/>
    </row>
    <row r="260" spans="3:3">
      <c r="C260" s="44"/>
    </row>
    <row r="261" spans="3:3">
      <c r="C261" s="44"/>
    </row>
    <row r="262" spans="3:3">
      <c r="C262" s="44"/>
    </row>
    <row r="263" spans="3:3">
      <c r="C263" s="44"/>
    </row>
    <row r="264" spans="3:3">
      <c r="C264" s="44"/>
    </row>
    <row r="265" spans="3:3">
      <c r="C265" s="44"/>
    </row>
    <row r="266" spans="3:3">
      <c r="C266" s="44"/>
    </row>
    <row r="267" spans="3:3">
      <c r="C267" s="44"/>
    </row>
    <row r="268" spans="3:3">
      <c r="C268" s="44"/>
    </row>
    <row r="269" spans="3:3">
      <c r="C269" s="44"/>
    </row>
    <row r="270" spans="3:3">
      <c r="C270" s="44"/>
    </row>
    <row r="271" spans="3:3">
      <c r="C271" s="44"/>
    </row>
    <row r="272" spans="3:3">
      <c r="C272" s="44"/>
    </row>
    <row r="273" spans="3:3">
      <c r="C273" s="44"/>
    </row>
    <row r="274" spans="3:3">
      <c r="C274" s="44"/>
    </row>
    <row r="275" spans="3:3">
      <c r="C275" s="44"/>
    </row>
    <row r="276" spans="3:3">
      <c r="C276" s="44"/>
    </row>
    <row r="277" spans="3:3">
      <c r="C277" s="44"/>
    </row>
    <row r="278" spans="3:3">
      <c r="C278" s="44"/>
    </row>
    <row r="279" spans="3:3">
      <c r="C279" s="44"/>
    </row>
    <row r="280" spans="3:3">
      <c r="C280" s="44"/>
    </row>
    <row r="281" spans="3:3">
      <c r="C281" s="44"/>
    </row>
    <row r="282" spans="3:3">
      <c r="C282" s="44"/>
    </row>
    <row r="283" spans="3:3">
      <c r="C283" s="44"/>
    </row>
    <row r="284" spans="3:3">
      <c r="C284" s="44"/>
    </row>
    <row r="285" spans="3:3">
      <c r="C285" s="44"/>
    </row>
    <row r="286" spans="3:3">
      <c r="C286" s="44"/>
    </row>
    <row r="287" spans="3:3">
      <c r="C287" s="44"/>
    </row>
    <row r="288" spans="3:3">
      <c r="C288" s="44"/>
    </row>
    <row r="289" spans="3:3">
      <c r="C289" s="44"/>
    </row>
    <row r="290" spans="3:3">
      <c r="C290" s="44"/>
    </row>
    <row r="291" spans="3:3">
      <c r="C291" s="44"/>
    </row>
    <row r="292" spans="3:3">
      <c r="C292" s="44"/>
    </row>
    <row r="293" spans="3:3">
      <c r="C293" s="44"/>
    </row>
    <row r="294" spans="3:3">
      <c r="C294" s="44"/>
    </row>
    <row r="295" spans="3:3">
      <c r="C295" s="44"/>
    </row>
    <row r="296" spans="3:3">
      <c r="C296" s="44"/>
    </row>
    <row r="297" spans="3:3">
      <c r="C297" s="44"/>
    </row>
    <row r="298" spans="3:3">
      <c r="C298" s="44"/>
    </row>
    <row r="299" spans="3:3">
      <c r="C299" s="44"/>
    </row>
    <row r="300" spans="3:3">
      <c r="C300" s="44"/>
    </row>
    <row r="301" spans="3:3">
      <c r="C301" s="44"/>
    </row>
    <row r="302" spans="3:3">
      <c r="C302" s="44"/>
    </row>
    <row r="303" spans="3:3">
      <c r="C303" s="44"/>
    </row>
    <row r="304" spans="3:3">
      <c r="C304" s="44"/>
    </row>
    <row r="305" spans="3:3">
      <c r="C305" s="44"/>
    </row>
    <row r="306" spans="3:3">
      <c r="C306" s="44"/>
    </row>
    <row r="307" spans="3:3">
      <c r="C307" s="44"/>
    </row>
    <row r="308" spans="3:3">
      <c r="C308" s="44"/>
    </row>
    <row r="309" spans="3:3">
      <c r="C309" s="44"/>
    </row>
    <row r="310" spans="3:3">
      <c r="C310" s="44"/>
    </row>
    <row r="311" spans="3:3">
      <c r="C311" s="44"/>
    </row>
    <row r="312" spans="3:3">
      <c r="C312" s="44"/>
    </row>
    <row r="313" spans="3:3">
      <c r="C313" s="44"/>
    </row>
    <row r="314" spans="3:3">
      <c r="C314" s="44"/>
    </row>
    <row r="315" spans="3:3">
      <c r="C315" s="44"/>
    </row>
    <row r="316" spans="3:3">
      <c r="C316" s="44"/>
    </row>
    <row r="317" spans="3:3">
      <c r="C317" s="44"/>
    </row>
    <row r="318" spans="3:3">
      <c r="C318" s="44"/>
    </row>
    <row r="319" spans="3:3">
      <c r="C319" s="44"/>
    </row>
    <row r="320" spans="3:3">
      <c r="C320" s="44"/>
    </row>
    <row r="321" spans="3:3">
      <c r="C321" s="44"/>
    </row>
    <row r="322" spans="3:3">
      <c r="C322" s="44"/>
    </row>
    <row r="323" spans="3:3">
      <c r="C323" s="44"/>
    </row>
    <row r="324" spans="3:3">
      <c r="C324" s="44"/>
    </row>
    <row r="325" spans="3:3">
      <c r="C325" s="44"/>
    </row>
    <row r="326" spans="3:3">
      <c r="C326" s="44"/>
    </row>
    <row r="327" spans="3:3">
      <c r="C327" s="44"/>
    </row>
    <row r="328" spans="3:3">
      <c r="C328" s="44"/>
    </row>
    <row r="329" spans="3:3">
      <c r="C329" s="44"/>
    </row>
    <row r="330" spans="3:3">
      <c r="C330" s="44"/>
    </row>
    <row r="331" spans="3:3">
      <c r="C331" s="44"/>
    </row>
    <row r="332" spans="3:3">
      <c r="C332" s="44"/>
    </row>
    <row r="333" spans="3:3">
      <c r="C333" s="44"/>
    </row>
    <row r="334" spans="3:3">
      <c r="C334" s="44"/>
    </row>
    <row r="335" spans="3:3">
      <c r="C335" s="44"/>
    </row>
    <row r="336" spans="3:3">
      <c r="C336" s="44"/>
    </row>
    <row r="337" spans="3:3">
      <c r="C337" s="44"/>
    </row>
    <row r="338" spans="3:3">
      <c r="C338" s="44"/>
    </row>
    <row r="339" spans="3:3">
      <c r="C339" s="44"/>
    </row>
    <row r="340" spans="3:3">
      <c r="C340" s="44"/>
    </row>
    <row r="341" spans="3:3">
      <c r="C341" s="44"/>
    </row>
    <row r="342" spans="3:3">
      <c r="C342" s="44"/>
    </row>
    <row r="343" spans="3:3">
      <c r="C343" s="44"/>
    </row>
    <row r="344" spans="3:3">
      <c r="C344" s="44"/>
    </row>
    <row r="345" spans="3:3">
      <c r="C345" s="44"/>
    </row>
    <row r="346" spans="3:3">
      <c r="C346" s="44"/>
    </row>
    <row r="347" spans="3:3">
      <c r="C347" s="44"/>
    </row>
    <row r="348" spans="3:3">
      <c r="C348" s="44"/>
    </row>
    <row r="349" spans="3:3">
      <c r="C349" s="44"/>
    </row>
    <row r="350" spans="3:3">
      <c r="C350" s="44"/>
    </row>
    <row r="351" spans="3:3">
      <c r="C351" s="44"/>
    </row>
    <row r="352" spans="3:3">
      <c r="C352" s="44"/>
    </row>
    <row r="353" spans="3:3">
      <c r="C353" s="44"/>
    </row>
    <row r="354" spans="3:3">
      <c r="C354" s="44"/>
    </row>
    <row r="355" spans="3:3">
      <c r="C355" s="44"/>
    </row>
    <row r="356" spans="3:3">
      <c r="C356" s="44"/>
    </row>
    <row r="357" spans="3:3">
      <c r="C357" s="44"/>
    </row>
    <row r="358" spans="3:3">
      <c r="C358" s="44"/>
    </row>
    <row r="359" spans="3:3">
      <c r="C359" s="44"/>
    </row>
    <row r="360" spans="3:3">
      <c r="C360" s="44"/>
    </row>
    <row r="361" spans="3:3">
      <c r="C361" s="44"/>
    </row>
    <row r="362" spans="3:3">
      <c r="C362" s="44"/>
    </row>
    <row r="363" spans="3:3">
      <c r="C363" s="44"/>
    </row>
    <row r="364" spans="3:3">
      <c r="C364" s="44"/>
    </row>
    <row r="365" spans="3:3">
      <c r="C365" s="44"/>
    </row>
    <row r="366" spans="3:3">
      <c r="C366" s="44"/>
    </row>
    <row r="367" spans="3:3">
      <c r="C367" s="44"/>
    </row>
    <row r="368" spans="3:3">
      <c r="C368" s="44"/>
    </row>
    <row r="369" spans="3:3">
      <c r="C369" s="44"/>
    </row>
    <row r="370" spans="3:3">
      <c r="C370" s="44"/>
    </row>
    <row r="371" spans="3:3">
      <c r="C371" s="44"/>
    </row>
    <row r="372" spans="3:3">
      <c r="C372" s="44"/>
    </row>
    <row r="373" spans="3:3">
      <c r="C373" s="44"/>
    </row>
    <row r="374" spans="3:3">
      <c r="C374" s="44"/>
    </row>
    <row r="375" spans="3:3">
      <c r="C375" s="44"/>
    </row>
    <row r="376" spans="3:3">
      <c r="C376" s="44"/>
    </row>
    <row r="377" spans="3:3">
      <c r="C377" s="44"/>
    </row>
    <row r="378" spans="3:3">
      <c r="C378" s="44"/>
    </row>
    <row r="379" spans="3:3">
      <c r="C379" s="44"/>
    </row>
    <row r="380" spans="3:3">
      <c r="C380" s="44"/>
    </row>
    <row r="381" spans="3:3">
      <c r="C381" s="44"/>
    </row>
    <row r="382" spans="3:3">
      <c r="C382" s="44"/>
    </row>
    <row r="383" spans="3:3">
      <c r="C383" s="44"/>
    </row>
    <row r="384" spans="3:3">
      <c r="C384" s="44"/>
    </row>
    <row r="385" spans="3:3">
      <c r="C385" s="44"/>
    </row>
    <row r="386" spans="3:3">
      <c r="C386" s="44"/>
    </row>
    <row r="387" spans="3:3">
      <c r="C387" s="44"/>
    </row>
    <row r="388" spans="3:3">
      <c r="C388" s="44"/>
    </row>
    <row r="389" spans="3:3">
      <c r="C389" s="44"/>
    </row>
    <row r="390" spans="3:3">
      <c r="C390" s="44"/>
    </row>
    <row r="391" spans="3:3">
      <c r="C391" s="44"/>
    </row>
    <row r="392" spans="3:3">
      <c r="C392" s="44"/>
    </row>
    <row r="393" spans="3:3">
      <c r="C393" s="44"/>
    </row>
    <row r="394" spans="3:3">
      <c r="C394" s="44"/>
    </row>
    <row r="395" spans="3:3">
      <c r="C395" s="44"/>
    </row>
    <row r="396" spans="3:3">
      <c r="C396" s="44"/>
    </row>
    <row r="397" spans="3:3">
      <c r="C397" s="44"/>
    </row>
    <row r="398" spans="3:3">
      <c r="C398" s="44"/>
    </row>
    <row r="399" spans="3:3">
      <c r="C399" s="44"/>
    </row>
    <row r="400" spans="3:3">
      <c r="C400" s="44"/>
    </row>
    <row r="401" spans="3:3">
      <c r="C401" s="44"/>
    </row>
    <row r="402" spans="3:3">
      <c r="C402" s="44"/>
    </row>
    <row r="403" spans="3:3">
      <c r="C403" s="44"/>
    </row>
    <row r="404" spans="3:3">
      <c r="C404" s="44"/>
    </row>
    <row r="405" spans="3:3">
      <c r="C405" s="44"/>
    </row>
    <row r="406" spans="3:3">
      <c r="C406" s="44"/>
    </row>
    <row r="407" spans="3:3">
      <c r="C407" s="44"/>
    </row>
    <row r="408" spans="3:3">
      <c r="C408" s="44"/>
    </row>
    <row r="409" spans="3:3">
      <c r="C409" s="44"/>
    </row>
    <row r="410" spans="3:3">
      <c r="C410" s="44"/>
    </row>
    <row r="411" spans="3:3">
      <c r="C411" s="44"/>
    </row>
    <row r="412" spans="3:3">
      <c r="C412" s="44"/>
    </row>
    <row r="413" spans="3:3">
      <c r="C413" s="44"/>
    </row>
    <row r="414" spans="3:3">
      <c r="C414" s="44"/>
    </row>
    <row r="415" spans="3:3">
      <c r="C415" s="44"/>
    </row>
    <row r="416" spans="3:3">
      <c r="C416" s="44"/>
    </row>
    <row r="417" spans="3:3">
      <c r="C417" s="44"/>
    </row>
    <row r="418" spans="3:3">
      <c r="C418" s="44"/>
    </row>
    <row r="419" spans="3:3">
      <c r="C419" s="44"/>
    </row>
    <row r="420" spans="3:3">
      <c r="C420" s="44"/>
    </row>
    <row r="421" spans="3:3">
      <c r="C421" s="44"/>
    </row>
    <row r="422" spans="3:3">
      <c r="C422" s="44"/>
    </row>
    <row r="423" spans="3:3">
      <c r="C423" s="44"/>
    </row>
    <row r="424" spans="3:3">
      <c r="C424" s="44"/>
    </row>
    <row r="425" spans="3:3">
      <c r="C425" s="44"/>
    </row>
    <row r="426" spans="3:3">
      <c r="C426" s="44"/>
    </row>
    <row r="427" spans="3:3">
      <c r="C427" s="44"/>
    </row>
    <row r="428" spans="3:3">
      <c r="C428" s="44"/>
    </row>
    <row r="429" spans="3:3">
      <c r="C429" s="44"/>
    </row>
    <row r="430" spans="3:3">
      <c r="C430" s="44"/>
    </row>
    <row r="431" spans="3:3">
      <c r="C431" s="44"/>
    </row>
    <row r="432" spans="3:3">
      <c r="C432" s="44"/>
    </row>
    <row r="433" spans="3:3">
      <c r="C433" s="44"/>
    </row>
    <row r="434" spans="3:3">
      <c r="C434" s="44"/>
    </row>
    <row r="435" spans="3:3">
      <c r="C435" s="44"/>
    </row>
    <row r="436" spans="3:3">
      <c r="C436" s="44"/>
    </row>
    <row r="437" spans="3:3">
      <c r="C437" s="44"/>
    </row>
    <row r="438" spans="3:3">
      <c r="C438" s="44"/>
    </row>
    <row r="439" spans="3:3">
      <c r="C439" s="44"/>
    </row>
    <row r="440" spans="3:3">
      <c r="C440" s="44"/>
    </row>
    <row r="441" spans="3:3">
      <c r="C441" s="44"/>
    </row>
    <row r="442" spans="3:3">
      <c r="C442" s="44"/>
    </row>
    <row r="443" spans="3:3">
      <c r="C443" s="44"/>
    </row>
    <row r="444" spans="3:3">
      <c r="C444" s="44"/>
    </row>
    <row r="445" spans="3:3">
      <c r="C445" s="44"/>
    </row>
    <row r="446" spans="3:3">
      <c r="C446" s="44"/>
    </row>
    <row r="447" spans="3:3">
      <c r="C447" s="44"/>
    </row>
    <row r="448" spans="3:3">
      <c r="C448" s="44"/>
    </row>
    <row r="449" spans="3:3">
      <c r="C449" s="44"/>
    </row>
    <row r="450" spans="3:3">
      <c r="C450" s="44"/>
    </row>
    <row r="451" spans="3:3">
      <c r="C451" s="44"/>
    </row>
    <row r="452" spans="3:3">
      <c r="C452" s="44"/>
    </row>
    <row r="453" spans="3:3">
      <c r="C453" s="44"/>
    </row>
    <row r="454" spans="3:3">
      <c r="C454" s="44"/>
    </row>
    <row r="455" spans="3:3">
      <c r="C455" s="44"/>
    </row>
    <row r="456" spans="3:3">
      <c r="C456" s="44"/>
    </row>
    <row r="457" spans="3:3">
      <c r="C457" s="44"/>
    </row>
    <row r="458" spans="3:3">
      <c r="C458" s="44"/>
    </row>
    <row r="459" spans="3:3">
      <c r="C459" s="44"/>
    </row>
    <row r="460" spans="3:3">
      <c r="C460" s="44"/>
    </row>
    <row r="461" spans="3:3">
      <c r="C461" s="44"/>
    </row>
    <row r="462" spans="3:3">
      <c r="C462" s="44"/>
    </row>
    <row r="463" spans="3:3">
      <c r="C463" s="44"/>
    </row>
    <row r="464" spans="3:3">
      <c r="C464" s="44"/>
    </row>
    <row r="465" spans="3:3">
      <c r="C465" s="44"/>
    </row>
    <row r="466" spans="3:3">
      <c r="C466" s="44"/>
    </row>
    <row r="467" spans="3:3">
      <c r="C467" s="44"/>
    </row>
    <row r="468" spans="3:3">
      <c r="C468" s="44"/>
    </row>
    <row r="469" spans="3:3">
      <c r="C469" s="44"/>
    </row>
    <row r="470" spans="3:3">
      <c r="C470" s="44"/>
    </row>
    <row r="471" spans="3:3">
      <c r="C471" s="44"/>
    </row>
    <row r="472" spans="3:3">
      <c r="C472" s="44"/>
    </row>
    <row r="473" spans="3:3">
      <c r="C473" s="44"/>
    </row>
    <row r="474" spans="3:3">
      <c r="C474" s="44"/>
    </row>
    <row r="475" spans="3:3">
      <c r="C475" s="44"/>
    </row>
    <row r="476" spans="3:3">
      <c r="C476" s="44"/>
    </row>
    <row r="477" spans="3:3">
      <c r="C477" s="44"/>
    </row>
    <row r="478" spans="3:3">
      <c r="C478" s="44"/>
    </row>
    <row r="479" spans="3:3">
      <c r="C479" s="44"/>
    </row>
    <row r="480" spans="3:3">
      <c r="C480" s="44"/>
    </row>
    <row r="481" spans="3:3">
      <c r="C481" s="44"/>
    </row>
    <row r="482" spans="3:3">
      <c r="C482" s="44"/>
    </row>
    <row r="483" spans="3:3">
      <c r="C483" s="44"/>
    </row>
    <row r="484" spans="3:3">
      <c r="C484" s="44"/>
    </row>
    <row r="485" spans="3:3">
      <c r="C485" s="44"/>
    </row>
    <row r="486" spans="3:3">
      <c r="C486" s="44"/>
    </row>
    <row r="487" spans="3:3">
      <c r="C487" s="44"/>
    </row>
    <row r="488" spans="3:3">
      <c r="C488" s="44"/>
    </row>
    <row r="489" spans="3:3">
      <c r="C489" s="44"/>
    </row>
    <row r="490" spans="3:3">
      <c r="C490" s="44"/>
    </row>
    <row r="491" spans="3:3">
      <c r="C491" s="44"/>
    </row>
    <row r="492" spans="3:3">
      <c r="C492" s="44"/>
    </row>
    <row r="493" spans="3:3">
      <c r="C493" s="44"/>
    </row>
    <row r="494" spans="3:3">
      <c r="C494" s="44"/>
    </row>
    <row r="495" spans="3:3">
      <c r="C495" s="44"/>
    </row>
    <row r="496" spans="3:3">
      <c r="C496" s="44"/>
    </row>
    <row r="497" spans="3:3">
      <c r="C497" s="44"/>
    </row>
    <row r="498" spans="3:3">
      <c r="C498" s="44"/>
    </row>
    <row r="499" spans="3:3">
      <c r="C499" s="44"/>
    </row>
    <row r="500" spans="3:3">
      <c r="C500" s="44"/>
    </row>
    <row r="501" spans="3:3">
      <c r="C501" s="44"/>
    </row>
    <row r="502" spans="3:3">
      <c r="C502" s="44"/>
    </row>
    <row r="503" spans="3:3">
      <c r="C503" s="44"/>
    </row>
    <row r="504" spans="3:3">
      <c r="C504" s="44"/>
    </row>
    <row r="505" spans="3:3">
      <c r="C505" s="44"/>
    </row>
    <row r="506" spans="3:3">
      <c r="C506" s="44"/>
    </row>
    <row r="507" spans="3:3">
      <c r="C507" s="44"/>
    </row>
    <row r="508" spans="3:3">
      <c r="C508" s="44"/>
    </row>
    <row r="509" spans="3:3">
      <c r="C509" s="44"/>
    </row>
    <row r="510" spans="3:3">
      <c r="C510" s="44"/>
    </row>
    <row r="511" spans="3:3">
      <c r="C511" s="44"/>
    </row>
    <row r="512" spans="3:3">
      <c r="C512" s="44"/>
    </row>
    <row r="513" spans="3:3">
      <c r="C513" s="44"/>
    </row>
    <row r="514" spans="3:3">
      <c r="C514" s="44"/>
    </row>
    <row r="515" spans="3:3">
      <c r="C515" s="44"/>
    </row>
    <row r="516" spans="3:3">
      <c r="C516" s="44"/>
    </row>
    <row r="517" spans="3:3">
      <c r="C517" s="44"/>
    </row>
    <row r="518" spans="3:3">
      <c r="C518" s="44"/>
    </row>
    <row r="519" spans="3:3">
      <c r="C519" s="44"/>
    </row>
    <row r="520" spans="3:3">
      <c r="C520" s="44"/>
    </row>
    <row r="521" spans="3:3">
      <c r="C521" s="44"/>
    </row>
    <row r="522" spans="3:3">
      <c r="C522" s="44"/>
    </row>
    <row r="523" spans="3:3">
      <c r="C523" s="44"/>
    </row>
    <row r="524" spans="3:3">
      <c r="C524" s="44"/>
    </row>
    <row r="525" spans="3:3">
      <c r="C525" s="44"/>
    </row>
    <row r="526" spans="3:3">
      <c r="C526" s="44"/>
    </row>
    <row r="527" spans="3:3">
      <c r="C527" s="44"/>
    </row>
    <row r="528" spans="3:3">
      <c r="C528" s="44"/>
    </row>
    <row r="529" spans="3:3">
      <c r="C529" s="44"/>
    </row>
    <row r="530" spans="3:3">
      <c r="C530" s="44"/>
    </row>
    <row r="531" spans="3:3">
      <c r="C531" s="44"/>
    </row>
    <row r="532" spans="3:3">
      <c r="C532" s="44"/>
    </row>
    <row r="533" spans="3:3">
      <c r="C533" s="44"/>
    </row>
    <row r="534" spans="3:3">
      <c r="C534" s="44"/>
    </row>
    <row r="535" spans="3:3">
      <c r="C535" s="44"/>
    </row>
    <row r="536" spans="3:3">
      <c r="C536" s="44"/>
    </row>
    <row r="537" spans="3:3">
      <c r="C537" s="44"/>
    </row>
    <row r="538" spans="3:3">
      <c r="C538" s="44"/>
    </row>
    <row r="539" spans="3:3">
      <c r="C539" s="44"/>
    </row>
    <row r="540" spans="3:3">
      <c r="C540" s="44"/>
    </row>
    <row r="541" spans="3:3">
      <c r="C541" s="44"/>
    </row>
    <row r="542" spans="3:3">
      <c r="C542" s="44"/>
    </row>
    <row r="543" spans="3:3">
      <c r="C543" s="44"/>
    </row>
    <row r="544" spans="3:3">
      <c r="C544" s="44"/>
    </row>
    <row r="545" spans="3:3">
      <c r="C545" s="44"/>
    </row>
    <row r="546" spans="3:3">
      <c r="C546" s="44"/>
    </row>
    <row r="547" spans="3:3">
      <c r="C547" s="44"/>
    </row>
    <row r="548" spans="3:3">
      <c r="C548" s="44"/>
    </row>
    <row r="549" spans="3:3">
      <c r="C549" s="44"/>
    </row>
    <row r="550" spans="3:3">
      <c r="C550" s="44"/>
    </row>
    <row r="551" spans="3:3">
      <c r="C551" s="44"/>
    </row>
    <row r="552" spans="3:3">
      <c r="C552" s="44"/>
    </row>
    <row r="553" spans="3:3">
      <c r="C553" s="44"/>
    </row>
    <row r="554" spans="3:3">
      <c r="C554" s="44"/>
    </row>
    <row r="555" spans="3:3">
      <c r="C555" s="44"/>
    </row>
    <row r="556" spans="3:3">
      <c r="C556" s="44"/>
    </row>
    <row r="557" spans="3:3">
      <c r="C557" s="44"/>
    </row>
    <row r="558" spans="3:3">
      <c r="C558" s="44"/>
    </row>
    <row r="559" spans="3:3">
      <c r="C559" s="44"/>
    </row>
    <row r="560" spans="3:3">
      <c r="C560" s="44"/>
    </row>
    <row r="561" spans="3:3">
      <c r="C561" s="44"/>
    </row>
    <row r="562" spans="3:3">
      <c r="C562" s="44"/>
    </row>
    <row r="563" spans="3:3">
      <c r="C563" s="44"/>
    </row>
    <row r="564" spans="3:3">
      <c r="C564" s="44"/>
    </row>
    <row r="565" spans="3:3">
      <c r="C565" s="44"/>
    </row>
    <row r="566" spans="3:3">
      <c r="C566" s="44"/>
    </row>
    <row r="567" spans="3:3">
      <c r="C567" s="44"/>
    </row>
    <row r="568" spans="3:3">
      <c r="C568" s="44"/>
    </row>
    <row r="569" spans="3:3">
      <c r="C569" s="44"/>
    </row>
    <row r="570" spans="3:3">
      <c r="C570" s="44"/>
    </row>
    <row r="571" spans="3:3">
      <c r="C571" s="44"/>
    </row>
    <row r="572" spans="3:3">
      <c r="C572" s="44"/>
    </row>
    <row r="573" spans="3:3">
      <c r="C573" s="44"/>
    </row>
    <row r="574" spans="3:3">
      <c r="C574" s="44"/>
    </row>
    <row r="575" spans="3:3">
      <c r="C575" s="44"/>
    </row>
    <row r="576" spans="3:3">
      <c r="C576" s="44"/>
    </row>
    <row r="577" spans="3:3">
      <c r="C577" s="44"/>
    </row>
    <row r="578" spans="3:3">
      <c r="C578" s="44"/>
    </row>
    <row r="579" spans="3:3">
      <c r="C579" s="44"/>
    </row>
    <row r="580" spans="3:3">
      <c r="C580" s="44"/>
    </row>
    <row r="581" spans="3:3">
      <c r="C581" s="44"/>
    </row>
    <row r="582" spans="3:3">
      <c r="C582" s="44"/>
    </row>
    <row r="583" spans="3:3">
      <c r="C583" s="44"/>
    </row>
    <row r="584" spans="3:3">
      <c r="C584" s="44"/>
    </row>
    <row r="585" spans="3:3">
      <c r="C585" s="44"/>
    </row>
    <row r="586" spans="3:3">
      <c r="C586" s="44"/>
    </row>
    <row r="587" spans="3:3">
      <c r="C587" s="44"/>
    </row>
    <row r="588" spans="3:3">
      <c r="C588" s="44"/>
    </row>
    <row r="589" spans="3:3">
      <c r="C589" s="44"/>
    </row>
    <row r="590" spans="3:3">
      <c r="C590" s="44"/>
    </row>
    <row r="591" spans="3:3">
      <c r="C591" s="44"/>
    </row>
    <row r="592" spans="3:3">
      <c r="C592" s="44"/>
    </row>
    <row r="593" spans="3:3">
      <c r="C593" s="44"/>
    </row>
    <row r="594" spans="3:3">
      <c r="C594" s="44"/>
    </row>
    <row r="595" spans="3:3">
      <c r="C595" s="44"/>
    </row>
    <row r="596" spans="3:3">
      <c r="C596" s="44"/>
    </row>
    <row r="597" spans="3:3">
      <c r="C597" s="44"/>
    </row>
    <row r="598" spans="3:3">
      <c r="C598" s="44"/>
    </row>
    <row r="599" spans="3:3">
      <c r="C599" s="44"/>
    </row>
    <row r="600" spans="3:3">
      <c r="C600" s="44"/>
    </row>
    <row r="601" spans="3:3">
      <c r="C601" s="44"/>
    </row>
    <row r="602" spans="3:3">
      <c r="C602" s="44"/>
    </row>
    <row r="603" spans="3:3">
      <c r="C603" s="44"/>
    </row>
    <row r="604" spans="3:3">
      <c r="C604" s="44"/>
    </row>
    <row r="605" spans="3:3">
      <c r="C605" s="44"/>
    </row>
    <row r="606" spans="3:3">
      <c r="C606" s="44"/>
    </row>
  </sheetData>
  <sheetProtection password="E9BA" sheet="1" objects="1" scenarios="1"/>
  <customSheetViews>
    <customSheetView guid="{838FC631-5CD8-4B5F-94A9-B347B44DBECA}">
      <selection activeCell="D3" sqref="D3:E3"/>
      <pageMargins left="0.78740157499999996" right="0.78740157499999996" top="0.984251969" bottom="0.984251969" header="0.49212598499999999" footer="0.49212598499999999"/>
      <pageSetup paperSize="9" orientation="portrait" horizontalDpi="300" verticalDpi="300" r:id="rId1"/>
      <headerFooter alignWithMargins="0"/>
    </customSheetView>
    <customSheetView guid="{F34DE23E-C2FC-4B4A-B395-2ECC4B257D7F}" showRuler="0">
      <selection activeCell="E2" sqref="E2"/>
      <pageMargins left="0.78740157499999996" right="0.78740157499999996" top="0.984251969" bottom="0.984251969" header="0.49212598499999999" footer="0.49212598499999999"/>
      <pageSetup paperSize="9" orientation="portrait" horizontalDpi="300" verticalDpi="300" r:id="rId2"/>
      <headerFooter alignWithMargins="0"/>
    </customSheetView>
    <customSheetView guid="{1EA129D6-B7D5-44D1-A42D-8520A40A3C99}" showRuler="0">
      <selection activeCell="D3" sqref="D3:E3"/>
      <pageMargins left="0.78740157499999996" right="0.78740157499999996" top="0.984251969" bottom="0.984251969" header="0.49212598499999999" footer="0.49212598499999999"/>
      <pageSetup paperSize="9" orientation="portrait" horizontalDpi="300" verticalDpi="300" r:id="rId3"/>
      <headerFooter alignWithMargins="0"/>
    </customSheetView>
    <customSheetView guid="{A55C2A1B-A1E2-4A91-8110-4C7E057410B0}" showRuler="0">
      <selection activeCell="D3" sqref="D3:E3"/>
      <pageMargins left="0.78740157499999996" right="0.78740157499999996" top="0.984251969" bottom="0.984251969" header="0.49212598499999999" footer="0.49212598499999999"/>
      <pageSetup paperSize="9" orientation="portrait" horizontalDpi="300" verticalDpi="300" r:id="rId4"/>
      <headerFooter alignWithMargins="0"/>
    </customSheetView>
    <customSheetView guid="{607D0388-2BEA-426E-8D98-5720E54B1F73}" showRuler="0">
      <selection activeCell="D3" sqref="D3:E3"/>
      <pageMargins left="0.78740157499999996" right="0.78740157499999996" top="0.984251969" bottom="0.984251969" header="0.49212598499999999" footer="0.49212598499999999"/>
      <pageSetup paperSize="9" orientation="portrait" horizontalDpi="300" verticalDpi="300" r:id="rId5"/>
      <headerFooter alignWithMargins="0"/>
    </customSheetView>
    <customSheetView guid="{5FA3A750-9528-4A4E-A380-E03425E78E71}" showRuler="0">
      <selection activeCell="F6" sqref="F6"/>
      <pageMargins left="0.78740157499999996" right="0.78740157499999996" top="0.984251969" bottom="0.984251969" header="0.49212598499999999" footer="0.49212598499999999"/>
      <pageSetup paperSize="9" orientation="portrait" horizontalDpi="300" verticalDpi="300" r:id="rId6"/>
      <headerFooter alignWithMargins="0"/>
    </customSheetView>
    <customSheetView guid="{E3F5E2CC-DF49-11DA-B943-00E07DA1701B}" showRuler="0">
      <selection activeCell="E12" sqref="E12"/>
      <pageMargins left="0.78740157499999996" right="0.78740157499999996" top="0.984251969" bottom="0.984251969" header="0.49212598499999999" footer="0.49212598499999999"/>
      <pageSetup paperSize="9" orientation="portrait" horizontalDpi="300" verticalDpi="300" r:id="rId7"/>
      <headerFooter alignWithMargins="0"/>
    </customSheetView>
    <customSheetView guid="{49DAB178-4BA0-48BE-8FEF-530628498037}" showRuler="0">
      <selection activeCell="E12" sqref="E12"/>
      <pageMargins left="0.78740157499999996" right="0.78740157499999996" top="0.984251969" bottom="0.984251969" header="0.49212598499999999" footer="0.49212598499999999"/>
      <pageSetup paperSize="9" orientation="portrait" horizontalDpi="300" verticalDpi="300" r:id="rId8"/>
      <headerFooter alignWithMargins="0"/>
    </customSheetView>
  </customSheetViews>
  <mergeCells count="47">
    <mergeCell ref="O24:P24"/>
    <mergeCell ref="A1:I1"/>
    <mergeCell ref="J1:L2"/>
    <mergeCell ref="A2:D2"/>
    <mergeCell ref="A3:A5"/>
    <mergeCell ref="B3:B5"/>
    <mergeCell ref="C3:C4"/>
    <mergeCell ref="H3:H5"/>
    <mergeCell ref="J3:L8"/>
    <mergeCell ref="F3:G3"/>
    <mergeCell ref="D3:E3"/>
    <mergeCell ref="O65:P65"/>
    <mergeCell ref="O66:P66"/>
    <mergeCell ref="O59:P59"/>
    <mergeCell ref="O60:P60"/>
    <mergeCell ref="O61:P61"/>
    <mergeCell ref="O62:P62"/>
    <mergeCell ref="O63:P63"/>
    <mergeCell ref="O64:P64"/>
    <mergeCell ref="D4:D5"/>
    <mergeCell ref="E4:E5"/>
    <mergeCell ref="O6:P6"/>
    <mergeCell ref="O14:P14"/>
    <mergeCell ref="O11:P11"/>
    <mergeCell ref="O10:P10"/>
    <mergeCell ref="O5:P5"/>
    <mergeCell ref="F4:F5"/>
    <mergeCell ref="O12:P12"/>
    <mergeCell ref="I3:I5"/>
    <mergeCell ref="O8:P8"/>
    <mergeCell ref="O9:P9"/>
    <mergeCell ref="O58:P58"/>
    <mergeCell ref="O13:P13"/>
    <mergeCell ref="O25:P25"/>
    <mergeCell ref="O55:P55"/>
    <mergeCell ref="O56:P56"/>
    <mergeCell ref="O20:P20"/>
    <mergeCell ref="O57:P57"/>
    <mergeCell ref="O16:P16"/>
    <mergeCell ref="O17:P17"/>
    <mergeCell ref="O18:P18"/>
    <mergeCell ref="O15:P15"/>
    <mergeCell ref="O26:P26"/>
    <mergeCell ref="O23:P23"/>
    <mergeCell ref="O19:P19"/>
    <mergeCell ref="O21:P21"/>
    <mergeCell ref="O22:P22"/>
  </mergeCells>
  <phoneticPr fontId="0" type="noConversion"/>
  <conditionalFormatting sqref="E6:E104">
    <cfRule type="expression" dxfId="6" priority="1" stopIfTrue="1">
      <formula>C6&lt;&gt;0</formula>
    </cfRule>
  </conditionalFormatting>
  <conditionalFormatting sqref="G6:G104">
    <cfRule type="expression" dxfId="5" priority="2" stopIfTrue="1">
      <formula>C6&lt;&gt;0</formula>
    </cfRule>
  </conditionalFormatting>
  <conditionalFormatting sqref="I6:I103">
    <cfRule type="expression" dxfId="4" priority="3" stopIfTrue="1">
      <formula>AND(ISERROR(H6),ISERROR(H7))</formula>
    </cfRule>
    <cfRule type="expression" dxfId="3" priority="4" stopIfTrue="1">
      <formula>AND(ISERROR(H7))</formula>
    </cfRule>
  </conditionalFormatting>
  <conditionalFormatting sqref="I104">
    <cfRule type="cellIs" dxfId="2" priority="5" stopIfTrue="1" operator="greaterThan">
      <formula>0</formula>
    </cfRule>
  </conditionalFormatting>
  <conditionalFormatting sqref="E2">
    <cfRule type="cellIs" dxfId="1" priority="6" stopIfTrue="1" operator="lessThanOrEqual">
      <formula>0</formula>
    </cfRule>
  </conditionalFormatting>
  <conditionalFormatting sqref="H6:H104 D6:D104 C5:C104">
    <cfRule type="cellIs" dxfId="0" priority="7" stopIfTrue="1" operator="notEqual">
      <formula>0</formula>
    </cfRule>
  </conditionalFormatting>
  <pageMargins left="0.78740157499999996" right="0.78740157499999996" top="0.984251969" bottom="0.984251969" header="0.49212598499999999" footer="0.49212598499999999"/>
  <pageSetup paperSize="9" orientation="landscape" horizontalDpi="300" verticalDpi="300" r:id="rId9"/>
  <headerFooter alignWithMargins="0"/>
  <legacy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CP18"/>
  <sheetViews>
    <sheetView zoomScaleNormal="100" workbookViewId="0" xr3:uid="{51F8DEE0-4D01-5F28-A812-FC0BD7CAC4A5}">
      <pane xSplit="1" topLeftCell="AT1" activePane="topRight" state="frozen"/>
      <selection pane="topRight" activeCell="AV8" sqref="AV8"/>
    </sheetView>
  </sheetViews>
  <sheetFormatPr defaultColWidth="9.16796875" defaultRowHeight="12.75"/>
  <cols>
    <col min="1" max="3" width="9.16796875" style="6"/>
    <col min="4" max="4" width="9.9765625" style="6" bestFit="1" customWidth="1"/>
    <col min="5" max="7" width="9.16796875" style="6"/>
    <col min="8" max="8" width="9.9765625" style="6" bestFit="1" customWidth="1"/>
    <col min="9" max="37" width="9.16796875" style="6"/>
    <col min="38" max="39" width="9.3046875" style="6" bestFit="1" customWidth="1"/>
    <col min="40" max="40" width="13.484375" style="6" bestFit="1" customWidth="1"/>
    <col min="41" max="41" width="9.70703125" style="6" bestFit="1" customWidth="1"/>
    <col min="42" max="42" width="10.65234375" style="6" bestFit="1" customWidth="1"/>
    <col min="43" max="43" width="9.9765625" style="6" bestFit="1" customWidth="1"/>
    <col min="44" max="44" width="15.640625" style="6" bestFit="1" customWidth="1"/>
    <col min="45" max="45" width="10.78515625" style="6" bestFit="1" customWidth="1"/>
    <col min="46" max="47" width="9.57421875" style="6" bestFit="1" customWidth="1"/>
    <col min="48" max="48" width="9.9765625" style="6" bestFit="1" customWidth="1"/>
    <col min="49" max="16384" width="9.16796875" style="6"/>
  </cols>
  <sheetData>
    <row r="1" spans="1:94">
      <c r="A1" s="1"/>
      <c r="B1" s="1">
        <v>1964</v>
      </c>
      <c r="C1" s="1">
        <v>1965</v>
      </c>
      <c r="D1" s="1">
        <v>1966</v>
      </c>
      <c r="E1" s="1">
        <v>1967</v>
      </c>
      <c r="F1" s="1">
        <v>1968</v>
      </c>
      <c r="G1" s="1">
        <v>1969</v>
      </c>
      <c r="H1" s="1">
        <v>1970</v>
      </c>
      <c r="I1" s="1">
        <v>1971</v>
      </c>
      <c r="J1" s="1">
        <v>1972</v>
      </c>
      <c r="K1" s="1">
        <v>1973</v>
      </c>
      <c r="L1" s="1">
        <v>1974</v>
      </c>
      <c r="M1" s="2">
        <v>1975</v>
      </c>
      <c r="N1" s="2">
        <v>1976</v>
      </c>
      <c r="O1" s="2">
        <v>1977</v>
      </c>
      <c r="P1" s="2">
        <v>1978</v>
      </c>
      <c r="Q1" s="2">
        <v>1979</v>
      </c>
      <c r="R1" s="2">
        <v>1980</v>
      </c>
      <c r="S1" s="2">
        <v>1981</v>
      </c>
      <c r="T1" s="2">
        <v>1982</v>
      </c>
      <c r="U1" s="2">
        <v>1983</v>
      </c>
      <c r="V1" s="2">
        <v>1984</v>
      </c>
      <c r="W1" s="2">
        <v>1985</v>
      </c>
      <c r="X1" s="2">
        <v>1986</v>
      </c>
      <c r="Y1" s="2">
        <v>1987</v>
      </c>
      <c r="Z1" s="2">
        <v>1988</v>
      </c>
      <c r="AA1" s="2">
        <v>1989</v>
      </c>
      <c r="AB1" s="2">
        <v>1990</v>
      </c>
      <c r="AC1" s="2">
        <v>1991</v>
      </c>
      <c r="AD1" s="2">
        <v>1992</v>
      </c>
      <c r="AE1" s="2">
        <v>1993</v>
      </c>
      <c r="AF1" s="2">
        <v>1994</v>
      </c>
      <c r="AG1" s="2">
        <v>1995</v>
      </c>
      <c r="AH1" s="2">
        <v>1996</v>
      </c>
      <c r="AI1" s="2">
        <v>1997</v>
      </c>
      <c r="AJ1" s="2">
        <v>1998</v>
      </c>
      <c r="AK1" s="2">
        <v>1999</v>
      </c>
      <c r="AL1" s="2">
        <v>2000</v>
      </c>
      <c r="AM1" s="2">
        <v>2001</v>
      </c>
      <c r="AN1" s="1">
        <v>2002</v>
      </c>
      <c r="AO1" s="1">
        <v>2003</v>
      </c>
      <c r="AP1" s="3">
        <v>2004</v>
      </c>
      <c r="AQ1" s="4">
        <v>2005</v>
      </c>
      <c r="AR1" s="3">
        <v>2006</v>
      </c>
      <c r="AS1" s="4">
        <v>2007</v>
      </c>
      <c r="AT1" s="3">
        <v>2008</v>
      </c>
      <c r="AU1" s="4">
        <v>2009</v>
      </c>
      <c r="AV1" s="3">
        <v>2010</v>
      </c>
      <c r="AW1" s="4">
        <v>2011</v>
      </c>
      <c r="AX1" s="3">
        <v>2012</v>
      </c>
      <c r="AY1" s="4">
        <v>2013</v>
      </c>
      <c r="AZ1" s="5">
        <v>2014</v>
      </c>
    </row>
    <row r="2" spans="1:94">
      <c r="A2" s="7" t="s">
        <v>0</v>
      </c>
      <c r="B2" s="8" t="s">
        <v>1</v>
      </c>
      <c r="C2" s="9">
        <v>11300</v>
      </c>
      <c r="D2" s="9">
        <v>16600</v>
      </c>
      <c r="E2" s="9">
        <v>23230</v>
      </c>
      <c r="F2" s="8">
        <v>28.48</v>
      </c>
      <c r="G2" s="8">
        <v>35.619999999999997</v>
      </c>
      <c r="H2" s="8">
        <v>42.35</v>
      </c>
      <c r="I2" s="8">
        <v>50.51</v>
      </c>
      <c r="J2" s="8">
        <v>61.52</v>
      </c>
      <c r="K2" s="8">
        <v>70.87</v>
      </c>
      <c r="L2" s="8">
        <v>80.62</v>
      </c>
      <c r="M2" s="8">
        <v>106.76</v>
      </c>
      <c r="N2" s="8">
        <v>133.34</v>
      </c>
      <c r="O2" s="8">
        <v>183.65</v>
      </c>
      <c r="P2" s="8">
        <v>238.32</v>
      </c>
      <c r="Q2" s="8">
        <v>326.82</v>
      </c>
      <c r="R2" s="8">
        <v>487.83</v>
      </c>
      <c r="S2" s="8">
        <v>738.5</v>
      </c>
      <c r="T2" s="9">
        <v>1453.96</v>
      </c>
      <c r="U2" s="9">
        <v>2910.93</v>
      </c>
      <c r="V2" s="9">
        <v>7545.98</v>
      </c>
      <c r="W2" s="9">
        <v>24432.06</v>
      </c>
      <c r="X2" s="9">
        <v>80047.66</v>
      </c>
      <c r="Y2" s="8">
        <v>129.97999999999999</v>
      </c>
      <c r="Z2" s="8">
        <v>596.94000000000005</v>
      </c>
      <c r="AA2" s="10" t="s">
        <v>13</v>
      </c>
      <c r="AB2" s="10">
        <v>102.527306</v>
      </c>
      <c r="AC2" s="11">
        <v>1942.726347</v>
      </c>
      <c r="AD2" s="11">
        <v>11230.65984</v>
      </c>
      <c r="AE2" s="11">
        <v>140277.06383999999</v>
      </c>
      <c r="AF2" s="11">
        <v>3631.929071</v>
      </c>
      <c r="AG2" s="10">
        <v>13.851198999999999</v>
      </c>
      <c r="AH2" s="10">
        <v>16.819756999999999</v>
      </c>
      <c r="AI2" s="10">
        <v>18.353214999999999</v>
      </c>
      <c r="AJ2" s="10">
        <v>19.149764999999999</v>
      </c>
      <c r="AK2" s="10">
        <v>19.626072000000001</v>
      </c>
      <c r="AL2" s="12">
        <v>21.280595000000002</v>
      </c>
      <c r="AM2" s="12">
        <v>22.402504</v>
      </c>
      <c r="AN2" s="12">
        <v>24.517690000000002</v>
      </c>
      <c r="AO2" s="12">
        <v>28.131595000000001</v>
      </c>
      <c r="AP2" s="13">
        <v>31.052744000000001</v>
      </c>
      <c r="AQ2" s="14">
        <v>32.957267999999999</v>
      </c>
      <c r="AR2" s="14">
        <v>34.620735000000003</v>
      </c>
      <c r="AS2" s="14">
        <v>35.594754000000002</v>
      </c>
      <c r="AT2" s="117">
        <v>37.429910999999997</v>
      </c>
      <c r="AU2" s="117">
        <v>39.855905</v>
      </c>
      <c r="AV2">
        <v>41.495485000000002</v>
      </c>
      <c r="AW2" s="117"/>
      <c r="AX2" s="117"/>
      <c r="AY2" s="117"/>
      <c r="AZ2" s="117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5"/>
      <c r="CN2" s="25"/>
      <c r="CO2" s="25"/>
      <c r="CP2" s="25"/>
    </row>
    <row r="3" spans="1:94">
      <c r="A3" s="7" t="s">
        <v>2</v>
      </c>
      <c r="B3" s="8" t="s">
        <v>1</v>
      </c>
      <c r="C3" s="9">
        <v>11300</v>
      </c>
      <c r="D3" s="9">
        <v>17050</v>
      </c>
      <c r="E3" s="8">
        <v>23.78</v>
      </c>
      <c r="F3" s="8">
        <v>28.98</v>
      </c>
      <c r="G3" s="8">
        <v>36.270000000000003</v>
      </c>
      <c r="H3" s="8">
        <v>43.3</v>
      </c>
      <c r="I3" s="8">
        <v>51.44</v>
      </c>
      <c r="J3" s="8">
        <v>62.26</v>
      </c>
      <c r="K3" s="8">
        <v>71.569999999999993</v>
      </c>
      <c r="L3" s="8">
        <v>81.47</v>
      </c>
      <c r="M3" s="8">
        <v>108.38</v>
      </c>
      <c r="N3" s="8">
        <v>135.9</v>
      </c>
      <c r="O3" s="8">
        <v>186.83</v>
      </c>
      <c r="P3" s="8">
        <v>243.35</v>
      </c>
      <c r="Q3" s="8">
        <v>334.2</v>
      </c>
      <c r="R3" s="8">
        <v>508.33</v>
      </c>
      <c r="S3" s="8">
        <v>775.43</v>
      </c>
      <c r="T3" s="9">
        <v>1526.66</v>
      </c>
      <c r="U3" s="9">
        <v>3085.59</v>
      </c>
      <c r="V3" s="9">
        <v>8285.49</v>
      </c>
      <c r="W3" s="9">
        <v>27510.5</v>
      </c>
      <c r="X3" s="9">
        <v>93039.4</v>
      </c>
      <c r="Y3" s="8">
        <v>151.85</v>
      </c>
      <c r="Z3" s="8">
        <v>695.5</v>
      </c>
      <c r="AA3" s="10" t="s">
        <v>14</v>
      </c>
      <c r="AB3" s="10">
        <v>160.05537699999999</v>
      </c>
      <c r="AC3" s="11">
        <v>2329.523162</v>
      </c>
      <c r="AD3" s="11">
        <v>14141.64687</v>
      </c>
      <c r="AE3" s="11">
        <v>180634.77510599999</v>
      </c>
      <c r="AF3" s="11">
        <v>5132.6421630000004</v>
      </c>
      <c r="AG3" s="10">
        <v>14.082514</v>
      </c>
      <c r="AH3" s="10">
        <v>17.065325000000001</v>
      </c>
      <c r="AI3" s="10">
        <v>18.501875999999999</v>
      </c>
      <c r="AJ3" s="10">
        <v>19.312538</v>
      </c>
      <c r="AK3" s="10">
        <v>19.753640999999998</v>
      </c>
      <c r="AL3" s="12">
        <v>21.410405999999998</v>
      </c>
      <c r="AM3" s="12">
        <v>22.575002999999999</v>
      </c>
      <c r="AN3" s="12">
        <v>24.780028999999999</v>
      </c>
      <c r="AO3" s="12">
        <v>28.826445</v>
      </c>
      <c r="AP3" s="14">
        <v>31.310480999999999</v>
      </c>
      <c r="AQ3" s="14">
        <v>33.145124000000003</v>
      </c>
      <c r="AR3" s="14">
        <v>34.752293000000002</v>
      </c>
      <c r="AS3" s="14">
        <v>35.769168000000001</v>
      </c>
      <c r="AT3" s="117">
        <v>37.688177000000003</v>
      </c>
      <c r="AU3" s="127">
        <v>40.110982</v>
      </c>
      <c r="AV3">
        <v>41.860644999999998</v>
      </c>
      <c r="AW3" s="117"/>
      <c r="AX3" s="117"/>
      <c r="AY3" s="117"/>
      <c r="AZ3" s="117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5"/>
      <c r="CN3" s="25"/>
      <c r="CO3" s="25"/>
      <c r="CP3" s="25"/>
    </row>
    <row r="4" spans="1:94">
      <c r="A4" s="7" t="s">
        <v>3</v>
      </c>
      <c r="B4" s="8" t="s">
        <v>1</v>
      </c>
      <c r="C4" s="9">
        <v>11300</v>
      </c>
      <c r="D4" s="9">
        <v>17300</v>
      </c>
      <c r="E4" s="8">
        <v>24.28</v>
      </c>
      <c r="F4" s="8">
        <v>29.4</v>
      </c>
      <c r="G4" s="8">
        <v>36.909999999999997</v>
      </c>
      <c r="H4" s="8">
        <v>44.17</v>
      </c>
      <c r="I4" s="8">
        <v>52.12</v>
      </c>
      <c r="J4" s="8">
        <v>63.09</v>
      </c>
      <c r="K4" s="8">
        <v>72.319999999999993</v>
      </c>
      <c r="L4" s="8">
        <v>82.69</v>
      </c>
      <c r="M4" s="8">
        <v>110.18</v>
      </c>
      <c r="N4" s="8">
        <v>138.94</v>
      </c>
      <c r="O4" s="8">
        <v>190.51</v>
      </c>
      <c r="P4" s="8">
        <v>248.99</v>
      </c>
      <c r="Q4" s="8">
        <v>341.97</v>
      </c>
      <c r="R4" s="8">
        <v>527.14</v>
      </c>
      <c r="S4" s="8">
        <v>825.83</v>
      </c>
      <c r="T4" s="9">
        <v>1602.99</v>
      </c>
      <c r="U4" s="9">
        <v>3292.32</v>
      </c>
      <c r="V4" s="9">
        <v>9304.61</v>
      </c>
      <c r="W4" s="9">
        <v>30316.57</v>
      </c>
      <c r="X4" s="8">
        <v>106.4</v>
      </c>
      <c r="Y4" s="8">
        <v>181.61</v>
      </c>
      <c r="Z4" s="8">
        <v>820.42</v>
      </c>
      <c r="AA4" s="10">
        <v>9.698734</v>
      </c>
      <c r="AB4" s="10">
        <v>276.54367999999999</v>
      </c>
      <c r="AC4" s="11">
        <v>2838.989877</v>
      </c>
      <c r="AD4" s="11">
        <v>17603.522023000001</v>
      </c>
      <c r="AE4" s="11">
        <v>225414.13585399999</v>
      </c>
      <c r="AF4" s="11">
        <v>7214.9550879999997</v>
      </c>
      <c r="AG4" s="10">
        <v>14.22193</v>
      </c>
      <c r="AH4" s="10">
        <v>17.186488000000001</v>
      </c>
      <c r="AI4" s="10">
        <v>18.585134</v>
      </c>
      <c r="AJ4" s="10">
        <v>19.416824999999999</v>
      </c>
      <c r="AK4" s="10">
        <v>20.008462000000002</v>
      </c>
      <c r="AL4" s="12">
        <v>21.421111</v>
      </c>
      <c r="AM4" s="12">
        <v>22.68562</v>
      </c>
      <c r="AN4" s="12">
        <v>24.856846999999998</v>
      </c>
      <c r="AO4" s="16">
        <v>29.247311</v>
      </c>
      <c r="AP4" s="14">
        <v>31.432590999999999</v>
      </c>
      <c r="AQ4" s="14">
        <v>33.290962</v>
      </c>
      <c r="AR4" s="14">
        <v>34.832222999999999</v>
      </c>
      <c r="AS4" s="120">
        <v>35.919398000000001</v>
      </c>
      <c r="AT4" s="117">
        <v>37.869079999999997</v>
      </c>
      <c r="AU4" s="117">
        <v>40.235326000000001</v>
      </c>
      <c r="AV4">
        <v>42.153669000000001</v>
      </c>
      <c r="AW4" s="117"/>
      <c r="AX4" s="117"/>
      <c r="AY4" s="117"/>
      <c r="AZ4" s="117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5"/>
      <c r="CN4" s="25"/>
      <c r="CO4" s="25"/>
      <c r="CP4" s="25"/>
    </row>
    <row r="5" spans="1:94">
      <c r="A5" s="7" t="s">
        <v>4</v>
      </c>
      <c r="B5" s="8" t="s">
        <v>1</v>
      </c>
      <c r="C5" s="9">
        <v>13400</v>
      </c>
      <c r="D5" s="9">
        <v>17600</v>
      </c>
      <c r="E5" s="8">
        <v>24.64</v>
      </c>
      <c r="F5" s="8">
        <v>29.83</v>
      </c>
      <c r="G5" s="8">
        <v>37.43</v>
      </c>
      <c r="H5" s="8">
        <v>44.67</v>
      </c>
      <c r="I5" s="8">
        <v>52.64</v>
      </c>
      <c r="J5" s="8">
        <v>63.81</v>
      </c>
      <c r="K5" s="8">
        <v>73.19</v>
      </c>
      <c r="L5" s="8">
        <v>83.73</v>
      </c>
      <c r="M5" s="8">
        <v>112.25</v>
      </c>
      <c r="N5" s="8">
        <v>142.24</v>
      </c>
      <c r="O5" s="8">
        <v>194.83</v>
      </c>
      <c r="P5" s="8">
        <v>255.41</v>
      </c>
      <c r="Q5" s="8">
        <v>350.51</v>
      </c>
      <c r="R5" s="8">
        <v>546.64</v>
      </c>
      <c r="S5" s="8">
        <v>877.86</v>
      </c>
      <c r="T5" s="9">
        <v>1683.14</v>
      </c>
      <c r="U5" s="9">
        <v>3588.63</v>
      </c>
      <c r="V5" s="9">
        <v>10235.07</v>
      </c>
      <c r="W5" s="9">
        <v>34166.769999999997</v>
      </c>
      <c r="X5" s="8">
        <v>106.28</v>
      </c>
      <c r="Y5" s="8">
        <v>207.97</v>
      </c>
      <c r="Z5" s="8">
        <v>951.77</v>
      </c>
      <c r="AA5" s="10">
        <v>10.289386</v>
      </c>
      <c r="AB5" s="10">
        <v>509.72530999999998</v>
      </c>
      <c r="AC5" s="11">
        <v>3173.7067830000001</v>
      </c>
      <c r="AD5" s="11">
        <v>21409.403483999999</v>
      </c>
      <c r="AE5" s="11">
        <v>287583.35452200001</v>
      </c>
      <c r="AF5" s="11">
        <v>10323.157739</v>
      </c>
      <c r="AG5" s="10">
        <v>14.422459</v>
      </c>
      <c r="AH5" s="10">
        <v>17.236328</v>
      </c>
      <c r="AI5" s="10">
        <v>18.711511999999999</v>
      </c>
      <c r="AJ5" s="10">
        <v>19.511966999999999</v>
      </c>
      <c r="AK5" s="10">
        <v>20.264569999999999</v>
      </c>
      <c r="AL5" s="12">
        <v>21.448958000000001</v>
      </c>
      <c r="AM5" s="12">
        <v>22.794509999999999</v>
      </c>
      <c r="AN5" s="17">
        <v>25.010959</v>
      </c>
      <c r="AO5" s="16">
        <v>29.647998999999999</v>
      </c>
      <c r="AP5" s="18">
        <v>31.611756</v>
      </c>
      <c r="AQ5" s="14">
        <v>33.533985999999999</v>
      </c>
      <c r="AR5" s="14">
        <v>34.926270000000002</v>
      </c>
      <c r="AS5" s="14">
        <v>36.077443000000002</v>
      </c>
      <c r="AT5" s="117">
        <v>38.062212000000002</v>
      </c>
      <c r="AU5" s="127">
        <v>40.315795999999999</v>
      </c>
      <c r="AV5" s="117">
        <v>42.452959999999997</v>
      </c>
      <c r="AW5" s="117"/>
      <c r="AX5" s="117"/>
      <c r="AY5" s="117"/>
      <c r="AZ5" s="117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5"/>
      <c r="CN5" s="25"/>
      <c r="CO5" s="25"/>
      <c r="CP5" s="25"/>
    </row>
    <row r="6" spans="1:94">
      <c r="A6" s="7" t="s">
        <v>5</v>
      </c>
      <c r="B6" s="8" t="s">
        <v>1</v>
      </c>
      <c r="C6" s="9">
        <v>13400</v>
      </c>
      <c r="D6" s="9">
        <v>18280</v>
      </c>
      <c r="E6" s="8">
        <v>25.01</v>
      </c>
      <c r="F6" s="8">
        <v>30.39</v>
      </c>
      <c r="G6" s="8">
        <v>38.01</v>
      </c>
      <c r="H6" s="8">
        <v>45.08</v>
      </c>
      <c r="I6" s="8">
        <v>53.25</v>
      </c>
      <c r="J6" s="8">
        <v>64.66</v>
      </c>
      <c r="K6" s="8">
        <v>74.03</v>
      </c>
      <c r="L6" s="8">
        <v>85.1</v>
      </c>
      <c r="M6" s="8">
        <v>114.49</v>
      </c>
      <c r="N6" s="8">
        <v>145.83000000000001</v>
      </c>
      <c r="O6" s="8">
        <v>200.45</v>
      </c>
      <c r="P6" s="8">
        <v>262.87</v>
      </c>
      <c r="Q6" s="8">
        <v>363.64</v>
      </c>
      <c r="R6" s="8">
        <v>566.86</v>
      </c>
      <c r="S6" s="8">
        <v>930.53</v>
      </c>
      <c r="T6" s="9">
        <v>1775.71</v>
      </c>
      <c r="U6" s="9">
        <v>3911.61</v>
      </c>
      <c r="V6" s="9">
        <v>11145.99</v>
      </c>
      <c r="W6" s="9">
        <v>38208.46</v>
      </c>
      <c r="X6" s="8">
        <v>107.12</v>
      </c>
      <c r="Y6" s="8">
        <v>251.56</v>
      </c>
      <c r="Z6" s="9">
        <v>1135.27</v>
      </c>
      <c r="AA6" s="10">
        <v>11.041539999999999</v>
      </c>
      <c r="AB6" s="10">
        <v>738.08224800000005</v>
      </c>
      <c r="AC6" s="11">
        <v>3332.709492</v>
      </c>
      <c r="AD6" s="11">
        <v>25871.123169999999</v>
      </c>
      <c r="AE6" s="11">
        <v>369170.75219899998</v>
      </c>
      <c r="AF6" s="11">
        <v>14747.663145</v>
      </c>
      <c r="AG6" s="10">
        <v>14.69937</v>
      </c>
      <c r="AH6" s="10">
        <v>17.396625</v>
      </c>
      <c r="AI6" s="10">
        <v>18.823781</v>
      </c>
      <c r="AJ6" s="10">
        <v>19.599769999999999</v>
      </c>
      <c r="AK6" s="10">
        <v>20.359812999999999</v>
      </c>
      <c r="AL6" s="12">
        <v>21.468261999999999</v>
      </c>
      <c r="AM6" s="12">
        <v>22.985983000000001</v>
      </c>
      <c r="AN6" s="12">
        <v>25.181032999999999</v>
      </c>
      <c r="AO6" s="19">
        <v>30.057141000000001</v>
      </c>
      <c r="AP6" s="18">
        <v>31.741364000000001</v>
      </c>
      <c r="AQ6" s="14">
        <v>33.839145000000002</v>
      </c>
      <c r="AR6" s="14">
        <v>34.968181000000001</v>
      </c>
      <c r="AS6" s="120">
        <v>36.171244000000002</v>
      </c>
      <c r="AT6" s="127">
        <v>38.305810000000001</v>
      </c>
      <c r="AU6" s="117">
        <v>40.537531999999999</v>
      </c>
      <c r="AV6" s="117">
        <v>42.762866000000002</v>
      </c>
      <c r="AW6" s="117"/>
      <c r="AX6" s="117"/>
      <c r="AY6" s="117"/>
      <c r="AZ6" s="117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5"/>
      <c r="CN6" s="25"/>
      <c r="CO6" s="25"/>
      <c r="CP6" s="25"/>
    </row>
    <row r="7" spans="1:94">
      <c r="A7" s="7" t="s">
        <v>6</v>
      </c>
      <c r="B7" s="8" t="s">
        <v>1</v>
      </c>
      <c r="C7" s="9">
        <v>13400</v>
      </c>
      <c r="D7" s="9">
        <v>19090</v>
      </c>
      <c r="E7" s="8">
        <v>25.46</v>
      </c>
      <c r="F7" s="8">
        <v>31.2</v>
      </c>
      <c r="G7" s="8">
        <v>38.479999999999997</v>
      </c>
      <c r="H7" s="8">
        <v>45.5</v>
      </c>
      <c r="I7" s="8">
        <v>54.01</v>
      </c>
      <c r="J7" s="8">
        <v>65.75</v>
      </c>
      <c r="K7" s="8">
        <v>74.97</v>
      </c>
      <c r="L7" s="8">
        <v>86.91</v>
      </c>
      <c r="M7" s="8">
        <v>117.13</v>
      </c>
      <c r="N7" s="8">
        <v>150.16999999999999</v>
      </c>
      <c r="O7" s="8">
        <v>206.9</v>
      </c>
      <c r="P7" s="8">
        <v>270.88</v>
      </c>
      <c r="Q7" s="8">
        <v>377.54</v>
      </c>
      <c r="R7" s="8">
        <v>586.13</v>
      </c>
      <c r="S7" s="8">
        <v>986.36</v>
      </c>
      <c r="T7" s="9">
        <v>1873.37</v>
      </c>
      <c r="U7" s="9">
        <v>4224.54</v>
      </c>
      <c r="V7" s="9">
        <v>12137.98</v>
      </c>
      <c r="W7" s="9">
        <v>42031.56</v>
      </c>
      <c r="X7" s="8">
        <v>108.61</v>
      </c>
      <c r="Y7" s="8">
        <v>310.52999999999997</v>
      </c>
      <c r="Z7" s="9">
        <v>1337.12</v>
      </c>
      <c r="AA7" s="10">
        <v>12.139068999999999</v>
      </c>
      <c r="AB7" s="10">
        <v>796.16931999999997</v>
      </c>
      <c r="AC7" s="11">
        <v>3555.3344860000002</v>
      </c>
      <c r="AD7" s="11">
        <v>32209.548346</v>
      </c>
      <c r="AE7" s="11">
        <v>468034.67963700002</v>
      </c>
      <c r="AF7" s="11">
        <v>21049.339606000001</v>
      </c>
      <c r="AG7" s="10">
        <v>15.077143</v>
      </c>
      <c r="AH7" s="10">
        <v>17.619301</v>
      </c>
      <c r="AI7" s="10">
        <v>18.844487000000001</v>
      </c>
      <c r="AJ7" s="10">
        <v>19.740888000000002</v>
      </c>
      <c r="AK7" s="10">
        <v>20.369992</v>
      </c>
      <c r="AL7" s="12">
        <v>21.457526999999999</v>
      </c>
      <c r="AM7" s="12">
        <v>23.117003</v>
      </c>
      <c r="AN7" s="12">
        <v>25.203695</v>
      </c>
      <c r="AO7" s="20">
        <v>30.354706</v>
      </c>
      <c r="AP7" s="14">
        <v>31.868328999999999</v>
      </c>
      <c r="AQ7" s="14">
        <v>34.076019000000002</v>
      </c>
      <c r="AR7" s="14">
        <v>35.013638999999998</v>
      </c>
      <c r="AS7" s="121">
        <v>36.265289000000003</v>
      </c>
      <c r="AT7" s="128">
        <v>38.673544999999997</v>
      </c>
      <c r="AU7" s="117">
        <v>40.780757000000001</v>
      </c>
      <c r="AV7" s="117">
        <v>42.946745999999997</v>
      </c>
      <c r="AW7" s="117"/>
      <c r="AX7" s="117"/>
      <c r="AY7" s="117"/>
      <c r="AZ7" s="117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5"/>
      <c r="CN7" s="25"/>
      <c r="CO7" s="25"/>
      <c r="CP7" s="25"/>
    </row>
    <row r="8" spans="1:94">
      <c r="A8" s="7" t="s">
        <v>7</v>
      </c>
      <c r="B8" s="8" t="s">
        <v>1</v>
      </c>
      <c r="C8" s="9">
        <v>15200</v>
      </c>
      <c r="D8" s="9">
        <v>19870</v>
      </c>
      <c r="E8" s="8">
        <v>26.18</v>
      </c>
      <c r="F8" s="8">
        <v>32.090000000000003</v>
      </c>
      <c r="G8" s="8">
        <v>39</v>
      </c>
      <c r="H8" s="8">
        <v>46.2</v>
      </c>
      <c r="I8" s="8">
        <v>55.08</v>
      </c>
      <c r="J8" s="8">
        <v>66.930000000000007</v>
      </c>
      <c r="K8" s="8">
        <v>75.8</v>
      </c>
      <c r="L8" s="8">
        <v>89.8</v>
      </c>
      <c r="M8" s="8">
        <v>119.27</v>
      </c>
      <c r="N8" s="8">
        <v>154.6</v>
      </c>
      <c r="O8" s="8">
        <v>213.8</v>
      </c>
      <c r="P8" s="8">
        <v>279.04000000000002</v>
      </c>
      <c r="Q8" s="8">
        <v>390.1</v>
      </c>
      <c r="R8" s="8">
        <v>604.89</v>
      </c>
      <c r="S8" s="9">
        <v>1045.54</v>
      </c>
      <c r="T8" s="9">
        <v>1976.41</v>
      </c>
      <c r="U8" s="9">
        <v>4554.05</v>
      </c>
      <c r="V8" s="9">
        <v>13254.67</v>
      </c>
      <c r="W8" s="9">
        <v>45901.91</v>
      </c>
      <c r="X8" s="8">
        <v>109.99</v>
      </c>
      <c r="Y8" s="8">
        <v>366.49</v>
      </c>
      <c r="Z8" s="9">
        <v>1598.26</v>
      </c>
      <c r="AA8" s="10">
        <v>15.153199000000001</v>
      </c>
      <c r="AB8" s="10">
        <v>872.20348999999999</v>
      </c>
      <c r="AC8" s="11">
        <v>3940.3772100000001</v>
      </c>
      <c r="AD8" s="11">
        <v>38925.239176000003</v>
      </c>
      <c r="AE8" s="11">
        <v>610176.811842</v>
      </c>
      <c r="AF8" s="10">
        <v>11.346741</v>
      </c>
      <c r="AG8" s="10">
        <v>15.351547</v>
      </c>
      <c r="AH8" s="10">
        <v>17.853636999999999</v>
      </c>
      <c r="AI8" s="10">
        <v>18.910442</v>
      </c>
      <c r="AJ8" s="10">
        <v>19.770499000000001</v>
      </c>
      <c r="AK8" s="10">
        <v>20.384250000000002</v>
      </c>
      <c r="AL8" s="12">
        <v>21.521899000000001</v>
      </c>
      <c r="AM8" s="12">
        <v>23.255704999999999</v>
      </c>
      <c r="AN8" s="12">
        <v>25.357437000000001</v>
      </c>
      <c r="AO8" s="20">
        <v>30.336493000000001</v>
      </c>
      <c r="AP8" s="21">
        <v>32.027670000000001</v>
      </c>
      <c r="AQ8" s="14">
        <v>34.038535000000003</v>
      </c>
      <c r="AR8" s="14">
        <v>34.989128999999998</v>
      </c>
      <c r="AS8" s="14">
        <v>36.377710999999998</v>
      </c>
      <c r="AT8" s="117">
        <v>39.025474000000003</v>
      </c>
      <c r="AU8" s="117">
        <v>40.952036</v>
      </c>
      <c r="AV8" s="117">
        <v>42.899504</v>
      </c>
      <c r="AW8" s="117"/>
      <c r="AX8" s="117"/>
      <c r="AY8" s="117"/>
      <c r="AZ8" s="117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5"/>
      <c r="CN8" s="25"/>
      <c r="CO8" s="25"/>
      <c r="CP8" s="25"/>
    </row>
    <row r="9" spans="1:94">
      <c r="A9" s="7" t="s">
        <v>8</v>
      </c>
      <c r="B9" s="8" t="s">
        <v>1</v>
      </c>
      <c r="C9" s="9">
        <v>15200</v>
      </c>
      <c r="D9" s="9">
        <v>20430</v>
      </c>
      <c r="E9" s="8">
        <v>26.84</v>
      </c>
      <c r="F9" s="8">
        <v>32.81</v>
      </c>
      <c r="G9" s="8">
        <v>39.270000000000003</v>
      </c>
      <c r="H9" s="8">
        <v>46.61</v>
      </c>
      <c r="I9" s="8">
        <v>56.18</v>
      </c>
      <c r="J9" s="8">
        <v>67.89</v>
      </c>
      <c r="K9" s="8">
        <v>76.48</v>
      </c>
      <c r="L9" s="8">
        <v>93.75</v>
      </c>
      <c r="M9" s="8">
        <v>121.31</v>
      </c>
      <c r="N9" s="8">
        <v>158.55000000000001</v>
      </c>
      <c r="O9" s="8">
        <v>219.51</v>
      </c>
      <c r="P9" s="8">
        <v>287.58</v>
      </c>
      <c r="Q9" s="8">
        <v>400.71</v>
      </c>
      <c r="R9" s="8">
        <v>624.25</v>
      </c>
      <c r="S9" s="9">
        <v>1108.27</v>
      </c>
      <c r="T9" s="9">
        <v>2094.9899999999998</v>
      </c>
      <c r="U9" s="9">
        <v>4963.91</v>
      </c>
      <c r="V9" s="9">
        <v>14619.9</v>
      </c>
      <c r="W9" s="9">
        <v>49396.88</v>
      </c>
      <c r="X9" s="8">
        <v>111.31</v>
      </c>
      <c r="Y9" s="8">
        <v>377.67</v>
      </c>
      <c r="Z9" s="9">
        <v>1982.48</v>
      </c>
      <c r="AA9" s="10">
        <v>19.511258999999999</v>
      </c>
      <c r="AB9" s="10">
        <v>984.89218000000005</v>
      </c>
      <c r="AC9" s="11">
        <v>4418.7390029999997</v>
      </c>
      <c r="AD9" s="11">
        <v>47519.931986000003</v>
      </c>
      <c r="AE9" s="10">
        <v>799.39264100000003</v>
      </c>
      <c r="AF9" s="10">
        <v>12.036621999999999</v>
      </c>
      <c r="AG9" s="10">
        <v>15.729195000000001</v>
      </c>
      <c r="AH9" s="10">
        <v>18.067879999999999</v>
      </c>
      <c r="AI9" s="10">
        <v>18.944479999999999</v>
      </c>
      <c r="AJ9" s="10">
        <v>19.715140999999999</v>
      </c>
      <c r="AK9" s="10">
        <v>20.535093</v>
      </c>
      <c r="AL9" s="12">
        <v>21.821052999999999</v>
      </c>
      <c r="AM9" s="12">
        <v>23.513843000000001</v>
      </c>
      <c r="AN9" s="12">
        <v>25.649046999999999</v>
      </c>
      <c r="AO9" s="20">
        <v>30.348627</v>
      </c>
      <c r="AP9" s="14">
        <v>32.261471</v>
      </c>
      <c r="AQ9" s="14">
        <v>34.048746000000001</v>
      </c>
      <c r="AR9" s="14">
        <v>35.027616999999999</v>
      </c>
      <c r="AS9" s="14">
        <v>36.494118999999998</v>
      </c>
      <c r="AT9" s="117">
        <v>39.251821</v>
      </c>
      <c r="AU9" s="117">
        <v>41.046225</v>
      </c>
      <c r="AV9" s="117"/>
      <c r="AW9" s="117"/>
      <c r="AX9" s="117"/>
      <c r="AY9" s="117"/>
      <c r="AZ9" s="117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5"/>
      <c r="CN9" s="25"/>
      <c r="CO9" s="25"/>
      <c r="CP9" s="25"/>
    </row>
    <row r="10" spans="1:94">
      <c r="A10" s="7" t="s">
        <v>9</v>
      </c>
      <c r="B10" s="8" t="s">
        <v>1</v>
      </c>
      <c r="C10" s="9">
        <v>15700</v>
      </c>
      <c r="D10" s="9">
        <v>21010</v>
      </c>
      <c r="E10" s="8">
        <v>27.25</v>
      </c>
      <c r="F10" s="8">
        <v>33.409999999999997</v>
      </c>
      <c r="G10" s="8">
        <v>39.56</v>
      </c>
      <c r="H10" s="8">
        <v>47.05</v>
      </c>
      <c r="I10" s="8">
        <v>57.36</v>
      </c>
      <c r="J10" s="8">
        <v>68.459999999999994</v>
      </c>
      <c r="K10" s="8">
        <v>77.12</v>
      </c>
      <c r="L10" s="8">
        <v>98.22</v>
      </c>
      <c r="M10" s="8">
        <v>123.2</v>
      </c>
      <c r="N10" s="8">
        <v>162.97</v>
      </c>
      <c r="O10" s="8">
        <v>224.01</v>
      </c>
      <c r="P10" s="8">
        <v>295.57</v>
      </c>
      <c r="Q10" s="8">
        <v>412.24</v>
      </c>
      <c r="R10" s="8">
        <v>644.23</v>
      </c>
      <c r="S10" s="9">
        <v>1172.55</v>
      </c>
      <c r="T10" s="9">
        <v>2241.64</v>
      </c>
      <c r="U10" s="9">
        <v>5385.84</v>
      </c>
      <c r="V10" s="9">
        <v>16169.61</v>
      </c>
      <c r="W10" s="9">
        <v>53437.4</v>
      </c>
      <c r="X10" s="8">
        <v>113.18</v>
      </c>
      <c r="Y10" s="8">
        <v>401.69</v>
      </c>
      <c r="Z10" s="9">
        <v>2392.06</v>
      </c>
      <c r="AA10" s="10">
        <v>25.235862000000001</v>
      </c>
      <c r="AB10" s="11">
        <v>1103.3747089999999</v>
      </c>
      <c r="AC10" s="11">
        <v>5108.9460349999999</v>
      </c>
      <c r="AD10" s="11">
        <v>58154.892763999997</v>
      </c>
      <c r="AE10" s="11">
        <v>1065.9101470000001</v>
      </c>
      <c r="AF10" s="10">
        <v>12.693821</v>
      </c>
      <c r="AG10" s="10">
        <v>15.889632000000001</v>
      </c>
      <c r="AH10" s="10">
        <v>18.158218999999999</v>
      </c>
      <c r="AI10" s="10">
        <v>18.938796</v>
      </c>
      <c r="AJ10" s="10">
        <v>19.618535999999999</v>
      </c>
      <c r="AK10" s="10">
        <v>20.648036000000001</v>
      </c>
      <c r="AL10" s="12">
        <v>22.085087000000001</v>
      </c>
      <c r="AM10" s="12">
        <v>23.699601999999999</v>
      </c>
      <c r="AN10" s="12">
        <v>25.869627999999999</v>
      </c>
      <c r="AO10" s="20">
        <v>30.403254</v>
      </c>
      <c r="AP10" s="14">
        <v>32.422778000000001</v>
      </c>
      <c r="AQ10" s="14">
        <v>34.048746000000001</v>
      </c>
      <c r="AR10" s="14">
        <v>35.020611000000002</v>
      </c>
      <c r="AS10" s="14">
        <v>36.709434000000002</v>
      </c>
      <c r="AT10" s="117">
        <v>39.334249</v>
      </c>
      <c r="AU10" s="117">
        <v>41.079061000000003</v>
      </c>
      <c r="AV10" s="117"/>
      <c r="AW10" s="117"/>
      <c r="AX10" s="117"/>
      <c r="AY10" s="117"/>
      <c r="AZ10" s="117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5"/>
      <c r="CN10" s="25"/>
      <c r="CO10" s="25"/>
      <c r="CP10" s="25"/>
    </row>
    <row r="11" spans="1:94">
      <c r="A11" s="7" t="s">
        <v>10</v>
      </c>
      <c r="B11" s="9">
        <v>10000</v>
      </c>
      <c r="C11" s="9">
        <v>15900</v>
      </c>
      <c r="D11" s="9">
        <v>21610</v>
      </c>
      <c r="E11" s="8">
        <v>27.38</v>
      </c>
      <c r="F11" s="8">
        <v>33.880000000000003</v>
      </c>
      <c r="G11" s="8">
        <v>39.92</v>
      </c>
      <c r="H11" s="8">
        <v>47.61</v>
      </c>
      <c r="I11" s="8">
        <v>58.61</v>
      </c>
      <c r="J11" s="8">
        <v>68.95</v>
      </c>
      <c r="K11" s="8">
        <v>77.87</v>
      </c>
      <c r="L11" s="8">
        <v>101.9</v>
      </c>
      <c r="M11" s="8">
        <v>125.7</v>
      </c>
      <c r="N11" s="8">
        <v>168.33</v>
      </c>
      <c r="O11" s="8">
        <v>227.15</v>
      </c>
      <c r="P11" s="8">
        <v>303.29000000000002</v>
      </c>
      <c r="Q11" s="8">
        <v>428.8</v>
      </c>
      <c r="R11" s="8">
        <v>663.56</v>
      </c>
      <c r="S11" s="9">
        <v>1239.3900000000001</v>
      </c>
      <c r="T11" s="9">
        <v>2398.5500000000002</v>
      </c>
      <c r="U11" s="9">
        <v>5897.49</v>
      </c>
      <c r="V11" s="9">
        <v>17867.419999999998</v>
      </c>
      <c r="W11" s="9">
        <v>58300.2</v>
      </c>
      <c r="X11" s="8">
        <v>115.13</v>
      </c>
      <c r="Y11" s="8">
        <v>424.51</v>
      </c>
      <c r="Z11" s="9">
        <v>2966.39</v>
      </c>
      <c r="AA11" s="10">
        <v>34.308154000000002</v>
      </c>
      <c r="AB11" s="11">
        <v>1244.1653209999999</v>
      </c>
      <c r="AC11" s="11">
        <v>5906.9634050000004</v>
      </c>
      <c r="AD11" s="11">
        <v>72100.436048000003</v>
      </c>
      <c r="AE11" s="11">
        <v>1445.6939319999999</v>
      </c>
      <c r="AF11" s="10">
        <v>12.885497000000001</v>
      </c>
      <c r="AG11" s="10">
        <v>16.07554</v>
      </c>
      <c r="AH11" s="10">
        <v>18.161850000000001</v>
      </c>
      <c r="AI11" s="10">
        <v>18.957733999999999</v>
      </c>
      <c r="AJ11" s="10">
        <v>19.557718000000001</v>
      </c>
      <c r="AK11" s="10">
        <v>20.728563000000001</v>
      </c>
      <c r="AL11" s="12">
        <v>22.180052</v>
      </c>
      <c r="AM11" s="12">
        <v>23.803879999999999</v>
      </c>
      <c r="AN11" s="12">
        <v>26.084344999999999</v>
      </c>
      <c r="AO11" s="20">
        <v>30.652560000000001</v>
      </c>
      <c r="AP11" s="14">
        <v>32.477896000000001</v>
      </c>
      <c r="AQ11" s="14">
        <v>34.099818999999997</v>
      </c>
      <c r="AR11" s="107">
        <v>35.076642999999997</v>
      </c>
      <c r="AS11" s="14">
        <v>36.801206999999998</v>
      </c>
      <c r="AT11" s="117">
        <v>39.393250000000002</v>
      </c>
      <c r="AU11">
        <v>41.144787000000001</v>
      </c>
      <c r="AV11" s="117"/>
      <c r="AW11" s="117"/>
      <c r="AX11" s="117"/>
      <c r="AY11" s="117"/>
      <c r="AZ11" s="117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5"/>
      <c r="CN11" s="25"/>
      <c r="CO11" s="25"/>
      <c r="CP11" s="25"/>
    </row>
    <row r="12" spans="1:94">
      <c r="A12" s="7" t="s">
        <v>11</v>
      </c>
      <c r="B12" s="9">
        <v>10000</v>
      </c>
      <c r="C12" s="9">
        <v>16050</v>
      </c>
      <c r="D12" s="9">
        <v>22180</v>
      </c>
      <c r="E12" s="8">
        <v>27.57</v>
      </c>
      <c r="F12" s="8">
        <v>34.39</v>
      </c>
      <c r="G12" s="8">
        <v>40.57</v>
      </c>
      <c r="H12" s="8">
        <v>48.51</v>
      </c>
      <c r="I12" s="8">
        <v>59.79</v>
      </c>
      <c r="J12" s="8">
        <v>69.61</v>
      </c>
      <c r="K12" s="8">
        <v>78.400000000000006</v>
      </c>
      <c r="L12" s="8">
        <v>104.1</v>
      </c>
      <c r="M12" s="8">
        <v>128.43</v>
      </c>
      <c r="N12" s="8">
        <v>174.4</v>
      </c>
      <c r="O12" s="8">
        <v>230.3</v>
      </c>
      <c r="P12" s="8">
        <v>310.49</v>
      </c>
      <c r="Q12" s="8">
        <v>448.47</v>
      </c>
      <c r="R12" s="8">
        <v>684.79</v>
      </c>
      <c r="S12" s="9">
        <v>1310.04</v>
      </c>
      <c r="T12" s="9">
        <v>2566.4499999999998</v>
      </c>
      <c r="U12" s="9">
        <v>6469.55</v>
      </c>
      <c r="V12" s="9">
        <v>20118.71</v>
      </c>
      <c r="W12" s="9">
        <v>63547.22</v>
      </c>
      <c r="X12" s="8">
        <v>117.32</v>
      </c>
      <c r="Y12" s="8">
        <v>463.48</v>
      </c>
      <c r="Z12" s="9">
        <v>3774.73</v>
      </c>
      <c r="AA12" s="10">
        <v>47.214880999999998</v>
      </c>
      <c r="AB12" s="11">
        <v>1420.836796</v>
      </c>
      <c r="AC12" s="11">
        <v>7152.1512899999998</v>
      </c>
      <c r="AD12" s="11">
        <v>90897.019725000006</v>
      </c>
      <c r="AE12" s="11">
        <v>1938.9647010000001</v>
      </c>
      <c r="AF12" s="10">
        <v>13.125166999999999</v>
      </c>
      <c r="AG12" s="10">
        <v>16.300597</v>
      </c>
      <c r="AH12" s="10">
        <v>18.230865000000001</v>
      </c>
      <c r="AI12" s="10">
        <v>19.012710999999999</v>
      </c>
      <c r="AJ12" s="10">
        <v>19.579231</v>
      </c>
      <c r="AK12" s="10">
        <v>20.927557</v>
      </c>
      <c r="AL12" s="12">
        <v>22.215540000000001</v>
      </c>
      <c r="AM12" s="12">
        <v>24.027636000000001</v>
      </c>
      <c r="AN12" s="12">
        <v>26.493869</v>
      </c>
      <c r="AO12" s="20">
        <v>30.772103999999999</v>
      </c>
      <c r="AP12" s="14">
        <v>32.533107999999999</v>
      </c>
      <c r="AQ12" s="14">
        <v>34.297597000000003</v>
      </c>
      <c r="AR12" s="120">
        <v>35.227442000000003</v>
      </c>
      <c r="AS12" s="14">
        <v>36.911610000000003</v>
      </c>
      <c r="AT12" s="130">
        <v>39.590215999999998</v>
      </c>
      <c r="AU12" s="133">
        <v>41.243533999999997</v>
      </c>
      <c r="AV12" s="117"/>
      <c r="AW12" s="117"/>
      <c r="AX12" s="117"/>
      <c r="AY12" s="117"/>
      <c r="AZ12" s="117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5"/>
      <c r="CN12" s="25"/>
      <c r="CO12" s="25"/>
      <c r="CP12" s="25"/>
    </row>
    <row r="13" spans="1:94">
      <c r="A13" s="7" t="s">
        <v>12</v>
      </c>
      <c r="B13" s="9">
        <v>10000</v>
      </c>
      <c r="C13" s="9">
        <v>16300</v>
      </c>
      <c r="D13" s="9">
        <v>22690</v>
      </c>
      <c r="E13" s="8">
        <v>27.96</v>
      </c>
      <c r="F13" s="8">
        <v>34.950000000000003</v>
      </c>
      <c r="G13" s="8">
        <v>41.42</v>
      </c>
      <c r="H13" s="8">
        <v>49.54</v>
      </c>
      <c r="I13" s="8">
        <v>60.77</v>
      </c>
      <c r="J13" s="8">
        <v>70.069999999999993</v>
      </c>
      <c r="K13" s="8">
        <v>79.069999999999993</v>
      </c>
      <c r="L13" s="8">
        <v>105.41</v>
      </c>
      <c r="M13" s="8">
        <v>130.93</v>
      </c>
      <c r="N13" s="8">
        <v>179.68</v>
      </c>
      <c r="O13" s="8">
        <v>233.74</v>
      </c>
      <c r="P13" s="8">
        <v>318.44</v>
      </c>
      <c r="Q13" s="8">
        <v>468.71</v>
      </c>
      <c r="R13" s="8">
        <v>706.7</v>
      </c>
      <c r="S13" s="9">
        <v>1382.09</v>
      </c>
      <c r="T13" s="9">
        <v>2733.27</v>
      </c>
      <c r="U13" s="9">
        <v>7012.99</v>
      </c>
      <c r="V13" s="9">
        <v>22110.46</v>
      </c>
      <c r="W13" s="9">
        <v>70613.67</v>
      </c>
      <c r="X13" s="8">
        <v>121.17</v>
      </c>
      <c r="Y13" s="8">
        <v>522.99</v>
      </c>
      <c r="Z13" s="9">
        <v>4790.8900000000003</v>
      </c>
      <c r="AA13" s="10">
        <v>66.771283999999994</v>
      </c>
      <c r="AB13" s="11">
        <v>1642.203168</v>
      </c>
      <c r="AC13" s="11">
        <v>9046.0409510000009</v>
      </c>
      <c r="AD13" s="11">
        <v>111703.34754</v>
      </c>
      <c r="AE13" s="11">
        <v>2636.9919930000001</v>
      </c>
      <c r="AF13" s="10">
        <v>13.554359</v>
      </c>
      <c r="AG13" s="10">
        <v>16.546735999999999</v>
      </c>
      <c r="AH13" s="10">
        <v>18.292849</v>
      </c>
      <c r="AI13" s="10">
        <v>19.041229999999999</v>
      </c>
      <c r="AJ13" s="10">
        <v>19.543987999999999</v>
      </c>
      <c r="AK13" s="10">
        <v>21.124275999999998</v>
      </c>
      <c r="AL13" s="12">
        <v>22.279965000000001</v>
      </c>
      <c r="AM13" s="12">
        <v>24.337592000000001</v>
      </c>
      <c r="AN13" s="12">
        <v>27.392011</v>
      </c>
      <c r="AO13" s="22">
        <v>30.885960000000001</v>
      </c>
      <c r="AP13" s="23">
        <v>32.676253000000003</v>
      </c>
      <c r="AQ13" s="23">
        <v>34.482804000000002</v>
      </c>
      <c r="AR13" s="120">
        <v>35.375427000000002</v>
      </c>
      <c r="AS13" s="23">
        <v>37.070329000000001</v>
      </c>
      <c r="AT13" s="130">
        <v>39.740658000000003</v>
      </c>
      <c r="AU13" s="119">
        <v>41.396135000000001</v>
      </c>
      <c r="AV13" s="119"/>
      <c r="AW13" s="119"/>
      <c r="AX13" s="119"/>
      <c r="AY13" s="119"/>
      <c r="AZ13" s="119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5"/>
      <c r="CN13" s="25"/>
      <c r="CO13" s="25"/>
      <c r="CP13" s="25"/>
    </row>
    <row r="14" spans="1:94"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</row>
    <row r="15" spans="1:94">
      <c r="A15" s="255" t="s">
        <v>15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6"/>
    </row>
    <row r="16" spans="1:94">
      <c r="A16" s="257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8"/>
    </row>
    <row r="17" spans="1:12">
      <c r="A17" s="259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8"/>
    </row>
    <row r="18" spans="1:12">
      <c r="A18" s="260"/>
      <c r="B18" s="260"/>
      <c r="C18" s="260"/>
      <c r="D18" s="260"/>
      <c r="E18" s="260"/>
      <c r="F18" s="260"/>
      <c r="G18" s="260"/>
      <c r="H18" s="260"/>
      <c r="I18" s="260"/>
      <c r="J18" s="260"/>
      <c r="K18" s="260"/>
      <c r="L18" s="261"/>
    </row>
  </sheetData>
  <sheetProtection sheet="1"/>
  <customSheetViews>
    <customSheetView guid="{838FC631-5CD8-4B5F-94A9-B347B44DBECA}">
      <pane xSplit="1" topLeftCell="AP1" activePane="topRight" state="frozen"/>
      <selection pane="topRight" activeCell="AT5" sqref="AT5"/>
      <pageMargins left="0.78740157499999996" right="0.78740157499999996" top="0.984251969" bottom="0.984251969" header="0.49212598499999999" footer="0.49212598499999999"/>
      <pageSetup paperSize="9" orientation="landscape" r:id="rId1"/>
      <headerFooter alignWithMargins="0"/>
    </customSheetView>
    <customSheetView guid="{F34DE23E-C2FC-4B4A-B395-2ECC4B257D7F}" showRuler="0">
      <pane xSplit="1" topLeftCell="AP1" activePane="topRight" state="frozen"/>
      <selection pane="topRight" activeCell="AT3" sqref="AT3"/>
      <pageMargins left="0.78740157499999996" right="0.78740157499999996" top="0.984251969" bottom="0.984251969" header="0.49212598499999999" footer="0.49212598499999999"/>
      <pageSetup paperSize="9" orientation="landscape" r:id="rId2"/>
      <headerFooter alignWithMargins="0"/>
    </customSheetView>
    <customSheetView guid="{1EA129D6-B7D5-44D1-A42D-8520A40A3C99}" showRuler="0">
      <pane xSplit="1" topLeftCell="AP1" activePane="topRight" state="frozen"/>
      <selection pane="topRight" activeCell="AS7" sqref="AS7"/>
      <pageMargins left="0.78740157499999996" right="0.78740157499999996" top="0.984251969" bottom="0.984251969" header="0.49212598499999999" footer="0.49212598499999999"/>
      <pageSetup paperSize="9" orientation="landscape" r:id="rId3"/>
      <headerFooter alignWithMargins="0"/>
    </customSheetView>
    <customSheetView guid="{A55C2A1B-A1E2-4A91-8110-4C7E057410B0}" showRuler="0">
      <pane xSplit="1" topLeftCell="AP1" activePane="topRight" state="frozen"/>
      <selection pane="topRight" activeCell="AS8" sqref="AS8"/>
      <pageMargins left="0.78740157499999996" right="0.78740157499999996" top="0.984251969" bottom="0.984251969" header="0.49212598499999999" footer="0.49212598499999999"/>
      <pageSetup paperSize="9" orientation="landscape" r:id="rId4"/>
      <headerFooter alignWithMargins="0"/>
    </customSheetView>
    <customSheetView guid="{607D0388-2BEA-426E-8D98-5720E54B1F73}" showRuler="0">
      <pane xSplit="1" topLeftCell="AP1" activePane="topRight" state="frozen"/>
      <selection pane="topRight" activeCell="AR12" sqref="AR12"/>
      <pageMargins left="0.78740157499999996" right="0.78740157499999996" top="0.984251969" bottom="0.984251969" header="0.49212598499999999" footer="0.49212598499999999"/>
      <pageSetup paperSize="9" orientation="landscape" r:id="rId5"/>
      <headerFooter alignWithMargins="0"/>
    </customSheetView>
    <customSheetView guid="{5FA3A750-9528-4A4E-A380-E03425E78E71}" showRuler="0">
      <pane xSplit="1" topLeftCell="AP1" activePane="topRight" state="frozen"/>
      <selection pane="topRight" activeCell="AR12" sqref="AR12"/>
      <pageMargins left="0.78740157499999996" right="0.78740157499999996" top="0.984251969" bottom="0.984251969" header="0.49212598499999999" footer="0.49212598499999999"/>
      <pageSetup paperSize="9" orientation="landscape" r:id="rId6"/>
      <headerFooter alignWithMargins="0"/>
    </customSheetView>
    <customSheetView guid="{E3F5E2CC-DF49-11DA-B943-00E07DA1701B}" showRuler="0">
      <pane xSplit="1" topLeftCell="AP1" activePane="topRight" state="frozen"/>
      <selection pane="topRight" activeCell="AR6" sqref="AR6"/>
      <pageMargins left="0.78740157499999996" right="0.78740157499999996" top="0.984251969" bottom="0.984251969" header="0.49212598499999999" footer="0.49212598499999999"/>
      <pageSetup paperSize="9" orientation="landscape" r:id="rId7"/>
      <headerFooter alignWithMargins="0"/>
    </customSheetView>
    <customSheetView guid="{49DAB178-4BA0-48BE-8FEF-530628498037}" showRuler="0">
      <pane xSplit="1" topLeftCell="AP1" activePane="topRight" state="frozen"/>
      <selection pane="topRight" activeCell="AR6" sqref="AR6"/>
      <pageMargins left="0.78740157499999996" right="0.78740157499999996" top="0.984251969" bottom="0.984251969" header="0.49212598499999999" footer="0.49212598499999999"/>
      <pageSetup paperSize="9" orientation="landscape" r:id="rId8"/>
      <headerFooter alignWithMargins="0"/>
    </customSheetView>
    <customSheetView guid="{B3464204-DBC2-41E1-A035-C6DF4814FCBF}" showRuler="0">
      <pane xSplit="1" topLeftCell="AP1" activePane="topRight" state="frozen"/>
      <selection pane="topRight" activeCell="AQ9" sqref="AQ9"/>
      <pageMargins left="0.78740157499999996" right="0.78740157499999996" top="0.984251969" bottom="0.984251969" header="0.49212598499999999" footer="0.49212598499999999"/>
      <pageSetup paperSize="9" orientation="landscape" r:id="rId9"/>
      <headerFooter alignWithMargins="0"/>
    </customSheetView>
    <customSheetView guid="{4364C298-6ABA-492D-93FD-931037AC5D95}" showRuler="0">
      <pane xSplit="1" topLeftCell="AQ1" activePane="topRight" state="frozen"/>
      <selection pane="topRight" activeCell="AR5" sqref="AR5"/>
      <pageMargins left="0.78740157499999996" right="0.78740157499999996" top="0.984251969" bottom="0.984251969" header="0.49212598499999999" footer="0.49212598499999999"/>
      <pageSetup paperSize="9" orientation="landscape" r:id="rId10"/>
      <headerFooter alignWithMargins="0"/>
    </customSheetView>
  </customSheetViews>
  <mergeCells count="1">
    <mergeCell ref="A15:L18"/>
  </mergeCells>
  <phoneticPr fontId="0" type="noConversion"/>
  <pageMargins left="0.78740157499999996" right="0.78740157499999996" top="0.984251969" bottom="0.984251969" header="0.49212598499999999" footer="0.49212598499999999"/>
  <pageSetup paperSize="9" orientation="landscape" r:id="rId1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CÁLCULO TÍTULOS EXTRAJUDICIAIS</vt:lpstr>
      <vt:lpstr>CÁLCULO TÍTULOS JUDICIAIS</vt:lpstr>
      <vt:lpstr>CALC. TÍT.JUDIC. # DATA JUROS M</vt:lpstr>
      <vt:lpstr>Indices TJ</vt:lpstr>
      <vt:lpstr>CÁLCULO TÍTULOS EXTRAJUDICIAIS!Area_de_impressao</vt:lpstr>
    </vt:vector>
  </TitlesOfParts>
  <Company>MARÇO DE 2003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GOULART</dc:creator>
  <cp:lastModifiedBy>X</cp:lastModifiedBy>
  <cp:lastPrinted>2010-07-15T13:32:42Z</cp:lastPrinted>
  <dcterms:created xsi:type="dcterms:W3CDTF">2002-08-02T12:36:48Z</dcterms:created>
  <dcterms:modified xsi:type="dcterms:W3CDTF">2018-09-21T09:22:08Z</dcterms:modified>
</cp:coreProperties>
</file>