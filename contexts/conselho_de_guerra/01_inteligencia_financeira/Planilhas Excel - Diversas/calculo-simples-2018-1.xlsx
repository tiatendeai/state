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Anexo I" sheetId="1" r:id="rId1"/>
    <sheet name="Anexo II" sheetId="3" r:id="rId2"/>
    <sheet name="Anexo III" sheetId="4" r:id="rId3"/>
    <sheet name="Anexo IV" sheetId="5" r:id="rId4"/>
    <sheet name="Anexo V" sheetId="6" r:id="rId5"/>
    <sheet name="Serviços - Cálculo" sheetId="7" r:id="rId6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"/>
  <c r="B7" i="7"/>
  <c r="B9" s="1"/>
  <c r="B7" i="6"/>
  <c r="B5"/>
  <c r="G7"/>
  <c r="G8"/>
  <c r="G9"/>
  <c r="B11"/>
  <c r="B14"/>
  <c r="B7" i="5"/>
  <c r="B5"/>
  <c r="G7"/>
  <c r="G8"/>
  <c r="G9"/>
  <c r="B11"/>
  <c r="B14"/>
  <c r="B7" i="4"/>
  <c r="B5"/>
  <c r="G7" s="1"/>
  <c r="B5" i="3"/>
  <c r="G7"/>
  <c r="G8"/>
  <c r="G9"/>
  <c r="B11"/>
  <c r="B14"/>
  <c r="B7" i="1"/>
  <c r="B5"/>
  <c r="G7"/>
  <c r="G8" s="1"/>
  <c r="G9" s="1"/>
  <c r="B11" s="1"/>
  <c r="B14" s="1"/>
  <c r="G8" i="4" l="1"/>
  <c r="G9" s="1"/>
  <c r="B11" s="1"/>
  <c r="B14" s="1"/>
</calcChain>
</file>

<file path=xl/sharedStrings.xml><?xml version="1.0" encoding="utf-8"?>
<sst xmlns="http://schemas.openxmlformats.org/spreadsheetml/2006/main" count="72" uniqueCount="22">
  <si>
    <t xml:space="preserve">Valor Faturamento </t>
  </si>
  <si>
    <t>Últimos 12 meses</t>
  </si>
  <si>
    <t>Aliquota Nominal</t>
  </si>
  <si>
    <t>Faturamento Mês</t>
  </si>
  <si>
    <t>Aliquota Efetiva</t>
  </si>
  <si>
    <t>bc1</t>
  </si>
  <si>
    <t>bc2</t>
  </si>
  <si>
    <t>bc3</t>
  </si>
  <si>
    <t>Cálculo Simples Nacional 2018 - Comércio - Anexo I</t>
  </si>
  <si>
    <t>Cálculo Simples Nacional 2018 - Indústria - Anexo II</t>
  </si>
  <si>
    <t>Cálculo Simples Nacional 2018 - Serviços - Anexo IV</t>
  </si>
  <si>
    <t>Cálculo Simples Nacional 2018 - Serviços - Anexo V</t>
  </si>
  <si>
    <t>Relação entre folha e Receita</t>
  </si>
  <si>
    <t>Receitas</t>
  </si>
  <si>
    <t>Folha de pagamento</t>
  </si>
  <si>
    <t>Fator Folha/Receita</t>
  </si>
  <si>
    <t>Qual anexo usar?</t>
  </si>
  <si>
    <t>E-mail:</t>
  </si>
  <si>
    <t>escritoriomodelog@gmail.com</t>
  </si>
  <si>
    <t>Parcela à Deduzir</t>
  </si>
  <si>
    <t xml:space="preserve">Valor à pagar </t>
  </si>
  <si>
    <t>Cálculo Simples Nacional 2018 - Serviços - Anexo III</t>
  </si>
</sst>
</file>

<file path=xl/styles.xml><?xml version="1.0" encoding="utf-8"?>
<styleSheet xmlns="http://schemas.openxmlformats.org/spreadsheetml/2006/main">
  <numFmts count="1">
    <numFmt numFmtId="164" formatCode="&quot;R$&quot;\ #,##0.00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2F2F2F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164" fontId="2" fillId="3" borderId="0" xfId="0" applyNumberFormat="1" applyFont="1" applyFill="1" applyProtection="1">
      <protection locked="0"/>
    </xf>
    <xf numFmtId="164" fontId="2" fillId="0" borderId="0" xfId="0" applyNumberFormat="1" applyFont="1" applyProtection="1">
      <protection locked="0"/>
    </xf>
    <xf numFmtId="0" fontId="1" fillId="2" borderId="0" xfId="0" applyFont="1" applyFill="1" applyProtection="1">
      <protection locked="0"/>
    </xf>
    <xf numFmtId="0" fontId="4" fillId="0" borderId="0" xfId="1" applyProtection="1">
      <protection locked="0"/>
    </xf>
    <xf numFmtId="10" fontId="3" fillId="0" borderId="0" xfId="0" applyNumberFormat="1" applyFont="1" applyProtection="1"/>
    <xf numFmtId="164" fontId="2" fillId="0" borderId="0" xfId="0" applyNumberFormat="1" applyFont="1" applyProtection="1"/>
    <xf numFmtId="0" fontId="2" fillId="0" borderId="0" xfId="0" applyFont="1" applyProtection="1"/>
    <xf numFmtId="10" fontId="2" fillId="0" borderId="0" xfId="0" applyNumberFormat="1" applyFont="1" applyProtection="1"/>
    <xf numFmtId="164" fontId="2" fillId="2" borderId="0" xfId="0" applyNumberFormat="1" applyFont="1" applyFill="1" applyProtection="1"/>
    <xf numFmtId="0" fontId="0" fillId="0" borderId="0" xfId="0" applyProtection="1"/>
    <xf numFmtId="0" fontId="4" fillId="0" borderId="0" xfId="1" applyProtection="1"/>
    <xf numFmtId="0" fontId="1" fillId="0" borderId="0" xfId="0" applyFont="1" applyProtection="1"/>
    <xf numFmtId="0" fontId="1" fillId="2" borderId="0" xfId="0" applyFont="1" applyFill="1" applyProtection="1"/>
    <xf numFmtId="0" fontId="2" fillId="6" borderId="0" xfId="0" applyFont="1" applyFill="1" applyProtection="1">
      <protection locked="0"/>
    </xf>
    <xf numFmtId="164" fontId="2" fillId="6" borderId="0" xfId="0" applyNumberFormat="1" applyFont="1" applyFill="1" applyProtection="1"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2" fontId="1" fillId="5" borderId="0" xfId="0" applyNumberFormat="1" applyFont="1" applyFill="1" applyProtection="1"/>
    <xf numFmtId="0" fontId="2" fillId="4" borderId="0" xfId="0" applyFont="1" applyFill="1" applyProtection="1"/>
    <xf numFmtId="0" fontId="2" fillId="5" borderId="0" xfId="0" applyFont="1" applyFill="1" applyProtection="1"/>
    <xf numFmtId="0" fontId="0" fillId="0" borderId="0" xfId="0" applyAlignment="1" applyProtection="1">
      <alignment horizontal="center" vertical="top"/>
    </xf>
    <xf numFmtId="0" fontId="2" fillId="0" borderId="0" xfId="0" applyFont="1" applyAlignment="1" applyProtection="1">
      <alignment horizontal="center" vertical="top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</xf>
    <xf numFmtId="0" fontId="1" fillId="4" borderId="0" xfId="0" applyFont="1" applyFill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9526</xdr:rowOff>
    </xdr:from>
    <xdr:to>
      <xdr:col>5</xdr:col>
      <xdr:colOff>244294</xdr:colOff>
      <xdr:row>24</xdr:row>
      <xdr:rowOff>171450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86101"/>
          <a:ext cx="4559119" cy="1685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5</xdr:col>
      <xdr:colOff>44269</xdr:colOff>
      <xdr:row>23</xdr:row>
      <xdr:rowOff>161924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86075"/>
          <a:ext cx="4559119" cy="16859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47625</xdr:rowOff>
    </xdr:from>
    <xdr:to>
      <xdr:col>5</xdr:col>
      <xdr:colOff>149044</xdr:colOff>
      <xdr:row>25</xdr:row>
      <xdr:rowOff>19049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43300"/>
          <a:ext cx="4559119" cy="16859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5</xdr:col>
      <xdr:colOff>63319</xdr:colOff>
      <xdr:row>23</xdr:row>
      <xdr:rowOff>161924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86075"/>
          <a:ext cx="4559119" cy="16859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9525</xdr:rowOff>
    </xdr:from>
    <xdr:to>
      <xdr:col>5</xdr:col>
      <xdr:colOff>25219</xdr:colOff>
      <xdr:row>25</xdr:row>
      <xdr:rowOff>171449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5700"/>
          <a:ext cx="4559119" cy="16859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504824</xdr:colOff>
      <xdr:row>20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0" y="1905000"/>
          <a:ext cx="4248149" cy="2076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tx1"/>
              </a:solidFill>
            </a:rPr>
            <a:t>Ficam sujeitas à analise do fator Folha/Receita as atividades à</a:t>
          </a:r>
          <a:r>
            <a:rPr lang="pt-BR" sz="1100" b="0" baseline="0">
              <a:solidFill>
                <a:schemeClr val="tx1"/>
              </a:solidFill>
            </a:rPr>
            <a:t> seguir, conforme</a:t>
          </a:r>
          <a:r>
            <a:rPr lang="pt-BR" sz="1100" b="0">
              <a:solidFill>
                <a:schemeClr val="tx1"/>
              </a:solidFill>
            </a:rPr>
            <a:t> Lei</a:t>
          </a:r>
          <a:r>
            <a:rPr lang="pt-BR" sz="1100" b="0" baseline="0">
              <a:solidFill>
                <a:schemeClr val="tx1"/>
              </a:solidFill>
            </a:rPr>
            <a:t> complementar nº 155 § 5ºF: 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VI - 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engenharia, medição, cartografia, topografia, geologia, geodésia, testes, suporte e análises técnicas e tecnológicas, pesquisa, design, desenho e agronomia;</a:t>
          </a: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XII -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outras atividades do setor de serviços que tenham por finalidade a prestação de serviços decorrentes do exercício de atividade intelectual, de natureza técnica, científica, desportiva, artística ou cultural, que constitua profissão regulamentada ou não, desde que não sujeitas à tributação na forma dos Anexos III ou IV desta Lei Complementar. </a:t>
          </a:r>
        </a:p>
      </xdr:txBody>
    </xdr:sp>
    <xdr:clientData/>
  </xdr:twoCellAnchor>
  <xdr:twoCellAnchor editAs="oneCell">
    <xdr:from>
      <xdr:col>0</xdr:col>
      <xdr:colOff>0</xdr:colOff>
      <xdr:row>21</xdr:row>
      <xdr:rowOff>180975</xdr:rowOff>
    </xdr:from>
    <xdr:to>
      <xdr:col>4</xdr:col>
      <xdr:colOff>530044</xdr:colOff>
      <xdr:row>30</xdr:row>
      <xdr:rowOff>152399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4559119" cy="168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critoriomodelog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scritoriomodelo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escritoriomodelog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escritoriomodelog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escritoriomodelog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escritoriomodelo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>
      <selection activeCell="B10" sqref="B10"/>
    </sheetView>
  </sheetViews>
  <sheetFormatPr defaultColWidth="9.140625" defaultRowHeight="15"/>
  <cols>
    <col min="1" max="1" width="19.7109375" style="1" customWidth="1"/>
    <col min="2" max="2" width="17.5703125" style="1" customWidth="1"/>
    <col min="3" max="6" width="9.140625" style="1"/>
    <col min="7" max="7" width="17.140625" style="1" customWidth="1"/>
    <col min="8" max="16384" width="9.140625" style="1"/>
  </cols>
  <sheetData>
    <row r="1" spans="1:7" ht="17.25">
      <c r="A1" s="27" t="s">
        <v>8</v>
      </c>
      <c r="B1" s="27"/>
      <c r="C1" s="27"/>
      <c r="D1" s="27"/>
      <c r="E1" s="27"/>
      <c r="F1" s="27"/>
      <c r="G1" s="27"/>
    </row>
    <row r="2" spans="1:7" ht="17.25">
      <c r="A2" s="2" t="s">
        <v>0</v>
      </c>
      <c r="B2" s="3"/>
      <c r="C2" s="3"/>
      <c r="D2" s="3"/>
      <c r="E2" s="3"/>
      <c r="F2" s="3"/>
      <c r="G2" s="3"/>
    </row>
    <row r="3" spans="1:7" ht="17.25">
      <c r="A3" s="4" t="s">
        <v>1</v>
      </c>
      <c r="B3" s="5">
        <v>109391.59</v>
      </c>
      <c r="C3" s="3"/>
      <c r="D3" s="3"/>
      <c r="E3" s="3"/>
      <c r="F3" s="3"/>
      <c r="G3" s="3"/>
    </row>
    <row r="4" spans="1:7" ht="17.25">
      <c r="A4" s="3"/>
      <c r="B4" s="3"/>
      <c r="C4" s="3"/>
      <c r="D4" s="3"/>
      <c r="E4" s="3"/>
      <c r="F4" s="3"/>
      <c r="G4" s="3"/>
    </row>
    <row r="5" spans="1:7" ht="18.75">
      <c r="A5" s="2" t="s">
        <v>2</v>
      </c>
      <c r="B5" s="9">
        <f>IF(B3&gt;3600000,19%,IF(B3&gt;1800000,14.3%,IF(B3&gt;720000,10.7%,IF(B3&gt;360000,9.5%,IF(B3&gt;180000,7.3%,4%)))))</f>
        <v>0.04</v>
      </c>
      <c r="C5" s="3"/>
      <c r="D5" s="3"/>
      <c r="E5" s="3"/>
      <c r="F5" s="3"/>
      <c r="G5" s="3"/>
    </row>
    <row r="6" spans="1:7" ht="17.25">
      <c r="A6" s="3"/>
      <c r="B6" s="3"/>
      <c r="C6" s="3"/>
      <c r="D6" s="3"/>
      <c r="E6" s="3"/>
      <c r="F6" s="3"/>
      <c r="G6" s="3"/>
    </row>
    <row r="7" spans="1:7" ht="17.25">
      <c r="A7" s="2" t="s">
        <v>19</v>
      </c>
      <c r="B7" s="10">
        <f>IF(B3&gt;3600000,378000,IF(B3&gt;1800000,87300,IF(B3&gt;720000,22500,IF(B3&gt;360000,13860,IF(B3&gt;180000,5940,0)))))</f>
        <v>0</v>
      </c>
      <c r="C7" s="3"/>
      <c r="D7" s="3"/>
      <c r="E7" s="3"/>
      <c r="F7" s="11" t="s">
        <v>5</v>
      </c>
      <c r="G7" s="10">
        <f>B3*B5</f>
        <v>4375.6635999999999</v>
      </c>
    </row>
    <row r="8" spans="1:7" ht="17.25">
      <c r="A8" s="3"/>
      <c r="B8" s="3"/>
      <c r="C8" s="3"/>
      <c r="D8" s="3"/>
      <c r="E8" s="3"/>
      <c r="F8" s="11" t="s">
        <v>6</v>
      </c>
      <c r="G8" s="10">
        <f>G7-B7</f>
        <v>4375.6635999999999</v>
      </c>
    </row>
    <row r="9" spans="1:7" ht="17.25">
      <c r="A9" s="4" t="s">
        <v>3</v>
      </c>
      <c r="B9" s="5">
        <v>2499</v>
      </c>
      <c r="C9" s="3"/>
      <c r="D9" s="3"/>
      <c r="E9" s="3"/>
      <c r="F9" s="11" t="s">
        <v>7</v>
      </c>
      <c r="G9" s="12">
        <f>G8/B3</f>
        <v>0.04</v>
      </c>
    </row>
    <row r="10" spans="1:7" ht="17.25">
      <c r="A10" s="3"/>
      <c r="B10" s="3"/>
      <c r="C10" s="3"/>
      <c r="D10" s="3"/>
      <c r="E10" s="3"/>
      <c r="F10" s="3"/>
      <c r="G10" s="3"/>
    </row>
    <row r="11" spans="1:7" ht="17.25">
      <c r="A11" s="2" t="s">
        <v>4</v>
      </c>
      <c r="B11" s="12">
        <f>G9</f>
        <v>0.04</v>
      </c>
      <c r="C11" s="3"/>
      <c r="D11" s="3"/>
      <c r="E11" s="3"/>
      <c r="F11" s="3"/>
      <c r="G11" s="3"/>
    </row>
    <row r="12" spans="1:7" ht="17.25">
      <c r="A12" s="3"/>
      <c r="B12" s="3"/>
      <c r="C12" s="3"/>
      <c r="D12" s="3"/>
      <c r="E12" s="3"/>
      <c r="F12" s="3"/>
      <c r="G12" s="3"/>
    </row>
    <row r="13" spans="1:7" ht="17.25">
      <c r="A13" s="3"/>
      <c r="B13" s="3"/>
      <c r="C13" s="3"/>
      <c r="D13" s="3"/>
      <c r="E13" s="3"/>
      <c r="F13" s="3"/>
      <c r="G13" s="3"/>
    </row>
    <row r="14" spans="1:7" ht="17.25">
      <c r="A14" s="7" t="s">
        <v>20</v>
      </c>
      <c r="B14" s="13">
        <f>B9*B11</f>
        <v>99.960000000000008</v>
      </c>
      <c r="C14" s="3"/>
      <c r="D14" s="3"/>
      <c r="E14" s="3"/>
      <c r="F14" s="3"/>
      <c r="G14" s="3"/>
    </row>
    <row r="15" spans="1:7" ht="17.25">
      <c r="A15" s="3"/>
      <c r="B15" s="3"/>
      <c r="C15" s="3"/>
      <c r="D15" s="3"/>
      <c r="E15" s="3"/>
      <c r="F15" s="3"/>
      <c r="G15" s="3"/>
    </row>
    <row r="16" spans="1:7">
      <c r="A16" s="14"/>
      <c r="B16" s="14"/>
      <c r="C16" s="14"/>
      <c r="D16" s="14"/>
    </row>
    <row r="26" spans="1:2">
      <c r="A26" s="14"/>
      <c r="B26" s="14"/>
    </row>
    <row r="27" spans="1:2">
      <c r="A27" s="14" t="s">
        <v>17</v>
      </c>
      <c r="B27" s="14"/>
    </row>
    <row r="28" spans="1:2">
      <c r="A28" s="15" t="s">
        <v>18</v>
      </c>
      <c r="B28" s="14"/>
    </row>
  </sheetData>
  <sheetProtection algorithmName="SHA-512" hashValue="810ewCZJAciF6JH80ZAC3tCDmC9Xg5CcWDr32Ebr4jf39CUX3TEcRHHVVkZUywIWHHMCeuUMXRq8Df/g4shAZA==" saltValue="jP8/9MwgFqpUzMjfECFfHQ==" spinCount="100000" sheet="1" objects="1" scenarios="1"/>
  <mergeCells count="1">
    <mergeCell ref="A1:G1"/>
  </mergeCells>
  <hyperlinks>
    <hyperlink ref="A28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activeCell="B5" sqref="B5"/>
    </sheetView>
  </sheetViews>
  <sheetFormatPr defaultColWidth="9.140625" defaultRowHeight="15"/>
  <cols>
    <col min="1" max="1" width="21.140625" style="1" customWidth="1"/>
    <col min="2" max="2" width="19.140625" style="1" customWidth="1"/>
    <col min="3" max="5" width="9.140625" style="1"/>
    <col min="6" max="6" width="4" style="1" bestFit="1" customWidth="1"/>
    <col min="7" max="7" width="18.140625" style="1" customWidth="1"/>
    <col min="8" max="16384" width="9.140625" style="1"/>
  </cols>
  <sheetData>
    <row r="1" spans="1:7" ht="17.25">
      <c r="A1" s="28" t="s">
        <v>9</v>
      </c>
      <c r="B1" s="28"/>
      <c r="C1" s="28"/>
      <c r="D1" s="28"/>
      <c r="E1" s="28"/>
      <c r="F1" s="28"/>
      <c r="G1" s="28"/>
    </row>
    <row r="2" spans="1:7" ht="17.25">
      <c r="A2" s="16" t="s">
        <v>0</v>
      </c>
      <c r="B2" s="3"/>
      <c r="C2" s="3"/>
      <c r="D2" s="3"/>
      <c r="E2" s="3"/>
      <c r="F2" s="3"/>
      <c r="G2" s="3"/>
    </row>
    <row r="3" spans="1:7" ht="17.25">
      <c r="A3" s="4" t="s">
        <v>1</v>
      </c>
      <c r="B3" s="5">
        <v>3730924.01</v>
      </c>
      <c r="C3" s="3"/>
      <c r="D3" s="3"/>
      <c r="E3" s="3"/>
      <c r="F3" s="3"/>
      <c r="G3" s="3"/>
    </row>
    <row r="4" spans="1:7" ht="17.25">
      <c r="A4" s="3"/>
      <c r="B4" s="3"/>
      <c r="C4" s="3"/>
      <c r="D4" s="3"/>
      <c r="E4" s="3"/>
      <c r="F4" s="3"/>
      <c r="G4" s="3"/>
    </row>
    <row r="5" spans="1:7" ht="18.75">
      <c r="A5" s="2" t="s">
        <v>2</v>
      </c>
      <c r="B5" s="9">
        <f>IF(B3&gt;3600000,30%,IF(B3&gt;1800000,14.7%,IF(B3&gt;720000,11.2%,IF(B3&gt;360000,10%,IF(B3&gt;180000,7.8%,4.5%)))))</f>
        <v>0.3</v>
      </c>
      <c r="C5" s="3"/>
      <c r="D5" s="3"/>
      <c r="E5" s="3"/>
      <c r="F5" s="3"/>
      <c r="G5" s="3"/>
    </row>
    <row r="6" spans="1:7" ht="17.25">
      <c r="A6" s="3"/>
      <c r="B6" s="3"/>
      <c r="C6" s="3"/>
      <c r="D6" s="3"/>
      <c r="E6" s="3"/>
      <c r="F6" s="3"/>
      <c r="G6" s="3"/>
    </row>
    <row r="7" spans="1:7" ht="17.25">
      <c r="A7" s="2" t="s">
        <v>19</v>
      </c>
      <c r="B7" s="10">
        <f>IF(B3&gt;3600000,720000,IF(B3&gt;1800000,85500,IF(B3&gt;720000,22500,IF(B3&gt;360000,13860,IF(B3&gt;180000,5940,0)))))</f>
        <v>720000</v>
      </c>
      <c r="C7" s="3"/>
      <c r="D7" s="3"/>
      <c r="E7" s="3"/>
      <c r="F7" s="11" t="s">
        <v>5</v>
      </c>
      <c r="G7" s="10">
        <f>B3*B5</f>
        <v>1119277.203</v>
      </c>
    </row>
    <row r="8" spans="1:7" ht="17.25">
      <c r="A8" s="3"/>
      <c r="B8" s="3"/>
      <c r="C8" s="3"/>
      <c r="D8" s="3"/>
      <c r="E8" s="3"/>
      <c r="F8" s="11" t="s">
        <v>6</v>
      </c>
      <c r="G8" s="10">
        <f>G7-B7</f>
        <v>399277.20299999998</v>
      </c>
    </row>
    <row r="9" spans="1:7" ht="17.25">
      <c r="A9" s="4" t="s">
        <v>3</v>
      </c>
      <c r="B9" s="5">
        <v>304044.27</v>
      </c>
      <c r="C9" s="3"/>
      <c r="D9" s="3"/>
      <c r="E9" s="3"/>
      <c r="F9" s="11" t="s">
        <v>7</v>
      </c>
      <c r="G9" s="12">
        <f>G8/B3</f>
        <v>0.10701831555127278</v>
      </c>
    </row>
    <row r="10" spans="1:7" ht="17.25">
      <c r="A10" s="3"/>
      <c r="B10" s="3"/>
      <c r="C10" s="3"/>
      <c r="D10" s="3"/>
      <c r="E10" s="3"/>
      <c r="F10" s="3"/>
      <c r="G10" s="11"/>
    </row>
    <row r="11" spans="1:7" ht="17.25">
      <c r="A11" s="2" t="s">
        <v>4</v>
      </c>
      <c r="B11" s="12">
        <f>G9</f>
        <v>0.10701831555127278</v>
      </c>
      <c r="C11" s="3"/>
      <c r="D11" s="3"/>
      <c r="E11" s="3"/>
      <c r="F11" s="3"/>
      <c r="G11" s="3"/>
    </row>
    <row r="12" spans="1:7" ht="17.25">
      <c r="A12" s="3"/>
      <c r="B12" s="3"/>
      <c r="C12" s="3"/>
      <c r="D12" s="3"/>
      <c r="E12" s="3"/>
      <c r="F12" s="3"/>
      <c r="G12" s="3"/>
    </row>
    <row r="13" spans="1:7" ht="17.25">
      <c r="A13" s="3"/>
      <c r="B13" s="3"/>
      <c r="C13" s="3"/>
      <c r="D13" s="3"/>
      <c r="E13" s="3"/>
      <c r="F13" s="3"/>
      <c r="G13" s="3"/>
    </row>
    <row r="14" spans="1:7" ht="17.25">
      <c r="A14" s="7" t="s">
        <v>20</v>
      </c>
      <c r="B14" s="13">
        <f>B9*B11</f>
        <v>32538.305628416383</v>
      </c>
      <c r="C14" s="11"/>
      <c r="D14" s="3"/>
      <c r="E14" s="3"/>
      <c r="F14" s="3"/>
      <c r="G14" s="3"/>
    </row>
    <row r="15" spans="1:7">
      <c r="B15" s="14"/>
      <c r="C15" s="14"/>
      <c r="D15" s="14"/>
    </row>
    <row r="25" spans="1:5">
      <c r="A25" s="14"/>
      <c r="B25" s="14"/>
      <c r="C25" s="14"/>
      <c r="D25" s="14"/>
      <c r="E25" s="14"/>
    </row>
    <row r="26" spans="1:5">
      <c r="A26" s="14" t="s">
        <v>17</v>
      </c>
      <c r="B26" s="14"/>
    </row>
    <row r="27" spans="1:5">
      <c r="A27" s="8" t="s">
        <v>18</v>
      </c>
      <c r="B27" s="14"/>
    </row>
  </sheetData>
  <sheetProtection algorithmName="SHA-512" hashValue="4uH4F3+kya3GW8M7QxtrSezvyZwhv2498uZ5kRUZ2Ly7W5vOTfkkNFH/TtYXyhxS/5vZXrD0U+dxohkep+1A5w==" saltValue="1EKMxqED6xIgpANzQt9+zg==" spinCount="100000" sheet="1" objects="1" scenarios="1"/>
  <mergeCells count="1">
    <mergeCell ref="A1:G1"/>
  </mergeCells>
  <hyperlinks>
    <hyperlink ref="A27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>
      <selection activeCell="B10" sqref="B10"/>
    </sheetView>
  </sheetViews>
  <sheetFormatPr defaultColWidth="9.140625" defaultRowHeight="15"/>
  <cols>
    <col min="1" max="1" width="19.85546875" style="1" customWidth="1"/>
    <col min="2" max="2" width="18.85546875" style="1" customWidth="1"/>
    <col min="3" max="5" width="9.140625" style="1"/>
    <col min="6" max="6" width="4" style="1" bestFit="1" customWidth="1"/>
    <col min="7" max="7" width="18.42578125" style="1" customWidth="1"/>
    <col min="8" max="16384" width="9.140625" style="1"/>
  </cols>
  <sheetData>
    <row r="1" spans="1:7" ht="17.25">
      <c r="A1" s="27" t="s">
        <v>21</v>
      </c>
      <c r="B1" s="27"/>
      <c r="C1" s="27"/>
      <c r="D1" s="27"/>
      <c r="E1" s="27"/>
      <c r="F1" s="27"/>
      <c r="G1" s="27"/>
    </row>
    <row r="2" spans="1:7" ht="17.25">
      <c r="A2" s="2" t="s">
        <v>0</v>
      </c>
      <c r="B2" s="3"/>
      <c r="C2" s="3"/>
      <c r="D2" s="3"/>
      <c r="E2" s="3"/>
      <c r="F2" s="3"/>
      <c r="G2" s="3"/>
    </row>
    <row r="3" spans="1:7" ht="17.25">
      <c r="A3" s="4" t="s">
        <v>1</v>
      </c>
      <c r="B3" s="5">
        <v>109391.49</v>
      </c>
      <c r="C3" s="3"/>
      <c r="D3" s="3"/>
      <c r="E3" s="3"/>
      <c r="F3" s="3"/>
      <c r="G3" s="3"/>
    </row>
    <row r="4" spans="1:7" ht="17.25">
      <c r="A4" s="3"/>
      <c r="B4" s="3"/>
      <c r="C4" s="3"/>
      <c r="D4" s="3"/>
      <c r="E4" s="3"/>
      <c r="F4" s="3"/>
      <c r="G4" s="3"/>
    </row>
    <row r="5" spans="1:7" ht="18.75">
      <c r="A5" s="2" t="s">
        <v>2</v>
      </c>
      <c r="B5" s="9">
        <f>IF(B3&gt;3600000,33%,IF(B3&gt;1800000,21%,IF(B3&gt;720000,16%,IF(B3&gt;360000,13.5%,IF(B3&gt;180000,11.2%,6%)))))</f>
        <v>0.06</v>
      </c>
      <c r="C5" s="3"/>
      <c r="D5" s="3"/>
      <c r="E5" s="3"/>
      <c r="F5" s="3"/>
      <c r="G5" s="3"/>
    </row>
    <row r="6" spans="1:7" ht="17.25">
      <c r="A6" s="3"/>
      <c r="B6" s="3"/>
      <c r="C6" s="3"/>
      <c r="D6" s="3"/>
      <c r="E6" s="3"/>
      <c r="F6" s="3"/>
      <c r="G6" s="3"/>
    </row>
    <row r="7" spans="1:7" ht="17.25">
      <c r="A7" s="2" t="s">
        <v>19</v>
      </c>
      <c r="B7" s="10">
        <f>IF(B3&gt;3600000,648000,IF(B3&gt;1800000,125640,IF(B3&gt;720000,35640,IF(B3&gt;360000,17640,IF(B3&gt;180000,9360,0)))))</f>
        <v>0</v>
      </c>
      <c r="C7" s="3"/>
      <c r="D7" s="3"/>
      <c r="E7" s="3"/>
      <c r="F7" s="11" t="s">
        <v>5</v>
      </c>
      <c r="G7" s="10">
        <f>B3*B5</f>
        <v>6563.4894000000004</v>
      </c>
    </row>
    <row r="8" spans="1:7" ht="17.25">
      <c r="A8" s="3"/>
      <c r="B8" s="3"/>
      <c r="C8" s="3"/>
      <c r="D8" s="3"/>
      <c r="E8" s="3"/>
      <c r="F8" s="11" t="s">
        <v>6</v>
      </c>
      <c r="G8" s="10">
        <f>G7-B7</f>
        <v>6563.4894000000004</v>
      </c>
    </row>
    <row r="9" spans="1:7" ht="17.25">
      <c r="A9" s="4" t="s">
        <v>3</v>
      </c>
      <c r="B9" s="5">
        <v>11368</v>
      </c>
      <c r="C9" s="3"/>
      <c r="D9" s="3"/>
      <c r="E9" s="3"/>
      <c r="F9" s="11" t="s">
        <v>7</v>
      </c>
      <c r="G9" s="12">
        <f>G8/B3</f>
        <v>0.06</v>
      </c>
    </row>
    <row r="10" spans="1:7" ht="17.25">
      <c r="A10" s="3"/>
      <c r="B10" s="3"/>
      <c r="C10" s="3"/>
      <c r="D10" s="3"/>
      <c r="E10" s="3"/>
      <c r="F10" s="3"/>
      <c r="G10" s="3"/>
    </row>
    <row r="11" spans="1:7" ht="17.25">
      <c r="A11" s="2" t="s">
        <v>4</v>
      </c>
      <c r="B11" s="12">
        <f>G9</f>
        <v>0.06</v>
      </c>
      <c r="C11" s="3"/>
      <c r="D11" s="3"/>
      <c r="E11" s="3"/>
      <c r="F11" s="3"/>
      <c r="G11" s="3"/>
    </row>
    <row r="12" spans="1:7" ht="17.25">
      <c r="A12" s="3"/>
      <c r="B12" s="3"/>
      <c r="C12" s="3"/>
      <c r="D12" s="3"/>
      <c r="E12" s="3"/>
      <c r="F12" s="3"/>
      <c r="G12" s="3"/>
    </row>
    <row r="13" spans="1:7" ht="17.25">
      <c r="A13" s="3"/>
      <c r="B13" s="3"/>
      <c r="C13" s="3"/>
      <c r="D13" s="3"/>
      <c r="E13" s="3"/>
      <c r="F13" s="3"/>
      <c r="G13" s="3"/>
    </row>
    <row r="14" spans="1:7" ht="17.25">
      <c r="A14" s="7" t="s">
        <v>20</v>
      </c>
      <c r="B14" s="13">
        <f>B9*B11</f>
        <v>682.07999999999993</v>
      </c>
      <c r="C14" s="3"/>
      <c r="D14" s="3"/>
      <c r="E14" s="3"/>
      <c r="F14" s="3"/>
      <c r="G14" s="3"/>
    </row>
    <row r="15" spans="1:7" ht="17.25">
      <c r="A15" s="3"/>
      <c r="B15" s="3"/>
      <c r="C15" s="3"/>
      <c r="D15" s="3"/>
      <c r="E15" s="3"/>
      <c r="F15" s="3"/>
      <c r="G15" s="3"/>
    </row>
    <row r="26" spans="1:2">
      <c r="A26" s="14" t="s">
        <v>17</v>
      </c>
      <c r="B26" s="14"/>
    </row>
    <row r="27" spans="1:2">
      <c r="A27" s="15" t="s">
        <v>18</v>
      </c>
      <c r="B27" s="14"/>
    </row>
    <row r="28" spans="1:2">
      <c r="B28" s="14"/>
    </row>
  </sheetData>
  <sheetProtection algorithmName="SHA-512" hashValue="YRlDyqDlbjKIcT3YZV9QiA0EphWipXM0J6qaaOxFRXTYcYjIG7GnqzqoVoG3TpHmVpOrktKgbOOsh26XBHGNZA==" saltValue="pyi0KmANCgRnuR8+tlFSzA==" spinCount="100000" sheet="1" objects="1" scenarios="1"/>
  <mergeCells count="1">
    <mergeCell ref="A1:G1"/>
  </mergeCells>
  <hyperlinks>
    <hyperlink ref="A27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activeCell="A27" sqref="A27"/>
    </sheetView>
  </sheetViews>
  <sheetFormatPr defaultColWidth="9.140625" defaultRowHeight="15"/>
  <cols>
    <col min="1" max="1" width="20.140625" style="1" customWidth="1"/>
    <col min="2" max="2" width="19.85546875" style="1" customWidth="1"/>
    <col min="3" max="5" width="9.140625" style="1"/>
    <col min="6" max="6" width="4" style="1" bestFit="1" customWidth="1"/>
    <col min="7" max="7" width="16" style="1" bestFit="1" customWidth="1"/>
    <col min="8" max="16384" width="9.140625" style="1"/>
  </cols>
  <sheetData>
    <row r="1" spans="1:7" ht="17.25">
      <c r="A1" s="28" t="s">
        <v>10</v>
      </c>
      <c r="B1" s="28"/>
      <c r="C1" s="28"/>
      <c r="D1" s="28"/>
      <c r="E1" s="28"/>
      <c r="F1" s="28"/>
      <c r="G1" s="28"/>
    </row>
    <row r="2" spans="1:7" ht="17.25">
      <c r="A2" s="16" t="s">
        <v>0</v>
      </c>
      <c r="B2" s="3"/>
      <c r="C2" s="3"/>
      <c r="D2" s="3"/>
      <c r="E2" s="3"/>
      <c r="F2" s="3"/>
      <c r="G2" s="3"/>
    </row>
    <row r="3" spans="1:7" ht="17.25">
      <c r="A3" s="4" t="s">
        <v>1</v>
      </c>
      <c r="B3" s="5">
        <v>61850</v>
      </c>
      <c r="C3" s="3"/>
      <c r="D3" s="3"/>
      <c r="E3" s="3"/>
      <c r="F3" s="3"/>
      <c r="G3" s="3"/>
    </row>
    <row r="4" spans="1:7" ht="17.25">
      <c r="A4" s="3"/>
      <c r="B4" s="3"/>
      <c r="C4" s="3"/>
      <c r="D4" s="3"/>
      <c r="E4" s="3"/>
      <c r="F4" s="3"/>
      <c r="G4" s="3"/>
    </row>
    <row r="5" spans="1:7" ht="18.75">
      <c r="A5" s="2" t="s">
        <v>2</v>
      </c>
      <c r="B5" s="9">
        <f>IF(B3&gt;3600000,33%,IF(B3&gt;1800000,22%,IF(B3&gt;720000,14%,IF(B3&gt;360000,10.2%,IF(B3&gt;180000,9%,4.5%)))))</f>
        <v>4.4999999999999998E-2</v>
      </c>
      <c r="C5" s="3"/>
      <c r="D5" s="3"/>
      <c r="E5" s="3"/>
      <c r="F5" s="3"/>
      <c r="G5" s="3"/>
    </row>
    <row r="6" spans="1:7" ht="17.25">
      <c r="A6" s="3"/>
      <c r="B6" s="3"/>
      <c r="C6" s="3"/>
      <c r="D6" s="3"/>
      <c r="E6" s="3"/>
      <c r="F6" s="3"/>
      <c r="G6" s="3"/>
    </row>
    <row r="7" spans="1:7" ht="17.25">
      <c r="A7" s="2" t="s">
        <v>19</v>
      </c>
      <c r="B7" s="10">
        <f>IF(B3&gt;3600000,828000,IF(B3&gt;1800000,183780,IF(B3&gt;720000,39780,IF(B3&gt;360000,12420,IF(B3&gt;180000,8100,0)))))</f>
        <v>0</v>
      </c>
      <c r="C7" s="3"/>
      <c r="D7" s="3"/>
      <c r="E7" s="3"/>
      <c r="F7" s="11" t="s">
        <v>5</v>
      </c>
      <c r="G7" s="10">
        <f>B3*B5</f>
        <v>2783.25</v>
      </c>
    </row>
    <row r="8" spans="1:7" ht="17.25">
      <c r="A8" s="3"/>
      <c r="B8" s="3"/>
      <c r="C8" s="3"/>
      <c r="D8" s="3"/>
      <c r="E8" s="3"/>
      <c r="F8" s="11" t="s">
        <v>6</v>
      </c>
      <c r="G8" s="10">
        <f>G7-B7</f>
        <v>2783.25</v>
      </c>
    </row>
    <row r="9" spans="1:7" ht="17.25">
      <c r="A9" s="4" t="s">
        <v>3</v>
      </c>
      <c r="B9" s="5">
        <v>8000</v>
      </c>
      <c r="C9" s="3"/>
      <c r="D9" s="3"/>
      <c r="E9" s="3"/>
      <c r="F9" s="11" t="s">
        <v>7</v>
      </c>
      <c r="G9" s="12">
        <f>G8/B3</f>
        <v>4.4999999999999998E-2</v>
      </c>
    </row>
    <row r="10" spans="1:7" ht="17.25">
      <c r="A10" s="3"/>
      <c r="B10" s="3"/>
      <c r="C10" s="3"/>
      <c r="D10" s="3"/>
      <c r="E10" s="3"/>
      <c r="F10" s="3"/>
      <c r="G10" s="3"/>
    </row>
    <row r="11" spans="1:7" ht="17.25">
      <c r="A11" s="2" t="s">
        <v>4</v>
      </c>
      <c r="B11" s="12">
        <f>G9</f>
        <v>4.4999999999999998E-2</v>
      </c>
      <c r="C11" s="3"/>
      <c r="D11" s="3"/>
      <c r="E11" s="3"/>
      <c r="F11" s="3"/>
      <c r="G11" s="3"/>
    </row>
    <row r="12" spans="1:7" ht="17.25">
      <c r="A12" s="3"/>
      <c r="B12" s="3"/>
      <c r="C12" s="3"/>
      <c r="D12" s="3"/>
      <c r="E12" s="3"/>
      <c r="F12" s="3"/>
      <c r="G12" s="3"/>
    </row>
    <row r="13" spans="1:7" ht="17.25">
      <c r="A13" s="3"/>
      <c r="B13" s="3"/>
      <c r="C13" s="3"/>
      <c r="D13" s="3"/>
      <c r="E13" s="3"/>
      <c r="F13" s="3"/>
      <c r="G13" s="3"/>
    </row>
    <row r="14" spans="1:7" ht="17.25">
      <c r="A14" s="7" t="s">
        <v>20</v>
      </c>
      <c r="B14" s="13">
        <f>B9*B11</f>
        <v>360</v>
      </c>
      <c r="C14" s="3"/>
      <c r="D14" s="3"/>
      <c r="E14" s="3"/>
      <c r="F14" s="3"/>
      <c r="G14" s="3"/>
    </row>
    <row r="26" spans="1:2">
      <c r="A26" s="14" t="s">
        <v>17</v>
      </c>
      <c r="B26" s="14"/>
    </row>
    <row r="27" spans="1:2">
      <c r="A27" s="15" t="s">
        <v>18</v>
      </c>
      <c r="B27" s="14"/>
    </row>
  </sheetData>
  <sheetProtection algorithmName="SHA-512" hashValue="fxZlTp8DbDCvjGBVSSiPrGSZ0wQwcQrkeU14XvVlC2w1YAGUkR6KF8ZOtGjlv9jpMfuD8zNiEsqkvHMO5rVeoA==" saltValue="spH+YZLH37uTVqewIDNbvw==" spinCount="100000" sheet="1" objects="1" scenarios="1"/>
  <mergeCells count="1">
    <mergeCell ref="A1:G1"/>
  </mergeCells>
  <hyperlinks>
    <hyperlink ref="A27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E17" sqref="E17"/>
    </sheetView>
  </sheetViews>
  <sheetFormatPr defaultColWidth="9.140625" defaultRowHeight="15"/>
  <cols>
    <col min="1" max="1" width="19.7109375" style="1" customWidth="1"/>
    <col min="2" max="2" width="20.85546875" style="1" customWidth="1"/>
    <col min="3" max="5" width="9.140625" style="1"/>
    <col min="6" max="6" width="4" style="1" bestFit="1" customWidth="1"/>
    <col min="7" max="7" width="16" style="1" bestFit="1" customWidth="1"/>
    <col min="8" max="16384" width="9.140625" style="1"/>
  </cols>
  <sheetData>
    <row r="1" spans="1:7" ht="17.25">
      <c r="A1" s="28" t="s">
        <v>11</v>
      </c>
      <c r="B1" s="28"/>
      <c r="C1" s="28"/>
      <c r="D1" s="28"/>
      <c r="E1" s="28"/>
      <c r="F1" s="28"/>
      <c r="G1" s="28"/>
    </row>
    <row r="2" spans="1:7" ht="17.25">
      <c r="A2" s="16" t="s">
        <v>0</v>
      </c>
      <c r="B2" s="3"/>
      <c r="C2" s="3"/>
      <c r="D2" s="3"/>
      <c r="E2" s="3"/>
      <c r="F2" s="3"/>
      <c r="G2" s="3"/>
    </row>
    <row r="3" spans="1:7" ht="17.25">
      <c r="A3" s="4" t="s">
        <v>1</v>
      </c>
      <c r="B3" s="5">
        <v>7965</v>
      </c>
      <c r="C3" s="3"/>
      <c r="D3" s="3"/>
      <c r="E3" s="3"/>
      <c r="F3" s="3"/>
      <c r="G3" s="3"/>
    </row>
    <row r="4" spans="1:7" ht="17.25">
      <c r="A4" s="3"/>
      <c r="B4" s="3"/>
      <c r="C4" s="3"/>
      <c r="D4" s="3"/>
      <c r="E4" s="3"/>
      <c r="F4" s="3"/>
      <c r="G4" s="3"/>
    </row>
    <row r="5" spans="1:7" ht="18.75">
      <c r="A5" s="16" t="s">
        <v>2</v>
      </c>
      <c r="B5" s="9">
        <f>IF(B3&gt;3600000,30.5%,IF(B3&gt;1800000,23%,IF(B3&gt;720000,20.5%,IF(B3&gt;360000,19.5%,IF(B3&gt;180000,18%,15.5%)))))</f>
        <v>0.155</v>
      </c>
      <c r="C5" s="3"/>
      <c r="D5" s="3"/>
      <c r="E5" s="3"/>
      <c r="F5" s="3"/>
      <c r="G5" s="3"/>
    </row>
    <row r="6" spans="1:7" ht="17.25">
      <c r="A6" s="3"/>
      <c r="B6" s="3"/>
      <c r="C6" s="3"/>
      <c r="D6" s="3"/>
      <c r="E6" s="3"/>
      <c r="F6" s="3"/>
      <c r="G6" s="3"/>
    </row>
    <row r="7" spans="1:7" ht="17.25">
      <c r="A7" s="16" t="s">
        <v>19</v>
      </c>
      <c r="B7" s="10">
        <f>IF(B3&gt;3600000,540000,IF(B3&gt;1800000,62100,IF(B3&gt;720000,17100,IF(B3&gt;360000,9900,IF(B3&gt;180000,4500,0)))))</f>
        <v>0</v>
      </c>
      <c r="C7" s="3"/>
      <c r="D7" s="3"/>
      <c r="E7" s="3"/>
      <c r="F7" s="11" t="s">
        <v>5</v>
      </c>
      <c r="G7" s="10">
        <f>B3*B5</f>
        <v>1234.575</v>
      </c>
    </row>
    <row r="8" spans="1:7" ht="17.25">
      <c r="A8" s="3"/>
      <c r="B8" s="3"/>
      <c r="C8" s="3"/>
      <c r="D8" s="3"/>
      <c r="E8" s="3"/>
      <c r="F8" s="11" t="s">
        <v>6</v>
      </c>
      <c r="G8" s="10">
        <f>G7-B7</f>
        <v>1234.575</v>
      </c>
    </row>
    <row r="9" spans="1:7" ht="17.25">
      <c r="A9" s="4" t="s">
        <v>3</v>
      </c>
      <c r="B9" s="5">
        <v>1600</v>
      </c>
      <c r="C9" s="3"/>
      <c r="D9" s="3"/>
      <c r="E9" s="3"/>
      <c r="F9" s="11" t="s">
        <v>7</v>
      </c>
      <c r="G9" s="12">
        <f>G8/B3</f>
        <v>0.155</v>
      </c>
    </row>
    <row r="10" spans="1:7" ht="17.25">
      <c r="A10" s="3"/>
      <c r="B10" s="3"/>
      <c r="C10" s="3"/>
      <c r="D10" s="3"/>
      <c r="E10" s="3"/>
      <c r="F10" s="3"/>
      <c r="G10" s="3"/>
    </row>
    <row r="11" spans="1:7" ht="17.25">
      <c r="A11" s="16" t="s">
        <v>4</v>
      </c>
      <c r="B11" s="12">
        <f>G9</f>
        <v>0.155</v>
      </c>
      <c r="C11" s="3"/>
      <c r="D11" s="3"/>
      <c r="E11" s="3"/>
      <c r="F11" s="3"/>
      <c r="G11" s="3"/>
    </row>
    <row r="12" spans="1:7" ht="17.25">
      <c r="A12" s="3"/>
      <c r="B12" s="11"/>
      <c r="C12" s="3"/>
      <c r="D12" s="3"/>
      <c r="E12" s="3"/>
      <c r="F12" s="3"/>
      <c r="G12" s="3"/>
    </row>
    <row r="13" spans="1:7" ht="17.25">
      <c r="A13" s="3"/>
      <c r="B13" s="3"/>
      <c r="C13" s="3"/>
      <c r="D13" s="3"/>
      <c r="E13" s="3"/>
      <c r="F13" s="3"/>
      <c r="G13" s="3"/>
    </row>
    <row r="14" spans="1:7" ht="17.25">
      <c r="A14" s="17" t="s">
        <v>20</v>
      </c>
      <c r="B14" s="13">
        <f>B9*B11</f>
        <v>248</v>
      </c>
      <c r="C14" s="3"/>
      <c r="D14" s="3"/>
      <c r="E14" s="3"/>
      <c r="F14" s="3"/>
      <c r="G14" s="3"/>
    </row>
    <row r="15" spans="1:7" ht="17.25">
      <c r="A15" s="3"/>
      <c r="B15" s="3"/>
      <c r="C15" s="3"/>
      <c r="D15" s="3"/>
      <c r="E15" s="3"/>
      <c r="F15" s="3"/>
      <c r="G15" s="3"/>
    </row>
    <row r="17" spans="1:5">
      <c r="A17" s="14"/>
      <c r="B17" s="14"/>
      <c r="C17" s="14"/>
      <c r="D17" s="14"/>
      <c r="E17" s="14"/>
    </row>
    <row r="28" spans="1:5">
      <c r="A28" s="14" t="s">
        <v>17</v>
      </c>
      <c r="B28" s="14"/>
    </row>
    <row r="29" spans="1:5">
      <c r="A29" s="15" t="s">
        <v>18</v>
      </c>
      <c r="B29" s="14"/>
    </row>
  </sheetData>
  <sheetProtection algorithmName="SHA-512" hashValue="V9Mo0F2PnGHqlUgrzoDiNc7GNW7HaZPXin4sa0AKmpNO2SN5mHxGUa5LrRPOTotBUpl2mZgD2A1hhuQ65ST3rg==" saltValue="XNM3qgPISL0R+KCw0IeUpg==" spinCount="100000" sheet="1" objects="1" scenarios="1"/>
  <mergeCells count="1">
    <mergeCell ref="A1:G1"/>
  </mergeCells>
  <hyperlinks>
    <hyperlink ref="A29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4"/>
  <sheetViews>
    <sheetView workbookViewId="0">
      <selection activeCell="E7" sqref="E7"/>
    </sheetView>
  </sheetViews>
  <sheetFormatPr defaultColWidth="9.140625" defaultRowHeight="15"/>
  <cols>
    <col min="1" max="1" width="22.85546875" style="1" customWidth="1"/>
    <col min="2" max="2" width="19.28515625" style="1" customWidth="1"/>
    <col min="3" max="4" width="9.140625" style="1"/>
    <col min="5" max="5" width="15.140625" style="1" customWidth="1"/>
    <col min="6" max="16384" width="9.140625" style="1"/>
  </cols>
  <sheetData>
    <row r="1" spans="1:10" ht="17.25">
      <c r="A1" s="29" t="s">
        <v>12</v>
      </c>
      <c r="B1" s="29"/>
      <c r="C1" s="29"/>
      <c r="D1" s="29"/>
      <c r="E1" s="29"/>
    </row>
    <row r="2" spans="1:10" ht="17.25">
      <c r="A2" s="3"/>
      <c r="B2" s="3"/>
      <c r="C2" s="3"/>
      <c r="D2" s="3"/>
      <c r="E2" s="3"/>
    </row>
    <row r="3" spans="1:10" ht="17.25">
      <c r="A3" s="18" t="s">
        <v>13</v>
      </c>
      <c r="B3" s="19">
        <v>238000</v>
      </c>
      <c r="C3" s="3"/>
      <c r="D3" s="3"/>
      <c r="E3" s="20"/>
      <c r="F3" s="21"/>
      <c r="G3" s="21"/>
      <c r="H3" s="21"/>
      <c r="I3" s="21"/>
      <c r="J3" s="21"/>
    </row>
    <row r="4" spans="1:10" ht="17.25">
      <c r="A4" s="3"/>
      <c r="B4" s="6"/>
      <c r="C4" s="3"/>
      <c r="D4" s="3"/>
      <c r="E4" s="20"/>
      <c r="F4" s="21"/>
      <c r="G4" s="21"/>
      <c r="H4" s="21"/>
      <c r="I4" s="21"/>
      <c r="J4" s="21"/>
    </row>
    <row r="5" spans="1:10" ht="17.25">
      <c r="A5" s="18" t="s">
        <v>14</v>
      </c>
      <c r="B5" s="19">
        <v>134000</v>
      </c>
      <c r="C5" s="3"/>
      <c r="D5" s="3"/>
      <c r="E5" s="20"/>
      <c r="F5" s="21"/>
      <c r="G5" s="21"/>
      <c r="H5" s="21"/>
      <c r="I5" s="21"/>
      <c r="J5" s="21"/>
    </row>
    <row r="6" spans="1:10" ht="17.25">
      <c r="A6" s="3"/>
      <c r="B6" s="6"/>
      <c r="C6" s="3"/>
      <c r="D6" s="3"/>
      <c r="E6" s="20"/>
      <c r="F6" s="21"/>
      <c r="G6" s="21"/>
      <c r="H6" s="21"/>
      <c r="I6" s="21"/>
      <c r="J6" s="21"/>
    </row>
    <row r="7" spans="1:10" ht="17.25">
      <c r="A7" s="11" t="s">
        <v>15</v>
      </c>
      <c r="B7" s="22">
        <f>B5/B3</f>
        <v>0.56302521008403361</v>
      </c>
      <c r="C7" s="3"/>
      <c r="D7" s="3"/>
      <c r="E7" s="20"/>
      <c r="F7" s="21"/>
      <c r="G7" s="21"/>
      <c r="H7" s="21"/>
      <c r="I7" s="21"/>
      <c r="J7" s="21"/>
    </row>
    <row r="8" spans="1:10" ht="17.25">
      <c r="A8" s="3"/>
      <c r="B8" s="11"/>
      <c r="C8" s="3"/>
      <c r="D8" s="3"/>
      <c r="E8" s="20"/>
      <c r="F8" s="21"/>
      <c r="G8" s="21"/>
      <c r="H8" s="21"/>
      <c r="I8" s="21"/>
      <c r="J8" s="21"/>
    </row>
    <row r="9" spans="1:10" ht="17.25">
      <c r="A9" s="23" t="s">
        <v>16</v>
      </c>
      <c r="B9" s="24" t="str">
        <f>IF(B7&gt;=0.28,"ANEXO III","ANEXO V")</f>
        <v>ANEXO III</v>
      </c>
      <c r="C9" s="3"/>
      <c r="D9" s="3"/>
      <c r="E9" s="20"/>
      <c r="F9" s="21"/>
      <c r="G9" s="21"/>
      <c r="H9" s="21"/>
      <c r="I9" s="21"/>
      <c r="J9" s="21"/>
    </row>
    <row r="10" spans="1:10" ht="17.25">
      <c r="A10" s="3"/>
      <c r="B10" s="3"/>
      <c r="C10" s="3"/>
      <c r="D10" s="3"/>
      <c r="E10" s="26"/>
      <c r="F10" s="21"/>
      <c r="G10" s="21"/>
      <c r="H10" s="21"/>
      <c r="I10" s="21"/>
      <c r="J10" s="21"/>
    </row>
    <row r="11" spans="1:10">
      <c r="E11" s="25"/>
      <c r="F11" s="21"/>
      <c r="G11" s="21"/>
      <c r="H11" s="21"/>
      <c r="I11" s="21"/>
      <c r="J11" s="21"/>
    </row>
    <row r="12" spans="1:10">
      <c r="E12" s="25"/>
      <c r="F12" s="21"/>
      <c r="G12" s="21"/>
      <c r="H12" s="21"/>
      <c r="I12" s="21"/>
      <c r="J12" s="21"/>
    </row>
    <row r="13" spans="1:10">
      <c r="E13" s="25"/>
      <c r="F13" s="21"/>
      <c r="G13" s="21"/>
      <c r="H13" s="21"/>
      <c r="I13" s="21"/>
      <c r="J13" s="21"/>
    </row>
    <row r="14" spans="1:10">
      <c r="E14" s="25"/>
      <c r="F14" s="21"/>
      <c r="G14" s="21"/>
      <c r="H14" s="21"/>
      <c r="I14" s="21"/>
      <c r="J14" s="21"/>
    </row>
    <row r="15" spans="1:10">
      <c r="E15" s="25"/>
      <c r="F15" s="21"/>
      <c r="G15" s="21"/>
      <c r="H15" s="21"/>
      <c r="I15" s="21"/>
      <c r="J15" s="21"/>
    </row>
    <row r="16" spans="1:10">
      <c r="E16" s="25"/>
      <c r="F16" s="21"/>
      <c r="G16" s="21"/>
      <c r="H16" s="21"/>
      <c r="I16" s="21"/>
      <c r="J16" s="21"/>
    </row>
    <row r="17" spans="5:10">
      <c r="E17" s="25"/>
      <c r="F17" s="21"/>
      <c r="G17" s="21"/>
      <c r="H17" s="21"/>
      <c r="I17" s="21"/>
      <c r="J17" s="21"/>
    </row>
    <row r="18" spans="5:10">
      <c r="E18" s="25"/>
      <c r="F18" s="21"/>
      <c r="G18" s="21"/>
      <c r="H18" s="21"/>
      <c r="I18" s="21"/>
      <c r="J18" s="21"/>
    </row>
    <row r="19" spans="5:10">
      <c r="E19" s="14"/>
    </row>
    <row r="20" spans="5:10">
      <c r="E20" s="14"/>
    </row>
    <row r="33" spans="1:2">
      <c r="A33" s="14" t="s">
        <v>17</v>
      </c>
      <c r="B33" s="14"/>
    </row>
    <row r="34" spans="1:2">
      <c r="A34" s="15" t="s">
        <v>18</v>
      </c>
      <c r="B34" s="14"/>
    </row>
  </sheetData>
  <sheetProtection algorithmName="SHA-512" hashValue="pVXvnciXCGZjwh+oTuY0gnNHhq903qe0DWV5Ntd2rd3IjMTUNIBbGjeFVVUgDevGCuwPvPA8o8gFp89breiiOQ==" saltValue="xF71GytYisyBFtF35wNaag==" spinCount="100000" sheet="1" objects="1" scenarios="1"/>
  <mergeCells count="1">
    <mergeCell ref="A1:E1"/>
  </mergeCells>
  <hyperlinks>
    <hyperlink ref="A34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Anexo I</vt:lpstr>
      <vt:lpstr>Anexo II</vt:lpstr>
      <vt:lpstr>Anexo III</vt:lpstr>
      <vt:lpstr>Anexo IV</vt:lpstr>
      <vt:lpstr>Anexo V</vt:lpstr>
      <vt:lpstr>Serviços - Cálculo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Elaine Couto</cp:lastModifiedBy>
  <cp:lastPrinted>2017-07-12T20:04:37Z</cp:lastPrinted>
  <dcterms:created xsi:type="dcterms:W3CDTF">2017-07-11T19:53:27Z</dcterms:created>
  <dcterms:modified xsi:type="dcterms:W3CDTF">2018-02-07T22:34:21Z</dcterms:modified>
</cp:coreProperties>
</file>