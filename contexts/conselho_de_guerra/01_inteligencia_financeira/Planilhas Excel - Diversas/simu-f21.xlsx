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mbeddings/oleObject5.bin" ContentType="application/vnd.openxmlformats-officedocument.oleObject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6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380\AC\Temp\"/>
    </mc:Choice>
  </mc:AlternateContent>
  <xr:revisionPtr revIDLastSave="0" documentId="8_{C65C7CF7-77C7-214A-BBEA-6510FFD6A33A}" xr6:coauthVersionLast="32" xr6:coauthVersionMax="32" xr10:uidLastSave="{00000000-0000-0000-0000-000000000000}"/>
  <bookViews>
    <workbookView xWindow="32760" yWindow="1545" windowWidth="12120" windowHeight="8790" xr2:uid="{00000000-000D-0000-FFFF-FFFF00000000}"/>
  </bookViews>
  <sheets>
    <sheet name="Problema" sheetId="3" r:id="rId1"/>
    <sheet name="Solução" sheetId="1" r:id="rId2"/>
    <sheet name="SIMPLES" sheetId="2" r:id="rId3"/>
  </sheets>
  <definedNames>
    <definedName name="_xlnm.Print_Area" localSheetId="1">Solução!$F$36:$L$56</definedName>
    <definedName name="solver_adj" localSheetId="1" hidden="1">Solução!$M$4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hs1" localSheetId="1" hidden="1">Solução!$M$4</definedName>
    <definedName name="solver_lhs2" localSheetId="1" hidden="1">Solução!$M$4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Solução!$K$51</definedName>
    <definedName name="solver_pre" localSheetId="1" hidden="1">0.000001</definedName>
    <definedName name="solver_rel1" localSheetId="1" hidden="1">3</definedName>
    <definedName name="solver_rel2" localSheetId="1" hidden="1">3</definedName>
    <definedName name="solver_rhs1" localSheetId="1" hidden="1">0</definedName>
    <definedName name="solver_rhs2" localSheetId="1" hidden="1">500000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1</definedName>
    <definedName name="solver_val" localSheetId="1" hidden="1">0</definedName>
  </definedNames>
  <calcPr calcId="179016"/>
</workbook>
</file>

<file path=xl/calcChain.xml><?xml version="1.0" encoding="utf-8"?>
<calcChain xmlns="http://schemas.openxmlformats.org/spreadsheetml/2006/main">
  <c r="M6" i="1" l="1"/>
  <c r="I40" i="1"/>
  <c r="J38" i="1"/>
  <c r="K38" i="1"/>
  <c r="L38" i="1"/>
  <c r="L5" i="3"/>
  <c r="J6" i="3"/>
  <c r="K6" i="3"/>
  <c r="L6" i="3"/>
  <c r="M6" i="3"/>
  <c r="M8" i="3"/>
  <c r="J9" i="3"/>
  <c r="K9" i="3"/>
  <c r="L9" i="3"/>
  <c r="M9" i="3"/>
  <c r="J13" i="3"/>
  <c r="K13" i="3"/>
  <c r="L13" i="3"/>
  <c r="M16" i="3"/>
  <c r="M17" i="3"/>
  <c r="M18" i="3"/>
  <c r="M20" i="3"/>
  <c r="M21" i="3"/>
  <c r="M22" i="3"/>
  <c r="J24" i="3"/>
  <c r="K24" i="3"/>
  <c r="L24" i="3"/>
  <c r="M24" i="3"/>
  <c r="J26" i="3"/>
  <c r="K26" i="3"/>
  <c r="L26" i="3"/>
  <c r="J29" i="3"/>
  <c r="K29" i="3"/>
  <c r="L29" i="3"/>
  <c r="K30" i="3"/>
  <c r="L30" i="3"/>
  <c r="M30" i="3"/>
  <c r="J31" i="3"/>
  <c r="K31" i="3"/>
  <c r="L31" i="3"/>
  <c r="M31" i="3"/>
  <c r="J33" i="3"/>
  <c r="K33" i="3"/>
  <c r="L33" i="3"/>
  <c r="M33" i="3"/>
  <c r="I33" i="3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L5" i="1"/>
  <c r="J6" i="1"/>
  <c r="K6" i="1"/>
  <c r="L6" i="1"/>
  <c r="M8" i="1"/>
  <c r="J9" i="1"/>
  <c r="K9" i="1"/>
  <c r="L9" i="1"/>
  <c r="M9" i="1"/>
  <c r="J13" i="1"/>
  <c r="K13" i="1"/>
  <c r="L13" i="1"/>
  <c r="M16" i="1"/>
  <c r="M17" i="1"/>
  <c r="M18" i="1"/>
  <c r="M20" i="1"/>
  <c r="M21" i="1"/>
  <c r="M22" i="1"/>
  <c r="J24" i="1"/>
  <c r="K24" i="1"/>
  <c r="L24" i="1"/>
  <c r="M24" i="1"/>
  <c r="J26" i="1"/>
  <c r="K26" i="1"/>
  <c r="L26" i="1"/>
  <c r="J29" i="1"/>
  <c r="K29" i="1"/>
  <c r="L29" i="1"/>
  <c r="M29" i="1"/>
  <c r="K30" i="1"/>
  <c r="L30" i="1"/>
  <c r="M30" i="1"/>
  <c r="J31" i="1"/>
  <c r="K31" i="1"/>
  <c r="L31" i="1"/>
  <c r="M31" i="1"/>
  <c r="J33" i="1"/>
  <c r="K33" i="1"/>
  <c r="L33" i="1"/>
  <c r="M33" i="1"/>
  <c r="I33" i="1"/>
  <c r="I39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J46" i="1"/>
  <c r="K46" i="1"/>
  <c r="J47" i="1"/>
  <c r="K47" i="1"/>
  <c r="J48" i="1"/>
  <c r="K48" i="1"/>
  <c r="J49" i="1"/>
  <c r="K49" i="1"/>
  <c r="L50" i="1"/>
  <c r="J51" i="1"/>
  <c r="K51" i="1"/>
  <c r="L51" i="1"/>
  <c r="J52" i="1"/>
  <c r="K52" i="1"/>
  <c r="L52" i="1"/>
  <c r="J57" i="1"/>
  <c r="I58" i="1"/>
  <c r="J58" i="1"/>
  <c r="H59" i="1"/>
  <c r="I59" i="1"/>
  <c r="J59" i="1"/>
  <c r="H60" i="1"/>
  <c r="J60" i="1"/>
  <c r="I61" i="1"/>
  <c r="H61" i="1"/>
  <c r="J61" i="1"/>
  <c r="H62" i="1"/>
  <c r="J62" i="1"/>
  <c r="H63" i="1"/>
  <c r="J63" i="1"/>
  <c r="J65" i="1"/>
  <c r="J53" i="1"/>
  <c r="K57" i="1"/>
  <c r="K58" i="1"/>
  <c r="K59" i="1"/>
  <c r="K60" i="1"/>
  <c r="K61" i="1"/>
  <c r="I62" i="1"/>
  <c r="K62" i="1"/>
  <c r="I63" i="1"/>
  <c r="K63" i="1"/>
  <c r="K65" i="1"/>
  <c r="K53" i="1"/>
  <c r="L57" i="1"/>
  <c r="L58" i="1"/>
  <c r="L64" i="1"/>
  <c r="L65" i="1"/>
  <c r="L53" i="1"/>
  <c r="J54" i="1"/>
  <c r="K54" i="1"/>
  <c r="L54" i="1"/>
  <c r="J55" i="1"/>
  <c r="K55" i="1"/>
  <c r="L55" i="1"/>
  <c r="I60" i="1"/>
  <c r="F73" i="1"/>
  <c r="H73" i="1"/>
  <c r="I73" i="1"/>
  <c r="J73" i="1"/>
  <c r="K73" i="1"/>
  <c r="L73" i="1"/>
  <c r="M73" i="1"/>
  <c r="N73" i="1"/>
  <c r="O73" i="1"/>
  <c r="P73" i="1"/>
  <c r="F86" i="1"/>
  <c r="G99" i="1"/>
  <c r="G86" i="1"/>
  <c r="H99" i="1"/>
  <c r="H86" i="1"/>
  <c r="I99" i="1"/>
  <c r="I86" i="1"/>
  <c r="J99" i="1"/>
  <c r="J86" i="1"/>
  <c r="K99" i="1"/>
  <c r="K86" i="1"/>
  <c r="L99" i="1"/>
  <c r="L86" i="1"/>
  <c r="M99" i="1"/>
  <c r="M86" i="1"/>
  <c r="N99" i="1"/>
  <c r="N86" i="1"/>
  <c r="O99" i="1"/>
  <c r="O86" i="1"/>
  <c r="P99" i="1"/>
  <c r="P86" i="1"/>
  <c r="F99" i="1"/>
  <c r="F113" i="1"/>
  <c r="G113" i="1"/>
  <c r="H113" i="1"/>
  <c r="I113" i="1"/>
  <c r="J113" i="1"/>
  <c r="K113" i="1"/>
  <c r="L113" i="1"/>
  <c r="M113" i="1"/>
  <c r="N113" i="1"/>
  <c r="O113" i="1"/>
  <c r="P113" i="1"/>
  <c r="G114" i="1"/>
  <c r="H114" i="1"/>
  <c r="I114" i="1"/>
  <c r="J114" i="1"/>
  <c r="K114" i="1"/>
  <c r="L114" i="1"/>
  <c r="M114" i="1"/>
  <c r="N114" i="1"/>
  <c r="O114" i="1"/>
  <c r="P114" i="1"/>
  <c r="G115" i="1"/>
  <c r="H115" i="1"/>
  <c r="I115" i="1"/>
  <c r="J115" i="1"/>
  <c r="K115" i="1"/>
  <c r="L115" i="1"/>
  <c r="M115" i="1"/>
  <c r="N115" i="1"/>
  <c r="O115" i="1"/>
  <c r="P115" i="1"/>
  <c r="G116" i="1"/>
  <c r="H116" i="1"/>
  <c r="I116" i="1"/>
  <c r="J116" i="1"/>
  <c r="K116" i="1"/>
  <c r="L116" i="1"/>
  <c r="M116" i="1"/>
  <c r="N116" i="1"/>
  <c r="O116" i="1"/>
  <c r="P116" i="1"/>
  <c r="G117" i="1"/>
  <c r="H117" i="1"/>
  <c r="I117" i="1"/>
  <c r="J117" i="1"/>
  <c r="K117" i="1"/>
  <c r="L117" i="1"/>
  <c r="M117" i="1"/>
  <c r="N117" i="1"/>
  <c r="O117" i="1"/>
  <c r="P117" i="1"/>
  <c r="G118" i="1"/>
  <c r="H118" i="1"/>
  <c r="I118" i="1"/>
  <c r="J118" i="1"/>
  <c r="K118" i="1"/>
  <c r="L118" i="1"/>
  <c r="M118" i="1"/>
  <c r="N118" i="1"/>
  <c r="O118" i="1"/>
  <c r="P118" i="1"/>
  <c r="G119" i="1"/>
  <c r="H119" i="1"/>
  <c r="I119" i="1"/>
  <c r="J119" i="1"/>
  <c r="K119" i="1"/>
  <c r="L119" i="1"/>
  <c r="M119" i="1"/>
  <c r="N119" i="1"/>
  <c r="O119" i="1"/>
  <c r="P119" i="1"/>
  <c r="G120" i="1"/>
  <c r="H120" i="1"/>
  <c r="I120" i="1"/>
  <c r="J120" i="1"/>
  <c r="K120" i="1"/>
  <c r="L120" i="1"/>
  <c r="M120" i="1"/>
  <c r="N120" i="1"/>
  <c r="O120" i="1"/>
  <c r="P120" i="1"/>
  <c r="G121" i="1"/>
  <c r="H121" i="1"/>
  <c r="I121" i="1"/>
  <c r="J121" i="1"/>
  <c r="K121" i="1"/>
  <c r="L121" i="1"/>
  <c r="M121" i="1"/>
  <c r="N121" i="1"/>
  <c r="O121" i="1"/>
  <c r="P121" i="1"/>
  <c r="G122" i="1"/>
  <c r="H122" i="1"/>
  <c r="I122" i="1"/>
  <c r="J122" i="1"/>
  <c r="K122" i="1"/>
  <c r="L122" i="1"/>
  <c r="M122" i="1"/>
  <c r="N122" i="1"/>
  <c r="O122" i="1"/>
  <c r="P122" i="1"/>
  <c r="G123" i="1"/>
  <c r="H123" i="1"/>
  <c r="I123" i="1"/>
  <c r="J123" i="1"/>
  <c r="K123" i="1"/>
  <c r="L123" i="1"/>
  <c r="M123" i="1"/>
  <c r="N123" i="1"/>
  <c r="O123" i="1"/>
  <c r="P1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Afonso</author>
  </authors>
  <commentList>
    <comment ref="M4" authorId="0" shapeId="0" xr:uid="{00000000-0006-0000-0000-000001000000}">
      <text>
        <r>
          <rPr>
            <b/>
            <sz val="8"/>
            <color indexed="81"/>
            <rFont val="Tahoma"/>
          </rPr>
          <t>100% do valor do faturamento do ano</t>
        </r>
        <r>
          <rPr>
            <sz val="8"/>
            <color indexed="81"/>
            <rFont val="Tahoma"/>
          </rPr>
          <t xml:space="preserve">
</t>
        </r>
      </text>
    </comment>
    <comment ref="J5" authorId="0" shapeId="0" xr:uid="{00000000-0006-0000-0000-000002000000}">
      <text>
        <r>
          <rPr>
            <b/>
            <sz val="8"/>
            <color indexed="81"/>
            <rFont val="Tahoma"/>
          </rPr>
          <t>% de participação do produto 1 no valor total do faturamento do ano.</t>
        </r>
        <r>
          <rPr>
            <sz val="8"/>
            <color indexed="81"/>
            <rFont val="Tahoma"/>
          </rPr>
          <t xml:space="preserve">
</t>
        </r>
      </text>
    </comment>
    <comment ref="K5" authorId="0" shapeId="0" xr:uid="{00000000-0006-0000-0000-000003000000}">
      <text>
        <r>
          <rPr>
            <b/>
            <sz val="8"/>
            <color indexed="81"/>
            <rFont val="Tahoma"/>
          </rPr>
          <t>% de participação do produto 2 no valor total do faturamento do ano.</t>
        </r>
        <r>
          <rPr>
            <sz val="8"/>
            <color indexed="81"/>
            <rFont val="Tahoma"/>
          </rPr>
          <t xml:space="preserve">
</t>
        </r>
      </text>
    </comment>
    <comment ref="L5" authorId="0" shapeId="0" xr:uid="{00000000-0006-0000-0000-000004000000}">
      <text>
        <r>
          <rPr>
            <b/>
            <sz val="8"/>
            <color indexed="81"/>
            <rFont val="Tahoma"/>
          </rPr>
          <t>% de participação dos outros produtos1 no valor total do faturamento do ano.</t>
        </r>
        <r>
          <rPr>
            <sz val="8"/>
            <color indexed="81"/>
            <rFont val="Tahoma"/>
          </rPr>
          <t xml:space="preserve">
</t>
        </r>
      </text>
    </comment>
    <comment ref="A10" authorId="0" shapeId="0" xr:uid="{00000000-0006-0000-0000-000005000000}">
      <text>
        <r>
          <rPr>
            <b/>
            <sz val="8"/>
            <color indexed="81"/>
            <rFont val="Tahoma"/>
          </rPr>
          <t>Distribui;áo para venda por localidade para efeito de busca da alíquota base vigente</t>
        </r>
        <r>
          <rPr>
            <sz val="8"/>
            <color indexed="81"/>
            <rFont val="Tahoma"/>
          </rPr>
          <t xml:space="preserve">
</t>
        </r>
      </text>
    </comment>
    <comment ref="C15" authorId="0" shapeId="0" xr:uid="{00000000-0006-0000-0000-000006000000}">
      <text>
        <r>
          <rPr>
            <b/>
            <sz val="8"/>
            <color indexed="81"/>
            <rFont val="Tahoma"/>
          </rPr>
          <t>Alíquota base por localidade</t>
        </r>
        <r>
          <rPr>
            <sz val="8"/>
            <color indexed="81"/>
            <rFont val="Tahoma"/>
          </rPr>
          <t xml:space="preserve">
</t>
        </r>
      </text>
    </comment>
    <comment ref="C19" authorId="0" shapeId="0" xr:uid="{00000000-0006-0000-0000-000007000000}">
      <text>
        <r>
          <rPr>
            <sz val="8"/>
            <color indexed="81"/>
            <rFont val="Tahoma"/>
          </rPr>
          <t xml:space="preserve">Redução da base fiscal por localidade
</t>
        </r>
      </text>
    </comment>
    <comment ref="C30" authorId="0" shapeId="0" xr:uid="{00000000-0006-0000-0000-000008000000}">
      <text>
        <r>
          <rPr>
            <b/>
            <sz val="8"/>
            <color indexed="81"/>
            <rFont val="Tahoma"/>
          </rPr>
          <t>Alíquota média do crédito tributário do ICMS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<sst xmlns="http://schemas.openxmlformats.org/spreadsheetml/2006/main" count="119" uniqueCount="72">
  <si>
    <t>Lucro Real</t>
  </si>
  <si>
    <t>Simples</t>
  </si>
  <si>
    <t>Faturamento Total</t>
  </si>
  <si>
    <t>Gestão Estratégica da Estrutura Tributária</t>
  </si>
  <si>
    <t>(-) Despesas</t>
  </si>
  <si>
    <t>IRPJ</t>
  </si>
  <si>
    <t>CSLL</t>
  </si>
  <si>
    <t>PIS</t>
  </si>
  <si>
    <t>COFINS</t>
  </si>
  <si>
    <t>Adicional IR</t>
  </si>
  <si>
    <t>Lucro Presumido</t>
  </si>
  <si>
    <t>(-) Despesas não operacionais</t>
  </si>
  <si>
    <t>Total de tributação pendente</t>
  </si>
  <si>
    <t xml:space="preserve">  . Fatuaramento 01 (tributado)</t>
  </si>
  <si>
    <t>Base de Cálculo: Fat. não Tributado</t>
  </si>
  <si>
    <t>Faturamento</t>
  </si>
  <si>
    <t>Alíquota %</t>
  </si>
  <si>
    <t xml:space="preserve">de </t>
  </si>
  <si>
    <t>a</t>
  </si>
  <si>
    <t>SIMPLES</t>
  </si>
  <si>
    <t>SIMPLES - Sistema Integrado de Pagamento de Impostos e Contribuições ds Microempresas e das Empresas de Pequeno Porte</t>
  </si>
  <si>
    <t>tabela</t>
  </si>
  <si>
    <t>LUCRO PRESUMIDO</t>
  </si>
  <si>
    <t>LUCRO REAL</t>
  </si>
  <si>
    <t>Lucro/(Prejuízo) Líquido I</t>
  </si>
  <si>
    <t>Lucro/(Prejuízo) Líquido II</t>
  </si>
  <si>
    <t>COMPARAÇÃO:</t>
  </si>
  <si>
    <t>margem líquida I</t>
  </si>
  <si>
    <t>margem líquida II</t>
  </si>
  <si>
    <t>(-) Custos</t>
  </si>
  <si>
    <t>Interestadual venda a sul e sudeste</t>
  </si>
  <si>
    <t>Redução da Carga Tributária</t>
  </si>
  <si>
    <t>Interestadual venda norte, nordeste, centro oeste, e ES</t>
  </si>
  <si>
    <t>TOTAL ANO</t>
  </si>
  <si>
    <t>Distribuição do Mix de produtos vendidos</t>
  </si>
  <si>
    <t>. Distribuição por tipo de tributação</t>
  </si>
  <si>
    <t>Interestadual venda norte, nordeste, centro oeste e ES</t>
  </si>
  <si>
    <t>Alíquota Base</t>
  </si>
  <si>
    <t>Média</t>
  </si>
  <si>
    <t>Carga Tributária Média Final ICMS</t>
  </si>
  <si>
    <t>ICMS</t>
  </si>
  <si>
    <t>(-)</t>
  </si>
  <si>
    <t>Valor de Compras</t>
  </si>
  <si>
    <t>Faturamento Total Ano</t>
  </si>
  <si>
    <t>Valor do crédito tributário de ICMS</t>
  </si>
  <si>
    <t>Cálculo do Crédito Tributário</t>
  </si>
  <si>
    <t>Valor do ICMS  Calculado</t>
  </si>
  <si>
    <t>(-) Impostos e Contribuições</t>
  </si>
  <si>
    <t>ICMS (1-2)</t>
  </si>
  <si>
    <t>SIMULAÇÃO DE PREMISSAS</t>
  </si>
  <si>
    <t>Simulação com diferentes níveis de resultado</t>
  </si>
  <si>
    <r>
      <t>. % de faturamento</t>
    </r>
    <r>
      <rPr>
        <b/>
        <sz val="10"/>
        <color indexed="10"/>
        <rFont val="Georgia"/>
        <family val="1"/>
      </rPr>
      <t xml:space="preserve"> oferecido à tributação</t>
    </r>
  </si>
  <si>
    <r>
      <t xml:space="preserve">. Valor Total de Faturamento </t>
    </r>
    <r>
      <rPr>
        <b/>
        <sz val="10"/>
        <color indexed="10"/>
        <rFont val="Georgia"/>
        <family val="1"/>
      </rPr>
      <t>oferecido à tributação</t>
    </r>
  </si>
  <si>
    <r>
      <t xml:space="preserve">  . Fatuaramento 01 </t>
    </r>
    <r>
      <rPr>
        <b/>
        <sz val="10"/>
        <color indexed="12"/>
        <rFont val="Georgia"/>
        <family val="1"/>
      </rPr>
      <t>(oferecido à tributação)</t>
    </r>
  </si>
  <si>
    <r>
      <t xml:space="preserve">  . Fatuaramento 02 </t>
    </r>
    <r>
      <rPr>
        <b/>
        <sz val="10"/>
        <color indexed="10"/>
        <rFont val="Georgia"/>
        <family val="1"/>
      </rPr>
      <t>(não oferecido à tributação)</t>
    </r>
  </si>
  <si>
    <r>
      <t xml:space="preserve">Lucro Real x Lucro Presumido x Simples : </t>
    </r>
    <r>
      <rPr>
        <b/>
        <sz val="10"/>
        <rFont val="Georgia"/>
        <family val="1"/>
      </rPr>
      <t>Qual a melhor forma de tributação?</t>
    </r>
  </si>
  <si>
    <t>% de Inadimplência x Faturamento Bruto Total</t>
  </si>
  <si>
    <t>(-) Imposto s/ venda dos produtos tributados</t>
  </si>
  <si>
    <t xml:space="preserve">No estado </t>
  </si>
  <si>
    <t>Outros</t>
  </si>
  <si>
    <t>No estado</t>
  </si>
  <si>
    <t>Alíquota média de ICMS s/ Compras (entre 2,8% e 4,8%)</t>
  </si>
  <si>
    <t>Produto 2</t>
  </si>
  <si>
    <t>Produto 1</t>
  </si>
  <si>
    <t>Simulação de Resultado com diferente formas de tributação</t>
  </si>
  <si>
    <t>Autor:        Afonso Tobias</t>
  </si>
  <si>
    <t>TABELA: SIMPLES</t>
  </si>
  <si>
    <t>PREMISSAS</t>
  </si>
  <si>
    <r>
      <t xml:space="preserve">. Valor  Equivalente de Faturamento </t>
    </r>
    <r>
      <rPr>
        <b/>
        <sz val="10"/>
        <color indexed="10"/>
        <rFont val="Georgia"/>
        <family val="1"/>
      </rPr>
      <t>oferecido à tributação</t>
    </r>
  </si>
  <si>
    <t>Alíquota Base (ICMS)</t>
  </si>
  <si>
    <t xml:space="preserve">  . Fatuaramento</t>
  </si>
  <si>
    <t>Lucro a Tributar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</si>
</sst>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_(&quot;R$ &quot;* #,##0.00_);_(&quot;R$ &quot;* \(#,##0.00\);_(&quot;R$ &quot;* &quot;-&quot;??_);_(@_)"/>
    <numFmt numFmtId="167" formatCode="[$$-409]#,##0_);\([$$-409]#,##0\)"/>
    <numFmt numFmtId="168" formatCode="0_);\(0\)"/>
    <numFmt numFmtId="169" formatCode="[$$-409]#,##0_);[Red]\([$$-409]#,##0\)"/>
    <numFmt numFmtId="170" formatCode="0.0%"/>
    <numFmt numFmtId="171" formatCode="[$$-409]#,##0.00_);\([$$-409]#,##0.00\)"/>
    <numFmt numFmtId="172" formatCode="[$$-409]#,##0"/>
  </numFmts>
  <fonts count="29" x14ac:knownFonts="1">
    <font>
      <sz val="10"/>
      <name val="Arial"/>
    </font>
    <font>
      <sz val="10"/>
      <name val="Arial"/>
    </font>
    <font>
      <sz val="10"/>
      <color indexed="8"/>
      <name val="Georgia"/>
      <family val="1"/>
    </font>
    <font>
      <sz val="18"/>
      <color indexed="8"/>
      <name val="Georgia"/>
      <family val="1"/>
    </font>
    <font>
      <sz val="10"/>
      <color indexed="8"/>
      <name val="Trebuchet MS"/>
      <family val="2"/>
    </font>
    <font>
      <b/>
      <sz val="10"/>
      <color indexed="8"/>
      <name val="Georgia"/>
      <family val="1"/>
    </font>
    <font>
      <b/>
      <u/>
      <sz val="10"/>
      <color indexed="8"/>
      <name val="Georgia"/>
      <family val="1"/>
    </font>
    <font>
      <b/>
      <sz val="10"/>
      <color indexed="8"/>
      <name val="Trebuchet MS"/>
      <family val="2"/>
    </font>
    <font>
      <b/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color indexed="12"/>
      <name val="Georgia"/>
      <family val="1"/>
    </font>
    <font>
      <b/>
      <sz val="10"/>
      <color indexed="12"/>
      <name val="Georgia"/>
      <family val="1"/>
    </font>
    <font>
      <sz val="10"/>
      <name val="Georgia"/>
      <family val="1"/>
    </font>
    <font>
      <sz val="8"/>
      <color indexed="8"/>
      <name val="Georgia"/>
      <family val="1"/>
    </font>
    <font>
      <sz val="8"/>
      <name val="Georgia"/>
      <family val="1"/>
    </font>
    <font>
      <b/>
      <sz val="10"/>
      <name val="Georgia"/>
      <family val="1"/>
    </font>
    <font>
      <b/>
      <sz val="14"/>
      <color indexed="8"/>
      <name val="Trebuchet MS"/>
      <family val="2"/>
    </font>
    <font>
      <b/>
      <sz val="9"/>
      <color indexed="12"/>
      <name val="Georgia"/>
      <family val="1"/>
    </font>
    <font>
      <b/>
      <u/>
      <sz val="10"/>
      <name val="Georgia"/>
      <family val="1"/>
    </font>
    <font>
      <b/>
      <sz val="10"/>
      <color indexed="10"/>
      <name val="Georgia"/>
      <family val="1"/>
    </font>
    <font>
      <u/>
      <sz val="10"/>
      <color indexed="12"/>
      <name val="Georgia"/>
      <family val="1"/>
    </font>
    <font>
      <sz val="18"/>
      <color indexed="18"/>
      <name val="Georgia"/>
      <family val="1"/>
    </font>
    <font>
      <b/>
      <sz val="18"/>
      <color indexed="18"/>
      <name val="Georgia"/>
      <family val="1"/>
    </font>
    <font>
      <b/>
      <sz val="14"/>
      <color indexed="18"/>
      <name val="Trebuchet MS"/>
      <family val="2"/>
    </font>
    <font>
      <b/>
      <sz val="10"/>
      <color indexed="18"/>
      <name val="Georgia"/>
      <family val="1"/>
    </font>
    <font>
      <b/>
      <sz val="11"/>
      <color indexed="8"/>
      <name val="Georgia"/>
      <family val="1"/>
    </font>
    <font>
      <sz val="8"/>
      <color indexed="81"/>
      <name val="Tahoma"/>
    </font>
    <font>
      <b/>
      <sz val="8"/>
      <color indexed="81"/>
      <name val="Tahoma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Gray">
        <fgColor indexed="26"/>
        <bgColor indexed="42"/>
      </patternFill>
    </fill>
    <fill>
      <patternFill patternType="lightGray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57"/>
      </bottom>
      <diagonal/>
    </border>
    <border>
      <left/>
      <right/>
      <top style="medium">
        <color indexed="57"/>
      </top>
      <bottom/>
      <diagonal/>
    </border>
    <border>
      <left/>
      <right style="medium">
        <color indexed="57"/>
      </right>
      <top style="medium">
        <color indexed="57"/>
      </top>
      <bottom/>
      <diagonal/>
    </border>
    <border>
      <left style="medium">
        <color indexed="57"/>
      </left>
      <right/>
      <top style="dashed">
        <color indexed="22"/>
      </top>
      <bottom style="dashed">
        <color indexed="22"/>
      </bottom>
      <diagonal/>
    </border>
    <border>
      <left/>
      <right/>
      <top style="dashed">
        <color indexed="22"/>
      </top>
      <bottom style="dashed">
        <color indexed="22"/>
      </bottom>
      <diagonal/>
    </border>
    <border>
      <left style="dashed">
        <color indexed="22"/>
      </left>
      <right style="dashed">
        <color indexed="22"/>
      </right>
      <top style="thin">
        <color indexed="57"/>
      </top>
      <bottom style="dashed">
        <color indexed="22"/>
      </bottom>
      <diagonal/>
    </border>
    <border>
      <left style="dashed">
        <color indexed="22"/>
      </left>
      <right style="dashed">
        <color indexed="22"/>
      </right>
      <top style="dashed">
        <color indexed="22"/>
      </top>
      <bottom style="dashed">
        <color indexed="22"/>
      </bottom>
      <diagonal/>
    </border>
    <border>
      <left style="medium">
        <color indexed="57"/>
      </left>
      <right/>
      <top style="dashed">
        <color indexed="22"/>
      </top>
      <bottom/>
      <diagonal/>
    </border>
    <border>
      <left style="dashed">
        <color indexed="22"/>
      </left>
      <right style="dashed">
        <color indexed="22"/>
      </right>
      <top style="medium">
        <color indexed="57"/>
      </top>
      <bottom style="medium">
        <color indexed="57"/>
      </bottom>
      <diagonal/>
    </border>
    <border>
      <left style="dashed">
        <color indexed="22"/>
      </left>
      <right style="dashed">
        <color indexed="22"/>
      </right>
      <top style="dashed">
        <color indexed="22"/>
      </top>
      <bottom/>
      <diagonal/>
    </border>
    <border>
      <left/>
      <right style="dashed">
        <color indexed="22"/>
      </right>
      <top style="medium">
        <color indexed="57"/>
      </top>
      <bottom style="medium">
        <color indexed="57"/>
      </bottom>
      <diagonal/>
    </border>
    <border>
      <left style="dashed">
        <color indexed="22"/>
      </left>
      <right style="medium">
        <color indexed="57"/>
      </right>
      <top style="dashed">
        <color indexed="22"/>
      </top>
      <bottom style="dashed">
        <color indexed="22"/>
      </bottom>
      <diagonal/>
    </border>
    <border>
      <left style="dashed">
        <color indexed="22"/>
      </left>
      <right style="medium">
        <color indexed="57"/>
      </right>
      <top style="dashed">
        <color indexed="22"/>
      </top>
      <bottom/>
      <diagonal/>
    </border>
    <border>
      <left style="dashed">
        <color indexed="22"/>
      </left>
      <right style="medium">
        <color indexed="57"/>
      </right>
      <top style="medium">
        <color indexed="57"/>
      </top>
      <bottom style="medium">
        <color indexed="57"/>
      </bottom>
      <diagonal/>
    </border>
    <border>
      <left style="medium">
        <color indexed="57"/>
      </left>
      <right/>
      <top style="medium">
        <color indexed="57"/>
      </top>
      <bottom/>
      <diagonal/>
    </border>
    <border>
      <left/>
      <right style="dashed">
        <color indexed="22"/>
      </right>
      <top style="medium">
        <color indexed="57"/>
      </top>
      <bottom/>
      <diagonal/>
    </border>
    <border>
      <left style="medium">
        <color indexed="57"/>
      </left>
      <right/>
      <top style="medium">
        <color indexed="57"/>
      </top>
      <bottom style="medium">
        <color indexed="57"/>
      </bottom>
      <diagonal/>
    </border>
    <border>
      <left/>
      <right/>
      <top style="medium">
        <color indexed="57"/>
      </top>
      <bottom style="medium">
        <color indexed="57"/>
      </bottom>
      <diagonal/>
    </border>
    <border>
      <left style="medium">
        <color indexed="57"/>
      </left>
      <right/>
      <top style="thin">
        <color indexed="57"/>
      </top>
      <bottom style="dashed">
        <color indexed="22"/>
      </bottom>
      <diagonal/>
    </border>
    <border>
      <left style="medium">
        <color indexed="57"/>
      </left>
      <right/>
      <top style="dashed">
        <color indexed="22"/>
      </top>
      <bottom style="medium">
        <color indexed="57"/>
      </bottom>
      <diagonal/>
    </border>
    <border>
      <left style="dashed">
        <color indexed="22"/>
      </left>
      <right/>
      <top style="thin">
        <color indexed="57"/>
      </top>
      <bottom style="dashed">
        <color indexed="22"/>
      </bottom>
      <diagonal/>
    </border>
    <border>
      <left style="dashed">
        <color indexed="22"/>
      </left>
      <right/>
      <top style="dashed">
        <color indexed="22"/>
      </top>
      <bottom style="dashed">
        <color indexed="22"/>
      </bottom>
      <diagonal/>
    </border>
    <border>
      <left style="dashed">
        <color indexed="22"/>
      </left>
      <right/>
      <top style="dashed">
        <color indexed="22"/>
      </top>
      <bottom style="medium">
        <color indexed="57"/>
      </bottom>
      <diagonal/>
    </border>
    <border>
      <left style="medium">
        <color indexed="57"/>
      </left>
      <right style="medium">
        <color indexed="57"/>
      </right>
      <top style="thin">
        <color indexed="57"/>
      </top>
      <bottom style="dashed">
        <color indexed="22"/>
      </bottom>
      <diagonal/>
    </border>
    <border>
      <left style="medium">
        <color indexed="57"/>
      </left>
      <right style="medium">
        <color indexed="57"/>
      </right>
      <top style="dashed">
        <color indexed="22"/>
      </top>
      <bottom style="dashed">
        <color indexed="22"/>
      </bottom>
      <diagonal/>
    </border>
    <border>
      <left style="medium">
        <color indexed="57"/>
      </left>
      <right style="medium">
        <color indexed="57"/>
      </right>
      <top style="medium">
        <color indexed="57"/>
      </top>
      <bottom style="thin">
        <color indexed="57"/>
      </bottom>
      <diagonal/>
    </border>
    <border>
      <left style="medium">
        <color indexed="57"/>
      </left>
      <right/>
      <top style="medium">
        <color indexed="57"/>
      </top>
      <bottom style="thin">
        <color indexed="57"/>
      </bottom>
      <diagonal/>
    </border>
    <border>
      <left style="thin">
        <color indexed="57"/>
      </left>
      <right style="thin">
        <color indexed="57"/>
      </right>
      <top style="medium">
        <color indexed="57"/>
      </top>
      <bottom style="thin">
        <color indexed="57"/>
      </bottom>
      <diagonal/>
    </border>
    <border>
      <left style="thin">
        <color indexed="57"/>
      </left>
      <right style="medium">
        <color indexed="57"/>
      </right>
      <top style="medium">
        <color indexed="57"/>
      </top>
      <bottom style="thin">
        <color indexed="57"/>
      </bottom>
      <diagonal/>
    </border>
    <border>
      <left/>
      <right style="thin">
        <color indexed="57"/>
      </right>
      <top style="medium">
        <color indexed="57"/>
      </top>
      <bottom style="thin">
        <color indexed="57"/>
      </bottom>
      <diagonal/>
    </border>
    <border>
      <left style="medium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medium">
        <color indexed="57"/>
      </left>
      <right style="thin">
        <color indexed="57"/>
      </right>
      <top style="thin">
        <color indexed="57"/>
      </top>
      <bottom style="medium">
        <color indexed="57"/>
      </bottom>
      <diagonal/>
    </border>
    <border>
      <left style="medium">
        <color indexed="57"/>
      </left>
      <right style="thin">
        <color indexed="57"/>
      </right>
      <top style="medium">
        <color indexed="57"/>
      </top>
      <bottom/>
      <diagonal/>
    </border>
    <border>
      <left style="dashed">
        <color indexed="22"/>
      </left>
      <right style="medium">
        <color indexed="57"/>
      </right>
      <top style="thin">
        <color indexed="57"/>
      </top>
      <bottom style="dashed">
        <color indexed="22"/>
      </bottom>
      <diagonal/>
    </border>
    <border>
      <left/>
      <right style="dashed">
        <color indexed="22"/>
      </right>
      <top style="thin">
        <color indexed="57"/>
      </top>
      <bottom style="dashed">
        <color indexed="22"/>
      </bottom>
      <diagonal/>
    </border>
    <border>
      <left/>
      <right style="dashed">
        <color indexed="22"/>
      </right>
      <top style="dashed">
        <color indexed="22"/>
      </top>
      <bottom style="dashed">
        <color indexed="22"/>
      </bottom>
      <diagonal/>
    </border>
    <border>
      <left/>
      <right style="medium">
        <color indexed="57"/>
      </right>
      <top/>
      <bottom style="medium">
        <color indexed="57"/>
      </bottom>
      <diagonal/>
    </border>
    <border>
      <left/>
      <right/>
      <top style="medium">
        <color indexed="57"/>
      </top>
      <bottom style="dashed">
        <color indexed="22"/>
      </bottom>
      <diagonal/>
    </border>
    <border>
      <left/>
      <right/>
      <top style="dashed">
        <color indexed="22"/>
      </top>
      <bottom style="medium">
        <color indexed="57"/>
      </bottom>
      <diagonal/>
    </border>
    <border>
      <left/>
      <right/>
      <top style="medium">
        <color indexed="57"/>
      </top>
      <bottom style="thin">
        <color indexed="57"/>
      </bottom>
      <diagonal/>
    </border>
    <border>
      <left style="dashed">
        <color indexed="22"/>
      </left>
      <right style="dashed">
        <color indexed="22"/>
      </right>
      <top style="dashed">
        <color indexed="22"/>
      </top>
      <bottom style="medium">
        <color indexed="57"/>
      </bottom>
      <diagonal/>
    </border>
    <border>
      <left style="dashed">
        <color indexed="22"/>
      </left>
      <right style="dashed">
        <color indexed="22"/>
      </right>
      <top style="medium">
        <color indexed="57"/>
      </top>
      <bottom style="dashed">
        <color indexed="22"/>
      </bottom>
      <diagonal/>
    </border>
    <border>
      <left style="medium">
        <color indexed="17"/>
      </left>
      <right style="medium">
        <color indexed="17"/>
      </right>
      <top style="dashed">
        <color indexed="22"/>
      </top>
      <bottom style="dashed">
        <color indexed="22"/>
      </bottom>
      <diagonal/>
    </border>
    <border>
      <left/>
      <right style="medium">
        <color indexed="57"/>
      </right>
      <top style="dashed">
        <color indexed="22"/>
      </top>
      <bottom style="dashed">
        <color indexed="22"/>
      </bottom>
      <diagonal/>
    </border>
    <border>
      <left style="dashed">
        <color indexed="22"/>
      </left>
      <right style="medium">
        <color indexed="17"/>
      </right>
      <top style="dashed">
        <color indexed="22"/>
      </top>
      <bottom style="dashed">
        <color indexed="22"/>
      </bottom>
      <diagonal/>
    </border>
    <border>
      <left style="dashed">
        <color indexed="22"/>
      </left>
      <right style="medium">
        <color indexed="57"/>
      </right>
      <top/>
      <bottom style="dashed">
        <color indexed="22"/>
      </bottom>
      <diagonal/>
    </border>
    <border>
      <left style="dashed">
        <color indexed="22"/>
      </left>
      <right style="dashed">
        <color indexed="22"/>
      </right>
      <top style="thin">
        <color indexed="64"/>
      </top>
      <bottom style="double">
        <color indexed="64"/>
      </bottom>
      <diagonal/>
    </border>
    <border>
      <left style="dashed">
        <color indexed="22"/>
      </left>
      <right style="medium">
        <color indexed="57"/>
      </right>
      <top style="thin">
        <color indexed="64"/>
      </top>
      <bottom style="double">
        <color indexed="64"/>
      </bottom>
      <diagonal/>
    </border>
    <border>
      <left style="dashed">
        <color indexed="22"/>
      </left>
      <right style="dashed">
        <color indexed="22"/>
      </right>
      <top/>
      <bottom style="dashed">
        <color indexed="22"/>
      </bottom>
      <diagonal/>
    </border>
    <border>
      <left style="medium">
        <color indexed="9"/>
      </left>
      <right style="medium">
        <color indexed="9"/>
      </right>
      <top style="medium">
        <color indexed="57"/>
      </top>
      <bottom style="medium">
        <color indexed="57"/>
      </bottom>
      <diagonal/>
    </border>
    <border>
      <left style="thick">
        <color indexed="17"/>
      </left>
      <right/>
      <top style="thick">
        <color indexed="17"/>
      </top>
      <bottom style="thick">
        <color indexed="17"/>
      </bottom>
      <diagonal/>
    </border>
    <border>
      <left/>
      <right/>
      <top style="thick">
        <color indexed="17"/>
      </top>
      <bottom style="thick">
        <color indexed="17"/>
      </bottom>
      <diagonal/>
    </border>
    <border>
      <left/>
      <right style="thick">
        <color indexed="17"/>
      </right>
      <top style="thick">
        <color indexed="17"/>
      </top>
      <bottom style="thick">
        <color indexed="17"/>
      </bottom>
      <diagonal/>
    </border>
    <border>
      <left style="medium">
        <color indexed="57"/>
      </left>
      <right style="medium">
        <color indexed="57"/>
      </right>
      <top style="dashed">
        <color indexed="22"/>
      </top>
      <bottom style="medium">
        <color indexed="57"/>
      </bottom>
      <diagonal/>
    </border>
    <border>
      <left style="medium">
        <color indexed="57"/>
      </left>
      <right/>
      <top style="medium">
        <color indexed="57"/>
      </top>
      <bottom style="dashed">
        <color indexed="22"/>
      </bottom>
      <diagonal/>
    </border>
    <border>
      <left/>
      <right style="dashed">
        <color indexed="22"/>
      </right>
      <top style="medium">
        <color indexed="57"/>
      </top>
      <bottom style="dashed">
        <color indexed="22"/>
      </bottom>
      <diagonal/>
    </border>
    <border>
      <left/>
      <right style="dashed">
        <color indexed="22"/>
      </right>
      <top/>
      <bottom/>
      <diagonal/>
    </border>
    <border>
      <left/>
      <right style="dashed">
        <color indexed="22"/>
      </right>
      <top style="dashed">
        <color indexed="22"/>
      </top>
      <bottom/>
      <diagonal/>
    </border>
    <border>
      <left/>
      <right style="dashed">
        <color indexed="22"/>
      </right>
      <top style="dashed">
        <color indexed="22"/>
      </top>
      <bottom style="medium">
        <color indexed="57"/>
      </bottom>
      <diagonal/>
    </border>
    <border>
      <left style="dashed">
        <color indexed="22"/>
      </left>
      <right style="medium">
        <color indexed="17"/>
      </right>
      <top style="medium">
        <color indexed="57"/>
      </top>
      <bottom style="medium">
        <color indexed="57"/>
      </bottom>
      <diagonal/>
    </border>
    <border>
      <left style="dashed">
        <color indexed="22"/>
      </left>
      <right style="medium">
        <color indexed="17"/>
      </right>
      <top style="dashed">
        <color indexed="22"/>
      </top>
      <bottom/>
      <diagonal/>
    </border>
    <border>
      <left style="medium">
        <color indexed="57"/>
      </left>
      <right style="medium">
        <color indexed="9"/>
      </right>
      <top style="dashed">
        <color indexed="22"/>
      </top>
      <bottom style="dashed">
        <color indexed="22"/>
      </bottom>
      <diagonal/>
    </border>
    <border>
      <left style="medium">
        <color indexed="9"/>
      </left>
      <right style="medium">
        <color indexed="9"/>
      </right>
      <top style="dashed">
        <color indexed="22"/>
      </top>
      <bottom style="dashed">
        <color indexed="22"/>
      </bottom>
      <diagonal/>
    </border>
    <border>
      <left style="medium">
        <color indexed="9"/>
      </left>
      <right/>
      <top style="dashed">
        <color indexed="22"/>
      </top>
      <bottom style="dashed">
        <color indexed="22"/>
      </bottom>
      <diagonal/>
    </border>
    <border>
      <left/>
      <right style="medium">
        <color indexed="57"/>
      </right>
      <top/>
      <bottom style="dashed">
        <color indexed="2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/>
      <top style="thin">
        <color indexed="57"/>
      </top>
      <bottom style="dashed">
        <color indexed="22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10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168" fontId="2" fillId="2" borderId="6" xfId="0" applyNumberFormat="1" applyFont="1" applyFill="1" applyBorder="1" applyAlignment="1">
      <alignment vertical="center"/>
    </xf>
    <xf numFmtId="9" fontId="5" fillId="2" borderId="7" xfId="0" applyNumberFormat="1" applyFont="1" applyFill="1" applyBorder="1" applyAlignment="1">
      <alignment horizontal="center" vertical="center"/>
    </xf>
    <xf numFmtId="9" fontId="6" fillId="2" borderId="7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166" fontId="5" fillId="4" borderId="9" xfId="0" applyNumberFormat="1" applyFont="1" applyFill="1" applyBorder="1" applyAlignment="1">
      <alignment vertical="center"/>
    </xf>
    <xf numFmtId="10" fontId="5" fillId="2" borderId="7" xfId="0" applyNumberFormat="1" applyFont="1" applyFill="1" applyBorder="1" applyAlignment="1">
      <alignment horizontal="center" vertical="center"/>
    </xf>
    <xf numFmtId="9" fontId="5" fillId="2" borderId="10" xfId="0" applyNumberFormat="1" applyFont="1" applyFill="1" applyBorder="1" applyAlignment="1">
      <alignment horizontal="center" vertical="center"/>
    </xf>
    <xf numFmtId="170" fontId="5" fillId="2" borderId="10" xfId="0" applyNumberFormat="1" applyFont="1" applyFill="1" applyBorder="1" applyAlignment="1">
      <alignment horizontal="center" vertical="center"/>
    </xf>
    <xf numFmtId="166" fontId="2" fillId="4" borderId="11" xfId="0" applyNumberFormat="1" applyFont="1" applyFill="1" applyBorder="1" applyAlignment="1">
      <alignment vertical="center"/>
    </xf>
    <xf numFmtId="170" fontId="2" fillId="2" borderId="0" xfId="2" applyNumberFormat="1" applyFont="1" applyFill="1" applyBorder="1" applyAlignment="1">
      <alignment horizontal="right" vertical="center"/>
    </xf>
    <xf numFmtId="167" fontId="6" fillId="2" borderId="7" xfId="0" applyNumberFormat="1" applyFont="1" applyFill="1" applyBorder="1" applyAlignment="1">
      <alignment vertical="center"/>
    </xf>
    <xf numFmtId="167" fontId="6" fillId="2" borderId="12" xfId="0" applyNumberFormat="1" applyFont="1" applyFill="1" applyBorder="1" applyAlignment="1">
      <alignment vertical="center"/>
    </xf>
    <xf numFmtId="167" fontId="2" fillId="2" borderId="7" xfId="0" applyNumberFormat="1" applyFont="1" applyFill="1" applyBorder="1" applyAlignment="1">
      <alignment vertical="center"/>
    </xf>
    <xf numFmtId="167" fontId="2" fillId="2" borderId="12" xfId="0" applyNumberFormat="1" applyFont="1" applyFill="1" applyBorder="1" applyAlignment="1">
      <alignment vertical="center"/>
    </xf>
    <xf numFmtId="167" fontId="2" fillId="2" borderId="10" xfId="0" applyNumberFormat="1" applyFont="1" applyFill="1" applyBorder="1" applyAlignment="1">
      <alignment vertical="center"/>
    </xf>
    <xf numFmtId="167" fontId="2" fillId="2" borderId="13" xfId="0" applyNumberFormat="1" applyFont="1" applyFill="1" applyBorder="1" applyAlignment="1">
      <alignment vertical="center"/>
    </xf>
    <xf numFmtId="167" fontId="5" fillId="4" borderId="9" xfId="0" applyNumberFormat="1" applyFont="1" applyFill="1" applyBorder="1" applyAlignment="1">
      <alignment vertical="center"/>
    </xf>
    <xf numFmtId="167" fontId="5" fillId="4" borderId="14" xfId="0" applyNumberFormat="1" applyFont="1" applyFill="1" applyBorder="1" applyAlignment="1">
      <alignment vertical="center"/>
    </xf>
    <xf numFmtId="167" fontId="2" fillId="5" borderId="7" xfId="0" applyNumberFormat="1" applyFont="1" applyFill="1" applyBorder="1" applyAlignment="1">
      <alignment vertical="center"/>
    </xf>
    <xf numFmtId="167" fontId="2" fillId="4" borderId="9" xfId="0" applyNumberFormat="1" applyFont="1" applyFill="1" applyBorder="1" applyAlignment="1">
      <alignment vertical="center"/>
    </xf>
    <xf numFmtId="167" fontId="2" fillId="2" borderId="0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left" vertical="center"/>
    </xf>
    <xf numFmtId="9" fontId="5" fillId="2" borderId="2" xfId="0" applyNumberFormat="1" applyFont="1" applyFill="1" applyBorder="1" applyAlignment="1">
      <alignment horizontal="center" vertical="center"/>
    </xf>
    <xf numFmtId="10" fontId="5" fillId="2" borderId="16" xfId="0" applyNumberFormat="1" applyFont="1" applyFill="1" applyBorder="1" applyAlignment="1">
      <alignment horizontal="center" vertical="center"/>
    </xf>
    <xf numFmtId="170" fontId="2" fillId="2" borderId="10" xfId="2" applyNumberFormat="1" applyFont="1" applyFill="1" applyBorder="1" applyAlignment="1">
      <alignment vertical="center"/>
    </xf>
    <xf numFmtId="170" fontId="2" fillId="2" borderId="13" xfId="2" applyNumberFormat="1" applyFont="1" applyFill="1" applyBorder="1" applyAlignment="1">
      <alignment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167" fontId="2" fillId="2" borderId="9" xfId="0" applyNumberFormat="1" applyFont="1" applyFill="1" applyBorder="1" applyAlignment="1">
      <alignment vertical="center"/>
    </xf>
    <xf numFmtId="167" fontId="2" fillId="2" borderId="14" xfId="0" applyNumberFormat="1" applyFont="1" applyFill="1" applyBorder="1" applyAlignment="1">
      <alignment vertical="center"/>
    </xf>
    <xf numFmtId="9" fontId="5" fillId="2" borderId="18" xfId="0" applyNumberFormat="1" applyFont="1" applyFill="1" applyBorder="1" applyAlignment="1">
      <alignment horizontal="center" vertical="center"/>
    </xf>
    <xf numFmtId="170" fontId="2" fillId="2" borderId="9" xfId="2" applyNumberFormat="1" applyFont="1" applyFill="1" applyBorder="1" applyAlignment="1">
      <alignment vertical="center"/>
    </xf>
    <xf numFmtId="170" fontId="2" fillId="2" borderId="14" xfId="2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167" fontId="5" fillId="4" borderId="11" xfId="0" applyNumberFormat="1" applyFont="1" applyFill="1" applyBorder="1" applyAlignment="1">
      <alignment horizontal="left" vertical="center"/>
    </xf>
    <xf numFmtId="172" fontId="1" fillId="0" borderId="0" xfId="0" applyNumberFormat="1" applyFont="1"/>
    <xf numFmtId="172" fontId="9" fillId="0" borderId="0" xfId="0" applyNumberFormat="1" applyFont="1"/>
    <xf numFmtId="172" fontId="2" fillId="2" borderId="4" xfId="0" applyNumberFormat="1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center" vertical="center"/>
    </xf>
    <xf numFmtId="172" fontId="2" fillId="2" borderId="20" xfId="0" applyNumberFormat="1" applyFont="1" applyFill="1" applyBorder="1" applyAlignment="1">
      <alignment horizontal="left" vertical="center"/>
    </xf>
    <xf numFmtId="172" fontId="5" fillId="2" borderId="21" xfId="0" applyNumberFormat="1" applyFont="1" applyFill="1" applyBorder="1" applyAlignment="1">
      <alignment horizontal="center" vertical="center"/>
    </xf>
    <xf numFmtId="172" fontId="2" fillId="2" borderId="22" xfId="0" applyNumberFormat="1" applyFont="1" applyFill="1" applyBorder="1" applyAlignment="1">
      <alignment horizontal="center" vertical="center"/>
    </xf>
    <xf numFmtId="172" fontId="2" fillId="2" borderId="23" xfId="0" applyNumberFormat="1" applyFont="1" applyFill="1" applyBorder="1" applyAlignment="1">
      <alignment horizontal="center" vertical="center"/>
    </xf>
    <xf numFmtId="168" fontId="5" fillId="2" borderId="24" xfId="0" applyNumberFormat="1" applyFont="1" applyFill="1" applyBorder="1" applyAlignment="1">
      <alignment horizontal="center" vertical="center"/>
    </xf>
    <xf numFmtId="170" fontId="5" fillId="2" borderId="25" xfId="2" applyNumberFormat="1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Continuous" vertical="center"/>
    </xf>
    <xf numFmtId="172" fontId="4" fillId="3" borderId="2" xfId="0" applyNumberFormat="1" applyFont="1" applyFill="1" applyBorder="1" applyAlignment="1">
      <alignment horizontal="centerContinuous" vertical="center"/>
    </xf>
    <xf numFmtId="0" fontId="10" fillId="0" borderId="0" xfId="0" applyFont="1"/>
    <xf numFmtId="167" fontId="2" fillId="5" borderId="12" xfId="0" applyNumberFormat="1" applyFont="1" applyFill="1" applyBorder="1" applyAlignment="1">
      <alignment vertical="center"/>
    </xf>
    <xf numFmtId="167" fontId="2" fillId="5" borderId="13" xfId="0" applyNumberFormat="1" applyFont="1" applyFill="1" applyBorder="1" applyAlignment="1">
      <alignment vertical="center"/>
    </xf>
    <xf numFmtId="167" fontId="7" fillId="3" borderId="28" xfId="0" applyNumberFormat="1" applyFont="1" applyFill="1" applyBorder="1" applyAlignment="1">
      <alignment horizontal="right" vertical="center"/>
    </xf>
    <xf numFmtId="167" fontId="7" fillId="3" borderId="29" xfId="0" applyNumberFormat="1" applyFont="1" applyFill="1" applyBorder="1" applyAlignment="1">
      <alignment horizontal="right" vertical="center"/>
    </xf>
    <xf numFmtId="167" fontId="7" fillId="3" borderId="30" xfId="0" applyNumberFormat="1" applyFont="1" applyFill="1" applyBorder="1" applyAlignment="1">
      <alignment horizontal="right" vertical="center"/>
    </xf>
    <xf numFmtId="170" fontId="5" fillId="4" borderId="31" xfId="2" applyNumberFormat="1" applyFont="1" applyFill="1" applyBorder="1" applyAlignment="1">
      <alignment horizontal="center" vertical="center"/>
    </xf>
    <xf numFmtId="170" fontId="5" fillId="4" borderId="32" xfId="2" applyNumberFormat="1" applyFont="1" applyFill="1" applyBorder="1" applyAlignment="1">
      <alignment horizontal="center" vertical="center"/>
    </xf>
    <xf numFmtId="171" fontId="7" fillId="3" borderId="33" xfId="1" applyNumberFormat="1" applyFont="1" applyFill="1" applyBorder="1" applyAlignment="1">
      <alignment horizontal="center" vertical="center"/>
    </xf>
    <xf numFmtId="168" fontId="5" fillId="6" borderId="34" xfId="0" applyNumberFormat="1" applyFont="1" applyFill="1" applyBorder="1" applyAlignment="1">
      <alignment horizontal="center" vertical="center"/>
    </xf>
    <xf numFmtId="169" fontId="2" fillId="2" borderId="35" xfId="0" applyNumberFormat="1" applyFont="1" applyFill="1" applyBorder="1" applyAlignment="1">
      <alignment horizontal="right" vertical="center"/>
    </xf>
    <xf numFmtId="169" fontId="2" fillId="2" borderId="6" xfId="0" applyNumberFormat="1" applyFont="1" applyFill="1" applyBorder="1" applyAlignment="1">
      <alignment horizontal="right" vertical="center"/>
    </xf>
    <xf numFmtId="169" fontId="2" fillId="2" borderId="34" xfId="0" applyNumberFormat="1" applyFont="1" applyFill="1" applyBorder="1" applyAlignment="1">
      <alignment horizontal="right" vertical="center"/>
    </xf>
    <xf numFmtId="169" fontId="2" fillId="2" borderId="36" xfId="0" applyNumberFormat="1" applyFont="1" applyFill="1" applyBorder="1" applyAlignment="1">
      <alignment horizontal="right" vertical="center"/>
    </xf>
    <xf numFmtId="169" fontId="2" fillId="2" borderId="7" xfId="0" applyNumberFormat="1" applyFont="1" applyFill="1" applyBorder="1" applyAlignment="1">
      <alignment horizontal="right" vertical="center"/>
    </xf>
    <xf numFmtId="169" fontId="2" fillId="2" borderId="12" xfId="0" applyNumberFormat="1" applyFont="1" applyFill="1" applyBorder="1" applyAlignment="1">
      <alignment horizontal="right" vertical="center"/>
    </xf>
    <xf numFmtId="167" fontId="11" fillId="2" borderId="7" xfId="0" applyNumberFormat="1" applyFont="1" applyFill="1" applyBorder="1" applyAlignment="1">
      <alignment vertical="center"/>
    </xf>
    <xf numFmtId="9" fontId="12" fillId="2" borderId="7" xfId="3" applyNumberFormat="1" applyFont="1" applyFill="1" applyBorder="1" applyAlignment="1">
      <alignment horizontal="center" vertical="center"/>
    </xf>
    <xf numFmtId="9" fontId="5" fillId="2" borderId="7" xfId="3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169" fontId="13" fillId="0" borderId="1" xfId="0" applyNumberFormat="1" applyFont="1" applyBorder="1" applyAlignment="1">
      <alignment horizontal="right"/>
    </xf>
    <xf numFmtId="169" fontId="13" fillId="0" borderId="37" xfId="0" applyNumberFormat="1" applyFont="1" applyBorder="1" applyAlignment="1">
      <alignment horizontal="right"/>
    </xf>
    <xf numFmtId="168" fontId="5" fillId="7" borderId="6" xfId="0" applyNumberFormat="1" applyFont="1" applyFill="1" applyBorder="1" applyAlignment="1">
      <alignment horizontal="center" vertical="center"/>
    </xf>
    <xf numFmtId="168" fontId="5" fillId="8" borderId="6" xfId="0" applyNumberFormat="1" applyFont="1" applyFill="1" applyBorder="1" applyAlignment="1">
      <alignment horizontal="justify" vertical="center"/>
    </xf>
    <xf numFmtId="167" fontId="2" fillId="0" borderId="7" xfId="0" applyNumberFormat="1" applyFont="1" applyFill="1" applyBorder="1" applyAlignment="1">
      <alignment vertical="center"/>
    </xf>
    <xf numFmtId="169" fontId="14" fillId="2" borderId="6" xfId="0" applyNumberFormat="1" applyFont="1" applyFill="1" applyBorder="1" applyAlignment="1">
      <alignment horizontal="center" vertical="center"/>
    </xf>
    <xf numFmtId="169" fontId="14" fillId="2" borderId="34" xfId="0" applyNumberFormat="1" applyFont="1" applyFill="1" applyBorder="1" applyAlignment="1">
      <alignment horizontal="center" vertical="center"/>
    </xf>
    <xf numFmtId="169" fontId="14" fillId="2" borderId="36" xfId="0" applyNumberFormat="1" applyFont="1" applyFill="1" applyBorder="1" applyAlignment="1">
      <alignment horizontal="center" vertical="center"/>
    </xf>
    <xf numFmtId="169" fontId="14" fillId="2" borderId="7" xfId="0" applyNumberFormat="1" applyFont="1" applyFill="1" applyBorder="1" applyAlignment="1">
      <alignment horizontal="center" vertical="center"/>
    </xf>
    <xf numFmtId="169" fontId="14" fillId="2" borderId="12" xfId="0" applyNumberFormat="1" applyFont="1" applyFill="1" applyBorder="1" applyAlignment="1">
      <alignment horizontal="center" vertical="center"/>
    </xf>
    <xf numFmtId="169" fontId="15" fillId="0" borderId="1" xfId="0" applyNumberFormat="1" applyFont="1" applyBorder="1" applyAlignment="1">
      <alignment horizontal="center"/>
    </xf>
    <xf numFmtId="169" fontId="15" fillId="0" borderId="37" xfId="0" applyNumberFormat="1" applyFont="1" applyBorder="1" applyAlignment="1">
      <alignment horizontal="center"/>
    </xf>
    <xf numFmtId="0" fontId="5" fillId="4" borderId="17" xfId="0" applyFont="1" applyFill="1" applyBorder="1" applyAlignment="1">
      <alignment horizontal="left" vertical="center"/>
    </xf>
    <xf numFmtId="0" fontId="5" fillId="4" borderId="18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9" fontId="12" fillId="2" borderId="3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left" vertical="center"/>
    </xf>
    <xf numFmtId="9" fontId="12" fillId="2" borderId="5" xfId="0" applyNumberFormat="1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17" fillId="3" borderId="40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9" fontId="2" fillId="2" borderId="7" xfId="2" applyFont="1" applyFill="1" applyBorder="1" applyAlignment="1">
      <alignment horizontal="center" vertical="center"/>
    </xf>
    <xf numFmtId="9" fontId="2" fillId="2" borderId="12" xfId="2" applyFont="1" applyFill="1" applyBorder="1" applyAlignment="1">
      <alignment horizontal="center" vertical="center"/>
    </xf>
    <xf numFmtId="170" fontId="2" fillId="2" borderId="12" xfId="2" applyNumberFormat="1" applyFont="1" applyFill="1" applyBorder="1" applyAlignment="1">
      <alignment horizontal="center" vertical="center"/>
    </xf>
    <xf numFmtId="9" fontId="18" fillId="2" borderId="7" xfId="3" applyNumberFormat="1" applyFont="1" applyFill="1" applyBorder="1" applyAlignment="1">
      <alignment horizontal="center" vertical="center"/>
    </xf>
    <xf numFmtId="9" fontId="5" fillId="2" borderId="41" xfId="0" applyNumberFormat="1" applyFont="1" applyFill="1" applyBorder="1" applyAlignment="1">
      <alignment horizontal="center" vertical="center"/>
    </xf>
    <xf numFmtId="9" fontId="12" fillId="9" borderId="42" xfId="0" applyNumberFormat="1" applyFont="1" applyFill="1" applyBorder="1" applyAlignment="1">
      <alignment horizontal="center" vertical="center"/>
    </xf>
    <xf numFmtId="9" fontId="12" fillId="9" borderId="7" xfId="0" applyNumberFormat="1" applyFont="1" applyFill="1" applyBorder="1" applyAlignment="1">
      <alignment horizontal="center" vertical="center"/>
    </xf>
    <xf numFmtId="10" fontId="12" fillId="9" borderId="7" xfId="0" applyNumberFormat="1" applyFont="1" applyFill="1" applyBorder="1" applyAlignment="1">
      <alignment horizontal="center" vertical="center"/>
    </xf>
    <xf numFmtId="9" fontId="12" fillId="9" borderId="10" xfId="0" applyNumberFormat="1" applyFont="1" applyFill="1" applyBorder="1" applyAlignment="1">
      <alignment horizontal="center" vertical="center"/>
    </xf>
    <xf numFmtId="170" fontId="12" fillId="9" borderId="10" xfId="0" applyNumberFormat="1" applyFont="1" applyFill="1" applyBorder="1" applyAlignment="1">
      <alignment horizontal="center" vertical="center"/>
    </xf>
    <xf numFmtId="9" fontId="12" fillId="9" borderId="9" xfId="0" applyNumberFormat="1" applyFont="1" applyFill="1" applyBorder="1" applyAlignment="1">
      <alignment horizontal="center" vertical="center"/>
    </xf>
    <xf numFmtId="170" fontId="12" fillId="9" borderId="9" xfId="0" applyNumberFormat="1" applyFont="1" applyFill="1" applyBorder="1" applyAlignment="1">
      <alignment horizontal="center" vertical="center"/>
    </xf>
    <xf numFmtId="9" fontId="12" fillId="9" borderId="7" xfId="2" applyFont="1" applyFill="1" applyBorder="1" applyAlignment="1">
      <alignment horizontal="center" vertical="center"/>
    </xf>
    <xf numFmtId="9" fontId="12" fillId="9" borderId="12" xfId="2" applyFont="1" applyFill="1" applyBorder="1" applyAlignment="1">
      <alignment horizontal="center" vertical="center"/>
    </xf>
    <xf numFmtId="9" fontId="16" fillId="0" borderId="12" xfId="2" applyFont="1" applyFill="1" applyBorder="1" applyAlignment="1">
      <alignment horizontal="center" vertical="center"/>
    </xf>
    <xf numFmtId="9" fontId="16" fillId="2" borderId="7" xfId="3" applyNumberFormat="1" applyFont="1" applyFill="1" applyBorder="1" applyAlignment="1">
      <alignment horizontal="center" vertical="center"/>
    </xf>
    <xf numFmtId="167" fontId="19" fillId="2" borderId="7" xfId="0" applyNumberFormat="1" applyFont="1" applyFill="1" applyBorder="1" applyAlignment="1">
      <alignment vertical="center"/>
    </xf>
    <xf numFmtId="170" fontId="12" fillId="9" borderId="7" xfId="2" applyNumberFormat="1" applyFont="1" applyFill="1" applyBorder="1" applyAlignment="1">
      <alignment horizontal="center" vertical="center"/>
    </xf>
    <xf numFmtId="170" fontId="16" fillId="0" borderId="22" xfId="2" applyNumberFormat="1" applyFont="1" applyFill="1" applyBorder="1" applyAlignment="1">
      <alignment horizontal="center" vertical="center"/>
    </xf>
    <xf numFmtId="9" fontId="16" fillId="2" borderId="43" xfId="3" applyNumberFormat="1" applyFont="1" applyFill="1" applyBorder="1" applyAlignment="1">
      <alignment horizontal="center" vertical="center"/>
    </xf>
    <xf numFmtId="167" fontId="5" fillId="2" borderId="44" xfId="0" applyNumberFormat="1" applyFont="1" applyFill="1" applyBorder="1" applyAlignment="1">
      <alignment vertical="center"/>
    </xf>
    <xf numFmtId="0" fontId="6" fillId="10" borderId="4" xfId="0" applyFont="1" applyFill="1" applyBorder="1" applyAlignment="1">
      <alignment horizontal="left" vertical="center"/>
    </xf>
    <xf numFmtId="0" fontId="6" fillId="10" borderId="5" xfId="0" applyFont="1" applyFill="1" applyBorder="1" applyAlignment="1">
      <alignment horizontal="left" vertical="center"/>
    </xf>
    <xf numFmtId="0" fontId="2" fillId="10" borderId="5" xfId="0" applyFont="1" applyFill="1" applyBorder="1" applyAlignment="1">
      <alignment horizontal="left" vertical="center"/>
    </xf>
    <xf numFmtId="9" fontId="6" fillId="10" borderId="7" xfId="0" applyNumberFormat="1" applyFont="1" applyFill="1" applyBorder="1" applyAlignment="1">
      <alignment horizontal="center" vertical="center"/>
    </xf>
    <xf numFmtId="167" fontId="6" fillId="10" borderId="7" xfId="0" applyNumberFormat="1" applyFont="1" applyFill="1" applyBorder="1" applyAlignment="1">
      <alignment vertical="center"/>
    </xf>
    <xf numFmtId="167" fontId="6" fillId="10" borderId="45" xfId="0" applyNumberFormat="1" applyFont="1" applyFill="1" applyBorder="1" applyAlignment="1">
      <alignment vertical="center"/>
    </xf>
    <xf numFmtId="167" fontId="6" fillId="10" borderId="44" xfId="0" applyNumberFormat="1" applyFont="1" applyFill="1" applyBorder="1" applyAlignment="1">
      <alignment vertical="center"/>
    </xf>
    <xf numFmtId="9" fontId="16" fillId="0" borderId="25" xfId="3" applyNumberFormat="1" applyFont="1" applyFill="1" applyBorder="1" applyAlignment="1">
      <alignment horizontal="center" vertical="center"/>
    </xf>
    <xf numFmtId="9" fontId="2" fillId="2" borderId="10" xfId="2" applyFont="1" applyFill="1" applyBorder="1" applyAlignment="1">
      <alignment horizontal="center" vertical="center"/>
    </xf>
    <xf numFmtId="9" fontId="2" fillId="2" borderId="13" xfId="2" applyFont="1" applyFill="1" applyBorder="1" applyAlignment="1">
      <alignment horizontal="center" vertical="center"/>
    </xf>
    <xf numFmtId="9" fontId="2" fillId="2" borderId="46" xfId="2" applyFont="1" applyFill="1" applyBorder="1" applyAlignment="1">
      <alignment horizontal="center" vertical="center"/>
    </xf>
    <xf numFmtId="170" fontId="5" fillId="2" borderId="47" xfId="2" applyNumberFormat="1" applyFont="1" applyFill="1" applyBorder="1" applyAlignment="1">
      <alignment horizontal="center" vertical="center"/>
    </xf>
    <xf numFmtId="170" fontId="5" fillId="2" borderId="48" xfId="2" applyNumberFormat="1" applyFont="1" applyFill="1" applyBorder="1" applyAlignment="1">
      <alignment horizontal="center" vertical="center"/>
    </xf>
    <xf numFmtId="9" fontId="11" fillId="2" borderId="12" xfId="2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left" vertical="center"/>
    </xf>
    <xf numFmtId="9" fontId="16" fillId="0" borderId="7" xfId="2" applyFont="1" applyFill="1" applyBorder="1" applyAlignment="1">
      <alignment horizontal="center" vertical="center"/>
    </xf>
    <xf numFmtId="170" fontId="5" fillId="2" borderId="12" xfId="2" applyNumberFormat="1" applyFont="1" applyFill="1" applyBorder="1" applyAlignment="1">
      <alignment horizontal="center" vertical="center"/>
    </xf>
    <xf numFmtId="170" fontId="12" fillId="9" borderId="12" xfId="2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left" vertical="center"/>
    </xf>
    <xf numFmtId="167" fontId="5" fillId="2" borderId="7" xfId="0" applyNumberFormat="1" applyFont="1" applyFill="1" applyBorder="1" applyAlignment="1">
      <alignment vertical="center"/>
    </xf>
    <xf numFmtId="167" fontId="5" fillId="2" borderId="12" xfId="0" applyNumberFormat="1" applyFont="1" applyFill="1" applyBorder="1" applyAlignment="1">
      <alignment vertical="center"/>
    </xf>
    <xf numFmtId="167" fontId="2" fillId="10" borderId="49" xfId="0" applyNumberFormat="1" applyFont="1" applyFill="1" applyBorder="1" applyAlignment="1">
      <alignment vertical="center"/>
    </xf>
    <xf numFmtId="167" fontId="2" fillId="10" borderId="46" xfId="0" applyNumberFormat="1" applyFont="1" applyFill="1" applyBorder="1" applyAlignment="1">
      <alignment vertical="center"/>
    </xf>
    <xf numFmtId="10" fontId="18" fillId="10" borderId="22" xfId="3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3" fillId="0" borderId="50" xfId="0" applyFont="1" applyFill="1" applyBorder="1" applyAlignment="1">
      <alignment horizontal="left" vertical="center"/>
    </xf>
    <xf numFmtId="169" fontId="2" fillId="2" borderId="0" xfId="0" applyNumberFormat="1" applyFont="1" applyFill="1" applyBorder="1" applyAlignment="1">
      <alignment horizontal="left" vertical="center"/>
    </xf>
    <xf numFmtId="0" fontId="22" fillId="5" borderId="0" xfId="0" applyFont="1" applyFill="1" applyBorder="1" applyAlignment="1">
      <alignment horizontal="left" vertical="center"/>
    </xf>
    <xf numFmtId="0" fontId="24" fillId="3" borderId="27" xfId="0" applyFont="1" applyFill="1" applyBorder="1" applyAlignment="1">
      <alignment horizontal="left" vertical="center"/>
    </xf>
    <xf numFmtId="0" fontId="24" fillId="3" borderId="40" xfId="0" applyFont="1" applyFill="1" applyBorder="1" applyAlignment="1">
      <alignment horizontal="center" vertical="center"/>
    </xf>
    <xf numFmtId="0" fontId="23" fillId="3" borderId="51" xfId="0" applyFont="1" applyFill="1" applyBorder="1" applyAlignment="1">
      <alignment horizontal="left" vertical="center"/>
    </xf>
    <xf numFmtId="0" fontId="23" fillId="3" borderId="52" xfId="0" applyFont="1" applyFill="1" applyBorder="1" applyAlignment="1">
      <alignment horizontal="left" vertical="center"/>
    </xf>
    <xf numFmtId="0" fontId="3" fillId="3" borderId="52" xfId="0" applyFont="1" applyFill="1" applyBorder="1" applyAlignment="1">
      <alignment horizontal="left" vertical="center"/>
    </xf>
    <xf numFmtId="0" fontId="3" fillId="3" borderId="53" xfId="0" applyFont="1" applyFill="1" applyBorder="1" applyAlignment="1">
      <alignment horizontal="left" vertical="center"/>
    </xf>
    <xf numFmtId="167" fontId="5" fillId="4" borderId="14" xfId="0" applyNumberFormat="1" applyFont="1" applyFill="1" applyBorder="1" applyAlignment="1">
      <alignment horizontal="right" vertical="center"/>
    </xf>
    <xf numFmtId="169" fontId="5" fillId="2" borderId="0" xfId="0" applyNumberFormat="1" applyFont="1" applyFill="1" applyBorder="1" applyAlignment="1">
      <alignment horizontal="left" vertical="center"/>
    </xf>
    <xf numFmtId="0" fontId="25" fillId="2" borderId="0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left" vertical="center"/>
    </xf>
    <xf numFmtId="0" fontId="16" fillId="10" borderId="5" xfId="0" applyFont="1" applyFill="1" applyBorder="1" applyAlignment="1">
      <alignment horizontal="left" vertical="center"/>
    </xf>
    <xf numFmtId="0" fontId="5" fillId="10" borderId="5" xfId="0" applyFont="1" applyFill="1" applyBorder="1" applyAlignment="1">
      <alignment horizontal="left" vertical="center"/>
    </xf>
    <xf numFmtId="170" fontId="8" fillId="0" borderId="25" xfId="2" applyNumberFormat="1" applyFont="1" applyBorder="1" applyAlignment="1">
      <alignment horizontal="center"/>
    </xf>
    <xf numFmtId="170" fontId="8" fillId="0" borderId="54" xfId="2" applyNumberFormat="1" applyFont="1" applyBorder="1" applyAlignment="1">
      <alignment horizontal="center"/>
    </xf>
    <xf numFmtId="0" fontId="2" fillId="0" borderId="55" xfId="0" applyFont="1" applyFill="1" applyBorder="1" applyAlignment="1">
      <alignment horizontal="left" vertical="center"/>
    </xf>
    <xf numFmtId="9" fontId="5" fillId="2" borderId="56" xfId="0" applyNumberFormat="1" applyFont="1" applyFill="1" applyBorder="1" applyAlignment="1">
      <alignment horizontal="center" vertical="center"/>
    </xf>
    <xf numFmtId="9" fontId="5" fillId="2" borderId="36" xfId="0" applyNumberFormat="1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left" vertical="center"/>
    </xf>
    <xf numFmtId="166" fontId="5" fillId="2" borderId="58" xfId="0" applyNumberFormat="1" applyFont="1" applyFill="1" applyBorder="1" applyAlignment="1">
      <alignment vertical="center"/>
    </xf>
    <xf numFmtId="0" fontId="2" fillId="2" borderId="20" xfId="0" applyFont="1" applyFill="1" applyBorder="1" applyAlignment="1">
      <alignment horizontal="left" vertical="center"/>
    </xf>
    <xf numFmtId="166" fontId="5" fillId="2" borderId="59" xfId="0" applyNumberFormat="1" applyFont="1" applyFill="1" applyBorder="1" applyAlignment="1">
      <alignment vertical="center"/>
    </xf>
    <xf numFmtId="167" fontId="5" fillId="2" borderId="0" xfId="0" applyNumberFormat="1" applyFont="1" applyFill="1" applyBorder="1" applyAlignment="1">
      <alignment horizontal="right" vertical="center"/>
    </xf>
    <xf numFmtId="167" fontId="5" fillId="4" borderId="60" xfId="0" applyNumberFormat="1" applyFont="1" applyFill="1" applyBorder="1" applyAlignment="1">
      <alignment vertical="center"/>
    </xf>
    <xf numFmtId="167" fontId="2" fillId="0" borderId="45" xfId="0" applyNumberFormat="1" applyFont="1" applyFill="1" applyBorder="1" applyAlignment="1">
      <alignment vertical="center"/>
    </xf>
    <xf numFmtId="167" fontId="2" fillId="5" borderId="45" xfId="0" applyNumberFormat="1" applyFont="1" applyFill="1" applyBorder="1" applyAlignment="1">
      <alignment vertical="center"/>
    </xf>
    <xf numFmtId="167" fontId="2" fillId="5" borderId="61" xfId="0" applyNumberFormat="1" applyFont="1" applyFill="1" applyBorder="1" applyAlignment="1">
      <alignment vertical="center"/>
    </xf>
    <xf numFmtId="167" fontId="2" fillId="2" borderId="61" xfId="0" applyNumberFormat="1" applyFont="1" applyFill="1" applyBorder="1" applyAlignment="1">
      <alignment vertical="center"/>
    </xf>
    <xf numFmtId="167" fontId="2" fillId="4" borderId="60" xfId="0" applyNumberFormat="1" applyFont="1" applyFill="1" applyBorder="1" applyAlignment="1">
      <alignment vertical="center"/>
    </xf>
    <xf numFmtId="0" fontId="2" fillId="0" borderId="62" xfId="0" applyFont="1" applyFill="1" applyBorder="1" applyAlignment="1">
      <alignment horizontal="left" vertical="center"/>
    </xf>
    <xf numFmtId="9" fontId="12" fillId="0" borderId="63" xfId="0" applyNumberFormat="1" applyFont="1" applyFill="1" applyBorder="1" applyAlignment="1">
      <alignment horizontal="center" vertical="center"/>
    </xf>
    <xf numFmtId="0" fontId="2" fillId="0" borderId="63" xfId="0" applyFont="1" applyFill="1" applyBorder="1" applyAlignment="1">
      <alignment horizontal="left" vertical="center"/>
    </xf>
    <xf numFmtId="9" fontId="12" fillId="0" borderId="64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167" fontId="2" fillId="10" borderId="65" xfId="0" applyNumberFormat="1" applyFont="1" applyFill="1" applyBorder="1" applyAlignment="1">
      <alignment vertical="center"/>
    </xf>
    <xf numFmtId="167" fontId="11" fillId="9" borderId="44" xfId="0" applyNumberFormat="1" applyFont="1" applyFill="1" applyBorder="1" applyAlignment="1">
      <alignment vertical="center"/>
    </xf>
    <xf numFmtId="168" fontId="5" fillId="5" borderId="34" xfId="0" applyNumberFormat="1" applyFont="1" applyFill="1" applyBorder="1" applyAlignment="1">
      <alignment horizontal="center" vertical="center"/>
    </xf>
    <xf numFmtId="171" fontId="12" fillId="0" borderId="7" xfId="0" applyNumberFormat="1" applyFont="1" applyFill="1" applyBorder="1" applyAlignment="1">
      <alignment vertical="center"/>
    </xf>
    <xf numFmtId="171" fontId="12" fillId="0" borderId="45" xfId="0" applyNumberFormat="1" applyFont="1" applyFill="1" applyBorder="1" applyAlignment="1">
      <alignment vertical="center"/>
    </xf>
    <xf numFmtId="168" fontId="5" fillId="8" borderId="6" xfId="0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left" vertical="center"/>
    </xf>
    <xf numFmtId="0" fontId="3" fillId="0" borderId="66" xfId="0" applyFont="1" applyFill="1" applyBorder="1" applyAlignment="1">
      <alignment horizontal="left" vertical="center"/>
    </xf>
    <xf numFmtId="0" fontId="3" fillId="0" borderId="67" xfId="0" applyFont="1" applyFill="1" applyBorder="1" applyAlignment="1">
      <alignment horizontal="right" vertical="center"/>
    </xf>
    <xf numFmtId="0" fontId="3" fillId="0" borderId="67" xfId="0" quotePrefix="1" applyFont="1" applyFill="1" applyBorder="1" applyAlignment="1">
      <alignment horizontal="right" vertical="center"/>
    </xf>
    <xf numFmtId="0" fontId="2" fillId="2" borderId="67" xfId="0" applyFont="1" applyFill="1" applyBorder="1" applyAlignment="1">
      <alignment horizontal="right" vertical="center"/>
    </xf>
    <xf numFmtId="0" fontId="2" fillId="2" borderId="66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right" vertical="center"/>
    </xf>
    <xf numFmtId="0" fontId="2" fillId="2" borderId="69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 wrapText="1"/>
    </xf>
    <xf numFmtId="165" fontId="3" fillId="0" borderId="66" xfId="3" applyFont="1" applyFill="1" applyBorder="1" applyAlignment="1">
      <alignment horizontal="left" vertical="center"/>
    </xf>
    <xf numFmtId="167" fontId="2" fillId="2" borderId="0" xfId="0" applyNumberFormat="1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left" vertical="center"/>
    </xf>
    <xf numFmtId="0" fontId="5" fillId="4" borderId="18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70" xfId="0" applyFont="1" applyFill="1" applyBorder="1" applyAlignment="1">
      <alignment horizontal="left" vertic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9">
    <dxf>
      <font>
        <condense val="0"/>
        <extend val="0"/>
        <color indexed="10"/>
      </font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31"/>
        </patternFill>
      </fill>
    </dxf>
    <dxf>
      <font>
        <b/>
        <i val="0"/>
        <condense val="0"/>
        <extend val="0"/>
        <color auto="1"/>
      </font>
      <fill>
        <patternFill>
          <bgColor indexed="41"/>
        </patternFill>
      </fill>
    </dxf>
    <dxf>
      <font>
        <b/>
        <i val="0"/>
        <condense val="0"/>
        <extend val="0"/>
        <color auto="1"/>
      </font>
      <fill>
        <patternFill>
          <bgColor indexed="47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 /><Relationship Id="rId1" Type="http://schemas.openxmlformats.org/officeDocument/2006/relationships/image" Target="../media/image1.emf" 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 /><Relationship Id="rId2" Type="http://schemas.openxmlformats.org/officeDocument/2006/relationships/image" Target="../media/image3.emf" /><Relationship Id="rId1" Type="http://schemas.openxmlformats.org/officeDocument/2006/relationships/image" Target="../media/image1.emf" /><Relationship Id="rId4" Type="http://schemas.openxmlformats.org/officeDocument/2006/relationships/image" Target="../media/image5.em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200025</xdr:colOff>
      <xdr:row>7</xdr:row>
      <xdr:rowOff>114300</xdr:rowOff>
    </xdr:from>
    <xdr:to>
      <xdr:col>8</xdr:col>
      <xdr:colOff>762000</xdr:colOff>
      <xdr:row>7</xdr:row>
      <xdr:rowOff>114300</xdr:rowOff>
    </xdr:to>
    <xdr:sp macro="" textlink="">
      <xdr:nvSpPr>
        <xdr:cNvPr id="5121" name="Line 1">
          <a:extLst>
            <a:ext uri="{FF2B5EF4-FFF2-40B4-BE49-F238E27FC236}">
              <a16:creationId xmlns:a16="http://schemas.microsoft.com/office/drawing/2014/main" id="{F9ACCC2E-BDB7-4B68-A600-B276D11EE148}"/>
            </a:ext>
          </a:extLst>
        </xdr:cNvPr>
        <xdr:cNvSpPr>
          <a:spLocks noChangeShapeType="1"/>
        </xdr:cNvSpPr>
      </xdr:nvSpPr>
      <xdr:spPr bwMode="auto">
        <a:xfrm>
          <a:off x="4267200" y="2133600"/>
          <a:ext cx="561975" cy="0"/>
        </a:xfrm>
        <a:prstGeom prst="line">
          <a:avLst/>
        </a:prstGeom>
        <a:noFill/>
        <a:ln w="76200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5</xdr:col>
          <xdr:colOff>342900</xdr:colOff>
          <xdr:row>0</xdr:row>
          <xdr:rowOff>390525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94D1A27A-C6C5-4C4D-BCC2-A04998DC01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36</xdr:row>
          <xdr:rowOff>9525</xdr:rowOff>
        </xdr:from>
        <xdr:to>
          <xdr:col>10</xdr:col>
          <xdr:colOff>295275</xdr:colOff>
          <xdr:row>82</xdr:row>
          <xdr:rowOff>114300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FA4CA3B3-B09A-4BD7-A77E-0074CD4951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200025</xdr:colOff>
      <xdr:row>7</xdr:row>
      <xdr:rowOff>114300</xdr:rowOff>
    </xdr:from>
    <xdr:to>
      <xdr:col>8</xdr:col>
      <xdr:colOff>762000</xdr:colOff>
      <xdr:row>7</xdr:row>
      <xdr:rowOff>114300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A507DFD3-1238-4342-B92D-20CD3F686C74}"/>
            </a:ext>
          </a:extLst>
        </xdr:cNvPr>
        <xdr:cNvSpPr>
          <a:spLocks noChangeShapeType="1"/>
        </xdr:cNvSpPr>
      </xdr:nvSpPr>
      <xdr:spPr bwMode="auto">
        <a:xfrm>
          <a:off x="4267200" y="2133600"/>
          <a:ext cx="561975" cy="0"/>
        </a:xfrm>
        <a:prstGeom prst="line">
          <a:avLst/>
        </a:prstGeom>
        <a:noFill/>
        <a:ln w="76200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5</xdr:col>
          <xdr:colOff>342900</xdr:colOff>
          <xdr:row>0</xdr:row>
          <xdr:rowOff>390525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7CBD4EEC-C2DF-466B-9A3C-AC8D06CB97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124</xdr:row>
          <xdr:rowOff>57150</xdr:rowOff>
        </xdr:from>
        <xdr:to>
          <xdr:col>10</xdr:col>
          <xdr:colOff>581025</xdr:colOff>
          <xdr:row>166</xdr:row>
          <xdr:rowOff>200025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331EA9F5-30C7-4E5C-A0BB-63242BCAAF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164</xdr:row>
          <xdr:rowOff>38100</xdr:rowOff>
        </xdr:from>
        <xdr:to>
          <xdr:col>10</xdr:col>
          <xdr:colOff>590550</xdr:colOff>
          <xdr:row>206</xdr:row>
          <xdr:rowOff>180975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1F3E3A62-9378-4480-AF0C-79B6CF5D9D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203</xdr:row>
          <xdr:rowOff>66675</xdr:rowOff>
        </xdr:from>
        <xdr:to>
          <xdr:col>10</xdr:col>
          <xdr:colOff>552450</xdr:colOff>
          <xdr:row>246</xdr:row>
          <xdr:rowOff>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159BED4D-F160-4407-B012-48534DBFAC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 /><Relationship Id="rId3" Type="http://schemas.openxmlformats.org/officeDocument/2006/relationships/vmlDrawing" Target="../drawings/vmlDrawing1.vml" /><Relationship Id="rId7" Type="http://schemas.openxmlformats.org/officeDocument/2006/relationships/image" Target="../media/image2.emf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6" Type="http://schemas.openxmlformats.org/officeDocument/2006/relationships/oleObject" Target="../embeddings/oleObject2.bin" /><Relationship Id="rId5" Type="http://schemas.openxmlformats.org/officeDocument/2006/relationships/image" Target="../media/image1.emf" /><Relationship Id="rId4" Type="http://schemas.openxmlformats.org/officeDocument/2006/relationships/oleObject" Target="../embeddings/oleObject1.bin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5.bin" /><Relationship Id="rId3" Type="http://schemas.openxmlformats.org/officeDocument/2006/relationships/vmlDrawing" Target="../drawings/vmlDrawing2.vml" /><Relationship Id="rId7" Type="http://schemas.openxmlformats.org/officeDocument/2006/relationships/image" Target="../media/image3.emf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Relationship Id="rId6" Type="http://schemas.openxmlformats.org/officeDocument/2006/relationships/oleObject" Target="../embeddings/oleObject4.bin" /><Relationship Id="rId11" Type="http://schemas.openxmlformats.org/officeDocument/2006/relationships/image" Target="../media/image5.emf" /><Relationship Id="rId5" Type="http://schemas.openxmlformats.org/officeDocument/2006/relationships/image" Target="../media/image1.emf" /><Relationship Id="rId10" Type="http://schemas.openxmlformats.org/officeDocument/2006/relationships/oleObject" Target="../embeddings/oleObject6.bin" /><Relationship Id="rId4" Type="http://schemas.openxmlformats.org/officeDocument/2006/relationships/oleObject" Target="../embeddings/oleObject3.bin" /><Relationship Id="rId9" Type="http://schemas.openxmlformats.org/officeDocument/2006/relationships/image" Target="../media/image4.emf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"/>
  <sheetViews>
    <sheetView showGridLines="0" tabSelected="1" zoomScale="85" workbookViewId="0" xr3:uid="{AEA406A1-0E4B-5B11-9CD5-51D6E497D94C}">
      <selection activeCell="L44" sqref="L44"/>
    </sheetView>
  </sheetViews>
  <sheetFormatPr defaultColWidth="9.16796875" defaultRowHeight="16.5" customHeight="1" outlineLevelRow="1" x14ac:dyDescent="0.15"/>
  <cols>
    <col min="1" max="1" width="4.44921875" style="1" customWidth="1"/>
    <col min="2" max="2" width="4.8515625" style="1" customWidth="1"/>
    <col min="3" max="4" width="3.7734375" style="1" customWidth="1"/>
    <col min="5" max="5" width="2.828125" style="1" customWidth="1"/>
    <col min="6" max="6" width="17.125" style="1" customWidth="1"/>
    <col min="7" max="7" width="11.19140625" style="1" customWidth="1"/>
    <col min="8" max="8" width="13.078125" style="1" customWidth="1"/>
    <col min="9" max="9" width="12.5390625" style="1" bestFit="1" customWidth="1"/>
    <col min="10" max="10" width="16.31640625" style="1" bestFit="1" customWidth="1"/>
    <col min="11" max="11" width="15.23828125" style="1" customWidth="1"/>
    <col min="12" max="12" width="12.5390625" style="1" bestFit="1" customWidth="1"/>
    <col min="13" max="13" width="14.5625" style="1" bestFit="1" customWidth="1"/>
    <col min="14" max="14" width="12.5390625" style="29" bestFit="1" customWidth="1"/>
    <col min="15" max="16" width="12.5390625" style="1" bestFit="1" customWidth="1"/>
    <col min="17" max="16384" width="9.16796875" style="1"/>
  </cols>
  <sheetData>
    <row r="1" spans="1:24" s="2" customFormat="1" ht="31.5" customHeight="1" thickBot="1" x14ac:dyDescent="0.2">
      <c r="G1" s="187" t="s">
        <v>3</v>
      </c>
      <c r="I1" s="187"/>
      <c r="J1" s="187"/>
      <c r="K1" s="187"/>
      <c r="L1" s="203"/>
      <c r="M1" s="203" t="s">
        <v>65</v>
      </c>
      <c r="N1" s="194"/>
      <c r="O1" s="195"/>
      <c r="P1" s="195"/>
      <c r="Q1" s="195"/>
      <c r="R1" s="195"/>
      <c r="S1" s="195"/>
      <c r="T1" s="195"/>
      <c r="U1" s="195"/>
      <c r="V1" s="195"/>
      <c r="W1" s="195"/>
      <c r="X1" s="195"/>
    </row>
    <row r="2" spans="1:24" s="105" customFormat="1" ht="31.5" customHeight="1" thickBot="1" x14ac:dyDescent="0.2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97"/>
      <c r="O2" s="196"/>
      <c r="P2" s="196"/>
      <c r="Q2" s="196"/>
      <c r="R2" s="196"/>
      <c r="S2" s="196"/>
      <c r="T2" s="196"/>
      <c r="U2" s="196"/>
      <c r="V2" s="196"/>
      <c r="W2" s="196"/>
      <c r="X2" s="196"/>
    </row>
    <row r="3" spans="1:24" s="105" customFormat="1" ht="23.25" thickBot="1" x14ac:dyDescent="0.2">
      <c r="A3" s="155" t="s">
        <v>67</v>
      </c>
      <c r="B3" s="154"/>
      <c r="C3" s="154"/>
      <c r="D3" s="154"/>
      <c r="E3" s="154"/>
      <c r="F3" s="154"/>
      <c r="G3" s="154"/>
      <c r="H3" s="154"/>
      <c r="I3" s="154"/>
      <c r="J3" s="193" t="s">
        <v>63</v>
      </c>
      <c r="K3" s="82" t="s">
        <v>62</v>
      </c>
      <c r="L3" s="67" t="s">
        <v>59</v>
      </c>
      <c r="M3" s="190" t="s">
        <v>33</v>
      </c>
      <c r="N3" s="198"/>
      <c r="O3" s="196"/>
      <c r="P3" s="196"/>
      <c r="Q3" s="196"/>
      <c r="R3" s="196"/>
      <c r="S3" s="196"/>
      <c r="T3" s="196"/>
      <c r="U3" s="196"/>
      <c r="V3" s="196"/>
      <c r="W3" s="196"/>
      <c r="X3" s="196"/>
    </row>
    <row r="4" spans="1:24" s="105" customFormat="1" ht="18" customHeight="1" thickBot="1" x14ac:dyDescent="0.2">
      <c r="A4" s="95"/>
      <c r="B4" s="102" t="s">
        <v>2</v>
      </c>
      <c r="C4" s="96"/>
      <c r="D4" s="96"/>
      <c r="E4" s="96"/>
      <c r="F4" s="96"/>
      <c r="G4" s="6"/>
      <c r="H4" s="6"/>
      <c r="I4" s="9"/>
      <c r="J4" s="191"/>
      <c r="K4" s="191"/>
      <c r="L4" s="192"/>
      <c r="M4" s="189">
        <v>1850000</v>
      </c>
      <c r="N4" s="197"/>
      <c r="O4" s="196"/>
      <c r="P4" s="196"/>
      <c r="Q4" s="196"/>
      <c r="R4" s="196"/>
      <c r="S4" s="196"/>
      <c r="T4" s="196"/>
      <c r="U4" s="196"/>
      <c r="V4" s="196"/>
      <c r="W4" s="196"/>
      <c r="X4" s="196"/>
    </row>
    <row r="5" spans="1:24" s="105" customFormat="1" ht="18" customHeight="1" thickBot="1" x14ac:dyDescent="0.2">
      <c r="A5" s="5"/>
      <c r="B5" s="104" t="s">
        <v>34</v>
      </c>
      <c r="C5" s="6"/>
      <c r="D5" s="6"/>
      <c r="E5" s="6"/>
      <c r="F5" s="6"/>
      <c r="G5" s="6"/>
      <c r="H5" s="6"/>
      <c r="I5" s="9"/>
      <c r="J5" s="123">
        <v>0.8</v>
      </c>
      <c r="K5" s="123">
        <v>0.1</v>
      </c>
      <c r="L5" s="124">
        <f>1-(J5+K5)</f>
        <v>9.9999999999999978E-2</v>
      </c>
      <c r="M5" s="125">
        <v>1</v>
      </c>
      <c r="N5" s="197"/>
      <c r="O5" s="196"/>
      <c r="P5" s="196"/>
      <c r="Q5" s="196"/>
      <c r="R5" s="196"/>
      <c r="S5" s="196"/>
      <c r="T5" s="196"/>
      <c r="U5" s="196"/>
      <c r="V5" s="196"/>
      <c r="W5" s="196"/>
      <c r="X5" s="196"/>
    </row>
    <row r="6" spans="1:24" s="105" customFormat="1" ht="18" customHeight="1" thickBot="1" x14ac:dyDescent="0.2">
      <c r="A6" s="127" t="s">
        <v>43</v>
      </c>
      <c r="B6" s="128"/>
      <c r="C6" s="128"/>
      <c r="D6" s="128"/>
      <c r="E6" s="128"/>
      <c r="F6" s="128"/>
      <c r="G6" s="129"/>
      <c r="H6" s="129"/>
      <c r="I6" s="130">
        <v>1</v>
      </c>
      <c r="J6" s="131">
        <f>M4*J5</f>
        <v>1480000</v>
      </c>
      <c r="K6" s="131">
        <f>M4*K5</f>
        <v>185000</v>
      </c>
      <c r="L6" s="132">
        <f>M4*L5</f>
        <v>184999.99999999997</v>
      </c>
      <c r="M6" s="133">
        <f>SUM(J6:L6)</f>
        <v>1850000</v>
      </c>
      <c r="N6" s="197"/>
      <c r="O6" s="196"/>
      <c r="P6" s="196"/>
      <c r="Q6" s="196"/>
      <c r="R6" s="196"/>
      <c r="S6" s="196"/>
      <c r="T6" s="196"/>
      <c r="U6" s="196"/>
      <c r="V6" s="196"/>
      <c r="W6" s="196"/>
      <c r="X6" s="196"/>
    </row>
    <row r="7" spans="1:24" s="105" customFormat="1" ht="18" customHeight="1" thickBot="1" x14ac:dyDescent="0.2">
      <c r="A7" s="101" t="s">
        <v>70</v>
      </c>
      <c r="B7" s="6"/>
      <c r="C7" s="6"/>
      <c r="D7" s="6"/>
      <c r="E7" s="6"/>
      <c r="F7" s="6"/>
      <c r="G7" s="6"/>
      <c r="H7" s="6"/>
      <c r="I7" s="9"/>
      <c r="J7" s="74"/>
      <c r="K7" s="17"/>
      <c r="L7" s="18"/>
      <c r="M7" s="18"/>
      <c r="N7" s="197"/>
      <c r="O7" s="196"/>
      <c r="P7" s="196"/>
      <c r="Q7" s="196"/>
      <c r="R7" s="196"/>
      <c r="S7" s="196"/>
      <c r="T7" s="196"/>
      <c r="U7" s="196"/>
      <c r="V7" s="196"/>
      <c r="W7" s="196"/>
      <c r="X7" s="196"/>
    </row>
    <row r="8" spans="1:24" s="105" customFormat="1" ht="18" customHeight="1" thickBot="1" x14ac:dyDescent="0.2">
      <c r="A8" s="5"/>
      <c r="B8" s="6" t="s">
        <v>51</v>
      </c>
      <c r="C8" s="6"/>
      <c r="D8" s="6"/>
      <c r="E8" s="6"/>
      <c r="F8" s="6"/>
      <c r="G8" s="6"/>
      <c r="H8" s="6"/>
      <c r="I8" s="121"/>
      <c r="J8" s="118">
        <v>0.9</v>
      </c>
      <c r="K8" s="118">
        <v>0.9</v>
      </c>
      <c r="L8" s="119">
        <v>0.9</v>
      </c>
      <c r="M8" s="134">
        <f>SUM(J8:L8)/3</f>
        <v>0.9</v>
      </c>
      <c r="N8" s="197"/>
      <c r="O8" s="196"/>
      <c r="P8" s="196"/>
      <c r="Q8" s="196"/>
      <c r="R8" s="196"/>
      <c r="S8" s="196"/>
      <c r="T8" s="196"/>
      <c r="U8" s="196"/>
      <c r="V8" s="196"/>
      <c r="W8" s="196"/>
      <c r="X8" s="196"/>
    </row>
    <row r="9" spans="1:24" s="105" customFormat="1" ht="18" customHeight="1" thickBot="1" x14ac:dyDescent="0.2">
      <c r="A9" s="5"/>
      <c r="B9" s="6" t="s">
        <v>68</v>
      </c>
      <c r="C9" s="6"/>
      <c r="D9" s="6"/>
      <c r="E9" s="6"/>
      <c r="F9" s="6"/>
      <c r="G9" s="6"/>
      <c r="H9" s="6"/>
      <c r="I9" s="121"/>
      <c r="J9" s="19">
        <f>J6*J8</f>
        <v>1332000</v>
      </c>
      <c r="K9" s="19">
        <f>K6*K8</f>
        <v>166500</v>
      </c>
      <c r="L9" s="20">
        <f>L6*L8</f>
        <v>166499.99999999997</v>
      </c>
      <c r="M9" s="126">
        <f>SUM(J9:L9)</f>
        <v>1665000</v>
      </c>
      <c r="N9" s="197"/>
      <c r="O9" s="196"/>
      <c r="P9" s="196"/>
      <c r="Q9" s="196"/>
      <c r="R9" s="196"/>
      <c r="S9" s="196"/>
      <c r="T9" s="196"/>
      <c r="U9" s="196"/>
      <c r="V9" s="196"/>
      <c r="W9" s="196"/>
      <c r="X9" s="196"/>
    </row>
    <row r="10" spans="1:24" s="105" customFormat="1" ht="18" customHeight="1" thickBot="1" x14ac:dyDescent="0.2">
      <c r="A10" s="5"/>
      <c r="B10" s="141" t="s">
        <v>35</v>
      </c>
      <c r="C10" s="6"/>
      <c r="D10" s="6"/>
      <c r="E10" s="6"/>
      <c r="F10" s="6"/>
      <c r="G10" s="6"/>
      <c r="H10" s="6"/>
      <c r="I10" s="121"/>
      <c r="J10" s="19"/>
      <c r="K10" s="19"/>
      <c r="L10" s="20"/>
      <c r="M10" s="126"/>
      <c r="N10" s="197"/>
      <c r="O10" s="196"/>
      <c r="P10" s="196"/>
      <c r="Q10" s="196"/>
      <c r="R10" s="196"/>
      <c r="S10" s="196"/>
      <c r="T10" s="196"/>
      <c r="U10" s="196"/>
      <c r="V10" s="196"/>
      <c r="W10" s="196"/>
      <c r="X10" s="196"/>
    </row>
    <row r="11" spans="1:24" s="105" customFormat="1" ht="18" customHeight="1" thickBot="1" x14ac:dyDescent="0.2">
      <c r="A11" s="5"/>
      <c r="B11" s="6"/>
      <c r="C11" s="6" t="s">
        <v>60</v>
      </c>
      <c r="D11" s="6"/>
      <c r="E11" s="6"/>
      <c r="F11" s="6"/>
      <c r="G11" s="6"/>
      <c r="H11" s="6"/>
      <c r="I11" s="75"/>
      <c r="J11" s="118">
        <v>1</v>
      </c>
      <c r="K11" s="118">
        <v>1</v>
      </c>
      <c r="L11" s="119">
        <v>1</v>
      </c>
      <c r="M11" s="107">
        <v>0.5</v>
      </c>
      <c r="N11" s="197"/>
      <c r="O11" s="196"/>
      <c r="P11" s="196"/>
      <c r="Q11" s="196"/>
      <c r="R11" s="196"/>
      <c r="S11" s="196"/>
      <c r="T11" s="196"/>
      <c r="U11" s="196"/>
      <c r="V11" s="196"/>
      <c r="W11" s="196"/>
      <c r="X11" s="196"/>
    </row>
    <row r="12" spans="1:24" s="105" customFormat="1" ht="18" customHeight="1" thickBot="1" x14ac:dyDescent="0.2">
      <c r="A12" s="5"/>
      <c r="B12" s="6"/>
      <c r="C12" s="6" t="s">
        <v>30</v>
      </c>
      <c r="D12" s="6"/>
      <c r="E12" s="6"/>
      <c r="F12" s="6"/>
      <c r="G12" s="6"/>
      <c r="H12" s="6"/>
      <c r="I12" s="75"/>
      <c r="J12" s="118">
        <v>0</v>
      </c>
      <c r="K12" s="118">
        <v>0</v>
      </c>
      <c r="L12" s="119">
        <v>0</v>
      </c>
      <c r="M12" s="107">
        <v>0.25</v>
      </c>
      <c r="N12" s="197"/>
      <c r="O12" s="196"/>
      <c r="P12" s="196"/>
      <c r="Q12" s="196"/>
      <c r="R12" s="196"/>
      <c r="S12" s="196"/>
      <c r="T12" s="196"/>
      <c r="U12" s="196"/>
      <c r="V12" s="196"/>
      <c r="W12" s="196"/>
      <c r="X12" s="196"/>
    </row>
    <row r="13" spans="1:24" s="105" customFormat="1" ht="18" customHeight="1" thickBot="1" x14ac:dyDescent="0.2">
      <c r="A13" s="5"/>
      <c r="B13" s="6"/>
      <c r="C13" s="6" t="s">
        <v>36</v>
      </c>
      <c r="D13" s="6"/>
      <c r="E13" s="6"/>
      <c r="F13" s="6"/>
      <c r="G13" s="6"/>
      <c r="H13" s="6"/>
      <c r="I13" s="75"/>
      <c r="J13" s="142">
        <f>1-J11-J12</f>
        <v>0</v>
      </c>
      <c r="K13" s="142">
        <f>1-K11-K12</f>
        <v>0</v>
      </c>
      <c r="L13" s="120">
        <f>1-L11-L12</f>
        <v>0</v>
      </c>
      <c r="M13" s="107">
        <v>0.25</v>
      </c>
      <c r="N13" s="197"/>
      <c r="O13" s="196"/>
      <c r="P13" s="196"/>
      <c r="Q13" s="196"/>
      <c r="R13" s="196"/>
      <c r="S13" s="196"/>
      <c r="T13" s="196"/>
      <c r="U13" s="196"/>
      <c r="V13" s="196"/>
      <c r="W13" s="196"/>
      <c r="X13" s="196"/>
    </row>
    <row r="14" spans="1:24" s="105" customFormat="1" ht="18" customHeight="1" thickBot="1" x14ac:dyDescent="0.2">
      <c r="A14" s="101" t="s">
        <v>47</v>
      </c>
      <c r="B14" s="6"/>
      <c r="C14" s="6"/>
      <c r="D14" s="6"/>
      <c r="E14" s="6"/>
      <c r="F14" s="6"/>
      <c r="G14" s="6"/>
      <c r="H14" s="6"/>
      <c r="I14" s="75"/>
      <c r="J14" s="142"/>
      <c r="K14" s="142"/>
      <c r="L14" s="120"/>
      <c r="M14" s="107"/>
      <c r="N14" s="197"/>
      <c r="O14" s="196"/>
      <c r="P14" s="196"/>
      <c r="Q14" s="196"/>
      <c r="R14" s="196"/>
      <c r="S14" s="196"/>
      <c r="T14" s="196"/>
      <c r="U14" s="196"/>
      <c r="V14" s="196"/>
      <c r="W14" s="196"/>
      <c r="X14" s="196"/>
    </row>
    <row r="15" spans="1:24" s="105" customFormat="1" ht="18" customHeight="1" outlineLevel="1" thickBot="1" x14ac:dyDescent="0.2">
      <c r="A15" s="5"/>
      <c r="B15" s="6"/>
      <c r="C15" s="141" t="s">
        <v>69</v>
      </c>
      <c r="D15" s="6"/>
      <c r="E15" s="6"/>
      <c r="F15" s="6"/>
      <c r="G15" s="6"/>
      <c r="H15" s="6"/>
      <c r="I15" s="109"/>
      <c r="J15" s="106"/>
      <c r="K15" s="106"/>
      <c r="L15" s="107"/>
      <c r="M15" s="140" t="s">
        <v>38</v>
      </c>
      <c r="N15" s="197"/>
      <c r="O15" s="196"/>
      <c r="P15" s="196"/>
      <c r="Q15" s="196"/>
      <c r="R15" s="196"/>
      <c r="S15" s="196"/>
      <c r="T15" s="196"/>
      <c r="U15" s="196"/>
      <c r="V15" s="196"/>
      <c r="W15" s="196"/>
      <c r="X15" s="196"/>
    </row>
    <row r="16" spans="1:24" s="105" customFormat="1" ht="18" customHeight="1" outlineLevel="1" thickBot="1" x14ac:dyDescent="0.2">
      <c r="A16" s="5"/>
      <c r="B16" s="6"/>
      <c r="C16" s="6" t="s">
        <v>58</v>
      </c>
      <c r="D16" s="6"/>
      <c r="E16" s="6"/>
      <c r="F16" s="6"/>
      <c r="G16" s="6"/>
      <c r="H16" s="6"/>
      <c r="I16" s="109"/>
      <c r="J16" s="118">
        <v>0.17</v>
      </c>
      <c r="K16" s="118">
        <v>0.17</v>
      </c>
      <c r="L16" s="119">
        <v>0.17</v>
      </c>
      <c r="M16" s="108">
        <f>(J16*$J$5)+(K16*$K$5)+(L16*$L$5)</f>
        <v>0.17</v>
      </c>
      <c r="N16" s="197"/>
      <c r="O16" s="196"/>
      <c r="P16" s="196"/>
      <c r="Q16" s="196"/>
      <c r="R16" s="196"/>
      <c r="S16" s="196"/>
      <c r="T16" s="196"/>
      <c r="U16" s="196"/>
      <c r="V16" s="196"/>
      <c r="W16" s="196"/>
      <c r="X16" s="196"/>
    </row>
    <row r="17" spans="1:24" s="105" customFormat="1" ht="18" customHeight="1" outlineLevel="1" thickBot="1" x14ac:dyDescent="0.2">
      <c r="A17" s="5"/>
      <c r="B17" s="6"/>
      <c r="C17" s="6" t="s">
        <v>30</v>
      </c>
      <c r="D17" s="6"/>
      <c r="E17" s="6"/>
      <c r="F17" s="6"/>
      <c r="G17" s="6"/>
      <c r="H17" s="6"/>
      <c r="I17" s="109"/>
      <c r="J17" s="118">
        <v>0.12</v>
      </c>
      <c r="K17" s="118">
        <v>0.12</v>
      </c>
      <c r="L17" s="119">
        <v>0.12</v>
      </c>
      <c r="M17" s="108">
        <f>(J17*$J$5)+(K17*$K$5)+(L17*$L$5)</f>
        <v>0.12</v>
      </c>
      <c r="N17" s="197"/>
      <c r="O17" s="196"/>
      <c r="P17" s="196"/>
      <c r="Q17" s="196"/>
      <c r="R17" s="196"/>
      <c r="S17" s="196"/>
      <c r="T17" s="196"/>
      <c r="U17" s="196"/>
      <c r="V17" s="196"/>
      <c r="W17" s="196"/>
      <c r="X17" s="196"/>
    </row>
    <row r="18" spans="1:24" s="105" customFormat="1" ht="18" customHeight="1" outlineLevel="1" thickBot="1" x14ac:dyDescent="0.2">
      <c r="A18" s="5"/>
      <c r="B18" s="6"/>
      <c r="C18" s="6" t="s">
        <v>32</v>
      </c>
      <c r="D18" s="6"/>
      <c r="E18" s="6"/>
      <c r="F18" s="6"/>
      <c r="G18" s="6"/>
      <c r="H18" s="6"/>
      <c r="I18" s="109"/>
      <c r="J18" s="118">
        <v>7.0000000000000007E-2</v>
      </c>
      <c r="K18" s="118">
        <v>7.0000000000000007E-2</v>
      </c>
      <c r="L18" s="119">
        <v>7.0000000000000007E-2</v>
      </c>
      <c r="M18" s="108">
        <f>(J18*$J$5)+(K18*$K$5)+(L18*$L$5)</f>
        <v>7.0000000000000007E-2</v>
      </c>
      <c r="N18" s="197"/>
      <c r="O18" s="196"/>
      <c r="P18" s="196"/>
      <c r="Q18" s="196"/>
      <c r="R18" s="196"/>
      <c r="S18" s="196"/>
      <c r="T18" s="196"/>
      <c r="U18" s="196"/>
      <c r="V18" s="196"/>
      <c r="W18" s="196"/>
      <c r="X18" s="196"/>
    </row>
    <row r="19" spans="1:24" s="105" customFormat="1" ht="18" customHeight="1" outlineLevel="1" thickBot="1" x14ac:dyDescent="0.2">
      <c r="A19" s="5"/>
      <c r="B19" s="6"/>
      <c r="C19" s="141" t="s">
        <v>31</v>
      </c>
      <c r="D19" s="6"/>
      <c r="E19" s="6"/>
      <c r="F19" s="6"/>
      <c r="G19" s="6"/>
      <c r="H19" s="6"/>
      <c r="I19" s="109"/>
      <c r="J19" s="106"/>
      <c r="K19" s="106"/>
      <c r="L19" s="107"/>
      <c r="M19" s="107"/>
      <c r="N19" s="197"/>
      <c r="O19" s="196"/>
      <c r="P19" s="196"/>
      <c r="Q19" s="196"/>
      <c r="R19" s="196"/>
      <c r="S19" s="196"/>
      <c r="T19" s="196"/>
      <c r="U19" s="196"/>
      <c r="V19" s="196"/>
      <c r="W19" s="196"/>
      <c r="X19" s="196"/>
    </row>
    <row r="20" spans="1:24" s="105" customFormat="1" ht="18" customHeight="1" outlineLevel="1" thickBot="1" x14ac:dyDescent="0.2">
      <c r="A20" s="5"/>
      <c r="B20" s="6"/>
      <c r="C20" s="6" t="s">
        <v>58</v>
      </c>
      <c r="E20" s="6"/>
      <c r="F20" s="6"/>
      <c r="G20" s="6"/>
      <c r="H20" s="6"/>
      <c r="I20" s="109"/>
      <c r="J20" s="118">
        <v>1</v>
      </c>
      <c r="K20" s="118">
        <v>0.3</v>
      </c>
      <c r="L20" s="119">
        <v>0</v>
      </c>
      <c r="M20" s="143">
        <f>(J20*$J$5)+(K20*$K$5)+(L20*$L$5)</f>
        <v>0.83000000000000007</v>
      </c>
      <c r="N20" s="197"/>
      <c r="O20" s="196"/>
      <c r="P20" s="196"/>
      <c r="Q20" s="196"/>
      <c r="R20" s="196"/>
      <c r="S20" s="196"/>
      <c r="T20" s="196"/>
      <c r="U20" s="196"/>
      <c r="V20" s="196"/>
      <c r="W20" s="196"/>
      <c r="X20" s="196"/>
    </row>
    <row r="21" spans="1:24" s="105" customFormat="1" ht="18" customHeight="1" outlineLevel="1" thickBot="1" x14ac:dyDescent="0.2">
      <c r="A21" s="5"/>
      <c r="B21" s="6"/>
      <c r="C21" s="6" t="s">
        <v>30</v>
      </c>
      <c r="E21" s="6"/>
      <c r="F21" s="6"/>
      <c r="G21" s="6"/>
      <c r="H21" s="6"/>
      <c r="I21" s="109"/>
      <c r="J21" s="118">
        <v>0.6</v>
      </c>
      <c r="K21" s="118">
        <v>0.3</v>
      </c>
      <c r="L21" s="119">
        <v>0</v>
      </c>
      <c r="M21" s="143">
        <f>(J21*$J$5)+(K21*$K$5)+(L21*$L$5)</f>
        <v>0.51</v>
      </c>
      <c r="N21" s="197"/>
      <c r="O21" s="196"/>
      <c r="P21" s="196"/>
      <c r="Q21" s="196"/>
      <c r="R21" s="196"/>
      <c r="S21" s="196"/>
      <c r="T21" s="196"/>
      <c r="U21" s="196"/>
      <c r="V21" s="196"/>
      <c r="W21" s="196"/>
      <c r="X21" s="196"/>
    </row>
    <row r="22" spans="1:24" s="105" customFormat="1" ht="18" customHeight="1" outlineLevel="1" thickBot="1" x14ac:dyDescent="0.2">
      <c r="A22" s="5"/>
      <c r="B22" s="6"/>
      <c r="C22" s="6" t="s">
        <v>32</v>
      </c>
      <c r="E22" s="6"/>
      <c r="F22" s="6"/>
      <c r="G22" s="6"/>
      <c r="H22" s="6"/>
      <c r="I22" s="109"/>
      <c r="J22" s="118">
        <v>0.6</v>
      </c>
      <c r="K22" s="118">
        <v>0.3</v>
      </c>
      <c r="L22" s="119">
        <v>0</v>
      </c>
      <c r="M22" s="143">
        <f>(J22*$J$5)+(K22*$K$5)+(L22*$L$5)</f>
        <v>0.51</v>
      </c>
      <c r="N22" s="197"/>
      <c r="O22" s="196"/>
      <c r="P22" s="196"/>
      <c r="Q22" s="196"/>
      <c r="R22" s="196"/>
      <c r="S22" s="196"/>
      <c r="T22" s="196"/>
      <c r="U22" s="196"/>
      <c r="V22" s="196"/>
      <c r="W22" s="196"/>
      <c r="X22" s="196"/>
    </row>
    <row r="23" spans="1:24" s="105" customFormat="1" ht="18" customHeight="1" outlineLevel="1" thickBot="1" x14ac:dyDescent="0.2">
      <c r="A23" s="5"/>
      <c r="B23" s="6"/>
      <c r="C23" s="6"/>
      <c r="E23" s="6"/>
      <c r="F23" s="6"/>
      <c r="G23" s="6"/>
      <c r="H23" s="6"/>
      <c r="I23" s="109"/>
      <c r="J23" s="106"/>
      <c r="K23" s="106"/>
      <c r="L23" s="107"/>
      <c r="M23" s="107"/>
      <c r="N23" s="197"/>
      <c r="O23" s="196"/>
      <c r="P23" s="196"/>
      <c r="Q23" s="196"/>
      <c r="R23" s="196"/>
      <c r="S23" s="196"/>
      <c r="T23" s="196"/>
      <c r="U23" s="196"/>
      <c r="V23" s="196"/>
      <c r="W23" s="196"/>
      <c r="X23" s="196"/>
    </row>
    <row r="24" spans="1:24" s="105" customFormat="1" ht="18" customHeight="1" outlineLevel="1" thickBot="1" x14ac:dyDescent="0.2">
      <c r="A24" s="5"/>
      <c r="B24" s="6"/>
      <c r="C24" s="104" t="s">
        <v>39</v>
      </c>
      <c r="D24" s="6"/>
      <c r="E24" s="6"/>
      <c r="F24" s="6"/>
      <c r="G24" s="6"/>
      <c r="H24" s="6"/>
      <c r="I24" s="75"/>
      <c r="J24" s="138">
        <f>((J16*(1-J20))*J11)+((J17*(1-J21))*J12)+((J18*(1-J22))*J13)</f>
        <v>0</v>
      </c>
      <c r="K24" s="138">
        <f>((K16*(1-K20))*K11)+((K17*(1-K21))*K12)+((K18*(1-K22))*K13)</f>
        <v>0.11899999999999999</v>
      </c>
      <c r="L24" s="139">
        <f>((L16*(1-L20))*L11)+((L17*(1-L21))*L12)+((L18*(1-L22))*L13)</f>
        <v>0.17</v>
      </c>
      <c r="M24" s="143">
        <f>(J24*$J$5)+(K24*$K$5)+(L24*$L$5)</f>
        <v>2.8899999999999999E-2</v>
      </c>
      <c r="N24" s="197"/>
      <c r="O24" s="196"/>
      <c r="P24" s="196"/>
      <c r="Q24" s="196"/>
      <c r="R24" s="196"/>
      <c r="S24" s="196"/>
      <c r="T24" s="196"/>
      <c r="U24" s="196"/>
      <c r="V24" s="196"/>
      <c r="W24" s="196"/>
      <c r="X24" s="196"/>
    </row>
    <row r="25" spans="1:24" s="105" customFormat="1" ht="18" customHeight="1" outlineLevel="1" thickTop="1" thickBot="1" x14ac:dyDescent="0.2">
      <c r="A25" s="5"/>
      <c r="B25" s="6"/>
      <c r="C25" s="104"/>
      <c r="D25" s="6"/>
      <c r="E25" s="6"/>
      <c r="F25" s="6"/>
      <c r="G25" s="6"/>
      <c r="H25" s="6"/>
      <c r="I25" s="75"/>
      <c r="J25" s="19"/>
      <c r="K25" s="19"/>
      <c r="L25" s="20"/>
      <c r="M25" s="126"/>
      <c r="N25" s="197"/>
      <c r="O25" s="196"/>
      <c r="P25" s="196"/>
      <c r="Q25" s="196"/>
      <c r="R25" s="196"/>
      <c r="S25" s="196"/>
      <c r="T25" s="196"/>
      <c r="U25" s="196"/>
      <c r="V25" s="196"/>
      <c r="W25" s="196"/>
      <c r="X25" s="196"/>
    </row>
    <row r="26" spans="1:24" s="105" customFormat="1" ht="18" customHeight="1" outlineLevel="1" thickBot="1" x14ac:dyDescent="0.2">
      <c r="A26" s="5"/>
      <c r="B26" s="145">
        <v>-1</v>
      </c>
      <c r="C26" s="104" t="s">
        <v>46</v>
      </c>
      <c r="D26" s="6"/>
      <c r="E26" s="6"/>
      <c r="F26" s="6"/>
      <c r="G26" s="6"/>
      <c r="H26" s="6"/>
      <c r="I26" s="75"/>
      <c r="J26" s="146">
        <f>J9*J24</f>
        <v>0</v>
      </c>
      <c r="K26" s="146">
        <f>K9*K24</f>
        <v>19813.5</v>
      </c>
      <c r="L26" s="147">
        <f>L9*L24</f>
        <v>28304.999999999996</v>
      </c>
      <c r="M26" s="126"/>
      <c r="N26" s="197"/>
      <c r="O26" s="196"/>
      <c r="P26" s="196"/>
      <c r="Q26" s="196"/>
      <c r="R26" s="196"/>
      <c r="S26" s="196"/>
      <c r="T26" s="196"/>
      <c r="U26" s="196"/>
      <c r="V26" s="196"/>
      <c r="W26" s="196"/>
      <c r="X26" s="196"/>
    </row>
    <row r="27" spans="1:24" s="105" customFormat="1" ht="18" customHeight="1" outlineLevel="1" thickBot="1" x14ac:dyDescent="0.2">
      <c r="A27" s="5"/>
      <c r="B27" s="6"/>
      <c r="C27" s="104"/>
      <c r="D27" s="6"/>
      <c r="E27" s="6"/>
      <c r="F27" s="6"/>
      <c r="G27" s="6"/>
      <c r="H27" s="6"/>
      <c r="I27" s="75"/>
      <c r="J27" s="19"/>
      <c r="K27" s="19"/>
      <c r="L27" s="20"/>
      <c r="M27" s="126"/>
      <c r="N27" s="197"/>
      <c r="O27" s="196"/>
      <c r="P27" s="196"/>
      <c r="Q27" s="196"/>
      <c r="R27" s="196"/>
      <c r="S27" s="196"/>
      <c r="T27" s="196"/>
      <c r="U27" s="196"/>
      <c r="V27" s="196"/>
      <c r="W27" s="196"/>
      <c r="X27" s="196"/>
    </row>
    <row r="28" spans="1:24" s="105" customFormat="1" ht="18" customHeight="1" outlineLevel="1" thickBot="1" x14ac:dyDescent="0.2">
      <c r="A28" s="5"/>
      <c r="B28" s="6"/>
      <c r="C28" s="141" t="s">
        <v>45</v>
      </c>
      <c r="D28" s="6"/>
      <c r="E28" s="6"/>
      <c r="F28" s="6"/>
      <c r="G28" s="6"/>
      <c r="H28" s="6"/>
      <c r="I28" s="75"/>
      <c r="J28" s="19"/>
      <c r="K28" s="19"/>
      <c r="L28" s="20"/>
      <c r="M28" s="126"/>
      <c r="N28" s="197"/>
      <c r="O28" s="196"/>
      <c r="P28" s="196"/>
      <c r="Q28" s="196"/>
      <c r="R28" s="196"/>
      <c r="S28" s="196"/>
      <c r="T28" s="196"/>
      <c r="U28" s="196"/>
      <c r="V28" s="196"/>
      <c r="W28" s="196"/>
      <c r="X28" s="196"/>
    </row>
    <row r="29" spans="1:24" s="105" customFormat="1" ht="18" customHeight="1" outlineLevel="1" thickBot="1" x14ac:dyDescent="0.2">
      <c r="A29" s="5"/>
      <c r="B29" s="6"/>
      <c r="C29" s="104" t="s">
        <v>42</v>
      </c>
      <c r="D29" s="6"/>
      <c r="E29" s="6"/>
      <c r="F29" s="6"/>
      <c r="G29" s="6"/>
      <c r="H29" s="6"/>
      <c r="I29" s="118">
        <v>0.6</v>
      </c>
      <c r="J29" s="19">
        <f>J6*$I29</f>
        <v>888000</v>
      </c>
      <c r="K29" s="19">
        <f>K6*$I29</f>
        <v>111000</v>
      </c>
      <c r="L29" s="20">
        <f>L6*$I29</f>
        <v>110999.99999999999</v>
      </c>
      <c r="M29" s="126"/>
      <c r="N29" s="197"/>
      <c r="O29" s="196"/>
      <c r="P29" s="196"/>
      <c r="Q29" s="196"/>
      <c r="R29" s="196"/>
      <c r="S29" s="196"/>
      <c r="T29" s="196"/>
      <c r="U29" s="196"/>
      <c r="V29" s="196"/>
      <c r="W29" s="196"/>
      <c r="X29" s="196"/>
    </row>
    <row r="30" spans="1:24" s="105" customFormat="1" ht="18" customHeight="1" outlineLevel="1" thickBot="1" x14ac:dyDescent="0.2">
      <c r="A30" s="5"/>
      <c r="B30" s="6"/>
      <c r="C30" s="6" t="s">
        <v>61</v>
      </c>
      <c r="D30" s="6"/>
      <c r="E30" s="6"/>
      <c r="F30" s="6"/>
      <c r="G30" s="6"/>
      <c r="H30" s="6"/>
      <c r="I30" s="109"/>
      <c r="J30" s="123">
        <v>3.7999999999999999E-2</v>
      </c>
      <c r="K30" s="123">
        <f>J30</f>
        <v>3.7999999999999999E-2</v>
      </c>
      <c r="L30" s="144">
        <f>K30</f>
        <v>3.7999999999999999E-2</v>
      </c>
      <c r="M30" s="108">
        <f>(J30*$J$5)+(K30*$K$5)+(L30*$L$5)</f>
        <v>3.7999999999999999E-2</v>
      </c>
      <c r="N30" s="197"/>
      <c r="O30" s="196"/>
      <c r="P30" s="196"/>
      <c r="Q30" s="196"/>
      <c r="R30" s="196"/>
      <c r="S30" s="196"/>
      <c r="T30" s="196"/>
      <c r="U30" s="196"/>
      <c r="V30" s="196"/>
      <c r="W30" s="196"/>
      <c r="X30" s="196"/>
    </row>
    <row r="31" spans="1:24" s="105" customFormat="1" ht="18" customHeight="1" outlineLevel="1" thickBot="1" x14ac:dyDescent="0.2">
      <c r="A31" s="145">
        <v>-2</v>
      </c>
      <c r="B31" s="151" t="s">
        <v>41</v>
      </c>
      <c r="C31" s="6" t="s">
        <v>44</v>
      </c>
      <c r="D31" s="6"/>
      <c r="E31" s="6"/>
      <c r="F31" s="6"/>
      <c r="G31" s="6"/>
      <c r="H31" s="6"/>
      <c r="I31" s="109"/>
      <c r="J31" s="19">
        <f>J29*J30</f>
        <v>33744</v>
      </c>
      <c r="K31" s="19">
        <f>K29*K30</f>
        <v>4218</v>
      </c>
      <c r="L31" s="20">
        <f>L29*L30</f>
        <v>4217.9999999999991</v>
      </c>
      <c r="M31" s="126">
        <f>SUM(J31:L31)</f>
        <v>42180</v>
      </c>
      <c r="N31" s="197"/>
      <c r="O31" s="196"/>
      <c r="P31" s="196"/>
      <c r="Q31" s="196"/>
      <c r="R31" s="196"/>
      <c r="S31" s="196"/>
      <c r="T31" s="196"/>
      <c r="U31" s="196"/>
      <c r="V31" s="196"/>
      <c r="W31" s="196"/>
      <c r="X31" s="196"/>
    </row>
    <row r="32" spans="1:24" s="105" customFormat="1" ht="18" customHeight="1" outlineLevel="1" thickBot="1" x14ac:dyDescent="0.2">
      <c r="A32" s="5"/>
      <c r="B32" s="6"/>
      <c r="C32" s="6"/>
      <c r="D32" s="6"/>
      <c r="E32" s="6"/>
      <c r="F32" s="6"/>
      <c r="G32" s="6"/>
      <c r="H32" s="6"/>
      <c r="I32" s="109"/>
      <c r="J32" s="135"/>
      <c r="K32" s="135"/>
      <c r="L32" s="136"/>
      <c r="M32" s="136"/>
      <c r="N32" s="197"/>
      <c r="O32" s="196"/>
      <c r="P32" s="196"/>
      <c r="Q32" s="196"/>
      <c r="R32" s="196"/>
      <c r="S32" s="196"/>
      <c r="T32" s="196"/>
      <c r="U32" s="196"/>
      <c r="V32" s="196"/>
      <c r="W32" s="196"/>
      <c r="X32" s="196"/>
    </row>
    <row r="33" spans="1:24" s="105" customFormat="1" ht="18" customHeight="1" thickBot="1" x14ac:dyDescent="0.2">
      <c r="A33" s="164"/>
      <c r="B33" s="165" t="s">
        <v>48</v>
      </c>
      <c r="C33" s="129"/>
      <c r="D33" s="129"/>
      <c r="E33" s="129"/>
      <c r="F33" s="129"/>
      <c r="G33" s="166"/>
      <c r="H33" s="166"/>
      <c r="I33" s="150">
        <f>M33/M9</f>
        <v>2.3833333333333335E-2</v>
      </c>
      <c r="J33" s="148">
        <f>IF(J31&gt;=J26,0,J26-J31)</f>
        <v>0</v>
      </c>
      <c r="K33" s="148">
        <f>IF(K31&gt;=K26,0,K26-K31)</f>
        <v>15595.5</v>
      </c>
      <c r="L33" s="149">
        <f>IF(L31&gt;=L26,0,L26-L31)</f>
        <v>24086.999999999996</v>
      </c>
      <c r="M33" s="188">
        <f>SUM(J33:L33)</f>
        <v>39682.5</v>
      </c>
      <c r="N33" s="197"/>
      <c r="O33" s="196"/>
      <c r="P33" s="196"/>
      <c r="Q33" s="196"/>
      <c r="R33" s="196"/>
      <c r="S33" s="196"/>
      <c r="T33" s="196"/>
      <c r="U33" s="196"/>
      <c r="V33" s="196"/>
      <c r="W33" s="196"/>
      <c r="X33" s="196"/>
    </row>
    <row r="34" spans="1:24" s="105" customFormat="1" ht="18" customHeight="1" thickBot="1" x14ac:dyDescent="0.2">
      <c r="A34" s="5"/>
      <c r="B34" s="6"/>
      <c r="C34" s="6"/>
      <c r="D34" s="6"/>
      <c r="E34" s="6"/>
      <c r="F34" s="6"/>
      <c r="G34" s="6"/>
      <c r="H34" s="6"/>
      <c r="I34" s="109"/>
      <c r="J34" s="106"/>
      <c r="K34" s="106"/>
      <c r="L34" s="107"/>
      <c r="M34" s="137"/>
      <c r="N34" s="197"/>
      <c r="O34" s="196"/>
      <c r="P34" s="196"/>
      <c r="Q34" s="196"/>
      <c r="R34" s="196"/>
      <c r="S34" s="196"/>
      <c r="T34" s="196"/>
      <c r="U34" s="196"/>
      <c r="V34" s="196"/>
      <c r="W34" s="196"/>
      <c r="X34" s="196"/>
    </row>
    <row r="35" spans="1:24" ht="16.5" customHeight="1" thickBot="1" x14ac:dyDescent="0.2">
      <c r="N35" s="199"/>
      <c r="O35" s="200"/>
      <c r="P35" s="200"/>
      <c r="Q35" s="200"/>
      <c r="R35" s="200"/>
      <c r="S35" s="200"/>
      <c r="T35" s="200"/>
      <c r="U35" s="200"/>
      <c r="V35" s="200"/>
      <c r="W35" s="200"/>
      <c r="X35" s="200"/>
    </row>
  </sheetData>
  <phoneticPr fontId="0" type="noConversion"/>
  <conditionalFormatting sqref="I4:I34 J3:M34">
    <cfRule type="cellIs" dxfId="8" priority="1" stopIfTrue="1" operator="lessThan">
      <formula>0</formula>
    </cfRule>
  </conditionalFormatting>
  <pageMargins left="0.75" right="0.75" top="1" bottom="1" header="0.49212598499999999" footer="0.49212598499999999"/>
  <pageSetup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5122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5</xdr:col>
                <xdr:colOff>342900</xdr:colOff>
                <xdr:row>0</xdr:row>
                <xdr:rowOff>390525</xdr:rowOff>
              </to>
            </anchor>
          </objectPr>
        </oleObject>
      </mc:Choice>
      <mc:Fallback>
        <oleObject progId="MSPhotoEd.3" shapeId="5122" r:id="rId4"/>
      </mc:Fallback>
    </mc:AlternateContent>
    <mc:AlternateContent xmlns:mc="http://schemas.openxmlformats.org/markup-compatibility/2006">
      <mc:Choice Requires="x14">
        <oleObject progId="Word.Document.8" shapeId="5123" r:id="rId6">
          <objectPr defaultSize="0" autoPict="0" r:id="rId7">
            <anchor moveWithCells="1">
              <from>
                <xdr:col>0</xdr:col>
                <xdr:colOff>152400</xdr:colOff>
                <xdr:row>36</xdr:row>
                <xdr:rowOff>9525</xdr:rowOff>
              </from>
              <to>
                <xdr:col>10</xdr:col>
                <xdr:colOff>295275</xdr:colOff>
                <xdr:row>82</xdr:row>
                <xdr:rowOff>114300</xdr:rowOff>
              </to>
            </anchor>
          </objectPr>
        </oleObject>
      </mc:Choice>
      <mc:Fallback>
        <oleObject progId="Word.Document.8" shapeId="5123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23"/>
  <sheetViews>
    <sheetView zoomScale="85" workbookViewId="0" xr3:uid="{958C4451-9541-5A59-BF78-D2F731DF1C81}">
      <selection activeCell="B19" sqref="B19"/>
    </sheetView>
  </sheetViews>
  <sheetFormatPr defaultColWidth="9.16796875" defaultRowHeight="16.5" customHeight="1" outlineLevelRow="1" x14ac:dyDescent="0.15"/>
  <cols>
    <col min="1" max="1" width="4.44921875" style="1" customWidth="1"/>
    <col min="2" max="2" width="4.8515625" style="1" customWidth="1"/>
    <col min="3" max="4" width="3.7734375" style="1" customWidth="1"/>
    <col min="5" max="5" width="2.828125" style="1" customWidth="1"/>
    <col min="6" max="6" width="17.125" style="1" customWidth="1"/>
    <col min="7" max="7" width="11.19140625" style="1" customWidth="1"/>
    <col min="8" max="8" width="13.078125" style="1" customWidth="1"/>
    <col min="9" max="9" width="12.5390625" style="1" bestFit="1" customWidth="1"/>
    <col min="10" max="10" width="16.31640625" style="1" bestFit="1" customWidth="1"/>
    <col min="11" max="11" width="15.23828125" style="1" customWidth="1"/>
    <col min="12" max="12" width="13.75390625" style="1" customWidth="1"/>
    <col min="13" max="13" width="14.5625" style="1" bestFit="1" customWidth="1"/>
    <col min="14" max="14" width="12.5390625" style="29" bestFit="1" customWidth="1"/>
    <col min="15" max="16" width="12.5390625" style="1" bestFit="1" customWidth="1"/>
    <col min="17" max="16384" width="9.16796875" style="1"/>
  </cols>
  <sheetData>
    <row r="1" spans="1:24" s="2" customFormat="1" ht="31.5" customHeight="1" thickBot="1" x14ac:dyDescent="0.2">
      <c r="G1" s="187" t="s">
        <v>3</v>
      </c>
      <c r="I1" s="187"/>
      <c r="J1" s="187"/>
      <c r="K1" s="187"/>
      <c r="L1" s="203" t="s">
        <v>65</v>
      </c>
      <c r="M1" s="203"/>
      <c r="N1" s="194"/>
      <c r="O1" s="195"/>
      <c r="P1" s="195"/>
      <c r="Q1" s="195"/>
      <c r="R1" s="195"/>
      <c r="S1" s="195"/>
      <c r="T1" s="195"/>
      <c r="U1" s="195"/>
      <c r="V1" s="195"/>
      <c r="W1" s="195"/>
      <c r="X1" s="195"/>
    </row>
    <row r="2" spans="1:24" s="105" customFormat="1" ht="31.5" customHeight="1" thickBot="1" x14ac:dyDescent="0.2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97"/>
      <c r="O2" s="196"/>
      <c r="P2" s="196"/>
      <c r="Q2" s="204"/>
      <c r="R2" s="196"/>
      <c r="S2" s="196"/>
      <c r="T2" s="196"/>
      <c r="U2" s="196"/>
      <c r="V2" s="196"/>
      <c r="W2" s="196"/>
      <c r="X2" s="196"/>
    </row>
    <row r="3" spans="1:24" s="105" customFormat="1" ht="23.25" thickBot="1" x14ac:dyDescent="0.2">
      <c r="A3" s="155" t="s">
        <v>49</v>
      </c>
      <c r="B3" s="154"/>
      <c r="C3" s="154"/>
      <c r="D3" s="154"/>
      <c r="E3" s="154"/>
      <c r="F3" s="154"/>
      <c r="G3" s="154"/>
      <c r="H3" s="154"/>
      <c r="I3" s="154"/>
      <c r="J3" s="193" t="s">
        <v>63</v>
      </c>
      <c r="K3" s="82" t="s">
        <v>62</v>
      </c>
      <c r="L3" s="67" t="s">
        <v>59</v>
      </c>
      <c r="M3" s="190" t="s">
        <v>33</v>
      </c>
      <c r="N3" s="198"/>
      <c r="O3" s="196"/>
      <c r="P3" s="196"/>
      <c r="Q3" s="196"/>
      <c r="R3" s="196"/>
      <c r="S3" s="196"/>
      <c r="T3" s="196"/>
      <c r="U3" s="196"/>
      <c r="V3" s="196"/>
      <c r="W3" s="196"/>
      <c r="X3" s="196"/>
    </row>
    <row r="4" spans="1:24" s="105" customFormat="1" ht="18" customHeight="1" thickBot="1" x14ac:dyDescent="0.2">
      <c r="A4" s="95"/>
      <c r="B4" s="102" t="s">
        <v>2</v>
      </c>
      <c r="C4" s="96"/>
      <c r="D4" s="96"/>
      <c r="E4" s="96"/>
      <c r="F4" s="96"/>
      <c r="G4" s="6"/>
      <c r="H4" s="6"/>
      <c r="I4" s="9"/>
      <c r="J4" s="191"/>
      <c r="K4" s="191"/>
      <c r="L4" s="192"/>
      <c r="M4" s="189">
        <v>1850000</v>
      </c>
      <c r="N4" s="197"/>
      <c r="O4" s="196"/>
      <c r="P4" s="196"/>
      <c r="Q4" s="196"/>
      <c r="R4" s="196"/>
      <c r="S4" s="196"/>
      <c r="T4" s="196"/>
      <c r="U4" s="196"/>
      <c r="V4" s="196"/>
      <c r="W4" s="196"/>
      <c r="X4" s="196"/>
    </row>
    <row r="5" spans="1:24" s="105" customFormat="1" ht="18" customHeight="1" thickBot="1" x14ac:dyDescent="0.2">
      <c r="A5" s="5"/>
      <c r="B5" s="104" t="s">
        <v>34</v>
      </c>
      <c r="C5" s="6"/>
      <c r="D5" s="6"/>
      <c r="E5" s="6"/>
      <c r="F5" s="6"/>
      <c r="G5" s="6"/>
      <c r="H5" s="6"/>
      <c r="I5" s="9"/>
      <c r="J5" s="123">
        <v>0.8</v>
      </c>
      <c r="K5" s="123">
        <v>0.1</v>
      </c>
      <c r="L5" s="124">
        <f>1-(J5+K5)</f>
        <v>9.9999999999999978E-2</v>
      </c>
      <c r="M5" s="125">
        <v>1</v>
      </c>
      <c r="N5" s="197"/>
      <c r="O5" s="196"/>
      <c r="P5" s="196"/>
      <c r="Q5" s="196"/>
      <c r="R5" s="196"/>
      <c r="S5" s="196"/>
      <c r="T5" s="196"/>
      <c r="U5" s="196"/>
      <c r="V5" s="196"/>
      <c r="W5" s="196"/>
      <c r="X5" s="196"/>
    </row>
    <row r="6" spans="1:24" s="105" customFormat="1" ht="18" customHeight="1" thickBot="1" x14ac:dyDescent="0.2">
      <c r="A6" s="127" t="s">
        <v>43</v>
      </c>
      <c r="B6" s="128"/>
      <c r="C6" s="128"/>
      <c r="D6" s="128"/>
      <c r="E6" s="128"/>
      <c r="F6" s="128"/>
      <c r="G6" s="129"/>
      <c r="H6" s="129"/>
      <c r="I6" s="130">
        <v>1</v>
      </c>
      <c r="J6" s="131">
        <f>M4*J5</f>
        <v>1480000</v>
      </c>
      <c r="K6" s="131">
        <f>M4*K5</f>
        <v>185000</v>
      </c>
      <c r="L6" s="132">
        <f>M4*L5</f>
        <v>184999.99999999997</v>
      </c>
      <c r="M6" s="133">
        <f>SUM(J6:L6)</f>
        <v>1850000</v>
      </c>
      <c r="N6" s="197"/>
      <c r="O6" s="196"/>
      <c r="P6" s="196"/>
      <c r="Q6" s="196"/>
      <c r="R6" s="196"/>
      <c r="S6" s="196"/>
      <c r="T6" s="196"/>
      <c r="U6" s="196"/>
      <c r="V6" s="196"/>
      <c r="W6" s="196"/>
      <c r="X6" s="196"/>
    </row>
    <row r="7" spans="1:24" s="105" customFormat="1" ht="18" customHeight="1" thickBot="1" x14ac:dyDescent="0.2">
      <c r="A7" s="101" t="s">
        <v>13</v>
      </c>
      <c r="B7" s="6"/>
      <c r="C7" s="6"/>
      <c r="D7" s="6"/>
      <c r="E7" s="6"/>
      <c r="F7" s="6"/>
      <c r="G7" s="6"/>
      <c r="H7" s="6"/>
      <c r="I7" s="9"/>
      <c r="J7" s="74"/>
      <c r="K7" s="17"/>
      <c r="L7" s="18"/>
      <c r="M7" s="18"/>
      <c r="N7" s="197"/>
      <c r="O7" s="196"/>
      <c r="P7" s="196"/>
      <c r="Q7" s="196"/>
      <c r="R7" s="196"/>
      <c r="S7" s="196"/>
      <c r="T7" s="196"/>
      <c r="U7" s="196"/>
      <c r="V7" s="196"/>
      <c r="W7" s="196"/>
      <c r="X7" s="196"/>
    </row>
    <row r="8" spans="1:24" s="105" customFormat="1" ht="18" customHeight="1" thickBot="1" x14ac:dyDescent="0.2">
      <c r="A8" s="5"/>
      <c r="B8" s="6" t="s">
        <v>51</v>
      </c>
      <c r="C8" s="6"/>
      <c r="D8" s="6"/>
      <c r="E8" s="6"/>
      <c r="F8" s="6"/>
      <c r="G8" s="6"/>
      <c r="H8" s="6"/>
      <c r="I8" s="121"/>
      <c r="J8" s="118">
        <v>0.9</v>
      </c>
      <c r="K8" s="118">
        <v>0.9</v>
      </c>
      <c r="L8" s="119">
        <v>0.9</v>
      </c>
      <c r="M8" s="134">
        <f>SUM(J8:L8)/3</f>
        <v>0.9</v>
      </c>
      <c r="N8" s="197"/>
      <c r="O8" s="196"/>
      <c r="P8" s="196"/>
      <c r="Q8" s="196"/>
      <c r="R8" s="196"/>
      <c r="S8" s="196"/>
      <c r="T8" s="196"/>
      <c r="U8" s="196"/>
      <c r="V8" s="196"/>
      <c r="W8" s="196"/>
      <c r="X8" s="196"/>
    </row>
    <row r="9" spans="1:24" s="105" customFormat="1" ht="18" customHeight="1" thickBot="1" x14ac:dyDescent="0.2">
      <c r="A9" s="5"/>
      <c r="B9" s="6" t="s">
        <v>52</v>
      </c>
      <c r="C9" s="6"/>
      <c r="D9" s="6"/>
      <c r="E9" s="6"/>
      <c r="F9" s="6"/>
      <c r="G9" s="6"/>
      <c r="H9" s="6"/>
      <c r="I9" s="121"/>
      <c r="J9" s="19">
        <f>J6*J8</f>
        <v>1332000</v>
      </c>
      <c r="K9" s="19">
        <f>K6*K8</f>
        <v>166500</v>
      </c>
      <c r="L9" s="20">
        <f>L6*L8</f>
        <v>166499.99999999997</v>
      </c>
      <c r="M9" s="126">
        <f>SUM(J9:L9)</f>
        <v>1665000</v>
      </c>
      <c r="N9" s="197"/>
      <c r="O9" s="196"/>
      <c r="P9" s="196"/>
      <c r="Q9" s="196"/>
      <c r="R9" s="196"/>
      <c r="S9" s="196"/>
      <c r="T9" s="196"/>
      <c r="U9" s="196"/>
      <c r="V9" s="196"/>
      <c r="W9" s="196"/>
      <c r="X9" s="196"/>
    </row>
    <row r="10" spans="1:24" s="105" customFormat="1" ht="18" customHeight="1" thickBot="1" x14ac:dyDescent="0.2">
      <c r="A10" s="5"/>
      <c r="B10" s="141" t="s">
        <v>35</v>
      </c>
      <c r="C10" s="6"/>
      <c r="D10" s="6"/>
      <c r="E10" s="6"/>
      <c r="F10" s="6"/>
      <c r="G10" s="6"/>
      <c r="H10" s="6"/>
      <c r="I10" s="121"/>
      <c r="J10" s="19"/>
      <c r="K10" s="19"/>
      <c r="L10" s="20"/>
      <c r="M10" s="126"/>
      <c r="N10" s="197"/>
      <c r="O10" s="196"/>
      <c r="P10" s="196"/>
      <c r="Q10" s="196"/>
      <c r="R10" s="196"/>
      <c r="S10" s="196"/>
      <c r="T10" s="196"/>
      <c r="U10" s="196"/>
      <c r="V10" s="196"/>
      <c r="W10" s="196"/>
      <c r="X10" s="196"/>
    </row>
    <row r="11" spans="1:24" s="105" customFormat="1" ht="18" customHeight="1" thickBot="1" x14ac:dyDescent="0.2">
      <c r="A11" s="5"/>
      <c r="B11" s="6"/>
      <c r="C11" s="6" t="s">
        <v>60</v>
      </c>
      <c r="D11" s="6"/>
      <c r="E11" s="6"/>
      <c r="F11" s="6"/>
      <c r="G11" s="6"/>
      <c r="H11" s="6"/>
      <c r="I11" s="75"/>
      <c r="J11" s="118">
        <v>1</v>
      </c>
      <c r="K11" s="118">
        <v>1</v>
      </c>
      <c r="L11" s="119">
        <v>1</v>
      </c>
      <c r="M11" s="107">
        <v>0.5</v>
      </c>
      <c r="N11" s="197"/>
      <c r="O11" s="196"/>
      <c r="P11" s="196"/>
      <c r="Q11" s="196"/>
      <c r="R11" s="196"/>
      <c r="S11" s="196"/>
      <c r="T11" s="196"/>
      <c r="U11" s="196"/>
      <c r="V11" s="196"/>
      <c r="W11" s="196"/>
      <c r="X11" s="196"/>
    </row>
    <row r="12" spans="1:24" s="105" customFormat="1" ht="18" customHeight="1" thickBot="1" x14ac:dyDescent="0.2">
      <c r="A12" s="5"/>
      <c r="B12" s="6"/>
      <c r="C12" s="6" t="s">
        <v>30</v>
      </c>
      <c r="D12" s="6"/>
      <c r="E12" s="6"/>
      <c r="F12" s="6"/>
      <c r="G12" s="6"/>
      <c r="H12" s="6"/>
      <c r="I12" s="75"/>
      <c r="J12" s="118">
        <v>0</v>
      </c>
      <c r="K12" s="118">
        <v>0</v>
      </c>
      <c r="L12" s="119">
        <v>0</v>
      </c>
      <c r="M12" s="107">
        <v>0.25</v>
      </c>
      <c r="N12" s="197"/>
      <c r="O12" s="196"/>
      <c r="P12" s="196"/>
      <c r="Q12" s="196"/>
      <c r="R12" s="196"/>
      <c r="S12" s="196"/>
      <c r="T12" s="196"/>
      <c r="U12" s="196"/>
      <c r="V12" s="196"/>
      <c r="W12" s="196"/>
      <c r="X12" s="196"/>
    </row>
    <row r="13" spans="1:24" s="105" customFormat="1" ht="18" customHeight="1" thickBot="1" x14ac:dyDescent="0.2">
      <c r="A13" s="5"/>
      <c r="B13" s="6"/>
      <c r="C13" s="6" t="s">
        <v>36</v>
      </c>
      <c r="D13" s="6"/>
      <c r="E13" s="6"/>
      <c r="F13" s="6"/>
      <c r="G13" s="6"/>
      <c r="H13" s="6"/>
      <c r="I13" s="75"/>
      <c r="J13" s="142">
        <f>1-J11-J12</f>
        <v>0</v>
      </c>
      <c r="K13" s="142">
        <f>1-K11-K12</f>
        <v>0</v>
      </c>
      <c r="L13" s="120">
        <f>1-L11-L12</f>
        <v>0</v>
      </c>
      <c r="M13" s="107">
        <v>0.25</v>
      </c>
      <c r="N13" s="197"/>
      <c r="O13" s="196"/>
      <c r="P13" s="196"/>
      <c r="Q13" s="196"/>
      <c r="R13" s="196"/>
      <c r="S13" s="196"/>
      <c r="T13" s="196"/>
      <c r="U13" s="196"/>
      <c r="V13" s="196"/>
      <c r="W13" s="196"/>
      <c r="X13" s="196"/>
    </row>
    <row r="14" spans="1:24" s="105" customFormat="1" ht="18" customHeight="1" thickBot="1" x14ac:dyDescent="0.2">
      <c r="A14" s="101" t="s">
        <v>47</v>
      </c>
      <c r="B14" s="6"/>
      <c r="C14" s="6"/>
      <c r="D14" s="6"/>
      <c r="E14" s="6"/>
      <c r="F14" s="6"/>
      <c r="G14" s="6"/>
      <c r="H14" s="6"/>
      <c r="I14" s="75"/>
      <c r="J14" s="142"/>
      <c r="K14" s="142"/>
      <c r="L14" s="120"/>
      <c r="M14" s="107"/>
      <c r="N14" s="197"/>
      <c r="O14" s="196"/>
      <c r="P14" s="196"/>
      <c r="Q14" s="196"/>
      <c r="R14" s="196"/>
      <c r="S14" s="196"/>
      <c r="T14" s="196"/>
      <c r="U14" s="196"/>
      <c r="V14" s="196"/>
      <c r="W14" s="196"/>
      <c r="X14" s="196"/>
    </row>
    <row r="15" spans="1:24" s="105" customFormat="1" ht="18" customHeight="1" outlineLevel="1" thickBot="1" x14ac:dyDescent="0.2">
      <c r="A15" s="5"/>
      <c r="B15" s="6"/>
      <c r="C15" s="141" t="s">
        <v>37</v>
      </c>
      <c r="D15" s="6"/>
      <c r="E15" s="6"/>
      <c r="F15" s="6"/>
      <c r="G15" s="6"/>
      <c r="H15" s="6"/>
      <c r="I15" s="109"/>
      <c r="J15" s="106"/>
      <c r="K15" s="106"/>
      <c r="L15" s="107"/>
      <c r="M15" s="140" t="s">
        <v>38</v>
      </c>
      <c r="N15" s="197"/>
      <c r="O15" s="196"/>
      <c r="P15" s="196"/>
      <c r="Q15" s="196"/>
      <c r="R15" s="196"/>
      <c r="S15" s="196"/>
      <c r="T15" s="196"/>
      <c r="U15" s="196"/>
      <c r="V15" s="196"/>
      <c r="W15" s="196"/>
      <c r="X15" s="196"/>
    </row>
    <row r="16" spans="1:24" s="105" customFormat="1" ht="18" customHeight="1" outlineLevel="1" thickBot="1" x14ac:dyDescent="0.2">
      <c r="A16" s="5"/>
      <c r="B16" s="6"/>
      <c r="C16" s="6" t="s">
        <v>58</v>
      </c>
      <c r="D16" s="6"/>
      <c r="E16" s="6"/>
      <c r="F16" s="6"/>
      <c r="G16" s="6"/>
      <c r="H16" s="6"/>
      <c r="I16" s="109"/>
      <c r="J16" s="142">
        <v>0.17</v>
      </c>
      <c r="K16" s="142">
        <v>0.17</v>
      </c>
      <c r="L16" s="120">
        <v>0.17</v>
      </c>
      <c r="M16" s="108">
        <f>(J16*$J$5)+(K16*$K$5)+(L16*$L$5)</f>
        <v>0.17</v>
      </c>
      <c r="N16" s="197"/>
      <c r="O16" s="196"/>
      <c r="P16" s="196"/>
      <c r="Q16" s="196"/>
      <c r="R16" s="196"/>
      <c r="S16" s="196"/>
      <c r="T16" s="196"/>
      <c r="U16" s="196"/>
      <c r="V16" s="196"/>
      <c r="W16" s="196"/>
      <c r="X16" s="196"/>
    </row>
    <row r="17" spans="1:24" s="105" customFormat="1" ht="18" customHeight="1" outlineLevel="1" thickBot="1" x14ac:dyDescent="0.2">
      <c r="A17" s="5"/>
      <c r="B17" s="6"/>
      <c r="C17" s="6" t="s">
        <v>30</v>
      </c>
      <c r="D17" s="6"/>
      <c r="E17" s="6"/>
      <c r="F17" s="6"/>
      <c r="G17" s="6"/>
      <c r="H17" s="6"/>
      <c r="I17" s="109"/>
      <c r="J17" s="142">
        <v>0.12</v>
      </c>
      <c r="K17" s="142">
        <v>0.12</v>
      </c>
      <c r="L17" s="120">
        <v>0.12</v>
      </c>
      <c r="M17" s="108">
        <f>(J17*$J$5)+(K17*$K$5)+(L17*$L$5)</f>
        <v>0.12</v>
      </c>
      <c r="N17" s="197"/>
      <c r="O17" s="196"/>
      <c r="P17" s="196"/>
      <c r="Q17" s="196"/>
      <c r="R17" s="196"/>
      <c r="S17" s="196"/>
      <c r="T17" s="196"/>
      <c r="U17" s="196"/>
      <c r="V17" s="196"/>
      <c r="W17" s="196"/>
      <c r="X17" s="196"/>
    </row>
    <row r="18" spans="1:24" s="105" customFormat="1" ht="18" customHeight="1" outlineLevel="1" thickBot="1" x14ac:dyDescent="0.2">
      <c r="A18" s="5"/>
      <c r="B18" s="6"/>
      <c r="C18" s="6" t="s">
        <v>32</v>
      </c>
      <c r="D18" s="6"/>
      <c r="E18" s="6"/>
      <c r="F18" s="6"/>
      <c r="G18" s="6"/>
      <c r="H18" s="6"/>
      <c r="I18" s="109"/>
      <c r="J18" s="142">
        <v>7.0000000000000007E-2</v>
      </c>
      <c r="K18" s="142">
        <v>7.0000000000000007E-2</v>
      </c>
      <c r="L18" s="120">
        <v>7.0000000000000007E-2</v>
      </c>
      <c r="M18" s="108">
        <f>(J18*$J$5)+(K18*$K$5)+(L18*$L$5)</f>
        <v>7.0000000000000007E-2</v>
      </c>
      <c r="N18" s="197"/>
      <c r="O18" s="196"/>
      <c r="P18" s="196"/>
      <c r="Q18" s="196"/>
      <c r="R18" s="196"/>
      <c r="S18" s="196"/>
      <c r="T18" s="196"/>
      <c r="U18" s="196"/>
      <c r="V18" s="196"/>
      <c r="W18" s="196"/>
      <c r="X18" s="196"/>
    </row>
    <row r="19" spans="1:24" s="105" customFormat="1" ht="18" customHeight="1" outlineLevel="1" thickBot="1" x14ac:dyDescent="0.2">
      <c r="A19" s="5"/>
      <c r="B19" s="6"/>
      <c r="C19" s="141" t="s">
        <v>31</v>
      </c>
      <c r="D19" s="6"/>
      <c r="E19" s="6"/>
      <c r="F19" s="6"/>
      <c r="G19" s="6"/>
      <c r="H19" s="6"/>
      <c r="I19" s="109"/>
      <c r="J19" s="106"/>
      <c r="K19" s="106"/>
      <c r="L19" s="107"/>
      <c r="M19" s="107"/>
      <c r="N19" s="197"/>
      <c r="O19" s="196"/>
      <c r="P19" s="196"/>
      <c r="Q19" s="196"/>
      <c r="R19" s="196"/>
      <c r="S19" s="196"/>
      <c r="T19" s="196"/>
      <c r="U19" s="196"/>
      <c r="V19" s="196"/>
      <c r="W19" s="196"/>
      <c r="X19" s="196"/>
    </row>
    <row r="20" spans="1:24" s="105" customFormat="1" ht="18" customHeight="1" outlineLevel="1" thickBot="1" x14ac:dyDescent="0.2">
      <c r="A20" s="5"/>
      <c r="B20" s="6"/>
      <c r="C20" s="6" t="s">
        <v>58</v>
      </c>
      <c r="E20" s="6"/>
      <c r="F20" s="6"/>
      <c r="G20" s="6"/>
      <c r="H20" s="6"/>
      <c r="I20" s="109"/>
      <c r="J20" s="142">
        <v>1</v>
      </c>
      <c r="K20" s="142">
        <v>0.3</v>
      </c>
      <c r="L20" s="120">
        <v>0</v>
      </c>
      <c r="M20" s="143">
        <f>(J20*$J$5)+(K20*$K$5)+(L20*$L$5)</f>
        <v>0.83000000000000007</v>
      </c>
      <c r="N20" s="197"/>
      <c r="O20" s="196"/>
      <c r="P20" s="196"/>
      <c r="Q20" s="196"/>
      <c r="R20" s="196"/>
      <c r="S20" s="196"/>
      <c r="T20" s="196"/>
      <c r="U20" s="196"/>
      <c r="V20" s="196"/>
      <c r="W20" s="196"/>
      <c r="X20" s="196"/>
    </row>
    <row r="21" spans="1:24" s="105" customFormat="1" ht="18" customHeight="1" outlineLevel="1" thickBot="1" x14ac:dyDescent="0.2">
      <c r="A21" s="5"/>
      <c r="B21" s="6"/>
      <c r="C21" s="6" t="s">
        <v>30</v>
      </c>
      <c r="E21" s="6"/>
      <c r="F21" s="6"/>
      <c r="G21" s="6"/>
      <c r="H21" s="6"/>
      <c r="I21" s="109"/>
      <c r="J21" s="142">
        <v>0.6</v>
      </c>
      <c r="K21" s="142">
        <v>0.3</v>
      </c>
      <c r="L21" s="120">
        <v>0</v>
      </c>
      <c r="M21" s="143">
        <f>(J21*$J$5)+(K21*$K$5)+(L21*$L$5)</f>
        <v>0.51</v>
      </c>
      <c r="N21" s="197"/>
      <c r="O21" s="196"/>
      <c r="P21" s="196"/>
      <c r="Q21" s="196"/>
      <c r="R21" s="196"/>
      <c r="S21" s="196"/>
      <c r="T21" s="196"/>
      <c r="U21" s="196"/>
      <c r="V21" s="196"/>
      <c r="W21" s="196"/>
      <c r="X21" s="196"/>
    </row>
    <row r="22" spans="1:24" s="105" customFormat="1" ht="18" customHeight="1" outlineLevel="1" thickBot="1" x14ac:dyDescent="0.2">
      <c r="A22" s="5"/>
      <c r="B22" s="6"/>
      <c r="C22" s="6" t="s">
        <v>32</v>
      </c>
      <c r="E22" s="6"/>
      <c r="F22" s="6"/>
      <c r="G22" s="6"/>
      <c r="H22" s="6"/>
      <c r="I22" s="109"/>
      <c r="J22" s="142">
        <v>0.6</v>
      </c>
      <c r="K22" s="142">
        <v>0.3</v>
      </c>
      <c r="L22" s="120">
        <v>0</v>
      </c>
      <c r="M22" s="143">
        <f>(J22*$J$5)+(K22*$K$5)+(L22*$L$5)</f>
        <v>0.51</v>
      </c>
      <c r="N22" s="197"/>
      <c r="O22" s="196"/>
      <c r="P22" s="196"/>
      <c r="Q22" s="196"/>
      <c r="R22" s="196"/>
      <c r="S22" s="196"/>
      <c r="T22" s="196"/>
      <c r="U22" s="196"/>
      <c r="V22" s="196"/>
      <c r="W22" s="196"/>
      <c r="X22" s="196"/>
    </row>
    <row r="23" spans="1:24" s="105" customFormat="1" ht="18" customHeight="1" outlineLevel="1" thickBot="1" x14ac:dyDescent="0.2">
      <c r="A23" s="5"/>
      <c r="B23" s="6"/>
      <c r="C23" s="6"/>
      <c r="E23" s="6"/>
      <c r="F23" s="6"/>
      <c r="G23" s="6"/>
      <c r="H23" s="6"/>
      <c r="I23" s="109"/>
      <c r="J23" s="106"/>
      <c r="K23" s="106"/>
      <c r="L23" s="107"/>
      <c r="M23" s="107"/>
      <c r="N23" s="197"/>
      <c r="O23" s="196"/>
      <c r="P23" s="196"/>
      <c r="Q23" s="196"/>
      <c r="R23" s="196"/>
      <c r="S23" s="196"/>
      <c r="T23" s="196"/>
      <c r="U23" s="196"/>
      <c r="V23" s="196"/>
      <c r="W23" s="196"/>
      <c r="X23" s="196"/>
    </row>
    <row r="24" spans="1:24" s="105" customFormat="1" ht="18" customHeight="1" outlineLevel="1" thickBot="1" x14ac:dyDescent="0.2">
      <c r="A24" s="5"/>
      <c r="B24" s="6"/>
      <c r="C24" s="104" t="s">
        <v>39</v>
      </c>
      <c r="D24" s="6"/>
      <c r="E24" s="6"/>
      <c r="F24" s="6"/>
      <c r="G24" s="6"/>
      <c r="H24" s="6"/>
      <c r="I24" s="75"/>
      <c r="J24" s="138">
        <f>((J16*(1-J20))*J11)+((J17*(1-J21))*J12)+((J18*(1-J22))*J13)</f>
        <v>0</v>
      </c>
      <c r="K24" s="138">
        <f>((K16*(1-K20))*K11)+((K17*(1-K21))*K12)+((K18*(1-K22))*K13)</f>
        <v>0.11899999999999999</v>
      </c>
      <c r="L24" s="139">
        <f>((L16*(1-L20))*L11)+((L17*(1-L21))*L12)+((L18*(1-L22))*L13)</f>
        <v>0.17</v>
      </c>
      <c r="M24" s="143">
        <f>(J24*$J$5)+(K24*$K$5)+(L24*$L$5)</f>
        <v>2.8899999999999999E-2</v>
      </c>
      <c r="N24" s="197"/>
      <c r="O24" s="196"/>
      <c r="P24" s="196"/>
      <c r="Q24" s="196"/>
      <c r="R24" s="196"/>
      <c r="S24" s="196"/>
      <c r="T24" s="196"/>
      <c r="U24" s="196"/>
      <c r="V24" s="196"/>
      <c r="W24" s="196"/>
      <c r="X24" s="196"/>
    </row>
    <row r="25" spans="1:24" s="105" customFormat="1" ht="18" customHeight="1" outlineLevel="1" thickTop="1" thickBot="1" x14ac:dyDescent="0.2">
      <c r="A25" s="5"/>
      <c r="B25" s="6"/>
      <c r="C25" s="104"/>
      <c r="D25" s="6"/>
      <c r="E25" s="6"/>
      <c r="F25" s="6"/>
      <c r="G25" s="6"/>
      <c r="H25" s="6"/>
      <c r="I25" s="75"/>
      <c r="J25" s="19"/>
      <c r="K25" s="19"/>
      <c r="L25" s="20"/>
      <c r="M25" s="126"/>
      <c r="N25" s="197"/>
      <c r="O25" s="196"/>
      <c r="P25" s="196"/>
      <c r="Q25" s="196"/>
      <c r="R25" s="196"/>
      <c r="S25" s="196"/>
      <c r="T25" s="196"/>
      <c r="U25" s="196"/>
      <c r="V25" s="196"/>
      <c r="W25" s="196"/>
      <c r="X25" s="196"/>
    </row>
    <row r="26" spans="1:24" s="105" customFormat="1" ht="18" customHeight="1" outlineLevel="1" thickBot="1" x14ac:dyDescent="0.2">
      <c r="A26" s="5"/>
      <c r="B26" s="145">
        <v>-1</v>
      </c>
      <c r="C26" s="104" t="s">
        <v>46</v>
      </c>
      <c r="D26" s="6"/>
      <c r="E26" s="6"/>
      <c r="F26" s="6"/>
      <c r="G26" s="6"/>
      <c r="H26" s="6"/>
      <c r="I26" s="75"/>
      <c r="J26" s="146">
        <f>J9*J24</f>
        <v>0</v>
      </c>
      <c r="K26" s="146">
        <f>K9*K24</f>
        <v>19813.5</v>
      </c>
      <c r="L26" s="147">
        <f>L9*L24</f>
        <v>28304.999999999996</v>
      </c>
      <c r="M26" s="126"/>
      <c r="N26" s="197"/>
      <c r="O26" s="196"/>
      <c r="P26" s="196"/>
      <c r="Q26" s="196"/>
      <c r="R26" s="196"/>
      <c r="S26" s="196"/>
      <c r="T26" s="196"/>
      <c r="U26" s="196"/>
      <c r="V26" s="196"/>
      <c r="W26" s="196"/>
      <c r="X26" s="196"/>
    </row>
    <row r="27" spans="1:24" s="105" customFormat="1" ht="18" customHeight="1" outlineLevel="1" thickBot="1" x14ac:dyDescent="0.2">
      <c r="A27" s="5"/>
      <c r="B27" s="6"/>
      <c r="C27" s="104"/>
      <c r="D27" s="6"/>
      <c r="E27" s="6"/>
      <c r="F27" s="6"/>
      <c r="G27" s="6"/>
      <c r="H27" s="6"/>
      <c r="I27" s="75"/>
      <c r="J27" s="19"/>
      <c r="K27" s="19"/>
      <c r="L27" s="20"/>
      <c r="M27" s="126"/>
      <c r="N27" s="197"/>
      <c r="O27" s="196"/>
      <c r="P27" s="196"/>
      <c r="Q27" s="196"/>
      <c r="R27" s="196"/>
      <c r="S27" s="196"/>
      <c r="T27" s="196"/>
      <c r="U27" s="196"/>
      <c r="V27" s="196"/>
      <c r="W27" s="196"/>
      <c r="X27" s="196"/>
    </row>
    <row r="28" spans="1:24" s="105" customFormat="1" ht="18" customHeight="1" outlineLevel="1" thickBot="1" x14ac:dyDescent="0.2">
      <c r="A28" s="5"/>
      <c r="B28" s="6"/>
      <c r="C28" s="141" t="s">
        <v>45</v>
      </c>
      <c r="D28" s="6"/>
      <c r="E28" s="6"/>
      <c r="F28" s="6"/>
      <c r="G28" s="6"/>
      <c r="H28" s="6"/>
      <c r="I28" s="75"/>
      <c r="J28" s="19"/>
      <c r="K28" s="19"/>
      <c r="L28" s="20"/>
      <c r="M28" s="126"/>
      <c r="N28" s="197"/>
      <c r="O28" s="196"/>
      <c r="P28" s="196"/>
      <c r="Q28" s="196"/>
      <c r="R28" s="196"/>
      <c r="S28" s="196"/>
      <c r="T28" s="196"/>
      <c r="U28" s="196"/>
      <c r="V28" s="196"/>
      <c r="W28" s="196"/>
      <c r="X28" s="196"/>
    </row>
    <row r="29" spans="1:24" s="105" customFormat="1" ht="18" customHeight="1" outlineLevel="1" thickBot="1" x14ac:dyDescent="0.2">
      <c r="A29" s="5"/>
      <c r="B29" s="6"/>
      <c r="C29" s="104" t="s">
        <v>42</v>
      </c>
      <c r="D29" s="6"/>
      <c r="E29" s="6"/>
      <c r="F29" s="6"/>
      <c r="G29" s="6"/>
      <c r="H29" s="6"/>
      <c r="I29" s="118">
        <v>0.6</v>
      </c>
      <c r="J29" s="19">
        <f>J6*$I29</f>
        <v>888000</v>
      </c>
      <c r="K29" s="19">
        <f>K6*$I29</f>
        <v>111000</v>
      </c>
      <c r="L29" s="20">
        <f>L6*$I29</f>
        <v>110999.99999999999</v>
      </c>
      <c r="M29" s="126">
        <f>M6*$I29</f>
        <v>1110000</v>
      </c>
      <c r="N29" s="197"/>
      <c r="O29" s="196"/>
      <c r="P29" s="196"/>
      <c r="Q29" s="196"/>
      <c r="R29" s="196"/>
      <c r="S29" s="196"/>
      <c r="T29" s="196"/>
      <c r="U29" s="196"/>
      <c r="V29" s="196"/>
      <c r="W29" s="196"/>
      <c r="X29" s="196"/>
    </row>
    <row r="30" spans="1:24" s="105" customFormat="1" ht="18" customHeight="1" outlineLevel="1" thickBot="1" x14ac:dyDescent="0.2">
      <c r="A30" s="5"/>
      <c r="B30" s="6"/>
      <c r="C30" s="6" t="s">
        <v>61</v>
      </c>
      <c r="D30" s="6"/>
      <c r="E30" s="6"/>
      <c r="F30" s="6"/>
      <c r="G30" s="6"/>
      <c r="H30" s="6"/>
      <c r="I30" s="109"/>
      <c r="J30" s="123">
        <v>3.7999999999999999E-2</v>
      </c>
      <c r="K30" s="123">
        <f>J30</f>
        <v>3.7999999999999999E-2</v>
      </c>
      <c r="L30" s="144">
        <f>K30</f>
        <v>3.7999999999999999E-2</v>
      </c>
      <c r="M30" s="108">
        <f>(J30*$J$5)+(K30*$K$5)+(L30*$L$5)</f>
        <v>3.7999999999999999E-2</v>
      </c>
      <c r="N30" s="197"/>
      <c r="O30" s="196"/>
      <c r="P30" s="196"/>
      <c r="Q30" s="196"/>
      <c r="R30" s="196"/>
      <c r="S30" s="196"/>
      <c r="T30" s="196"/>
      <c r="U30" s="196"/>
      <c r="V30" s="196"/>
      <c r="W30" s="196"/>
      <c r="X30" s="196"/>
    </row>
    <row r="31" spans="1:24" s="105" customFormat="1" ht="18" customHeight="1" outlineLevel="1" thickBot="1" x14ac:dyDescent="0.2">
      <c r="A31" s="145">
        <v>-2</v>
      </c>
      <c r="B31" s="151" t="s">
        <v>41</v>
      </c>
      <c r="C31" s="6" t="s">
        <v>44</v>
      </c>
      <c r="D31" s="6"/>
      <c r="E31" s="6"/>
      <c r="F31" s="6"/>
      <c r="G31" s="6"/>
      <c r="H31" s="6"/>
      <c r="I31" s="109"/>
      <c r="J31" s="19">
        <f>J29*J30</f>
        <v>33744</v>
      </c>
      <c r="K31" s="19">
        <f>K29*K30</f>
        <v>4218</v>
      </c>
      <c r="L31" s="20">
        <f>L29*L30</f>
        <v>4217.9999999999991</v>
      </c>
      <c r="M31" s="126">
        <f>SUM(J31:L31)</f>
        <v>42180</v>
      </c>
      <c r="N31" s="197"/>
      <c r="O31" s="196"/>
      <c r="P31" s="196"/>
      <c r="Q31" s="196"/>
      <c r="R31" s="196"/>
      <c r="S31" s="196"/>
      <c r="T31" s="196"/>
      <c r="U31" s="196"/>
      <c r="V31" s="196"/>
      <c r="W31" s="196"/>
      <c r="X31" s="196"/>
    </row>
    <row r="32" spans="1:24" s="105" customFormat="1" ht="18" customHeight="1" outlineLevel="1" thickBot="1" x14ac:dyDescent="0.2">
      <c r="A32" s="5"/>
      <c r="B32" s="6"/>
      <c r="C32" s="6"/>
      <c r="D32" s="6"/>
      <c r="E32" s="6"/>
      <c r="F32" s="6"/>
      <c r="G32" s="6"/>
      <c r="H32" s="6"/>
      <c r="I32" s="109"/>
      <c r="J32" s="135"/>
      <c r="K32" s="135"/>
      <c r="L32" s="136"/>
      <c r="M32" s="136"/>
      <c r="N32" s="197"/>
      <c r="O32" s="196"/>
      <c r="P32" s="196"/>
      <c r="Q32" s="196"/>
      <c r="R32" s="196"/>
      <c r="S32" s="196"/>
      <c r="T32" s="196"/>
      <c r="U32" s="196"/>
      <c r="V32" s="196"/>
      <c r="W32" s="196"/>
      <c r="X32" s="196"/>
    </row>
    <row r="33" spans="1:24" s="105" customFormat="1" ht="18" customHeight="1" thickBot="1" x14ac:dyDescent="0.2">
      <c r="A33" s="164"/>
      <c r="B33" s="165" t="s">
        <v>48</v>
      </c>
      <c r="C33" s="129"/>
      <c r="D33" s="129"/>
      <c r="E33" s="129"/>
      <c r="F33" s="129"/>
      <c r="G33" s="166"/>
      <c r="H33" s="166"/>
      <c r="I33" s="150">
        <f>M33/M9</f>
        <v>2.3833333333333335E-2</v>
      </c>
      <c r="J33" s="148">
        <f>IF(J31&gt;=J26,0,J26-J31)</f>
        <v>0</v>
      </c>
      <c r="K33" s="148">
        <f>IF(K31&gt;=K26,0,K26-K31)</f>
        <v>15595.5</v>
      </c>
      <c r="L33" s="149">
        <f>IF(L31&gt;=L26,0,L26-L31)</f>
        <v>24086.999999999996</v>
      </c>
      <c r="M33" s="188">
        <f>SUM(J33:L33)</f>
        <v>39682.5</v>
      </c>
      <c r="N33" s="197"/>
      <c r="O33" s="196"/>
      <c r="P33" s="196"/>
      <c r="Q33" s="196"/>
      <c r="R33" s="196"/>
      <c r="S33" s="196"/>
      <c r="T33" s="196"/>
      <c r="U33" s="196"/>
      <c r="V33" s="196"/>
      <c r="W33" s="196"/>
      <c r="X33" s="196"/>
    </row>
    <row r="34" spans="1:24" s="105" customFormat="1" ht="18" customHeight="1" thickBot="1" x14ac:dyDescent="0.2">
      <c r="A34" s="5"/>
      <c r="B34" s="6"/>
      <c r="C34" s="6"/>
      <c r="D34" s="6"/>
      <c r="E34" s="6"/>
      <c r="F34" s="6"/>
      <c r="G34" s="6"/>
      <c r="H34" s="6"/>
      <c r="I34" s="109"/>
      <c r="J34" s="106"/>
      <c r="K34" s="106"/>
      <c r="L34" s="107"/>
      <c r="M34" s="137"/>
      <c r="N34" s="197"/>
      <c r="O34" s="196"/>
      <c r="P34" s="196"/>
      <c r="Q34" s="196"/>
      <c r="R34" s="196"/>
      <c r="S34" s="196"/>
      <c r="T34" s="196"/>
      <c r="U34" s="196"/>
      <c r="V34" s="196"/>
      <c r="W34" s="196"/>
      <c r="X34" s="196"/>
    </row>
    <row r="35" spans="1:24" ht="16.5" customHeight="1" thickBot="1" x14ac:dyDescent="0.2">
      <c r="N35" s="199"/>
      <c r="O35" s="200"/>
      <c r="P35" s="200"/>
      <c r="Q35" s="200"/>
      <c r="R35" s="200"/>
      <c r="S35" s="200"/>
      <c r="T35" s="200"/>
      <c r="U35" s="200"/>
      <c r="V35" s="200"/>
      <c r="W35" s="200"/>
      <c r="X35" s="200"/>
    </row>
    <row r="36" spans="1:24" ht="16.5" customHeight="1" thickBot="1" x14ac:dyDescent="0.2">
      <c r="A36" s="155" t="s">
        <v>64</v>
      </c>
      <c r="B36" s="156"/>
      <c r="C36" s="156"/>
      <c r="D36" s="156"/>
      <c r="E36" s="156"/>
      <c r="F36" s="156"/>
      <c r="G36" s="156"/>
      <c r="H36" s="103"/>
      <c r="I36" s="3"/>
      <c r="J36" s="3"/>
      <c r="K36" s="3"/>
      <c r="L36" s="4"/>
      <c r="N36" s="199"/>
      <c r="O36" s="200"/>
      <c r="P36" s="200"/>
      <c r="Q36" s="200"/>
      <c r="R36" s="200"/>
      <c r="S36" s="200"/>
      <c r="T36" s="200"/>
      <c r="U36" s="200"/>
      <c r="V36" s="200"/>
      <c r="W36" s="200"/>
      <c r="X36" s="200"/>
    </row>
    <row r="37" spans="1:24" ht="24" thickBot="1" x14ac:dyDescent="0.2">
      <c r="A37" s="208"/>
      <c r="B37" s="209"/>
      <c r="C37" s="209"/>
      <c r="D37" s="209"/>
      <c r="E37" s="209"/>
      <c r="F37" s="209"/>
      <c r="G37" s="209"/>
      <c r="H37" s="209"/>
      <c r="I37" s="7"/>
      <c r="J37" s="83" t="s">
        <v>10</v>
      </c>
      <c r="K37" s="82" t="s">
        <v>0</v>
      </c>
      <c r="L37" s="67" t="s">
        <v>1</v>
      </c>
      <c r="N37" s="199"/>
      <c r="O37" s="200"/>
      <c r="P37" s="200"/>
      <c r="Q37" s="200"/>
      <c r="R37" s="200"/>
      <c r="S37" s="200"/>
      <c r="T37" s="200"/>
      <c r="U37" s="200"/>
      <c r="V37" s="200"/>
      <c r="W37" s="200"/>
      <c r="X37" s="200"/>
    </row>
    <row r="38" spans="1:24" ht="16.5" customHeight="1" thickBot="1" x14ac:dyDescent="0.2">
      <c r="A38" s="95" t="s">
        <v>2</v>
      </c>
      <c r="B38" s="96"/>
      <c r="C38" s="96"/>
      <c r="D38" s="96"/>
      <c r="E38" s="96"/>
      <c r="F38" s="96"/>
      <c r="G38" s="6"/>
      <c r="H38" s="6"/>
      <c r="I38" s="9">
        <v>1</v>
      </c>
      <c r="J38" s="122">
        <f>M6</f>
        <v>1850000</v>
      </c>
      <c r="K38" s="17">
        <f>J38</f>
        <v>1850000</v>
      </c>
      <c r="L38" s="18">
        <f>K38</f>
        <v>1850000</v>
      </c>
      <c r="N38" s="199"/>
      <c r="O38" s="200"/>
      <c r="P38" s="200"/>
      <c r="Q38" s="200"/>
      <c r="R38" s="200"/>
      <c r="S38" s="200"/>
      <c r="T38" s="200"/>
      <c r="U38" s="200"/>
      <c r="V38" s="200"/>
      <c r="W38" s="200"/>
      <c r="X38" s="200"/>
    </row>
    <row r="39" spans="1:24" ht="16.5" customHeight="1" x14ac:dyDescent="0.15">
      <c r="A39" s="5" t="s">
        <v>53</v>
      </c>
      <c r="B39" s="6"/>
      <c r="C39" s="6"/>
      <c r="D39" s="6"/>
      <c r="E39" s="6"/>
      <c r="F39" s="6"/>
      <c r="G39" s="6"/>
      <c r="H39" s="6"/>
      <c r="I39" s="121">
        <f>M8</f>
        <v>0.9</v>
      </c>
      <c r="J39" s="19">
        <f t="shared" ref="J39:L40" si="0">J$38*$I39</f>
        <v>1665000</v>
      </c>
      <c r="K39" s="19">
        <f t="shared" si="0"/>
        <v>1665000</v>
      </c>
      <c r="L39" s="20">
        <f t="shared" si="0"/>
        <v>1665000</v>
      </c>
      <c r="M39" s="205"/>
      <c r="N39" s="201"/>
      <c r="O39" s="202"/>
      <c r="P39" s="202"/>
      <c r="Q39" s="202"/>
      <c r="R39" s="202"/>
      <c r="S39" s="202"/>
      <c r="T39" s="202"/>
      <c r="U39" s="202"/>
      <c r="V39" s="202"/>
      <c r="W39" s="202"/>
      <c r="X39" s="202"/>
    </row>
    <row r="40" spans="1:24" ht="15.75" customHeight="1" x14ac:dyDescent="0.15">
      <c r="A40" s="5" t="s">
        <v>54</v>
      </c>
      <c r="B40" s="6"/>
      <c r="C40" s="6"/>
      <c r="D40" s="6"/>
      <c r="E40" s="6"/>
      <c r="F40" s="6"/>
      <c r="G40" s="6"/>
      <c r="H40" s="6"/>
      <c r="I40" s="76">
        <f>1-I39</f>
        <v>9.9999999999999978E-2</v>
      </c>
      <c r="J40" s="19">
        <f t="shared" si="0"/>
        <v>184999.99999999997</v>
      </c>
      <c r="K40" s="19">
        <f t="shared" si="0"/>
        <v>184999.99999999997</v>
      </c>
      <c r="L40" s="20">
        <f t="shared" si="0"/>
        <v>184999.99999999997</v>
      </c>
    </row>
    <row r="41" spans="1:24" ht="15.75" customHeight="1" x14ac:dyDescent="0.15">
      <c r="A41" s="5" t="s">
        <v>57</v>
      </c>
      <c r="B41" s="6"/>
      <c r="C41" s="6"/>
      <c r="D41" s="6"/>
      <c r="E41" s="6"/>
      <c r="F41" s="6"/>
      <c r="G41" s="6"/>
      <c r="H41" s="6"/>
      <c r="I41" s="76"/>
      <c r="J41" s="19">
        <f>-$M$33</f>
        <v>-39682.5</v>
      </c>
      <c r="K41" s="19">
        <f>-$M$33</f>
        <v>-39682.5</v>
      </c>
      <c r="L41" s="20">
        <f>-$M$33</f>
        <v>-39682.5</v>
      </c>
    </row>
    <row r="42" spans="1:24" ht="15.75" customHeight="1" x14ac:dyDescent="0.15">
      <c r="A42" s="5" t="s">
        <v>29</v>
      </c>
      <c r="B42" s="6"/>
      <c r="C42" s="6"/>
      <c r="D42" s="6"/>
      <c r="E42" s="6"/>
      <c r="F42" s="6"/>
      <c r="G42" s="6"/>
      <c r="H42" s="6"/>
      <c r="I42" s="112">
        <v>0.65</v>
      </c>
      <c r="J42" s="19">
        <f>-J38*$I$42</f>
        <v>-1202500</v>
      </c>
      <c r="K42" s="19">
        <f>-K38*$I$42</f>
        <v>-1202500</v>
      </c>
      <c r="L42" s="20">
        <f>-L38*$I$42</f>
        <v>-1202500</v>
      </c>
    </row>
    <row r="43" spans="1:24" ht="15.75" customHeight="1" thickBot="1" x14ac:dyDescent="0.2">
      <c r="A43" s="5" t="s">
        <v>4</v>
      </c>
      <c r="B43" s="6"/>
      <c r="C43" s="6"/>
      <c r="D43" s="6"/>
      <c r="E43" s="6"/>
      <c r="F43" s="6"/>
      <c r="G43" s="6"/>
      <c r="H43" s="6"/>
      <c r="I43" s="114">
        <v>0.2</v>
      </c>
      <c r="J43" s="21">
        <f>-J38*$I$43</f>
        <v>-370000</v>
      </c>
      <c r="K43" s="21">
        <f>-K38*$I$43</f>
        <v>-370000</v>
      </c>
      <c r="L43" s="22">
        <f>-L38*$I$43</f>
        <v>-370000</v>
      </c>
    </row>
    <row r="44" spans="1:24" ht="15.75" customHeight="1" thickBot="1" x14ac:dyDescent="0.2">
      <c r="A44" s="92" t="s">
        <v>71</v>
      </c>
      <c r="B44" s="93"/>
      <c r="C44" s="93"/>
      <c r="D44" s="93"/>
      <c r="E44" s="93"/>
      <c r="F44" s="93"/>
      <c r="G44" s="93"/>
      <c r="H44" s="94"/>
      <c r="I44" s="11"/>
      <c r="J44" s="23">
        <f>J39+J41+J42+J43</f>
        <v>52817.5</v>
      </c>
      <c r="K44" s="23">
        <f>K39+K41+K42+K43</f>
        <v>52817.5</v>
      </c>
      <c r="L44" s="24">
        <f>L39+L41+L42+L43</f>
        <v>52817.5</v>
      </c>
      <c r="N44" s="30"/>
      <c r="O44" s="30"/>
    </row>
    <row r="45" spans="1:24" ht="15.75" customHeight="1" thickBot="1" x14ac:dyDescent="0.2">
      <c r="A45" s="5" t="s">
        <v>5</v>
      </c>
      <c r="B45" s="97"/>
      <c r="C45" s="98"/>
      <c r="D45" s="97"/>
      <c r="E45" s="98"/>
      <c r="F45" s="97"/>
      <c r="G45" s="98"/>
      <c r="H45" s="111">
        <v>0.08</v>
      </c>
      <c r="I45" s="112">
        <v>0.15</v>
      </c>
      <c r="J45" s="19">
        <f>-J39*$H$45*I45</f>
        <v>-19980</v>
      </c>
      <c r="K45" s="19">
        <f>IF(K44&lt;0,0,-K44*I45)</f>
        <v>-7922.625</v>
      </c>
      <c r="L45" s="59"/>
      <c r="M45" s="77"/>
      <c r="N45" s="27"/>
      <c r="O45" s="27"/>
    </row>
    <row r="46" spans="1:24" ht="16.5" customHeight="1" x14ac:dyDescent="0.15">
      <c r="A46" s="5" t="s">
        <v>9</v>
      </c>
      <c r="B46" s="99"/>
      <c r="C46" s="6"/>
      <c r="D46" s="99"/>
      <c r="E46" s="6"/>
      <c r="F46" s="99"/>
      <c r="G46" s="6"/>
      <c r="H46" s="111">
        <v>0.08</v>
      </c>
      <c r="I46" s="112">
        <v>0.1</v>
      </c>
      <c r="J46" s="19">
        <f>IF(((J39*H46)-240000)&lt;0,0,-((J39*H46)-240000)*I46)</f>
        <v>0</v>
      </c>
      <c r="K46" s="19">
        <f>IF((K44-240000)&lt;0,0,-((K44-240000)*I46))</f>
        <v>0</v>
      </c>
      <c r="L46" s="59"/>
      <c r="M46" s="77"/>
      <c r="N46" s="27"/>
      <c r="O46" s="27"/>
    </row>
    <row r="47" spans="1:24" ht="16.5" customHeight="1" x14ac:dyDescent="0.15">
      <c r="A47" s="5" t="s">
        <v>6</v>
      </c>
      <c r="B47" s="99"/>
      <c r="C47" s="6"/>
      <c r="D47" s="99"/>
      <c r="E47" s="6"/>
      <c r="F47" s="99"/>
      <c r="G47" s="6"/>
      <c r="H47" s="112">
        <v>0.09</v>
      </c>
      <c r="I47" s="112">
        <v>0.12</v>
      </c>
      <c r="J47" s="19">
        <f>-(J39*I47)*H47</f>
        <v>-17982</v>
      </c>
      <c r="K47" s="84">
        <f>IF(K44&lt;0,0,-K44*H47)</f>
        <v>-4753.5749999999998</v>
      </c>
      <c r="L47" s="59"/>
      <c r="M47" s="77"/>
      <c r="N47" s="27"/>
      <c r="O47" s="27"/>
    </row>
    <row r="48" spans="1:24" ht="16.5" customHeight="1" x14ac:dyDescent="0.15">
      <c r="A48" s="183" t="s">
        <v>7</v>
      </c>
      <c r="B48" s="184"/>
      <c r="C48" s="185"/>
      <c r="D48" s="186"/>
      <c r="E48" s="6"/>
      <c r="F48" s="99"/>
      <c r="G48" s="6"/>
      <c r="H48" s="113">
        <v>6.4999999999999997E-3</v>
      </c>
      <c r="I48" s="113">
        <v>1.6500000000000001E-2</v>
      </c>
      <c r="J48" s="84">
        <f>-(J39*H48)+(M29*H48)</f>
        <v>-3607.5</v>
      </c>
      <c r="K48" s="19">
        <f>-(J39*I48)+(M29*I48)</f>
        <v>-9157.5</v>
      </c>
      <c r="L48" s="59"/>
      <c r="M48" s="77"/>
      <c r="N48" s="27"/>
      <c r="O48" s="27"/>
    </row>
    <row r="49" spans="1:15" ht="16.5" customHeight="1" x14ac:dyDescent="0.15">
      <c r="A49" s="183" t="s">
        <v>8</v>
      </c>
      <c r="B49" s="184"/>
      <c r="C49" s="185"/>
      <c r="D49" s="186"/>
      <c r="E49" s="6"/>
      <c r="F49" s="99"/>
      <c r="G49" s="6"/>
      <c r="H49" s="114">
        <v>0.03</v>
      </c>
      <c r="I49" s="115">
        <v>7.5999999999999998E-2</v>
      </c>
      <c r="J49" s="21">
        <f>-(J39*H49)+(M29*H49)</f>
        <v>-16650</v>
      </c>
      <c r="K49" s="21">
        <f>-(K39-M29)*I49</f>
        <v>-42180</v>
      </c>
      <c r="L49" s="60"/>
      <c r="M49" s="77"/>
      <c r="N49" s="27"/>
      <c r="O49" s="27"/>
    </row>
    <row r="50" spans="1:15" ht="16.5" customHeight="1" thickBot="1" x14ac:dyDescent="0.2">
      <c r="A50" s="5" t="s">
        <v>19</v>
      </c>
      <c r="B50" s="99"/>
      <c r="C50" s="100"/>
      <c r="D50" s="99"/>
      <c r="E50" s="6"/>
      <c r="F50" s="99"/>
      <c r="G50" s="6"/>
      <c r="H50" s="110"/>
      <c r="I50" s="14" t="s">
        <v>21</v>
      </c>
      <c r="J50" s="25"/>
      <c r="K50" s="25"/>
      <c r="L50" s="22">
        <f>-IF(L39&gt;SIMPLES!$C$30,SIMPLES!$D$30,VLOOKUP(L39,SIMPLES!B8:D30,3,1))*L39</f>
        <v>-169830</v>
      </c>
      <c r="N50" s="27"/>
      <c r="O50" s="27"/>
    </row>
    <row r="51" spans="1:15" ht="16.5" customHeight="1" thickBot="1" x14ac:dyDescent="0.2">
      <c r="A51" s="92" t="s">
        <v>24</v>
      </c>
      <c r="B51" s="93"/>
      <c r="C51" s="93"/>
      <c r="D51" s="93"/>
      <c r="E51" s="93"/>
      <c r="F51" s="93"/>
      <c r="G51" s="93"/>
      <c r="H51" s="93"/>
      <c r="I51" s="15"/>
      <c r="J51" s="23">
        <f>J44+SUM(J45:J50)</f>
        <v>-5402</v>
      </c>
      <c r="K51" s="23">
        <f>K44+SUM(K45:K50)</f>
        <v>-11196.199999999997</v>
      </c>
      <c r="L51" s="161">
        <f>L44+SUM(L45:L50)</f>
        <v>-117012.5</v>
      </c>
      <c r="N51" s="176"/>
      <c r="O51" s="176"/>
    </row>
    <row r="52" spans="1:15" ht="16.5" customHeight="1" thickBot="1" x14ac:dyDescent="0.2">
      <c r="A52" s="31" t="s">
        <v>27</v>
      </c>
      <c r="B52" s="32"/>
      <c r="C52" s="32"/>
      <c r="I52" s="33"/>
      <c r="J52" s="34">
        <f>J51/J$38</f>
        <v>-2.9199999999999999E-3</v>
      </c>
      <c r="K52" s="34">
        <f>K51/K$38</f>
        <v>-6.0519999999999984E-3</v>
      </c>
      <c r="L52" s="35">
        <f>L51/L$38</f>
        <v>-6.3250000000000001E-2</v>
      </c>
      <c r="N52" s="43"/>
      <c r="O52" s="43"/>
    </row>
    <row r="53" spans="1:15" ht="16.5" customHeight="1" thickBot="1" x14ac:dyDescent="0.2">
      <c r="A53" s="36" t="s">
        <v>11</v>
      </c>
      <c r="B53" s="37"/>
      <c r="C53" s="37"/>
      <c r="D53" s="37"/>
      <c r="E53" s="37"/>
      <c r="F53" s="37"/>
      <c r="G53" s="37"/>
      <c r="H53" s="116">
        <v>1.5</v>
      </c>
      <c r="I53" s="117">
        <v>1.7999999999999999E-2</v>
      </c>
      <c r="J53" s="38">
        <f>-IF(J$40=0,0,((-J$65*(1+$H53))/60*12)*(1+$I53*12))</f>
        <v>-25791.663999999993</v>
      </c>
      <c r="K53" s="38">
        <f>-IF(K$40=0,0,((-K$65*(1+$H53))/60*12)*(1+$I53*12))</f>
        <v>-56521.19999999999</v>
      </c>
      <c r="L53" s="39">
        <f>-IF(L$40=0,0,((-L$65*(1+$H53))/60*12)*(1+$I53*12))</f>
        <v>-25195.52</v>
      </c>
    </row>
    <row r="54" spans="1:15" ht="16.5" customHeight="1" thickBot="1" x14ac:dyDescent="0.2">
      <c r="A54" s="92" t="s">
        <v>25</v>
      </c>
      <c r="B54" s="93"/>
      <c r="C54" s="93"/>
      <c r="D54" s="93"/>
      <c r="E54" s="93"/>
      <c r="F54" s="93"/>
      <c r="G54" s="93"/>
      <c r="H54" s="93"/>
      <c r="I54" s="15"/>
      <c r="J54" s="23">
        <f>J51+J53</f>
        <v>-31193.663999999993</v>
      </c>
      <c r="K54" s="23">
        <f>K51+K53</f>
        <v>-67717.399999999994</v>
      </c>
      <c r="L54" s="24">
        <f>L51+L53</f>
        <v>-142208.01999999999</v>
      </c>
    </row>
    <row r="55" spans="1:15" ht="16.5" customHeight="1" thickBot="1" x14ac:dyDescent="0.2">
      <c r="A55" s="36" t="s">
        <v>28</v>
      </c>
      <c r="B55" s="40"/>
      <c r="C55" s="40"/>
      <c r="D55" s="40"/>
      <c r="E55" s="40"/>
      <c r="F55" s="40"/>
      <c r="G55" s="40"/>
      <c r="H55" s="40"/>
      <c r="I55" s="40"/>
      <c r="J55" s="41">
        <f>J54/J$38</f>
        <v>-1.6861439999999995E-2</v>
      </c>
      <c r="K55" s="41">
        <f>K54/K$38</f>
        <v>-3.6603999999999998E-2</v>
      </c>
      <c r="L55" s="42">
        <f>L54/L$38</f>
        <v>-7.6869199999999999E-2</v>
      </c>
    </row>
    <row r="56" spans="1:15" ht="16.5" customHeight="1" thickBot="1" x14ac:dyDescent="0.2">
      <c r="J56" s="16"/>
      <c r="K56" s="16"/>
      <c r="L56" s="16"/>
    </row>
    <row r="57" spans="1:15" ht="16.5" customHeight="1" thickBot="1" x14ac:dyDescent="0.2">
      <c r="F57" s="206" t="s">
        <v>14</v>
      </c>
      <c r="G57" s="207"/>
      <c r="H57" s="207"/>
      <c r="I57" s="44"/>
      <c r="J57" s="23">
        <f>J40</f>
        <v>184999.99999999997</v>
      </c>
      <c r="K57" s="23">
        <f>K40</f>
        <v>184999.99999999997</v>
      </c>
      <c r="L57" s="177">
        <f>L40</f>
        <v>184999.99999999997</v>
      </c>
      <c r="N57" s="30"/>
      <c r="O57" s="30"/>
    </row>
    <row r="58" spans="1:15" ht="16.5" customHeight="1" x14ac:dyDescent="0.15">
      <c r="F58" s="169" t="s">
        <v>40</v>
      </c>
      <c r="G58" s="170"/>
      <c r="H58" s="8"/>
      <c r="I58" s="8">
        <f>$M$16</f>
        <v>0.17</v>
      </c>
      <c r="J58" s="19">
        <f>-J57*$I$58</f>
        <v>-31449.999999999996</v>
      </c>
      <c r="K58" s="19">
        <f>-K57*$I$58</f>
        <v>-31449.999999999996</v>
      </c>
      <c r="L58" s="178">
        <f>-L57*$I$58</f>
        <v>-31449.999999999996</v>
      </c>
      <c r="N58" s="30"/>
      <c r="O58" s="30"/>
    </row>
    <row r="59" spans="1:15" ht="16.5" customHeight="1" x14ac:dyDescent="0.15">
      <c r="F59" s="5" t="s">
        <v>5</v>
      </c>
      <c r="G59" s="171"/>
      <c r="H59" s="8">
        <f t="shared" ref="H59:I63" si="1">H45</f>
        <v>0.08</v>
      </c>
      <c r="I59" s="8">
        <f t="shared" si="1"/>
        <v>0.15</v>
      </c>
      <c r="J59" s="19">
        <f>-J57*H59*I59</f>
        <v>-2219.9999999999995</v>
      </c>
      <c r="K59" s="19">
        <f>-K57*I59</f>
        <v>-27749.999999999996</v>
      </c>
      <c r="L59" s="179"/>
      <c r="M59" s="77"/>
      <c r="N59" s="27"/>
      <c r="O59" s="27"/>
    </row>
    <row r="60" spans="1:15" ht="16.5" customHeight="1" x14ac:dyDescent="0.15">
      <c r="F60" s="5" t="s">
        <v>9</v>
      </c>
      <c r="G60" s="171"/>
      <c r="H60" s="8">
        <f t="shared" si="1"/>
        <v>0.08</v>
      </c>
      <c r="I60" s="8">
        <f t="shared" si="1"/>
        <v>0.1</v>
      </c>
      <c r="J60" s="19">
        <f>IF(((J57*H60)-240000)&lt;0,0,-((J57*H60)-240000)*I60)</f>
        <v>0</v>
      </c>
      <c r="K60" s="19">
        <f>IF((K57-240000)&lt;0,0,-((K57-240000)*I60))</f>
        <v>0</v>
      </c>
      <c r="L60" s="179"/>
      <c r="M60" s="77"/>
      <c r="N60" s="27"/>
      <c r="O60" s="27"/>
    </row>
    <row r="61" spans="1:15" ht="16.5" customHeight="1" x14ac:dyDescent="0.15">
      <c r="F61" s="5" t="s">
        <v>6</v>
      </c>
      <c r="G61" s="172"/>
      <c r="H61" s="8">
        <f t="shared" si="1"/>
        <v>0.09</v>
      </c>
      <c r="I61" s="8">
        <f t="shared" si="1"/>
        <v>0.12</v>
      </c>
      <c r="J61" s="19">
        <f>-J57*I61*H61</f>
        <v>-1997.9999999999995</v>
      </c>
      <c r="K61" s="84">
        <f>-K57*H61</f>
        <v>-16649.999999999996</v>
      </c>
      <c r="L61" s="179"/>
      <c r="M61" s="77"/>
      <c r="N61" s="27"/>
      <c r="O61" s="27"/>
    </row>
    <row r="62" spans="1:15" ht="16.5" customHeight="1" x14ac:dyDescent="0.15">
      <c r="F62" s="5" t="s">
        <v>7</v>
      </c>
      <c r="G62" s="171"/>
      <c r="H62" s="12">
        <f t="shared" si="1"/>
        <v>6.4999999999999997E-3</v>
      </c>
      <c r="I62" s="12">
        <f t="shared" si="1"/>
        <v>1.6500000000000001E-2</v>
      </c>
      <c r="J62" s="84">
        <f>-J57*H62</f>
        <v>-1202.4999999999998</v>
      </c>
      <c r="K62" s="19">
        <f>-K57*I62</f>
        <v>-3052.4999999999995</v>
      </c>
      <c r="L62" s="179"/>
      <c r="M62" s="77"/>
      <c r="N62" s="27"/>
      <c r="O62" s="27"/>
    </row>
    <row r="63" spans="1:15" ht="16.5" customHeight="1" x14ac:dyDescent="0.15">
      <c r="F63" s="10" t="s">
        <v>8</v>
      </c>
      <c r="G63" s="173"/>
      <c r="H63" s="13">
        <f t="shared" si="1"/>
        <v>0.03</v>
      </c>
      <c r="I63" s="14">
        <f t="shared" si="1"/>
        <v>7.5999999999999998E-2</v>
      </c>
      <c r="J63" s="21">
        <f>-J57*H63</f>
        <v>-5549.9999999999991</v>
      </c>
      <c r="K63" s="21">
        <f>-K57*I63</f>
        <v>-14059.999999999998</v>
      </c>
      <c r="L63" s="180"/>
      <c r="M63" s="77"/>
      <c r="N63" s="27"/>
      <c r="O63" s="27"/>
    </row>
    <row r="64" spans="1:15" ht="16.5" customHeight="1" thickBot="1" x14ac:dyDescent="0.2">
      <c r="F64" s="174" t="s">
        <v>19</v>
      </c>
      <c r="G64" s="175"/>
      <c r="H64" s="13"/>
      <c r="I64" s="14" t="s">
        <v>21</v>
      </c>
      <c r="J64" s="25"/>
      <c r="K64" s="25"/>
      <c r="L64" s="181">
        <f>-IF(L57&gt;SIMPLES!$C$30,SIMPLES!$D$30,VLOOKUP(L57,SIMPLES!B8:D30,3,1))*L57</f>
        <v>-9989.9999999999982</v>
      </c>
      <c r="N64" s="27"/>
      <c r="O64" s="27"/>
    </row>
    <row r="65" spans="6:16" ht="16.5" customHeight="1" thickBot="1" x14ac:dyDescent="0.2">
      <c r="F65" s="206" t="s">
        <v>12</v>
      </c>
      <c r="G65" s="207"/>
      <c r="H65" s="207"/>
      <c r="I65" s="15"/>
      <c r="J65" s="26">
        <f>SUM(J58:J64)</f>
        <v>-42420.499999999993</v>
      </c>
      <c r="K65" s="26">
        <f>SUM(K58:K64)</f>
        <v>-92962.499999999985</v>
      </c>
      <c r="L65" s="182">
        <f>SUM(L58:L64)</f>
        <v>-41439.999999999993</v>
      </c>
      <c r="N65" s="176"/>
      <c r="O65" s="176"/>
    </row>
    <row r="66" spans="6:16" ht="16.5" customHeight="1" x14ac:dyDescent="0.15">
      <c r="N66" s="43"/>
      <c r="O66" s="43"/>
    </row>
    <row r="67" spans="6:16" ht="16.5" customHeight="1" x14ac:dyDescent="0.15">
      <c r="N67" s="43"/>
      <c r="O67" s="43"/>
    </row>
    <row r="68" spans="6:16" ht="16.5" customHeight="1" thickBot="1" x14ac:dyDescent="0.2">
      <c r="N68" s="43"/>
      <c r="O68" s="43"/>
    </row>
    <row r="69" spans="6:16" ht="25.5" customHeight="1" thickTop="1" thickBot="1" x14ac:dyDescent="0.2">
      <c r="F69" s="157" t="s">
        <v>50</v>
      </c>
      <c r="G69" s="158"/>
      <c r="H69" s="158"/>
      <c r="I69" s="158"/>
      <c r="J69" s="158"/>
      <c r="K69" s="159"/>
      <c r="L69" s="159"/>
      <c r="M69" s="159"/>
      <c r="N69" s="159"/>
      <c r="O69" s="159"/>
      <c r="P69" s="160"/>
    </row>
    <row r="70" spans="6:16" ht="16.5" customHeight="1" thickTop="1" x14ac:dyDescent="0.15">
      <c r="F70" s="162" t="s">
        <v>56</v>
      </c>
    </row>
    <row r="71" spans="6:16" ht="16.5" customHeight="1" x14ac:dyDescent="0.15">
      <c r="F71" s="153"/>
    </row>
    <row r="72" spans="6:16" ht="16.5" customHeight="1" thickBot="1" x14ac:dyDescent="0.2">
      <c r="F72" s="163" t="s">
        <v>22</v>
      </c>
      <c r="H72" s="79" t="s">
        <v>25</v>
      </c>
    </row>
    <row r="73" spans="6:16" ht="16.5" customHeight="1" x14ac:dyDescent="0.15">
      <c r="F73" s="66">
        <f>J54</f>
        <v>-31193.663999999993</v>
      </c>
      <c r="G73" s="63">
        <v>50000</v>
      </c>
      <c r="H73" s="61">
        <f>G73*10</f>
        <v>500000</v>
      </c>
      <c r="I73" s="61">
        <f>H73+$H$73</f>
        <v>1000000</v>
      </c>
      <c r="J73" s="61">
        <f t="shared" ref="J73:P73" si="2">I73+$H$73</f>
        <v>1500000</v>
      </c>
      <c r="K73" s="61">
        <f t="shared" si="2"/>
        <v>2000000</v>
      </c>
      <c r="L73" s="61">
        <f t="shared" si="2"/>
        <v>2500000</v>
      </c>
      <c r="M73" s="61">
        <f t="shared" si="2"/>
        <v>3000000</v>
      </c>
      <c r="N73" s="61">
        <f t="shared" si="2"/>
        <v>3500000</v>
      </c>
      <c r="O73" s="61">
        <f t="shared" si="2"/>
        <v>4000000</v>
      </c>
      <c r="P73" s="61">
        <f t="shared" si="2"/>
        <v>4500000</v>
      </c>
    </row>
    <row r="74" spans="6:16" ht="16.5" customHeight="1" x14ac:dyDescent="0.15">
      <c r="F74" s="64">
        <v>0.05</v>
      </c>
      <c r="G74" s="68">
        <f t="dataTable" ref="G74:P83" dt2D="1" dtr="0" r1="M6" r2="I40"/>
        <v>-39104.536</v>
      </c>
      <c r="H74" s="69">
        <v>-33902.86</v>
      </c>
      <c r="I74" s="69">
        <v>-28123.22</v>
      </c>
      <c r="J74" s="69">
        <v>-22343.58</v>
      </c>
      <c r="K74" s="69">
        <v>-16563.940000000002</v>
      </c>
      <c r="L74" s="69">
        <v>-10784.3</v>
      </c>
      <c r="M74" s="69">
        <v>-5004.66</v>
      </c>
      <c r="N74" s="69">
        <v>-425.02000000000044</v>
      </c>
      <c r="O74" s="69">
        <v>1754.619999999999</v>
      </c>
      <c r="P74" s="70">
        <v>3934.260000000002</v>
      </c>
    </row>
    <row r="75" spans="6:16" ht="16.5" customHeight="1" x14ac:dyDescent="0.15">
      <c r="F75" s="64">
        <v>0.1</v>
      </c>
      <c r="G75" s="71">
        <v>-39453.072</v>
      </c>
      <c r="H75" s="72">
        <v>-37388.22</v>
      </c>
      <c r="I75" s="72">
        <v>-35093.94</v>
      </c>
      <c r="J75" s="72">
        <v>-32799.660000000003</v>
      </c>
      <c r="K75" s="72">
        <v>-30505.38</v>
      </c>
      <c r="L75" s="72">
        <v>-28211.1</v>
      </c>
      <c r="M75" s="72">
        <v>-25916.82</v>
      </c>
      <c r="N75" s="72">
        <v>-24822.54</v>
      </c>
      <c r="O75" s="72">
        <v>-26128.260000000002</v>
      </c>
      <c r="P75" s="73">
        <v>-27433.979999999996</v>
      </c>
    </row>
    <row r="76" spans="6:16" ht="16.5" customHeight="1" x14ac:dyDescent="0.15">
      <c r="F76" s="64">
        <v>0.15</v>
      </c>
      <c r="G76" s="71">
        <v>-39801.608</v>
      </c>
      <c r="H76" s="72">
        <v>-40873.58</v>
      </c>
      <c r="I76" s="72">
        <v>-42064.66</v>
      </c>
      <c r="J76" s="72">
        <v>-43255.74</v>
      </c>
      <c r="K76" s="72">
        <v>-44446.82</v>
      </c>
      <c r="L76" s="72">
        <v>-45637.9</v>
      </c>
      <c r="M76" s="72">
        <v>-46828.979999999996</v>
      </c>
      <c r="N76" s="72">
        <v>-49220.06</v>
      </c>
      <c r="O76" s="72">
        <v>-54011.14</v>
      </c>
      <c r="P76" s="73">
        <v>-58802.22</v>
      </c>
    </row>
    <row r="77" spans="6:16" ht="16.5" customHeight="1" x14ac:dyDescent="0.15">
      <c r="F77" s="64">
        <v>0.2</v>
      </c>
      <c r="G77" s="71">
        <v>-40150.144</v>
      </c>
      <c r="H77" s="72">
        <v>-44358.94</v>
      </c>
      <c r="I77" s="72">
        <v>-49035.380000000005</v>
      </c>
      <c r="J77" s="72">
        <v>-53711.82</v>
      </c>
      <c r="K77" s="72">
        <v>-58388.26</v>
      </c>
      <c r="L77" s="72">
        <v>-63064.7</v>
      </c>
      <c r="M77" s="72">
        <v>-67741.14</v>
      </c>
      <c r="N77" s="72">
        <v>-73617.58</v>
      </c>
      <c r="O77" s="72">
        <v>-81894.02</v>
      </c>
      <c r="P77" s="73">
        <v>-90170.459999999992</v>
      </c>
    </row>
    <row r="78" spans="6:16" ht="16.5" customHeight="1" x14ac:dyDescent="0.15">
      <c r="F78" s="64">
        <v>0.25</v>
      </c>
      <c r="G78" s="71">
        <v>-40498.68</v>
      </c>
      <c r="H78" s="72">
        <v>-47844.3</v>
      </c>
      <c r="I78" s="72">
        <v>-56006.1</v>
      </c>
      <c r="J78" s="72">
        <v>-64167.9</v>
      </c>
      <c r="K78" s="72">
        <v>-72329.7</v>
      </c>
      <c r="L78" s="72">
        <v>-80491.5</v>
      </c>
      <c r="M78" s="72">
        <v>-88653.3</v>
      </c>
      <c r="N78" s="72">
        <v>-98015.099999999991</v>
      </c>
      <c r="O78" s="72">
        <v>-109776.9</v>
      </c>
      <c r="P78" s="73">
        <v>-121538.69999999998</v>
      </c>
    </row>
    <row r="79" spans="6:16" ht="16.5" customHeight="1" x14ac:dyDescent="0.15">
      <c r="F79" s="64">
        <v>0.3</v>
      </c>
      <c r="G79" s="71">
        <v>-40847.216</v>
      </c>
      <c r="H79" s="72">
        <v>-51329.66</v>
      </c>
      <c r="I79" s="72">
        <v>-62976.82</v>
      </c>
      <c r="J79" s="72">
        <v>-74623.98</v>
      </c>
      <c r="K79" s="72">
        <v>-86271.14</v>
      </c>
      <c r="L79" s="72">
        <v>-97918.3</v>
      </c>
      <c r="M79" s="72">
        <v>-109565.45999999999</v>
      </c>
      <c r="N79" s="72">
        <v>-122412.62</v>
      </c>
      <c r="O79" s="72">
        <v>-137659.78</v>
      </c>
      <c r="P79" s="73">
        <v>-152906.94</v>
      </c>
    </row>
    <row r="80" spans="6:16" ht="16.5" customHeight="1" x14ac:dyDescent="0.15">
      <c r="F80" s="64">
        <v>0.35</v>
      </c>
      <c r="G80" s="71">
        <v>-41195.752</v>
      </c>
      <c r="H80" s="72">
        <v>-54815.020000000004</v>
      </c>
      <c r="I80" s="72">
        <v>-69947.540000000008</v>
      </c>
      <c r="J80" s="72">
        <v>-85080.06</v>
      </c>
      <c r="K80" s="72">
        <v>-100212.58</v>
      </c>
      <c r="L80" s="72">
        <v>-115345.09999999999</v>
      </c>
      <c r="M80" s="72">
        <v>-130477.62</v>
      </c>
      <c r="N80" s="72">
        <v>-146810.13999999998</v>
      </c>
      <c r="O80" s="72">
        <v>-165542.66</v>
      </c>
      <c r="P80" s="73">
        <v>-184275.18</v>
      </c>
    </row>
    <row r="81" spans="1:16" ht="16.5" customHeight="1" x14ac:dyDescent="0.15">
      <c r="F81" s="64">
        <v>0.4</v>
      </c>
      <c r="G81" s="71">
        <v>-41544.288</v>
      </c>
      <c r="H81" s="72">
        <v>-58300.380000000005</v>
      </c>
      <c r="I81" s="72">
        <v>-76918.260000000009</v>
      </c>
      <c r="J81" s="72">
        <v>-95536.14</v>
      </c>
      <c r="K81" s="72">
        <v>-114154.02</v>
      </c>
      <c r="L81" s="72">
        <v>-132771.9</v>
      </c>
      <c r="M81" s="72">
        <v>-151389.78</v>
      </c>
      <c r="N81" s="72">
        <v>-171207.66</v>
      </c>
      <c r="O81" s="72">
        <v>-193425.54</v>
      </c>
      <c r="P81" s="73">
        <v>-215643.41999999998</v>
      </c>
    </row>
    <row r="82" spans="1:16" ht="16.5" customHeight="1" x14ac:dyDescent="0.15">
      <c r="F82" s="64">
        <v>0.45</v>
      </c>
      <c r="G82" s="71">
        <v>-41892.824000000001</v>
      </c>
      <c r="H82" s="72">
        <v>-61785.74</v>
      </c>
      <c r="I82" s="72">
        <v>-83888.98</v>
      </c>
      <c r="J82" s="72">
        <v>-105992.22</v>
      </c>
      <c r="K82" s="72">
        <v>-128095.45999999999</v>
      </c>
      <c r="L82" s="72">
        <v>-150198.69999999998</v>
      </c>
      <c r="M82" s="72">
        <v>-172301.94</v>
      </c>
      <c r="N82" s="72">
        <v>-195605.18</v>
      </c>
      <c r="O82" s="72">
        <v>-221308.41999999998</v>
      </c>
      <c r="P82" s="73">
        <v>-247011.65999999997</v>
      </c>
    </row>
    <row r="83" spans="1:16" ht="16.5" customHeight="1" thickBot="1" x14ac:dyDescent="0.2">
      <c r="F83" s="65">
        <v>0.5</v>
      </c>
      <c r="G83" s="80">
        <v>-42241.36</v>
      </c>
      <c r="H83" s="80">
        <v>-65271.1</v>
      </c>
      <c r="I83" s="80">
        <v>-90859.7</v>
      </c>
      <c r="J83" s="80">
        <v>-116448.3</v>
      </c>
      <c r="K83" s="80">
        <v>-142036.9</v>
      </c>
      <c r="L83" s="80">
        <v>-167625.5</v>
      </c>
      <c r="M83" s="80">
        <v>-193214.1</v>
      </c>
      <c r="N83" s="80">
        <v>-220002.69999999998</v>
      </c>
      <c r="O83" s="80">
        <v>-249191.3</v>
      </c>
      <c r="P83" s="81">
        <v>-278379.89999999997</v>
      </c>
    </row>
    <row r="84" spans="1:16" ht="16.5" customHeight="1" x14ac:dyDescent="0.15">
      <c r="A84" s="153"/>
      <c r="F84" s="153"/>
    </row>
    <row r="85" spans="1:16" ht="16.5" customHeight="1" thickBot="1" x14ac:dyDescent="0.2">
      <c r="F85" s="163" t="s">
        <v>23</v>
      </c>
      <c r="G85" s="79"/>
      <c r="H85" s="79" t="s">
        <v>25</v>
      </c>
    </row>
    <row r="86" spans="1:16" ht="16.5" customHeight="1" x14ac:dyDescent="0.15">
      <c r="F86" s="66">
        <f>K54</f>
        <v>-67717.399999999994</v>
      </c>
      <c r="G86" s="63">
        <f t="shared" ref="G86:P86" si="3">G$99</f>
        <v>50000</v>
      </c>
      <c r="H86" s="61">
        <f t="shared" si="3"/>
        <v>500000</v>
      </c>
      <c r="I86" s="61">
        <f t="shared" si="3"/>
        <v>1000000</v>
      </c>
      <c r="J86" s="61">
        <f t="shared" si="3"/>
        <v>1500000</v>
      </c>
      <c r="K86" s="61">
        <f t="shared" si="3"/>
        <v>2000000</v>
      </c>
      <c r="L86" s="61">
        <f t="shared" si="3"/>
        <v>2500000</v>
      </c>
      <c r="M86" s="61">
        <f t="shared" si="3"/>
        <v>3000000</v>
      </c>
      <c r="N86" s="61">
        <f t="shared" si="3"/>
        <v>3500000</v>
      </c>
      <c r="O86" s="61">
        <f t="shared" si="3"/>
        <v>4000000</v>
      </c>
      <c r="P86" s="62">
        <f t="shared" si="3"/>
        <v>4500000</v>
      </c>
    </row>
    <row r="87" spans="1:16" ht="16.5" customHeight="1" x14ac:dyDescent="0.15">
      <c r="F87" s="64">
        <v>0.05</v>
      </c>
      <c r="G87" s="68">
        <f t="dataTable" ref="G87:P96" dt2D="1" dtr="0" r1="K38" r2="I40" ca="1"/>
        <v>33836.199999999997</v>
      </c>
      <c r="H87" s="69">
        <v>18682</v>
      </c>
      <c r="I87" s="69">
        <v>-632.20000000000073</v>
      </c>
      <c r="J87" s="69">
        <v>-23470.199999999997</v>
      </c>
      <c r="K87" s="69">
        <v>-46308.2</v>
      </c>
      <c r="L87" s="69">
        <v>-69146.2</v>
      </c>
      <c r="M87" s="69">
        <v>-91984.200000000012</v>
      </c>
      <c r="N87" s="69">
        <v>-114822.20000000001</v>
      </c>
      <c r="O87" s="69">
        <v>-137660.20000000001</v>
      </c>
      <c r="P87" s="70">
        <v>-160498.20000000001</v>
      </c>
    </row>
    <row r="88" spans="1:16" ht="16.5" customHeight="1" x14ac:dyDescent="0.15">
      <c r="F88" s="64">
        <v>0.1</v>
      </c>
      <c r="G88" s="71">
        <v>33072.400000000001</v>
      </c>
      <c r="H88" s="72">
        <v>11044</v>
      </c>
      <c r="I88" s="72">
        <v>-15908.2</v>
      </c>
      <c r="J88" s="72">
        <v>-46384.2</v>
      </c>
      <c r="K88" s="72">
        <v>-76860.2</v>
      </c>
      <c r="L88" s="72">
        <v>-107944.2</v>
      </c>
      <c r="M88" s="72">
        <v>-141460.20000000001</v>
      </c>
      <c r="N88" s="72">
        <v>-174976.2</v>
      </c>
      <c r="O88" s="72">
        <v>-208492.2</v>
      </c>
      <c r="P88" s="73">
        <v>-242008.2</v>
      </c>
    </row>
    <row r="89" spans="1:16" ht="16.5" customHeight="1" x14ac:dyDescent="0.15">
      <c r="F89" s="64">
        <v>0.15</v>
      </c>
      <c r="G89" s="71">
        <v>32308.6</v>
      </c>
      <c r="H89" s="72">
        <v>3406</v>
      </c>
      <c r="I89" s="72">
        <v>-31184.2</v>
      </c>
      <c r="J89" s="72">
        <v>-69298.2</v>
      </c>
      <c r="K89" s="72">
        <v>-111060.2</v>
      </c>
      <c r="L89" s="72">
        <v>-153734.20000000001</v>
      </c>
      <c r="M89" s="72">
        <v>-196408.2</v>
      </c>
      <c r="N89" s="72">
        <v>-239082.2</v>
      </c>
      <c r="O89" s="72">
        <v>-281756.2</v>
      </c>
      <c r="P89" s="73">
        <v>-324430.2</v>
      </c>
    </row>
    <row r="90" spans="1:16" ht="16.5" customHeight="1" x14ac:dyDescent="0.15">
      <c r="F90" s="64">
        <v>0.2</v>
      </c>
      <c r="G90" s="71">
        <v>31544.799999999999</v>
      </c>
      <c r="H90" s="72">
        <v>-4232</v>
      </c>
      <c r="I90" s="72">
        <v>-46460.2</v>
      </c>
      <c r="J90" s="72">
        <v>-95860.2</v>
      </c>
      <c r="K90" s="72">
        <v>-147692.20000000001</v>
      </c>
      <c r="L90" s="72">
        <v>-199524.2</v>
      </c>
      <c r="M90" s="72">
        <v>-251356.2</v>
      </c>
      <c r="N90" s="72">
        <v>-303188.2</v>
      </c>
      <c r="O90" s="72">
        <v>-355020.2</v>
      </c>
      <c r="P90" s="73">
        <v>-406852.2</v>
      </c>
    </row>
    <row r="91" spans="1:16" ht="16.5" customHeight="1" x14ac:dyDescent="0.15">
      <c r="F91" s="64">
        <v>0.25</v>
      </c>
      <c r="G91" s="71">
        <v>30781</v>
      </c>
      <c r="H91" s="72">
        <v>-11870</v>
      </c>
      <c r="I91" s="72">
        <v>-62344.2</v>
      </c>
      <c r="J91" s="72">
        <v>-123334.2</v>
      </c>
      <c r="K91" s="72">
        <v>-184324.2</v>
      </c>
      <c r="L91" s="72">
        <v>-245314.2</v>
      </c>
      <c r="M91" s="72">
        <v>-306304.2</v>
      </c>
      <c r="N91" s="72">
        <v>-367294.2</v>
      </c>
      <c r="O91" s="72">
        <v>-428284.2</v>
      </c>
      <c r="P91" s="73">
        <v>-489274.2</v>
      </c>
    </row>
    <row r="92" spans="1:16" ht="16.5" customHeight="1" x14ac:dyDescent="0.15">
      <c r="F92" s="64">
        <v>0.3</v>
      </c>
      <c r="G92" s="71">
        <v>30017.200000000001</v>
      </c>
      <c r="H92" s="72">
        <v>-19508</v>
      </c>
      <c r="I92" s="72">
        <v>-80660.2</v>
      </c>
      <c r="J92" s="72">
        <v>-150808.20000000001</v>
      </c>
      <c r="K92" s="72">
        <v>-220956.2</v>
      </c>
      <c r="L92" s="72">
        <v>-291104.2</v>
      </c>
      <c r="M92" s="72">
        <v>-361252.2</v>
      </c>
      <c r="N92" s="72">
        <v>-431400.2</v>
      </c>
      <c r="O92" s="72">
        <v>-501548.2</v>
      </c>
      <c r="P92" s="73">
        <v>-571696.19999999995</v>
      </c>
    </row>
    <row r="93" spans="1:16" ht="16.5" customHeight="1" x14ac:dyDescent="0.15">
      <c r="F93" s="64">
        <v>0.35</v>
      </c>
      <c r="G93" s="71">
        <v>29253.4</v>
      </c>
      <c r="H93" s="72">
        <v>-27146</v>
      </c>
      <c r="I93" s="72">
        <v>-98976.2</v>
      </c>
      <c r="J93" s="72">
        <v>-178282.2</v>
      </c>
      <c r="K93" s="72">
        <v>-257588.2</v>
      </c>
      <c r="L93" s="72">
        <v>-336894.2</v>
      </c>
      <c r="M93" s="72">
        <v>-416200.2</v>
      </c>
      <c r="N93" s="72">
        <v>-495506.2</v>
      </c>
      <c r="O93" s="72">
        <v>-574812.19999999995</v>
      </c>
      <c r="P93" s="73">
        <v>-654118.19999999995</v>
      </c>
    </row>
    <row r="94" spans="1:16" ht="16.5" customHeight="1" x14ac:dyDescent="0.15">
      <c r="F94" s="64">
        <v>0.4</v>
      </c>
      <c r="G94" s="71">
        <v>28489.599999999999</v>
      </c>
      <c r="H94" s="72">
        <v>-34784</v>
      </c>
      <c r="I94" s="72">
        <v>-117292.2</v>
      </c>
      <c r="J94" s="72">
        <v>-205756.2</v>
      </c>
      <c r="K94" s="72">
        <v>-294220.2</v>
      </c>
      <c r="L94" s="72">
        <v>-382684.2</v>
      </c>
      <c r="M94" s="72">
        <v>-471148.2</v>
      </c>
      <c r="N94" s="72">
        <v>-559612.19999999995</v>
      </c>
      <c r="O94" s="72">
        <v>-648076.19999999995</v>
      </c>
      <c r="P94" s="73">
        <v>-736540.2</v>
      </c>
    </row>
    <row r="95" spans="1:16" ht="16.5" customHeight="1" x14ac:dyDescent="0.15">
      <c r="F95" s="64">
        <v>0.45</v>
      </c>
      <c r="G95" s="71">
        <v>27725.8</v>
      </c>
      <c r="H95" s="72">
        <v>-42422</v>
      </c>
      <c r="I95" s="72">
        <v>-135608.20000000001</v>
      </c>
      <c r="J95" s="72">
        <v>-233230.2</v>
      </c>
      <c r="K95" s="72">
        <v>-330852.2</v>
      </c>
      <c r="L95" s="72">
        <v>-428474.2</v>
      </c>
      <c r="M95" s="72">
        <v>-526096.19999999995</v>
      </c>
      <c r="N95" s="72">
        <v>-623718.19999999995</v>
      </c>
      <c r="O95" s="72">
        <v>-721340.2</v>
      </c>
      <c r="P95" s="73">
        <v>-818962.2</v>
      </c>
    </row>
    <row r="96" spans="1:16" ht="16.5" customHeight="1" thickBot="1" x14ac:dyDescent="0.2">
      <c r="F96" s="65">
        <v>0.5</v>
      </c>
      <c r="G96" s="80">
        <v>26962</v>
      </c>
      <c r="H96" s="80">
        <v>-50668</v>
      </c>
      <c r="I96" s="80">
        <v>-153924.20000000001</v>
      </c>
      <c r="J96" s="80">
        <v>-260704.2</v>
      </c>
      <c r="K96" s="80">
        <v>-367484.2</v>
      </c>
      <c r="L96" s="80">
        <v>-474264.2</v>
      </c>
      <c r="M96" s="80">
        <v>-581044.19999999995</v>
      </c>
      <c r="N96" s="80">
        <v>-687824.2</v>
      </c>
      <c r="O96" s="80">
        <v>-794604.2</v>
      </c>
      <c r="P96" s="81">
        <v>-901384.2</v>
      </c>
    </row>
    <row r="98" spans="6:16" ht="16.5" customHeight="1" thickBot="1" x14ac:dyDescent="0.2">
      <c r="F98" s="78" t="s">
        <v>19</v>
      </c>
      <c r="G98" s="79"/>
      <c r="H98" s="79" t="s">
        <v>25</v>
      </c>
    </row>
    <row r="99" spans="6:16" ht="16.5" customHeight="1" x14ac:dyDescent="0.15">
      <c r="F99" s="66">
        <f>L54</f>
        <v>-142208.01999999999</v>
      </c>
      <c r="G99" s="63">
        <f>G73</f>
        <v>50000</v>
      </c>
      <c r="H99" s="63">
        <f t="shared" ref="H99:P99" si="4">H73</f>
        <v>500000</v>
      </c>
      <c r="I99" s="63">
        <f t="shared" si="4"/>
        <v>1000000</v>
      </c>
      <c r="J99" s="63">
        <f t="shared" si="4"/>
        <v>1500000</v>
      </c>
      <c r="K99" s="63">
        <f t="shared" si="4"/>
        <v>2000000</v>
      </c>
      <c r="L99" s="63">
        <f t="shared" si="4"/>
        <v>2500000</v>
      </c>
      <c r="M99" s="63">
        <f t="shared" si="4"/>
        <v>3000000</v>
      </c>
      <c r="N99" s="63">
        <f t="shared" si="4"/>
        <v>3500000</v>
      </c>
      <c r="O99" s="63">
        <f t="shared" si="4"/>
        <v>4000000</v>
      </c>
      <c r="P99" s="63">
        <f t="shared" si="4"/>
        <v>4500000</v>
      </c>
    </row>
    <row r="100" spans="6:16" ht="16.5" customHeight="1" x14ac:dyDescent="0.15">
      <c r="F100" s="64">
        <v>0.05</v>
      </c>
      <c r="G100" s="68">
        <f t="dataTable" ref="G100:P109" dt2D="1" dtr="0" r1="L38" r2="I40" ca="1"/>
        <v>-38836.5</v>
      </c>
      <c r="H100" s="69">
        <v>-45622.5</v>
      </c>
      <c r="I100" s="69">
        <v>-65962.5</v>
      </c>
      <c r="J100" s="69">
        <v>-101158.5</v>
      </c>
      <c r="K100" s="69">
        <v>-143858.5</v>
      </c>
      <c r="L100" s="69">
        <v>-206206.5</v>
      </c>
      <c r="M100" s="69">
        <v>-320511.3</v>
      </c>
      <c r="N100" s="69">
        <v>-367316.1</v>
      </c>
      <c r="O100" s="69">
        <v>-414120.9</v>
      </c>
      <c r="P100" s="70">
        <v>-460925.7</v>
      </c>
    </row>
    <row r="101" spans="6:16" ht="16.5" customHeight="1" x14ac:dyDescent="0.15">
      <c r="F101" s="64">
        <v>0.1</v>
      </c>
      <c r="G101" s="71">
        <v>-39140.5</v>
      </c>
      <c r="H101" s="72">
        <v>-48662.5</v>
      </c>
      <c r="I101" s="72">
        <v>-73258.5</v>
      </c>
      <c r="J101" s="72">
        <v>-112011.3</v>
      </c>
      <c r="K101" s="72">
        <v>-157720.9</v>
      </c>
      <c r="L101" s="72">
        <v>-223838.5</v>
      </c>
      <c r="M101" s="72">
        <v>-341669.7</v>
      </c>
      <c r="N101" s="72">
        <v>-392000.9</v>
      </c>
      <c r="O101" s="72">
        <v>-443304.9</v>
      </c>
      <c r="P101" s="73">
        <v>-493757.7</v>
      </c>
    </row>
    <row r="102" spans="6:16" ht="16.5" customHeight="1" x14ac:dyDescent="0.15">
      <c r="F102" s="64">
        <v>0.15</v>
      </c>
      <c r="G102" s="71">
        <v>-39444.5</v>
      </c>
      <c r="H102" s="72">
        <v>-52158.5</v>
      </c>
      <c r="I102" s="72">
        <v>-80311.3</v>
      </c>
      <c r="J102" s="72">
        <v>-122225.7</v>
      </c>
      <c r="K102" s="72">
        <v>-172069.7</v>
      </c>
      <c r="L102" s="72">
        <v>-242078.5</v>
      </c>
      <c r="M102" s="72">
        <v>-363557.7</v>
      </c>
      <c r="N102" s="72">
        <v>-418813.7</v>
      </c>
      <c r="O102" s="72">
        <v>-472975.3</v>
      </c>
      <c r="P102" s="73">
        <v>-528778.5</v>
      </c>
    </row>
    <row r="103" spans="6:16" ht="16.5" customHeight="1" x14ac:dyDescent="0.15">
      <c r="F103" s="64">
        <v>0.2</v>
      </c>
      <c r="G103" s="71">
        <v>-39748.5</v>
      </c>
      <c r="H103" s="72">
        <v>-55958.5</v>
      </c>
      <c r="I103" s="72">
        <v>-87120.9</v>
      </c>
      <c r="J103" s="72">
        <v>-133169.70000000001</v>
      </c>
      <c r="K103" s="72">
        <v>-186904.9</v>
      </c>
      <c r="L103" s="72">
        <v>-260926.5</v>
      </c>
      <c r="M103" s="72">
        <v>-386175.3</v>
      </c>
      <c r="N103" s="72">
        <v>-445626.5</v>
      </c>
      <c r="O103" s="72">
        <v>-505564.1</v>
      </c>
      <c r="P103" s="73">
        <v>-565988.1</v>
      </c>
    </row>
    <row r="104" spans="6:16" ht="16.5" customHeight="1" x14ac:dyDescent="0.15">
      <c r="F104" s="64">
        <v>0.25</v>
      </c>
      <c r="G104" s="71">
        <v>-40052.5</v>
      </c>
      <c r="H104" s="72">
        <v>-59606.5</v>
      </c>
      <c r="I104" s="72">
        <v>-94538.5</v>
      </c>
      <c r="J104" s="72">
        <v>-144478.5</v>
      </c>
      <c r="K104" s="72">
        <v>-202226.5</v>
      </c>
      <c r="L104" s="72">
        <v>-280382.5</v>
      </c>
      <c r="M104" s="72">
        <v>-411346.5</v>
      </c>
      <c r="N104" s="72">
        <v>-475418.5</v>
      </c>
      <c r="O104" s="72">
        <v>-540098.5</v>
      </c>
      <c r="P104" s="73">
        <v>-605386.5</v>
      </c>
    </row>
    <row r="105" spans="6:16" ht="16.5" customHeight="1" x14ac:dyDescent="0.15">
      <c r="F105" s="64">
        <v>0.3</v>
      </c>
      <c r="G105" s="71">
        <v>-40356.5</v>
      </c>
      <c r="H105" s="72">
        <v>-63011.3</v>
      </c>
      <c r="I105" s="72">
        <v>-101469.7</v>
      </c>
      <c r="J105" s="72">
        <v>-155057.70000000001</v>
      </c>
      <c r="K105" s="72">
        <v>-216575.3</v>
      </c>
      <c r="L105" s="72">
        <v>-300446.5</v>
      </c>
      <c r="M105" s="72">
        <v>-435788.1</v>
      </c>
      <c r="N105" s="72">
        <v>-504359.3</v>
      </c>
      <c r="O105" s="72">
        <v>-573660.1</v>
      </c>
      <c r="P105" s="73">
        <v>-646973.69999999995</v>
      </c>
    </row>
    <row r="106" spans="6:16" ht="16.5" customHeight="1" x14ac:dyDescent="0.15">
      <c r="F106" s="64">
        <v>0.35</v>
      </c>
      <c r="G106" s="71">
        <v>-40660.5</v>
      </c>
      <c r="H106" s="72">
        <v>-66416.100000000006</v>
      </c>
      <c r="I106" s="72">
        <v>-108400.9</v>
      </c>
      <c r="J106" s="72">
        <v>-166913.70000000001</v>
      </c>
      <c r="K106" s="72">
        <v>-232626.5</v>
      </c>
      <c r="L106" s="72">
        <v>-321118.5</v>
      </c>
      <c r="M106" s="72">
        <v>-460959.3</v>
      </c>
      <c r="N106" s="72">
        <v>-537130.5</v>
      </c>
      <c r="O106" s="72">
        <v>-611599.30000000005</v>
      </c>
      <c r="P106" s="73">
        <v>-690749.7</v>
      </c>
    </row>
    <row r="107" spans="6:16" ht="16.5" customHeight="1" x14ac:dyDescent="0.15">
      <c r="F107" s="64">
        <v>0.4</v>
      </c>
      <c r="G107" s="71">
        <v>-40964.5</v>
      </c>
      <c r="H107" s="72">
        <v>-69820.899999999994</v>
      </c>
      <c r="I107" s="72">
        <v>-116304.9</v>
      </c>
      <c r="J107" s="72">
        <v>-177675.3</v>
      </c>
      <c r="K107" s="72">
        <v>-249164.09999999998</v>
      </c>
      <c r="L107" s="72">
        <v>-342398.5</v>
      </c>
      <c r="M107" s="72">
        <v>-486860.1</v>
      </c>
      <c r="N107" s="72">
        <v>-568199.30000000005</v>
      </c>
      <c r="O107" s="72">
        <v>-651484.1</v>
      </c>
      <c r="P107" s="73">
        <v>-732336.89999999991</v>
      </c>
    </row>
    <row r="108" spans="6:16" ht="16.5" customHeight="1" x14ac:dyDescent="0.15">
      <c r="F108" s="64">
        <v>0.45</v>
      </c>
      <c r="G108" s="71">
        <v>-41268.5</v>
      </c>
      <c r="H108" s="72">
        <v>-73225.7</v>
      </c>
      <c r="I108" s="72">
        <v>-123357.7</v>
      </c>
      <c r="J108" s="72">
        <v>-190078.5</v>
      </c>
      <c r="K108" s="72">
        <v>-266188.09999999998</v>
      </c>
      <c r="L108" s="72">
        <v>-364286.5</v>
      </c>
      <c r="M108" s="72">
        <v>-516773.69999999995</v>
      </c>
      <c r="N108" s="72">
        <v>-603949.69999999995</v>
      </c>
      <c r="O108" s="72">
        <v>-688936.89999999991</v>
      </c>
      <c r="P108" s="73">
        <v>-779943.3</v>
      </c>
    </row>
    <row r="109" spans="6:16" ht="16.5" customHeight="1" thickBot="1" x14ac:dyDescent="0.2">
      <c r="F109" s="65">
        <v>0.5</v>
      </c>
      <c r="G109" s="80">
        <v>-41572.5</v>
      </c>
      <c r="H109" s="80">
        <v>-77238.5</v>
      </c>
      <c r="I109" s="80">
        <v>-131626.5</v>
      </c>
      <c r="J109" s="80">
        <v>-202846.5</v>
      </c>
      <c r="K109" s="80">
        <v>-283698.5</v>
      </c>
      <c r="L109" s="80">
        <v>-386782.5</v>
      </c>
      <c r="M109" s="80">
        <v>-544498.5</v>
      </c>
      <c r="N109" s="80">
        <v>-637146.5</v>
      </c>
      <c r="O109" s="80">
        <v>-732226.5</v>
      </c>
      <c r="P109" s="81">
        <v>-829738.5</v>
      </c>
    </row>
    <row r="112" spans="6:16" ht="16.5" customHeight="1" thickBot="1" x14ac:dyDescent="0.2">
      <c r="F112" s="163" t="s">
        <v>26</v>
      </c>
      <c r="G112" s="79" t="s">
        <v>55</v>
      </c>
    </row>
    <row r="113" spans="6:16" ht="16.5" customHeight="1" x14ac:dyDescent="0.15">
      <c r="F113" s="66">
        <f>K65</f>
        <v>-92962.499999999985</v>
      </c>
      <c r="G113" s="63">
        <f t="shared" ref="G113:P113" si="5">G$99</f>
        <v>50000</v>
      </c>
      <c r="H113" s="61">
        <f t="shared" si="5"/>
        <v>500000</v>
      </c>
      <c r="I113" s="61">
        <f t="shared" si="5"/>
        <v>1000000</v>
      </c>
      <c r="J113" s="61">
        <f t="shared" si="5"/>
        <v>1500000</v>
      </c>
      <c r="K113" s="61">
        <f t="shared" si="5"/>
        <v>2000000</v>
      </c>
      <c r="L113" s="61">
        <f t="shared" si="5"/>
        <v>2500000</v>
      </c>
      <c r="M113" s="61">
        <f t="shared" si="5"/>
        <v>3000000</v>
      </c>
      <c r="N113" s="61">
        <f t="shared" si="5"/>
        <v>3500000</v>
      </c>
      <c r="O113" s="61">
        <f t="shared" si="5"/>
        <v>4000000</v>
      </c>
      <c r="P113" s="62">
        <f t="shared" si="5"/>
        <v>4500000</v>
      </c>
    </row>
    <row r="114" spans="6:16" ht="16.5" customHeight="1" x14ac:dyDescent="0.15">
      <c r="F114" s="64">
        <v>0.05</v>
      </c>
      <c r="G114" s="87" t="str">
        <f t="shared" ref="G114:P115" si="6">IF(AND(G100&gt;G74,G100&gt;G87),"SIMPLES",IF(AND(G74&gt;G100,G74&gt;G87),"PRESUMIDO","REAL"))</f>
        <v>REAL</v>
      </c>
      <c r="H114" s="85" t="str">
        <f t="shared" ref="H114:P114" si="7">IF(AND(H100&gt;H74,H100&gt;H87),"SIMPLES",IF(AND(H74&gt;H100,H74&gt;H87),"PRESUMIDO","REAL"))</f>
        <v>REAL</v>
      </c>
      <c r="I114" s="85" t="str">
        <f t="shared" si="7"/>
        <v>REAL</v>
      </c>
      <c r="J114" s="85" t="str">
        <f t="shared" si="7"/>
        <v>PRESUMIDO</v>
      </c>
      <c r="K114" s="85" t="str">
        <f t="shared" si="7"/>
        <v>PRESUMIDO</v>
      </c>
      <c r="L114" s="85" t="str">
        <f t="shared" si="7"/>
        <v>PRESUMIDO</v>
      </c>
      <c r="M114" s="85" t="str">
        <f t="shared" si="7"/>
        <v>PRESUMIDO</v>
      </c>
      <c r="N114" s="85" t="str">
        <f t="shared" si="7"/>
        <v>PRESUMIDO</v>
      </c>
      <c r="O114" s="85" t="str">
        <f t="shared" si="7"/>
        <v>PRESUMIDO</v>
      </c>
      <c r="P114" s="86" t="str">
        <f t="shared" si="7"/>
        <v>PRESUMIDO</v>
      </c>
    </row>
    <row r="115" spans="6:16" ht="16.5" customHeight="1" x14ac:dyDescent="0.15">
      <c r="F115" s="64">
        <v>0.1</v>
      </c>
      <c r="G115" s="87" t="str">
        <f t="shared" si="6"/>
        <v>REAL</v>
      </c>
      <c r="H115" s="88" t="str">
        <f t="shared" si="6"/>
        <v>REAL</v>
      </c>
      <c r="I115" s="88" t="str">
        <f t="shared" si="6"/>
        <v>REAL</v>
      </c>
      <c r="J115" s="88" t="str">
        <f t="shared" si="6"/>
        <v>PRESUMIDO</v>
      </c>
      <c r="K115" s="88" t="str">
        <f t="shared" si="6"/>
        <v>PRESUMIDO</v>
      </c>
      <c r="L115" s="88" t="str">
        <f t="shared" si="6"/>
        <v>PRESUMIDO</v>
      </c>
      <c r="M115" s="88" t="str">
        <f t="shared" si="6"/>
        <v>PRESUMIDO</v>
      </c>
      <c r="N115" s="88" t="str">
        <f t="shared" si="6"/>
        <v>PRESUMIDO</v>
      </c>
      <c r="O115" s="88" t="str">
        <f t="shared" si="6"/>
        <v>PRESUMIDO</v>
      </c>
      <c r="P115" s="89" t="str">
        <f t="shared" si="6"/>
        <v>PRESUMIDO</v>
      </c>
    </row>
    <row r="116" spans="6:16" ht="16.5" customHeight="1" x14ac:dyDescent="0.15">
      <c r="F116" s="64">
        <v>0.15</v>
      </c>
      <c r="G116" s="87" t="str">
        <f t="shared" ref="G116:P116" si="8">IF(AND(G102&gt;G76,G102&gt;G89),"SIMPLES",IF(AND(G76&gt;G102,G76&gt;G89),"PRESUMIDO","REAL"))</f>
        <v>REAL</v>
      </c>
      <c r="H116" s="88" t="str">
        <f t="shared" si="8"/>
        <v>REAL</v>
      </c>
      <c r="I116" s="88" t="str">
        <f t="shared" si="8"/>
        <v>REAL</v>
      </c>
      <c r="J116" s="88" t="str">
        <f t="shared" si="8"/>
        <v>PRESUMIDO</v>
      </c>
      <c r="K116" s="88" t="str">
        <f t="shared" si="8"/>
        <v>PRESUMIDO</v>
      </c>
      <c r="L116" s="88" t="str">
        <f t="shared" si="8"/>
        <v>PRESUMIDO</v>
      </c>
      <c r="M116" s="88" t="str">
        <f t="shared" si="8"/>
        <v>PRESUMIDO</v>
      </c>
      <c r="N116" s="88" t="str">
        <f t="shared" si="8"/>
        <v>PRESUMIDO</v>
      </c>
      <c r="O116" s="88" t="str">
        <f t="shared" si="8"/>
        <v>PRESUMIDO</v>
      </c>
      <c r="P116" s="89" t="str">
        <f t="shared" si="8"/>
        <v>PRESUMIDO</v>
      </c>
    </row>
    <row r="117" spans="6:16" ht="16.5" customHeight="1" x14ac:dyDescent="0.15">
      <c r="F117" s="64">
        <v>0.2</v>
      </c>
      <c r="G117" s="87" t="str">
        <f t="shared" ref="G117:P117" si="9">IF(AND(G103&gt;G77,G103&gt;G90),"SIMPLES",IF(AND(G77&gt;G103,G77&gt;G90),"PRESUMIDO","REAL"))</f>
        <v>REAL</v>
      </c>
      <c r="H117" s="88" t="str">
        <f t="shared" si="9"/>
        <v>REAL</v>
      </c>
      <c r="I117" s="88" t="str">
        <f t="shared" si="9"/>
        <v>REAL</v>
      </c>
      <c r="J117" s="88" t="str">
        <f t="shared" si="9"/>
        <v>PRESUMIDO</v>
      </c>
      <c r="K117" s="88" t="str">
        <f t="shared" si="9"/>
        <v>PRESUMIDO</v>
      </c>
      <c r="L117" s="88" t="str">
        <f t="shared" si="9"/>
        <v>PRESUMIDO</v>
      </c>
      <c r="M117" s="88" t="str">
        <f t="shared" si="9"/>
        <v>PRESUMIDO</v>
      </c>
      <c r="N117" s="88" t="str">
        <f t="shared" si="9"/>
        <v>PRESUMIDO</v>
      </c>
      <c r="O117" s="88" t="str">
        <f t="shared" si="9"/>
        <v>PRESUMIDO</v>
      </c>
      <c r="P117" s="89" t="str">
        <f t="shared" si="9"/>
        <v>PRESUMIDO</v>
      </c>
    </row>
    <row r="118" spans="6:16" ht="16.5" customHeight="1" x14ac:dyDescent="0.15">
      <c r="F118" s="64">
        <v>0.25</v>
      </c>
      <c r="G118" s="87" t="str">
        <f t="shared" ref="G118:P118" si="10">IF(AND(G104&gt;G78,G104&gt;G91),"SIMPLES",IF(AND(G78&gt;G104,G78&gt;G91),"PRESUMIDO","REAL"))</f>
        <v>REAL</v>
      </c>
      <c r="H118" s="88" t="str">
        <f t="shared" si="10"/>
        <v>REAL</v>
      </c>
      <c r="I118" s="88" t="str">
        <f t="shared" si="10"/>
        <v>PRESUMIDO</v>
      </c>
      <c r="J118" s="88" t="str">
        <f t="shared" si="10"/>
        <v>PRESUMIDO</v>
      </c>
      <c r="K118" s="88" t="str">
        <f t="shared" si="10"/>
        <v>PRESUMIDO</v>
      </c>
      <c r="L118" s="88" t="str">
        <f t="shared" si="10"/>
        <v>PRESUMIDO</v>
      </c>
      <c r="M118" s="88" t="str">
        <f t="shared" si="10"/>
        <v>PRESUMIDO</v>
      </c>
      <c r="N118" s="88" t="str">
        <f t="shared" si="10"/>
        <v>PRESUMIDO</v>
      </c>
      <c r="O118" s="88" t="str">
        <f t="shared" si="10"/>
        <v>PRESUMIDO</v>
      </c>
      <c r="P118" s="89" t="str">
        <f t="shared" si="10"/>
        <v>PRESUMIDO</v>
      </c>
    </row>
    <row r="119" spans="6:16" ht="16.5" customHeight="1" x14ac:dyDescent="0.15">
      <c r="F119" s="64">
        <v>0.3</v>
      </c>
      <c r="G119" s="87" t="str">
        <f t="shared" ref="G119:P119" si="11">IF(AND(G105&gt;G79,G105&gt;G92),"SIMPLES",IF(AND(G79&gt;G105,G79&gt;G92),"PRESUMIDO","REAL"))</f>
        <v>REAL</v>
      </c>
      <c r="H119" s="88" t="str">
        <f t="shared" si="11"/>
        <v>REAL</v>
      </c>
      <c r="I119" s="88" t="str">
        <f t="shared" si="11"/>
        <v>PRESUMIDO</v>
      </c>
      <c r="J119" s="88" t="str">
        <f t="shared" si="11"/>
        <v>PRESUMIDO</v>
      </c>
      <c r="K119" s="88" t="str">
        <f t="shared" si="11"/>
        <v>PRESUMIDO</v>
      </c>
      <c r="L119" s="88" t="str">
        <f t="shared" si="11"/>
        <v>PRESUMIDO</v>
      </c>
      <c r="M119" s="88" t="str">
        <f t="shared" si="11"/>
        <v>PRESUMIDO</v>
      </c>
      <c r="N119" s="88" t="str">
        <f t="shared" si="11"/>
        <v>PRESUMIDO</v>
      </c>
      <c r="O119" s="88" t="str">
        <f t="shared" si="11"/>
        <v>PRESUMIDO</v>
      </c>
      <c r="P119" s="89" t="str">
        <f t="shared" si="11"/>
        <v>PRESUMIDO</v>
      </c>
    </row>
    <row r="120" spans="6:16" ht="16.5" customHeight="1" x14ac:dyDescent="0.15">
      <c r="F120" s="64">
        <v>0.35</v>
      </c>
      <c r="G120" s="87" t="str">
        <f t="shared" ref="G120:P120" si="12">IF(AND(G106&gt;G80,G106&gt;G93),"SIMPLES",IF(AND(G80&gt;G106,G80&gt;G93),"PRESUMIDO","REAL"))</f>
        <v>REAL</v>
      </c>
      <c r="H120" s="88" t="str">
        <f t="shared" si="12"/>
        <v>REAL</v>
      </c>
      <c r="I120" s="88" t="str">
        <f t="shared" si="12"/>
        <v>PRESUMIDO</v>
      </c>
      <c r="J120" s="88" t="str">
        <f t="shared" si="12"/>
        <v>PRESUMIDO</v>
      </c>
      <c r="K120" s="88" t="str">
        <f t="shared" si="12"/>
        <v>PRESUMIDO</v>
      </c>
      <c r="L120" s="88" t="str">
        <f t="shared" si="12"/>
        <v>PRESUMIDO</v>
      </c>
      <c r="M120" s="88" t="str">
        <f t="shared" si="12"/>
        <v>PRESUMIDO</v>
      </c>
      <c r="N120" s="88" t="str">
        <f t="shared" si="12"/>
        <v>PRESUMIDO</v>
      </c>
      <c r="O120" s="88" t="str">
        <f t="shared" si="12"/>
        <v>PRESUMIDO</v>
      </c>
      <c r="P120" s="89" t="str">
        <f t="shared" si="12"/>
        <v>PRESUMIDO</v>
      </c>
    </row>
    <row r="121" spans="6:16" ht="16.5" customHeight="1" x14ac:dyDescent="0.15">
      <c r="F121" s="64">
        <v>0.4</v>
      </c>
      <c r="G121" s="87" t="str">
        <f t="shared" ref="G121:P121" si="13">IF(AND(G107&gt;G81,G107&gt;G94),"SIMPLES",IF(AND(G81&gt;G107,G81&gt;G94),"PRESUMIDO","REAL"))</f>
        <v>REAL</v>
      </c>
      <c r="H121" s="88" t="str">
        <f t="shared" si="13"/>
        <v>REAL</v>
      </c>
      <c r="I121" s="88" t="str">
        <f t="shared" si="13"/>
        <v>PRESUMIDO</v>
      </c>
      <c r="J121" s="88" t="str">
        <f t="shared" si="13"/>
        <v>PRESUMIDO</v>
      </c>
      <c r="K121" s="88" t="str">
        <f t="shared" si="13"/>
        <v>PRESUMIDO</v>
      </c>
      <c r="L121" s="88" t="str">
        <f t="shared" si="13"/>
        <v>PRESUMIDO</v>
      </c>
      <c r="M121" s="88" t="str">
        <f t="shared" si="13"/>
        <v>PRESUMIDO</v>
      </c>
      <c r="N121" s="88" t="str">
        <f t="shared" si="13"/>
        <v>PRESUMIDO</v>
      </c>
      <c r="O121" s="88" t="str">
        <f t="shared" si="13"/>
        <v>PRESUMIDO</v>
      </c>
      <c r="P121" s="89" t="str">
        <f t="shared" si="13"/>
        <v>PRESUMIDO</v>
      </c>
    </row>
    <row r="122" spans="6:16" ht="16.5" customHeight="1" x14ac:dyDescent="0.15">
      <c r="F122" s="64">
        <v>0.45</v>
      </c>
      <c r="G122" s="87" t="str">
        <f t="shared" ref="G122:P122" si="14">IF(AND(G108&gt;G82,G108&gt;G95),"SIMPLES",IF(AND(G82&gt;G108,G82&gt;G95),"PRESUMIDO","REAL"))</f>
        <v>REAL</v>
      </c>
      <c r="H122" s="88" t="str">
        <f t="shared" si="14"/>
        <v>REAL</v>
      </c>
      <c r="I122" s="88" t="str">
        <f t="shared" si="14"/>
        <v>PRESUMIDO</v>
      </c>
      <c r="J122" s="88" t="str">
        <f t="shared" si="14"/>
        <v>PRESUMIDO</v>
      </c>
      <c r="K122" s="88" t="str">
        <f t="shared" si="14"/>
        <v>PRESUMIDO</v>
      </c>
      <c r="L122" s="88" t="str">
        <f t="shared" si="14"/>
        <v>PRESUMIDO</v>
      </c>
      <c r="M122" s="88" t="str">
        <f t="shared" si="14"/>
        <v>PRESUMIDO</v>
      </c>
      <c r="N122" s="88" t="str">
        <f t="shared" si="14"/>
        <v>PRESUMIDO</v>
      </c>
      <c r="O122" s="88" t="str">
        <f t="shared" si="14"/>
        <v>PRESUMIDO</v>
      </c>
      <c r="P122" s="89" t="str">
        <f t="shared" si="14"/>
        <v>PRESUMIDO</v>
      </c>
    </row>
    <row r="123" spans="6:16" ht="16.5" customHeight="1" thickBot="1" x14ac:dyDescent="0.15">
      <c r="F123" s="65">
        <v>0.5</v>
      </c>
      <c r="G123" s="90" t="str">
        <f t="shared" ref="G123:P123" si="15">IF(AND(G109&gt;G83,G109&gt;G96),"SIMPLES",IF(AND(G83&gt;G109,G83&gt;G96),"PRESUMIDO","REAL"))</f>
        <v>REAL</v>
      </c>
      <c r="H123" s="90" t="str">
        <f t="shared" si="15"/>
        <v>REAL</v>
      </c>
      <c r="I123" s="90" t="str">
        <f t="shared" si="15"/>
        <v>PRESUMIDO</v>
      </c>
      <c r="J123" s="90" t="str">
        <f t="shared" si="15"/>
        <v>PRESUMIDO</v>
      </c>
      <c r="K123" s="90" t="str">
        <f t="shared" si="15"/>
        <v>PRESUMIDO</v>
      </c>
      <c r="L123" s="90" t="str">
        <f t="shared" si="15"/>
        <v>PRESUMIDO</v>
      </c>
      <c r="M123" s="90" t="str">
        <f t="shared" si="15"/>
        <v>PRESUMIDO</v>
      </c>
      <c r="N123" s="90" t="str">
        <f t="shared" si="15"/>
        <v>PRESUMIDO</v>
      </c>
      <c r="O123" s="90" t="str">
        <f t="shared" si="15"/>
        <v>PRESUMIDO</v>
      </c>
      <c r="P123" s="91" t="str">
        <f t="shared" si="15"/>
        <v>PRESUMIDO</v>
      </c>
    </row>
  </sheetData>
  <scenarios current="0" show="1">
    <scenario name="100% Tributado" locked="1" count="2" user="Preferred Customer" comment="Criado por Preferred Customer em 17/1/2007_x000a_Alterado por Preferred Customer em 17/1/2007">
      <inputCells r="A36" val="100 % Tributado"/>
      <inputCells r="I39" val="1" numFmtId="9"/>
    </scenario>
    <scenario name="Menos de 100% Tributável" locked="1" count="2" user="Preferred Customer" comment="Criado por Preferred Customer em 17/1/2007_x000a_Alterado por Preferred Customer em 17/1/2007">
      <inputCells r="A36" val="Menos de 100% Tributado"/>
      <inputCells r="I39" val="0,6" numFmtId="9"/>
    </scenario>
  </scenarios>
  <mergeCells count="5">
    <mergeCell ref="F65:H65"/>
    <mergeCell ref="A37:C37"/>
    <mergeCell ref="D37:F37"/>
    <mergeCell ref="G37:H37"/>
    <mergeCell ref="F57:H57"/>
  </mergeCells>
  <phoneticPr fontId="0" type="noConversion"/>
  <conditionalFormatting sqref="F114:F123 F100:F109 F87:F96 F74:F83 G59:G60 G62:G63 G58:L58 B52:C52 F45:F50 H45:H50 I65:L65 G64:L64 B45:B50 D45:D50 B55:I55 J37:L55 I37:I54 I57:L57 H59:L63 I4:I34 J3:M34">
    <cfRule type="cellIs" dxfId="7" priority="1" stopIfTrue="1" operator="lessThan">
      <formula>0</formula>
    </cfRule>
  </conditionalFormatting>
  <conditionalFormatting sqref="G114:P123">
    <cfRule type="cellIs" dxfId="6" priority="2" stopIfTrue="1" operator="equal">
      <formula>"REAL"</formula>
    </cfRule>
    <cfRule type="cellIs" dxfId="5" priority="3" stopIfTrue="1" operator="equal">
      <formula>"SIMPLES"</formula>
    </cfRule>
    <cfRule type="cellIs" dxfId="4" priority="4" stopIfTrue="1" operator="equal">
      <formula>"PRESUMIDO"</formula>
    </cfRule>
  </conditionalFormatting>
  <conditionalFormatting sqref="G100:P109">
    <cfRule type="cellIs" dxfId="3" priority="5" stopIfTrue="1" operator="equal">
      <formula>$L$54</formula>
    </cfRule>
  </conditionalFormatting>
  <conditionalFormatting sqref="G87:P96">
    <cfRule type="cellIs" dxfId="2" priority="6" stopIfTrue="1" operator="equal">
      <formula>$K$54</formula>
    </cfRule>
  </conditionalFormatting>
  <conditionalFormatting sqref="G74:P83">
    <cfRule type="cellIs" dxfId="1" priority="7" stopIfTrue="1" operator="equal">
      <formula>$J$54</formula>
    </cfRule>
  </conditionalFormatting>
  <pageMargins left="0.75" right="0.75" top="1" bottom="1" header="0.49212598499999999" footer="0.49212598499999999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050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5</xdr:col>
                <xdr:colOff>342900</xdr:colOff>
                <xdr:row>0</xdr:row>
                <xdr:rowOff>390525</xdr:rowOff>
              </to>
            </anchor>
          </objectPr>
        </oleObject>
      </mc:Choice>
      <mc:Fallback>
        <oleObject progId="MSPhotoEd.3" shapeId="1050" r:id="rId4"/>
      </mc:Fallback>
    </mc:AlternateContent>
    <mc:AlternateContent xmlns:mc="http://schemas.openxmlformats.org/markup-compatibility/2006">
      <mc:Choice Requires="x14">
        <oleObject progId="Word.Document.8" shapeId="1056" r:id="rId6">
          <objectPr defaultSize="0" r:id="rId7">
            <anchor moveWithCells="1">
              <from>
                <xdr:col>0</xdr:col>
                <xdr:colOff>76200</xdr:colOff>
                <xdr:row>124</xdr:row>
                <xdr:rowOff>57150</xdr:rowOff>
              </from>
              <to>
                <xdr:col>10</xdr:col>
                <xdr:colOff>581025</xdr:colOff>
                <xdr:row>166</xdr:row>
                <xdr:rowOff>200025</xdr:rowOff>
              </to>
            </anchor>
          </objectPr>
        </oleObject>
      </mc:Choice>
      <mc:Fallback>
        <oleObject progId="Word.Document.8" shapeId="1056" r:id="rId6"/>
      </mc:Fallback>
    </mc:AlternateContent>
    <mc:AlternateContent xmlns:mc="http://schemas.openxmlformats.org/markup-compatibility/2006">
      <mc:Choice Requires="x14">
        <oleObject progId="Word.Document.8" shapeId="1057" r:id="rId8">
          <objectPr defaultSize="0" r:id="rId9">
            <anchor moveWithCells="1">
              <from>
                <xdr:col>0</xdr:col>
                <xdr:colOff>85725</xdr:colOff>
                <xdr:row>164</xdr:row>
                <xdr:rowOff>38100</xdr:rowOff>
              </from>
              <to>
                <xdr:col>10</xdr:col>
                <xdr:colOff>590550</xdr:colOff>
                <xdr:row>206</xdr:row>
                <xdr:rowOff>180975</xdr:rowOff>
              </to>
            </anchor>
          </objectPr>
        </oleObject>
      </mc:Choice>
      <mc:Fallback>
        <oleObject progId="Word.Document.8" shapeId="1057" r:id="rId8"/>
      </mc:Fallback>
    </mc:AlternateContent>
    <mc:AlternateContent xmlns:mc="http://schemas.openxmlformats.org/markup-compatibility/2006">
      <mc:Choice Requires="x14">
        <oleObject progId="Word.Document.8" shapeId="1066" r:id="rId10">
          <objectPr defaultSize="0" r:id="rId11">
            <anchor moveWithCells="1">
              <from>
                <xdr:col>0</xdr:col>
                <xdr:colOff>47625</xdr:colOff>
                <xdr:row>203</xdr:row>
                <xdr:rowOff>66675</xdr:rowOff>
              </from>
              <to>
                <xdr:col>10</xdr:col>
                <xdr:colOff>552450</xdr:colOff>
                <xdr:row>246</xdr:row>
                <xdr:rowOff>0</xdr:rowOff>
              </to>
            </anchor>
          </objectPr>
        </oleObject>
      </mc:Choice>
      <mc:Fallback>
        <oleObject progId="Word.Document.8" shapeId="1066" r:id="rId10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6"/>
  <sheetViews>
    <sheetView showGridLines="0" workbookViewId="0" xr3:uid="{842E5F09-E766-5B8D-85AF-A39847EA96FD}">
      <selection activeCell="D23" sqref="D23"/>
    </sheetView>
  </sheetViews>
  <sheetFormatPr defaultRowHeight="12.75" x14ac:dyDescent="0.15"/>
  <cols>
    <col min="1" max="1" width="1.6171875" customWidth="1"/>
    <col min="2" max="2" width="13.6171875" bestFit="1" customWidth="1"/>
    <col min="3" max="3" width="12.5390625" style="46" bestFit="1" customWidth="1"/>
    <col min="4" max="7" width="12.26953125" bestFit="1" customWidth="1"/>
    <col min="8" max="8" width="13.6171875" bestFit="1" customWidth="1"/>
    <col min="9" max="12" width="12.26953125" bestFit="1" customWidth="1"/>
  </cols>
  <sheetData>
    <row r="1" spans="1:14" s="2" customFormat="1" ht="31.5" customHeight="1" thickBot="1" x14ac:dyDescent="0.2">
      <c r="C1" s="2" t="s">
        <v>66</v>
      </c>
      <c r="N1" s="28"/>
    </row>
    <row r="3" spans="1:14" x14ac:dyDescent="0.15">
      <c r="A3" s="58" t="s">
        <v>20</v>
      </c>
    </row>
    <row r="5" spans="1:14" ht="13.5" thickBot="1" x14ac:dyDescent="0.2">
      <c r="C5" s="45"/>
    </row>
    <row r="6" spans="1:14" ht="13.5" x14ac:dyDescent="0.15">
      <c r="B6" s="56" t="s">
        <v>15</v>
      </c>
      <c r="C6" s="57"/>
      <c r="D6" s="55" t="s">
        <v>16</v>
      </c>
    </row>
    <row r="7" spans="1:14" x14ac:dyDescent="0.15">
      <c r="B7" s="48" t="s">
        <v>17</v>
      </c>
      <c r="C7" s="50" t="s">
        <v>18</v>
      </c>
      <c r="D7" s="53"/>
    </row>
    <row r="8" spans="1:14" x14ac:dyDescent="0.15">
      <c r="B8" s="47">
        <v>0</v>
      </c>
      <c r="C8" s="51">
        <v>60000</v>
      </c>
      <c r="D8" s="54">
        <v>0.03</v>
      </c>
    </row>
    <row r="9" spans="1:14" x14ac:dyDescent="0.15">
      <c r="B9" s="47">
        <f>C8+1</f>
        <v>60001</v>
      </c>
      <c r="C9" s="51">
        <v>90000</v>
      </c>
      <c r="D9" s="54">
        <v>0.04</v>
      </c>
    </row>
    <row r="10" spans="1:14" x14ac:dyDescent="0.15">
      <c r="B10" s="47">
        <f t="shared" ref="B10:B19" si="0">C9+1</f>
        <v>90001</v>
      </c>
      <c r="C10" s="51">
        <v>120000</v>
      </c>
      <c r="D10" s="54">
        <v>0.05</v>
      </c>
    </row>
    <row r="11" spans="1:14" x14ac:dyDescent="0.15">
      <c r="B11" s="47">
        <f t="shared" si="0"/>
        <v>120001</v>
      </c>
      <c r="C11" s="51">
        <v>240000</v>
      </c>
      <c r="D11" s="54">
        <v>5.3999999999999999E-2</v>
      </c>
    </row>
    <row r="12" spans="1:14" x14ac:dyDescent="0.15">
      <c r="B12" s="47">
        <f t="shared" si="0"/>
        <v>240001</v>
      </c>
      <c r="C12" s="51">
        <v>360000</v>
      </c>
      <c r="D12" s="54">
        <v>5.8000000000000003E-2</v>
      </c>
    </row>
    <row r="13" spans="1:14" x14ac:dyDescent="0.15">
      <c r="B13" s="47">
        <f t="shared" si="0"/>
        <v>360001</v>
      </c>
      <c r="C13" s="51">
        <v>480000</v>
      </c>
      <c r="D13" s="54">
        <v>6.2E-2</v>
      </c>
    </row>
    <row r="14" spans="1:14" x14ac:dyDescent="0.15">
      <c r="B14" s="47">
        <f t="shared" si="0"/>
        <v>480001</v>
      </c>
      <c r="C14" s="51">
        <v>600000</v>
      </c>
      <c r="D14" s="54">
        <v>6.6000000000000003E-2</v>
      </c>
    </row>
    <row r="15" spans="1:14" x14ac:dyDescent="0.15">
      <c r="B15" s="47">
        <f t="shared" si="0"/>
        <v>600001</v>
      </c>
      <c r="C15" s="51">
        <v>720000</v>
      </c>
      <c r="D15" s="54">
        <v>7.0000000000000007E-2</v>
      </c>
    </row>
    <row r="16" spans="1:14" x14ac:dyDescent="0.15">
      <c r="B16" s="47">
        <f t="shared" si="0"/>
        <v>720001</v>
      </c>
      <c r="C16" s="51">
        <v>840000</v>
      </c>
      <c r="D16" s="54">
        <v>7.3999999999999996E-2</v>
      </c>
    </row>
    <row r="17" spans="2:4" x14ac:dyDescent="0.15">
      <c r="B17" s="47">
        <f t="shared" si="0"/>
        <v>840001</v>
      </c>
      <c r="C17" s="51">
        <v>960000</v>
      </c>
      <c r="D17" s="54">
        <v>7.8E-2</v>
      </c>
    </row>
    <row r="18" spans="2:4" x14ac:dyDescent="0.15">
      <c r="B18" s="47">
        <f t="shared" si="0"/>
        <v>960001</v>
      </c>
      <c r="C18" s="51">
        <v>1080000</v>
      </c>
      <c r="D18" s="54">
        <v>8.2000000000000003E-2</v>
      </c>
    </row>
    <row r="19" spans="2:4" x14ac:dyDescent="0.15">
      <c r="B19" s="47">
        <f t="shared" si="0"/>
        <v>1080001</v>
      </c>
      <c r="C19" s="51">
        <v>1200000</v>
      </c>
      <c r="D19" s="54">
        <v>8.5999999999999993E-2</v>
      </c>
    </row>
    <row r="20" spans="2:4" x14ac:dyDescent="0.15">
      <c r="B20" s="47">
        <f>C19+1</f>
        <v>1200001</v>
      </c>
      <c r="C20" s="51">
        <v>1320000</v>
      </c>
      <c r="D20" s="54">
        <v>0.09</v>
      </c>
    </row>
    <row r="21" spans="2:4" x14ac:dyDescent="0.15">
      <c r="B21" s="47">
        <f>C20+1</f>
        <v>1320001</v>
      </c>
      <c r="C21" s="51">
        <v>1440000</v>
      </c>
      <c r="D21" s="167">
        <v>9.4E-2</v>
      </c>
    </row>
    <row r="22" spans="2:4" x14ac:dyDescent="0.15">
      <c r="B22" s="47">
        <f>C21+1</f>
        <v>1440001</v>
      </c>
      <c r="C22" s="51">
        <v>1560000</v>
      </c>
      <c r="D22" s="167">
        <v>9.8000000000000004E-2</v>
      </c>
    </row>
    <row r="23" spans="2:4" x14ac:dyDescent="0.15">
      <c r="B23" s="47">
        <f t="shared" ref="B23:B30" si="1">C22+1</f>
        <v>1560001</v>
      </c>
      <c r="C23" s="51">
        <v>1680000</v>
      </c>
      <c r="D23" s="167">
        <v>0.10199999999999999</v>
      </c>
    </row>
    <row r="24" spans="2:4" x14ac:dyDescent="0.15">
      <c r="B24" s="47">
        <f t="shared" si="1"/>
        <v>1680001</v>
      </c>
      <c r="C24" s="51">
        <v>1800000</v>
      </c>
      <c r="D24" s="167">
        <v>0.106</v>
      </c>
    </row>
    <row r="25" spans="2:4" x14ac:dyDescent="0.15">
      <c r="B25" s="47">
        <f t="shared" si="1"/>
        <v>1800001</v>
      </c>
      <c r="C25" s="51">
        <v>1920000</v>
      </c>
      <c r="D25" s="167">
        <v>0.11</v>
      </c>
    </row>
    <row r="26" spans="2:4" x14ac:dyDescent="0.15">
      <c r="B26" s="47">
        <f t="shared" si="1"/>
        <v>1920001</v>
      </c>
      <c r="C26" s="51">
        <v>2040000</v>
      </c>
      <c r="D26" s="167">
        <v>0.114</v>
      </c>
    </row>
    <row r="27" spans="2:4" x14ac:dyDescent="0.15">
      <c r="B27" s="47">
        <f t="shared" si="1"/>
        <v>2040001</v>
      </c>
      <c r="C27" s="51">
        <v>2160000</v>
      </c>
      <c r="D27" s="167">
        <v>0.11799999999999999</v>
      </c>
    </row>
    <row r="28" spans="2:4" x14ac:dyDescent="0.15">
      <c r="B28" s="47">
        <f t="shared" si="1"/>
        <v>2160001</v>
      </c>
      <c r="C28" s="51">
        <v>2280000</v>
      </c>
      <c r="D28" s="167">
        <v>0.122</v>
      </c>
    </row>
    <row r="29" spans="2:4" x14ac:dyDescent="0.15">
      <c r="B29" s="47">
        <f t="shared" si="1"/>
        <v>2280001</v>
      </c>
      <c r="C29" s="51">
        <v>2400000</v>
      </c>
      <c r="D29" s="167">
        <v>0.126</v>
      </c>
    </row>
    <row r="30" spans="2:4" ht="13.5" thickBot="1" x14ac:dyDescent="0.2">
      <c r="B30" s="49">
        <f t="shared" si="1"/>
        <v>2400001</v>
      </c>
      <c r="C30" s="52">
        <v>5000000</v>
      </c>
      <c r="D30" s="168">
        <v>0.152</v>
      </c>
    </row>
    <row r="31" spans="2:4" x14ac:dyDescent="0.15">
      <c r="C31"/>
    </row>
    <row r="32" spans="2:4" x14ac:dyDescent="0.15">
      <c r="C32"/>
    </row>
    <row r="33" spans="3:3" x14ac:dyDescent="0.15">
      <c r="C33"/>
    </row>
    <row r="34" spans="3:3" x14ac:dyDescent="0.15">
      <c r="C34"/>
    </row>
    <row r="35" spans="3:3" x14ac:dyDescent="0.15">
      <c r="C35"/>
    </row>
    <row r="36" spans="3:3" x14ac:dyDescent="0.15">
      <c r="C36"/>
    </row>
    <row r="37" spans="3:3" x14ac:dyDescent="0.15">
      <c r="C37"/>
    </row>
    <row r="38" spans="3:3" x14ac:dyDescent="0.15">
      <c r="C38"/>
    </row>
    <row r="39" spans="3:3" x14ac:dyDescent="0.15">
      <c r="C39"/>
    </row>
    <row r="40" spans="3:3" x14ac:dyDescent="0.15">
      <c r="C40"/>
    </row>
    <row r="41" spans="3:3" x14ac:dyDescent="0.15">
      <c r="C41"/>
    </row>
    <row r="42" spans="3:3" x14ac:dyDescent="0.15">
      <c r="C42"/>
    </row>
    <row r="43" spans="3:3" x14ac:dyDescent="0.15">
      <c r="C43"/>
    </row>
    <row r="44" spans="3:3" x14ac:dyDescent="0.15">
      <c r="C44"/>
    </row>
    <row r="45" spans="3:3" x14ac:dyDescent="0.15">
      <c r="C45"/>
    </row>
    <row r="46" spans="3:3" x14ac:dyDescent="0.15">
      <c r="C46"/>
    </row>
    <row r="47" spans="3:3" x14ac:dyDescent="0.15">
      <c r="C47"/>
    </row>
    <row r="48" spans="3:3" x14ac:dyDescent="0.15">
      <c r="C48"/>
    </row>
    <row r="49" spans="3:3" x14ac:dyDescent="0.15">
      <c r="C49"/>
    </row>
    <row r="50" spans="3:3" x14ac:dyDescent="0.15">
      <c r="C50"/>
    </row>
    <row r="51" spans="3:3" x14ac:dyDescent="0.15">
      <c r="C51"/>
    </row>
    <row r="52" spans="3:3" x14ac:dyDescent="0.15">
      <c r="C52"/>
    </row>
    <row r="53" spans="3:3" x14ac:dyDescent="0.15">
      <c r="C53"/>
    </row>
    <row r="54" spans="3:3" x14ac:dyDescent="0.15">
      <c r="C54"/>
    </row>
    <row r="55" spans="3:3" x14ac:dyDescent="0.15">
      <c r="C55"/>
    </row>
    <row r="56" spans="3:3" x14ac:dyDescent="0.15">
      <c r="C56"/>
    </row>
    <row r="57" spans="3:3" x14ac:dyDescent="0.15">
      <c r="C57"/>
    </row>
    <row r="58" spans="3:3" x14ac:dyDescent="0.15">
      <c r="C58"/>
    </row>
    <row r="59" spans="3:3" x14ac:dyDescent="0.15">
      <c r="C59"/>
    </row>
    <row r="60" spans="3:3" x14ac:dyDescent="0.15">
      <c r="C60"/>
    </row>
    <row r="61" spans="3:3" x14ac:dyDescent="0.15">
      <c r="C61"/>
    </row>
    <row r="62" spans="3:3" x14ac:dyDescent="0.15">
      <c r="C62"/>
    </row>
    <row r="63" spans="3:3" x14ac:dyDescent="0.15">
      <c r="C63"/>
    </row>
    <row r="64" spans="3:3" x14ac:dyDescent="0.15">
      <c r="C64"/>
    </row>
    <row r="65" spans="3:3" x14ac:dyDescent="0.15">
      <c r="C65"/>
    </row>
    <row r="66" spans="3:3" x14ac:dyDescent="0.15">
      <c r="C66"/>
    </row>
  </sheetData>
  <phoneticPr fontId="0" type="noConversion"/>
  <conditionalFormatting sqref="C7:C30 D7:D20">
    <cfRule type="cellIs" dxfId="0" priority="1" stopIfTrue="1" operator="lessThan">
      <formula>0</formula>
    </cfRule>
  </conditionalFormatting>
  <pageMargins left="0.75" right="0.75" top="1" bottom="1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Problema</vt:lpstr>
      <vt:lpstr>Solução</vt:lpstr>
      <vt:lpstr>SIMPLES</vt:lpstr>
      <vt:lpstr>Solução!Area_de_impressao</vt:lpstr>
    </vt:vector>
  </TitlesOfParts>
  <Company>Cavalcante Consultores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Como fazr uma simulação tributária</dc:title>
  <dc:subject>Simulação Tributária</dc:subject>
  <dc:creator>Afonso Tobias</dc:creator>
  <cp:keywords/>
  <dc:description/>
  <cp:lastModifiedBy>X</cp:lastModifiedBy>
  <cp:lastPrinted>2007-01-17T19:16:27Z</cp:lastPrinted>
  <dcterms:created xsi:type="dcterms:W3CDTF">2006-12-20T12:07:04Z</dcterms:created>
  <dcterms:modified xsi:type="dcterms:W3CDTF">2018-04-18T21:00:58Z</dcterms:modified>
</cp:coreProperties>
</file>