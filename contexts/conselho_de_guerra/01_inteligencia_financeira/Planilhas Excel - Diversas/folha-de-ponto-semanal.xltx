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\\10.20.1.30\Phases6\PubMed\Accounts\Microsoft\OfficeUA_FY14_Template\O16_template\20170906_Accessibility_FY18_Q1_B10\04_PreDTP_Done\pt-BR\"/>
    </mc:Choice>
  </mc:AlternateContent>
  <bookViews>
    <workbookView xWindow="0" yWindow="0" windowWidth="25125" windowHeight="13845" tabRatio="478"/>
  </bookViews>
  <sheets>
    <sheet name="Folha de ponto" sheetId="1" r:id="rId1"/>
  </sheets>
  <definedNames>
    <definedName name="RegiãoDeTítuloDaLinha1..C5">'Folha de ponto'!$B$3</definedName>
    <definedName name="RegiãoDeTítuloDaLinha2..G4">'Folha de ponto'!$F$3</definedName>
    <definedName name="RegiãoDeTítuloDaLinha3..H15">'Folha de ponto'!$C$15</definedName>
    <definedName name="RegiãoDeTítuloDaLinha4..G16">'Folha de ponto'!$C$16</definedName>
    <definedName name="RegiãoDeTítuloDaLinha5..H17">'Folha de ponto'!$C$17</definedName>
    <definedName name="Título1">FolhaDePonto[[#Headers],[Dia]]</definedName>
    <definedName name="_xlnm.Print_Titles" localSheetId="0">'Folha de ponto'!$7:$7</definedName>
  </definedNames>
  <calcPr calcId="162913"/>
</workbook>
</file>

<file path=xl/calcChain.xml><?xml version="1.0" encoding="utf-8"?>
<calcChain xmlns="http://schemas.openxmlformats.org/spreadsheetml/2006/main">
  <c r="D17" i="1" l="1"/>
  <c r="F17" i="1"/>
  <c r="H8" i="1" l="1"/>
  <c r="C5" i="1" l="1"/>
  <c r="C8" i="1" s="1"/>
  <c r="B8" i="1" s="1"/>
  <c r="C14" i="1" l="1"/>
  <c r="B14" i="1" s="1"/>
  <c r="C9" i="1" l="1"/>
  <c r="B9" i="1" s="1"/>
  <c r="C10" i="1"/>
  <c r="B10" i="1" s="1"/>
  <c r="C11" i="1"/>
  <c r="B11" i="1" s="1"/>
  <c r="C12" i="1"/>
  <c r="B12" i="1" s="1"/>
  <c r="C13" i="1"/>
  <c r="B13" i="1" s="1"/>
  <c r="G15" i="1" l="1"/>
  <c r="G17" i="1" s="1"/>
  <c r="F15" i="1"/>
  <c r="E15" i="1"/>
  <c r="E17" i="1" s="1"/>
  <c r="D15" i="1"/>
  <c r="H12" i="1"/>
  <c r="H11" i="1"/>
  <c r="H10" i="1"/>
  <c r="H9" i="1"/>
  <c r="H14" i="1"/>
  <c r="H13" i="1"/>
  <c r="H15" i="1" l="1"/>
  <c r="H17" i="1"/>
</calcChain>
</file>

<file path=xl/sharedStrings.xml><?xml version="1.0" encoding="utf-8"?>
<sst xmlns="http://schemas.openxmlformats.org/spreadsheetml/2006/main" count="21" uniqueCount="19">
  <si>
    <t>Folha de ponto</t>
  </si>
  <si>
    <t>Nome da empresa</t>
  </si>
  <si>
    <t>Funcionário:</t>
  </si>
  <si>
    <t>Gerente:</t>
  </si>
  <si>
    <t>Semana terminando em:</t>
  </si>
  <si>
    <t>Dia</t>
  </si>
  <si>
    <t>Data</t>
  </si>
  <si>
    <t>Total de horas</t>
  </si>
  <si>
    <t>Taxa por hora</t>
  </si>
  <si>
    <t>Pagamento total</t>
  </si>
  <si>
    <t>Horas normais</t>
  </si>
  <si>
    <t>Assinatura do funcionário</t>
  </si>
  <si>
    <t>Assinatura do gerente</t>
  </si>
  <si>
    <t>Horas extras</t>
  </si>
  <si>
    <t>Telefone do funcionário:</t>
  </si>
  <si>
    <t>Email do funcionário:</t>
  </si>
  <si>
    <t>Licença médica</t>
  </si>
  <si>
    <t>Férias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</si>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</sst>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_);_(* \(#,##0\);_(* &quot;-&quot;_);_(@_)"/>
    <numFmt numFmtId="166" formatCode="[&lt;=9999999]###\-####;\(###\)\ ###\-####"/>
    <numFmt numFmtId="167" formatCode="&quot;R$&quot;\ #,##0"/>
    <numFmt numFmtId="168" formatCode="&quot;R$&quot;\ #,##0.00"/>
  </numFmts>
  <fonts count="7" x14ac:knownFonts="1">
    <font>
      <sz val="1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name val="Century Gothic"/>
      <family val="2"/>
      <scheme val="minor"/>
    </font>
    <font>
      <b/>
      <sz val="22"/>
      <color theme="1" tint="0.24994659260841701"/>
      <name val="Century Gothic"/>
      <family val="2"/>
      <scheme val="minor"/>
    </font>
    <font>
      <b/>
      <sz val="11"/>
      <name val="Century Gothic"/>
      <family val="2"/>
      <scheme val="minor"/>
    </font>
    <font>
      <sz val="11"/>
      <name val="Century Gothic"/>
      <family val="2"/>
      <scheme val="major"/>
    </font>
    <font>
      <b/>
      <sz val="22"/>
      <color theme="1" tint="0.24994659260841701"/>
      <name val="Century Gothic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9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</borders>
  <cellStyleXfs count="19">
    <xf numFmtId="0" fontId="0" fillId="0" borderId="0" applyFill="0" applyBorder="0">
      <alignment horizontal="left" vertical="center" wrapText="1" indent="1"/>
    </xf>
    <xf numFmtId="168" fontId="2" fillId="0" borderId="0" applyFill="0" applyBorder="0" applyProtection="0">
      <alignment horizontal="right" vertical="center" indent="1"/>
    </xf>
    <xf numFmtId="2" fontId="2" fillId="0" borderId="0" applyFont="0" applyFill="0" applyBorder="0" applyProtection="0">
      <alignment horizontal="right" vertical="center" indent="1"/>
    </xf>
    <xf numFmtId="164" fontId="2" fillId="0" borderId="0" applyFont="0" applyFill="0" applyBorder="0" applyAlignment="0" applyProtection="0"/>
    <xf numFmtId="167" fontId="2" fillId="2" borderId="1" applyProtection="0">
      <alignment horizontal="right" vertical="center" indent="1"/>
    </xf>
    <xf numFmtId="9" fontId="2" fillId="0" borderId="0" applyFon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" fillId="0" borderId="0" applyNumberFormat="0" applyFill="0" applyBorder="0" applyProtection="0">
      <alignment horizontal="left" vertical="center"/>
    </xf>
    <xf numFmtId="0" fontId="4" fillId="4" borderId="1" applyNumberFormat="0" applyProtection="0">
      <alignment horizontal="left" vertical="center" indent="1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Protection="0">
      <alignment horizontal="right" indent="1"/>
    </xf>
    <xf numFmtId="2" fontId="4" fillId="2" borderId="1" applyProtection="0">
      <alignment horizontal="right" vertical="center" indent="1"/>
    </xf>
    <xf numFmtId="0" fontId="1" fillId="3" borderId="1" applyNumberFormat="0" applyAlignment="0" applyProtection="0"/>
    <xf numFmtId="14" fontId="2" fillId="2" borderId="0" applyFont="0" applyFill="0" applyBorder="0" applyAlignment="0">
      <alignment horizontal="left" vertical="center" indent="1"/>
    </xf>
    <xf numFmtId="166" fontId="2" fillId="0" borderId="0" applyFont="0" applyFill="0" applyBorder="0" applyAlignment="0"/>
    <xf numFmtId="0" fontId="5" fillId="0" borderId="0" applyNumberFormat="0" applyFill="0" applyBorder="0" applyProtection="0">
      <alignment horizontal="left" wrapText="1"/>
    </xf>
    <xf numFmtId="0" fontId="2" fillId="0" borderId="0" applyNumberFormat="0" applyFill="0" applyBorder="0" applyProtection="0">
      <alignment horizontal="left" wrapText="1"/>
    </xf>
    <xf numFmtId="0" fontId="2" fillId="0" borderId="2" applyNumberFormat="0" applyFont="0" applyFill="0" applyProtection="0">
      <alignment horizontal="left" wrapText="1"/>
    </xf>
    <xf numFmtId="0" fontId="2" fillId="0" borderId="0" applyNumberFormat="0" applyFill="0" applyBorder="0" applyProtection="0">
      <alignment vertical="center"/>
    </xf>
  </cellStyleXfs>
  <cellXfs count="23">
    <xf numFmtId="0" fontId="0" fillId="0" borderId="0" xfId="0">
      <alignment horizontal="left" vertical="center" wrapText="1" indent="1"/>
    </xf>
    <xf numFmtId="0" fontId="3" fillId="0" borderId="0" xfId="7" applyAlignment="1">
      <alignment vertical="center"/>
    </xf>
    <xf numFmtId="0" fontId="0" fillId="0" borderId="0" xfId="0" applyFont="1" applyFill="1" applyBorder="1" applyAlignment="1">
      <alignment horizontal="left" vertical="center" indent="1"/>
    </xf>
    <xf numFmtId="167" fontId="2" fillId="2" borderId="1" xfId="4">
      <alignment horizontal="right" vertical="center" indent="1"/>
    </xf>
    <xf numFmtId="0" fontId="2" fillId="0" borderId="0" xfId="9">
      <alignment horizontal="left"/>
    </xf>
    <xf numFmtId="0" fontId="2" fillId="0" borderId="0" xfId="10">
      <alignment horizontal="right" indent="1"/>
    </xf>
    <xf numFmtId="0" fontId="0" fillId="0" borderId="0" xfId="0">
      <alignment horizontal="left" vertical="center" wrapText="1" indent="1"/>
    </xf>
    <xf numFmtId="14" fontId="0" fillId="0" borderId="0" xfId="13" applyFont="1" applyFill="1" applyBorder="1" applyAlignment="1">
      <alignment horizontal="right" vertical="center" indent="1"/>
    </xf>
    <xf numFmtId="0" fontId="0" fillId="0" borderId="0" xfId="0" applyFont="1" applyFill="1" applyBorder="1">
      <alignment horizontal="left" vertical="center" wrapText="1" indent="1"/>
    </xf>
    <xf numFmtId="0" fontId="0" fillId="2" borderId="1" xfId="0" applyFill="1" applyBorder="1">
      <alignment horizontal="left" vertical="center" wrapText="1" indent="1"/>
    </xf>
    <xf numFmtId="2" fontId="0" fillId="0" borderId="0" xfId="2" applyFont="1" applyFill="1" applyBorder="1">
      <alignment horizontal="right" vertical="center" indent="1"/>
    </xf>
    <xf numFmtId="2" fontId="4" fillId="2" borderId="1" xfId="2" applyFont="1" applyFill="1" applyBorder="1">
      <alignment horizontal="right" vertical="center" indent="1"/>
    </xf>
    <xf numFmtId="0" fontId="2" fillId="0" borderId="0" xfId="18">
      <alignment vertical="center"/>
    </xf>
    <xf numFmtId="14" fontId="2" fillId="0" borderId="2" xfId="13" applyFill="1" applyBorder="1" applyAlignment="1">
      <alignment horizontal="left" wrapText="1"/>
    </xf>
    <xf numFmtId="0" fontId="4" fillId="4" borderId="1" xfId="8">
      <alignment horizontal="left" vertical="center" indent="1"/>
    </xf>
    <xf numFmtId="168" fontId="2" fillId="5" borderId="1" xfId="1" applyNumberFormat="1" applyFill="1" applyBorder="1">
      <alignment horizontal="right" vertical="center" indent="1"/>
    </xf>
    <xf numFmtId="0" fontId="2" fillId="0" borderId="0" xfId="18">
      <alignment vertical="center"/>
    </xf>
    <xf numFmtId="14" fontId="2" fillId="0" borderId="2" xfId="13" applyFill="1" applyBorder="1" applyAlignment="1">
      <alignment horizontal="left" wrapText="1"/>
    </xf>
    <xf numFmtId="0" fontId="6" fillId="0" borderId="0" xfId="6">
      <alignment horizontal="right"/>
    </xf>
    <xf numFmtId="0" fontId="2" fillId="0" borderId="2" xfId="17">
      <alignment horizontal="left" wrapText="1"/>
    </xf>
    <xf numFmtId="166" fontId="0" fillId="0" borderId="2" xfId="14" applyFont="1" applyBorder="1" applyAlignment="1">
      <alignment horizontal="left" wrapText="1"/>
    </xf>
    <xf numFmtId="0" fontId="5" fillId="0" borderId="2" xfId="15" applyBorder="1">
      <alignment horizontal="left" wrapText="1"/>
    </xf>
    <xf numFmtId="0" fontId="0" fillId="0" borderId="2" xfId="17" applyFont="1">
      <alignment horizontal="left" wrapText="1"/>
    </xf>
  </cellXfs>
  <cellStyles count="19">
    <cellStyle name="20% - Ênfase1" xfId="12" builtinId="30" customBuiltin="1"/>
    <cellStyle name="Data" xfId="13"/>
    <cellStyle name="Entrada" xfId="17" builtinId="20" customBuiltin="1"/>
    <cellStyle name="Hiperlink" xfId="15" builtinId="8" customBuiltin="1"/>
    <cellStyle name="Hiperlink Visitado" xfId="16" builtinId="9" customBuiltin="1"/>
    <cellStyle name="Moeda" xfId="1" builtinId="4" customBuiltin="1"/>
    <cellStyle name="Moeda [0]" xfId="4" builtinId="7" customBuiltin="1"/>
    <cellStyle name="Normal" xfId="0" builtinId="0" customBuiltin="1"/>
    <cellStyle name="Porcentagem" xfId="5" builtinId="5" customBuiltin="1"/>
    <cellStyle name="Separador de milhares [0]" xfId="3" builtinId="6" customBuiltin="1"/>
    <cellStyle name="Telefone" xfId="14"/>
    <cellStyle name="Texto Explicativo" xfId="18" builtinId="53" customBuiltin="1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11" builtinId="25" customBuiltin="1"/>
    <cellStyle name="Vírgula" xfId="2" builtinId="3" customBuiltin="1"/>
  </cellStyles>
  <dxfs count="5">
    <dxf>
      <numFmt numFmtId="0" formatCode="General"/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Folha de ponto semanal" defaultPivotStyle="PivotStyleLight16">
    <tableStyle name="Folha de ponto semanal" pivot="0" count="4">
      <tableStyleElement type="wholeTable" dxfId="4"/>
      <tableStyleElement type="headerRow" dxfId="3"/>
      <tableStyleElement type="firstColumn" dxfId="2"/>
      <tableStyleElement type="lastColumn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FolhaDePonto" displayName="FolhaDePonto" ref="B7:H14" totalsRowShown="0">
  <autoFilter ref="B7:H1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Dia" dataDxfId="0">
      <calculatedColumnFormula>IFERROR(TEXT(FolhaDePonto[[#This Row],[Data]],"dddd"), "")</calculatedColumnFormula>
    </tableColumn>
    <tableColumn id="2" name="Data"/>
    <tableColumn id="3" name="Horas normais"/>
    <tableColumn id="4" name="Horas extras"/>
    <tableColumn id="5" name="Licença médica"/>
    <tableColumn id="6" name="Férias"/>
    <tableColumn id="7" name="Total">
      <calculatedColumnFormula>IFERROR(SUM(D8:G8), "")</calculatedColumnFormula>
    </tableColumn>
  </tableColumns>
  <tableStyleInfo name="Folha de ponto semanal" showFirstColumn="1" showLastColumn="1" showRowStripes="0" showColumnStripes="0"/>
  <extLst>
    <ext xmlns:x14="http://schemas.microsoft.com/office/spreadsheetml/2009/9/main" uri="{504A1905-F514-4f6f-8877-14C23A59335A}">
      <x14:table altTextSummary="Insira as horas normais, extras, de licença médica e de férias para cada dia da semana nas colunas C e D desta tabela. Total de horas e Pagamento total são calculados automaticamente no fim da tabela Folha de Ponto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  <pageSetUpPr fitToPage="1"/>
  </sheetPr>
  <dimension ref="B1:H21"/>
  <sheetViews>
    <sheetView showGridLines="0" showZeros="0" tabSelected="1" zoomScaleNormal="100" workbookViewId="0"/>
  </sheetViews>
  <sheetFormatPr defaultRowHeight="30" customHeight="1" x14ac:dyDescent="0.3"/>
  <cols>
    <col min="1" max="1" width="2.625" style="6" customWidth="1"/>
    <col min="2" max="2" width="24.625" style="6" customWidth="1"/>
    <col min="3" max="7" width="18.125" style="6" customWidth="1"/>
    <col min="8" max="8" width="18.625" style="6" customWidth="1"/>
    <col min="9" max="9" width="2.625" style="6" customWidth="1"/>
    <col min="10" max="16384" width="9" style="6"/>
  </cols>
  <sheetData>
    <row r="1" spans="2:8" ht="55.5" customHeight="1" x14ac:dyDescent="0.4">
      <c r="B1" s="18" t="s">
        <v>0</v>
      </c>
      <c r="C1" s="18"/>
      <c r="D1" s="18"/>
      <c r="E1" s="18"/>
      <c r="F1" s="18"/>
      <c r="G1" s="18"/>
      <c r="H1" s="18"/>
    </row>
    <row r="2" spans="2:8" ht="42.75" customHeight="1" x14ac:dyDescent="0.3">
      <c r="B2" s="1" t="s">
        <v>1</v>
      </c>
    </row>
    <row r="3" spans="2:8" ht="30" customHeight="1" x14ac:dyDescent="0.3">
      <c r="B3" s="4" t="s">
        <v>2</v>
      </c>
      <c r="C3" s="22"/>
      <c r="D3" s="22"/>
      <c r="F3" s="5" t="s">
        <v>14</v>
      </c>
      <c r="G3" s="20"/>
      <c r="H3" s="20"/>
    </row>
    <row r="4" spans="2:8" ht="30" customHeight="1" x14ac:dyDescent="0.3">
      <c r="B4" s="4" t="s">
        <v>3</v>
      </c>
      <c r="C4" s="22"/>
      <c r="D4" s="22"/>
      <c r="F4" s="5" t="s">
        <v>15</v>
      </c>
      <c r="G4" s="21"/>
      <c r="H4" s="22"/>
    </row>
    <row r="5" spans="2:8" ht="45" customHeight="1" x14ac:dyDescent="0.3">
      <c r="B5" s="4" t="s">
        <v>4</v>
      </c>
      <c r="C5" s="17">
        <f ca="1">TODAY()</f>
        <v>42990</v>
      </c>
      <c r="D5" s="17"/>
    </row>
    <row r="6" spans="2:8" ht="35.1" customHeight="1" x14ac:dyDescent="0.3"/>
    <row r="7" spans="2:8" ht="30" customHeight="1" x14ac:dyDescent="0.3">
      <c r="B7" s="2" t="s">
        <v>5</v>
      </c>
      <c r="C7" s="2" t="s">
        <v>6</v>
      </c>
      <c r="D7" s="8" t="s">
        <v>10</v>
      </c>
      <c r="E7" s="8" t="s">
        <v>13</v>
      </c>
      <c r="F7" s="8" t="s">
        <v>16</v>
      </c>
      <c r="G7" s="8" t="s">
        <v>17</v>
      </c>
      <c r="H7" s="8" t="s">
        <v>18</v>
      </c>
    </row>
    <row r="8" spans="2:8" ht="30" customHeight="1" x14ac:dyDescent="0.3">
      <c r="B8" s="8" t="str">
        <f ca="1">IFERROR(TEXT(FolhaDePonto[[#This Row],[Data]],"dddd"), "")</f>
        <v>quarta-feira</v>
      </c>
      <c r="C8" s="7">
        <f ca="1">IFERROR(IF($C$5=0,"",$C$5-6), "")</f>
        <v>42984</v>
      </c>
      <c r="D8" s="10"/>
      <c r="E8" s="10"/>
      <c r="F8" s="10"/>
      <c r="G8" s="10"/>
      <c r="H8" s="10">
        <f>IFERROR(SUM(D8:G8), "")</f>
        <v>0</v>
      </c>
    </row>
    <row r="9" spans="2:8" ht="30" customHeight="1" x14ac:dyDescent="0.3">
      <c r="B9" s="8" t="str">
        <f ca="1">IFERROR(TEXT(FolhaDePonto[[#This Row],[Data]],"dddd"), "")</f>
        <v>quinta-feira</v>
      </c>
      <c r="C9" s="7">
        <f ca="1">IFERROR(IF($C$5=0,"",$C$5-5), "")</f>
        <v>42985</v>
      </c>
      <c r="D9" s="10"/>
      <c r="E9" s="10"/>
      <c r="F9" s="10"/>
      <c r="G9" s="10"/>
      <c r="H9" s="10">
        <f>IFERROR(SUM(D9:G9), "")</f>
        <v>0</v>
      </c>
    </row>
    <row r="10" spans="2:8" ht="30" customHeight="1" x14ac:dyDescent="0.3">
      <c r="B10" s="8" t="str">
        <f ca="1">IFERROR(TEXT(FolhaDePonto[[#This Row],[Data]],"dddd"), "")</f>
        <v>sexta-feira</v>
      </c>
      <c r="C10" s="7">
        <f ca="1">IFERROR(IF($C$5=0,"",$C$5-4), "")</f>
        <v>42986</v>
      </c>
      <c r="D10" s="10"/>
      <c r="E10" s="10"/>
      <c r="F10" s="10"/>
      <c r="G10" s="10"/>
      <c r="H10" s="10">
        <f>IFERROR(SUM(D10:G10), "")</f>
        <v>0</v>
      </c>
    </row>
    <row r="11" spans="2:8" ht="30" customHeight="1" x14ac:dyDescent="0.3">
      <c r="B11" s="8" t="str">
        <f ca="1">IFERROR(TEXT(FolhaDePonto[[#This Row],[Data]],"dddd"), "")</f>
        <v>sábado</v>
      </c>
      <c r="C11" s="7">
        <f ca="1">IFERROR(IF($C$5=0,"",$C$5-3), "")</f>
        <v>42987</v>
      </c>
      <c r="D11" s="10"/>
      <c r="E11" s="10"/>
      <c r="F11" s="10"/>
      <c r="G11" s="10"/>
      <c r="H11" s="10">
        <f>IFERROR(SUM(D11:G11), "")</f>
        <v>0</v>
      </c>
    </row>
    <row r="12" spans="2:8" ht="30" customHeight="1" x14ac:dyDescent="0.3">
      <c r="B12" s="8" t="str">
        <f ca="1">IFERROR(TEXT(FolhaDePonto[[#This Row],[Data]],"dddd"), "")</f>
        <v>domingo</v>
      </c>
      <c r="C12" s="7">
        <f ca="1">IFERROR(IF($C$5=0,"",$C$5-2), "")</f>
        <v>42988</v>
      </c>
      <c r="D12" s="10"/>
      <c r="E12" s="10"/>
      <c r="F12" s="10"/>
      <c r="G12" s="10"/>
      <c r="H12" s="10">
        <f>IFERROR(SUM(D12:G12), "")</f>
        <v>0</v>
      </c>
    </row>
    <row r="13" spans="2:8" ht="30" customHeight="1" x14ac:dyDescent="0.3">
      <c r="B13" s="8" t="str">
        <f ca="1">IFERROR(TEXT(FolhaDePonto[[#This Row],[Data]],"dddd"), "")</f>
        <v>segunda-feira</v>
      </c>
      <c r="C13" s="7">
        <f ca="1">IFERROR(IF($C$5=0,"",$C$5-1), "")</f>
        <v>42989</v>
      </c>
      <c r="D13" s="10"/>
      <c r="E13" s="10"/>
      <c r="F13" s="10"/>
      <c r="G13" s="10"/>
      <c r="H13" s="10">
        <f t="shared" ref="H13:H14" si="0">IFERROR(SUM(D13:G13), "")</f>
        <v>0</v>
      </c>
    </row>
    <row r="14" spans="2:8" ht="30" customHeight="1" x14ac:dyDescent="0.3">
      <c r="B14" s="8" t="str">
        <f ca="1">IFERROR(TEXT(FolhaDePonto[[#This Row],[Data]],"dddd"), "")</f>
        <v>terça-feira</v>
      </c>
      <c r="C14" s="7">
        <f ca="1">IFERROR(IF($C$5=0,"",$C$5), "")</f>
        <v>42990</v>
      </c>
      <c r="D14" s="10"/>
      <c r="E14" s="10"/>
      <c r="F14" s="10"/>
      <c r="G14" s="10"/>
      <c r="H14" s="10">
        <f t="shared" si="0"/>
        <v>0</v>
      </c>
    </row>
    <row r="15" spans="2:8" ht="30" customHeight="1" x14ac:dyDescent="0.3">
      <c r="C15" s="14" t="s">
        <v>7</v>
      </c>
      <c r="D15" s="11">
        <f>IFERROR(SUM(D8:D14), "")</f>
        <v>0</v>
      </c>
      <c r="E15" s="11">
        <f>IFERROR(SUM(E8:E14), "")</f>
        <v>0</v>
      </c>
      <c r="F15" s="11">
        <f>IFERROR(SUM(F8:F14), "")</f>
        <v>0</v>
      </c>
      <c r="G15" s="11">
        <f>IFERROR(SUM(G8:G14), "")</f>
        <v>0</v>
      </c>
      <c r="H15" s="11">
        <f>IFERROR(SUM(H8:H14), "")</f>
        <v>0</v>
      </c>
    </row>
    <row r="16" spans="2:8" ht="30" customHeight="1" x14ac:dyDescent="0.3">
      <c r="C16" s="14" t="s">
        <v>8</v>
      </c>
      <c r="D16" s="15"/>
      <c r="E16" s="15"/>
      <c r="F16" s="15"/>
      <c r="G16" s="15"/>
      <c r="H16" s="9"/>
    </row>
    <row r="17" spans="3:8" ht="30" customHeight="1" x14ac:dyDescent="0.3">
      <c r="C17" s="14" t="s">
        <v>9</v>
      </c>
      <c r="D17" s="3">
        <f>IFERROR(D15*D16, "")</f>
        <v>0</v>
      </c>
      <c r="E17" s="3">
        <f>IFERROR(E15*E16, "")</f>
        <v>0</v>
      </c>
      <c r="F17" s="3">
        <f>IFERROR(F15*F16, "")</f>
        <v>0</v>
      </c>
      <c r="G17" s="3">
        <f>IFERROR(G15*G16, "")</f>
        <v>0</v>
      </c>
      <c r="H17" s="3">
        <f>IFERROR(SUM(D17:G17), "")</f>
        <v>0</v>
      </c>
    </row>
    <row r="18" spans="3:8" ht="30" customHeight="1" x14ac:dyDescent="0.3">
      <c r="D18" s="19"/>
      <c r="E18" s="19"/>
      <c r="F18" s="19"/>
      <c r="G18" s="19"/>
      <c r="H18" s="13"/>
    </row>
    <row r="19" spans="3:8" ht="30" customHeight="1" x14ac:dyDescent="0.3">
      <c r="D19" s="16" t="s">
        <v>11</v>
      </c>
      <c r="E19" s="16"/>
      <c r="F19" s="16"/>
      <c r="G19" s="16"/>
      <c r="H19" s="12" t="s">
        <v>6</v>
      </c>
    </row>
    <row r="20" spans="3:8" ht="30" customHeight="1" x14ac:dyDescent="0.3">
      <c r="D20" s="19"/>
      <c r="E20" s="19"/>
      <c r="F20" s="19"/>
      <c r="G20" s="19"/>
      <c r="H20" s="13"/>
    </row>
    <row r="21" spans="3:8" ht="30" customHeight="1" x14ac:dyDescent="0.3">
      <c r="D21" s="16" t="s">
        <v>12</v>
      </c>
      <c r="E21" s="16"/>
      <c r="F21" s="16"/>
      <c r="G21" s="16"/>
      <c r="H21" s="12" t="s">
        <v>6</v>
      </c>
    </row>
  </sheetData>
  <mergeCells count="10">
    <mergeCell ref="D21:G21"/>
    <mergeCell ref="C5:D5"/>
    <mergeCell ref="B1:H1"/>
    <mergeCell ref="D18:G18"/>
    <mergeCell ref="D20:G20"/>
    <mergeCell ref="G3:H3"/>
    <mergeCell ref="G4:H4"/>
    <mergeCell ref="C3:D3"/>
    <mergeCell ref="C4:D4"/>
    <mergeCell ref="D19:G19"/>
  </mergeCells>
  <phoneticPr fontId="0" type="noConversion"/>
  <dataValidations count="26">
    <dataValidation allowBlank="1" showInputMessage="1" showErrorMessage="1" prompt="Crie uma folha de ponto semanal nesta planilha. Total de horas e Pagamento total são calculados automaticamente no fim da tabela Folha de ponto" sqref="A1"/>
    <dataValidation allowBlank="1" showInputMessage="1" showErrorMessage="1" prompt="O título desta planilha está nesta célula." sqref="B1:H1"/>
    <dataValidation allowBlank="1" showInputMessage="1" showErrorMessage="1" prompt="Insira o nome da empresa nesta célula. Insira detalhes do funcionário nas células abaixo e a data de término da semana na célula C5" sqref="B2"/>
    <dataValidation allowBlank="1" showInputMessage="1" showErrorMessage="1" prompt="Insira o nome do funcionário na célula à direita." sqref="B3"/>
    <dataValidation allowBlank="1" showInputMessage="1" showErrorMessage="1" prompt="Insira o nome do gerente na célula à direita." sqref="B4"/>
    <dataValidation allowBlank="1" showInputMessage="1" showErrorMessage="1" prompt="Insira o nome do gerente nesta célula." sqref="C4:D4"/>
    <dataValidation allowBlank="1" showInputMessage="1" showErrorMessage="1" prompt="Insira o nome do funcionário nesta célula." sqref="C3:D3"/>
    <dataValidation allowBlank="1" showInputMessage="1" showErrorMessage="1" prompt="Insira o endereço de email do funcionário nesta célula." sqref="G4:H4"/>
    <dataValidation allowBlank="1" showInputMessage="1" showErrorMessage="1" prompt="Insira o número de telefone do funcionário na célula à direita." sqref="F3"/>
    <dataValidation allowBlank="1" showInputMessage="1" showErrorMessage="1" prompt="Insira o número de telefone do funcionário nesta célula." sqref="G3:H3"/>
    <dataValidation allowBlank="1" showInputMessage="1" showErrorMessage="1" prompt="Insira o endereço de email do funcionário na célula à direita." sqref="F4"/>
    <dataValidation allowBlank="1" showInputMessage="1" showErrorMessage="1" prompt="Insira as horas normais nesta coluna sob este título." sqref="D7"/>
    <dataValidation allowBlank="1" showInputMessage="1" showErrorMessage="1" prompt="A data é atualizada automaticamente nesta coluna sob este título com base na Data de término da semana na célula C5" sqref="C7"/>
    <dataValidation allowBlank="1" showInputMessage="1" showErrorMessage="1" prompt="Insira as Horas extras nesta coluna sob este título." sqref="E7"/>
    <dataValidation allowBlank="1" showInputMessage="1" showErrorMessage="1" prompt="Insira as horas de licença médica nesta coluna sob este título." sqref="F7"/>
    <dataValidation allowBlank="1" showInputMessage="1" showErrorMessage="1" prompt="Insira as horas de férias nesta coluna sob este título." sqref="G7"/>
    <dataValidation allowBlank="1" showInputMessage="1" showErrorMessage="1" prompt="O total de horas para cada dia da semana é automaticamente calculado nesta coluna sob este título." sqref="H7"/>
    <dataValidation allowBlank="1" showInputMessage="1" showErrorMessage="1" prompt="O total de horas para o período inteiro é calculado automaticamente nas células à direita." sqref="C15"/>
    <dataValidation allowBlank="1" showInputMessage="1" showErrorMessage="1" prompt="Insira a taxa por hora nas células à direita." sqref="C16"/>
    <dataValidation allowBlank="1" showInputMessage="1" showErrorMessage="1" prompt="O pagamento total é calculado automaticamente nas células à direita." sqref="C17"/>
    <dataValidation allowBlank="1" showInputMessage="1" showErrorMessage="1" prompt="Insira a assinatura do funcionário nesta célula." sqref="D18:G18"/>
    <dataValidation allowBlank="1" showInputMessage="1" showErrorMessage="1" prompt="Insira a assinatura do gerente nesta célula." sqref="D20:G20"/>
    <dataValidation allowBlank="1" showInputMessage="1" showErrorMessage="1" prompt="Insira a data nesta célula." sqref="H18 H20"/>
    <dataValidation allowBlank="1" showInputMessage="1" showErrorMessage="1" prompt="Insira a data de término da semana na célula à direita" sqref="B5"/>
    <dataValidation allowBlank="1" showInputMessage="1" showErrorMessage="1" prompt="Insira a data de término da semana nesta célula" sqref="C5"/>
    <dataValidation allowBlank="1" showInputMessage="1" showErrorMessage="1" prompt="Os dias da semana são automaticamente atualizados nesta coluna sob este título" sqref="B7"/>
  </dataValidations>
  <printOptions horizontalCentered="1"/>
  <pageMargins left="0.74803149606299213" right="0.74803149606299213" top="0.51181102362204722" bottom="0.51181102362204722" header="0.51181102362204722" footer="0.51181102362204722"/>
  <pageSetup paperSize="9" scale="58" fitToHeight="0" orientation="portrait" r:id="rId1"/>
  <headerFooter differentFirst="1">
    <oddFooter>Page &amp;P of &amp;N</oddFooter>
  </headerFooter>
  <ignoredErrors>
    <ignoredError sqref="D15:G15 D17:G17 H9:H14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Folha de ponto</vt:lpstr>
      <vt:lpstr>RegiãoDeTítuloDaLinha1..C5</vt:lpstr>
      <vt:lpstr>RegiãoDeTítuloDaLinha2..G4</vt:lpstr>
      <vt:lpstr>RegiãoDeTítuloDaLinha3..H15</vt:lpstr>
      <vt:lpstr>RegiãoDeTítuloDaLinha4..G16</vt:lpstr>
      <vt:lpstr>RegiãoDeTítuloDaLinha5..H17</vt:lpstr>
      <vt:lpstr>Título1</vt:lpstr>
      <vt:lpstr>'Folha de ponto'!Titulos_de_impressao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2017-03-21T10:38:01Z</dcterms:created>
  <dcterms:modified xsi:type="dcterms:W3CDTF">2017-09-12T07:37:43Z</dcterms:modified>
</cp:coreProperties>
</file>