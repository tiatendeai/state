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4"/>
  <workbookPr filterPrivacy="1"/>
  <xr:revisionPtr revIDLastSave="0" documentId="13_ncr:1_{7948CBF4-0B41-4B9D-9C19-67D99FEB355C}" xr6:coauthVersionLast="44" xr6:coauthVersionMax="44" xr10:uidLastSave="{00000000-0000-0000-0000-000000000000}"/>
  <bookViews>
    <workbookView xWindow="-120" yWindow="-120" windowWidth="28890" windowHeight="16110" xr2:uid="{00000000-000D-0000-FFFF-FFFF00000000}"/>
  </bookViews>
  <sheets>
    <sheet name="Folha de pon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0" i="1" l="1"/>
  <c r="G21" i="1" l="1"/>
  <c r="G23" i="1" s="1"/>
  <c r="F21" i="1"/>
  <c r="F23" i="1" s="1"/>
  <c r="E21" i="1"/>
  <c r="E23" i="1" s="1"/>
  <c r="D21" i="1"/>
  <c r="D23" i="1" s="1"/>
  <c r="H19" i="1"/>
  <c r="H18" i="1"/>
  <c r="H17" i="1"/>
  <c r="H16" i="1"/>
  <c r="H15" i="1"/>
  <c r="H14" i="1"/>
  <c r="H13" i="1"/>
  <c r="C19" i="1"/>
  <c r="C18" i="1"/>
  <c r="C17" i="1"/>
  <c r="C16" i="1"/>
  <c r="C15" i="1"/>
  <c r="C14" i="1"/>
  <c r="C13" i="1"/>
  <c r="H23" i="1" l="1"/>
  <c r="H21" i="1"/>
</calcChain>
</file>

<file path=xl/sharedStrings.xml><?xml version="1.0" encoding="utf-8"?>
<sst xmlns="http://schemas.openxmlformats.org/spreadsheetml/2006/main" count="37" uniqueCount="33">
  <si>
    <t>Nome do Funcionário</t>
  </si>
  <si>
    <t>Insira o Nome do Funcionário</t>
  </si>
  <si>
    <t>Endereço do Funcionário e Detalhes do Contato</t>
  </si>
  <si>
    <t>Insira o Endereço</t>
  </si>
  <si>
    <t>Insira Cidade, Estado, CEP</t>
  </si>
  <si>
    <t>Término da Semana:</t>
  </si>
  <si>
    <t>Dia</t>
  </si>
  <si>
    <t>Segunda</t>
  </si>
  <si>
    <t>Terça-feira</t>
  </si>
  <si>
    <t>Quarta</t>
  </si>
  <si>
    <t>Quinta-feira</t>
  </si>
  <si>
    <t>Sexta</t>
  </si>
  <si>
    <t>Sábado</t>
  </si>
  <si>
    <t>Domingo</t>
  </si>
  <si>
    <t>Total de Horas</t>
  </si>
  <si>
    <t>Taxa por Hora</t>
  </si>
  <si>
    <t>Total a Pagar</t>
  </si>
  <si>
    <t>Assinatura do Funcionário</t>
  </si>
  <si>
    <t>Horas Normais 
Horas</t>
  </si>
  <si>
    <t>Insira a Taxa</t>
  </si>
  <si>
    <t>Data</t>
  </si>
  <si>
    <t>Horas Extras</t>
  </si>
  <si>
    <t>Gerente</t>
  </si>
  <si>
    <t>Insira o Nome do Gerente</t>
  </si>
  <si>
    <t>Telefone:</t>
  </si>
  <si>
    <t>Email:</t>
  </si>
  <si>
    <t>Licença Médica</t>
  </si>
  <si>
    <t>Assinatura do Gerente</t>
  </si>
  <si>
    <t>Insira o Número de Telefone</t>
  </si>
  <si>
    <t xml:space="preserve">Insira Endereço de Email </t>
  </si>
  <si>
    <t>Férias</t>
  </si>
  <si>
    <t>Total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</si>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</sst>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$&quot;\ * #,##0_-;\-&quot;R$&quot;\ * #,##0_-;_-&quot;R$&quot;\ * &quot;-&quot;_-;_-@_-"/>
    <numFmt numFmtId="44" formatCode="_-&quot;R$&quot;\ * #,##0.00_-;\-&quot;R$&quot;\ * #,##0.00_-;_-&quot;R$&quot;\ * &quot;-&quot;??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  <numFmt numFmtId="167" formatCode="d/m;@"/>
    <numFmt numFmtId="168" formatCode="&quot;R$&quot;\ #,##0.00"/>
  </numFmts>
  <fonts count="24" x14ac:knownFonts="1">
    <font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1"/>
      <color theme="1" tint="0.14999847407452621"/>
      <name val="Franklin Gothic Book"/>
      <family val="2"/>
      <scheme val="minor"/>
    </font>
    <font>
      <sz val="12"/>
      <color theme="1" tint="0.14999847407452621"/>
      <name val="Constantia"/>
      <family val="1"/>
      <scheme val="major"/>
    </font>
    <font>
      <sz val="12"/>
      <color theme="5"/>
      <name val="Constantia"/>
      <family val="1"/>
      <scheme val="major"/>
    </font>
    <font>
      <b/>
      <sz val="12"/>
      <color theme="1" tint="0.14999847407452621"/>
      <name val="Franklin Gothic Book"/>
      <family val="2"/>
      <scheme val="minor"/>
    </font>
    <font>
      <sz val="11"/>
      <color theme="5"/>
      <name val="Constantia"/>
      <family val="1"/>
      <scheme val="major"/>
    </font>
    <font>
      <b/>
      <sz val="11"/>
      <color theme="1" tint="0.1499984740745262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8"/>
      <color theme="3"/>
      <name val="Constanti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1">
    <border>
      <left/>
      <right/>
      <top/>
      <bottom/>
      <diagonal/>
    </border>
    <border>
      <left/>
      <right/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/>
      </left>
      <right style="thin">
        <color theme="3" tint="0.79998168889431442"/>
      </right>
      <top style="thin">
        <color theme="3" tint="0.79998168889431442"/>
      </top>
      <bottom style="thin">
        <color theme="3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/>
      </bottom>
      <diagonal/>
    </border>
    <border>
      <left style="thin">
        <color theme="3"/>
      </left>
      <right style="thin">
        <color theme="3" tint="0.79998168889431442"/>
      </right>
      <top style="thin">
        <color theme="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/>
      </right>
      <top style="thin">
        <color theme="3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 tint="0.79998168889431442"/>
      </left>
      <right/>
      <top style="thin">
        <color theme="3"/>
      </top>
      <bottom style="thin">
        <color theme="3" tint="0.79998168889431442"/>
      </bottom>
      <diagonal/>
    </border>
    <border>
      <left style="thin">
        <color theme="3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theme="3"/>
      </right>
      <top style="thin">
        <color theme="3" tint="0.79998168889431442"/>
      </top>
      <bottom/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22" applyNumberFormat="0" applyFill="0" applyAlignment="0" applyProtection="0"/>
    <xf numFmtId="0" fontId="11" fillId="0" borderId="23" applyNumberFormat="0" applyFill="0" applyAlignment="0" applyProtection="0"/>
    <xf numFmtId="0" fontId="12" fillId="0" borderId="24" applyNumberFormat="0" applyFill="0" applyAlignment="0" applyProtection="0"/>
    <xf numFmtId="0" fontId="12" fillId="0" borderId="0" applyNumberFormat="0" applyFill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8" borderId="25" applyNumberFormat="0" applyAlignment="0" applyProtection="0"/>
    <xf numFmtId="0" fontId="17" fillId="9" borderId="26" applyNumberFormat="0" applyAlignment="0" applyProtection="0"/>
    <xf numFmtId="0" fontId="18" fillId="9" borderId="25" applyNumberFormat="0" applyAlignment="0" applyProtection="0"/>
    <xf numFmtId="0" fontId="19" fillId="0" borderId="27" applyNumberFormat="0" applyFill="0" applyAlignment="0" applyProtection="0"/>
    <xf numFmtId="0" fontId="20" fillId="10" borderId="28" applyNumberFormat="0" applyAlignment="0" applyProtection="0"/>
    <xf numFmtId="0" fontId="21" fillId="0" borderId="0" applyNumberFormat="0" applyFill="0" applyBorder="0" applyAlignment="0" applyProtection="0"/>
    <xf numFmtId="0" fontId="8" fillId="11" borderId="29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30" applyNumberFormat="0" applyFill="0" applyAlignment="0" applyProtection="0"/>
    <xf numFmtId="0" fontId="1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1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1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1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1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1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</cellStyleXfs>
  <cellXfs count="6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 indent="2"/>
    </xf>
    <xf numFmtId="0" fontId="2" fillId="0" borderId="0" xfId="0" applyFont="1" applyAlignment="1">
      <alignment horizontal="left" vertical="center" indent="2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11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2" fontId="2" fillId="0" borderId="12" xfId="0" applyNumberFormat="1" applyFont="1" applyBorder="1" applyAlignment="1">
      <alignment horizontal="center" vertical="center"/>
    </xf>
    <xf numFmtId="2" fontId="2" fillId="0" borderId="12" xfId="0" applyNumberFormat="1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2" fontId="2" fillId="2" borderId="14" xfId="0" applyNumberFormat="1" applyFont="1" applyFill="1" applyBorder="1" applyAlignment="1">
      <alignment horizontal="center" vertical="center"/>
    </xf>
    <xf numFmtId="2" fontId="2" fillId="2" borderId="15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right" vertical="center" indent="1"/>
    </xf>
    <xf numFmtId="2" fontId="2" fillId="0" borderId="6" xfId="0" applyNumberFormat="1" applyFont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0" fontId="2" fillId="4" borderId="17" xfId="0" applyNumberFormat="1" applyFont="1" applyFill="1" applyBorder="1" applyAlignment="1">
      <alignment horizontal="center" vertical="center" wrapText="1"/>
    </xf>
    <xf numFmtId="10" fontId="2" fillId="4" borderId="18" xfId="0" applyNumberFormat="1" applyFont="1" applyFill="1" applyBorder="1" applyAlignment="1">
      <alignment horizontal="center" vertical="center"/>
    </xf>
    <xf numFmtId="10" fontId="2" fillId="4" borderId="19" xfId="0" applyNumberFormat="1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4" borderId="12" xfId="0" applyNumberFormat="1" applyFont="1" applyFill="1" applyBorder="1" applyAlignment="1">
      <alignment horizontal="center" vertical="center"/>
    </xf>
    <xf numFmtId="167" fontId="2" fillId="0" borderId="12" xfId="0" applyNumberFormat="1" applyFont="1" applyFill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8" fontId="2" fillId="2" borderId="20" xfId="0" applyNumberFormat="1" applyFont="1" applyFill="1" applyBorder="1" applyAlignment="1">
      <alignment horizontal="center" vertical="center"/>
    </xf>
    <xf numFmtId="168" fontId="2" fillId="2" borderId="21" xfId="0" applyNumberFormat="1" applyFont="1" applyFill="1" applyBorder="1" applyAlignment="1">
      <alignment horizontal="center" vertical="center"/>
    </xf>
    <xf numFmtId="168" fontId="7" fillId="2" borderId="15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47">
    <cellStyle name="20% - Ênfase1" xfId="24" builtinId="30" customBuiltin="1"/>
    <cellStyle name="20% - Ênfase2" xfId="28" builtinId="34" customBuiltin="1"/>
    <cellStyle name="20% - Ênfase3" xfId="32" builtinId="38" customBuiltin="1"/>
    <cellStyle name="20% - Ênfase4" xfId="36" builtinId="42" customBuiltin="1"/>
    <cellStyle name="20% - Ênfase5" xfId="40" builtinId="46" customBuiltin="1"/>
    <cellStyle name="20% - Ênfase6" xfId="44" builtinId="50" customBuiltin="1"/>
    <cellStyle name="40% - Ênfase1" xfId="25" builtinId="31" customBuiltin="1"/>
    <cellStyle name="40% - Ênfase2" xfId="29" builtinId="35" customBuiltin="1"/>
    <cellStyle name="40% - Ênfase3" xfId="33" builtinId="39" customBuiltin="1"/>
    <cellStyle name="40% - Ênfase4" xfId="37" builtinId="43" customBuiltin="1"/>
    <cellStyle name="40% - Ênfase5" xfId="41" builtinId="47" customBuiltin="1"/>
    <cellStyle name="40% - Ênfase6" xfId="45" builtinId="51" customBuiltin="1"/>
    <cellStyle name="60% - Ênfase1" xfId="26" builtinId="32" customBuiltin="1"/>
    <cellStyle name="60% - Ênfase2" xfId="30" builtinId="36" customBuiltin="1"/>
    <cellStyle name="60% - Ênfase3" xfId="34" builtinId="40" customBuiltin="1"/>
    <cellStyle name="60% - Ênfase4" xfId="38" builtinId="44" customBuiltin="1"/>
    <cellStyle name="60% - Ênfase5" xfId="42" builtinId="48" customBuiltin="1"/>
    <cellStyle name="60% - Ênfase6" xfId="46" builtinId="52" customBuiltin="1"/>
    <cellStyle name="Bom" xfId="11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7" builtinId="33" customBuiltin="1"/>
    <cellStyle name="Ênfase3" xfId="31" builtinId="37" customBuiltin="1"/>
    <cellStyle name="Ênfase4" xfId="35" builtinId="41" customBuiltin="1"/>
    <cellStyle name="Ênfase5" xfId="39" builtinId="45" customBuiltin="1"/>
    <cellStyle name="Ênfase6" xfId="43" builtinId="49" customBuiltin="1"/>
    <cellStyle name="Entrada" xfId="14" builtinId="20" customBuiltin="1"/>
    <cellStyle name="Moeda" xfId="3" builtinId="4" customBuiltin="1"/>
    <cellStyle name="Moeda [0]" xfId="4" builtinId="7" customBuiltin="1"/>
    <cellStyle name="Neutro" xfId="13" builtinId="28" customBuiltin="1"/>
    <cellStyle name="Normal" xfId="0" builtinId="0" customBuiltin="1"/>
    <cellStyle name="Nota" xfId="20" builtinId="10" customBuiltin="1"/>
    <cellStyle name="Porcentagem" xfId="5" builtinId="5" customBuiltin="1"/>
    <cellStyle name="Ruim" xfId="12" builtinId="27" customBuiltin="1"/>
    <cellStyle name="Saída" xfId="15" builtinId="21" customBuiltin="1"/>
    <cellStyle name="Separador de milhares [0]" xfId="2" builtinId="6" customBuiltin="1"/>
    <cellStyle name="Texto de Aviso" xfId="19" builtinId="11" customBuiltin="1"/>
    <cellStyle name="Texto Explicativo" xfId="21" builtinId="53" customBuiltin="1"/>
    <cellStyle name="Título" xfId="6" builtinId="15" customBuiltin="1"/>
    <cellStyle name="Título 1" xfId="7" builtinId="16" customBuiltin="1"/>
    <cellStyle name="Título 2" xfId="8" builtinId="17" customBuiltin="1"/>
    <cellStyle name="Título 3" xfId="9" builtinId="18" customBuiltin="1"/>
    <cellStyle name="Título 4" xfId="10" builtinId="19" customBuiltin="1"/>
    <cellStyle name="Total" xfId="22" builtinId="25" customBuiltin="1"/>
    <cellStyle name="Vírgula" xfId="1" builtinId="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154936</xdr:rowOff>
    </xdr:from>
    <xdr:to>
      <xdr:col>8</xdr:col>
      <xdr:colOff>0</xdr:colOff>
      <xdr:row>1</xdr:row>
      <xdr:rowOff>0</xdr:rowOff>
    </xdr:to>
    <xdr:pic>
      <xdr:nvPicPr>
        <xdr:cNvPr id="2" name="Imagem 1" descr="Ilustração abstrata das luzes" title="Faix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" y="154936"/>
          <a:ext cx="7200900" cy="1169039"/>
        </a:xfrm>
        <a:prstGeom prst="rect">
          <a:avLst/>
        </a:prstGeom>
      </xdr:spPr>
    </xdr:pic>
    <xdr:clientData/>
  </xdr:twoCellAnchor>
  <xdr:twoCellAnchor>
    <xdr:from>
      <xdr:col>5</xdr:col>
      <xdr:colOff>209550</xdr:colOff>
      <xdr:row>0</xdr:row>
      <xdr:rowOff>288286</xdr:rowOff>
    </xdr:from>
    <xdr:to>
      <xdr:col>7</xdr:col>
      <xdr:colOff>876300</xdr:colOff>
      <xdr:row>0</xdr:row>
      <xdr:rowOff>755011</xdr:rowOff>
    </xdr:to>
    <xdr:sp macro="" textlink="">
      <xdr:nvSpPr>
        <xdr:cNvPr id="3" name="Caixa de 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179570" y="288286"/>
          <a:ext cx="24955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r" rtl="0"/>
          <a:r>
            <a:rPr lang="pt-br" sz="1800">
              <a:solidFill>
                <a:schemeClr val="tx2">
                  <a:lumMod val="20000"/>
                  <a:lumOff val="80000"/>
                </a:schemeClr>
              </a:solidFill>
              <a:latin typeface="Constantia" panose="02030602050306030303" pitchFamily="18" charset="0"/>
            </a:rPr>
            <a:t>Nome da Empresa</a:t>
          </a:r>
        </a:p>
      </xdr:txBody>
    </xdr:sp>
    <xdr:clientData/>
  </xdr:twoCellAnchor>
  <xdr:twoCellAnchor>
    <xdr:from>
      <xdr:col>5</xdr:col>
      <xdr:colOff>257175</xdr:colOff>
      <xdr:row>0</xdr:row>
      <xdr:rowOff>697861</xdr:rowOff>
    </xdr:from>
    <xdr:to>
      <xdr:col>7</xdr:col>
      <xdr:colOff>876300</xdr:colOff>
      <xdr:row>0</xdr:row>
      <xdr:rowOff>1164586</xdr:rowOff>
    </xdr:to>
    <xdr:sp macro="" textlink="">
      <xdr:nvSpPr>
        <xdr:cNvPr id="8" name="Caixa de 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305300" y="697861"/>
          <a:ext cx="2486025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0"/>
          <a:r>
            <a:rPr lang="pt-br" sz="1800">
              <a:solidFill>
                <a:schemeClr val="bg1"/>
              </a:solidFill>
              <a:latin typeface="Franklin Gothic Book" panose="020B0503020102020204" pitchFamily="34" charset="0"/>
            </a:rPr>
            <a:t>Folha de ponto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Business Templates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28"/>
  <sheetViews>
    <sheetView showGridLines="0" tabSelected="1" zoomScaleNormal="100" workbookViewId="0"/>
  </sheetViews>
  <sheetFormatPr defaultColWidth="8.88671875" defaultRowHeight="21" customHeight="1" x14ac:dyDescent="0.3"/>
  <cols>
    <col min="1" max="1" width="1.77734375" style="7" customWidth="1"/>
    <col min="2" max="2" width="18" style="6" customWidth="1"/>
    <col min="3" max="3" width="10.88671875" style="6" customWidth="1"/>
    <col min="4" max="4" width="11.5546875" style="6" bestFit="1" customWidth="1"/>
    <col min="5" max="8" width="10.88671875" style="6" customWidth="1"/>
    <col min="9" max="9" width="1.77734375" style="7" customWidth="1"/>
    <col min="10" max="16384" width="8.88671875" style="7"/>
  </cols>
  <sheetData>
    <row r="1" spans="2:9" s="2" customFormat="1" ht="104.25" customHeight="1" x14ac:dyDescent="0.3">
      <c r="B1" s="1"/>
      <c r="C1" s="1"/>
      <c r="D1" s="1"/>
      <c r="E1" s="1"/>
      <c r="F1" s="1"/>
      <c r="G1" s="1"/>
      <c r="H1" s="1"/>
      <c r="I1" s="2" t="s">
        <v>32</v>
      </c>
    </row>
    <row r="2" spans="2:9" ht="24" customHeight="1" x14ac:dyDescent="0.3"/>
    <row r="3" spans="2:9" s="4" customFormat="1" ht="24" customHeight="1" x14ac:dyDescent="0.3">
      <c r="B3" s="10" t="s">
        <v>0</v>
      </c>
      <c r="C3" s="11"/>
      <c r="D3" s="11"/>
      <c r="E3" s="3"/>
      <c r="F3" s="10" t="s">
        <v>22</v>
      </c>
      <c r="G3" s="11"/>
      <c r="H3" s="11"/>
    </row>
    <row r="4" spans="2:9" ht="24" customHeight="1" x14ac:dyDescent="0.3">
      <c r="B4" s="8" t="s">
        <v>1</v>
      </c>
      <c r="F4" s="8" t="s">
        <v>23</v>
      </c>
    </row>
    <row r="5" spans="2:9" ht="24" customHeight="1" x14ac:dyDescent="0.3">
      <c r="B5" s="5"/>
    </row>
    <row r="6" spans="2:9" s="15" customFormat="1" ht="24" customHeight="1" x14ac:dyDescent="0.3">
      <c r="B6" s="10" t="s">
        <v>2</v>
      </c>
      <c r="C6" s="26"/>
      <c r="D6" s="26"/>
      <c r="E6" s="26"/>
      <c r="F6" s="26"/>
      <c r="G6" s="26"/>
      <c r="H6" s="26"/>
    </row>
    <row r="7" spans="2:9" ht="24" customHeight="1" x14ac:dyDescent="0.3">
      <c r="B7" s="8" t="s">
        <v>3</v>
      </c>
      <c r="F7" s="35" t="s">
        <v>24</v>
      </c>
      <c r="G7" s="48" t="s">
        <v>28</v>
      </c>
    </row>
    <row r="8" spans="2:9" ht="24" customHeight="1" x14ac:dyDescent="0.3">
      <c r="B8" s="8" t="s">
        <v>4</v>
      </c>
      <c r="F8" s="35" t="s">
        <v>25</v>
      </c>
      <c r="G8" s="5" t="s">
        <v>29</v>
      </c>
    </row>
    <row r="9" spans="2:9" ht="24" customHeight="1" x14ac:dyDescent="0.3">
      <c r="B9" s="5"/>
      <c r="E9" s="5"/>
    </row>
    <row r="10" spans="2:9" ht="24" customHeight="1" x14ac:dyDescent="0.3">
      <c r="B10" s="16" t="s">
        <v>5</v>
      </c>
      <c r="C10" s="59">
        <f ca="1">TODAY()-WEEKDAY(TODAY(),1)</f>
        <v>43673</v>
      </c>
      <c r="D10" s="59"/>
    </row>
    <row r="11" spans="2:9" ht="9" customHeight="1" x14ac:dyDescent="0.3"/>
    <row r="12" spans="2:9" s="9" customFormat="1" ht="36" customHeight="1" x14ac:dyDescent="0.3">
      <c r="B12" s="57" t="s">
        <v>6</v>
      </c>
      <c r="C12" s="58"/>
      <c r="D12" s="18" t="s">
        <v>18</v>
      </c>
      <c r="E12" s="18" t="s">
        <v>21</v>
      </c>
      <c r="F12" s="18" t="s">
        <v>26</v>
      </c>
      <c r="G12" s="18" t="s">
        <v>30</v>
      </c>
      <c r="H12" s="19" t="s">
        <v>31</v>
      </c>
    </row>
    <row r="13" spans="2:9" ht="24" customHeight="1" x14ac:dyDescent="0.3">
      <c r="B13" s="20" t="s">
        <v>7</v>
      </c>
      <c r="C13" s="50">
        <f ca="1">IF($C$10=0,"",$C$10-6)</f>
        <v>43667</v>
      </c>
      <c r="D13" s="36"/>
      <c r="E13" s="17"/>
      <c r="F13" s="17"/>
      <c r="G13" s="30"/>
      <c r="H13" s="33">
        <f>SUM(D13:G13)</f>
        <v>0</v>
      </c>
    </row>
    <row r="14" spans="2:9" ht="24" customHeight="1" x14ac:dyDescent="0.3">
      <c r="B14" s="40" t="s">
        <v>8</v>
      </c>
      <c r="C14" s="51">
        <f ca="1">IF($C$10=0,"",$C$10-5)</f>
        <v>43668</v>
      </c>
      <c r="D14" s="41"/>
      <c r="E14" s="42"/>
      <c r="F14" s="42"/>
      <c r="G14" s="43"/>
      <c r="H14" s="33">
        <f t="shared" ref="H14:H19" si="0">SUM(D14:G14)</f>
        <v>0</v>
      </c>
    </row>
    <row r="15" spans="2:9" ht="24" customHeight="1" x14ac:dyDescent="0.3">
      <c r="B15" s="28" t="s">
        <v>9</v>
      </c>
      <c r="C15" s="52">
        <f ca="1">IF($C$10=0,"",$C$10-4)</f>
        <v>43669</v>
      </c>
      <c r="D15" s="37"/>
      <c r="E15" s="29"/>
      <c r="F15" s="29"/>
      <c r="G15" s="31"/>
      <c r="H15" s="33">
        <f t="shared" si="0"/>
        <v>0</v>
      </c>
    </row>
    <row r="16" spans="2:9" ht="24" customHeight="1" x14ac:dyDescent="0.3">
      <c r="B16" s="40" t="s">
        <v>10</v>
      </c>
      <c r="C16" s="51">
        <f ca="1">IF($C$10=0,"",$C$10-3)</f>
        <v>43670</v>
      </c>
      <c r="D16" s="41"/>
      <c r="E16" s="42"/>
      <c r="F16" s="42"/>
      <c r="G16" s="43"/>
      <c r="H16" s="33">
        <f t="shared" si="0"/>
        <v>0</v>
      </c>
    </row>
    <row r="17" spans="2:8" ht="24" customHeight="1" x14ac:dyDescent="0.3">
      <c r="B17" s="28" t="s">
        <v>11</v>
      </c>
      <c r="C17" s="52">
        <f ca="1">IF($C$10=0,"",$C$10-2)</f>
        <v>43671</v>
      </c>
      <c r="D17" s="37"/>
      <c r="E17" s="29"/>
      <c r="F17" s="29"/>
      <c r="G17" s="31"/>
      <c r="H17" s="33">
        <f t="shared" si="0"/>
        <v>0</v>
      </c>
    </row>
    <row r="18" spans="2:8" ht="24" customHeight="1" x14ac:dyDescent="0.3">
      <c r="B18" s="40" t="s">
        <v>12</v>
      </c>
      <c r="C18" s="51">
        <f ca="1">IF($C$10=0,"",$C$10-1)</f>
        <v>43672</v>
      </c>
      <c r="D18" s="41"/>
      <c r="E18" s="42"/>
      <c r="F18" s="42"/>
      <c r="G18" s="43"/>
      <c r="H18" s="33">
        <f t="shared" si="0"/>
        <v>0</v>
      </c>
    </row>
    <row r="19" spans="2:8" ht="24" customHeight="1" x14ac:dyDescent="0.3">
      <c r="B19" s="21" t="s">
        <v>13</v>
      </c>
      <c r="C19" s="53">
        <f ca="1">IF($C$10=0,"",$C$10)</f>
        <v>43673</v>
      </c>
      <c r="D19" s="38"/>
      <c r="E19" s="22"/>
      <c r="F19" s="22"/>
      <c r="G19" s="32"/>
      <c r="H19" s="34">
        <f t="shared" si="0"/>
        <v>0</v>
      </c>
    </row>
    <row r="20" spans="2:8" s="25" customFormat="1" ht="24" customHeight="1" x14ac:dyDescent="0.3">
      <c r="B20" s="14"/>
      <c r="C20" s="44"/>
      <c r="D20" s="44"/>
      <c r="E20" s="44"/>
      <c r="F20" s="44"/>
      <c r="G20" s="44"/>
      <c r="H20" s="44"/>
    </row>
    <row r="21" spans="2:8" ht="24" customHeight="1" x14ac:dyDescent="0.3">
      <c r="B21" s="62" t="s">
        <v>14</v>
      </c>
      <c r="C21" s="63"/>
      <c r="D21" s="39">
        <f>SUM(D13:D19)</f>
        <v>0</v>
      </c>
      <c r="E21" s="23">
        <f>SUM(E13:E19)</f>
        <v>0</v>
      </c>
      <c r="F21" s="23">
        <f>SUM(F13:F19)</f>
        <v>0</v>
      </c>
      <c r="G21" s="23">
        <f t="shared" ref="G21:H21" si="1">SUM(G13:G19)</f>
        <v>0</v>
      </c>
      <c r="H21" s="24">
        <f t="shared" si="1"/>
        <v>0</v>
      </c>
    </row>
    <row r="22" spans="2:8" ht="24" customHeight="1" x14ac:dyDescent="0.3">
      <c r="B22" s="64" t="s">
        <v>15</v>
      </c>
      <c r="C22" s="65"/>
      <c r="D22" s="45" t="s">
        <v>19</v>
      </c>
      <c r="E22" s="46" t="s">
        <v>19</v>
      </c>
      <c r="F22" s="46" t="s">
        <v>19</v>
      </c>
      <c r="G22" s="46" t="s">
        <v>19</v>
      </c>
      <c r="H22" s="47"/>
    </row>
    <row r="23" spans="2:8" ht="24" customHeight="1" x14ac:dyDescent="0.3">
      <c r="B23" s="66" t="s">
        <v>16</v>
      </c>
      <c r="C23" s="67"/>
      <c r="D23" s="54" t="str">
        <f>IFERROR(D21*D22,"")</f>
        <v/>
      </c>
      <c r="E23" s="55" t="str">
        <f t="shared" ref="E23:G23" si="2">IFERROR(E21*E22,"")</f>
        <v/>
      </c>
      <c r="F23" s="55" t="str">
        <f t="shared" si="2"/>
        <v/>
      </c>
      <c r="G23" s="55" t="str">
        <f t="shared" si="2"/>
        <v/>
      </c>
      <c r="H23" s="56">
        <f>SUM(D23:G23)</f>
        <v>0</v>
      </c>
    </row>
    <row r="25" spans="2:8" ht="42" customHeight="1" x14ac:dyDescent="0.3">
      <c r="B25" s="27"/>
      <c r="C25" s="27"/>
      <c r="D25" s="49"/>
      <c r="F25" s="27"/>
      <c r="G25" s="27"/>
      <c r="H25" s="49"/>
    </row>
    <row r="26" spans="2:8" ht="21" customHeight="1" x14ac:dyDescent="0.3">
      <c r="B26" s="13" t="s">
        <v>17</v>
      </c>
      <c r="D26" s="12" t="s">
        <v>20</v>
      </c>
      <c r="E26" s="7"/>
      <c r="F26" s="61" t="s">
        <v>27</v>
      </c>
      <c r="G26" s="61"/>
      <c r="H26" s="12" t="s">
        <v>20</v>
      </c>
    </row>
    <row r="27" spans="2:8" ht="15.75" x14ac:dyDescent="0.3">
      <c r="B27" s="8"/>
      <c r="F27" s="60"/>
      <c r="G27" s="60"/>
    </row>
    <row r="28" spans="2:8" ht="21" customHeight="1" x14ac:dyDescent="0.3">
      <c r="D28" s="7"/>
      <c r="E28" s="7"/>
      <c r="G28" s="7"/>
      <c r="H28" s="7"/>
    </row>
  </sheetData>
  <mergeCells count="7">
    <mergeCell ref="B12:C12"/>
    <mergeCell ref="C10:D10"/>
    <mergeCell ref="F27:G27"/>
    <mergeCell ref="F26:G26"/>
    <mergeCell ref="B21:C21"/>
    <mergeCell ref="B22:C22"/>
    <mergeCell ref="B23:C23"/>
  </mergeCells>
  <dataValidations count="6">
    <dataValidation allowBlank="1" showInputMessage="1" showErrorMessage="1" promptTitle="Folha de ponto" prompt="_x000a_Insira o nome da empresa, os detalhes do gerente e dos funcionários._x000a__x000a_Insira o término da semana na célula C10 e insira as horas diárias trabalhadas na tabela._x000a__x000a_Insira as taxas horárias diferentes nas células D22:G22." sqref="A1" xr:uid="{00000000-0002-0000-0000-000000000000}"/>
    <dataValidation allowBlank="1" showInputMessage="1" showErrorMessage="1" prompt="Insira a data de término da semana nesta célula." sqref="C10:D10" xr:uid="{00000000-0002-0000-0000-000001000000}"/>
    <dataValidation allowBlank="1" showInputMessage="1" showErrorMessage="1" prompt="Insira a taxa de pagamento das horas normais." sqref="D22" xr:uid="{00000000-0002-0000-0000-000002000000}"/>
    <dataValidation allowBlank="1" showInputMessage="1" showErrorMessage="1" prompt="Insira a taxa de pagamento das horas extras." sqref="E22" xr:uid="{00000000-0002-0000-0000-000003000000}"/>
    <dataValidation allowBlank="1" showInputMessage="1" showErrorMessage="1" prompt="Insira a taxa de pagamento das horas de licença médica." sqref="F22" xr:uid="{00000000-0002-0000-0000-000004000000}"/>
    <dataValidation allowBlank="1" showInputMessage="1" showErrorMessage="1" prompt="Insira a taxa de pagamento das horas de férias." sqref="G22" xr:uid="{00000000-0002-0000-0000-000005000000}"/>
  </dataValidations>
  <printOptions horizontalCentered="1"/>
  <pageMargins left="0.5" right="0.5" top="0.5" bottom="0.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9677210f24a1be23c92c90fd886aa0aa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60e05723c5c1908df1a1a4ebf11d344e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3289B480-72BE-47EC-A57B-36469408DB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0A252A-7D35-4F6F-A327-27F83B3107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2CA7A82-42E6-45DF-9623-7DC8EEFC88C1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Folha de ponto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2019-06-24T05:55:18Z</dcterms:created>
  <dcterms:modified xsi:type="dcterms:W3CDTF">2019-07-30T13:08:42Z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