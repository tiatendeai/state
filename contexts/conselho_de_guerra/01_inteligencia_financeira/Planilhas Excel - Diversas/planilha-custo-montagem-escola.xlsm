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00000000-0000-0000-0000-000000000000}"/>
  <workbookPr codeName="EstaPasta_de_trabalho" defaultThemeVersion="124226"/>
  <mc:AlternateContent xmlns:mc="http://schemas.openxmlformats.org/markup-compatibility/2006">
    <mc:Choice Requires="x15">
      <x15ac:absPath xmlns:x15ac="http://schemas.microsoft.com/office/spreadsheetml/2010/11/ac" url="D:\Windows\ServiceProfiles\NetworkService\AppData\Local\Packages\oice_16_974fa576_32c1d314_58a\AC\Temp\"/>
    </mc:Choice>
  </mc:AlternateContent>
  <xr:revisionPtr revIDLastSave="0" documentId="8_{0D7B7CEE-5E2B-ED41-A93B-6C27F0B8FE45}" xr6:coauthVersionLast="36" xr6:coauthVersionMax="36" xr10:uidLastSave="{00000000-0000-0000-0000-000000000000}"/>
  <bookViews>
    <workbookView xWindow="32760" yWindow="32760" windowWidth="24000" windowHeight="9510" xr2:uid="{00000000-000D-0000-FFFF-FFFF00000000}"/>
  </bookViews>
  <sheets>
    <sheet name="Evolua Educação" sheetId="6" r:id="rId1"/>
    <sheet name="Montagem" sheetId="1" r:id="rId2"/>
    <sheet name="Projeção Financeira" sheetId="5" r:id="rId3"/>
  </sheets>
  <definedNames>
    <definedName name="_xlnm._FilterDatabase" localSheetId="2" hidden="1">'Projeção Financeira'!$B$34:$H$46</definedName>
  </definedNames>
  <calcPr calcId="179020"/>
</workbook>
</file>

<file path=xl/calcChain.xml><?xml version="1.0" encoding="utf-8"?>
<calcChain xmlns="http://schemas.openxmlformats.org/spreadsheetml/2006/main">
  <c r="C16" i="5" l="1"/>
  <c r="C28" i="5"/>
  <c r="D37" i="5"/>
  <c r="C22" i="1"/>
  <c r="E22" i="1"/>
  <c r="C8" i="1"/>
  <c r="E8" i="1"/>
  <c r="C9" i="1"/>
  <c r="E9" i="1"/>
  <c r="E10" i="1"/>
  <c r="E11" i="1"/>
  <c r="E12" i="1"/>
  <c r="E13" i="1"/>
  <c r="E14" i="1"/>
  <c r="E15" i="1"/>
  <c r="E16" i="1"/>
  <c r="E17" i="1"/>
  <c r="E23" i="1"/>
  <c r="E24" i="1"/>
  <c r="F20" i="5"/>
  <c r="H10" i="5"/>
  <c r="H11" i="5"/>
  <c r="H12" i="5"/>
  <c r="G14" i="5"/>
  <c r="E25" i="1"/>
  <c r="C30" i="1"/>
  <c r="H13" i="5"/>
  <c r="H14" i="5"/>
  <c r="C10" i="5"/>
  <c r="E18" i="1"/>
  <c r="C29" i="1"/>
  <c r="D35" i="5"/>
  <c r="F35" i="5"/>
  <c r="D43" i="5"/>
  <c r="F43" i="5"/>
  <c r="D42" i="5"/>
  <c r="F42" i="5"/>
  <c r="D44" i="5"/>
  <c r="F44" i="5"/>
  <c r="D45" i="5"/>
  <c r="F45" i="5"/>
  <c r="D46" i="5"/>
  <c r="F46" i="5"/>
  <c r="C30" i="5"/>
  <c r="D36" i="5"/>
  <c r="F36" i="5"/>
  <c r="D40" i="5"/>
  <c r="F40" i="5"/>
  <c r="F37" i="5"/>
  <c r="D41" i="5"/>
  <c r="F41" i="5"/>
  <c r="D39" i="5"/>
  <c r="F39" i="5"/>
  <c r="D38" i="5"/>
  <c r="F38" i="5"/>
  <c r="C34" i="1"/>
  <c r="C23" i="5"/>
  <c r="C21" i="5"/>
  <c r="G25" i="5"/>
  <c r="C24" i="5"/>
  <c r="G30" i="5"/>
  <c r="G27" i="5"/>
  <c r="G29" i="5"/>
  <c r="G26" i="5"/>
  <c r="G28" i="5"/>
  <c r="G31" i="5"/>
  <c r="C18" i="5"/>
  <c r="C19" i="5"/>
  <c r="C25" i="5"/>
  <c r="G36" i="5"/>
  <c r="H36" i="5"/>
  <c r="G35" i="5"/>
  <c r="H35" i="5"/>
  <c r="G46" i="5"/>
  <c r="H46" i="5"/>
  <c r="G41" i="5"/>
  <c r="H41" i="5"/>
  <c r="G42" i="5"/>
  <c r="H42" i="5"/>
  <c r="G44" i="5"/>
  <c r="H44" i="5"/>
  <c r="G37" i="5"/>
  <c r="H37" i="5"/>
  <c r="G40" i="5"/>
  <c r="H40" i="5"/>
  <c r="G43" i="5"/>
  <c r="H43" i="5"/>
  <c r="G45" i="5"/>
  <c r="H45" i="5"/>
  <c r="G38" i="5"/>
  <c r="H38" i="5"/>
  <c r="G39" i="5"/>
  <c r="H39"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Bruno Olympio Cruz</author>
  </authors>
  <commentList>
    <comment ref="C4" authorId="0" shapeId="0" xr:uid="{00000000-0006-0000-0100-000001000000}">
      <text>
        <r>
          <rPr>
            <b/>
            <sz val="9"/>
            <color indexed="81"/>
            <rFont val="Segoe UI"/>
            <charset val="1"/>
          </rPr>
          <t>Número de computadores que pretende trabalhar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 Olympio Cruz</author>
    <author>Léo</author>
  </authors>
  <commentList>
    <comment ref="B10" authorId="0" shapeId="0" xr:uid="{00000000-0006-0000-0200-000001000000}">
      <text>
        <r>
          <rPr>
            <b/>
            <sz val="9"/>
            <color indexed="81"/>
            <rFont val="Segoe UI"/>
            <family val="2"/>
          </rPr>
          <t>Soma total de despesas com salários e encargos descritas na tabela "Funcionários"</t>
        </r>
        <r>
          <rPr>
            <sz val="9"/>
            <color indexed="81"/>
            <rFont val="Segoe UI"/>
            <family val="2"/>
          </rPr>
          <t xml:space="preserve">
</t>
        </r>
      </text>
    </comment>
    <comment ref="B11" authorId="0" shapeId="0" xr:uid="{00000000-0006-0000-0200-000002000000}">
      <text>
        <r>
          <rPr>
            <b/>
            <sz val="9"/>
            <color indexed="81"/>
            <rFont val="Segoe UI"/>
            <family val="2"/>
          </rPr>
          <t xml:space="preserve">Soma total de despesas com energia elétrica, descritas na tabela "Energia"
</t>
        </r>
        <r>
          <rPr>
            <sz val="9"/>
            <color indexed="81"/>
            <rFont val="Segoe UI"/>
            <family val="2"/>
          </rPr>
          <t xml:space="preserve">
</t>
        </r>
      </text>
    </comment>
    <comment ref="B18" authorId="0" shapeId="0" xr:uid="{00000000-0006-0000-0200-000003000000}">
      <text>
        <r>
          <rPr>
            <b/>
            <sz val="9"/>
            <color indexed="81"/>
            <rFont val="Segoe UI"/>
            <family val="2"/>
          </rPr>
          <t xml:space="preserve">Soma total de despesas com impostos descritos na tabela "Impostos"
</t>
        </r>
        <r>
          <rPr>
            <sz val="9"/>
            <color indexed="81"/>
            <rFont val="Segoe UI"/>
            <family val="2"/>
          </rPr>
          <t xml:space="preserve">
</t>
        </r>
      </text>
    </comment>
    <comment ref="B21" authorId="0" shapeId="0" xr:uid="{00000000-0006-0000-0200-000004000000}">
      <text>
        <r>
          <rPr>
            <b/>
            <sz val="9"/>
            <color indexed="81"/>
            <rFont val="Segoe UI"/>
            <charset val="1"/>
          </rPr>
          <t>Sugestão para gasto com marketing</t>
        </r>
        <r>
          <rPr>
            <sz val="9"/>
            <color indexed="81"/>
            <rFont val="Segoe UI"/>
            <charset val="1"/>
          </rPr>
          <t xml:space="preserve">
</t>
        </r>
      </text>
    </comment>
    <comment ref="B29" authorId="0" shapeId="0" xr:uid="{00000000-0006-0000-0200-000005000000}">
      <text>
        <r>
          <rPr>
            <b/>
            <sz val="9"/>
            <color indexed="81"/>
            <rFont val="Segoe UI"/>
            <charset val="1"/>
          </rPr>
          <t>Valor da mensalidade cobrado do aluno</t>
        </r>
        <r>
          <rPr>
            <sz val="9"/>
            <color indexed="81"/>
            <rFont val="Segoe UI"/>
            <charset val="1"/>
          </rPr>
          <t xml:space="preserve">
</t>
        </r>
      </text>
    </comment>
    <comment ref="E29" authorId="1" shapeId="0" xr:uid="{00000000-0006-0000-0200-000006000000}">
      <text>
        <r>
          <rPr>
            <b/>
            <sz val="8"/>
            <color indexed="81"/>
            <rFont val="Tahoma"/>
            <family val="2"/>
          </rPr>
          <t>calcula 32% sobre o valor e multiplica por 9%
Ex. R$ 100,00 x 32% = R$ 32,00 x 9 % =R$ 2,88</t>
        </r>
      </text>
    </comment>
  </commentList>
</comments>
</file>

<file path=xl/sharedStrings.xml><?xml version="1.0" encoding="utf-8"?>
<sst xmlns="http://schemas.openxmlformats.org/spreadsheetml/2006/main" count="128" uniqueCount="108">
  <si>
    <t>PLANILHA DE CUSTO - MONTAGEM</t>
  </si>
  <si>
    <t>DESCRIÇÃO</t>
  </si>
  <si>
    <t>Exemplo:</t>
  </si>
  <si>
    <t>Projeção financeira</t>
  </si>
  <si>
    <t>Liquido</t>
  </si>
  <si>
    <t>Mensalidade</t>
  </si>
  <si>
    <t>SALARIOS</t>
  </si>
  <si>
    <t>CARGOS</t>
  </si>
  <si>
    <t>QUANTIDADE</t>
  </si>
  <si>
    <t>TOTAL</t>
  </si>
  <si>
    <t>SUBTOTAL</t>
  </si>
  <si>
    <t>SubTotal</t>
  </si>
  <si>
    <t>Quantidade Alunos</t>
  </si>
  <si>
    <t>Capacidade</t>
  </si>
  <si>
    <t>Descrição</t>
  </si>
  <si>
    <t>VALOR</t>
  </si>
  <si>
    <t>Valor Kwh</t>
  </si>
  <si>
    <t>Consumo Kwh</t>
  </si>
  <si>
    <t xml:space="preserve">ICMS </t>
  </si>
  <si>
    <t>Diversos</t>
  </si>
  <si>
    <t>DIVERSOS</t>
  </si>
  <si>
    <t>RECEITA</t>
  </si>
  <si>
    <t>UNITARIO</t>
  </si>
  <si>
    <t>Sofa longarina</t>
  </si>
  <si>
    <t>Manutenção</t>
  </si>
  <si>
    <t>Nº alunos</t>
  </si>
  <si>
    <t>1º mês</t>
  </si>
  <si>
    <t>2º mês</t>
  </si>
  <si>
    <t>3º mês</t>
  </si>
  <si>
    <t>4º mês</t>
  </si>
  <si>
    <t>5º mês</t>
  </si>
  <si>
    <t>6º mês</t>
  </si>
  <si>
    <t>Móveis e Utensílios</t>
  </si>
  <si>
    <t>Cadeira</t>
  </si>
  <si>
    <t>Armário secretaria</t>
  </si>
  <si>
    <t>Armário Sala de Aula</t>
  </si>
  <si>
    <t>Bebedouro agua galao</t>
  </si>
  <si>
    <t>Mesa em "L" recepção</t>
  </si>
  <si>
    <t>Equipamentos e Acessórios</t>
  </si>
  <si>
    <t>Impressora secretaria</t>
  </si>
  <si>
    <t>Rede</t>
  </si>
  <si>
    <t>Móveis e utensílios</t>
  </si>
  <si>
    <t>Investimento Total</t>
  </si>
  <si>
    <t>Marketing Inicial</t>
  </si>
  <si>
    <t>Fachada (média - de acordo Imóvel)</t>
  </si>
  <si>
    <t>PIS</t>
  </si>
  <si>
    <t>ISS</t>
  </si>
  <si>
    <t>COFINS</t>
  </si>
  <si>
    <t>%</t>
  </si>
  <si>
    <t>Marketing (8% FB)</t>
  </si>
  <si>
    <t>Contador</t>
  </si>
  <si>
    <t>Base de Cálculo (sobre FB)</t>
  </si>
  <si>
    <t>Faturamento Bruto</t>
  </si>
  <si>
    <t>CONT. SOCIAL (Trimestral)</t>
  </si>
  <si>
    <t>IMP. DE RENDA (Trimestral)</t>
  </si>
  <si>
    <t>DEPESAS FIXAS</t>
  </si>
  <si>
    <t>Sub-total dos IMPOSTOS</t>
  </si>
  <si>
    <t>Telefone média</t>
  </si>
  <si>
    <t>DEPESAS VARIÁVEIS</t>
  </si>
  <si>
    <t>Materiais p/escritorio</t>
  </si>
  <si>
    <t>Receita</t>
  </si>
  <si>
    <t>Despesa</t>
  </si>
  <si>
    <t xml:space="preserve">Água </t>
  </si>
  <si>
    <t>7º mês</t>
  </si>
  <si>
    <t>8º mês</t>
  </si>
  <si>
    <t>9º mês</t>
  </si>
  <si>
    <t>ESTIMATIVA PLANILHA DE CUSTO - MONTAGEM</t>
  </si>
  <si>
    <t>Funcionários (1)</t>
  </si>
  <si>
    <t>FUNCIONÁRIOS (1)</t>
  </si>
  <si>
    <t>Ações</t>
  </si>
  <si>
    <t>10º mês</t>
  </si>
  <si>
    <t>11º mês</t>
  </si>
  <si>
    <t>12º mês</t>
  </si>
  <si>
    <t>Energia (2)</t>
  </si>
  <si>
    <t>ENERGIA (2)</t>
  </si>
  <si>
    <t>(32%*fb)*9</t>
  </si>
  <si>
    <t>(16%*fb)*15</t>
  </si>
  <si>
    <t>Impostos (3)</t>
  </si>
  <si>
    <t>IMPOSTOS (3)</t>
  </si>
  <si>
    <t>VALOR TOTAL</t>
  </si>
  <si>
    <t>Mesa micro (bancada)</t>
  </si>
  <si>
    <t>Link (banda larga)</t>
  </si>
  <si>
    <t>Micros (sala aula+1 secretaria)</t>
  </si>
  <si>
    <t>Abertura de Empresa</t>
  </si>
  <si>
    <t>Tv 32" LCD recepção</t>
  </si>
  <si>
    <t>Número de microcomputadores</t>
  </si>
  <si>
    <t>Nº de micros</t>
  </si>
  <si>
    <t>Secretarias</t>
  </si>
  <si>
    <t>Coordenador</t>
  </si>
  <si>
    <t>Instrutores</t>
  </si>
  <si>
    <t>Encargos (INSS+FGTS+13º+Férias)</t>
  </si>
  <si>
    <t>Aluguel+IPTU</t>
  </si>
  <si>
    <t>Evolua</t>
  </si>
  <si>
    <t>Instruções para preenchimento</t>
  </si>
  <si>
    <t>2. Os itens que não forem mudados automaticamente podem ser alterados de acordo com sua preferência.</t>
  </si>
  <si>
    <t>1. Escolha o número de computadores que deseja trabalhar em sala de aula e os valores da tabela será alterada automaticamente.</t>
  </si>
  <si>
    <t>Vitrine</t>
  </si>
  <si>
    <t>Mesa para impressora secretária</t>
  </si>
  <si>
    <t>Campanha Escolas (Divulgador)</t>
  </si>
  <si>
    <t>Telemarketing + Porta-a-Porta</t>
  </si>
  <si>
    <t>Inauguração + Demonstração</t>
  </si>
  <si>
    <t>Com 18 anos de experiência, a Evolua Educação é atualmente uma das maiores empresas de tecnologia voltada para soluções educacionais do país. Já atendeu mais de 2 milhões de alunos e hoje conta com 1.100 escolas e 150 mil alunos ativos em todo o território nacional. Outra característica marcante do negócio: a Evolua está presente em todos os Estados do Brasil, além de países como Angola e Japão. Trata-se de uma empresa 100% nacional, considerada líder de mercado e líder em qualidade de produtos para o segmento de escolas profissionalizantes, o que promove a melhor experiência de ensino, com aplicação de metodologias educacionais inovadoras, acessíveis e motivadoras, utilizando a interatividade como base do aprendizado.</t>
  </si>
  <si>
    <t>FB</t>
  </si>
  <si>
    <t>A Evolua Educação preparou uma planilha especial para te ajudar no planejamento da sua nova escola. Conte com nossa expertise para dar esse importante passo na sua vida, nossa equipe de especialistas está preparada para atender suas dúvidas e dar todo o apoio na abertura da sua escola.</t>
  </si>
  <si>
    <t>3. No quadro projeção financeira será apresentado a perpectiva de lucro em até 12 meses</t>
  </si>
  <si>
    <t>4. Na coluna número de alunos você deve colocar a estimativa de alunos que pretende ter durantes os meses</t>
  </si>
  <si>
    <t>5. A coluna capacidade mostra a capacidade de atendimento de alunos de acordo com sua previsão</t>
  </si>
  <si>
    <t>6. Na coluna líquido será apresentado o resultado da operação no final de 12 meses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</si>
</sst>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R$ &quot;* #,##0.00_);_(&quot;R$ &quot;* \(#,##0.00\);_(&quot;R$ &quot;* &quot;-&quot;??_);_(@_)"/>
    <numFmt numFmtId="165" formatCode="_(&quot;R$ &quot;* #,##0_);_(&quot;R$ &quot;* \(#,##0\);_(&quot;R$ &quot;* &quot;-&quot;??_);_(@_)"/>
    <numFmt numFmtId="166" formatCode="_(&quot;R$&quot;* #,##0_);_(&quot;R$&quot;* \(#,##0\);_(&quot;R$&quot;* &quot;-&quot;??_);_(@_)"/>
    <numFmt numFmtId="167" formatCode="_(&quot;R$ &quot;* #,##0.0000_);_(&quot;R$ &quot;* \(#,##0.0000\);_(&quot;R$ &quot;* &quot;-&quot;??_);_(@_)"/>
  </numFmts>
  <fonts count="24">
    <font>
      <sz val="10"/>
      <name val="Arial"/>
    </font>
    <font>
      <sz val="10"/>
      <name val="Arial"/>
    </font>
    <font>
      <sz val="8"/>
      <name val="Arial"/>
      <family val="2"/>
    </font>
    <font>
      <b/>
      <sz val="10"/>
      <name val="Arial"/>
      <family val="2"/>
    </font>
    <font>
      <sz val="10"/>
      <color indexed="10"/>
      <name val="Arial"/>
      <family val="2"/>
    </font>
    <font>
      <sz val="10"/>
      <color indexed="12"/>
      <name val="Arial"/>
      <family val="2"/>
    </font>
    <font>
      <sz val="10"/>
      <name val="Arial"/>
      <family val="2"/>
    </font>
    <font>
      <b/>
      <sz val="18"/>
      <name val="Arial"/>
      <family val="2"/>
    </font>
    <font>
      <b/>
      <sz val="8"/>
      <color indexed="81"/>
      <name val="Tahoma"/>
      <family val="2"/>
    </font>
    <font>
      <sz val="9"/>
      <name val="Arial"/>
      <family val="2"/>
    </font>
    <font>
      <b/>
      <sz val="9"/>
      <name val="Arial"/>
      <family val="2"/>
    </font>
    <font>
      <b/>
      <sz val="10"/>
      <color indexed="9"/>
      <name val="Arial"/>
      <family val="2"/>
    </font>
    <font>
      <b/>
      <sz val="9"/>
      <name val="Arial"/>
      <family val="2"/>
    </font>
    <font>
      <b/>
      <sz val="14"/>
      <name val="Arial"/>
      <family val="2"/>
    </font>
    <font>
      <b/>
      <sz val="12"/>
      <name val="Arial"/>
      <family val="2"/>
    </font>
    <font>
      <sz val="9"/>
      <color indexed="81"/>
      <name val="Segoe UI"/>
      <family val="2"/>
    </font>
    <font>
      <b/>
      <sz val="9"/>
      <color indexed="81"/>
      <name val="Segoe UI"/>
      <family val="2"/>
    </font>
    <font>
      <sz val="9"/>
      <color indexed="81"/>
      <name val="Segoe UI"/>
      <charset val="1"/>
    </font>
    <font>
      <b/>
      <sz val="9"/>
      <color indexed="81"/>
      <name val="Segoe UI"/>
      <charset val="1"/>
    </font>
    <font>
      <sz val="10"/>
      <name val="Arial"/>
    </font>
    <font>
      <sz val="11"/>
      <color theme="0"/>
      <name val="Calibri"/>
      <family val="2"/>
      <scheme val="minor"/>
    </font>
    <font>
      <b/>
      <sz val="10"/>
      <color theme="0"/>
      <name val="Arial"/>
      <family val="2"/>
    </font>
    <font>
      <sz val="12"/>
      <color theme="0"/>
      <name val="Calibri"/>
      <family val="2"/>
      <scheme val="minor"/>
    </font>
    <font>
      <sz val="18"/>
      <color theme="0"/>
      <name val="Calibri"/>
      <family val="2"/>
      <scheme val="minor"/>
    </font>
  </fonts>
  <fills count="10">
    <fill>
      <patternFill patternType="none"/>
    </fill>
    <fill>
      <patternFill patternType="gray125"/>
    </fill>
    <fill>
      <patternFill patternType="solid">
        <fgColor theme="4"/>
      </patternFill>
    </fill>
    <fill>
      <patternFill patternType="solid">
        <fgColor rgb="FF00B495"/>
        <bgColor indexed="64"/>
      </patternFill>
    </fill>
    <fill>
      <patternFill patternType="solid">
        <fgColor rgb="FFF26522"/>
        <bgColor indexed="64"/>
      </patternFill>
    </fill>
    <fill>
      <patternFill patternType="solid">
        <fgColor rgb="FF1C3876"/>
        <bgColor indexed="64"/>
      </patternFill>
    </fill>
    <fill>
      <patternFill patternType="solid">
        <fgColor rgb="FFF5F5F5"/>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theme="0" tint="-0.149998474074526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s>
  <cellStyleXfs count="4">
    <xf numFmtId="0" fontId="0" fillId="0" borderId="0"/>
    <xf numFmtId="0" fontId="20" fillId="2" borderId="0" applyNumberFormat="0" applyBorder="0" applyAlignment="0" applyProtection="0"/>
    <xf numFmtId="164" fontId="1" fillId="0" borderId="0" applyFont="0" applyFill="0" applyBorder="0" applyAlignment="0" applyProtection="0"/>
    <xf numFmtId="9" fontId="1" fillId="0" borderId="0" applyFont="0" applyFill="0" applyBorder="0" applyAlignment="0" applyProtection="0"/>
  </cellStyleXfs>
  <cellXfs count="149">
    <xf numFmtId="0" fontId="0" fillId="0" borderId="0" xfId="0"/>
    <xf numFmtId="0" fontId="0" fillId="0" borderId="0" xfId="0" applyAlignment="1"/>
    <xf numFmtId="0" fontId="0" fillId="0" borderId="0" xfId="0" applyFill="1" applyBorder="1"/>
    <xf numFmtId="0" fontId="0" fillId="0" borderId="0" xfId="0" applyBorder="1"/>
    <xf numFmtId="0" fontId="3" fillId="0" borderId="1" xfId="0" applyFont="1" applyFill="1" applyBorder="1" applyAlignment="1">
      <alignment horizontal="center"/>
    </xf>
    <xf numFmtId="9" fontId="0" fillId="0" borderId="1" xfId="0" applyNumberFormat="1" applyFill="1" applyBorder="1" applyAlignment="1">
      <alignment horizontal="center"/>
    </xf>
    <xf numFmtId="0" fontId="0" fillId="0" borderId="0" xfId="0" applyFill="1"/>
    <xf numFmtId="0" fontId="3" fillId="0" borderId="0" xfId="0" applyFont="1" applyFill="1" applyBorder="1" applyAlignment="1"/>
    <xf numFmtId="9" fontId="0" fillId="0" borderId="0" xfId="0" applyNumberFormat="1" applyFill="1" applyBorder="1" applyAlignment="1">
      <alignment horizontal="center"/>
    </xf>
    <xf numFmtId="164" fontId="0" fillId="0" borderId="0" xfId="0" applyNumberFormat="1" applyFill="1"/>
    <xf numFmtId="165" fontId="3" fillId="0" borderId="0" xfId="2" applyNumberFormat="1" applyFont="1" applyFill="1" applyBorder="1" applyAlignment="1">
      <alignment horizontal="center"/>
    </xf>
    <xf numFmtId="164" fontId="3" fillId="0" borderId="1" xfId="2" applyNumberFormat="1" applyFont="1" applyFill="1" applyBorder="1" applyAlignment="1">
      <alignment horizontal="center"/>
    </xf>
    <xf numFmtId="0" fontId="0" fillId="0" borderId="0" xfId="0" applyFill="1" applyAlignment="1">
      <alignment horizontal="left"/>
    </xf>
    <xf numFmtId="0" fontId="0" fillId="0" borderId="0" xfId="0" applyBorder="1" applyAlignment="1"/>
    <xf numFmtId="164" fontId="4" fillId="0" borderId="1" xfId="2" applyNumberFormat="1" applyFont="1" applyFill="1" applyBorder="1" applyAlignment="1">
      <alignment horizontal="center"/>
    </xf>
    <xf numFmtId="164" fontId="5" fillId="0" borderId="1" xfId="2" applyNumberFormat="1" applyFont="1" applyFill="1" applyBorder="1" applyAlignment="1">
      <alignment horizontal="center"/>
    </xf>
    <xf numFmtId="1" fontId="0" fillId="0" borderId="1" xfId="0" applyNumberFormat="1" applyFill="1" applyBorder="1" applyAlignment="1">
      <alignment horizontal="center"/>
    </xf>
    <xf numFmtId="0" fontId="0" fillId="0" borderId="0" xfId="0" applyBorder="1" applyAlignment="1">
      <alignment horizontal="center"/>
    </xf>
    <xf numFmtId="164" fontId="0" fillId="0" borderId="0" xfId="2" applyFont="1" applyBorder="1" applyAlignment="1">
      <alignment horizontal="center"/>
    </xf>
    <xf numFmtId="0" fontId="0" fillId="0" borderId="0" xfId="0" applyFill="1" applyBorder="1" applyAlignment="1">
      <alignment horizontal="left"/>
    </xf>
    <xf numFmtId="0" fontId="2" fillId="0" borderId="2" xfId="0" applyFont="1" applyFill="1" applyBorder="1" applyAlignment="1">
      <alignment horizontal="left"/>
    </xf>
    <xf numFmtId="0" fontId="2" fillId="0" borderId="0" xfId="0" applyFont="1" applyFill="1" applyAlignment="1">
      <alignment horizontal="left"/>
    </xf>
    <xf numFmtId="165" fontId="1" fillId="0" borderId="0" xfId="2" applyNumberFormat="1" applyFont="1" applyFill="1" applyBorder="1" applyAlignment="1">
      <alignment horizontal="left"/>
    </xf>
    <xf numFmtId="9" fontId="1" fillId="0" borderId="1" xfId="3" applyFill="1" applyBorder="1"/>
    <xf numFmtId="166" fontId="6" fillId="0" borderId="0" xfId="0" applyNumberFormat="1" applyFont="1" applyBorder="1" applyAlignment="1">
      <alignment horizontal="center" vertical="center"/>
    </xf>
    <xf numFmtId="164" fontId="3" fillId="0" borderId="3" xfId="0" applyNumberFormat="1" applyFont="1" applyFill="1" applyBorder="1" applyAlignment="1">
      <alignment horizontal="right"/>
    </xf>
    <xf numFmtId="164" fontId="3" fillId="0" borderId="1" xfId="0" applyNumberFormat="1" applyFont="1" applyFill="1" applyBorder="1" applyAlignment="1">
      <alignment horizontal="right"/>
    </xf>
    <xf numFmtId="164" fontId="3" fillId="0" borderId="4" xfId="2" applyNumberFormat="1" applyFont="1" applyFill="1" applyBorder="1" applyAlignment="1">
      <alignment horizontal="center"/>
    </xf>
    <xf numFmtId="0" fontId="0" fillId="0" borderId="5" xfId="0" applyFill="1" applyBorder="1" applyAlignment="1">
      <alignment horizontal="left"/>
    </xf>
    <xf numFmtId="164" fontId="3" fillId="0" borderId="5" xfId="2" applyFont="1" applyBorder="1" applyAlignment="1">
      <alignment horizontal="center"/>
    </xf>
    <xf numFmtId="0" fontId="9" fillId="0" borderId="0" xfId="0" applyFont="1" applyFill="1"/>
    <xf numFmtId="164" fontId="13" fillId="0" borderId="5" xfId="2" applyFont="1" applyBorder="1" applyAlignment="1">
      <alignment horizontal="left"/>
    </xf>
    <xf numFmtId="0" fontId="9" fillId="0" borderId="5" xfId="0" applyFont="1" applyBorder="1" applyAlignment="1"/>
    <xf numFmtId="164" fontId="3" fillId="0" borderId="0" xfId="2" applyFont="1" applyBorder="1" applyAlignment="1">
      <alignment horizontal="center"/>
    </xf>
    <xf numFmtId="0" fontId="0" fillId="0" borderId="0" xfId="0" applyAlignment="1">
      <alignment horizontal="center" vertical="center"/>
    </xf>
    <xf numFmtId="0" fontId="0" fillId="0" borderId="0" xfId="0" applyBorder="1" applyAlignment="1">
      <alignment horizontal="center" vertical="center"/>
    </xf>
    <xf numFmtId="164" fontId="0" fillId="0" borderId="0" xfId="2" applyFont="1" applyBorder="1" applyAlignment="1">
      <alignment horizontal="center" vertical="center"/>
    </xf>
    <xf numFmtId="0" fontId="0" fillId="0" borderId="0" xfId="0" applyAlignment="1">
      <alignment vertical="center"/>
    </xf>
    <xf numFmtId="0" fontId="0" fillId="0" borderId="0" xfId="0" applyBorder="1" applyAlignment="1">
      <alignment vertical="center"/>
    </xf>
    <xf numFmtId="0" fontId="0" fillId="0" borderId="0" xfId="0" applyFill="1" applyAlignment="1">
      <alignment vertical="center"/>
    </xf>
    <xf numFmtId="0" fontId="3" fillId="0" borderId="0" xfId="0" applyFont="1" applyFill="1" applyBorder="1" applyAlignment="1">
      <alignment horizontal="center" vertical="center"/>
    </xf>
    <xf numFmtId="164" fontId="0" fillId="0" borderId="0" xfId="0" applyNumberFormat="1" applyFill="1" applyAlignment="1">
      <alignment vertical="center"/>
    </xf>
    <xf numFmtId="0" fontId="3" fillId="3" borderId="1" xfId="0" applyFont="1" applyFill="1" applyBorder="1" applyAlignment="1">
      <alignment vertical="center"/>
    </xf>
    <xf numFmtId="164" fontId="3" fillId="4" borderId="1" xfId="0" applyNumberFormat="1" applyFont="1" applyFill="1" applyBorder="1" applyAlignment="1">
      <alignment horizontal="center"/>
    </xf>
    <xf numFmtId="0" fontId="3" fillId="3" borderId="1" xfId="0" applyFont="1" applyFill="1" applyBorder="1" applyAlignment="1">
      <alignment horizontal="center" vertical="center"/>
    </xf>
    <xf numFmtId="0" fontId="14" fillId="0" borderId="5" xfId="0" applyFont="1" applyBorder="1" applyAlignment="1">
      <alignment horizontal="center" vertical="center"/>
    </xf>
    <xf numFmtId="0" fontId="0" fillId="0" borderId="0" xfId="0" applyFill="1" applyBorder="1" applyAlignment="1">
      <alignment vertical="center"/>
    </xf>
    <xf numFmtId="164" fontId="0" fillId="0" borderId="0" xfId="2" applyFont="1" applyFill="1" applyBorder="1" applyAlignment="1">
      <alignment vertical="center"/>
    </xf>
    <xf numFmtId="164" fontId="3" fillId="4" borderId="1" xfId="2" applyFont="1" applyFill="1" applyBorder="1" applyAlignment="1">
      <alignment vertical="center"/>
    </xf>
    <xf numFmtId="164" fontId="3" fillId="4" borderId="1" xfId="0" applyNumberFormat="1" applyFont="1" applyFill="1" applyBorder="1" applyAlignment="1">
      <alignment vertical="center"/>
    </xf>
    <xf numFmtId="0" fontId="3" fillId="0" borderId="1" xfId="0" applyFont="1" applyBorder="1" applyAlignment="1">
      <alignment horizontal="center" vertical="center"/>
    </xf>
    <xf numFmtId="164" fontId="3" fillId="4" borderId="1" xfId="0" applyNumberFormat="1" applyFont="1" applyFill="1" applyBorder="1" applyAlignment="1">
      <alignment horizontal="center" vertical="center"/>
    </xf>
    <xf numFmtId="0" fontId="3" fillId="3" borderId="1" xfId="0" applyFont="1" applyFill="1" applyBorder="1" applyAlignment="1">
      <alignment horizontal="center"/>
    </xf>
    <xf numFmtId="9" fontId="21" fillId="5" borderId="6" xfId="3" applyFont="1" applyFill="1" applyBorder="1" applyAlignment="1">
      <alignment horizontal="center"/>
    </xf>
    <xf numFmtId="0" fontId="21" fillId="5" borderId="7" xfId="0" applyFont="1" applyFill="1" applyBorder="1" applyAlignment="1">
      <alignment horizontal="center"/>
    </xf>
    <xf numFmtId="164" fontId="21" fillId="5" borderId="8" xfId="2" applyFont="1" applyFill="1" applyBorder="1" applyAlignment="1">
      <alignment horizontal="center"/>
    </xf>
    <xf numFmtId="0" fontId="3" fillId="3" borderId="9" xfId="0" applyFont="1" applyFill="1" applyBorder="1" applyAlignment="1">
      <alignment horizontal="center" vertical="center"/>
    </xf>
    <xf numFmtId="0" fontId="3" fillId="3" borderId="10" xfId="0" applyFont="1" applyFill="1" applyBorder="1" applyAlignment="1">
      <alignment horizontal="center" vertical="center"/>
    </xf>
    <xf numFmtId="0" fontId="3" fillId="3" borderId="6" xfId="0" applyFont="1" applyFill="1" applyBorder="1" applyAlignment="1">
      <alignment horizontal="center" vertical="center"/>
    </xf>
    <xf numFmtId="0" fontId="0" fillId="6" borderId="1" xfId="0" applyFill="1" applyBorder="1" applyAlignment="1">
      <alignment vertical="center"/>
    </xf>
    <xf numFmtId="164" fontId="19" fillId="6" borderId="1" xfId="2" applyFont="1" applyFill="1" applyBorder="1" applyAlignment="1">
      <alignment vertical="center"/>
    </xf>
    <xf numFmtId="0" fontId="0" fillId="6" borderId="1" xfId="0" applyFill="1" applyBorder="1" applyAlignment="1"/>
    <xf numFmtId="164" fontId="19" fillId="6" borderId="1" xfId="2" applyFont="1" applyFill="1" applyBorder="1" applyAlignment="1"/>
    <xf numFmtId="0" fontId="0" fillId="6" borderId="1" xfId="0" applyFill="1" applyBorder="1"/>
    <xf numFmtId="164" fontId="19" fillId="6" borderId="1" xfId="2" applyFont="1" applyFill="1" applyBorder="1"/>
    <xf numFmtId="164" fontId="0" fillId="6" borderId="1" xfId="0" applyNumberFormat="1" applyFill="1" applyBorder="1"/>
    <xf numFmtId="164" fontId="1" fillId="6" borderId="1" xfId="2" applyNumberFormat="1" applyFill="1" applyBorder="1" applyAlignment="1">
      <alignment horizontal="center"/>
    </xf>
    <xf numFmtId="164" fontId="0" fillId="6" borderId="1" xfId="0" applyNumberFormat="1" applyFill="1" applyBorder="1" applyAlignment="1">
      <alignment horizontal="left"/>
    </xf>
    <xf numFmtId="164" fontId="0" fillId="6" borderId="1" xfId="0" applyNumberFormat="1" applyFill="1" applyBorder="1" applyAlignment="1">
      <alignment horizontal="center"/>
    </xf>
    <xf numFmtId="0" fontId="0" fillId="6" borderId="1" xfId="0" applyFill="1" applyBorder="1" applyAlignment="1" applyProtection="1">
      <alignment horizontal="center"/>
      <protection hidden="1"/>
    </xf>
    <xf numFmtId="0" fontId="0" fillId="6" borderId="1" xfId="0" applyFill="1" applyBorder="1" applyAlignment="1">
      <alignment horizontal="center"/>
    </xf>
    <xf numFmtId="0" fontId="0" fillId="6" borderId="4" xfId="0" applyFill="1" applyBorder="1"/>
    <xf numFmtId="167" fontId="1" fillId="6" borderId="4" xfId="2" applyNumberFormat="1" applyFill="1" applyBorder="1" applyAlignment="1">
      <alignment horizontal="center" vertical="center"/>
    </xf>
    <xf numFmtId="0" fontId="3" fillId="4" borderId="1" xfId="0" applyFont="1" applyFill="1" applyBorder="1" applyAlignment="1">
      <alignment horizontal="center"/>
    </xf>
    <xf numFmtId="164" fontId="3" fillId="4" borderId="3" xfId="0" applyNumberFormat="1" applyFont="1" applyFill="1" applyBorder="1" applyAlignment="1">
      <alignment horizontal="right"/>
    </xf>
    <xf numFmtId="164" fontId="3" fillId="4" borderId="1" xfId="0" applyNumberFormat="1" applyFont="1" applyFill="1" applyBorder="1" applyAlignment="1">
      <alignment horizontal="right"/>
    </xf>
    <xf numFmtId="164" fontId="9" fillId="6" borderId="11" xfId="2" applyFont="1" applyFill="1" applyBorder="1" applyAlignment="1">
      <alignment horizontal="left"/>
    </xf>
    <xf numFmtId="164" fontId="9" fillId="6" borderId="12" xfId="2" applyFont="1" applyFill="1" applyBorder="1" applyAlignment="1">
      <alignment horizontal="right"/>
    </xf>
    <xf numFmtId="164" fontId="9" fillId="6" borderId="12" xfId="2" applyNumberFormat="1" applyFont="1" applyFill="1" applyBorder="1" applyAlignment="1">
      <alignment horizontal="right"/>
    </xf>
    <xf numFmtId="164" fontId="9" fillId="6" borderId="13" xfId="2" applyFont="1" applyFill="1" applyBorder="1" applyAlignment="1">
      <alignment horizontal="left"/>
    </xf>
    <xf numFmtId="164" fontId="9" fillId="6" borderId="14" xfId="2" applyNumberFormat="1" applyFont="1" applyFill="1" applyBorder="1" applyAlignment="1">
      <alignment horizontal="right"/>
    </xf>
    <xf numFmtId="164" fontId="0" fillId="6" borderId="1" xfId="0" applyNumberFormat="1" applyFill="1" applyBorder="1" applyAlignment="1">
      <alignment horizontal="right"/>
    </xf>
    <xf numFmtId="164" fontId="3" fillId="6" borderId="3" xfId="0" applyNumberFormat="1" applyFont="1" applyFill="1" applyBorder="1" applyAlignment="1">
      <alignment horizontal="right"/>
    </xf>
    <xf numFmtId="164" fontId="3" fillId="6" borderId="1" xfId="0" applyNumberFormat="1" applyFont="1" applyFill="1" applyBorder="1" applyAlignment="1">
      <alignment horizontal="right"/>
    </xf>
    <xf numFmtId="0" fontId="21" fillId="5" borderId="1" xfId="0" applyFont="1" applyFill="1" applyBorder="1" applyAlignment="1">
      <alignment horizontal="center" vertical="center"/>
    </xf>
    <xf numFmtId="0" fontId="3" fillId="4" borderId="1" xfId="0" applyFont="1" applyFill="1" applyBorder="1" applyAlignment="1">
      <alignment horizontal="right" vertical="center"/>
    </xf>
    <xf numFmtId="164" fontId="3" fillId="4" borderId="1" xfId="2" applyNumberFormat="1" applyFont="1" applyFill="1" applyBorder="1" applyAlignment="1">
      <alignment horizontal="right" vertical="center"/>
    </xf>
    <xf numFmtId="0" fontId="3" fillId="6" borderId="13" xfId="0" applyFont="1" applyFill="1" applyBorder="1"/>
    <xf numFmtId="164" fontId="3" fillId="6" borderId="13" xfId="2" applyFont="1" applyFill="1" applyBorder="1" applyAlignment="1">
      <alignment horizontal="right"/>
    </xf>
    <xf numFmtId="0" fontId="6" fillId="6" borderId="1" xfId="0" applyFont="1" applyFill="1" applyBorder="1" applyAlignment="1">
      <alignment horizontal="left"/>
    </xf>
    <xf numFmtId="164" fontId="6" fillId="6" borderId="1" xfId="0" applyNumberFormat="1" applyFont="1" applyFill="1" applyBorder="1"/>
    <xf numFmtId="164" fontId="6" fillId="6" borderId="1" xfId="0" applyNumberFormat="1" applyFont="1" applyFill="1" applyBorder="1" applyAlignment="1">
      <alignment horizontal="left"/>
    </xf>
    <xf numFmtId="0" fontId="1" fillId="6" borderId="1" xfId="2" applyNumberFormat="1" applyFill="1" applyBorder="1" applyAlignment="1">
      <alignment horizontal="right"/>
    </xf>
    <xf numFmtId="9" fontId="0" fillId="6" borderId="1" xfId="0" applyNumberFormat="1" applyFill="1" applyBorder="1" applyAlignment="1">
      <alignment horizontal="right"/>
    </xf>
    <xf numFmtId="0" fontId="0" fillId="6" borderId="1" xfId="0" applyFill="1" applyBorder="1" applyAlignment="1">
      <alignment horizontal="right"/>
    </xf>
    <xf numFmtId="9" fontId="3" fillId="6" borderId="15" xfId="3" applyFont="1" applyFill="1" applyBorder="1" applyAlignment="1">
      <alignment horizontal="right"/>
    </xf>
    <xf numFmtId="9" fontId="10" fillId="6" borderId="1" xfId="3" applyFont="1" applyFill="1" applyBorder="1" applyAlignment="1">
      <alignment horizontal="right"/>
    </xf>
    <xf numFmtId="10" fontId="10" fillId="6" borderId="1" xfId="3" applyNumberFormat="1" applyFont="1" applyFill="1" applyBorder="1" applyAlignment="1">
      <alignment horizontal="right"/>
    </xf>
    <xf numFmtId="9" fontId="10" fillId="6" borderId="15" xfId="3" applyFont="1" applyFill="1" applyBorder="1" applyAlignment="1">
      <alignment horizontal="right"/>
    </xf>
    <xf numFmtId="9" fontId="1" fillId="6" borderId="16" xfId="2" applyNumberFormat="1" applyFill="1" applyBorder="1" applyAlignment="1">
      <alignment horizontal="right"/>
    </xf>
    <xf numFmtId="0" fontId="0" fillId="0" borderId="0" xfId="0" applyFill="1" applyAlignment="1">
      <alignment horizontal="center" vertical="center"/>
    </xf>
    <xf numFmtId="164" fontId="3" fillId="4" borderId="1" xfId="2" applyFont="1" applyFill="1" applyBorder="1" applyAlignment="1">
      <alignment horizontal="center" vertical="center"/>
    </xf>
    <xf numFmtId="0" fontId="3" fillId="4" borderId="1" xfId="0" applyFont="1" applyFill="1" applyBorder="1" applyAlignment="1">
      <alignment horizontal="center" vertical="center"/>
    </xf>
    <xf numFmtId="0" fontId="0" fillId="7" borderId="0" xfId="0" applyFill="1" applyAlignment="1"/>
    <xf numFmtId="0" fontId="0" fillId="7" borderId="0" xfId="0" applyFill="1" applyAlignment="1">
      <alignment vertical="center"/>
    </xf>
    <xf numFmtId="0" fontId="0" fillId="7" borderId="0" xfId="0" applyFill="1" applyBorder="1" applyAlignment="1">
      <alignment horizontal="center" vertical="center"/>
    </xf>
    <xf numFmtId="0" fontId="0" fillId="7" borderId="0" xfId="0" applyFill="1" applyBorder="1" applyAlignment="1">
      <alignment vertical="center"/>
    </xf>
    <xf numFmtId="164" fontId="19" fillId="7" borderId="0" xfId="2" applyFont="1" applyFill="1" applyBorder="1" applyAlignment="1">
      <alignment horizontal="center" vertical="center"/>
    </xf>
    <xf numFmtId="164" fontId="13" fillId="0" borderId="0" xfId="2" applyFont="1" applyFill="1" applyBorder="1" applyAlignment="1">
      <alignment vertical="center"/>
    </xf>
    <xf numFmtId="0" fontId="0" fillId="0" borderId="5" xfId="0" applyFill="1" applyBorder="1"/>
    <xf numFmtId="0" fontId="3" fillId="0" borderId="5" xfId="0" applyFont="1" applyFill="1" applyBorder="1" applyAlignment="1"/>
    <xf numFmtId="9" fontId="6" fillId="0" borderId="1" xfId="0" applyNumberFormat="1" applyFont="1" applyFill="1" applyBorder="1" applyAlignment="1">
      <alignment horizontal="center"/>
    </xf>
    <xf numFmtId="0" fontId="12" fillId="0" borderId="0" xfId="0" applyFont="1" applyFill="1" applyAlignment="1">
      <alignment vertical="center"/>
    </xf>
    <xf numFmtId="0" fontId="9" fillId="0" borderId="5" xfId="0" applyFont="1" applyBorder="1" applyAlignment="1">
      <alignment vertical="center"/>
    </xf>
    <xf numFmtId="0" fontId="3" fillId="0" borderId="0" xfId="0" applyFont="1" applyFill="1" applyAlignment="1">
      <alignment vertical="center"/>
    </xf>
    <xf numFmtId="0" fontId="20" fillId="2" borderId="0" xfId="1"/>
    <xf numFmtId="0" fontId="0" fillId="8" borderId="0" xfId="0" applyFill="1" applyBorder="1" applyAlignment="1">
      <alignment horizontal="center" vertical="center"/>
    </xf>
    <xf numFmtId="0" fontId="0" fillId="0" borderId="0" xfId="0" applyFill="1" applyBorder="1" applyAlignment="1">
      <alignment horizontal="center" vertical="center"/>
    </xf>
    <xf numFmtId="164" fontId="0" fillId="0" borderId="0" xfId="2" applyFont="1" applyFill="1" applyBorder="1" applyAlignment="1">
      <alignment horizontal="center" vertical="center"/>
    </xf>
    <xf numFmtId="0" fontId="20" fillId="2" borderId="0" xfId="1" applyAlignment="1">
      <alignment horizontal="center"/>
    </xf>
    <xf numFmtId="0" fontId="22" fillId="2" borderId="0" xfId="1" applyFont="1" applyAlignment="1">
      <alignment horizontal="left" vertical="top" wrapText="1"/>
    </xf>
    <xf numFmtId="0" fontId="20" fillId="2" borderId="0" xfId="1" applyAlignment="1">
      <alignment horizontal="left" vertical="top" wrapText="1"/>
    </xf>
    <xf numFmtId="0" fontId="23" fillId="2" borderId="0" xfId="1" applyFont="1" applyAlignment="1">
      <alignment horizontal="center" vertical="center" wrapText="1"/>
    </xf>
    <xf numFmtId="0" fontId="11" fillId="5" borderId="1" xfId="0" applyFont="1" applyFill="1" applyBorder="1" applyAlignment="1">
      <alignment horizontal="center" vertical="center"/>
    </xf>
    <xf numFmtId="0" fontId="11" fillId="5" borderId="3" xfId="0" applyFont="1" applyFill="1" applyBorder="1" applyAlignment="1">
      <alignment horizontal="center" vertical="center"/>
    </xf>
    <xf numFmtId="0" fontId="11" fillId="5" borderId="16" xfId="0" applyFont="1" applyFill="1" applyBorder="1" applyAlignment="1">
      <alignment horizontal="center" vertical="center"/>
    </xf>
    <xf numFmtId="164" fontId="3" fillId="9" borderId="0" xfId="2" applyFont="1" applyFill="1" applyBorder="1" applyAlignment="1">
      <alignment horizontal="center" vertical="center"/>
    </xf>
    <xf numFmtId="164" fontId="21" fillId="5" borderId="3" xfId="0" applyNumberFormat="1" applyFont="1" applyFill="1" applyBorder="1" applyAlignment="1">
      <alignment horizontal="center"/>
    </xf>
    <xf numFmtId="164" fontId="21" fillId="5" borderId="16" xfId="0" applyNumberFormat="1" applyFont="1" applyFill="1" applyBorder="1" applyAlignment="1">
      <alignment horizontal="center"/>
    </xf>
    <xf numFmtId="0" fontId="1" fillId="0" borderId="0" xfId="0" applyFont="1" applyFill="1" applyBorder="1" applyAlignment="1">
      <alignment horizontal="left"/>
    </xf>
    <xf numFmtId="164" fontId="3" fillId="4" borderId="3" xfId="2" applyFont="1" applyFill="1" applyBorder="1" applyAlignment="1">
      <alignment horizontal="center"/>
    </xf>
    <xf numFmtId="164" fontId="3" fillId="4" borderId="16" xfId="2" applyFont="1" applyFill="1" applyBorder="1" applyAlignment="1">
      <alignment horizontal="center"/>
    </xf>
    <xf numFmtId="0" fontId="21" fillId="5" borderId="1" xfId="0" applyFont="1" applyFill="1" applyBorder="1" applyAlignment="1">
      <alignment horizontal="center" vertical="center"/>
    </xf>
    <xf numFmtId="0" fontId="7" fillId="0" borderId="0" xfId="0" applyFont="1" applyFill="1" applyBorder="1" applyAlignment="1">
      <alignment horizontal="center"/>
    </xf>
    <xf numFmtId="0" fontId="7" fillId="0" borderId="5" xfId="0" applyFont="1" applyFill="1" applyBorder="1" applyAlignment="1">
      <alignment horizontal="center"/>
    </xf>
    <xf numFmtId="0" fontId="0" fillId="0" borderId="0" xfId="0" applyFill="1" applyBorder="1" applyAlignment="1">
      <alignment horizontal="left"/>
    </xf>
    <xf numFmtId="0" fontId="0" fillId="0" borderId="0" xfId="0" applyFill="1" applyAlignment="1">
      <alignment horizontal="left"/>
    </xf>
    <xf numFmtId="0" fontId="21" fillId="5" borderId="17" xfId="0" applyFont="1" applyFill="1" applyBorder="1" applyAlignment="1">
      <alignment horizontal="center"/>
    </xf>
    <xf numFmtId="0" fontId="21" fillId="5" borderId="18" xfId="0" applyFont="1" applyFill="1" applyBorder="1" applyAlignment="1">
      <alignment horizontal="center"/>
    </xf>
    <xf numFmtId="0" fontId="21" fillId="5" borderId="19" xfId="0" applyFont="1" applyFill="1" applyBorder="1" applyAlignment="1">
      <alignment horizontal="center" vertical="center"/>
    </xf>
    <xf numFmtId="0" fontId="21" fillId="5" borderId="20" xfId="0" applyFont="1" applyFill="1" applyBorder="1" applyAlignment="1">
      <alignment horizontal="center" vertical="center"/>
    </xf>
    <xf numFmtId="0" fontId="21" fillId="5" borderId="21" xfId="0" applyFont="1" applyFill="1" applyBorder="1" applyAlignment="1">
      <alignment horizontal="center" vertical="center"/>
    </xf>
    <xf numFmtId="164" fontId="13" fillId="0" borderId="5" xfId="2" applyFont="1" applyFill="1" applyBorder="1" applyAlignment="1">
      <alignment horizontal="left" vertical="center"/>
    </xf>
    <xf numFmtId="0" fontId="6" fillId="0" borderId="0" xfId="0" applyFont="1" applyFill="1" applyBorder="1" applyAlignment="1">
      <alignment horizontal="left" vertical="center"/>
    </xf>
    <xf numFmtId="0" fontId="6" fillId="0" borderId="5" xfId="0" applyFont="1" applyFill="1" applyBorder="1" applyAlignment="1">
      <alignment horizontal="left" vertical="center"/>
    </xf>
    <xf numFmtId="0" fontId="0" fillId="7" borderId="0" xfId="0" applyFill="1" applyAlignment="1">
      <alignment horizontal="left" wrapText="1"/>
    </xf>
    <xf numFmtId="0" fontId="0" fillId="7" borderId="0" xfId="0" applyFill="1" applyAlignment="1">
      <alignment horizontal="left" vertical="top" wrapText="1"/>
    </xf>
    <xf numFmtId="0" fontId="0" fillId="7" borderId="0" xfId="0" applyFill="1" applyAlignment="1">
      <alignment horizontal="left" vertical="top"/>
    </xf>
    <xf numFmtId="0" fontId="0" fillId="7" borderId="0" xfId="0" applyFill="1" applyBorder="1" applyAlignment="1">
      <alignment horizontal="left" vertical="top"/>
    </xf>
  </cellXfs>
  <cellStyles count="4">
    <cellStyle name="Ênfase1" xfId="1" builtinId="29"/>
    <cellStyle name="Moeda" xfId="2" builtinId="4"/>
    <cellStyle name="Normal" xfId="0" builtinId="0"/>
    <cellStyle name="Porcentagem" xfId="3"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 /><Relationship Id="rId3" Type="http://schemas.openxmlformats.org/officeDocument/2006/relationships/worksheet" Target="worksheets/sheet3.xml" /><Relationship Id="rId7" Type="http://schemas.openxmlformats.org/officeDocument/2006/relationships/calcChain" Target="calcChain.xml" /><Relationship Id="rId2" Type="http://schemas.openxmlformats.org/officeDocument/2006/relationships/worksheet" Target="worksheets/sheet2.xml" /><Relationship Id="rId1" Type="http://schemas.openxmlformats.org/officeDocument/2006/relationships/worksheet" Target="worksheets/sheet1.xml" /><Relationship Id="rId6" Type="http://schemas.openxmlformats.org/officeDocument/2006/relationships/sharedStrings" Target="sharedStrings.xml" /><Relationship Id="rId5" Type="http://schemas.openxmlformats.org/officeDocument/2006/relationships/styles" Target="styles.xml" /><Relationship Id="rId4" Type="http://schemas.openxmlformats.org/officeDocument/2006/relationships/theme" Target="theme/theme1.xml" /></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Projeção Financeira</a:t>
            </a:r>
          </a:p>
        </c:rich>
      </c:tx>
      <c:overlay val="0"/>
      <c:spPr>
        <a:noFill/>
        <a:ln w="25400">
          <a:noFill/>
        </a:ln>
      </c:spPr>
    </c:title>
    <c:autoTitleDeleted val="0"/>
    <c:plotArea>
      <c:layout/>
      <c:barChart>
        <c:barDir val="col"/>
        <c:grouping val="clustered"/>
        <c:varyColors val="0"/>
        <c:ser>
          <c:idx val="0"/>
          <c:order val="0"/>
          <c:spPr>
            <a:solidFill>
              <a:srgbClr val="4F81BD"/>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'Projeção Financeira'!$B$35:$B$46</c:f>
              <c:strCache>
                <c:ptCount val="12"/>
                <c:pt idx="0">
                  <c:v>1º mês</c:v>
                </c:pt>
                <c:pt idx="1">
                  <c:v>2º mês</c:v>
                </c:pt>
                <c:pt idx="2">
                  <c:v>3º mês</c:v>
                </c:pt>
                <c:pt idx="3">
                  <c:v>4º mês</c:v>
                </c:pt>
                <c:pt idx="4">
                  <c:v>5º mês</c:v>
                </c:pt>
                <c:pt idx="5">
                  <c:v>6º mês</c:v>
                </c:pt>
                <c:pt idx="6">
                  <c:v>7º mês</c:v>
                </c:pt>
                <c:pt idx="7">
                  <c:v>8º mês</c:v>
                </c:pt>
                <c:pt idx="8">
                  <c:v>9º mês</c:v>
                </c:pt>
                <c:pt idx="9">
                  <c:v>10º mês</c:v>
                </c:pt>
                <c:pt idx="10">
                  <c:v>11º mês</c:v>
                </c:pt>
                <c:pt idx="11">
                  <c:v>12º mês</c:v>
                </c:pt>
              </c:strCache>
            </c:strRef>
          </c:cat>
          <c:val>
            <c:numRef>
              <c:f>'Projeção Financeira'!$H$35:$H$46</c:f>
              <c:numCache>
                <c:formatCode>_("R$ "* #,##0.00_);_("R$ "* \(#,##0.00\);_("R$ "* "-"??_);_(@_)</c:formatCode>
                <c:ptCount val="12"/>
                <c:pt idx="0">
                  <c:v>-15669.032500000001</c:v>
                </c:pt>
                <c:pt idx="1">
                  <c:v>-5769.0325000000012</c:v>
                </c:pt>
                <c:pt idx="2">
                  <c:v>-3789.0325000000012</c:v>
                </c:pt>
                <c:pt idx="3">
                  <c:v>-1809.0325000000012</c:v>
                </c:pt>
                <c:pt idx="4">
                  <c:v>170.96749999999884</c:v>
                </c:pt>
                <c:pt idx="5">
                  <c:v>2150.9674999999988</c:v>
                </c:pt>
                <c:pt idx="6">
                  <c:v>4130.9674999999988</c:v>
                </c:pt>
                <c:pt idx="7">
                  <c:v>6110.9674999999988</c:v>
                </c:pt>
                <c:pt idx="8">
                  <c:v>8090.9674999999988</c:v>
                </c:pt>
                <c:pt idx="9">
                  <c:v>10070.967499999999</c:v>
                </c:pt>
                <c:pt idx="10">
                  <c:v>12050.967499999999</c:v>
                </c:pt>
                <c:pt idx="11">
                  <c:v>14030.967499999999</c:v>
                </c:pt>
              </c:numCache>
            </c:numRef>
          </c:val>
          <c:extLst>
            <c:ext xmlns:c16="http://schemas.microsoft.com/office/drawing/2014/chart" uri="{C3380CC4-5D6E-409C-BE32-E72D297353CC}">
              <c16:uniqueId val="{00000000-2A35-499C-A946-961E228EB0D0}"/>
            </c:ext>
          </c:extLst>
        </c:ser>
        <c:dLbls>
          <c:showLegendKey val="0"/>
          <c:showVal val="0"/>
          <c:showCatName val="0"/>
          <c:showSerName val="0"/>
          <c:showPercent val="0"/>
          <c:showBubbleSize val="0"/>
        </c:dLbls>
        <c:gapWidth val="150"/>
        <c:axId val="467289632"/>
        <c:axId val="1"/>
      </c:barChart>
      <c:catAx>
        <c:axId val="4672896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
        <c:crosses val="autoZero"/>
        <c:auto val="1"/>
        <c:lblAlgn val="ctr"/>
        <c:lblOffset val="100"/>
        <c:tickMarkSkip val="1"/>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_(&quot;R$ &quot;* #,##0.00_);_(&quot;R$ &quot;* \(#,##0.00\);_(&quot;R$ &quot;* &quot;-&quot;??_);_(@_)" sourceLinked="1"/>
        <c:majorTickMark val="out"/>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728963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dTable>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3" Type="http://schemas.openxmlformats.org/officeDocument/2006/relationships/hyperlink" Target="#Montagem!A1" /><Relationship Id="rId2" Type="http://schemas.openxmlformats.org/officeDocument/2006/relationships/hyperlink" Target="http://evoluaeducacao.com.br/" TargetMode="External" /><Relationship Id="rId1" Type="http://schemas.openxmlformats.org/officeDocument/2006/relationships/image" Target="../media/image1.png" /></Relationships>
</file>

<file path=xl/drawings/_rels/drawing2.xml.rels><?xml version="1.0" encoding="UTF-8" standalone="yes"?>
<Relationships xmlns="http://schemas.openxmlformats.org/package/2006/relationships"><Relationship Id="rId2" Type="http://schemas.openxmlformats.org/officeDocument/2006/relationships/image" Target="../media/image2.png" /><Relationship Id="rId1" Type="http://schemas.openxmlformats.org/officeDocument/2006/relationships/hyperlink" Target="#'Proje&#231;&#227;o Financeira'!A1" /></Relationships>
</file>

<file path=xl/drawings/_rels/drawing3.xml.rels><?xml version="1.0" encoding="UTF-8" standalone="yes"?>
<Relationships xmlns="http://schemas.openxmlformats.org/package/2006/relationships"><Relationship Id="rId2" Type="http://schemas.openxmlformats.org/officeDocument/2006/relationships/image" Target="../media/image2.png" /><Relationship Id="rId1" Type="http://schemas.openxmlformats.org/officeDocument/2006/relationships/chart" Target="../charts/chart1.xml" /></Relationships>
</file>

<file path=xl/drawings/drawing1.xml><?xml version="1.0" encoding="utf-8"?>
<xdr:wsDr xmlns:xdr="http://schemas.openxmlformats.org/drawingml/2006/spreadsheetDrawing" xmlns:a="http://schemas.openxmlformats.org/drawingml/2006/main">
  <xdr:twoCellAnchor editAs="oneCell">
    <xdr:from>
      <xdr:col>12</xdr:col>
      <xdr:colOff>600075</xdr:colOff>
      <xdr:row>2</xdr:row>
      <xdr:rowOff>133350</xdr:rowOff>
    </xdr:from>
    <xdr:to>
      <xdr:col>16</xdr:col>
      <xdr:colOff>66675</xdr:colOff>
      <xdr:row>8</xdr:row>
      <xdr:rowOff>9525</xdr:rowOff>
    </xdr:to>
    <xdr:pic>
      <xdr:nvPicPr>
        <xdr:cNvPr id="5214" name="Imagem 1">
          <a:extLst>
            <a:ext uri="{FF2B5EF4-FFF2-40B4-BE49-F238E27FC236}">
              <a16:creationId xmlns:a16="http://schemas.microsoft.com/office/drawing/2014/main" id="{4C728F70-EE69-4AD8-A595-E0F7D653D32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15275" y="514350"/>
          <a:ext cx="1905000"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19050</xdr:colOff>
      <xdr:row>25</xdr:row>
      <xdr:rowOff>66676</xdr:rowOff>
    </xdr:from>
    <xdr:to>
      <xdr:col>18</xdr:col>
      <xdr:colOff>523875</xdr:colOff>
      <xdr:row>26</xdr:row>
      <xdr:rowOff>180976</xdr:rowOff>
    </xdr:to>
    <xdr:sp macro="" textlink="">
      <xdr:nvSpPr>
        <xdr:cNvPr id="3" name="Retângulo Arredondado 2">
          <a:hlinkClick xmlns:r="http://schemas.openxmlformats.org/officeDocument/2006/relationships" r:id="rId2"/>
          <a:extLst>
            <a:ext uri="{FF2B5EF4-FFF2-40B4-BE49-F238E27FC236}">
              <a16:creationId xmlns:a16="http://schemas.microsoft.com/office/drawing/2014/main" id="{E7BB2BF9-8C0C-41EA-A264-9D480FEA27F6}"/>
            </a:ext>
          </a:extLst>
        </xdr:cNvPr>
        <xdr:cNvSpPr/>
      </xdr:nvSpPr>
      <xdr:spPr>
        <a:xfrm>
          <a:off x="7943850" y="4829176"/>
          <a:ext cx="3552825" cy="304800"/>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b"/>
        <a:lstStyle/>
        <a:p>
          <a:pPr algn="ctr"/>
          <a:r>
            <a:rPr lang="pt-BR" sz="1100" b="1"/>
            <a:t>Saiba mais sobre a Evolua</a:t>
          </a:r>
          <a:r>
            <a:rPr lang="pt-BR" sz="1100" b="1" baseline="0"/>
            <a:t> visitando nosso </a:t>
          </a:r>
          <a:r>
            <a:rPr lang="pt-BR" sz="1200" b="1" i="0" baseline="0"/>
            <a:t>site</a:t>
          </a:r>
        </a:p>
      </xdr:txBody>
    </xdr:sp>
    <xdr:clientData/>
  </xdr:twoCellAnchor>
  <xdr:twoCellAnchor>
    <xdr:from>
      <xdr:col>1</xdr:col>
      <xdr:colOff>47625</xdr:colOff>
      <xdr:row>25</xdr:row>
      <xdr:rowOff>95251</xdr:rowOff>
    </xdr:from>
    <xdr:to>
      <xdr:col>7</xdr:col>
      <xdr:colOff>38100</xdr:colOff>
      <xdr:row>27</xdr:row>
      <xdr:rowOff>38101</xdr:rowOff>
    </xdr:to>
    <xdr:sp macro="" textlink="">
      <xdr:nvSpPr>
        <xdr:cNvPr id="4" name="Retângulo Arredondado 3">
          <a:hlinkClick xmlns:r="http://schemas.openxmlformats.org/officeDocument/2006/relationships" r:id="rId3"/>
          <a:extLst>
            <a:ext uri="{FF2B5EF4-FFF2-40B4-BE49-F238E27FC236}">
              <a16:creationId xmlns:a16="http://schemas.microsoft.com/office/drawing/2014/main" id="{FCBDFAE3-D521-49ED-AA9F-F2835D37F07B}"/>
            </a:ext>
          </a:extLst>
        </xdr:cNvPr>
        <xdr:cNvSpPr/>
      </xdr:nvSpPr>
      <xdr:spPr>
        <a:xfrm>
          <a:off x="657225" y="4857751"/>
          <a:ext cx="3648075" cy="32385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pt-BR" sz="1100" b="1"/>
            <a:t>Ir para planilha de montagem de escola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36</xdr:row>
      <xdr:rowOff>99391</xdr:rowOff>
    </xdr:from>
    <xdr:to>
      <xdr:col>3</xdr:col>
      <xdr:colOff>24848</xdr:colOff>
      <xdr:row>38</xdr:row>
      <xdr:rowOff>91937</xdr:rowOff>
    </xdr:to>
    <xdr:sp macro="" textlink="">
      <xdr:nvSpPr>
        <xdr:cNvPr id="2" name="Retângulo Arredondado 1">
          <a:hlinkClick xmlns:r="http://schemas.openxmlformats.org/officeDocument/2006/relationships" r:id="rId1"/>
          <a:extLst>
            <a:ext uri="{FF2B5EF4-FFF2-40B4-BE49-F238E27FC236}">
              <a16:creationId xmlns:a16="http://schemas.microsoft.com/office/drawing/2014/main" id="{3522FF15-6B23-43ED-A2EF-AE5F5D8F4085}"/>
            </a:ext>
          </a:extLst>
        </xdr:cNvPr>
        <xdr:cNvSpPr/>
      </xdr:nvSpPr>
      <xdr:spPr>
        <a:xfrm>
          <a:off x="314739" y="7280413"/>
          <a:ext cx="4538870" cy="323850"/>
        </a:xfrm>
        <a:prstGeom prst="roundRect">
          <a:avLst/>
        </a:prstGeom>
        <a:solidFill>
          <a:srgbClr val="4BACC6"/>
        </a:solidFill>
        <a:ln w="25400" cap="flat" cmpd="sng" algn="ctr">
          <a:solidFill>
            <a:srgbClr val="4BACC6">
              <a:shade val="50000"/>
            </a:srgbClr>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noProof="0">
              <a:ln>
                <a:noFill/>
              </a:ln>
              <a:solidFill>
                <a:sysClr val="window" lastClr="FFFFFF"/>
              </a:solidFill>
              <a:effectLst/>
              <a:uLnTx/>
              <a:uFillTx/>
              <a:latin typeface="Calibri" panose="020F0502020204030204"/>
              <a:ea typeface="+mn-ea"/>
              <a:cs typeface="+mn-cs"/>
            </a:rPr>
            <a:t>Ir para planilha de projeção financeira</a:t>
          </a:r>
        </a:p>
      </xdr:txBody>
    </xdr:sp>
    <xdr:clientData/>
  </xdr:twoCellAnchor>
  <xdr:twoCellAnchor editAs="oneCell">
    <xdr:from>
      <xdr:col>1</xdr:col>
      <xdr:colOff>0</xdr:colOff>
      <xdr:row>0</xdr:row>
      <xdr:rowOff>0</xdr:rowOff>
    </xdr:from>
    <xdr:to>
      <xdr:col>1</xdr:col>
      <xdr:colOff>1905000</xdr:colOff>
      <xdr:row>0</xdr:row>
      <xdr:rowOff>1019175</xdr:rowOff>
    </xdr:to>
    <xdr:pic>
      <xdr:nvPicPr>
        <xdr:cNvPr id="4129" name="Imagem 2">
          <a:extLst>
            <a:ext uri="{FF2B5EF4-FFF2-40B4-BE49-F238E27FC236}">
              <a16:creationId xmlns:a16="http://schemas.microsoft.com/office/drawing/2014/main" id="{BA717AFE-5352-4227-94E3-F6F90F8BBDD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 y="0"/>
          <a:ext cx="1905000"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49</xdr:row>
      <xdr:rowOff>9525</xdr:rowOff>
    </xdr:from>
    <xdr:to>
      <xdr:col>8</xdr:col>
      <xdr:colOff>19050</xdr:colOff>
      <xdr:row>71</xdr:row>
      <xdr:rowOff>19050</xdr:rowOff>
    </xdr:to>
    <xdr:graphicFrame macro="">
      <xdr:nvGraphicFramePr>
        <xdr:cNvPr id="2088" name="Gráfico 1">
          <a:extLst>
            <a:ext uri="{FF2B5EF4-FFF2-40B4-BE49-F238E27FC236}">
              <a16:creationId xmlns:a16="http://schemas.microsoft.com/office/drawing/2014/main" id="{6FC42AD8-6AE6-40CB-B683-A928ED8513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0</xdr:row>
      <xdr:rowOff>0</xdr:rowOff>
    </xdr:from>
    <xdr:to>
      <xdr:col>2</xdr:col>
      <xdr:colOff>323850</xdr:colOff>
      <xdr:row>0</xdr:row>
      <xdr:rowOff>1019175</xdr:rowOff>
    </xdr:to>
    <xdr:pic>
      <xdr:nvPicPr>
        <xdr:cNvPr id="2089" name="Imagem 1">
          <a:extLst>
            <a:ext uri="{FF2B5EF4-FFF2-40B4-BE49-F238E27FC236}">
              <a16:creationId xmlns:a16="http://schemas.microsoft.com/office/drawing/2014/main" id="{08B03FC3-348F-4EA3-A261-F10AA497EA0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 y="0"/>
          <a:ext cx="1905000"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 /><Relationship Id="rId2" Type="http://schemas.openxmlformats.org/officeDocument/2006/relationships/drawing" Target="../drawings/drawing2.xml" /><Relationship Id="rId1" Type="http://schemas.openxmlformats.org/officeDocument/2006/relationships/printerSettings" Target="../printerSettings/printerSettings1.bin" /><Relationship Id="rId4" Type="http://schemas.openxmlformats.org/officeDocument/2006/relationships/comments" Target="../comments1.xml" /></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 /><Relationship Id="rId2" Type="http://schemas.openxmlformats.org/officeDocument/2006/relationships/drawing" Target="../drawings/drawing3.xml" /><Relationship Id="rId1" Type="http://schemas.openxmlformats.org/officeDocument/2006/relationships/printerSettings" Target="../printerSettings/printerSettings2.bin" /><Relationship Id="rId4" Type="http://schemas.openxmlformats.org/officeDocument/2006/relationships/comments" Target="../comments2.xml"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5:S27"/>
  <sheetViews>
    <sheetView tabSelected="1" workbookViewId="0" xr3:uid="{AEA406A1-0E4B-5B11-9CD5-51D6E497D94C}">
      <selection activeCell="B5" sqref="B5:G25"/>
    </sheetView>
  </sheetViews>
  <sheetFormatPr defaultColWidth="9.16796875" defaultRowHeight="15"/>
  <cols>
    <col min="1" max="11" width="9.16796875" style="115"/>
    <col min="12" max="13" width="9.16796875" style="115" customWidth="1"/>
    <col min="14" max="16384" width="9.16796875" style="115"/>
  </cols>
  <sheetData>
    <row r="5" spans="2:19">
      <c r="B5" s="122" t="s">
        <v>103</v>
      </c>
      <c r="C5" s="122"/>
      <c r="D5" s="122"/>
      <c r="E5" s="122"/>
      <c r="F5" s="122"/>
      <c r="G5" s="122"/>
    </row>
    <row r="6" spans="2:19">
      <c r="B6" s="122"/>
      <c r="C6" s="122"/>
      <c r="D6" s="122"/>
      <c r="E6" s="122"/>
      <c r="F6" s="122"/>
      <c r="G6" s="122"/>
    </row>
    <row r="7" spans="2:19">
      <c r="B7" s="122"/>
      <c r="C7" s="122"/>
      <c r="D7" s="122"/>
      <c r="E7" s="122"/>
      <c r="F7" s="122"/>
      <c r="G7" s="122"/>
    </row>
    <row r="8" spans="2:19">
      <c r="B8" s="122"/>
      <c r="C8" s="122"/>
      <c r="D8" s="122"/>
      <c r="E8" s="122"/>
      <c r="F8" s="122"/>
      <c r="G8" s="122"/>
    </row>
    <row r="9" spans="2:19">
      <c r="B9" s="122"/>
      <c r="C9" s="122"/>
      <c r="D9" s="122"/>
      <c r="E9" s="122"/>
      <c r="F9" s="122"/>
      <c r="G9" s="122"/>
    </row>
    <row r="10" spans="2:19" ht="15" customHeight="1">
      <c r="B10" s="122"/>
      <c r="C10" s="122"/>
      <c r="D10" s="122"/>
      <c r="E10" s="122"/>
      <c r="F10" s="122"/>
      <c r="G10" s="122"/>
      <c r="H10" s="120"/>
      <c r="I10" s="121"/>
      <c r="J10" s="121"/>
      <c r="K10" s="121"/>
      <c r="L10" s="121"/>
      <c r="M10" s="121"/>
      <c r="N10" s="120" t="s">
        <v>101</v>
      </c>
      <c r="O10" s="121"/>
      <c r="P10" s="121"/>
      <c r="Q10" s="121"/>
      <c r="R10" s="121"/>
      <c r="S10" s="121"/>
    </row>
    <row r="11" spans="2:19">
      <c r="B11" s="122"/>
      <c r="C11" s="122"/>
      <c r="D11" s="122"/>
      <c r="E11" s="122"/>
      <c r="F11" s="122"/>
      <c r="G11" s="122"/>
      <c r="H11" s="121"/>
      <c r="I11" s="121"/>
      <c r="J11" s="121"/>
      <c r="K11" s="121"/>
      <c r="L11" s="121"/>
      <c r="M11" s="121"/>
      <c r="N11" s="121"/>
      <c r="O11" s="121"/>
      <c r="P11" s="121"/>
      <c r="Q11" s="121"/>
      <c r="R11" s="121"/>
      <c r="S11" s="121"/>
    </row>
    <row r="12" spans="2:19">
      <c r="B12" s="122"/>
      <c r="C12" s="122"/>
      <c r="D12" s="122"/>
      <c r="E12" s="122"/>
      <c r="F12" s="122"/>
      <c r="G12" s="122"/>
      <c r="H12" s="121"/>
      <c r="I12" s="121"/>
      <c r="J12" s="121"/>
      <c r="K12" s="121"/>
      <c r="L12" s="121"/>
      <c r="M12" s="121"/>
      <c r="N12" s="121"/>
      <c r="O12" s="121"/>
      <c r="P12" s="121"/>
      <c r="Q12" s="121"/>
      <c r="R12" s="121"/>
      <c r="S12" s="121"/>
    </row>
    <row r="13" spans="2:19">
      <c r="B13" s="122"/>
      <c r="C13" s="122"/>
      <c r="D13" s="122"/>
      <c r="E13" s="122"/>
      <c r="F13" s="122"/>
      <c r="G13" s="122"/>
      <c r="H13" s="121"/>
      <c r="I13" s="121"/>
      <c r="J13" s="121"/>
      <c r="K13" s="121"/>
      <c r="L13" s="121"/>
      <c r="M13" s="121"/>
      <c r="N13" s="121"/>
      <c r="O13" s="121"/>
      <c r="P13" s="121"/>
      <c r="Q13" s="121"/>
      <c r="R13" s="121"/>
      <c r="S13" s="121"/>
    </row>
    <row r="14" spans="2:19">
      <c r="B14" s="122"/>
      <c r="C14" s="122"/>
      <c r="D14" s="122"/>
      <c r="E14" s="122"/>
      <c r="F14" s="122"/>
      <c r="G14" s="122"/>
      <c r="H14" s="121"/>
      <c r="I14" s="121"/>
      <c r="J14" s="121"/>
      <c r="K14" s="121"/>
      <c r="L14" s="121"/>
      <c r="M14" s="121"/>
      <c r="N14" s="121"/>
      <c r="O14" s="121"/>
      <c r="P14" s="121"/>
      <c r="Q14" s="121"/>
      <c r="R14" s="121"/>
      <c r="S14" s="121"/>
    </row>
    <row r="15" spans="2:19">
      <c r="B15" s="122"/>
      <c r="C15" s="122"/>
      <c r="D15" s="122"/>
      <c r="E15" s="122"/>
      <c r="F15" s="122"/>
      <c r="G15" s="122"/>
      <c r="H15" s="121"/>
      <c r="I15" s="121"/>
      <c r="J15" s="121"/>
      <c r="K15" s="121"/>
      <c r="L15" s="121"/>
      <c r="M15" s="121"/>
      <c r="N15" s="121"/>
      <c r="O15" s="121"/>
      <c r="P15" s="121"/>
      <c r="Q15" s="121"/>
      <c r="R15" s="121"/>
      <c r="S15" s="121"/>
    </row>
    <row r="16" spans="2:19">
      <c r="B16" s="122"/>
      <c r="C16" s="122"/>
      <c r="D16" s="122"/>
      <c r="E16" s="122"/>
      <c r="F16" s="122"/>
      <c r="G16" s="122"/>
      <c r="H16" s="121"/>
      <c r="I16" s="121"/>
      <c r="J16" s="121"/>
      <c r="K16" s="121"/>
      <c r="L16" s="121"/>
      <c r="M16" s="121"/>
      <c r="N16" s="121"/>
      <c r="O16" s="121"/>
      <c r="P16" s="121"/>
      <c r="Q16" s="121"/>
      <c r="R16" s="121"/>
      <c r="S16" s="121"/>
    </row>
    <row r="17" spans="2:19">
      <c r="B17" s="122"/>
      <c r="C17" s="122"/>
      <c r="D17" s="122"/>
      <c r="E17" s="122"/>
      <c r="F17" s="122"/>
      <c r="G17" s="122"/>
      <c r="H17" s="121"/>
      <c r="I17" s="121"/>
      <c r="J17" s="121"/>
      <c r="K17" s="121"/>
      <c r="L17" s="121"/>
      <c r="M17" s="121"/>
      <c r="N17" s="121"/>
      <c r="O17" s="121"/>
      <c r="P17" s="121"/>
      <c r="Q17" s="121"/>
      <c r="R17" s="121"/>
      <c r="S17" s="121"/>
    </row>
    <row r="18" spans="2:19">
      <c r="B18" s="122"/>
      <c r="C18" s="122"/>
      <c r="D18" s="122"/>
      <c r="E18" s="122"/>
      <c r="F18" s="122"/>
      <c r="G18" s="122"/>
      <c r="H18" s="121"/>
      <c r="I18" s="121"/>
      <c r="J18" s="121"/>
      <c r="K18" s="121"/>
      <c r="L18" s="121"/>
      <c r="M18" s="121"/>
      <c r="N18" s="121"/>
      <c r="O18" s="121"/>
      <c r="P18" s="121"/>
      <c r="Q18" s="121"/>
      <c r="R18" s="121"/>
      <c r="S18" s="121"/>
    </row>
    <row r="19" spans="2:19">
      <c r="B19" s="122"/>
      <c r="C19" s="122"/>
      <c r="D19" s="122"/>
      <c r="E19" s="122"/>
      <c r="F19" s="122"/>
      <c r="G19" s="122"/>
      <c r="H19" s="121"/>
      <c r="I19" s="121"/>
      <c r="J19" s="121"/>
      <c r="K19" s="121"/>
      <c r="L19" s="121"/>
      <c r="M19" s="121"/>
      <c r="N19" s="121"/>
      <c r="O19" s="121"/>
      <c r="P19" s="121"/>
      <c r="Q19" s="121"/>
      <c r="R19" s="121"/>
      <c r="S19" s="121"/>
    </row>
    <row r="20" spans="2:19">
      <c r="B20" s="122"/>
      <c r="C20" s="122"/>
      <c r="D20" s="122"/>
      <c r="E20" s="122"/>
      <c r="F20" s="122"/>
      <c r="G20" s="122"/>
      <c r="H20" s="121"/>
      <c r="I20" s="121"/>
      <c r="J20" s="121"/>
      <c r="K20" s="121"/>
      <c r="L20" s="121"/>
      <c r="M20" s="121"/>
      <c r="N20" s="121"/>
      <c r="O20" s="121"/>
      <c r="P20" s="121"/>
      <c r="Q20" s="121"/>
      <c r="R20" s="121"/>
      <c r="S20" s="121"/>
    </row>
    <row r="21" spans="2:19">
      <c r="B21" s="122"/>
      <c r="C21" s="122"/>
      <c r="D21" s="122"/>
      <c r="E21" s="122"/>
      <c r="F21" s="122"/>
      <c r="G21" s="122"/>
      <c r="H21" s="121"/>
      <c r="I21" s="121"/>
      <c r="J21" s="121"/>
      <c r="K21" s="121"/>
      <c r="L21" s="121"/>
      <c r="M21" s="121"/>
      <c r="N21" s="121"/>
      <c r="O21" s="121"/>
      <c r="P21" s="121"/>
      <c r="Q21" s="121"/>
      <c r="R21" s="121"/>
      <c r="S21" s="121"/>
    </row>
    <row r="22" spans="2:19">
      <c r="B22" s="122"/>
      <c r="C22" s="122"/>
      <c r="D22" s="122"/>
      <c r="E22" s="122"/>
      <c r="F22" s="122"/>
      <c r="G22" s="122"/>
      <c r="H22" s="121"/>
      <c r="I22" s="121"/>
      <c r="J22" s="121"/>
      <c r="K22" s="121"/>
      <c r="L22" s="121"/>
      <c r="M22" s="121"/>
      <c r="N22" s="121"/>
      <c r="O22" s="121"/>
      <c r="P22" s="121"/>
      <c r="Q22" s="121"/>
      <c r="R22" s="121"/>
      <c r="S22" s="121"/>
    </row>
    <row r="23" spans="2:19">
      <c r="B23" s="122"/>
      <c r="C23" s="122"/>
      <c r="D23" s="122"/>
      <c r="E23" s="122"/>
      <c r="F23" s="122"/>
      <c r="G23" s="122"/>
      <c r="H23" s="121"/>
      <c r="I23" s="121"/>
      <c r="J23" s="121"/>
      <c r="K23" s="121"/>
      <c r="L23" s="121"/>
      <c r="M23" s="121"/>
      <c r="N23" s="121"/>
      <c r="O23" s="121"/>
      <c r="P23" s="121"/>
      <c r="Q23" s="121"/>
      <c r="R23" s="121"/>
      <c r="S23" s="121"/>
    </row>
    <row r="24" spans="2:19">
      <c r="B24" s="122"/>
      <c r="C24" s="122"/>
      <c r="D24" s="122"/>
      <c r="E24" s="122"/>
      <c r="F24" s="122"/>
      <c r="G24" s="122"/>
      <c r="H24" s="121"/>
      <c r="I24" s="121"/>
      <c r="J24" s="121"/>
      <c r="K24" s="121"/>
      <c r="L24" s="121"/>
      <c r="M24" s="121"/>
      <c r="N24" s="121"/>
      <c r="O24" s="121"/>
      <c r="P24" s="121"/>
      <c r="Q24" s="121"/>
      <c r="R24" s="121"/>
      <c r="S24" s="121"/>
    </row>
    <row r="25" spans="2:19">
      <c r="B25" s="122"/>
      <c r="C25" s="122"/>
      <c r="D25" s="122"/>
      <c r="E25" s="122"/>
      <c r="F25" s="122"/>
      <c r="G25" s="122"/>
      <c r="H25" s="121"/>
      <c r="I25" s="121"/>
      <c r="J25" s="121"/>
      <c r="K25" s="121"/>
      <c r="L25" s="121"/>
      <c r="M25" s="121"/>
      <c r="N25" s="121"/>
      <c r="O25" s="121"/>
      <c r="P25" s="121"/>
      <c r="Q25" s="121"/>
      <c r="R25" s="121"/>
      <c r="S25" s="121"/>
    </row>
    <row r="27" spans="2:19">
      <c r="C27" s="119"/>
      <c r="D27" s="119"/>
      <c r="E27" s="119"/>
    </row>
  </sheetData>
  <mergeCells count="4">
    <mergeCell ref="C27:E27"/>
    <mergeCell ref="H10:M25"/>
    <mergeCell ref="N10:S25"/>
    <mergeCell ref="B5:G25"/>
  </mergeCell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1:O66"/>
  <sheetViews>
    <sheetView showGridLines="0" zoomScale="115" zoomScaleNormal="115" workbookViewId="0" xr3:uid="{958C4451-9541-5A59-BF78-D2F731DF1C81}">
      <selection activeCell="F2" sqref="F2"/>
    </sheetView>
  </sheetViews>
  <sheetFormatPr defaultRowHeight="12.75"/>
  <cols>
    <col min="1" max="1" width="4.71875" customWidth="1"/>
    <col min="2" max="2" width="51.6484375" bestFit="1" customWidth="1"/>
    <col min="3" max="3" width="16.046875" customWidth="1"/>
    <col min="4" max="4" width="16.98828125" customWidth="1"/>
    <col min="5" max="5" width="15.91015625" customWidth="1"/>
    <col min="6" max="6" width="4.71875" customWidth="1"/>
    <col min="7" max="7" width="14.29296875" bestFit="1" customWidth="1"/>
    <col min="8" max="10" width="13.6171875" bestFit="1" customWidth="1"/>
    <col min="11" max="11" width="12.80859375" bestFit="1" customWidth="1"/>
    <col min="12" max="12" width="12.26953125" bestFit="1" customWidth="1"/>
  </cols>
  <sheetData>
    <row r="1" spans="2:15" ht="99.95" customHeight="1"/>
    <row r="2" spans="2:15" ht="20.100000000000001" customHeight="1" thickBot="1">
      <c r="B2" s="31" t="s">
        <v>0</v>
      </c>
      <c r="C2" s="29"/>
      <c r="D2" s="29"/>
      <c r="E2" s="29"/>
      <c r="F2" s="33"/>
      <c r="G2" s="126" t="s">
        <v>93</v>
      </c>
      <c r="H2" s="126"/>
      <c r="I2" s="126"/>
      <c r="J2" s="126"/>
      <c r="K2" s="126"/>
      <c r="L2" s="126"/>
      <c r="M2" s="126"/>
      <c r="N2" s="126"/>
      <c r="O2" s="126"/>
    </row>
    <row r="3" spans="2:15" s="1" customFormat="1" ht="20.100000000000001" customHeight="1">
      <c r="B3" s="112" t="s">
        <v>2</v>
      </c>
      <c r="C3" s="30"/>
      <c r="D3" s="30"/>
      <c r="E3" s="30"/>
      <c r="G3" s="103" t="s">
        <v>95</v>
      </c>
      <c r="H3" s="103"/>
      <c r="I3" s="103"/>
      <c r="J3" s="103"/>
      <c r="K3" s="103"/>
      <c r="L3" s="103"/>
      <c r="M3" s="103"/>
      <c r="N3" s="103"/>
      <c r="O3" s="103"/>
    </row>
    <row r="4" spans="2:15" s="1" customFormat="1" ht="20.100000000000001" customHeight="1" thickBot="1">
      <c r="B4" s="113" t="s">
        <v>85</v>
      </c>
      <c r="C4" s="45">
        <v>10</v>
      </c>
      <c r="D4" s="32"/>
      <c r="E4" s="32"/>
      <c r="G4" s="103" t="s">
        <v>94</v>
      </c>
      <c r="H4" s="103"/>
      <c r="I4" s="103"/>
      <c r="J4" s="103"/>
      <c r="K4" s="103"/>
      <c r="L4" s="103"/>
      <c r="M4" s="103"/>
      <c r="N4" s="103"/>
      <c r="O4" s="103"/>
    </row>
    <row r="5" spans="2:15" s="1" customFormat="1" ht="5.0999999999999996" customHeight="1">
      <c r="G5" s="103"/>
      <c r="H5" s="103"/>
      <c r="I5" s="103"/>
      <c r="J5" s="103"/>
      <c r="K5" s="103"/>
      <c r="L5" s="103"/>
      <c r="M5" s="103"/>
      <c r="N5" s="103"/>
      <c r="O5" s="103"/>
    </row>
    <row r="6" spans="2:15" s="1" customFormat="1" ht="20.100000000000001" customHeight="1">
      <c r="B6" s="123" t="s">
        <v>32</v>
      </c>
      <c r="C6" s="123"/>
      <c r="D6" s="123"/>
      <c r="E6" s="123"/>
      <c r="G6" s="103"/>
      <c r="H6" s="103"/>
      <c r="I6" s="103"/>
      <c r="J6" s="103"/>
      <c r="K6" s="103"/>
      <c r="L6" s="103"/>
      <c r="M6" s="103"/>
      <c r="N6" s="103"/>
      <c r="O6" s="103"/>
    </row>
    <row r="7" spans="2:15" s="37" customFormat="1" ht="20.100000000000001" customHeight="1">
      <c r="B7" s="42" t="s">
        <v>1</v>
      </c>
      <c r="C7" s="44" t="s">
        <v>8</v>
      </c>
      <c r="D7" s="44" t="s">
        <v>22</v>
      </c>
      <c r="E7" s="44" t="s">
        <v>79</v>
      </c>
      <c r="G7" s="104"/>
      <c r="H7" s="104"/>
      <c r="I7" s="104"/>
      <c r="J7" s="104"/>
      <c r="K7" s="104"/>
      <c r="L7" s="104"/>
      <c r="M7" s="104"/>
      <c r="N7" s="104"/>
      <c r="O7" s="104"/>
    </row>
    <row r="8" spans="2:15" s="37" customFormat="1" ht="14.1" customHeight="1">
      <c r="B8" s="59" t="s">
        <v>80</v>
      </c>
      <c r="C8" s="59">
        <f>C4</f>
        <v>10</v>
      </c>
      <c r="D8" s="60">
        <v>300</v>
      </c>
      <c r="E8" s="60">
        <f t="shared" ref="E8:E17" si="0">C8*D8</f>
        <v>3000</v>
      </c>
      <c r="G8" s="105"/>
      <c r="H8" s="105"/>
      <c r="I8" s="106"/>
      <c r="J8" s="104"/>
      <c r="K8" s="104"/>
      <c r="L8" s="104"/>
      <c r="M8" s="104"/>
      <c r="N8" s="104"/>
      <c r="O8" s="104"/>
    </row>
    <row r="9" spans="2:15" s="37" customFormat="1" ht="14.1" customHeight="1">
      <c r="B9" s="59" t="s">
        <v>33</v>
      </c>
      <c r="C9" s="59">
        <f>C4+2</f>
        <v>12</v>
      </c>
      <c r="D9" s="60">
        <v>140</v>
      </c>
      <c r="E9" s="60">
        <f t="shared" si="0"/>
        <v>1680</v>
      </c>
      <c r="G9" s="105"/>
      <c r="H9" s="107"/>
      <c r="I9" s="106"/>
      <c r="J9" s="104"/>
      <c r="K9" s="104"/>
      <c r="L9" s="104"/>
      <c r="M9" s="104"/>
      <c r="N9" s="104"/>
      <c r="O9" s="104"/>
    </row>
    <row r="10" spans="2:15" s="37" customFormat="1" ht="14.1" customHeight="1">
      <c r="B10" s="59" t="s">
        <v>37</v>
      </c>
      <c r="C10" s="59">
        <v>1</v>
      </c>
      <c r="D10" s="60">
        <v>800</v>
      </c>
      <c r="E10" s="60">
        <f t="shared" si="0"/>
        <v>800</v>
      </c>
      <c r="G10" s="105"/>
      <c r="H10" s="107"/>
      <c r="I10" s="106"/>
      <c r="J10" s="104"/>
      <c r="K10" s="104"/>
      <c r="L10" s="104"/>
      <c r="M10" s="104"/>
      <c r="N10" s="104"/>
      <c r="O10" s="104"/>
    </row>
    <row r="11" spans="2:15" s="37" customFormat="1" ht="14.1" customHeight="1">
      <c r="B11" s="59" t="s">
        <v>23</v>
      </c>
      <c r="C11" s="59">
        <v>1</v>
      </c>
      <c r="D11" s="60">
        <v>500</v>
      </c>
      <c r="E11" s="60">
        <f t="shared" si="0"/>
        <v>500</v>
      </c>
      <c r="G11" s="105"/>
      <c r="H11" s="107"/>
      <c r="I11" s="106"/>
      <c r="J11" s="104"/>
      <c r="K11" s="104"/>
      <c r="L11" s="104"/>
      <c r="M11" s="104"/>
      <c r="N11" s="104"/>
      <c r="O11" s="104"/>
    </row>
    <row r="12" spans="2:15" s="37" customFormat="1" ht="14.1" customHeight="1">
      <c r="B12" s="59" t="s">
        <v>34</v>
      </c>
      <c r="C12" s="59">
        <v>1</v>
      </c>
      <c r="D12" s="60">
        <v>300</v>
      </c>
      <c r="E12" s="60">
        <f t="shared" si="0"/>
        <v>300</v>
      </c>
      <c r="G12" s="105"/>
      <c r="H12" s="107"/>
      <c r="I12" s="106"/>
      <c r="J12" s="104"/>
      <c r="K12" s="104"/>
      <c r="L12" s="104"/>
      <c r="M12" s="104"/>
      <c r="N12" s="104"/>
      <c r="O12" s="104"/>
    </row>
    <row r="13" spans="2:15" s="37" customFormat="1" ht="14.1" customHeight="1">
      <c r="B13" s="59" t="s">
        <v>35</v>
      </c>
      <c r="C13" s="59">
        <v>1</v>
      </c>
      <c r="D13" s="60">
        <v>300</v>
      </c>
      <c r="E13" s="60">
        <f t="shared" si="0"/>
        <v>300</v>
      </c>
      <c r="G13" s="105"/>
      <c r="H13" s="107"/>
      <c r="I13" s="106"/>
      <c r="J13" s="104"/>
      <c r="K13" s="104"/>
      <c r="L13" s="104"/>
      <c r="M13" s="104"/>
      <c r="N13" s="104"/>
      <c r="O13" s="104"/>
    </row>
    <row r="14" spans="2:15" s="37" customFormat="1" ht="14.1" customHeight="1">
      <c r="B14" s="59" t="s">
        <v>36</v>
      </c>
      <c r="C14" s="59">
        <v>1</v>
      </c>
      <c r="D14" s="60">
        <v>300</v>
      </c>
      <c r="E14" s="60">
        <f t="shared" si="0"/>
        <v>300</v>
      </c>
      <c r="G14" s="105"/>
      <c r="H14" s="107"/>
      <c r="I14" s="106"/>
      <c r="J14" s="104"/>
      <c r="K14" s="104"/>
      <c r="L14" s="104"/>
      <c r="M14" s="104"/>
      <c r="N14" s="104"/>
      <c r="O14" s="104"/>
    </row>
    <row r="15" spans="2:15" s="37" customFormat="1" ht="14.1" customHeight="1">
      <c r="B15" s="59" t="s">
        <v>96</v>
      </c>
      <c r="C15" s="59">
        <v>1</v>
      </c>
      <c r="D15" s="60">
        <v>400</v>
      </c>
      <c r="E15" s="60">
        <f t="shared" si="0"/>
        <v>400</v>
      </c>
      <c r="G15" s="105"/>
      <c r="H15" s="107"/>
      <c r="I15" s="106"/>
      <c r="J15" s="104"/>
      <c r="K15" s="104"/>
      <c r="L15" s="104"/>
      <c r="M15" s="104"/>
      <c r="N15" s="104"/>
      <c r="O15" s="104"/>
    </row>
    <row r="16" spans="2:15" s="37" customFormat="1" ht="14.1" customHeight="1">
      <c r="B16" s="59" t="s">
        <v>84</v>
      </c>
      <c r="C16" s="59">
        <v>1</v>
      </c>
      <c r="D16" s="60">
        <v>900</v>
      </c>
      <c r="E16" s="60">
        <f t="shared" si="0"/>
        <v>900</v>
      </c>
      <c r="G16" s="105"/>
      <c r="H16" s="107"/>
      <c r="I16" s="106"/>
      <c r="J16" s="104"/>
      <c r="K16" s="104"/>
      <c r="L16" s="104"/>
      <c r="M16" s="104"/>
      <c r="N16" s="104"/>
      <c r="O16" s="104"/>
    </row>
    <row r="17" spans="2:15" s="37" customFormat="1" ht="14.1" customHeight="1">
      <c r="B17" s="59" t="s">
        <v>97</v>
      </c>
      <c r="C17" s="59">
        <v>1</v>
      </c>
      <c r="D17" s="60">
        <v>280</v>
      </c>
      <c r="E17" s="60">
        <f t="shared" si="0"/>
        <v>280</v>
      </c>
      <c r="G17" s="105"/>
      <c r="H17" s="107"/>
      <c r="I17" s="106"/>
      <c r="J17" s="104"/>
      <c r="K17" s="104"/>
      <c r="L17" s="104"/>
      <c r="M17" s="104"/>
      <c r="N17" s="104"/>
      <c r="O17" s="104"/>
    </row>
    <row r="18" spans="2:15" s="37" customFormat="1" ht="20.100000000000001" customHeight="1">
      <c r="B18" s="46"/>
      <c r="C18" s="46"/>
      <c r="D18" s="47"/>
      <c r="E18" s="48">
        <f>SUM(E8:E17)</f>
        <v>8460</v>
      </c>
      <c r="G18" s="105"/>
      <c r="H18" s="107"/>
      <c r="I18" s="106"/>
      <c r="J18" s="104"/>
      <c r="K18" s="104"/>
      <c r="L18" s="104"/>
      <c r="M18" s="104"/>
      <c r="N18" s="104"/>
      <c r="O18" s="104"/>
    </row>
    <row r="19" spans="2:15">
      <c r="B19" s="1"/>
      <c r="C19" s="1"/>
      <c r="D19" s="1"/>
      <c r="E19" s="1"/>
      <c r="G19" s="17"/>
      <c r="H19" s="18"/>
    </row>
    <row r="20" spans="2:15" s="34" customFormat="1" ht="20.100000000000001" customHeight="1">
      <c r="B20" s="123" t="s">
        <v>38</v>
      </c>
      <c r="C20" s="123"/>
      <c r="D20" s="123"/>
      <c r="E20" s="123"/>
      <c r="G20" s="35"/>
      <c r="H20" s="36"/>
    </row>
    <row r="21" spans="2:15" s="37" customFormat="1" ht="20.100000000000001" customHeight="1">
      <c r="B21" s="42" t="s">
        <v>1</v>
      </c>
      <c r="C21" s="44" t="s">
        <v>8</v>
      </c>
      <c r="D21" s="44" t="s">
        <v>22</v>
      </c>
      <c r="E21" s="44" t="s">
        <v>79</v>
      </c>
      <c r="G21" s="35"/>
      <c r="H21" s="36"/>
    </row>
    <row r="22" spans="2:15" s="13" customFormat="1">
      <c r="B22" s="61" t="s">
        <v>82</v>
      </c>
      <c r="C22" s="61">
        <f>C4+1</f>
        <v>11</v>
      </c>
      <c r="D22" s="62">
        <v>1200</v>
      </c>
      <c r="E22" s="62">
        <f>C22*D22</f>
        <v>13200</v>
      </c>
      <c r="G22" s="17"/>
      <c r="H22" s="18"/>
    </row>
    <row r="23" spans="2:15" s="13" customFormat="1">
      <c r="B23" s="61" t="s">
        <v>39</v>
      </c>
      <c r="C23" s="61">
        <v>1</v>
      </c>
      <c r="D23" s="62">
        <v>280</v>
      </c>
      <c r="E23" s="62">
        <f>C23*D23</f>
        <v>280</v>
      </c>
      <c r="G23" s="17"/>
      <c r="H23" s="18"/>
    </row>
    <row r="24" spans="2:15" s="13" customFormat="1">
      <c r="B24" s="61" t="s">
        <v>40</v>
      </c>
      <c r="C24" s="61">
        <v>1</v>
      </c>
      <c r="D24" s="62">
        <v>2000</v>
      </c>
      <c r="E24" s="62">
        <f>C24*D24</f>
        <v>2000</v>
      </c>
      <c r="G24" s="17"/>
      <c r="H24" s="18"/>
    </row>
    <row r="25" spans="2:15" s="38" customFormat="1" ht="20.100000000000001" customHeight="1">
      <c r="D25" s="37"/>
      <c r="E25" s="49">
        <f>SUM(E22:E24)</f>
        <v>15480</v>
      </c>
      <c r="G25" s="35"/>
      <c r="H25" s="36"/>
    </row>
    <row r="26" spans="2:15" s="13" customFormat="1">
      <c r="D26" s="1"/>
      <c r="E26" s="1"/>
    </row>
    <row r="27" spans="2:15" s="35" customFormat="1" ht="20.100000000000001" customHeight="1">
      <c r="B27" s="124" t="s">
        <v>42</v>
      </c>
      <c r="C27" s="125"/>
      <c r="D27" s="34"/>
    </row>
    <row r="28" spans="2:15" s="38" customFormat="1" ht="20.100000000000001" customHeight="1">
      <c r="B28" s="42" t="s">
        <v>1</v>
      </c>
      <c r="C28" s="44" t="s">
        <v>79</v>
      </c>
    </row>
    <row r="29" spans="2:15" s="13" customFormat="1">
      <c r="B29" s="61" t="s">
        <v>41</v>
      </c>
      <c r="C29" s="62">
        <f>E18</f>
        <v>8460</v>
      </c>
      <c r="D29" s="3"/>
    </row>
    <row r="30" spans="2:15" s="13" customFormat="1">
      <c r="B30" s="63" t="s">
        <v>38</v>
      </c>
      <c r="C30" s="64">
        <f>E25</f>
        <v>15480</v>
      </c>
    </row>
    <row r="31" spans="2:15" s="13" customFormat="1">
      <c r="B31" s="63" t="s">
        <v>43</v>
      </c>
      <c r="C31" s="64">
        <v>3500</v>
      </c>
    </row>
    <row r="32" spans="2:15" s="13" customFormat="1">
      <c r="B32" s="61" t="s">
        <v>44</v>
      </c>
      <c r="C32" s="62">
        <v>10000</v>
      </c>
    </row>
    <row r="33" spans="2:3" s="13" customFormat="1">
      <c r="B33" s="61" t="s">
        <v>83</v>
      </c>
      <c r="C33" s="62">
        <v>500</v>
      </c>
    </row>
    <row r="34" spans="2:3" s="38" customFormat="1" ht="20.100000000000001" customHeight="1">
      <c r="B34" s="50" t="s">
        <v>9</v>
      </c>
      <c r="C34" s="51">
        <f>SUM(C29:C33)</f>
        <v>37940</v>
      </c>
    </row>
    <row r="35" spans="2:3" s="13" customFormat="1"/>
    <row r="36" spans="2:3" s="13" customFormat="1"/>
    <row r="37" spans="2:3" s="13" customFormat="1"/>
    <row r="38" spans="2:3" s="13" customFormat="1"/>
    <row r="39" spans="2:3" s="13" customFormat="1"/>
    <row r="40" spans="2:3" s="13" customFormat="1"/>
    <row r="41" spans="2:3" s="13" customFormat="1"/>
    <row r="42" spans="2:3" s="13" customFormat="1"/>
    <row r="43" spans="2:3" s="13" customFormat="1"/>
    <row r="44" spans="2:3" s="13" customFormat="1"/>
    <row r="45" spans="2:3" s="13" customFormat="1"/>
    <row r="46" spans="2:3" s="13" customFormat="1"/>
    <row r="47" spans="2:3" s="13" customFormat="1"/>
    <row r="48" spans="2:3" s="13" customFormat="1"/>
    <row r="49" spans="2:8" s="13" customFormat="1"/>
    <row r="50" spans="2:8" s="13" customFormat="1"/>
    <row r="51" spans="2:8" s="13" customFormat="1"/>
    <row r="52" spans="2:8" s="13" customFormat="1"/>
    <row r="53" spans="2:8" s="13" customFormat="1"/>
    <row r="54" spans="2:8" s="13" customFormat="1"/>
    <row r="55" spans="2:8" s="13" customFormat="1"/>
    <row r="56" spans="2:8" s="13" customFormat="1"/>
    <row r="57" spans="2:8" s="13" customFormat="1"/>
    <row r="58" spans="2:8" s="13" customFormat="1"/>
    <row r="59" spans="2:8" s="13" customFormat="1">
      <c r="B59"/>
      <c r="D59"/>
      <c r="E59"/>
    </row>
    <row r="60" spans="2:8" s="13" customFormat="1">
      <c r="B60"/>
      <c r="C60"/>
      <c r="D60"/>
      <c r="E60"/>
    </row>
    <row r="61" spans="2:8" s="13" customFormat="1">
      <c r="B61"/>
      <c r="C61"/>
      <c r="D61"/>
      <c r="E61"/>
    </row>
    <row r="62" spans="2:8" s="13" customFormat="1">
      <c r="B62"/>
      <c r="C62"/>
      <c r="D62"/>
      <c r="E62"/>
    </row>
    <row r="63" spans="2:8" s="13" customFormat="1">
      <c r="B63"/>
      <c r="C63"/>
      <c r="D63"/>
      <c r="E63"/>
      <c r="G63"/>
      <c r="H63"/>
    </row>
    <row r="64" spans="2:8" s="13" customFormat="1">
      <c r="B64"/>
      <c r="C64"/>
      <c r="D64"/>
      <c r="E64"/>
      <c r="G64"/>
      <c r="H64"/>
    </row>
    <row r="65" spans="2:8" s="13" customFormat="1">
      <c r="B65"/>
      <c r="C65"/>
      <c r="D65"/>
      <c r="E65"/>
      <c r="G65"/>
      <c r="H65"/>
    </row>
    <row r="66" spans="2:8" s="13" customFormat="1">
      <c r="B66"/>
      <c r="C66"/>
      <c r="D66"/>
      <c r="E66"/>
      <c r="G66"/>
      <c r="H66"/>
    </row>
  </sheetData>
  <mergeCells count="4">
    <mergeCell ref="B6:E6"/>
    <mergeCell ref="B20:E20"/>
    <mergeCell ref="B27:C27"/>
    <mergeCell ref="G2:O2"/>
  </mergeCells>
  <phoneticPr fontId="2" type="noConversion"/>
  <pageMargins left="0.78740157499999996" right="0.78740157499999996" top="0.5" bottom="0.984251969" header="0.49212598499999999" footer="0.49212598499999999"/>
  <pageSetup paperSize="9" orientation="landscape"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R49"/>
  <sheetViews>
    <sheetView showGridLines="0" zoomScale="130" zoomScaleNormal="130" workbookViewId="0" xr3:uid="{842E5F09-E766-5B8D-85AF-A39847EA96FD}">
      <selection activeCell="D1" sqref="D1"/>
    </sheetView>
  </sheetViews>
  <sheetFormatPr defaultColWidth="9.16796875" defaultRowHeight="12.75"/>
  <cols>
    <col min="1" max="1" width="4.71875" style="6" customWidth="1"/>
    <col min="2" max="2" width="23.734375" style="6" customWidth="1"/>
    <col min="3" max="3" width="15.1015625" style="6" customWidth="1"/>
    <col min="4" max="4" width="11.8671875" style="6" bestFit="1" customWidth="1"/>
    <col min="5" max="5" width="31.41796875" style="6" customWidth="1"/>
    <col min="6" max="6" width="26.69921875" style="6" customWidth="1"/>
    <col min="7" max="7" width="15.37109375" style="6" bestFit="1" customWidth="1"/>
    <col min="8" max="8" width="13.88671875" style="6" bestFit="1" customWidth="1"/>
    <col min="9" max="9" width="10.78515625" style="6" customWidth="1"/>
    <col min="10" max="10" width="9.4375" style="6" bestFit="1" customWidth="1"/>
    <col min="11" max="11" width="17.39453125" style="6" customWidth="1"/>
    <col min="12" max="12" width="12.26953125" style="6" bestFit="1" customWidth="1"/>
    <col min="13" max="16384" width="9.16796875" style="6"/>
  </cols>
  <sheetData>
    <row r="1" spans="2:18" ht="99.95" customHeight="1"/>
    <row r="2" spans="2:18" ht="20.100000000000001" customHeight="1" thickBot="1">
      <c r="B2" s="142" t="s">
        <v>66</v>
      </c>
      <c r="C2" s="142"/>
      <c r="D2" s="142"/>
      <c r="E2" s="142"/>
      <c r="F2" s="142"/>
      <c r="G2" s="142"/>
      <c r="H2" s="142"/>
      <c r="I2" s="108"/>
      <c r="J2" s="108"/>
    </row>
    <row r="3" spans="2:18" ht="20.100000000000001" customHeight="1">
      <c r="B3" s="114" t="s">
        <v>2</v>
      </c>
      <c r="C3" s="129"/>
      <c r="D3" s="129"/>
      <c r="E3" s="129"/>
      <c r="F3" s="129"/>
    </row>
    <row r="4" spans="2:18" ht="5.0999999999999996" customHeight="1">
      <c r="F4" s="7"/>
      <c r="G4" s="7"/>
      <c r="H4" s="7"/>
      <c r="I4" s="7"/>
    </row>
    <row r="5" spans="2:18" ht="9.9499999999999993" customHeight="1">
      <c r="B5" s="143" t="s">
        <v>86</v>
      </c>
      <c r="C5" s="133">
        <v>10</v>
      </c>
      <c r="D5" s="2"/>
      <c r="E5" s="2"/>
      <c r="F5" s="7"/>
      <c r="G5" s="7"/>
      <c r="H5" s="7"/>
      <c r="I5" s="7"/>
    </row>
    <row r="6" spans="2:18" ht="9.9499999999999993" customHeight="1" thickBot="1">
      <c r="B6" s="144"/>
      <c r="C6" s="134"/>
      <c r="D6" s="109"/>
      <c r="E6" s="109"/>
      <c r="F6" s="110"/>
      <c r="G6" s="110"/>
      <c r="H6" s="110"/>
      <c r="I6" s="7"/>
    </row>
    <row r="7" spans="2:18">
      <c r="F7" s="7"/>
      <c r="G7" s="7"/>
      <c r="H7" s="7"/>
      <c r="I7" s="7"/>
    </row>
    <row r="8" spans="2:18" s="39" customFormat="1" ht="20.100000000000001" customHeight="1">
      <c r="B8" s="124" t="s">
        <v>55</v>
      </c>
      <c r="C8" s="125"/>
      <c r="E8" s="132" t="s">
        <v>68</v>
      </c>
      <c r="F8" s="132"/>
      <c r="G8" s="132"/>
      <c r="H8" s="132"/>
      <c r="I8" s="40"/>
      <c r="J8" s="126" t="s">
        <v>93</v>
      </c>
      <c r="K8" s="126"/>
      <c r="L8" s="126"/>
      <c r="M8" s="126"/>
      <c r="N8" s="126"/>
      <c r="O8" s="126"/>
      <c r="P8" s="126"/>
      <c r="Q8" s="126"/>
      <c r="R8" s="126"/>
    </row>
    <row r="9" spans="2:18">
      <c r="B9" s="52" t="s">
        <v>1</v>
      </c>
      <c r="C9" s="52" t="s">
        <v>15</v>
      </c>
      <c r="D9" s="9"/>
      <c r="E9" s="52" t="s">
        <v>7</v>
      </c>
      <c r="F9" s="52" t="s">
        <v>6</v>
      </c>
      <c r="G9" s="52" t="s">
        <v>8</v>
      </c>
      <c r="H9" s="52" t="s">
        <v>10</v>
      </c>
      <c r="I9" s="8"/>
      <c r="J9" s="145" t="s">
        <v>95</v>
      </c>
      <c r="K9" s="145"/>
      <c r="L9" s="145"/>
      <c r="M9" s="145"/>
      <c r="N9" s="145"/>
      <c r="O9" s="145"/>
      <c r="P9" s="145"/>
      <c r="Q9" s="145"/>
      <c r="R9" s="145"/>
    </row>
    <row r="10" spans="2:18">
      <c r="B10" s="90" t="s">
        <v>67</v>
      </c>
      <c r="C10" s="66">
        <f>H14</f>
        <v>11776</v>
      </c>
      <c r="D10" s="9"/>
      <c r="E10" s="89" t="s">
        <v>89</v>
      </c>
      <c r="F10" s="66">
        <v>950</v>
      </c>
      <c r="G10" s="69">
        <v>4</v>
      </c>
      <c r="H10" s="68">
        <f>F10*G10</f>
        <v>3800</v>
      </c>
      <c r="I10" s="12"/>
      <c r="J10" s="145"/>
      <c r="K10" s="145"/>
      <c r="L10" s="145"/>
      <c r="M10" s="145"/>
      <c r="N10" s="145"/>
      <c r="O10" s="145"/>
      <c r="P10" s="145"/>
      <c r="Q10" s="145"/>
      <c r="R10" s="145"/>
    </row>
    <row r="11" spans="2:18">
      <c r="B11" s="65" t="s">
        <v>73</v>
      </c>
      <c r="C11" s="66">
        <v>517.5</v>
      </c>
      <c r="D11" s="9"/>
      <c r="E11" s="89" t="s">
        <v>87</v>
      </c>
      <c r="F11" s="66">
        <v>880</v>
      </c>
      <c r="G11" s="70">
        <v>2</v>
      </c>
      <c r="H11" s="68">
        <f>F11*G11</f>
        <v>1760</v>
      </c>
      <c r="I11" s="22"/>
      <c r="J11" s="146" t="s">
        <v>94</v>
      </c>
      <c r="K11" s="146"/>
      <c r="L11" s="146"/>
      <c r="M11" s="146"/>
      <c r="N11" s="146"/>
      <c r="O11" s="146"/>
      <c r="P11" s="146"/>
      <c r="Q11" s="146"/>
      <c r="R11" s="146"/>
    </row>
    <row r="12" spans="2:18">
      <c r="B12" s="65" t="s">
        <v>57</v>
      </c>
      <c r="C12" s="66">
        <v>150</v>
      </c>
      <c r="D12" s="9"/>
      <c r="E12" s="89" t="s">
        <v>88</v>
      </c>
      <c r="F12" s="66">
        <v>1800</v>
      </c>
      <c r="G12" s="70">
        <v>1</v>
      </c>
      <c r="H12" s="68">
        <f>F12*G12</f>
        <v>1800</v>
      </c>
      <c r="I12" s="22"/>
      <c r="J12" s="146"/>
      <c r="K12" s="146"/>
      <c r="L12" s="146"/>
      <c r="M12" s="146"/>
      <c r="N12" s="146"/>
      <c r="O12" s="146"/>
      <c r="P12" s="146"/>
      <c r="Q12" s="146"/>
      <c r="R12" s="146"/>
    </row>
    <row r="13" spans="2:18">
      <c r="B13" s="65" t="s">
        <v>81</v>
      </c>
      <c r="C13" s="66">
        <v>210</v>
      </c>
      <c r="D13" s="9"/>
      <c r="E13" s="89" t="s">
        <v>90</v>
      </c>
      <c r="F13" s="99">
        <v>0.6</v>
      </c>
      <c r="G13" s="70"/>
      <c r="H13" s="68">
        <f>SUM(H10:H12)*F13</f>
        <v>4416</v>
      </c>
      <c r="I13" s="22"/>
      <c r="J13" s="146" t="s">
        <v>104</v>
      </c>
      <c r="K13" s="146"/>
      <c r="L13" s="146"/>
      <c r="M13" s="146"/>
      <c r="N13" s="146"/>
      <c r="O13" s="146"/>
      <c r="P13" s="146"/>
      <c r="Q13" s="146"/>
      <c r="R13" s="146"/>
    </row>
    <row r="14" spans="2:18">
      <c r="B14" s="90" t="s">
        <v>91</v>
      </c>
      <c r="C14" s="66">
        <v>900</v>
      </c>
      <c r="D14" s="9"/>
      <c r="E14" s="130" t="s">
        <v>9</v>
      </c>
      <c r="F14" s="131"/>
      <c r="G14" s="73">
        <f>SUM(G10:G12)</f>
        <v>7</v>
      </c>
      <c r="H14" s="43">
        <f>SUM(H10:H13)</f>
        <v>11776</v>
      </c>
      <c r="I14" s="10"/>
      <c r="J14" s="146"/>
      <c r="K14" s="146"/>
      <c r="L14" s="146"/>
      <c r="M14" s="146"/>
      <c r="N14" s="146"/>
      <c r="O14" s="146"/>
      <c r="P14" s="146"/>
      <c r="Q14" s="146"/>
      <c r="R14" s="146"/>
    </row>
    <row r="15" spans="2:18" ht="13.5" thickBot="1">
      <c r="B15" s="65" t="s">
        <v>62</v>
      </c>
      <c r="C15" s="66">
        <v>60</v>
      </c>
      <c r="D15" s="9"/>
      <c r="J15" s="147" t="s">
        <v>105</v>
      </c>
      <c r="K15" s="147"/>
      <c r="L15" s="147"/>
      <c r="M15" s="147"/>
      <c r="N15" s="147"/>
      <c r="O15" s="147"/>
      <c r="P15" s="147"/>
      <c r="Q15" s="147"/>
      <c r="R15" s="147"/>
    </row>
    <row r="16" spans="2:18" ht="13.5" thickBot="1">
      <c r="B16" s="90" t="s">
        <v>92</v>
      </c>
      <c r="C16" s="66">
        <f>89*C5</f>
        <v>890</v>
      </c>
      <c r="D16" s="9"/>
      <c r="E16" s="137" t="s">
        <v>74</v>
      </c>
      <c r="F16" s="138"/>
      <c r="G16" s="135"/>
      <c r="H16" s="136"/>
      <c r="J16" s="147"/>
      <c r="K16" s="147"/>
      <c r="L16" s="147"/>
      <c r="M16" s="147"/>
      <c r="N16" s="147"/>
      <c r="O16" s="147"/>
      <c r="P16" s="147"/>
      <c r="Q16" s="147"/>
      <c r="R16" s="147"/>
    </row>
    <row r="17" spans="2:18">
      <c r="B17" s="65" t="s">
        <v>50</v>
      </c>
      <c r="C17" s="66">
        <v>400</v>
      </c>
      <c r="D17" s="9"/>
      <c r="E17" s="71" t="s">
        <v>16</v>
      </c>
      <c r="F17" s="72">
        <v>0.5</v>
      </c>
      <c r="J17" s="148" t="s">
        <v>106</v>
      </c>
      <c r="K17" s="148"/>
      <c r="L17" s="148"/>
      <c r="M17" s="148"/>
      <c r="N17" s="148"/>
      <c r="O17" s="148"/>
      <c r="P17" s="148"/>
      <c r="Q17" s="148"/>
      <c r="R17" s="148"/>
    </row>
    <row r="18" spans="2:18">
      <c r="B18" s="91" t="s">
        <v>77</v>
      </c>
      <c r="C18" s="68">
        <f>G31</f>
        <v>1457.0324999999998</v>
      </c>
      <c r="D18" s="9"/>
      <c r="E18" s="63" t="s">
        <v>17</v>
      </c>
      <c r="F18" s="94">
        <v>900</v>
      </c>
      <c r="J18" s="148"/>
      <c r="K18" s="148"/>
      <c r="L18" s="148"/>
      <c r="M18" s="148"/>
      <c r="N18" s="148"/>
      <c r="O18" s="148"/>
      <c r="P18" s="148"/>
      <c r="Q18" s="148"/>
      <c r="R18" s="148"/>
    </row>
    <row r="19" spans="2:18">
      <c r="B19" s="25" t="s">
        <v>11</v>
      </c>
      <c r="C19" s="26">
        <f>SUM(C10:C18)</f>
        <v>16360.532499999999</v>
      </c>
      <c r="D19" s="9"/>
      <c r="E19" s="63" t="s">
        <v>18</v>
      </c>
      <c r="F19" s="93">
        <v>0.15</v>
      </c>
      <c r="J19" s="148" t="s">
        <v>107</v>
      </c>
      <c r="K19" s="148"/>
      <c r="L19" s="148"/>
      <c r="M19" s="148"/>
      <c r="N19" s="148"/>
      <c r="O19" s="148"/>
      <c r="P19" s="148"/>
      <c r="Q19" s="148"/>
      <c r="R19" s="148"/>
    </row>
    <row r="20" spans="2:18" s="39" customFormat="1" ht="20.100000000000001" customHeight="1">
      <c r="B20" s="124" t="s">
        <v>58</v>
      </c>
      <c r="C20" s="125"/>
      <c r="D20" s="41"/>
      <c r="E20" s="85" t="s">
        <v>9</v>
      </c>
      <c r="F20" s="86">
        <f>((F17*F18))*(1+F19)</f>
        <v>517.5</v>
      </c>
      <c r="J20" s="148"/>
      <c r="K20" s="148"/>
      <c r="L20" s="148"/>
      <c r="M20" s="148"/>
      <c r="N20" s="148"/>
      <c r="O20" s="148"/>
      <c r="P20" s="148"/>
      <c r="Q20" s="148"/>
      <c r="R20" s="148"/>
    </row>
    <row r="21" spans="2:18">
      <c r="B21" s="81" t="s">
        <v>49</v>
      </c>
      <c r="C21" s="66">
        <f>C30*8%</f>
        <v>2772</v>
      </c>
      <c r="D21" s="9"/>
      <c r="J21" s="105"/>
      <c r="K21" s="107"/>
      <c r="L21" s="106"/>
      <c r="M21" s="104"/>
      <c r="N21" s="104"/>
      <c r="O21" s="104"/>
      <c r="P21" s="104"/>
      <c r="Q21" s="104"/>
      <c r="R21" s="104"/>
    </row>
    <row r="22" spans="2:18">
      <c r="B22" s="81" t="s">
        <v>24</v>
      </c>
      <c r="C22" s="66">
        <v>150</v>
      </c>
      <c r="D22" s="9"/>
      <c r="E22" s="84" t="s">
        <v>20</v>
      </c>
      <c r="F22" s="23">
        <v>0.01</v>
      </c>
      <c r="G22" s="20" t="s">
        <v>59</v>
      </c>
      <c r="J22" s="116" t="s">
        <v>102</v>
      </c>
      <c r="K22" s="107" t="s">
        <v>52</v>
      </c>
      <c r="L22" s="106"/>
      <c r="M22" s="104"/>
      <c r="N22" s="104"/>
      <c r="O22" s="104"/>
      <c r="P22" s="104"/>
      <c r="Q22" s="104"/>
      <c r="R22" s="104"/>
    </row>
    <row r="23" spans="2:18" ht="13.5" thickBot="1">
      <c r="B23" s="81" t="s">
        <v>19</v>
      </c>
      <c r="C23" s="68">
        <f>C30*F22</f>
        <v>346.5</v>
      </c>
      <c r="J23" s="117"/>
      <c r="K23" s="118"/>
      <c r="L23" s="46"/>
      <c r="M23" s="39"/>
      <c r="N23" s="39"/>
      <c r="O23" s="39"/>
      <c r="P23" s="39"/>
      <c r="Q23" s="39"/>
      <c r="R23" s="39"/>
    </row>
    <row r="24" spans="2:18">
      <c r="B24" s="82" t="s">
        <v>11</v>
      </c>
      <c r="C24" s="83">
        <f>SUM(C21:C23)</f>
        <v>3268.5</v>
      </c>
      <c r="E24" s="54" t="s">
        <v>78</v>
      </c>
      <c r="F24" s="53" t="s">
        <v>48</v>
      </c>
      <c r="G24" s="55" t="s">
        <v>15</v>
      </c>
      <c r="J24" s="117"/>
      <c r="K24" s="118"/>
      <c r="L24" s="46"/>
      <c r="M24" s="39"/>
      <c r="N24" s="39"/>
      <c r="O24" s="39"/>
      <c r="P24" s="39"/>
      <c r="Q24" s="39"/>
      <c r="R24" s="39"/>
    </row>
    <row r="25" spans="2:18">
      <c r="B25" s="74" t="s">
        <v>9</v>
      </c>
      <c r="C25" s="75">
        <f>C19+C24</f>
        <v>19629.032500000001</v>
      </c>
      <c r="E25" s="87" t="s">
        <v>51</v>
      </c>
      <c r="F25" s="95">
        <v>0.5</v>
      </c>
      <c r="G25" s="88">
        <f>F25*C30</f>
        <v>17325</v>
      </c>
    </row>
    <row r="26" spans="2:18" ht="12.75" customHeight="1">
      <c r="E26" s="76" t="s">
        <v>46</v>
      </c>
      <c r="F26" s="96">
        <v>0.03</v>
      </c>
      <c r="G26" s="77">
        <f>G25*F26</f>
        <v>519.75</v>
      </c>
    </row>
    <row r="27" spans="2:18">
      <c r="B27" s="127" t="s">
        <v>21</v>
      </c>
      <c r="C27" s="128"/>
      <c r="E27" s="76" t="s">
        <v>47</v>
      </c>
      <c r="F27" s="96">
        <v>0.03</v>
      </c>
      <c r="G27" s="77">
        <f>G25*F27</f>
        <v>519.75</v>
      </c>
    </row>
    <row r="28" spans="2:18">
      <c r="B28" s="67" t="s">
        <v>12</v>
      </c>
      <c r="C28" s="92">
        <f>C5*35</f>
        <v>350</v>
      </c>
      <c r="E28" s="76" t="s">
        <v>45</v>
      </c>
      <c r="F28" s="97">
        <v>6.4999999999999997E-3</v>
      </c>
      <c r="G28" s="77">
        <f>G25*F28</f>
        <v>112.6125</v>
      </c>
    </row>
    <row r="29" spans="2:18">
      <c r="B29" s="67" t="s">
        <v>5</v>
      </c>
      <c r="C29" s="66">
        <v>99</v>
      </c>
      <c r="E29" s="76" t="s">
        <v>53</v>
      </c>
      <c r="F29" s="96" t="s">
        <v>75</v>
      </c>
      <c r="G29" s="78">
        <f>((G25*32%)*9%)/3</f>
        <v>166.32</v>
      </c>
    </row>
    <row r="30" spans="2:18">
      <c r="B30" s="67" t="s">
        <v>52</v>
      </c>
      <c r="C30" s="66">
        <f>C28*C29</f>
        <v>34650</v>
      </c>
      <c r="E30" s="79" t="s">
        <v>54</v>
      </c>
      <c r="F30" s="98" t="s">
        <v>76</v>
      </c>
      <c r="G30" s="80">
        <f>((G25*16%)*15%)/3</f>
        <v>138.6</v>
      </c>
      <c r="H30" s="21"/>
    </row>
    <row r="31" spans="2:18" s="100" customFormat="1" ht="20.100000000000001" customHeight="1">
      <c r="E31" s="101" t="s">
        <v>56</v>
      </c>
      <c r="F31" s="102"/>
      <c r="G31" s="51">
        <f>SUM(G26:G30)</f>
        <v>1457.0324999999998</v>
      </c>
    </row>
    <row r="32" spans="2:18" ht="13.5" thickBot="1">
      <c r="H32" s="28"/>
    </row>
    <row r="33" spans="2:12" s="39" customFormat="1" ht="20.100000000000001" customHeight="1" thickBot="1">
      <c r="B33" s="139" t="s">
        <v>3</v>
      </c>
      <c r="C33" s="140"/>
      <c r="D33" s="140"/>
      <c r="E33" s="140"/>
      <c r="F33" s="140"/>
      <c r="G33" s="140"/>
      <c r="H33" s="141"/>
    </row>
    <row r="34" spans="2:12" s="39" customFormat="1" ht="20.100000000000001" customHeight="1">
      <c r="B34" s="56" t="s">
        <v>14</v>
      </c>
      <c r="C34" s="57" t="s">
        <v>25</v>
      </c>
      <c r="D34" s="57" t="s">
        <v>13</v>
      </c>
      <c r="E34" s="57" t="s">
        <v>69</v>
      </c>
      <c r="F34" s="57" t="s">
        <v>60</v>
      </c>
      <c r="G34" s="58" t="s">
        <v>61</v>
      </c>
      <c r="H34" s="58" t="s">
        <v>4</v>
      </c>
    </row>
    <row r="35" spans="2:12">
      <c r="B35" s="4" t="s">
        <v>26</v>
      </c>
      <c r="C35" s="16">
        <v>40</v>
      </c>
      <c r="D35" s="5">
        <f>C35/$C$28</f>
        <v>0.11428571428571428</v>
      </c>
      <c r="E35" s="111" t="s">
        <v>100</v>
      </c>
      <c r="F35" s="15">
        <f t="shared" ref="F35:F40" si="0">($C$28*$C$29)*D35</f>
        <v>3960</v>
      </c>
      <c r="G35" s="14">
        <f>$C$25</f>
        <v>19629.032500000001</v>
      </c>
      <c r="H35" s="27">
        <f t="shared" ref="H35:H46" si="1">F35-G35</f>
        <v>-15669.032500000001</v>
      </c>
    </row>
    <row r="36" spans="2:12">
      <c r="B36" s="4" t="s">
        <v>27</v>
      </c>
      <c r="C36" s="16">
        <v>140</v>
      </c>
      <c r="D36" s="5">
        <f t="shared" ref="D36:D46" si="2">C36/$C$28</f>
        <v>0.4</v>
      </c>
      <c r="E36" s="111" t="s">
        <v>98</v>
      </c>
      <c r="F36" s="15">
        <f t="shared" si="0"/>
        <v>13860</v>
      </c>
      <c r="G36" s="14">
        <f t="shared" ref="G36:G46" si="3">$C$25</f>
        <v>19629.032500000001</v>
      </c>
      <c r="H36" s="11">
        <f t="shared" si="1"/>
        <v>-5769.0325000000012</v>
      </c>
    </row>
    <row r="37" spans="2:12">
      <c r="B37" s="4" t="s">
        <v>28</v>
      </c>
      <c r="C37" s="16">
        <v>160</v>
      </c>
      <c r="D37" s="5">
        <f t="shared" si="2"/>
        <v>0.45714285714285713</v>
      </c>
      <c r="E37" s="111" t="s">
        <v>99</v>
      </c>
      <c r="F37" s="15">
        <f t="shared" si="0"/>
        <v>15840</v>
      </c>
      <c r="G37" s="14">
        <f t="shared" si="3"/>
        <v>19629.032500000001</v>
      </c>
      <c r="H37" s="11">
        <f t="shared" si="1"/>
        <v>-3789.0325000000012</v>
      </c>
    </row>
    <row r="38" spans="2:12">
      <c r="B38" s="4" t="s">
        <v>29</v>
      </c>
      <c r="C38" s="16">
        <v>180</v>
      </c>
      <c r="D38" s="5">
        <f t="shared" si="2"/>
        <v>0.51428571428571423</v>
      </c>
      <c r="E38" s="111" t="s">
        <v>99</v>
      </c>
      <c r="F38" s="15">
        <f t="shared" si="0"/>
        <v>17820</v>
      </c>
      <c r="G38" s="14">
        <f t="shared" si="3"/>
        <v>19629.032500000001</v>
      </c>
      <c r="H38" s="11">
        <f t="shared" si="1"/>
        <v>-1809.0325000000012</v>
      </c>
    </row>
    <row r="39" spans="2:12">
      <c r="B39" s="4" t="s">
        <v>30</v>
      </c>
      <c r="C39" s="16">
        <v>200</v>
      </c>
      <c r="D39" s="5">
        <f t="shared" si="2"/>
        <v>0.5714285714285714</v>
      </c>
      <c r="E39" s="5"/>
      <c r="F39" s="15">
        <f t="shared" si="0"/>
        <v>19800</v>
      </c>
      <c r="G39" s="14">
        <f t="shared" si="3"/>
        <v>19629.032500000001</v>
      </c>
      <c r="H39" s="11">
        <f t="shared" si="1"/>
        <v>170.96749999999884</v>
      </c>
    </row>
    <row r="40" spans="2:12">
      <c r="B40" s="4" t="s">
        <v>31</v>
      </c>
      <c r="C40" s="16">
        <v>220</v>
      </c>
      <c r="D40" s="5">
        <f t="shared" si="2"/>
        <v>0.62857142857142856</v>
      </c>
      <c r="E40" s="5"/>
      <c r="F40" s="15">
        <f t="shared" si="0"/>
        <v>21780</v>
      </c>
      <c r="G40" s="14">
        <f t="shared" si="3"/>
        <v>19629.032500000001</v>
      </c>
      <c r="H40" s="11">
        <f t="shared" si="1"/>
        <v>2150.9674999999988</v>
      </c>
      <c r="I40" s="9"/>
    </row>
    <row r="41" spans="2:12">
      <c r="B41" s="4" t="s">
        <v>63</v>
      </c>
      <c r="C41" s="16">
        <v>240</v>
      </c>
      <c r="D41" s="5">
        <f t="shared" si="2"/>
        <v>0.68571428571428572</v>
      </c>
      <c r="E41" s="5"/>
      <c r="F41" s="15">
        <f t="shared" ref="F41:F46" si="4">($C$28*$C$29)*D41</f>
        <v>23760</v>
      </c>
      <c r="G41" s="14">
        <f t="shared" si="3"/>
        <v>19629.032500000001</v>
      </c>
      <c r="H41" s="11">
        <f t="shared" si="1"/>
        <v>4130.9674999999988</v>
      </c>
      <c r="I41" s="19"/>
    </row>
    <row r="42" spans="2:12">
      <c r="B42" s="4" t="s">
        <v>64</v>
      </c>
      <c r="C42" s="16">
        <v>260</v>
      </c>
      <c r="D42" s="5">
        <f t="shared" si="2"/>
        <v>0.74285714285714288</v>
      </c>
      <c r="E42" s="5"/>
      <c r="F42" s="15">
        <f t="shared" si="4"/>
        <v>25740</v>
      </c>
      <c r="G42" s="14">
        <f t="shared" si="3"/>
        <v>19629.032500000001</v>
      </c>
      <c r="H42" s="11">
        <f t="shared" si="1"/>
        <v>6110.9674999999988</v>
      </c>
      <c r="J42" s="24"/>
    </row>
    <row r="43" spans="2:12">
      <c r="B43" s="4" t="s">
        <v>65</v>
      </c>
      <c r="C43" s="16">
        <v>280</v>
      </c>
      <c r="D43" s="5">
        <f t="shared" si="2"/>
        <v>0.8</v>
      </c>
      <c r="E43" s="5"/>
      <c r="F43" s="15">
        <f t="shared" si="4"/>
        <v>27720</v>
      </c>
      <c r="G43" s="14">
        <f t="shared" si="3"/>
        <v>19629.032500000001</v>
      </c>
      <c r="H43" s="11">
        <f t="shared" si="1"/>
        <v>8090.9674999999988</v>
      </c>
      <c r="J43" s="24"/>
    </row>
    <row r="44" spans="2:12">
      <c r="B44" s="4" t="s">
        <v>70</v>
      </c>
      <c r="C44" s="16">
        <v>300</v>
      </c>
      <c r="D44" s="5">
        <f t="shared" si="2"/>
        <v>0.8571428571428571</v>
      </c>
      <c r="E44" s="5"/>
      <c r="F44" s="15">
        <f t="shared" si="4"/>
        <v>29700</v>
      </c>
      <c r="G44" s="14">
        <f t="shared" si="3"/>
        <v>19629.032500000001</v>
      </c>
      <c r="H44" s="11">
        <f t="shared" si="1"/>
        <v>10070.967499999999</v>
      </c>
      <c r="I44" s="2"/>
      <c r="J44" s="2"/>
      <c r="K44" s="2"/>
      <c r="L44" s="24"/>
    </row>
    <row r="45" spans="2:12">
      <c r="B45" s="4" t="s">
        <v>71</v>
      </c>
      <c r="C45" s="16">
        <v>320</v>
      </c>
      <c r="D45" s="5">
        <f t="shared" si="2"/>
        <v>0.91428571428571426</v>
      </c>
      <c r="E45" s="5"/>
      <c r="F45" s="15">
        <f t="shared" si="4"/>
        <v>31680</v>
      </c>
      <c r="G45" s="14">
        <f t="shared" si="3"/>
        <v>19629.032500000001</v>
      </c>
      <c r="H45" s="11">
        <f t="shared" si="1"/>
        <v>12050.967499999999</v>
      </c>
      <c r="J45" s="19"/>
      <c r="K45" s="2"/>
      <c r="L45" s="24"/>
    </row>
    <row r="46" spans="2:12">
      <c r="B46" s="4" t="s">
        <v>72</v>
      </c>
      <c r="C46" s="16">
        <v>340</v>
      </c>
      <c r="D46" s="5">
        <f t="shared" si="2"/>
        <v>0.97142857142857142</v>
      </c>
      <c r="E46" s="5"/>
      <c r="F46" s="15">
        <f t="shared" si="4"/>
        <v>33660</v>
      </c>
      <c r="G46" s="14">
        <f t="shared" si="3"/>
        <v>19629.032500000001</v>
      </c>
      <c r="H46" s="11">
        <f t="shared" si="1"/>
        <v>14030.967499999999</v>
      </c>
      <c r="J46" s="19"/>
      <c r="K46" s="2"/>
      <c r="L46" s="2"/>
    </row>
    <row r="47" spans="2:12">
      <c r="B47" s="4"/>
      <c r="C47" s="16"/>
      <c r="D47" s="5"/>
      <c r="E47" s="5"/>
      <c r="F47" s="15"/>
      <c r="G47" s="14"/>
      <c r="H47" s="11"/>
      <c r="J47" s="19"/>
      <c r="K47" s="2"/>
    </row>
    <row r="48" spans="2:12">
      <c r="C48" s="19"/>
      <c r="D48" s="2"/>
    </row>
    <row r="49" spans="3:4">
      <c r="C49" s="2"/>
      <c r="D49" s="2"/>
    </row>
  </sheetData>
  <mergeCells count="19">
    <mergeCell ref="B33:H33"/>
    <mergeCell ref="B2:H2"/>
    <mergeCell ref="B5:B6"/>
    <mergeCell ref="J8:R8"/>
    <mergeCell ref="J9:R10"/>
    <mergeCell ref="J11:R12"/>
    <mergeCell ref="J13:R14"/>
    <mergeCell ref="J15:R16"/>
    <mergeCell ref="J17:R18"/>
    <mergeCell ref="J19:R20"/>
    <mergeCell ref="B27:C27"/>
    <mergeCell ref="C3:F3"/>
    <mergeCell ref="E14:F14"/>
    <mergeCell ref="E8:H8"/>
    <mergeCell ref="C5:C6"/>
    <mergeCell ref="G16:H16"/>
    <mergeCell ref="E16:F16"/>
    <mergeCell ref="B8:C8"/>
    <mergeCell ref="B20:C20"/>
  </mergeCells>
  <phoneticPr fontId="2" type="noConversion"/>
  <pageMargins left="0.4" right="0.36" top="0.23" bottom="0.27" header="0.23" footer="0.28000000000000003"/>
  <pageSetup paperSize="9" orientation="landscape"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Excel Android</Application>
  <DocSecurity>0</DocSecurity>
  <ScaleCrop>false</ScaleCrop>
  <HeadingPairs>
    <vt:vector size="2" baseType="variant">
      <vt:variant>
        <vt:lpstr>Planilhas</vt:lpstr>
      </vt:variant>
      <vt:variant>
        <vt:i4>3</vt:i4>
      </vt:variant>
    </vt:vector>
  </HeadingPairs>
  <TitlesOfParts>
    <vt:vector size="3" baseType="lpstr">
      <vt:lpstr>Evolua Educação</vt:lpstr>
      <vt:lpstr>Montagem</vt:lpstr>
      <vt:lpstr>Projeção Financeira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visualmidia</dc:creator>
  <cp:lastModifiedBy>X</cp:lastModifiedBy>
  <cp:lastPrinted>2004-05-19T17:52:13Z</cp:lastPrinted>
  <dcterms:created xsi:type="dcterms:W3CDTF">2004-03-31T19:46:52Z</dcterms:created>
  <dcterms:modified xsi:type="dcterms:W3CDTF">2018-09-14T15:25:40Z</dcterms:modified>
</cp:coreProperties>
</file>