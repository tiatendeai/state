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240" yWindow="165" windowWidth="20115" windowHeight="7875" firstSheet="1" activeTab="3"/>
  </bookViews>
  <sheets>
    <sheet name="Diagrama de Pareto" sheetId="1" r:id="rId1"/>
    <sheet name="5W1H (Plano de Ação)" sheetId="2" r:id="rId2"/>
    <sheet name="FMEA" sheetId="3" r:id="rId3" state="hidden"/>
    <sheet name="Planilha 5w2h Preenchida" sheetId="4" r:id="rId4"/>
    <sheet name="Plano de Ação_instruções" sheetId="5" r:id="rId5"/>
  </sheets>
</workbook>
</file>

<file path=xl/sharedStrings.xml><?xml version="1.0" encoding="utf-8"?>
<sst xmlns="http://schemas.openxmlformats.org/spreadsheetml/2006/main" uniqueCount="87" count="87">
  <si>
    <t>Causas</t>
  </si>
  <si>
    <t>Qtde</t>
  </si>
  <si>
    <t>%Rel</t>
  </si>
  <si>
    <t>%Acum</t>
  </si>
  <si>
    <t>Erro no envio dos pedidos por falha das atendentes</t>
  </si>
  <si>
    <t>Central sempre ocupada</t>
  </si>
  <si>
    <t>Descontentamento com a cortesia no atendimento</t>
  </si>
  <si>
    <t>Falta de conhecimento dos produtos por parte das atendentes</t>
  </si>
  <si>
    <t>Feedback "Tira dúvidas" demorado</t>
  </si>
  <si>
    <t>Alta rotatividade do quadro de atendentes</t>
  </si>
  <si>
    <t>Lentidão do sistema</t>
  </si>
  <si>
    <t>Tempo excessivamente alto para a entrega dos produtos</t>
  </si>
  <si>
    <t>Total</t>
  </si>
  <si>
    <t>Causa 1</t>
  </si>
  <si>
    <t>Causa 2</t>
  </si>
  <si>
    <t>Causa 3</t>
  </si>
  <si>
    <t>Causa 4</t>
  </si>
  <si>
    <t>Causa 5</t>
  </si>
  <si>
    <t>Causa 6</t>
  </si>
  <si>
    <t>Causa 7</t>
  </si>
  <si>
    <t>Causa 8</t>
  </si>
  <si>
    <t>70% dos problemas estão nas 3 primeiras causas</t>
  </si>
  <si>
    <t>FMEA</t>
  </si>
  <si>
    <t>Falha</t>
  </si>
  <si>
    <t>Efeito</t>
  </si>
  <si>
    <t>Sev.</t>
  </si>
  <si>
    <t>Causa</t>
  </si>
  <si>
    <t>Ocorr.</t>
  </si>
  <si>
    <t>Controles</t>
  </si>
  <si>
    <t>Detec.</t>
  </si>
  <si>
    <t>Risco</t>
  </si>
  <si>
    <t>Ação</t>
  </si>
  <si>
    <t>Respons. Prazo</t>
  </si>
  <si>
    <t>Etapa / Função</t>
  </si>
  <si>
    <t>O que</t>
  </si>
  <si>
    <t>Porque</t>
  </si>
  <si>
    <t>Como</t>
  </si>
  <si>
    <t>Onde</t>
  </si>
  <si>
    <t>Quem</t>
  </si>
  <si>
    <t>Quando</t>
  </si>
  <si>
    <t>Descrição</t>
  </si>
  <si>
    <t>Planilha 5w2h</t>
  </si>
  <si>
    <t>Avaliação de funções por conversas com os empregados</t>
  </si>
  <si>
    <t>Avaliar indicadores de exames ocupacionais</t>
  </si>
  <si>
    <t>Avaliação quantitativa de risco</t>
  </si>
  <si>
    <t>AVALIAÇÃO DE RUÍDO PARA O PPRA</t>
  </si>
  <si>
    <t>Ninguém entende mais sobre o processo de trabalho do que o trabalhador</t>
  </si>
  <si>
    <t>Criar planilha com perguntas a serem feitas ao trabalhador a ser entrevistado</t>
  </si>
  <si>
    <t>No setor de lixamento 1</t>
  </si>
  <si>
    <t>Muitas vezes o resultado dos exames podem indicar se está havendo perda auditiva ou se o ambiente está com o risco controlado</t>
  </si>
  <si>
    <t>Conversar com o médico responsável pelos exames para saber onde estão os exames que foram feitos</t>
  </si>
  <si>
    <t>Na Clínica NestorMed do centro</t>
  </si>
  <si>
    <t>Dr. Antônio Queixo Duro</t>
  </si>
  <si>
    <t>Os equipamentos são uma ótima forma de avaliar o agente de risco ruído diretamente no ambiente</t>
  </si>
  <si>
    <t>Utilizar método de avaliação de ruído determinado pela NHO 1 Fundacentro.</t>
  </si>
  <si>
    <t>Quanto?</t>
  </si>
  <si>
    <t>2 Horas de trabalho (29 reais)</t>
  </si>
  <si>
    <t>4 Horas de trabalho (58 reais)</t>
  </si>
  <si>
    <t>6 Horas de trabalho (87 reais)</t>
  </si>
  <si>
    <t>What</t>
  </si>
  <si>
    <t>Who</t>
  </si>
  <si>
    <t>Where</t>
  </si>
  <si>
    <t>When</t>
  </si>
  <si>
    <t>Why</t>
  </si>
  <si>
    <t>How</t>
  </si>
  <si>
    <t>Status</t>
  </si>
  <si>
    <t>Evidências de conclusão</t>
  </si>
  <si>
    <t>Não realizado</t>
  </si>
  <si>
    <t xml:space="preserve">Resultado da avaliação impresso </t>
  </si>
  <si>
    <t>Relatório anual dos exames feitos</t>
  </si>
  <si>
    <t>Planilha de entrevista preenchida</t>
  </si>
  <si>
    <t>Adaptado por Segurança do Trabalho NWN</t>
  </si>
  <si>
    <t>Realizado</t>
  </si>
  <si>
    <t>Pendente</t>
  </si>
  <si>
    <t>Descrição inicial</t>
  </si>
  <si>
    <t>N°</t>
  </si>
  <si>
    <t>Descrever a ação de forma clara e resumida</t>
  </si>
  <si>
    <t>Responsável</t>
  </si>
  <si>
    <t>Local</t>
  </si>
  <si>
    <t>Prazo</t>
  </si>
  <si>
    <t>Justificativa</t>
  </si>
  <si>
    <t>Procedimento, passo-a-passo</t>
  </si>
  <si>
    <t>Custos</t>
  </si>
  <si>
    <t>Situação</t>
  </si>
  <si>
    <t>Descrever o que comprova que a ação foi concluída</t>
  </si>
  <si>
    <t>How Much</t>
  </si>
  <si>
    <t>Técnico de Segurança</t>
  </si>
</sst>
</file>

<file path=xl/styles.xml><?xml version="1.0" encoding="utf-8"?>
<styleSheet xmlns="http://schemas.openxmlformats.org/spreadsheetml/2006/main">
  <numFmts count="5">
    <numFmt numFmtId="0" formatCode="General"/>
    <numFmt numFmtId="10" formatCode="0.00%"/>
    <numFmt numFmtId="16" formatCode="[$-416]dd/mmm"/>
    <numFmt numFmtId="14" formatCode="dd/mm/yyyy"/>
    <numFmt numFmtId="9" formatCode="0%"/>
  </numFmts>
  <fonts count="10">
    <font>
      <name val="Calibri"/>
      <sz val="11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18"/>
      <color rgb="FF000000"/>
    </font>
    <font>
      <name val="Calibri"/>
      <sz val="11"/>
      <color rgb="FFFFFFFF"/>
    </font>
    <font>
      <name val="Calibri"/>
      <b/>
      <sz val="11"/>
      <color rgb="FFFFFFFF"/>
    </font>
    <font>
      <name val="Calibri"/>
      <sz val="11"/>
    </font>
    <font>
      <name val="Arial"/>
      <sz val="11"/>
      <color rgb="FF000000"/>
    </font>
    <font>
      <name val="Arial"/>
      <sz val="11"/>
    </font>
    <font>
      <name val="Calibri"/>
      <sz val="11"/>
      <color rgb="FF000000"/>
    </font>
  </fonts>
  <fills count="12">
    <fill>
      <patternFill patternType="none"/>
    </fill>
    <fill>
      <patternFill patternType="gray125"/>
    </fill>
    <fill>
      <patternFill patternType="solid">
        <fgColor rgb="FFEAF1DD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0F253F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9" fillId="0" borderId="0">
      <alignment vertical="top"/>
      <protection locked="0" hidden="0"/>
    </xf>
  </cellStyleXfs>
  <cellXfs count="66">
    <xf numFmtId="0" fontId="0" fillId="0" borderId="0" xfId="0">
      <alignment vertical="center"/>
    </xf>
    <xf numFmtId="0" fontId="1" fillId="0" borderId="0" xfId="0" applyFont="1" applyAlignment="1">
      <alignment horizontal="center" vertical="bottom"/>
    </xf>
    <xf numFmtId="0" fontId="1" fillId="0" borderId="1" xfId="0" applyFont="1" applyBorder="1" applyAlignment="1">
      <alignment horizontal="center" vertical="bottom"/>
    </xf>
    <xf numFmtId="0" fontId="1" fillId="0" borderId="2" xfId="0" applyFont="1" applyBorder="1" applyAlignment="1">
      <alignment horizontal="center" vertical="bottom"/>
    </xf>
    <xf numFmtId="0" fontId="2" fillId="0" borderId="1" xfId="0" applyBorder="1" applyAlignment="1">
      <alignment vertical="bottom" wrapText="1"/>
    </xf>
    <xf numFmtId="0" fontId="2" fillId="0" borderId="1" xfId="0" applyBorder="1" applyAlignment="1">
      <alignment vertical="bottom"/>
    </xf>
    <xf numFmtId="10" fontId="2" fillId="0" borderId="1" xfId="1" applyNumberFormat="1" applyFont="1" applyBorder="1" applyAlignment="1">
      <alignment vertical="bottom"/>
    </xf>
    <xf numFmtId="10" fontId="2" fillId="0" borderId="2" xfId="0" applyNumberFormat="1" applyBorder="1" applyAlignment="1">
      <alignment vertical="bottom"/>
    </xf>
    <xf numFmtId="0" fontId="2" fillId="0" borderId="3" xfId="0" applyBorder="1" applyAlignment="1">
      <alignment vertical="bottom" wrapText="1"/>
    </xf>
    <xf numFmtId="0" fontId="2" fillId="0" borderId="3" xfId="0" applyBorder="1" applyAlignment="1">
      <alignment vertical="bottom"/>
    </xf>
    <xf numFmtId="10" fontId="2" fillId="0" borderId="3" xfId="1" applyNumberFormat="1" applyFont="1" applyBorder="1" applyAlignment="1">
      <alignment vertical="bottom"/>
    </xf>
    <xf numFmtId="10" fontId="2" fillId="0" borderId="4" xfId="0" applyNumberFormat="1" applyBorder="1" applyAlignment="1">
      <alignment vertical="bottom"/>
    </xf>
    <xf numFmtId="0" fontId="1" fillId="0" borderId="1" xfId="0" applyFont="1" applyBorder="1" applyAlignment="1">
      <alignment vertical="bottom"/>
    </xf>
    <xf numFmtId="0" fontId="3" fillId="2" borderId="2" xfId="0" applyFont="1" applyFill="1" applyBorder="1" applyAlignment="1">
      <alignment horizontal="center" vertical="bottom"/>
    </xf>
    <xf numFmtId="0" fontId="3" fillId="2" borderId="5" xfId="0" applyFont="1" applyFill="1" applyBorder="1" applyAlignment="1">
      <alignment horizontal="center" vertical="bottom"/>
    </xf>
    <xf numFmtId="0" fontId="3" fillId="2" borderId="6" xfId="0" applyFont="1" applyFill="1" applyBorder="1" applyAlignment="1">
      <alignment horizontal="center" vertical="bottom"/>
    </xf>
    <xf numFmtId="0" fontId="2" fillId="3" borderId="0" xfId="0" applyFill="1" applyAlignment="1">
      <alignment vertical="bottom"/>
    </xf>
    <xf numFmtId="0" fontId="3" fillId="3" borderId="0" xfId="0" applyFont="1" applyFill="1" applyBorder="1" applyAlignment="1">
      <alignment horizontal="center" vertical="bottom"/>
    </xf>
    <xf numFmtId="0" fontId="1" fillId="3" borderId="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bottom"/>
    </xf>
    <xf numFmtId="0" fontId="1" fillId="4" borderId="6" xfId="0" applyFont="1" applyFill="1" applyBorder="1" applyAlignment="1">
      <alignment horizontal="center" vertical="bottom"/>
    </xf>
    <xf numFmtId="0" fontId="4" fillId="5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bottom"/>
    </xf>
    <xf numFmtId="0" fontId="5" fillId="5" borderId="8" xfId="0" applyFont="1" applyFill="1" applyBorder="1" applyAlignment="1">
      <alignment horizontal="center" vertical="bottom"/>
    </xf>
    <xf numFmtId="0" fontId="2" fillId="6" borderId="1" xfId="0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2" fillId="6" borderId="1" xfId="0" applyFill="1" applyBorder="1" applyAlignment="1">
      <alignment horizontal="center" vertical="center" wrapText="1"/>
    </xf>
    <xf numFmtId="16" fontId="2" fillId="6" borderId="1" xfId="0" applyNumberForma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" fillId="8" borderId="1" xfId="0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2" fillId="8" borderId="1" xfId="0" applyFill="1" applyBorder="1" applyAlignment="1">
      <alignment horizontal="left" vertical="center" wrapText="1"/>
    </xf>
    <xf numFmtId="0" fontId="2" fillId="8" borderId="7" xfId="0" applyFill="1" applyBorder="1" applyAlignment="1">
      <alignment horizontal="left" vertical="center" wrapText="1"/>
    </xf>
    <xf numFmtId="16" fontId="2" fillId="8" borderId="7" xfId="0" applyNumberFormat="1" applyFill="1" applyBorder="1" applyAlignment="1">
      <alignment horizontal="left" vertical="center" wrapText="1"/>
    </xf>
    <xf numFmtId="0" fontId="2" fillId="8" borderId="1" xfId="0" applyFill="1" applyBorder="1" applyAlignment="1">
      <alignment vertical="bottom"/>
    </xf>
    <xf numFmtId="16" fontId="2" fillId="8" borderId="1" xfId="0" applyNumberFormat="1" applyFill="1" applyBorder="1" applyAlignment="1">
      <alignment horizontal="left" vertical="center" wrapText="1"/>
    </xf>
    <xf numFmtId="0" fontId="2" fillId="0" borderId="1" xfId="0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2" fillId="9" borderId="1" xfId="0" applyFill="1" applyBorder="1" applyAlignment="1">
      <alignment horizontal="left" vertical="center" wrapText="1"/>
    </xf>
    <xf numFmtId="16" fontId="2" fillId="9" borderId="1" xfId="0" applyNumberFormat="1" applyFill="1" applyBorder="1" applyAlignment="1">
      <alignment horizontal="left" vertical="center" wrapText="1"/>
    </xf>
    <xf numFmtId="0" fontId="2" fillId="9" borderId="0" xfId="0" applyFill="1" applyAlignment="1">
      <alignment vertical="bottom"/>
    </xf>
    <xf numFmtId="0" fontId="2" fillId="0" borderId="9" xfId="0" applyBorder="1" applyAlignment="1">
      <alignment vertical="bottom"/>
    </xf>
    <xf numFmtId="0" fontId="1" fillId="0" borderId="1" xfId="0" applyFont="1" applyBorder="1" applyAlignment="1">
      <alignment horizontal="centerContinuous" vertical="bottom"/>
    </xf>
    <xf numFmtId="0" fontId="2" fillId="0" borderId="1" xfId="0" applyBorder="1" applyAlignment="1">
      <alignment horizontal="centerContinuous" vertical="bottom"/>
    </xf>
    <xf numFmtId="0" fontId="1" fillId="0" borderId="1" xfId="0" applyFont="1" applyBorder="1" applyAlignment="1">
      <alignment horizontal="center" vertical="bottom" wrapText="1"/>
    </xf>
    <xf numFmtId="0" fontId="1" fillId="0" borderId="1" xfId="0" applyFont="1" applyBorder="1" applyAlignment="1">
      <alignment horizontal="center" vertical="bottom" textRotation="90"/>
    </xf>
    <xf numFmtId="0" fontId="2" fillId="3" borderId="7" xfId="0" applyFill="1" applyBorder="1" applyAlignment="1">
      <alignment horizontal="center" vertical="bottom"/>
    </xf>
    <xf numFmtId="0" fontId="5" fillId="3" borderId="0" xfId="0" applyFont="1" applyFill="1" applyAlignment="1">
      <alignment horizontal="center" vertical="bottom"/>
    </xf>
    <xf numFmtId="0" fontId="1" fillId="4" borderId="2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bottom"/>
    </xf>
    <xf numFmtId="0" fontId="2" fillId="10" borderId="1" xfId="0" applyFill="1" applyBorder="1" applyAlignment="1">
      <alignment horizontal="center" vertical="center" wrapText="1"/>
    </xf>
    <xf numFmtId="0" fontId="2" fillId="11" borderId="1" xfId="0" applyFill="1" applyBorder="1" applyAlignment="1">
      <alignment horizontal="center" vertical="center" wrapText="1"/>
    </xf>
    <xf numFmtId="0" fontId="2" fillId="0" borderId="3" xfId="0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2" fillId="9" borderId="7" xfId="0" applyFill="1" applyBorder="1" applyAlignment="1">
      <alignment horizontal="left" vertical="center" wrapText="1"/>
    </xf>
    <xf numFmtId="16" fontId="2" fillId="9" borderId="7" xfId="0" applyNumberFormat="1" applyFill="1" applyBorder="1" applyAlignment="1">
      <alignment horizontal="left" vertical="center" wrapText="1"/>
    </xf>
    <xf numFmtId="0" fontId="2" fillId="0" borderId="8" xfId="0" applyBorder="1" applyAlignment="1">
      <alignment horizontal="center" vertical="center" wrapText="1"/>
    </xf>
    <xf numFmtId="0" fontId="2" fillId="0" borderId="7" xfId="0" applyBorder="1" applyAlignment="1">
      <alignment horizontal="center" vertical="center" wrapText="1"/>
    </xf>
    <xf numFmtId="0" fontId="2" fillId="3" borderId="7" xfId="0" applyFill="1" applyBorder="1" applyAlignment="1">
      <alignment horizontal="center" vertical="center" wrapText="1"/>
    </xf>
    <xf numFmtId="0" fontId="2" fillId="9" borderId="1" xfId="0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14" fontId="7" fillId="9" borderId="1" xfId="0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2" fillId="9" borderId="1" xfId="0" applyFill="1" applyBorder="1" applyAlignment="1">
      <alignment horizontal="center" vertical="center" wrapText="1"/>
    </xf>
    <xf numFmtId="16" fontId="2" fillId="9" borderId="1" xfId="0" applyNumberFormat="1" applyFill="1" applyBorder="1" applyAlignment="1">
      <alignment horizontal="center" vertical="center" wrapText="1"/>
    </xf>
  </cellXfs>
  <cellStyles count="2">
    <cellStyle name="常规" xfId="0" builtinId="0"/>
    <cellStyle name="百分比" xfId="1" builtinId="5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mc:AlternateContent xmlns:mc="http://schemas.openxmlformats.org/markup-compatibility/2006">
    <mc:Choice xmlns:c14="http://schemas.microsoft.com/office/drawing/2007/8/2/chart" Requires="c14">
      <c14:style val="134"/>
    </mc:Choice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'Diagrama de Pareto'!$E$1</c:f>
              <c:strCache>
                <c:ptCount val="1"/>
                <c:pt idx="0">
                  <c:v>%Acum</c:v>
                </c:pt>
              </c:strCache>
            </c:strRef>
          </c:tx>
          <c:marker>
            <c:symbol val="none"/>
            <c:size val="5"/>
            <c:spPr>
              <a:noFill/>
              <a:ln w="3">
                <a:noFill/>
              </a:ln>
            </c:spPr>
          </c:marker>
          <c:cat>
            <c:strRef>
              <c:f>'Diagrama de Pareto'!$B$2:$B$9</c:f>
              <c:strCache>
                <c:ptCount val="8"/>
                <c:pt idx="0">
                  <c:v>Causa 1</c:v>
                </c:pt>
                <c:pt idx="1">
                  <c:v>Causa 2</c:v>
                </c:pt>
                <c:pt idx="2">
                  <c:v>Causa 3</c:v>
                </c:pt>
                <c:pt idx="3">
                  <c:v>Causa 4</c:v>
                </c:pt>
                <c:pt idx="4">
                  <c:v>Causa 5</c:v>
                </c:pt>
                <c:pt idx="5">
                  <c:v>Causa 6</c:v>
                </c:pt>
                <c:pt idx="6">
                  <c:v>Causa 7</c:v>
                </c:pt>
                <c:pt idx="7">
                  <c:v>Causa 8</c:v>
                </c:pt>
              </c:strCache>
            </c:strRef>
          </c:cat>
          <c:val>
            <c:numRef>
              <c:f>'Diagrama de Pareto'!$E$2:$E$9</c:f>
              <c:numCache>
                <c:formatCode>#,000%</c:formatCode>
                <c:ptCount val="8"/>
                <c:pt idx="0" formatCode="0.00%">
                  <c:v>0.2966507177033493</c:v>
                </c:pt>
                <c:pt idx="1" formatCode="0.00%">
                  <c:v>0.526315789473684</c:v>
                </c:pt>
                <c:pt idx="2" formatCode="0.00%">
                  <c:v>0.6937799043062199</c:v>
                </c:pt>
                <c:pt idx="3" formatCode="0.00%">
                  <c:v>0.784688995215311</c:v>
                </c:pt>
                <c:pt idx="4" formatCode="0.00%">
                  <c:v>0.8564593301435407</c:v>
                </c:pt>
                <c:pt idx="5" formatCode="0.00%">
                  <c:v>0.9138755980861247</c:v>
                </c:pt>
                <c:pt idx="6" formatCode="0.00%">
                  <c:v>0.9617224880382781</c:v>
                </c:pt>
                <c:pt idx="7" formatCode="0.00%">
                  <c:v>1.0000000000000004</c:v>
                </c:pt>
              </c:numCache>
            </c:numRef>
          </c:val>
          <c:smooth val="0"/>
        </c:ser>
        <c:dLbls>
          <c:spPr>
            <a:noFill/>
            <a:ln w="9525">
              <a:noFill/>
            </a:ln>
          </c:spPr>
          <c:showCatName val="0"/>
          <c:showLegendKey val="0"/>
          <c:showPercent val="0"/>
          <c:showSerName val="0"/>
          <c:showVal val="0"/>
        </c:dLbls>
        <c:marker val="0"/>
        <c:smooth val="0"/>
        <c:axId val="974092996"/>
        <c:axId val="974092986"/>
      </c:lineChart>
      <c:barChart>
        <c:barDir val="col"/>
        <c:grouping val="clustered"/>
        <c:varyColors val="0"/>
        <c:ser>
          <c:idx val="0"/>
          <c:order val="0"/>
          <c:tx>
            <c:strRef>
              <c:f>'Diagrama de Pareto'!$D$1</c:f>
              <c:strCache>
                <c:ptCount val="1"/>
                <c:pt idx="0">
                  <c:v>%Rel</c:v>
                </c:pt>
              </c:strCache>
            </c:strRef>
          </c:tx>
          <c:invertIfNegative val="0"/>
          <c:cat>
            <c:strRef>
              <c:f>'Diagrama de Pareto'!$B$2:$B$9</c:f>
              <c:strCache>
                <c:ptCount val="8"/>
                <c:pt idx="0">
                  <c:v>Causa 1</c:v>
                </c:pt>
                <c:pt idx="1">
                  <c:v>Causa 2</c:v>
                </c:pt>
                <c:pt idx="2">
                  <c:v>Causa 3</c:v>
                </c:pt>
                <c:pt idx="3">
                  <c:v>Causa 4</c:v>
                </c:pt>
                <c:pt idx="4">
                  <c:v>Causa 5</c:v>
                </c:pt>
                <c:pt idx="5">
                  <c:v>Causa 6</c:v>
                </c:pt>
                <c:pt idx="6">
                  <c:v>Causa 7</c:v>
                </c:pt>
                <c:pt idx="7">
                  <c:v>Causa 8</c:v>
                </c:pt>
              </c:strCache>
            </c:strRef>
          </c:cat>
          <c:val>
            <c:numRef>
              <c:f>'Diagrama de Pareto'!$D$2:$D$9</c:f>
              <c:numCache>
                <c:formatCode>#,000%</c:formatCode>
                <c:ptCount val="8"/>
                <c:pt idx="0" formatCode="0.00%">
                  <c:v>0.2966507177033493</c:v>
                </c:pt>
                <c:pt idx="1" formatCode="0.00%">
                  <c:v>0.22966507177033493</c:v>
                </c:pt>
                <c:pt idx="2" formatCode="0.00%">
                  <c:v>0.1674641148325359</c:v>
                </c:pt>
                <c:pt idx="3" formatCode="0.00%">
                  <c:v>0.09090909090909091</c:v>
                </c:pt>
                <c:pt idx="4" formatCode="0.00%">
                  <c:v>0.07177033492822966</c:v>
                </c:pt>
                <c:pt idx="5" formatCode="0.00%">
                  <c:v>0.05741626794258373</c:v>
                </c:pt>
                <c:pt idx="6" formatCode="0.00%">
                  <c:v>0.04784688995215311</c:v>
                </c:pt>
                <c:pt idx="7" formatCode="0.00%">
                  <c:v>0.03827751196172249</c:v>
                </c:pt>
              </c:numCache>
            </c:numRef>
          </c:val>
        </c:ser>
        <c:dLbls>
          <c:spPr>
            <a:noFill/>
            <a:ln w="9525">
              <a:noFill/>
            </a:ln>
          </c:spPr>
          <c:showCatName val="0"/>
          <c:showLegendKey val="0"/>
          <c:showPercent val="0"/>
          <c:showSerName val="0"/>
          <c:showVal val="0"/>
        </c:dLbls>
        <c:gapWidth val="150"/>
        <c:axId val="974092996"/>
        <c:axId val="974092986"/>
      </c:barChart>
      <c:catAx>
        <c:axId val="9740929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/>
        <c:crossAx val="974092986"/>
        <c:crosses val="autoZero"/>
        <c:lblOffset val="100"/>
        <c:noMultiLvlLbl val="0"/>
      </c:catAx>
      <c:valAx>
        <c:axId val="974092986"/>
        <c:scaling>
          <c:orientation val="minMax"/>
          <c:max val="1.0"/>
        </c:scaling>
        <c:delete val="0"/>
        <c:axPos val="l"/>
        <c:numFmt formatCode="#,000%" sourceLinked="1"/>
        <c:majorGridlines>
          <c:spPr>
            <a:ln w="9525">
              <a:solidFill>
                <a:srgbClr val="808080"/>
              </a:solidFill>
              <a:prstDash val="solid"/>
            </a:ln>
          </c:spPr>
        </c:majorGridlines>
        <c:majorTickMark val="out"/>
        <c:minorTickMark val="none"/>
        <c:tickLblPos val="nextTo"/>
        <c:spPr/>
        <c:crossAx val="974092996"/>
        <c:crosses val="autoZero"/>
        <c:crossBetween val="between"/>
      </c:valAx>
      <c:spPr/>
    </c:plotArea>
    <c:legend>
      <c:legendPos val="r"/>
      <c:legendEntry>
        <c:idx val="0"/>
      </c:legendEntry>
      <c:legendEntry>
        <c:idx val="1"/>
      </c:legendEntry>
      <c:overlay val="0"/>
      <c:spPr>
        <a:noFill/>
        <a:ln w="9525">
          <a:noFill/>
        </a:ln>
      </c:spPr>
    </c:legend>
    <c:plotVisOnly val="1"/>
    <c:dispBlanksAs val="gap"/>
    <c:showDLblsOverMax val="0"/>
  </c:chart>
  <c:spPr/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56854</xdr:colOff>
      <xdr:row>4</xdr:row>
      <xdr:rowOff>37207</xdr:rowOff>
    </xdr:from>
    <xdr:to>
      <xdr:col>14</xdr:col>
      <xdr:colOff>580360</xdr:colOff>
      <xdr:row>15</xdr:row>
      <xdr:rowOff>126503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4"/>
  <sheetViews>
    <sheetView workbookViewId="0" showGridLines="0">
      <selection activeCell="D14" sqref="D14"/>
    </sheetView>
  </sheetViews>
  <sheetFormatPr defaultRowHeight="15.0" defaultColWidth="10"/>
  <cols>
    <col min="1" max="1" customWidth="1" width="52.42578" style="0"/>
    <col min="2" max="2" customWidth="1" width="9.140625" style="0"/>
    <col min="5" max="5" customWidth="1" width="9.7109375" style="0"/>
    <col min="257" max="16384" width="9" style="0" hidden="0"/>
  </cols>
  <sheetData>
    <row r="1" spans="8:8">
      <c r="A1" s="1" t="s">
        <v>40</v>
      </c>
      <c r="B1" s="2" t="s">
        <v>0</v>
      </c>
      <c r="C1" s="2" t="s">
        <v>1</v>
      </c>
      <c r="D1" s="2" t="s">
        <v>2</v>
      </c>
      <c r="E1" s="3" t="s">
        <v>3</v>
      </c>
    </row>
    <row r="2" spans="8:8">
      <c r="A2" s="4" t="s">
        <v>10</v>
      </c>
      <c r="B2" s="5" t="s">
        <v>13</v>
      </c>
      <c r="C2" s="5">
        <v>62.0</v>
      </c>
      <c r="D2" s="6">
        <f t="shared" si="0" ref="D2:D9">C2/$C$10</f>
        <v>0.2966507177033493</v>
      </c>
      <c r="E2" s="7">
        <f>D2</f>
        <v>0.2966507177033493</v>
      </c>
    </row>
    <row r="3" spans="8:8">
      <c r="A3" s="4" t="s">
        <v>5</v>
      </c>
      <c r="B3" s="5" t="s">
        <v>14</v>
      </c>
      <c r="C3" s="5">
        <v>48.0</v>
      </c>
      <c r="D3" s="6">
        <f t="shared" si="0"/>
        <v>0.22966507177033493</v>
      </c>
      <c r="E3" s="7">
        <f t="shared" si="1" ref="E3:E9">E2+D3</f>
        <v>0.526315789473684</v>
      </c>
    </row>
    <row r="4" spans="8:8">
      <c r="A4" s="4" t="s">
        <v>8</v>
      </c>
      <c r="B4" s="5" t="s">
        <v>15</v>
      </c>
      <c r="C4" s="5">
        <v>35.0</v>
      </c>
      <c r="D4" s="6">
        <f t="shared" si="0"/>
        <v>0.1674641148325359</v>
      </c>
      <c r="E4" s="7">
        <f t="shared" si="1"/>
        <v>0.6937799043062199</v>
      </c>
    </row>
    <row r="5" spans="8:8" ht="30.0">
      <c r="A5" s="4" t="s">
        <v>7</v>
      </c>
      <c r="B5" s="5" t="s">
        <v>16</v>
      </c>
      <c r="C5" s="5">
        <v>19.0</v>
      </c>
      <c r="D5" s="6">
        <f t="shared" si="0"/>
        <v>0.09090909090909091</v>
      </c>
      <c r="E5" s="7">
        <f t="shared" si="1"/>
        <v>0.784688995215311</v>
      </c>
    </row>
    <row r="6" spans="8:8">
      <c r="A6" s="4" t="s">
        <v>6</v>
      </c>
      <c r="B6" s="5" t="s">
        <v>17</v>
      </c>
      <c r="C6" s="5">
        <v>15.0</v>
      </c>
      <c r="D6" s="6">
        <f t="shared" si="0"/>
        <v>0.07177033492822966</v>
      </c>
      <c r="E6" s="7">
        <f t="shared" si="1"/>
        <v>0.8564593301435407</v>
      </c>
    </row>
    <row r="7" spans="8:8">
      <c r="A7" s="4" t="s">
        <v>9</v>
      </c>
      <c r="B7" s="5" t="s">
        <v>18</v>
      </c>
      <c r="C7" s="5">
        <v>12.0</v>
      </c>
      <c r="D7" s="6">
        <f t="shared" si="0"/>
        <v>0.05741626794258373</v>
      </c>
      <c r="E7" s="7">
        <f t="shared" si="1"/>
        <v>0.9138755980861247</v>
      </c>
    </row>
    <row r="8" spans="8:8">
      <c r="A8" s="4" t="s">
        <v>4</v>
      </c>
      <c r="B8" s="5" t="s">
        <v>19</v>
      </c>
      <c r="C8" s="5">
        <v>10.0</v>
      </c>
      <c r="D8" s="6">
        <f t="shared" si="0"/>
        <v>0.04784688995215311</v>
      </c>
      <c r="E8" s="7">
        <f t="shared" si="1"/>
        <v>0.9617224880382781</v>
      </c>
    </row>
    <row r="9" spans="8:8">
      <c r="A9" s="8" t="s">
        <v>11</v>
      </c>
      <c r="B9" s="9" t="s">
        <v>20</v>
      </c>
      <c r="C9" s="9">
        <v>8.0</v>
      </c>
      <c r="D9" s="10">
        <f t="shared" si="0"/>
        <v>0.03827751196172249</v>
      </c>
      <c r="E9" s="11">
        <f t="shared" si="1"/>
        <v>1.0000000000000004</v>
      </c>
    </row>
    <row r="10" spans="8:8">
      <c r="A10" s="5"/>
      <c r="B10" s="12" t="s">
        <v>12</v>
      </c>
      <c r="C10" s="12">
        <f>SUM(C2:C9)</f>
        <v>209.0</v>
      </c>
      <c r="D10" s="12"/>
      <c r="E10" s="12"/>
    </row>
    <row r="20" spans="8:8">
      <c r="I20" t="s">
        <v>21</v>
      </c>
    </row>
    <row r="22" spans="8:8">
      <c r="I22" t="s">
        <v>10</v>
      </c>
    </row>
    <row r="23" spans="8:8">
      <c r="I23" t="s">
        <v>5</v>
      </c>
    </row>
    <row r="24" spans="8:8">
      <c r="I24" t="s">
        <v>8</v>
      </c>
    </row>
  </sheetData>
  <pageMargins left="0.511811024" right="0.511811024" top="0.787401575" bottom="0.787401575" header="0.31496062" footer="0.31496062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L13"/>
  <sheetViews>
    <sheetView workbookViewId="0" showGridLines="0">
      <pane xSplit="2" ySplit="1" topLeftCell="C2" state="frozen" activePane="bottomRight"/>
      <selection pane="bottomRight" activeCell="G13" sqref="G13"/>
    </sheetView>
  </sheetViews>
  <sheetFormatPr defaultRowHeight="15.0" defaultColWidth="10"/>
  <cols>
    <col min="1" max="1" customWidth="1" width="4.0" style="0"/>
    <col min="2" max="2" customWidth="1" width="17.855469" style="0"/>
    <col min="3" max="3" customWidth="1" width="19.425781" style="0"/>
    <col min="4" max="4" customWidth="1" width="26.425781" style="0"/>
    <col min="5" max="5" customWidth="1" width="23.425781" style="0"/>
    <col min="6" max="6" customWidth="1" width="11.855469" style="0"/>
    <col min="7" max="7" customWidth="1" width="13.425781" style="0"/>
    <col min="8" max="8" customWidth="1" width="7.5703125" style="0"/>
    <col min="9" max="9" customWidth="1" width="18.140625" style="0"/>
    <col min="10" max="10" customWidth="1" width="13.285156" style="0"/>
    <col min="11" max="11" customWidth="1" width="26.140625" style="0"/>
    <col min="257" max="16384" width="9" style="0" hidden="0"/>
  </cols>
  <sheetData>
    <row r="1" spans="8:8" ht="26.25" customHeight="1">
      <c r="A1" s="13" t="s">
        <v>41</v>
      </c>
      <c r="B1" s="14"/>
      <c r="C1" s="14"/>
      <c r="D1" s="14"/>
      <c r="E1" s="14"/>
      <c r="F1" s="14"/>
      <c r="G1" s="14"/>
      <c r="H1" s="14"/>
      <c r="I1" s="14"/>
      <c r="J1" s="14"/>
      <c r="K1" s="15"/>
    </row>
    <row r="2" spans="8:8" ht="19.5" customHeight="1">
      <c r="A2" s="16"/>
      <c r="B2" s="17"/>
      <c r="C2" s="18" t="s">
        <v>59</v>
      </c>
      <c r="D2" s="18" t="s">
        <v>63</v>
      </c>
      <c r="E2" s="18" t="s">
        <v>64</v>
      </c>
      <c r="F2" s="18" t="s">
        <v>61</v>
      </c>
      <c r="G2" s="18" t="s">
        <v>60</v>
      </c>
      <c r="H2" s="18" t="s">
        <v>62</v>
      </c>
      <c r="I2" s="18" t="s">
        <v>85</v>
      </c>
      <c r="J2" s="19" t="s">
        <v>71</v>
      </c>
      <c r="K2" s="20"/>
    </row>
    <row r="3" spans="8:8" ht="15.0" customHeight="1">
      <c r="A3" s="21" t="s">
        <v>75</v>
      </c>
      <c r="B3" s="22" t="s">
        <v>40</v>
      </c>
      <c r="C3" s="23" t="s">
        <v>34</v>
      </c>
      <c r="D3" s="23" t="s">
        <v>35</v>
      </c>
      <c r="E3" s="23" t="s">
        <v>36</v>
      </c>
      <c r="F3" s="23" t="s">
        <v>37</v>
      </c>
      <c r="G3" s="23" t="s">
        <v>38</v>
      </c>
      <c r="H3" s="23" t="s">
        <v>39</v>
      </c>
      <c r="I3" s="23" t="s">
        <v>55</v>
      </c>
      <c r="J3" s="23" t="s">
        <v>65</v>
      </c>
      <c r="K3" s="23" t="s">
        <v>66</v>
      </c>
    </row>
    <row r="4" spans="8:8" ht="33.0" customHeight="1">
      <c r="A4" s="24">
        <v>1.0</v>
      </c>
      <c r="B4" s="25"/>
      <c r="C4" s="26"/>
      <c r="D4" s="26"/>
      <c r="E4" s="26"/>
      <c r="F4" s="26"/>
      <c r="G4" s="26"/>
      <c r="H4" s="27"/>
      <c r="I4" s="26"/>
      <c r="J4" s="28"/>
      <c r="K4" s="26"/>
    </row>
    <row r="5" spans="8:8" ht="34.5" customHeight="1">
      <c r="A5" s="24"/>
      <c r="B5" s="25"/>
      <c r="C5" s="26"/>
      <c r="D5" s="26"/>
      <c r="E5" s="26"/>
      <c r="F5" s="26"/>
      <c r="G5" s="26"/>
      <c r="H5" s="27"/>
      <c r="I5" s="26"/>
      <c r="J5" s="28"/>
      <c r="K5" s="26"/>
    </row>
    <row r="6" spans="8:8" ht="36.0" customHeight="1">
      <c r="A6" s="24"/>
      <c r="B6" s="25"/>
      <c r="C6" s="26"/>
      <c r="D6" s="26"/>
      <c r="E6" s="26"/>
      <c r="F6" s="26"/>
      <c r="G6" s="26"/>
      <c r="H6" s="27"/>
      <c r="I6" s="26"/>
      <c r="J6" s="28"/>
      <c r="K6" s="26"/>
    </row>
    <row r="7" spans="8:8" ht="35.25" customHeight="1">
      <c r="A7" s="29">
        <v>2.0</v>
      </c>
      <c r="B7" s="30"/>
      <c r="C7" s="31"/>
      <c r="D7" s="32"/>
      <c r="E7" s="32"/>
      <c r="F7" s="32"/>
      <c r="G7" s="32"/>
      <c r="H7" s="33"/>
      <c r="I7" s="34"/>
      <c r="J7" s="28"/>
      <c r="K7" s="34"/>
    </row>
    <row r="8" spans="8:8" ht="34.5" customHeight="1">
      <c r="A8" s="29"/>
      <c r="B8" s="30"/>
      <c r="C8" s="31"/>
      <c r="D8" s="31"/>
      <c r="E8" s="31"/>
      <c r="F8" s="31"/>
      <c r="G8" s="31"/>
      <c r="H8" s="35"/>
      <c r="I8" s="34"/>
      <c r="J8" s="28"/>
      <c r="K8" s="34"/>
    </row>
    <row r="9" spans="8:8" ht="30.75" customHeight="1">
      <c r="A9" s="29"/>
      <c r="B9" s="30"/>
      <c r="C9" s="31"/>
      <c r="D9" s="31"/>
      <c r="E9" s="31"/>
      <c r="F9" s="31"/>
      <c r="G9" s="31"/>
      <c r="H9" s="35"/>
      <c r="I9" s="34"/>
      <c r="J9" s="28"/>
      <c r="K9" s="34"/>
    </row>
    <row r="10" spans="8:8" ht="30.75" customHeight="1">
      <c r="A10" s="36">
        <v>3.0</v>
      </c>
      <c r="B10" s="37"/>
      <c r="C10" s="38"/>
      <c r="D10" s="38"/>
      <c r="E10" s="38"/>
      <c r="F10" s="38"/>
      <c r="G10" s="38"/>
      <c r="H10" s="39"/>
      <c r="I10" s="5"/>
      <c r="J10" s="5"/>
      <c r="K10" s="5"/>
    </row>
    <row r="11" spans="8:8">
      <c r="B11" s="40"/>
      <c r="C11" s="40"/>
      <c r="D11" s="40"/>
      <c r="E11" s="40"/>
      <c r="F11" s="40"/>
      <c r="G11" s="40"/>
      <c r="H11" s="40"/>
    </row>
    <row r="13" spans="8:8">
      <c r="H13" s="41"/>
    </row>
  </sheetData>
  <mergeCells count="6">
    <mergeCell ref="A7:A9"/>
    <mergeCell ref="A4:A6"/>
    <mergeCell ref="B4:B6"/>
    <mergeCell ref="B7:B9"/>
    <mergeCell ref="J2:K2"/>
    <mergeCell ref="A1:K1"/>
  </mergeCells>
  <pageMargins left="0.511811024" right="0.511811024" top="0.787401575" bottom="0.787401575" header="0.31496062" footer="0.31496062"/>
  <pageSetup paperSize="9" fitToWidth="0" fitToHeight="0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dimension ref="A1:L12"/>
  <sheetViews>
    <sheetView workbookViewId="0">
      <selection activeCell="G6" sqref="G6"/>
    </sheetView>
  </sheetViews>
  <sheetFormatPr defaultRowHeight="15.0" defaultColWidth="10"/>
  <cols>
    <col min="1" max="1" customWidth="1" width="9.140625" style="0"/>
    <col min="4" max="4" customWidth="1" width="3.7109375" style="0"/>
    <col min="6" max="6" customWidth="1" width="3.7109375" style="0"/>
    <col min="8" max="8" customWidth="1" width="3.7109375" style="0"/>
    <col min="9" max="9" customWidth="1" width="3.7109375" style="0"/>
    <col min="11" max="11" customWidth="1" width="8.855469" style="0"/>
    <col min="257" max="16384" width="9" style="0" hidden="0"/>
  </cols>
  <sheetData>
    <row r="1" spans="8:8">
      <c r="A1" s="42" t="s">
        <v>22</v>
      </c>
      <c r="B1" s="43"/>
      <c r="C1" s="42"/>
      <c r="D1" s="43"/>
      <c r="E1" s="43"/>
      <c r="F1" s="43"/>
      <c r="G1" s="43"/>
      <c r="H1" s="43"/>
      <c r="I1" s="43"/>
      <c r="J1" s="43"/>
      <c r="K1" s="43"/>
    </row>
    <row r="2" spans="8:8" ht="35.25">
      <c r="A2" s="44" t="s">
        <v>33</v>
      </c>
      <c r="B2" s="2" t="s">
        <v>23</v>
      </c>
      <c r="C2" s="2" t="s">
        <v>24</v>
      </c>
      <c r="D2" s="45" t="s">
        <v>25</v>
      </c>
      <c r="E2" s="2" t="s">
        <v>26</v>
      </c>
      <c r="F2" s="45" t="s">
        <v>27</v>
      </c>
      <c r="G2" s="2" t="s">
        <v>28</v>
      </c>
      <c r="H2" s="45" t="s">
        <v>29</v>
      </c>
      <c r="I2" s="45" t="s">
        <v>30</v>
      </c>
      <c r="J2" s="2" t="s">
        <v>31</v>
      </c>
      <c r="K2" s="44" t="s">
        <v>32</v>
      </c>
    </row>
    <row r="3" spans="8:8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8:8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8:8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8:8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8:8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8:8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8:8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8:8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8:8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8:8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</sheetData>
  <pageMargins left="0.511811024" right="0.511811024" top="0.787401575" bottom="0.787401575" header="0.31496062" footer="0.31496062"/>
</worksheet>
</file>

<file path=xl/worksheets/sheet4.xml><?xml version="1.0" encoding="utf-8"?>
<worksheet xmlns:r="http://schemas.openxmlformats.org/officeDocument/2006/relationships" xmlns="http://schemas.openxmlformats.org/spreadsheetml/2006/main">
  <dimension ref="A1:L11"/>
  <sheetViews>
    <sheetView tabSelected="1" workbookViewId="0" topLeftCell="E1">
      <selection activeCell="M5" sqref="M5"/>
    </sheetView>
  </sheetViews>
  <sheetFormatPr defaultRowHeight="15.0" defaultColWidth="10"/>
  <cols>
    <col min="1" max="1" customWidth="1" width="3.0" style="0"/>
    <col min="2" max="2" customWidth="1" width="16.570313" style="0"/>
    <col min="3" max="3" customWidth="1" width="14.855469" style="0"/>
    <col min="4" max="4" customWidth="1" width="18.285156" style="0"/>
    <col min="5" max="5" customWidth="1" width="16.140625" style="0"/>
    <col min="6" max="6" customWidth="1" width="12.425781" style="0"/>
    <col min="7" max="7" customWidth="1" width="13.7109375" style="0"/>
    <col min="8" max="8" customWidth="1" width="10.425781" style="0"/>
    <col min="9" max="9" customWidth="1" width="16.855469" style="0"/>
    <col min="10" max="10" customWidth="1" width="10.140625" style="0"/>
    <col min="11" max="11" customWidth="1" width="29.140625" style="0"/>
    <col min="257" max="16384" width="9" style="0" hidden="0"/>
  </cols>
  <sheetData>
    <row r="1" spans="8:8" ht="23.25">
      <c r="A1" s="13" t="s">
        <v>41</v>
      </c>
      <c r="B1" s="14"/>
      <c r="C1" s="14"/>
      <c r="D1" s="14"/>
      <c r="E1" s="14"/>
      <c r="F1" s="14"/>
      <c r="G1" s="14"/>
      <c r="H1" s="14"/>
      <c r="I1" s="14"/>
      <c r="J1" s="14"/>
      <c r="K1" s="15"/>
    </row>
    <row r="2" spans="8:8" ht="21.0" customHeight="1">
      <c r="A2" s="46" t="s">
        <v>75</v>
      </c>
      <c r="B2" s="47"/>
      <c r="C2" s="18" t="s">
        <v>59</v>
      </c>
      <c r="D2" s="18" t="s">
        <v>63</v>
      </c>
      <c r="E2" s="18" t="s">
        <v>64</v>
      </c>
      <c r="F2" s="18" t="s">
        <v>61</v>
      </c>
      <c r="G2" s="18" t="s">
        <v>60</v>
      </c>
      <c r="H2" s="18" t="s">
        <v>62</v>
      </c>
      <c r="I2" s="18" t="s">
        <v>85</v>
      </c>
      <c r="J2" s="48" t="s">
        <v>71</v>
      </c>
      <c r="K2" s="49"/>
    </row>
    <row r="3" spans="8:8">
      <c r="A3" s="21">
        <v>1.0</v>
      </c>
      <c r="B3" s="50" t="s">
        <v>74</v>
      </c>
      <c r="C3" s="23" t="s">
        <v>34</v>
      </c>
      <c r="D3" s="23" t="s">
        <v>35</v>
      </c>
      <c r="E3" s="23" t="s">
        <v>36</v>
      </c>
      <c r="F3" s="23" t="s">
        <v>37</v>
      </c>
      <c r="G3" s="23" t="s">
        <v>38</v>
      </c>
      <c r="H3" s="23" t="s">
        <v>39</v>
      </c>
      <c r="I3" s="23" t="s">
        <v>55</v>
      </c>
      <c r="J3" s="23" t="s">
        <v>65</v>
      </c>
      <c r="K3" s="23" t="s">
        <v>66</v>
      </c>
    </row>
    <row r="4" spans="8:8" ht="75.0" customHeight="1">
      <c r="A4" s="24">
        <v>2.0</v>
      </c>
      <c r="B4" s="25" t="s">
        <v>45</v>
      </c>
      <c r="C4" s="26" t="s">
        <v>42</v>
      </c>
      <c r="D4" s="26" t="s">
        <v>46</v>
      </c>
      <c r="E4" s="26" t="s">
        <v>47</v>
      </c>
      <c r="F4" s="26" t="s">
        <v>48</v>
      </c>
      <c r="G4" s="26" t="s">
        <v>86</v>
      </c>
      <c r="H4" s="27">
        <v>41090.0</v>
      </c>
      <c r="I4" s="26" t="s">
        <v>56</v>
      </c>
      <c r="J4" s="28" t="s">
        <v>72</v>
      </c>
      <c r="K4" s="26" t="s">
        <v>70</v>
      </c>
    </row>
    <row r="5" spans="8:8" ht="127.5" customHeight="1">
      <c r="A5" s="24"/>
      <c r="B5" s="25"/>
      <c r="C5" s="26" t="s">
        <v>43</v>
      </c>
      <c r="D5" s="26" t="s">
        <v>49</v>
      </c>
      <c r="E5" s="26" t="s">
        <v>50</v>
      </c>
      <c r="F5" s="26" t="s">
        <v>51</v>
      </c>
      <c r="G5" s="26" t="s">
        <v>52</v>
      </c>
      <c r="H5" s="27">
        <v>41121.0</v>
      </c>
      <c r="I5" s="26" t="s">
        <v>57</v>
      </c>
      <c r="J5" s="51" t="s">
        <v>67</v>
      </c>
      <c r="K5" s="26" t="s">
        <v>69</v>
      </c>
    </row>
    <row r="6" spans="8:8" ht="94.5" customHeight="1">
      <c r="A6" s="24"/>
      <c r="B6" s="25"/>
      <c r="C6" s="26" t="s">
        <v>44</v>
      </c>
      <c r="D6" s="26" t="s">
        <v>53</v>
      </c>
      <c r="E6" s="26" t="s">
        <v>54</v>
      </c>
      <c r="F6" s="26" t="s">
        <v>48</v>
      </c>
      <c r="G6" s="26" t="s">
        <v>86</v>
      </c>
      <c r="H6" s="27">
        <v>41090.0</v>
      </c>
      <c r="I6" s="26" t="s">
        <v>58</v>
      </c>
      <c r="J6" s="52" t="s">
        <v>73</v>
      </c>
      <c r="K6" s="26" t="s">
        <v>68</v>
      </c>
    </row>
    <row r="7" spans="8:8">
      <c r="A7" s="53">
        <v>3.0</v>
      </c>
      <c r="B7" s="54"/>
      <c r="C7" s="55"/>
      <c r="D7" s="55"/>
      <c r="E7" s="55"/>
      <c r="F7" s="55"/>
      <c r="G7" s="55"/>
      <c r="H7" s="56"/>
      <c r="I7" s="5"/>
      <c r="J7" s="5"/>
      <c r="K7" s="5"/>
    </row>
    <row r="8" spans="8:8">
      <c r="A8" s="57"/>
      <c r="B8" s="54"/>
      <c r="C8" s="38"/>
      <c r="D8" s="38"/>
      <c r="E8" s="38"/>
      <c r="F8" s="38"/>
      <c r="G8" s="38"/>
      <c r="H8" s="39"/>
      <c r="I8" s="5"/>
      <c r="J8" s="5"/>
      <c r="K8" s="5"/>
    </row>
    <row r="9" spans="8:8">
      <c r="A9" s="58"/>
      <c r="B9" s="54"/>
      <c r="C9" s="38"/>
      <c r="D9" s="38"/>
      <c r="E9" s="38"/>
      <c r="F9" s="38"/>
      <c r="G9" s="38"/>
      <c r="H9" s="39"/>
      <c r="I9" s="5"/>
      <c r="J9" s="5"/>
      <c r="K9" s="5"/>
    </row>
    <row r="10" spans="8:8">
      <c r="A10" s="5"/>
      <c r="B10" s="37"/>
      <c r="C10" s="38"/>
      <c r="D10" s="38"/>
      <c r="E10" s="38"/>
      <c r="F10" s="38"/>
      <c r="G10" s="38"/>
      <c r="H10" s="39"/>
      <c r="I10" s="5"/>
      <c r="J10" s="5"/>
      <c r="K10" s="5"/>
    </row>
    <row r="11" spans="8:8">
      <c r="B11" s="40"/>
      <c r="C11" s="40"/>
      <c r="D11" s="40"/>
      <c r="E11" s="40"/>
      <c r="F11" s="40"/>
      <c r="G11" s="40"/>
      <c r="H11" s="40"/>
    </row>
  </sheetData>
  <mergeCells count="6">
    <mergeCell ref="A1:K1"/>
    <mergeCell ref="J2:K2"/>
    <mergeCell ref="B4:B6"/>
    <mergeCell ref="B7:B9"/>
    <mergeCell ref="A4:A6"/>
    <mergeCell ref="A7:A9"/>
  </mergeCells>
  <pageMargins left="0.511811024" right="0.511811024" top="0.787401575" bottom="0.787401575" header="0.31496062" footer="0.31496062"/>
</worksheet>
</file>

<file path=xl/worksheets/sheet5.xml><?xml version="1.0" encoding="utf-8"?>
<worksheet xmlns:r="http://schemas.openxmlformats.org/officeDocument/2006/relationships" xmlns="http://schemas.openxmlformats.org/spreadsheetml/2006/main">
  <dimension ref="A1:L10"/>
  <sheetViews>
    <sheetView workbookViewId="0">
      <selection activeCell="M8" sqref="M8"/>
    </sheetView>
  </sheetViews>
  <sheetFormatPr defaultRowHeight="15.0" defaultColWidth="10"/>
  <cols>
    <col min="2" max="2" customWidth="1" width="21.140625" style="0"/>
    <col min="3" max="3" customWidth="1" width="22.285156" style="0"/>
    <col min="4" max="4" customWidth="1" width="16.710938" style="0"/>
    <col min="5" max="5" customWidth="1" width="10.140625" style="0"/>
    <col min="6" max="6" customWidth="1" width="9.285156" style="0"/>
    <col min="7" max="7" customWidth="1" width="13.0" style="0"/>
    <col min="8" max="8" customWidth="1" width="15.7109375" style="0"/>
    <col min="9" max="9" customWidth="1" width="11.140625" style="0"/>
    <col min="10" max="10" customWidth="1" width="12.0" style="0"/>
    <col min="11" max="11" customWidth="1" width="22.140625" style="0"/>
    <col min="257" max="16384" width="9" style="0" hidden="0"/>
  </cols>
  <sheetData>
    <row r="1" spans="8:8" ht="23.25">
      <c r="A1" s="13" t="s">
        <v>41</v>
      </c>
      <c r="B1" s="14"/>
      <c r="C1" s="14"/>
      <c r="D1" s="14"/>
      <c r="E1" s="14"/>
      <c r="F1" s="14"/>
      <c r="G1" s="14"/>
      <c r="H1" s="14"/>
      <c r="I1" s="14"/>
      <c r="J1" s="14"/>
      <c r="K1" s="15"/>
    </row>
    <row r="2" spans="8:8">
      <c r="A2" s="59" t="s">
        <v>75</v>
      </c>
      <c r="B2" s="47"/>
      <c r="C2" s="18" t="s">
        <v>59</v>
      </c>
      <c r="D2" s="18" t="s">
        <v>63</v>
      </c>
      <c r="E2" s="18" t="s">
        <v>64</v>
      </c>
      <c r="F2" s="18" t="s">
        <v>61</v>
      </c>
      <c r="G2" s="18" t="s">
        <v>60</v>
      </c>
      <c r="H2" s="18" t="s">
        <v>62</v>
      </c>
      <c r="I2" s="18" t="s">
        <v>85</v>
      </c>
      <c r="J2" s="48" t="s">
        <v>71</v>
      </c>
      <c r="K2" s="49"/>
    </row>
    <row r="3" spans="8:8">
      <c r="A3" s="21">
        <v>1.0</v>
      </c>
      <c r="B3" s="50" t="s">
        <v>74</v>
      </c>
      <c r="C3" s="23" t="s">
        <v>34</v>
      </c>
      <c r="D3" s="23" t="s">
        <v>35</v>
      </c>
      <c r="E3" s="23" t="s">
        <v>36</v>
      </c>
      <c r="F3" s="23" t="s">
        <v>37</v>
      </c>
      <c r="G3" s="23" t="s">
        <v>38</v>
      </c>
      <c r="H3" s="23" t="s">
        <v>39</v>
      </c>
      <c r="I3" s="23" t="s">
        <v>55</v>
      </c>
      <c r="J3" s="23" t="s">
        <v>65</v>
      </c>
      <c r="K3" s="23" t="s">
        <v>66</v>
      </c>
    </row>
    <row r="4" spans="8:8" ht="66.75" customHeight="1">
      <c r="A4" s="60">
        <v>2.0</v>
      </c>
      <c r="B4" s="54"/>
      <c r="C4" s="61" t="s">
        <v>76</v>
      </c>
      <c r="D4" s="61" t="s">
        <v>77</v>
      </c>
      <c r="E4" s="61" t="s">
        <v>78</v>
      </c>
      <c r="F4" s="62" t="s">
        <v>79</v>
      </c>
      <c r="G4" s="61" t="s">
        <v>80</v>
      </c>
      <c r="H4" s="61" t="s">
        <v>81</v>
      </c>
      <c r="I4" s="63" t="s">
        <v>82</v>
      </c>
      <c r="J4" s="63" t="s">
        <v>83</v>
      </c>
      <c r="K4" s="63" t="s">
        <v>84</v>
      </c>
    </row>
    <row r="5" spans="8:8" ht="84.0" customHeight="1">
      <c r="A5" s="60"/>
      <c r="B5" s="54"/>
      <c r="C5" s="64"/>
      <c r="D5" s="64"/>
      <c r="E5" s="64"/>
      <c r="F5" s="64"/>
      <c r="G5" s="64"/>
      <c r="H5" s="65"/>
      <c r="I5" s="64"/>
      <c r="J5" s="64"/>
      <c r="K5" s="64"/>
    </row>
    <row r="6" spans="8:8" ht="64.5" customHeight="1">
      <c r="A6" s="60"/>
      <c r="B6" s="54"/>
      <c r="C6" s="64"/>
      <c r="D6" s="64"/>
      <c r="E6" s="64"/>
      <c r="F6" s="64"/>
      <c r="G6" s="64"/>
      <c r="H6" s="65"/>
      <c r="I6" s="64"/>
      <c r="J6" s="64"/>
      <c r="K6" s="64"/>
    </row>
    <row r="7" spans="8:8">
      <c r="A7" s="53">
        <v>3.0</v>
      </c>
      <c r="B7" s="54"/>
      <c r="C7" s="55"/>
      <c r="D7" s="55"/>
      <c r="E7" s="55"/>
      <c r="F7" s="55"/>
      <c r="G7" s="55"/>
      <c r="H7" s="56"/>
      <c r="I7" s="5"/>
      <c r="J7" s="5"/>
      <c r="K7" s="5"/>
    </row>
    <row r="8" spans="8:8">
      <c r="A8" s="57"/>
      <c r="B8" s="54"/>
      <c r="C8" s="38"/>
      <c r="D8" s="38"/>
      <c r="E8" s="38"/>
      <c r="F8" s="38"/>
      <c r="G8" s="38"/>
      <c r="H8" s="39"/>
      <c r="I8" s="5"/>
      <c r="J8" s="5"/>
      <c r="K8" s="5"/>
    </row>
    <row r="9" spans="8:8">
      <c r="A9" s="58"/>
      <c r="B9" s="54"/>
      <c r="C9" s="38"/>
      <c r="D9" s="38"/>
      <c r="E9" s="38"/>
      <c r="F9" s="38"/>
      <c r="G9" s="38"/>
      <c r="H9" s="39"/>
      <c r="I9" s="5"/>
      <c r="J9" s="5"/>
      <c r="K9" s="5"/>
    </row>
    <row r="10" spans="8:8">
      <c r="A10" s="5"/>
      <c r="B10" s="37"/>
      <c r="C10" s="38"/>
      <c r="D10" s="38"/>
      <c r="E10" s="38"/>
      <c r="F10" s="38"/>
      <c r="G10" s="38"/>
      <c r="H10" s="39"/>
      <c r="I10" s="5"/>
      <c r="J10" s="5"/>
      <c r="K10" s="5"/>
    </row>
  </sheetData>
  <mergeCells count="6">
    <mergeCell ref="A1:K1"/>
    <mergeCell ref="J2:K2"/>
    <mergeCell ref="A4:A6"/>
    <mergeCell ref="B4:B6"/>
    <mergeCell ref="A7:A9"/>
    <mergeCell ref="B7:B9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Marcos Rieper</dc:creator>
  <cp:keywords>Guia do Excel</cp:keywords>
  <cp:lastModifiedBy>Nestor</cp:lastModifiedBy>
  <dcterms:created xsi:type="dcterms:W3CDTF">2012-05-26T15:52:57Z</dcterms:created>
  <dcterms:modified xsi:type="dcterms:W3CDTF">2018-06-08T15:49:37Z</dcterms:modified>
</cp:coreProperties>
</file>