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 DRIVE AZUL\arquivos\Contabeis\Planilhas\"/>
    </mc:Choice>
  </mc:AlternateContent>
  <xr:revisionPtr revIDLastSave="0" documentId="13_ncr:1_{C8EE606C-00C3-44E6-86CB-1B8D1043234B}" xr6:coauthVersionLast="36" xr6:coauthVersionMax="36" xr10:uidLastSave="{00000000-0000-0000-0000-000000000000}"/>
  <bookViews>
    <workbookView xWindow="0" yWindow="0" windowWidth="23040" windowHeight="9096" activeTab="6" xr2:uid="{00000000-000D-0000-FFFF-FFFF00000000}"/>
  </bookViews>
  <sheets>
    <sheet name="Comércio" sheetId="1" r:id="rId1"/>
    <sheet name="Anexo 1" sheetId="2" r:id="rId2"/>
    <sheet name="Serviços (III)" sheetId="3" r:id="rId3"/>
    <sheet name="Anexo III" sheetId="4" r:id="rId4"/>
    <sheet name="Serviços IV" sheetId="5" r:id="rId5"/>
    <sheet name="Anexo IV" sheetId="6" r:id="rId6"/>
    <sheet name="Dicas de Cursos" sheetId="7" r:id="rId7"/>
  </sheets>
  <definedNames>
    <definedName name="Icms">'Anexo 1'!$L$33:$L$35</definedName>
  </definedNames>
  <calcPr calcId="162913"/>
</workbook>
</file>

<file path=xl/calcChain.xml><?xml version="1.0" encoding="utf-8"?>
<calcChain xmlns="http://schemas.openxmlformats.org/spreadsheetml/2006/main">
  <c r="A24" i="6" l="1"/>
  <c r="A23" i="6"/>
  <c r="B22" i="6"/>
  <c r="A22" i="6"/>
  <c r="B21" i="6"/>
  <c r="B20" i="6"/>
  <c r="A21" i="6" s="1"/>
  <c r="A20" i="6"/>
  <c r="B19" i="6"/>
  <c r="B18" i="6"/>
  <c r="A19" i="6" s="1"/>
  <c r="A18" i="6"/>
  <c r="B17" i="6"/>
  <c r="B16" i="6"/>
  <c r="A17" i="6" s="1"/>
  <c r="A16" i="6"/>
  <c r="B15" i="6"/>
  <c r="B14" i="6"/>
  <c r="A15" i="6" s="1"/>
  <c r="A14" i="6"/>
  <c r="B13" i="6"/>
  <c r="B12" i="6"/>
  <c r="A13" i="6" s="1"/>
  <c r="A12" i="6"/>
  <c r="B11" i="6"/>
  <c r="B10" i="6"/>
  <c r="A11" i="6" s="1"/>
  <c r="A10" i="6"/>
  <c r="B9" i="6"/>
  <c r="B8" i="6"/>
  <c r="A9" i="6" s="1"/>
  <c r="A8" i="6"/>
  <c r="B7" i="6"/>
  <c r="B6" i="6"/>
  <c r="A7" i="6" s="1"/>
  <c r="A6" i="6"/>
  <c r="B5" i="6"/>
  <c r="A5" i="6"/>
  <c r="F25" i="5"/>
  <c r="I20" i="5"/>
  <c r="G18" i="5"/>
  <c r="F18" i="5"/>
  <c r="D18" i="5"/>
  <c r="F17" i="5"/>
  <c r="I18" i="5" s="1"/>
  <c r="D17" i="5"/>
  <c r="G17" i="5" s="1"/>
  <c r="J18" i="5" s="1"/>
  <c r="I16" i="5"/>
  <c r="F16" i="5"/>
  <c r="D16" i="5"/>
  <c r="I14" i="5"/>
  <c r="F14" i="5"/>
  <c r="D14" i="5"/>
  <c r="D12" i="5"/>
  <c r="D11" i="5"/>
  <c r="G10" i="5"/>
  <c r="F10" i="5"/>
  <c r="D10" i="5"/>
  <c r="G9" i="5"/>
  <c r="A24" i="4"/>
  <c r="J23" i="4"/>
  <c r="A23" i="4"/>
  <c r="J22" i="4"/>
  <c r="B22" i="4"/>
  <c r="J21" i="4"/>
  <c r="B21" i="4"/>
  <c r="A22" i="4" s="1"/>
  <c r="J20" i="4"/>
  <c r="B20" i="4"/>
  <c r="A21" i="4" s="1"/>
  <c r="A20" i="4"/>
  <c r="J19" i="4"/>
  <c r="B19" i="4"/>
  <c r="A19" i="4"/>
  <c r="J18" i="4"/>
  <c r="B18" i="4"/>
  <c r="J17" i="4"/>
  <c r="B17" i="4"/>
  <c r="A18" i="4" s="1"/>
  <c r="J16" i="4"/>
  <c r="B16" i="4"/>
  <c r="A17" i="4" s="1"/>
  <c r="A16" i="4"/>
  <c r="J15" i="4"/>
  <c r="B15" i="4"/>
  <c r="A15" i="4"/>
  <c r="J14" i="4"/>
  <c r="B14" i="4"/>
  <c r="J13" i="4"/>
  <c r="B13" i="4"/>
  <c r="A14" i="4" s="1"/>
  <c r="J12" i="4"/>
  <c r="B12" i="4"/>
  <c r="A13" i="4" s="1"/>
  <c r="A12" i="4"/>
  <c r="J11" i="4"/>
  <c r="B11" i="4"/>
  <c r="A11" i="4"/>
  <c r="J10" i="4"/>
  <c r="B10" i="4"/>
  <c r="J9" i="4"/>
  <c r="B9" i="4"/>
  <c r="A10" i="4" s="1"/>
  <c r="J8" i="4"/>
  <c r="B8" i="4"/>
  <c r="A9" i="4" s="1"/>
  <c r="A8" i="4"/>
  <c r="J7" i="4"/>
  <c r="B7" i="4"/>
  <c r="A7" i="4"/>
  <c r="J6" i="4"/>
  <c r="B6" i="4"/>
  <c r="J5" i="4"/>
  <c r="B5" i="4"/>
  <c r="A6" i="4" s="1"/>
  <c r="A5" i="4"/>
  <c r="J4" i="4"/>
  <c r="F25" i="3"/>
  <c r="G24" i="3"/>
  <c r="G26" i="3" s="1"/>
  <c r="G21" i="3"/>
  <c r="G22" i="3" s="1"/>
  <c r="I18" i="3"/>
  <c r="F18" i="3"/>
  <c r="D18" i="3"/>
  <c r="G18" i="3" s="1"/>
  <c r="F17" i="3"/>
  <c r="I16" i="3"/>
  <c r="F16" i="3"/>
  <c r="D16" i="3"/>
  <c r="D17" i="3" s="1"/>
  <c r="G17" i="3" s="1"/>
  <c r="I14" i="3"/>
  <c r="G14" i="3"/>
  <c r="F14" i="3"/>
  <c r="D14" i="3"/>
  <c r="D12" i="3"/>
  <c r="G11" i="3"/>
  <c r="D11" i="3"/>
  <c r="D13" i="3" s="1"/>
  <c r="D15" i="3" s="1"/>
  <c r="D19" i="3" s="1"/>
  <c r="F10" i="3"/>
  <c r="D10" i="3"/>
  <c r="G9" i="3"/>
  <c r="G16" i="3" s="1"/>
  <c r="K24" i="2"/>
  <c r="A24" i="2"/>
  <c r="K23" i="2"/>
  <c r="A23" i="2"/>
  <c r="K22" i="2"/>
  <c r="B22" i="2"/>
  <c r="A22" i="2"/>
  <c r="K21" i="2"/>
  <c r="B21" i="2"/>
  <c r="A21" i="2"/>
  <c r="K20" i="2"/>
  <c r="B20" i="2"/>
  <c r="K19" i="2"/>
  <c r="B19" i="2"/>
  <c r="A20" i="2" s="1"/>
  <c r="K18" i="2"/>
  <c r="B18" i="2"/>
  <c r="A19" i="2" s="1"/>
  <c r="A18" i="2"/>
  <c r="K17" i="2"/>
  <c r="B17" i="2"/>
  <c r="A17" i="2"/>
  <c r="K16" i="2"/>
  <c r="B16" i="2"/>
  <c r="K15" i="2"/>
  <c r="B15" i="2"/>
  <c r="A16" i="2" s="1"/>
  <c r="K14" i="2"/>
  <c r="B14" i="2"/>
  <c r="A15" i="2" s="1"/>
  <c r="A14" i="2"/>
  <c r="K13" i="2"/>
  <c r="B13" i="2"/>
  <c r="A13" i="2"/>
  <c r="K12" i="2"/>
  <c r="B12" i="2"/>
  <c r="K11" i="2"/>
  <c r="B11" i="2"/>
  <c r="A12" i="2" s="1"/>
  <c r="K10" i="2"/>
  <c r="B10" i="2"/>
  <c r="A11" i="2" s="1"/>
  <c r="A10" i="2"/>
  <c r="K9" i="2"/>
  <c r="B9" i="2"/>
  <c r="A9" i="2"/>
  <c r="K8" i="2"/>
  <c r="B8" i="2"/>
  <c r="K7" i="2"/>
  <c r="B7" i="2"/>
  <c r="A8" i="2" s="1"/>
  <c r="K6" i="2"/>
  <c r="B6" i="2"/>
  <c r="A7" i="2" s="1"/>
  <c r="A6" i="2"/>
  <c r="K5" i="2"/>
  <c r="B5" i="2"/>
  <c r="A5" i="2"/>
  <c r="K4" i="2"/>
  <c r="B4" i="2"/>
  <c r="F24" i="1"/>
  <c r="I17" i="1"/>
  <c r="F17" i="1"/>
  <c r="D17" i="1"/>
  <c r="G17" i="1" s="1"/>
  <c r="F16" i="1"/>
  <c r="I15" i="1"/>
  <c r="F15" i="1"/>
  <c r="D15" i="1"/>
  <c r="D16" i="1" s="1"/>
  <c r="G16" i="1" s="1"/>
  <c r="F14" i="1"/>
  <c r="I13" i="1"/>
  <c r="F13" i="1"/>
  <c r="D13" i="1"/>
  <c r="D11" i="1"/>
  <c r="J10" i="1"/>
  <c r="D10" i="1"/>
  <c r="F9" i="1"/>
  <c r="D9" i="1"/>
  <c r="G9" i="1" s="1"/>
  <c r="F8" i="1"/>
  <c r="D8" i="1"/>
  <c r="G8" i="1" s="1"/>
  <c r="G7" i="1"/>
  <c r="G23" i="1" s="1"/>
  <c r="J7" i="1" l="1"/>
  <c r="G11" i="1"/>
  <c r="G13" i="1"/>
  <c r="G15" i="1"/>
  <c r="G24" i="1"/>
  <c r="J8" i="1"/>
  <c r="M34" i="2" s="1"/>
  <c r="G10" i="1"/>
  <c r="G12" i="1" s="1"/>
  <c r="G14" i="1" s="1"/>
  <c r="G19" i="3"/>
  <c r="D22" i="3"/>
  <c r="D20" i="3"/>
  <c r="J17" i="1"/>
  <c r="J15" i="1"/>
  <c r="J13" i="1"/>
  <c r="G13" i="5"/>
  <c r="G15" i="5" s="1"/>
  <c r="G11" i="5"/>
  <c r="G14" i="5"/>
  <c r="G24" i="5"/>
  <c r="G21" i="5"/>
  <c r="G22" i="5" s="1"/>
  <c r="G16" i="5"/>
  <c r="G12" i="5"/>
  <c r="J10" i="5"/>
  <c r="I24" i="5" s="1"/>
  <c r="J9" i="5"/>
  <c r="G10" i="3"/>
  <c r="D12" i="1"/>
  <c r="D14" i="1" s="1"/>
  <c r="D18" i="1" s="1"/>
  <c r="G25" i="1"/>
  <c r="G20" i="1"/>
  <c r="G21" i="1" s="1"/>
  <c r="C30" i="1" s="1"/>
  <c r="G25" i="3"/>
  <c r="D13" i="5"/>
  <c r="D15" i="5" s="1"/>
  <c r="D19" i="5" s="1"/>
  <c r="J9" i="3"/>
  <c r="J10" i="3"/>
  <c r="I24" i="3" s="1"/>
  <c r="G12" i="3"/>
  <c r="M33" i="2" l="1"/>
  <c r="I23" i="1" s="1"/>
  <c r="J23" i="1" s="1"/>
  <c r="C31" i="1" s="1"/>
  <c r="F31" i="1" s="1"/>
  <c r="I29" i="1" s="1"/>
  <c r="M35" i="2"/>
  <c r="F29" i="1"/>
  <c r="I31" i="1"/>
  <c r="J26" i="1"/>
  <c r="C34" i="1" s="1"/>
  <c r="F34" i="1" s="1"/>
  <c r="D22" i="5"/>
  <c r="D20" i="5"/>
  <c r="G19" i="5"/>
  <c r="J24" i="5"/>
  <c r="J16" i="5"/>
  <c r="C33" i="5" s="1"/>
  <c r="J28" i="5"/>
  <c r="J14" i="5"/>
  <c r="J20" i="5"/>
  <c r="G26" i="5"/>
  <c r="G25" i="5"/>
  <c r="C32" i="5" s="1"/>
  <c r="D24" i="3"/>
  <c r="C32" i="3"/>
  <c r="G13" i="3"/>
  <c r="G15" i="3" s="1"/>
  <c r="D19" i="1"/>
  <c r="D21" i="1"/>
  <c r="G18" i="1"/>
  <c r="G26" i="1" s="1"/>
  <c r="C33" i="1" s="1"/>
  <c r="I33" i="1" s="1"/>
  <c r="J24" i="3"/>
  <c r="J14" i="3"/>
  <c r="J18" i="3"/>
  <c r="J16" i="3"/>
  <c r="C33" i="3" s="1"/>
  <c r="G28" i="3"/>
  <c r="D23" i="1" l="1"/>
  <c r="F32" i="5"/>
  <c r="I32" i="5"/>
  <c r="C36" i="5"/>
  <c r="F36" i="5"/>
  <c r="I33" i="5"/>
  <c r="F33" i="5"/>
  <c r="I33" i="3"/>
  <c r="F33" i="3"/>
  <c r="D24" i="1"/>
  <c r="D26" i="1" s="1"/>
  <c r="F33" i="1" s="1"/>
  <c r="I34" i="1" s="1"/>
  <c r="G28" i="5"/>
  <c r="F32" i="3"/>
  <c r="I32" i="3"/>
  <c r="I35" i="3"/>
  <c r="C35" i="3"/>
  <c r="J28" i="3"/>
  <c r="D25" i="3"/>
  <c r="C31" i="3" s="1"/>
  <c r="D24" i="5"/>
  <c r="I35" i="5" l="1"/>
  <c r="C35" i="5"/>
  <c r="D28" i="3"/>
  <c r="C29" i="1"/>
  <c r="I31" i="3"/>
  <c r="F31" i="3"/>
  <c r="D25" i="5"/>
  <c r="C31" i="5" s="1"/>
  <c r="D28" i="5"/>
  <c r="C36" i="3"/>
  <c r="F36" i="3"/>
  <c r="I36" i="5" l="1"/>
  <c r="F35" i="5"/>
  <c r="I36" i="3"/>
  <c r="F35" i="3"/>
  <c r="I31" i="5"/>
  <c r="F31" i="5"/>
  <c r="I30" i="1"/>
  <c r="F30" i="1"/>
</calcChain>
</file>

<file path=xl/sharedStrings.xml><?xml version="1.0" encoding="utf-8"?>
<sst xmlns="http://schemas.openxmlformats.org/spreadsheetml/2006/main" count="257" uniqueCount="140">
  <si>
    <t>COMPARAÇÃO LUCRO REAL X LUCRO PRESUMIDO X SIMPLES NACIONAL NO COMÉRCIO</t>
  </si>
  <si>
    <t>Para simulação: Digite nas células em amarelo</t>
  </si>
  <si>
    <t>Atacadista &gt;</t>
  </si>
  <si>
    <t>Ajuda &gt;</t>
  </si>
  <si>
    <t>LUCRO REAL</t>
  </si>
  <si>
    <t>LUCRO PRESUMIDO</t>
  </si>
  <si>
    <t>SIMPLES NACIONAL</t>
  </si>
  <si>
    <t>Receita Bruta (Mensal)</t>
  </si>
  <si>
    <t>Receita Bruta Mensal (limite de 200 mil + 20%)</t>
  </si>
  <si>
    <t>Em 12 meses (anual)</t>
  </si>
  <si>
    <t>ICMS - Simples</t>
  </si>
  <si>
    <t>=</t>
  </si>
  <si>
    <t>Receita Líquida</t>
  </si>
  <si>
    <t>-</t>
  </si>
  <si>
    <t>Margem Bruta</t>
  </si>
  <si>
    <t>Lucro Líquido</t>
  </si>
  <si>
    <t>Base de cálculo do Lucro Presumido CSLL</t>
  </si>
  <si>
    <t>LALUR</t>
  </si>
  <si>
    <t>Base de cálculo do Lucro Presumido IR</t>
  </si>
  <si>
    <t>Encargos Fiscais (anexo I do Simples)</t>
  </si>
  <si>
    <t>Lucro Real</t>
  </si>
  <si>
    <t>Lucro Presumido</t>
  </si>
  <si>
    <t>Lucro: Simples</t>
  </si>
  <si>
    <t>Anexo I - Partilha do Simples Nacional – Comércio</t>
  </si>
  <si>
    <t>Receita Anual</t>
  </si>
  <si>
    <t>Total</t>
  </si>
  <si>
    <t>IRPJ</t>
  </si>
  <si>
    <t>CSLL</t>
  </si>
  <si>
    <t>COFINS</t>
  </si>
  <si>
    <t>PIS/PASEP</t>
  </si>
  <si>
    <t>CPP</t>
  </si>
  <si>
    <t>ICMS</t>
  </si>
  <si>
    <t>TOTAL (*)</t>
  </si>
  <si>
    <t>0.00%</t>
  </si>
  <si>
    <t>2.75%</t>
  </si>
  <si>
    <t>1.25%</t>
  </si>
  <si>
    <t>0.86%</t>
  </si>
  <si>
    <t>1.86%</t>
  </si>
  <si>
    <t>0.27%</t>
  </si>
  <si>
    <t>0.31%</t>
  </si>
  <si>
    <t>0.95%</t>
  </si>
  <si>
    <t>0.23%</t>
  </si>
  <si>
    <t>2.33%</t>
  </si>
  <si>
    <t>0.35%</t>
  </si>
  <si>
    <t>1.04%</t>
  </si>
  <si>
    <t>0.25%</t>
  </si>
  <si>
    <t>2.99%</t>
  </si>
  <si>
    <t>2.56%</t>
  </si>
  <si>
    <t>1.05%</t>
  </si>
  <si>
    <t>3.02%</t>
  </si>
  <si>
    <t>2.58%</t>
  </si>
  <si>
    <t>0.38%</t>
  </si>
  <si>
    <t>1.15%</t>
  </si>
  <si>
    <t>3.28%</t>
  </si>
  <si>
    <t>2.82%</t>
  </si>
  <si>
    <t>0.39%</t>
  </si>
  <si>
    <t>1.16%</t>
  </si>
  <si>
    <t>0.28%</t>
  </si>
  <si>
    <t>3.30%</t>
  </si>
  <si>
    <t>2.84%</t>
  </si>
  <si>
    <t>1.17%</t>
  </si>
  <si>
    <t>3.35%</t>
  </si>
  <si>
    <t>2.87%</t>
  </si>
  <si>
    <t>0.42%</t>
  </si>
  <si>
    <t>0.30%</t>
  </si>
  <si>
    <t>3.57%</t>
  </si>
  <si>
    <t>3.07%</t>
  </si>
  <si>
    <t>0.43%</t>
  </si>
  <si>
    <t>1.26%</t>
  </si>
  <si>
    <t>3.60%</t>
  </si>
  <si>
    <t>3.10%</t>
  </si>
  <si>
    <t>0.46%</t>
  </si>
  <si>
    <t>1.38%</t>
  </si>
  <si>
    <t>0.33%</t>
  </si>
  <si>
    <t>3.94%</t>
  </si>
  <si>
    <t>3.38%</t>
  </si>
  <si>
    <t>1.39%</t>
  </si>
  <si>
    <t>3.99%</t>
  </si>
  <si>
    <t>3.41%</t>
  </si>
  <si>
    <t>0.47%</t>
  </si>
  <si>
    <t>1.40%</t>
  </si>
  <si>
    <t>4.01%</t>
  </si>
  <si>
    <t>3.45%</t>
  </si>
  <si>
    <t>1.42%</t>
  </si>
  <si>
    <t>0.34%</t>
  </si>
  <si>
    <t>4.05%</t>
  </si>
  <si>
    <t>3.48%</t>
  </si>
  <si>
    <t>0.48%</t>
  </si>
  <si>
    <t>1.43%</t>
  </si>
  <si>
    <t>4.08%</t>
  </si>
  <si>
    <t>3.51%</t>
  </si>
  <si>
    <t>0.52%</t>
  </si>
  <si>
    <t>1.56%</t>
  </si>
  <si>
    <t>0.37%</t>
  </si>
  <si>
    <t>4.44%</t>
  </si>
  <si>
    <t>3.82%</t>
  </si>
  <si>
    <t>1.57%</t>
  </si>
  <si>
    <t>4.49%</t>
  </si>
  <si>
    <t>3.85%</t>
  </si>
  <si>
    <t>0.53%</t>
  </si>
  <si>
    <t>1.58%</t>
  </si>
  <si>
    <t>4.52%</t>
  </si>
  <si>
    <t>3.88%</t>
  </si>
  <si>
    <t>1.60%</t>
  </si>
  <si>
    <t>4.56%</t>
  </si>
  <si>
    <t>3.91%</t>
  </si>
  <si>
    <t>0.54%</t>
  </si>
  <si>
    <t>4.60%</t>
  </si>
  <si>
    <t>3.95%</t>
  </si>
  <si>
    <t>(*) sem ICMS</t>
  </si>
  <si>
    <t>Isenção</t>
  </si>
  <si>
    <t>Substituição Tributária</t>
  </si>
  <si>
    <t xml:space="preserve">COMPARAÇÃO LUCRO REAL X LUCRO PRESUMIDO X SIMPLES NACIONAL  - Serviços e Locação (Anexo III) </t>
  </si>
  <si>
    <t>Digite nas células em amarelo</t>
  </si>
  <si>
    <t>Atividades &gt;</t>
  </si>
  <si>
    <t>Receita Bruta</t>
  </si>
  <si>
    <t>Em 12 meses</t>
  </si>
  <si>
    <t>Resultado operacional</t>
  </si>
  <si>
    <t>Encargos Fiscais (Anexo III)</t>
  </si>
  <si>
    <t>Lucro - Simples</t>
  </si>
  <si>
    <t xml:space="preserve">Anexo III - Partilha do Simples Nacional – Serviços e Locação de Bens Móveis </t>
  </si>
  <si>
    <t>Receita Mensal</t>
  </si>
  <si>
    <t>TOTAL</t>
  </si>
  <si>
    <t>ISS</t>
  </si>
  <si>
    <t>COMPARAÇÃO LUCRO REAL X LUCRO PRESUMIDO X SIMPLES NACIONAL  - Serviços (Anexo IV)</t>
  </si>
  <si>
    <t xml:space="preserve">Atividades &gt; </t>
  </si>
  <si>
    <t>Encargos Fiscais (Anexo IV)</t>
  </si>
  <si>
    <t xml:space="preserve">Anexo IV - Serviços </t>
  </si>
  <si>
    <t>http://bit.ly/praticanoicms</t>
  </si>
  <si>
    <t xml:space="preserve">Segue abaixo alguns cursos de parceiros que ajudara na evolução do escritório: </t>
  </si>
  <si>
    <t xml:space="preserve">Manual Contador Iniciante com Francisco Lira &gt;&gt; </t>
  </si>
  <si>
    <t>http://bit.ly/cursoscontadoriniciante</t>
  </si>
  <si>
    <t xml:space="preserve">Negociação Para Contadores com Anderson Hernandes &gt;&gt; </t>
  </si>
  <si>
    <t>http://bit.ly/negociandocomcliente</t>
  </si>
  <si>
    <t xml:space="preserve">Formação em SPED com Felipe Guerra &gt;&gt;&gt; </t>
  </si>
  <si>
    <t>http://bit.ly/2IMaVwz</t>
  </si>
  <si>
    <t>Aprenda Esocial De Uma Forma Simples e Prática &gt;&gt;</t>
  </si>
  <si>
    <t>http://bit.ly/esocialdescomplicado</t>
  </si>
  <si>
    <t xml:space="preserve">Simples Nacional e Entendendo Sobre ICMS com Deise Parisotto &gt;&gt; </t>
  </si>
  <si>
    <t>http://bit.ly/especialistanosimples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</si>
</sst>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164" formatCode="&quot;R$ &quot;#,##0.00"/>
    <numFmt numFmtId="165" formatCode="&quot;ICMS sobre Vendas&quot;\ 0%"/>
    <numFmt numFmtId="166" formatCode="&quot;ICMS: Crédito sobre Compras&quot;\ 0%"/>
    <numFmt numFmtId="167" formatCode="&quot;PIS de&quot;\ 0.00%"/>
    <numFmt numFmtId="168" formatCode="&quot;Cofins de&quot;\ 0%"/>
    <numFmt numFmtId="169" formatCode="&quot;Custo da Mercadoria Vendida =&quot;\ 0.0%"/>
    <numFmt numFmtId="170" formatCode="&quot;Folha pagamento s/ Receita Bruta =&quot;\ 0.0%"/>
    <numFmt numFmtId="171" formatCode="&quot;Encargos sociais sobre folha = &quot;\ 0.0%"/>
    <numFmt numFmtId="172" formatCode="&quot;Folha Salarial de&quot;\ 0%"/>
    <numFmt numFmtId="173" formatCode="&quot;Despesas diversas s/ Receita Bruta =&quot;\ 0.0%"/>
    <numFmt numFmtId="174" formatCode="&quot;CSLL de&quot;\ 0%"/>
    <numFmt numFmtId="175" formatCode="&quot;Comércio &gt;&quot;\ 0%"/>
    <numFmt numFmtId="176" formatCode="&quot;IR de&quot;\ 0%"/>
    <numFmt numFmtId="177" formatCode="&quot;Alíquota da CSLL de&quot;\ 0%"/>
    <numFmt numFmtId="178" formatCode="&quot;Alíquota de&quot;\ 0.00%"/>
    <numFmt numFmtId="179" formatCode="&quot;Adicional de IR se &gt; 20 mil reais&quot;\ 0%"/>
    <numFmt numFmtId="180" formatCode="&quot;Alíquota do IR de&quot;\ 0%"/>
    <numFmt numFmtId="181" formatCode="&quot;Carga Tributária:  Lucro Real&quot;\ &quot;R$ &quot;#,##0.00"/>
    <numFmt numFmtId="182" formatCode="&quot;Carga Tributária:  Lucro Presumido&quot;\ &quot;R$ &quot;#,##0.00"/>
    <numFmt numFmtId="183" formatCode="&quot;Carga Tributária: Simples&quot;\ &quot;R$ &quot;#,##0.00"/>
    <numFmt numFmtId="184" formatCode="&quot;Carga Tributária: Lucro Presumido&quot;\ &quot;R$ &quot;#,##0.00"/>
    <numFmt numFmtId="185" formatCode="&quot;Carga Tributária: Lucro Real&quot;\ &quot;R$ &quot;#,##0.00"/>
    <numFmt numFmtId="186" formatCode="&quot;Lucro: no Lucro Presumido&quot;\ &quot;R$ &quot;#,##0.00"/>
    <numFmt numFmtId="187" formatCode="&quot;Lucro: no Lucro Real&quot;\ &quot;R$ &quot;#,##0.00"/>
    <numFmt numFmtId="188" formatCode="&quot;Lucro: no Simples&quot;\ &quot;R$ &quot;#,##0.00"/>
    <numFmt numFmtId="189" formatCode="&quot;Redução de Base de cálculo do ICMS =&quot;\ 0.00%"/>
    <numFmt numFmtId="190" formatCode="&quot;ISS de&quot;\ 0%"/>
    <numFmt numFmtId="191" formatCode="&quot;Custo do Serviço =&quot;\ 0.0%"/>
    <numFmt numFmtId="192" formatCode="&quot;folha salarial =&quot;\ 0.0%"/>
    <numFmt numFmtId="193" formatCode="&quot;folha salarial = &quot;\ 0.0%"/>
    <numFmt numFmtId="194" formatCode="&quot;encargos sociais = &quot;\ 0.0%"/>
    <numFmt numFmtId="195" formatCode="&quot;despesas diversas =&quot;\ 0.0%"/>
    <numFmt numFmtId="196" formatCode="&quot;Serviços &gt;&quot;\ 0%"/>
    <numFmt numFmtId="197" formatCode="&quot;Carga Tributária - Lucro Real&quot;\ &quot;R$ &quot;#,##0.00"/>
    <numFmt numFmtId="198" formatCode="&quot;Carga Tributária - Lucro Presumido&quot;\ &quot;R$ &quot;#,##0.00"/>
    <numFmt numFmtId="199" formatCode="&quot;Carga Tributária- Simples&quot;\ &quot;R$ &quot;#,##0.00"/>
    <numFmt numFmtId="200" formatCode="&quot;Lucro Presumido&quot;\ &quot;R$ &quot;#,##0.00"/>
    <numFmt numFmtId="201" formatCode="&quot;Lucro Real&quot;\ &quot;R$ &quot;#,##0.00"/>
    <numFmt numFmtId="202" formatCode="&quot;Lucro no Simples&quot;\ &quot;R$ &quot;#,##0.00"/>
    <numFmt numFmtId="203" formatCode="&quot;Custo do Serviço  =&quot;\ 0.0%"/>
  </numFmts>
  <fonts count="20">
    <font>
      <sz val="11"/>
      <color rgb="FF000000"/>
      <name val="Calibri"/>
    </font>
    <font>
      <sz val="10"/>
      <color rgb="FF000000"/>
      <name val="Arial"/>
    </font>
    <font>
      <b/>
      <sz val="18"/>
      <color rgb="FFDD0806"/>
      <name val="Arial"/>
    </font>
    <font>
      <b/>
      <sz val="16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8"/>
      <name val="Arial"/>
    </font>
    <font>
      <sz val="8"/>
      <name val="Arial"/>
    </font>
    <font>
      <sz val="11"/>
      <name val="Calibri"/>
    </font>
    <font>
      <b/>
      <u/>
      <sz val="8"/>
      <color rgb="FF0000FF"/>
      <name val="Arial"/>
    </font>
    <font>
      <u/>
      <sz val="8"/>
      <color rgb="FF0000FF"/>
      <name val="Arial"/>
    </font>
    <font>
      <sz val="10"/>
      <name val="Arial"/>
    </font>
    <font>
      <b/>
      <sz val="16"/>
      <color rgb="FF006411"/>
      <name val="Arial"/>
    </font>
    <font>
      <sz val="7"/>
      <color rgb="FF000000"/>
      <name val="Arial"/>
    </font>
    <font>
      <u/>
      <sz val="11"/>
      <color theme="10"/>
      <name val="Calibri"/>
    </font>
    <font>
      <b/>
      <sz val="18"/>
      <color rgb="FF0070C0"/>
      <name val="Arial"/>
      <family val="2"/>
    </font>
    <font>
      <u/>
      <sz val="15"/>
      <color theme="10"/>
      <name val="Calibri"/>
      <family val="2"/>
    </font>
    <font>
      <b/>
      <sz val="15"/>
      <color rgb="FF0070C0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F305"/>
        <bgColor rgb="FFFCF305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4" fillId="0" borderId="0" applyNumberFormat="0" applyFill="0" applyBorder="0" applyAlignment="0" applyProtection="0"/>
    <xf numFmtId="0" fontId="18" fillId="0" borderId="1"/>
    <xf numFmtId="0" fontId="19" fillId="0" borderId="1" applyNumberFormat="0" applyFill="0" applyBorder="0" applyAlignment="0" applyProtection="0"/>
  </cellStyleXfs>
  <cellXfs count="121">
    <xf numFmtId="0" fontId="0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left"/>
    </xf>
    <xf numFmtId="164" fontId="1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/>
    <xf numFmtId="164" fontId="1" fillId="2" borderId="4" xfId="0" applyNumberFormat="1" applyFont="1" applyFill="1" applyBorder="1"/>
    <xf numFmtId="0" fontId="5" fillId="2" borderId="2" xfId="0" applyFont="1" applyFill="1" applyBorder="1"/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164" fontId="1" fillId="2" borderId="6" xfId="0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164" fontId="1" fillId="3" borderId="7" xfId="0" applyNumberFormat="1" applyFont="1" applyFill="1" applyBorder="1"/>
    <xf numFmtId="165" fontId="1" fillId="3" borderId="7" xfId="0" applyNumberFormat="1" applyFont="1" applyFill="1" applyBorder="1"/>
    <xf numFmtId="165" fontId="1" fillId="2" borderId="5" xfId="0" applyNumberFormat="1" applyFont="1" applyFill="1" applyBorder="1"/>
    <xf numFmtId="166" fontId="1" fillId="3" borderId="7" xfId="0" applyNumberFormat="1" applyFont="1" applyFill="1" applyBorder="1"/>
    <xf numFmtId="166" fontId="1" fillId="2" borderId="5" xfId="0" applyNumberFormat="1" applyFont="1" applyFill="1" applyBorder="1"/>
    <xf numFmtId="167" fontId="1" fillId="2" borderId="1" xfId="0" applyNumberFormat="1" applyFont="1" applyFill="1" applyBorder="1"/>
    <xf numFmtId="167" fontId="1" fillId="2" borderId="5" xfId="0" applyNumberFormat="1" applyFont="1" applyFill="1" applyBorder="1"/>
    <xf numFmtId="0" fontId="1" fillId="3" borderId="7" xfId="0" applyFont="1" applyFill="1" applyBorder="1"/>
    <xf numFmtId="168" fontId="1" fillId="2" borderId="1" xfId="0" applyNumberFormat="1" applyFont="1" applyFill="1" applyBorder="1"/>
    <xf numFmtId="168" fontId="1" fillId="2" borderId="5" xfId="0" applyNumberFormat="1" applyFont="1" applyFill="1" applyBorder="1"/>
    <xf numFmtId="169" fontId="1" fillId="3" borderId="7" xfId="0" applyNumberFormat="1" applyFont="1" applyFill="1" applyBorder="1"/>
    <xf numFmtId="169" fontId="1" fillId="2" borderId="5" xfId="0" applyNumberFormat="1" applyFont="1" applyFill="1" applyBorder="1"/>
    <xf numFmtId="170" fontId="1" fillId="3" borderId="7" xfId="0" applyNumberFormat="1" applyFont="1" applyFill="1" applyBorder="1"/>
    <xf numFmtId="170" fontId="1" fillId="2" borderId="5" xfId="0" applyNumberFormat="1" applyFont="1" applyFill="1" applyBorder="1"/>
    <xf numFmtId="171" fontId="1" fillId="3" borderId="7" xfId="0" applyNumberFormat="1" applyFont="1" applyFill="1" applyBorder="1"/>
    <xf numFmtId="171" fontId="1" fillId="2" borderId="5" xfId="0" applyNumberFormat="1" applyFont="1" applyFill="1" applyBorder="1" applyAlignment="1">
      <alignment wrapText="1"/>
    </xf>
    <xf numFmtId="172" fontId="1" fillId="2" borderId="5" xfId="0" applyNumberFormat="1" applyFont="1" applyFill="1" applyBorder="1"/>
    <xf numFmtId="173" fontId="1" fillId="3" borderId="7" xfId="0" applyNumberFormat="1" applyFont="1" applyFill="1" applyBorder="1" applyAlignment="1">
      <alignment horizontal="right"/>
    </xf>
    <xf numFmtId="173" fontId="1" fillId="2" borderId="5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5" fillId="2" borderId="6" xfId="0" applyNumberFormat="1" applyFont="1" applyFill="1" applyBorder="1"/>
    <xf numFmtId="174" fontId="1" fillId="2" borderId="1" xfId="0" applyNumberFormat="1" applyFont="1" applyFill="1" applyBorder="1"/>
    <xf numFmtId="10" fontId="5" fillId="2" borderId="5" xfId="0" applyNumberFormat="1" applyFont="1" applyFill="1" applyBorder="1"/>
    <xf numFmtId="0" fontId="1" fillId="2" borderId="1" xfId="0" applyFont="1" applyFill="1" applyBorder="1" applyAlignment="1">
      <alignment horizontal="right"/>
    </xf>
    <xf numFmtId="175" fontId="1" fillId="2" borderId="5" xfId="0" applyNumberFormat="1" applyFont="1" applyFill="1" applyBorder="1"/>
    <xf numFmtId="176" fontId="1" fillId="2" borderId="1" xfId="0" applyNumberFormat="1" applyFont="1" applyFill="1" applyBorder="1"/>
    <xf numFmtId="177" fontId="1" fillId="2" borderId="5" xfId="0" applyNumberFormat="1" applyFont="1" applyFill="1" applyBorder="1"/>
    <xf numFmtId="0" fontId="5" fillId="2" borderId="5" xfId="0" applyFont="1" applyFill="1" applyBorder="1"/>
    <xf numFmtId="178" fontId="1" fillId="2" borderId="5" xfId="0" applyNumberFormat="1" applyFont="1" applyFill="1" applyBorder="1"/>
    <xf numFmtId="179" fontId="1" fillId="2" borderId="1" xfId="0" applyNumberFormat="1" applyFont="1" applyFill="1" applyBorder="1"/>
    <xf numFmtId="180" fontId="1" fillId="2" borderId="5" xfId="0" applyNumberFormat="1" applyFont="1" applyFill="1" applyBorder="1"/>
    <xf numFmtId="179" fontId="1" fillId="2" borderId="5" xfId="0" applyNumberFormat="1" applyFont="1" applyFill="1" applyBorder="1"/>
    <xf numFmtId="0" fontId="5" fillId="2" borderId="1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164" fontId="1" fillId="2" borderId="10" xfId="0" applyNumberFormat="1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181" fontId="5" fillId="2" borderId="7" xfId="0" applyNumberFormat="1" applyFont="1" applyFill="1" applyBorder="1"/>
    <xf numFmtId="182" fontId="5" fillId="2" borderId="7" xfId="0" applyNumberFormat="1" applyFont="1" applyFill="1" applyBorder="1"/>
    <xf numFmtId="183" fontId="5" fillId="2" borderId="7" xfId="0" applyNumberFormat="1" applyFont="1" applyFill="1" applyBorder="1"/>
    <xf numFmtId="184" fontId="1" fillId="2" borderId="7" xfId="0" applyNumberFormat="1" applyFont="1" applyFill="1" applyBorder="1"/>
    <xf numFmtId="181" fontId="1" fillId="2" borderId="7" xfId="0" applyNumberFormat="1" applyFont="1" applyFill="1" applyBorder="1"/>
    <xf numFmtId="185" fontId="1" fillId="2" borderId="7" xfId="0" applyNumberFormat="1" applyFont="1" applyFill="1" applyBorder="1"/>
    <xf numFmtId="183" fontId="1" fillId="2" borderId="7" xfId="0" applyNumberFormat="1" applyFont="1" applyFill="1" applyBorder="1"/>
    <xf numFmtId="186" fontId="1" fillId="2" borderId="7" xfId="0" applyNumberFormat="1" applyFont="1" applyFill="1" applyBorder="1"/>
    <xf numFmtId="187" fontId="1" fillId="2" borderId="7" xfId="0" applyNumberFormat="1" applyFont="1" applyFill="1" applyBorder="1"/>
    <xf numFmtId="188" fontId="1" fillId="2" borderId="7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10" fontId="7" fillId="2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164" fontId="7" fillId="2" borderId="7" xfId="0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10" fontId="6" fillId="2" borderId="7" xfId="0" applyNumberFormat="1" applyFont="1" applyFill="1" applyBorder="1" applyAlignment="1">
      <alignment horizontal="center"/>
    </xf>
    <xf numFmtId="164" fontId="7" fillId="2" borderId="7" xfId="0" applyNumberFormat="1" applyFont="1" applyFill="1" applyBorder="1" applyAlignment="1">
      <alignment horizontal="left"/>
    </xf>
    <xf numFmtId="10" fontId="7" fillId="2" borderId="7" xfId="0" applyNumberFormat="1" applyFont="1" applyFill="1" applyBorder="1"/>
    <xf numFmtId="10" fontId="10" fillId="2" borderId="7" xfId="0" applyNumberFormat="1" applyFont="1" applyFill="1" applyBorder="1" applyAlignment="1">
      <alignment horizontal="center" wrapText="1"/>
    </xf>
    <xf numFmtId="10" fontId="7" fillId="2" borderId="7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left"/>
    </xf>
    <xf numFmtId="0" fontId="11" fillId="2" borderId="1" xfId="0" applyFont="1" applyFill="1" applyBorder="1"/>
    <xf numFmtId="0" fontId="0" fillId="2" borderId="1" xfId="0" applyFont="1" applyFill="1" applyBorder="1"/>
    <xf numFmtId="10" fontId="8" fillId="0" borderId="0" xfId="0" applyNumberFormat="1" applyFont="1"/>
    <xf numFmtId="164" fontId="12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190" fontId="1" fillId="3" borderId="7" xfId="0" applyNumberFormat="1" applyFont="1" applyFill="1" applyBorder="1"/>
    <xf numFmtId="190" fontId="1" fillId="2" borderId="5" xfId="0" applyNumberFormat="1" applyFont="1" applyFill="1" applyBorder="1"/>
    <xf numFmtId="191" fontId="1" fillId="3" borderId="7" xfId="0" applyNumberFormat="1" applyFont="1" applyFill="1" applyBorder="1"/>
    <xf numFmtId="191" fontId="1" fillId="2" borderId="5" xfId="0" applyNumberFormat="1" applyFont="1" applyFill="1" applyBorder="1"/>
    <xf numFmtId="192" fontId="1" fillId="3" borderId="7" xfId="0" applyNumberFormat="1" applyFont="1" applyFill="1" applyBorder="1"/>
    <xf numFmtId="192" fontId="1" fillId="2" borderId="5" xfId="0" applyNumberFormat="1" applyFont="1" applyFill="1" applyBorder="1"/>
    <xf numFmtId="193" fontId="1" fillId="2" borderId="5" xfId="0" applyNumberFormat="1" applyFont="1" applyFill="1" applyBorder="1"/>
    <xf numFmtId="194" fontId="1" fillId="3" borderId="7" xfId="0" applyNumberFormat="1" applyFont="1" applyFill="1" applyBorder="1"/>
    <xf numFmtId="194" fontId="1" fillId="2" borderId="5" xfId="0" applyNumberFormat="1" applyFont="1" applyFill="1" applyBorder="1"/>
    <xf numFmtId="195" fontId="1" fillId="3" borderId="7" xfId="0" applyNumberFormat="1" applyFont="1" applyFill="1" applyBorder="1" applyAlignment="1">
      <alignment horizontal="right"/>
    </xf>
    <xf numFmtId="195" fontId="1" fillId="2" borderId="5" xfId="0" applyNumberFormat="1" applyFont="1" applyFill="1" applyBorder="1" applyAlignment="1">
      <alignment horizontal="right"/>
    </xf>
    <xf numFmtId="196" fontId="1" fillId="2" borderId="5" xfId="0" applyNumberFormat="1" applyFont="1" applyFill="1" applyBorder="1"/>
    <xf numFmtId="197" fontId="5" fillId="2" borderId="13" xfId="0" applyNumberFormat="1" applyFont="1" applyFill="1" applyBorder="1"/>
    <xf numFmtId="197" fontId="1" fillId="2" borderId="13" xfId="0" applyNumberFormat="1" applyFont="1" applyFill="1" applyBorder="1"/>
    <xf numFmtId="198" fontId="1" fillId="2" borderId="14" xfId="0" applyNumberFormat="1" applyFont="1" applyFill="1" applyBorder="1"/>
    <xf numFmtId="198" fontId="5" fillId="2" borderId="14" xfId="0" applyNumberFormat="1" applyFont="1" applyFill="1" applyBorder="1"/>
    <xf numFmtId="199" fontId="1" fillId="2" borderId="15" xfId="0" applyNumberFormat="1" applyFont="1" applyFill="1" applyBorder="1"/>
    <xf numFmtId="199" fontId="5" fillId="2" borderId="15" xfId="0" applyNumberFormat="1" applyFont="1" applyFill="1" applyBorder="1"/>
    <xf numFmtId="200" fontId="1" fillId="2" borderId="13" xfId="0" applyNumberFormat="1" applyFont="1" applyFill="1" applyBorder="1"/>
    <xf numFmtId="201" fontId="1" fillId="2" borderId="13" xfId="0" applyNumberFormat="1" applyFont="1" applyFill="1" applyBorder="1"/>
    <xf numFmtId="202" fontId="1" fillId="2" borderId="15" xfId="0" applyNumberFormat="1" applyFont="1" applyFill="1" applyBorder="1"/>
    <xf numFmtId="201" fontId="1" fillId="2" borderId="15" xfId="0" applyNumberFormat="1" applyFont="1" applyFill="1" applyBorder="1"/>
    <xf numFmtId="10" fontId="6" fillId="2" borderId="1" xfId="0" applyNumberFormat="1" applyFont="1" applyFill="1" applyBorder="1"/>
    <xf numFmtId="164" fontId="6" fillId="2" borderId="7" xfId="0" applyNumberFormat="1" applyFont="1" applyFill="1" applyBorder="1" applyAlignment="1">
      <alignment horizontal="left"/>
    </xf>
    <xf numFmtId="10" fontId="13" fillId="0" borderId="16" xfId="0" applyNumberFormat="1" applyFont="1" applyBorder="1" applyAlignment="1">
      <alignment horizontal="center" wrapText="1"/>
    </xf>
    <xf numFmtId="10" fontId="0" fillId="0" borderId="0" xfId="0" applyNumberFormat="1" applyFont="1"/>
    <xf numFmtId="203" fontId="1" fillId="3" borderId="7" xfId="0" applyNumberFormat="1" applyFont="1" applyFill="1" applyBorder="1"/>
    <xf numFmtId="0" fontId="6" fillId="2" borderId="7" xfId="0" applyFont="1" applyFill="1" applyBorder="1"/>
    <xf numFmtId="0" fontId="7" fillId="2" borderId="7" xfId="0" applyFont="1" applyFill="1" applyBorder="1"/>
    <xf numFmtId="0" fontId="6" fillId="2" borderId="7" xfId="0" applyFont="1" applyFill="1" applyBorder="1" applyAlignment="1">
      <alignment horizontal="center"/>
    </xf>
    <xf numFmtId="10" fontId="6" fillId="2" borderId="7" xfId="0" applyNumberFormat="1" applyFont="1" applyFill="1" applyBorder="1"/>
    <xf numFmtId="164" fontId="15" fillId="2" borderId="1" xfId="0" applyNumberFormat="1" applyFont="1" applyFill="1" applyBorder="1" applyAlignment="1">
      <alignment horizontal="left"/>
    </xf>
    <xf numFmtId="0" fontId="16" fillId="2" borderId="1" xfId="1" applyFont="1" applyFill="1" applyBorder="1"/>
    <xf numFmtId="164" fontId="17" fillId="2" borderId="1" xfId="0" applyNumberFormat="1" applyFont="1" applyFill="1" applyBorder="1" applyAlignment="1">
      <alignment horizontal="left"/>
    </xf>
    <xf numFmtId="189" fontId="6" fillId="2" borderId="11" xfId="0" applyNumberFormat="1" applyFont="1" applyFill="1" applyBorder="1" applyAlignment="1">
      <alignment horizontal="left"/>
    </xf>
    <xf numFmtId="0" fontId="8" fillId="0" borderId="12" xfId="0" applyFont="1" applyBorder="1"/>
    <xf numFmtId="0" fontId="18" fillId="0" borderId="1" xfId="2"/>
    <xf numFmtId="0" fontId="19" fillId="0" borderId="1" xfId="3"/>
  </cellXfs>
  <cellStyles count="4">
    <cellStyle name="Hiperlink" xfId="1" builtinId="8"/>
    <cellStyle name="Hiperlink 2" xfId="3" xr:uid="{8A9720FF-34DA-48CF-8F03-0A40C340E399}"/>
    <cellStyle name="Normal" xfId="0" builtinId="0"/>
    <cellStyle name="Normal 2" xfId="2" xr:uid="{143D8312-20D3-419E-8807-5BDDEB301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847725</xdr:colOff>
      <xdr:row>2</xdr:row>
      <xdr:rowOff>0</xdr:rowOff>
    </xdr:from>
    <xdr:ext cx="304800" cy="228600"/>
    <xdr:sp macro="" textlink="">
      <xdr:nvSpPr>
        <xdr:cNvPr id="1037" name="Object 13" hidden="1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685800</xdr:colOff>
      <xdr:row>1</xdr:row>
      <xdr:rowOff>123825</xdr:rowOff>
    </xdr:from>
    <xdr:ext cx="333375" cy="257175"/>
    <xdr:sp macro="" textlink="">
      <xdr:nvSpPr>
        <xdr:cNvPr id="1052" name="Object 28" hidden="1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762000</xdr:colOff>
      <xdr:row>4</xdr:row>
      <xdr:rowOff>0</xdr:rowOff>
    </xdr:from>
    <xdr:ext cx="257175" cy="190500"/>
    <xdr:sp macro="" textlink="">
      <xdr:nvSpPr>
        <xdr:cNvPr id="2053" name="Object 5" hidden="1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733425</xdr:colOff>
      <xdr:row>3</xdr:row>
      <xdr:rowOff>123825</xdr:rowOff>
    </xdr:from>
    <xdr:ext cx="333375" cy="257175"/>
    <xdr:sp macro="" textlink="">
      <xdr:nvSpPr>
        <xdr:cNvPr id="2054" name="Object 6" hidden="1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781050</xdr:colOff>
      <xdr:row>3</xdr:row>
      <xdr:rowOff>180975</xdr:rowOff>
    </xdr:from>
    <xdr:ext cx="257175" cy="200025"/>
    <xdr:sp macro="" textlink="">
      <xdr:nvSpPr>
        <xdr:cNvPr id="3074" name="Object 2" hidden="1">
          <a:extLst>
            <a:ext uri="{FF2B5EF4-FFF2-40B4-BE49-F238E27FC236}">
              <a16:creationId xmlns:a16="http://schemas.microsoft.com/office/drawing/2014/main" id="{00000000-0008-0000-04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  <xdr:oneCellAnchor>
    <xdr:from>
      <xdr:col>9</xdr:col>
      <xdr:colOff>771525</xdr:colOff>
      <xdr:row>3</xdr:row>
      <xdr:rowOff>142875</xdr:rowOff>
    </xdr:from>
    <xdr:ext cx="333375" cy="257175"/>
    <xdr:sp macro="" textlink="">
      <xdr:nvSpPr>
        <xdr:cNvPr id="3075" name="Object 3" hidden="1">
          <a:extLst>
            <a:ext uri="{FF2B5EF4-FFF2-40B4-BE49-F238E27FC236}">
              <a16:creationId xmlns:a16="http://schemas.microsoft.com/office/drawing/2014/main" id="{00000000-0008-0000-04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5</xdr:col>
      <xdr:colOff>689133</xdr:colOff>
      <xdr:row>4</xdr:row>
      <xdr:rowOff>99055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DB7B9D-C87D-494F-A3C8-6CFF6255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198120"/>
          <a:ext cx="3371373" cy="693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planalto.gov.br/ccivil_03/Leis/LCP/Lcp128.htm" TargetMode="External"/><Relationship Id="rId117" Type="http://schemas.openxmlformats.org/officeDocument/2006/relationships/hyperlink" Target="http://www.planalto.gov.br/ccivil_03/Leis/LCP/Lcp128.htm" TargetMode="External"/><Relationship Id="rId21" Type="http://schemas.openxmlformats.org/officeDocument/2006/relationships/hyperlink" Target="http://www.planalto.gov.br/ccivil_03/Leis/LCP/Lcp128.htm" TargetMode="External"/><Relationship Id="rId42" Type="http://schemas.openxmlformats.org/officeDocument/2006/relationships/hyperlink" Target="http://www.planalto.gov.br/ccivil_03/Leis/LCP/Lcp128.htm" TargetMode="External"/><Relationship Id="rId47" Type="http://schemas.openxmlformats.org/officeDocument/2006/relationships/hyperlink" Target="http://www.planalto.gov.br/ccivil_03/Leis/LCP/Lcp128.htm" TargetMode="External"/><Relationship Id="rId63" Type="http://schemas.openxmlformats.org/officeDocument/2006/relationships/hyperlink" Target="http://www.planalto.gov.br/ccivil_03/Leis/LCP/Lcp128.htm" TargetMode="External"/><Relationship Id="rId68" Type="http://schemas.openxmlformats.org/officeDocument/2006/relationships/hyperlink" Target="http://www.planalto.gov.br/ccivil_03/Leis/LCP/Lcp128.htm" TargetMode="External"/><Relationship Id="rId84" Type="http://schemas.openxmlformats.org/officeDocument/2006/relationships/hyperlink" Target="http://www.planalto.gov.br/ccivil_03/Leis/LCP/Lcp128.htm" TargetMode="External"/><Relationship Id="rId89" Type="http://schemas.openxmlformats.org/officeDocument/2006/relationships/hyperlink" Target="http://www.planalto.gov.br/ccivil_03/Leis/LCP/Lcp128.htm" TargetMode="External"/><Relationship Id="rId112" Type="http://schemas.openxmlformats.org/officeDocument/2006/relationships/hyperlink" Target="http://www.planalto.gov.br/ccivil_03/Leis/LCP/Lcp128.htm" TargetMode="External"/><Relationship Id="rId16" Type="http://schemas.openxmlformats.org/officeDocument/2006/relationships/hyperlink" Target="http://www.planalto.gov.br/ccivil_03/Leis/LCP/Lcp128.htm" TargetMode="External"/><Relationship Id="rId107" Type="http://schemas.openxmlformats.org/officeDocument/2006/relationships/hyperlink" Target="http://www.planalto.gov.br/ccivil_03/Leis/LCP/Lcp128.htm" TargetMode="External"/><Relationship Id="rId11" Type="http://schemas.openxmlformats.org/officeDocument/2006/relationships/hyperlink" Target="http://www.planalto.gov.br/ccivil_03/Leis/LCP/Lcp128.htm" TargetMode="External"/><Relationship Id="rId32" Type="http://schemas.openxmlformats.org/officeDocument/2006/relationships/hyperlink" Target="http://www.planalto.gov.br/ccivil_03/Leis/LCP/Lcp128.htm" TargetMode="External"/><Relationship Id="rId37" Type="http://schemas.openxmlformats.org/officeDocument/2006/relationships/hyperlink" Target="http://www.planalto.gov.br/ccivil_03/Leis/LCP/Lcp128.htm" TargetMode="External"/><Relationship Id="rId53" Type="http://schemas.openxmlformats.org/officeDocument/2006/relationships/hyperlink" Target="http://www.planalto.gov.br/ccivil_03/Leis/LCP/Lcp128.htm" TargetMode="External"/><Relationship Id="rId58" Type="http://schemas.openxmlformats.org/officeDocument/2006/relationships/hyperlink" Target="http://www.planalto.gov.br/ccivil_03/Leis/LCP/Lcp128.htm" TargetMode="External"/><Relationship Id="rId74" Type="http://schemas.openxmlformats.org/officeDocument/2006/relationships/hyperlink" Target="http://www.planalto.gov.br/ccivil_03/Leis/LCP/Lcp128.htm" TargetMode="External"/><Relationship Id="rId79" Type="http://schemas.openxmlformats.org/officeDocument/2006/relationships/hyperlink" Target="http://www.planalto.gov.br/ccivil_03/Leis/LCP/Lcp128.htm" TargetMode="External"/><Relationship Id="rId102" Type="http://schemas.openxmlformats.org/officeDocument/2006/relationships/hyperlink" Target="http://www.planalto.gov.br/ccivil_03/Leis/LCP/Lcp128.htm" TargetMode="External"/><Relationship Id="rId123" Type="http://schemas.openxmlformats.org/officeDocument/2006/relationships/hyperlink" Target="http://www.planalto.gov.br/ccivil_03/Leis/LCP/Lcp128.htm" TargetMode="External"/><Relationship Id="rId5" Type="http://schemas.openxmlformats.org/officeDocument/2006/relationships/hyperlink" Target="http://www.planalto.gov.br/ccivil_03/Leis/LCP/Lcp128.htm" TargetMode="External"/><Relationship Id="rId90" Type="http://schemas.openxmlformats.org/officeDocument/2006/relationships/hyperlink" Target="http://www.planalto.gov.br/ccivil_03/Leis/LCP/Lcp128.htm" TargetMode="External"/><Relationship Id="rId95" Type="http://schemas.openxmlformats.org/officeDocument/2006/relationships/hyperlink" Target="http://www.planalto.gov.br/ccivil_03/Leis/LCP/Lcp128.htm" TargetMode="External"/><Relationship Id="rId22" Type="http://schemas.openxmlformats.org/officeDocument/2006/relationships/hyperlink" Target="http://www.planalto.gov.br/ccivil_03/Leis/LCP/Lcp128.htm" TargetMode="External"/><Relationship Id="rId27" Type="http://schemas.openxmlformats.org/officeDocument/2006/relationships/hyperlink" Target="http://www.planalto.gov.br/ccivil_03/Leis/LCP/Lcp128.htm" TargetMode="External"/><Relationship Id="rId43" Type="http://schemas.openxmlformats.org/officeDocument/2006/relationships/hyperlink" Target="http://www.planalto.gov.br/ccivil_03/Leis/LCP/Lcp128.htm" TargetMode="External"/><Relationship Id="rId48" Type="http://schemas.openxmlformats.org/officeDocument/2006/relationships/hyperlink" Target="http://www.planalto.gov.br/ccivil_03/Leis/LCP/Lcp128.htm" TargetMode="External"/><Relationship Id="rId64" Type="http://schemas.openxmlformats.org/officeDocument/2006/relationships/hyperlink" Target="http://www.planalto.gov.br/ccivil_03/Leis/LCP/Lcp128.htm" TargetMode="External"/><Relationship Id="rId69" Type="http://schemas.openxmlformats.org/officeDocument/2006/relationships/hyperlink" Target="http://www.planalto.gov.br/ccivil_03/Leis/LCP/Lcp128.htm" TargetMode="External"/><Relationship Id="rId113" Type="http://schemas.openxmlformats.org/officeDocument/2006/relationships/hyperlink" Target="http://www.planalto.gov.br/ccivil_03/Leis/LCP/Lcp128.htm" TargetMode="External"/><Relationship Id="rId118" Type="http://schemas.openxmlformats.org/officeDocument/2006/relationships/hyperlink" Target="http://www.planalto.gov.br/ccivil_03/Leis/LCP/Lcp128.htm" TargetMode="External"/><Relationship Id="rId80" Type="http://schemas.openxmlformats.org/officeDocument/2006/relationships/hyperlink" Target="http://www.planalto.gov.br/ccivil_03/Leis/LCP/Lcp128.htm" TargetMode="External"/><Relationship Id="rId85" Type="http://schemas.openxmlformats.org/officeDocument/2006/relationships/hyperlink" Target="http://www.planalto.gov.br/ccivil_03/Leis/LCP/Lcp128.htm" TargetMode="External"/><Relationship Id="rId12" Type="http://schemas.openxmlformats.org/officeDocument/2006/relationships/hyperlink" Target="http://www.planalto.gov.br/ccivil_03/Leis/LCP/Lcp128.htm" TargetMode="External"/><Relationship Id="rId17" Type="http://schemas.openxmlformats.org/officeDocument/2006/relationships/hyperlink" Target="http://www.planalto.gov.br/ccivil_03/Leis/LCP/Lcp128.htm" TargetMode="External"/><Relationship Id="rId33" Type="http://schemas.openxmlformats.org/officeDocument/2006/relationships/hyperlink" Target="http://www.planalto.gov.br/ccivil_03/Leis/LCP/Lcp128.htm" TargetMode="External"/><Relationship Id="rId38" Type="http://schemas.openxmlformats.org/officeDocument/2006/relationships/hyperlink" Target="http://www.planalto.gov.br/ccivil_03/Leis/LCP/Lcp128.htm" TargetMode="External"/><Relationship Id="rId59" Type="http://schemas.openxmlformats.org/officeDocument/2006/relationships/hyperlink" Target="http://www.planalto.gov.br/ccivil_03/Leis/LCP/Lcp128.htm" TargetMode="External"/><Relationship Id="rId103" Type="http://schemas.openxmlformats.org/officeDocument/2006/relationships/hyperlink" Target="http://www.planalto.gov.br/ccivil_03/Leis/LCP/Lcp128.htm" TargetMode="External"/><Relationship Id="rId108" Type="http://schemas.openxmlformats.org/officeDocument/2006/relationships/hyperlink" Target="http://www.planalto.gov.br/ccivil_03/Leis/LCP/Lcp128.htm" TargetMode="External"/><Relationship Id="rId124" Type="http://schemas.openxmlformats.org/officeDocument/2006/relationships/hyperlink" Target="http://www.planalto.gov.br/ccivil_03/Leis/LCP/Lcp128.htm" TargetMode="External"/><Relationship Id="rId54" Type="http://schemas.openxmlformats.org/officeDocument/2006/relationships/hyperlink" Target="http://www.planalto.gov.br/ccivil_03/Leis/LCP/Lcp128.htm" TargetMode="External"/><Relationship Id="rId70" Type="http://schemas.openxmlformats.org/officeDocument/2006/relationships/hyperlink" Target="http://www.planalto.gov.br/ccivil_03/Leis/LCP/Lcp128.htm" TargetMode="External"/><Relationship Id="rId75" Type="http://schemas.openxmlformats.org/officeDocument/2006/relationships/hyperlink" Target="http://www.planalto.gov.br/ccivil_03/Leis/LCP/Lcp128.htm" TargetMode="External"/><Relationship Id="rId91" Type="http://schemas.openxmlformats.org/officeDocument/2006/relationships/hyperlink" Target="http://www.planalto.gov.br/ccivil_03/Leis/LCP/Lcp128.htm" TargetMode="External"/><Relationship Id="rId96" Type="http://schemas.openxmlformats.org/officeDocument/2006/relationships/hyperlink" Target="http://www.planalto.gov.br/ccivil_03/Leis/LCP/Lcp128.htm" TargetMode="External"/><Relationship Id="rId1" Type="http://schemas.openxmlformats.org/officeDocument/2006/relationships/hyperlink" Target="http://www.planalto.gov.br/ccivil_03/Leis/LCP/Lcp128.htm" TargetMode="External"/><Relationship Id="rId6" Type="http://schemas.openxmlformats.org/officeDocument/2006/relationships/hyperlink" Target="http://www.planalto.gov.br/ccivil_03/Leis/LCP/Lcp128.htm" TargetMode="External"/><Relationship Id="rId23" Type="http://schemas.openxmlformats.org/officeDocument/2006/relationships/hyperlink" Target="http://www.planalto.gov.br/ccivil_03/Leis/LCP/Lcp128.htm" TargetMode="External"/><Relationship Id="rId28" Type="http://schemas.openxmlformats.org/officeDocument/2006/relationships/hyperlink" Target="http://www.planalto.gov.br/ccivil_03/Leis/LCP/Lcp128.htm" TargetMode="External"/><Relationship Id="rId49" Type="http://schemas.openxmlformats.org/officeDocument/2006/relationships/hyperlink" Target="http://www.planalto.gov.br/ccivil_03/Leis/LCP/Lcp128.htm" TargetMode="External"/><Relationship Id="rId114" Type="http://schemas.openxmlformats.org/officeDocument/2006/relationships/hyperlink" Target="http://www.planalto.gov.br/ccivil_03/Leis/LCP/Lcp128.htm" TargetMode="External"/><Relationship Id="rId119" Type="http://schemas.openxmlformats.org/officeDocument/2006/relationships/hyperlink" Target="http://www.planalto.gov.br/ccivil_03/Leis/LCP/Lcp128.htm" TargetMode="External"/><Relationship Id="rId44" Type="http://schemas.openxmlformats.org/officeDocument/2006/relationships/hyperlink" Target="http://www.planalto.gov.br/ccivil_03/Leis/LCP/Lcp128.htm" TargetMode="External"/><Relationship Id="rId60" Type="http://schemas.openxmlformats.org/officeDocument/2006/relationships/hyperlink" Target="http://www.planalto.gov.br/ccivil_03/Leis/LCP/Lcp128.htm" TargetMode="External"/><Relationship Id="rId65" Type="http://schemas.openxmlformats.org/officeDocument/2006/relationships/hyperlink" Target="http://www.planalto.gov.br/ccivil_03/Leis/LCP/Lcp128.htm" TargetMode="External"/><Relationship Id="rId81" Type="http://schemas.openxmlformats.org/officeDocument/2006/relationships/hyperlink" Target="http://www.planalto.gov.br/ccivil_03/Leis/LCP/Lcp128.htm" TargetMode="External"/><Relationship Id="rId86" Type="http://schemas.openxmlformats.org/officeDocument/2006/relationships/hyperlink" Target="http://www.planalto.gov.br/ccivil_03/Leis/LCP/Lcp128.htm" TargetMode="External"/><Relationship Id="rId13" Type="http://schemas.openxmlformats.org/officeDocument/2006/relationships/hyperlink" Target="http://www.planalto.gov.br/ccivil_03/Leis/LCP/Lcp128.htm" TargetMode="External"/><Relationship Id="rId18" Type="http://schemas.openxmlformats.org/officeDocument/2006/relationships/hyperlink" Target="http://www.planalto.gov.br/ccivil_03/Leis/LCP/Lcp128.htm" TargetMode="External"/><Relationship Id="rId39" Type="http://schemas.openxmlformats.org/officeDocument/2006/relationships/hyperlink" Target="http://www.planalto.gov.br/ccivil_03/Leis/LCP/Lcp128.htm" TargetMode="External"/><Relationship Id="rId109" Type="http://schemas.openxmlformats.org/officeDocument/2006/relationships/hyperlink" Target="http://www.planalto.gov.br/ccivil_03/Leis/LCP/Lcp128.htm" TargetMode="External"/><Relationship Id="rId34" Type="http://schemas.openxmlformats.org/officeDocument/2006/relationships/hyperlink" Target="http://www.planalto.gov.br/ccivil_03/Leis/LCP/Lcp128.htm" TargetMode="External"/><Relationship Id="rId50" Type="http://schemas.openxmlformats.org/officeDocument/2006/relationships/hyperlink" Target="http://www.planalto.gov.br/ccivil_03/Leis/LCP/Lcp128.htm" TargetMode="External"/><Relationship Id="rId55" Type="http://schemas.openxmlformats.org/officeDocument/2006/relationships/hyperlink" Target="http://www.planalto.gov.br/ccivil_03/Leis/LCP/Lcp128.htm" TargetMode="External"/><Relationship Id="rId76" Type="http://schemas.openxmlformats.org/officeDocument/2006/relationships/hyperlink" Target="http://www.planalto.gov.br/ccivil_03/Leis/LCP/Lcp128.htm" TargetMode="External"/><Relationship Id="rId97" Type="http://schemas.openxmlformats.org/officeDocument/2006/relationships/hyperlink" Target="http://www.planalto.gov.br/ccivil_03/Leis/LCP/Lcp128.htm" TargetMode="External"/><Relationship Id="rId104" Type="http://schemas.openxmlformats.org/officeDocument/2006/relationships/hyperlink" Target="http://www.planalto.gov.br/ccivil_03/Leis/LCP/Lcp128.htm" TargetMode="External"/><Relationship Id="rId120" Type="http://schemas.openxmlformats.org/officeDocument/2006/relationships/hyperlink" Target="http://www.planalto.gov.br/ccivil_03/Leis/LCP/Lcp128.htm" TargetMode="External"/><Relationship Id="rId125" Type="http://schemas.openxmlformats.org/officeDocument/2006/relationships/hyperlink" Target="http://www.planalto.gov.br/ccivil_03/Leis/LCP/Lcp128.htm" TargetMode="External"/><Relationship Id="rId7" Type="http://schemas.openxmlformats.org/officeDocument/2006/relationships/hyperlink" Target="http://www.planalto.gov.br/ccivil_03/Leis/LCP/Lcp128.htm" TargetMode="External"/><Relationship Id="rId71" Type="http://schemas.openxmlformats.org/officeDocument/2006/relationships/hyperlink" Target="http://www.planalto.gov.br/ccivil_03/Leis/LCP/Lcp128.htm" TargetMode="External"/><Relationship Id="rId92" Type="http://schemas.openxmlformats.org/officeDocument/2006/relationships/hyperlink" Target="http://www.planalto.gov.br/ccivil_03/Leis/LCP/Lcp128.htm" TargetMode="External"/><Relationship Id="rId2" Type="http://schemas.openxmlformats.org/officeDocument/2006/relationships/hyperlink" Target="http://www.planalto.gov.br/ccivil_03/Leis/LCP/Lcp128.htm" TargetMode="External"/><Relationship Id="rId29" Type="http://schemas.openxmlformats.org/officeDocument/2006/relationships/hyperlink" Target="http://www.planalto.gov.br/ccivil_03/Leis/LCP/Lcp128.htm" TargetMode="External"/><Relationship Id="rId24" Type="http://schemas.openxmlformats.org/officeDocument/2006/relationships/hyperlink" Target="http://www.planalto.gov.br/ccivil_03/Leis/LCP/Lcp128.htm" TargetMode="External"/><Relationship Id="rId40" Type="http://schemas.openxmlformats.org/officeDocument/2006/relationships/hyperlink" Target="http://www.planalto.gov.br/ccivil_03/Leis/LCP/Lcp128.htm" TargetMode="External"/><Relationship Id="rId45" Type="http://schemas.openxmlformats.org/officeDocument/2006/relationships/hyperlink" Target="http://www.planalto.gov.br/ccivil_03/Leis/LCP/Lcp128.htm" TargetMode="External"/><Relationship Id="rId66" Type="http://schemas.openxmlformats.org/officeDocument/2006/relationships/hyperlink" Target="http://www.planalto.gov.br/ccivil_03/Leis/LCP/Lcp128.htm" TargetMode="External"/><Relationship Id="rId87" Type="http://schemas.openxmlformats.org/officeDocument/2006/relationships/hyperlink" Target="http://www.planalto.gov.br/ccivil_03/Leis/LCP/Lcp128.htm" TargetMode="External"/><Relationship Id="rId110" Type="http://schemas.openxmlformats.org/officeDocument/2006/relationships/hyperlink" Target="http://www.planalto.gov.br/ccivil_03/Leis/LCP/Lcp128.htm" TargetMode="External"/><Relationship Id="rId115" Type="http://schemas.openxmlformats.org/officeDocument/2006/relationships/hyperlink" Target="http://www.planalto.gov.br/ccivil_03/Leis/LCP/Lcp128.htm" TargetMode="External"/><Relationship Id="rId61" Type="http://schemas.openxmlformats.org/officeDocument/2006/relationships/hyperlink" Target="http://www.planalto.gov.br/ccivil_03/Leis/LCP/Lcp128.htm" TargetMode="External"/><Relationship Id="rId82" Type="http://schemas.openxmlformats.org/officeDocument/2006/relationships/hyperlink" Target="http://www.planalto.gov.br/ccivil_03/Leis/LCP/Lcp128.htm" TargetMode="External"/><Relationship Id="rId19" Type="http://schemas.openxmlformats.org/officeDocument/2006/relationships/hyperlink" Target="http://www.planalto.gov.br/ccivil_03/Leis/LCP/Lcp128.htm" TargetMode="External"/><Relationship Id="rId14" Type="http://schemas.openxmlformats.org/officeDocument/2006/relationships/hyperlink" Target="http://www.planalto.gov.br/ccivil_03/Leis/LCP/Lcp128.htm" TargetMode="External"/><Relationship Id="rId30" Type="http://schemas.openxmlformats.org/officeDocument/2006/relationships/hyperlink" Target="http://www.planalto.gov.br/ccivil_03/Leis/LCP/Lcp128.htm" TargetMode="External"/><Relationship Id="rId35" Type="http://schemas.openxmlformats.org/officeDocument/2006/relationships/hyperlink" Target="http://www.planalto.gov.br/ccivil_03/Leis/LCP/Lcp128.htm" TargetMode="External"/><Relationship Id="rId56" Type="http://schemas.openxmlformats.org/officeDocument/2006/relationships/hyperlink" Target="http://www.planalto.gov.br/ccivil_03/Leis/LCP/Lcp128.htm" TargetMode="External"/><Relationship Id="rId77" Type="http://schemas.openxmlformats.org/officeDocument/2006/relationships/hyperlink" Target="http://www.planalto.gov.br/ccivil_03/Leis/LCP/Lcp128.htm" TargetMode="External"/><Relationship Id="rId100" Type="http://schemas.openxmlformats.org/officeDocument/2006/relationships/hyperlink" Target="http://www.planalto.gov.br/ccivil_03/Leis/LCP/Lcp128.htm" TargetMode="External"/><Relationship Id="rId105" Type="http://schemas.openxmlformats.org/officeDocument/2006/relationships/hyperlink" Target="http://www.planalto.gov.br/ccivil_03/Leis/LCP/Lcp128.htm" TargetMode="External"/><Relationship Id="rId126" Type="http://schemas.openxmlformats.org/officeDocument/2006/relationships/hyperlink" Target="http://www.planalto.gov.br/ccivil_03/Leis/LCP/Lcp128.htm" TargetMode="External"/><Relationship Id="rId8" Type="http://schemas.openxmlformats.org/officeDocument/2006/relationships/hyperlink" Target="http://www.planalto.gov.br/ccivil_03/Leis/LCP/Lcp128.htm" TargetMode="External"/><Relationship Id="rId51" Type="http://schemas.openxmlformats.org/officeDocument/2006/relationships/hyperlink" Target="http://www.planalto.gov.br/ccivil_03/Leis/LCP/Lcp128.htm" TargetMode="External"/><Relationship Id="rId72" Type="http://schemas.openxmlformats.org/officeDocument/2006/relationships/hyperlink" Target="http://www.planalto.gov.br/ccivil_03/Leis/LCP/Lcp128.htm" TargetMode="External"/><Relationship Id="rId93" Type="http://schemas.openxmlformats.org/officeDocument/2006/relationships/hyperlink" Target="http://www.planalto.gov.br/ccivil_03/Leis/LCP/Lcp128.htm" TargetMode="External"/><Relationship Id="rId98" Type="http://schemas.openxmlformats.org/officeDocument/2006/relationships/hyperlink" Target="http://www.planalto.gov.br/ccivil_03/Leis/LCP/Lcp128.htm" TargetMode="External"/><Relationship Id="rId121" Type="http://schemas.openxmlformats.org/officeDocument/2006/relationships/hyperlink" Target="http://www.planalto.gov.br/ccivil_03/Leis/LCP/Lcp128.htm" TargetMode="External"/><Relationship Id="rId3" Type="http://schemas.openxmlformats.org/officeDocument/2006/relationships/hyperlink" Target="http://www.planalto.gov.br/ccivil_03/Leis/LCP/Lcp128.htm" TargetMode="External"/><Relationship Id="rId25" Type="http://schemas.openxmlformats.org/officeDocument/2006/relationships/hyperlink" Target="http://www.planalto.gov.br/ccivil_03/Leis/LCP/Lcp128.htm" TargetMode="External"/><Relationship Id="rId46" Type="http://schemas.openxmlformats.org/officeDocument/2006/relationships/hyperlink" Target="http://www.planalto.gov.br/ccivil_03/Leis/LCP/Lcp128.htm" TargetMode="External"/><Relationship Id="rId67" Type="http://schemas.openxmlformats.org/officeDocument/2006/relationships/hyperlink" Target="http://www.planalto.gov.br/ccivil_03/Leis/LCP/Lcp128.htm" TargetMode="External"/><Relationship Id="rId116" Type="http://schemas.openxmlformats.org/officeDocument/2006/relationships/hyperlink" Target="http://www.planalto.gov.br/ccivil_03/Leis/LCP/Lcp128.htm" TargetMode="External"/><Relationship Id="rId20" Type="http://schemas.openxmlformats.org/officeDocument/2006/relationships/hyperlink" Target="http://www.planalto.gov.br/ccivil_03/Leis/LCP/Lcp128.htm" TargetMode="External"/><Relationship Id="rId41" Type="http://schemas.openxmlformats.org/officeDocument/2006/relationships/hyperlink" Target="http://www.planalto.gov.br/ccivil_03/Leis/LCP/Lcp128.htm" TargetMode="External"/><Relationship Id="rId62" Type="http://schemas.openxmlformats.org/officeDocument/2006/relationships/hyperlink" Target="http://www.planalto.gov.br/ccivil_03/Leis/LCP/Lcp128.htm" TargetMode="External"/><Relationship Id="rId83" Type="http://schemas.openxmlformats.org/officeDocument/2006/relationships/hyperlink" Target="http://www.planalto.gov.br/ccivil_03/Leis/LCP/Lcp128.htm" TargetMode="External"/><Relationship Id="rId88" Type="http://schemas.openxmlformats.org/officeDocument/2006/relationships/hyperlink" Target="http://www.planalto.gov.br/ccivil_03/Leis/LCP/Lcp128.htm" TargetMode="External"/><Relationship Id="rId111" Type="http://schemas.openxmlformats.org/officeDocument/2006/relationships/hyperlink" Target="http://www.planalto.gov.br/ccivil_03/Leis/LCP/Lcp128.htm" TargetMode="External"/><Relationship Id="rId15" Type="http://schemas.openxmlformats.org/officeDocument/2006/relationships/hyperlink" Target="http://www.planalto.gov.br/ccivil_03/Leis/LCP/Lcp128.htm" TargetMode="External"/><Relationship Id="rId36" Type="http://schemas.openxmlformats.org/officeDocument/2006/relationships/hyperlink" Target="http://www.planalto.gov.br/ccivil_03/Leis/LCP/Lcp128.htm" TargetMode="External"/><Relationship Id="rId57" Type="http://schemas.openxmlformats.org/officeDocument/2006/relationships/hyperlink" Target="http://www.planalto.gov.br/ccivil_03/Leis/LCP/Lcp128.htm" TargetMode="External"/><Relationship Id="rId106" Type="http://schemas.openxmlformats.org/officeDocument/2006/relationships/hyperlink" Target="http://www.planalto.gov.br/ccivil_03/Leis/LCP/Lcp128.htm" TargetMode="External"/><Relationship Id="rId10" Type="http://schemas.openxmlformats.org/officeDocument/2006/relationships/hyperlink" Target="http://www.planalto.gov.br/ccivil_03/Leis/LCP/Lcp128.htm" TargetMode="External"/><Relationship Id="rId31" Type="http://schemas.openxmlformats.org/officeDocument/2006/relationships/hyperlink" Target="http://www.planalto.gov.br/ccivil_03/Leis/LCP/Lcp128.htm" TargetMode="External"/><Relationship Id="rId52" Type="http://schemas.openxmlformats.org/officeDocument/2006/relationships/hyperlink" Target="http://www.planalto.gov.br/ccivil_03/Leis/LCP/Lcp128.htm" TargetMode="External"/><Relationship Id="rId73" Type="http://schemas.openxmlformats.org/officeDocument/2006/relationships/hyperlink" Target="http://www.planalto.gov.br/ccivil_03/Leis/LCP/Lcp128.htm" TargetMode="External"/><Relationship Id="rId78" Type="http://schemas.openxmlformats.org/officeDocument/2006/relationships/hyperlink" Target="http://www.planalto.gov.br/ccivil_03/Leis/LCP/Lcp128.htm" TargetMode="External"/><Relationship Id="rId94" Type="http://schemas.openxmlformats.org/officeDocument/2006/relationships/hyperlink" Target="http://www.planalto.gov.br/ccivil_03/Leis/LCP/Lcp128.htm" TargetMode="External"/><Relationship Id="rId99" Type="http://schemas.openxmlformats.org/officeDocument/2006/relationships/hyperlink" Target="http://www.planalto.gov.br/ccivil_03/Leis/LCP/Lcp128.htm" TargetMode="External"/><Relationship Id="rId101" Type="http://schemas.openxmlformats.org/officeDocument/2006/relationships/hyperlink" Target="http://www.planalto.gov.br/ccivil_03/Leis/LCP/Lcp128.htm" TargetMode="External"/><Relationship Id="rId122" Type="http://schemas.openxmlformats.org/officeDocument/2006/relationships/hyperlink" Target="http://www.planalto.gov.br/ccivil_03/Leis/LCP/Lcp128.htm" TargetMode="External"/><Relationship Id="rId4" Type="http://schemas.openxmlformats.org/officeDocument/2006/relationships/hyperlink" Target="http://www.planalto.gov.br/ccivil_03/Leis/LCP/Lcp128.htm" TargetMode="External"/><Relationship Id="rId9" Type="http://schemas.openxmlformats.org/officeDocument/2006/relationships/hyperlink" Target="http://www.planalto.gov.br/ccivil_03/Leis/LCP/Lcp128.ht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lanalto.gov.br/ccivil_03/Leis/LCP/Lcp128.htm" TargetMode="External"/><Relationship Id="rId2" Type="http://schemas.openxmlformats.org/officeDocument/2006/relationships/hyperlink" Target="http://www.planalto.gov.br/ccivil_03/Leis/LCP/Lcp128.htm" TargetMode="External"/><Relationship Id="rId1" Type="http://schemas.openxmlformats.org/officeDocument/2006/relationships/hyperlink" Target="http://www.planalto.gov.br/ccivil_03/Leis/LCP/Lcp128.htm" TargetMode="External"/><Relationship Id="rId5" Type="http://schemas.openxmlformats.org/officeDocument/2006/relationships/hyperlink" Target="http://www.planalto.gov.br/ccivil_03/Leis/LCP/Lcp128.htm" TargetMode="External"/><Relationship Id="rId4" Type="http://schemas.openxmlformats.org/officeDocument/2006/relationships/hyperlink" Target="http://www.planalto.gov.br/ccivil_03/Leis/LCP/Lcp128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planalto.gov.br/ccivil_03/Leis/LCP/Lcp128.htm" TargetMode="External"/><Relationship Id="rId2" Type="http://schemas.openxmlformats.org/officeDocument/2006/relationships/hyperlink" Target="http://www.planalto.gov.br/ccivil_03/Leis/LCP/Lcp128.htm" TargetMode="External"/><Relationship Id="rId1" Type="http://schemas.openxmlformats.org/officeDocument/2006/relationships/hyperlink" Target="http://www.planalto.gov.br/ccivil_03/Leis/LCP/Lcp128.htm" TargetMode="External"/><Relationship Id="rId5" Type="http://schemas.openxmlformats.org/officeDocument/2006/relationships/hyperlink" Target="http://www.planalto.gov.br/ccivil_03/Leis/LCP/Lcp128.htm" TargetMode="External"/><Relationship Id="rId4" Type="http://schemas.openxmlformats.org/officeDocument/2006/relationships/hyperlink" Target="http://www.planalto.gov.br/ccivil_03/Leis/LCP/Lcp128.ht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bit.ly/2IMaVwz" TargetMode="External"/><Relationship Id="rId7" Type="http://schemas.openxmlformats.org/officeDocument/2006/relationships/drawing" Target="../drawings/drawing4.xml"/><Relationship Id="rId2" Type="http://schemas.openxmlformats.org/officeDocument/2006/relationships/hyperlink" Target="http://bit.ly/negociandocomcliente" TargetMode="External"/><Relationship Id="rId1" Type="http://schemas.openxmlformats.org/officeDocument/2006/relationships/hyperlink" Target="http://bit.ly/cursoscontadoriniciante" TargetMode="External"/><Relationship Id="rId6" Type="http://schemas.openxmlformats.org/officeDocument/2006/relationships/hyperlink" Target="http://bit.ly/especialistanosimples" TargetMode="External"/><Relationship Id="rId5" Type="http://schemas.openxmlformats.org/officeDocument/2006/relationships/hyperlink" Target="http://bit.ly/praticanoicms" TargetMode="External"/><Relationship Id="rId4" Type="http://schemas.openxmlformats.org/officeDocument/2006/relationships/hyperlink" Target="http://bit.ly/esocialdescomplica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"/>
  <sheetViews>
    <sheetView topLeftCell="A13" workbookViewId="0">
      <selection activeCell="F37" sqref="F37"/>
    </sheetView>
  </sheetViews>
  <sheetFormatPr defaultColWidth="14.44140625" defaultRowHeight="15" customHeight="1"/>
  <cols>
    <col min="1" max="1" width="2.6640625" customWidth="1"/>
    <col min="2" max="2" width="3.109375" customWidth="1"/>
    <col min="3" max="3" width="43.88671875" customWidth="1"/>
    <col min="4" max="4" width="22.33203125" customWidth="1"/>
    <col min="5" max="5" width="5.109375" customWidth="1"/>
    <col min="6" max="6" width="49.88671875" customWidth="1"/>
    <col min="7" max="7" width="17" customWidth="1"/>
    <col min="8" max="8" width="2.44140625" customWidth="1"/>
    <col min="9" max="9" width="45" customWidth="1"/>
    <col min="10" max="10" width="18.44140625" customWidth="1"/>
    <col min="11" max="11" width="9.109375" customWidth="1"/>
  </cols>
  <sheetData>
    <row r="1" spans="1:11" ht="26.25" customHeight="1">
      <c r="A1" s="1"/>
      <c r="B1" s="2"/>
      <c r="C1" s="3" t="s">
        <v>0</v>
      </c>
      <c r="D1" s="1"/>
      <c r="E1" s="2"/>
      <c r="F1" s="1"/>
      <c r="G1" s="1"/>
      <c r="H1" s="1"/>
      <c r="I1" s="1"/>
      <c r="J1" s="1"/>
      <c r="K1" s="1"/>
    </row>
    <row r="2" spans="1:11" ht="14.4">
      <c r="A2" s="1"/>
      <c r="B2" s="2"/>
      <c r="C2" s="1"/>
      <c r="D2" s="4"/>
      <c r="E2" s="2"/>
      <c r="F2" s="1"/>
      <c r="G2" s="1"/>
      <c r="H2" s="1"/>
      <c r="I2" s="1"/>
      <c r="J2" s="1"/>
      <c r="K2" s="1"/>
    </row>
    <row r="3" spans="1:11" ht="21">
      <c r="A3" s="1"/>
      <c r="B3" s="5" t="s">
        <v>1</v>
      </c>
      <c r="C3" s="1"/>
      <c r="D3" s="4"/>
      <c r="E3" s="2"/>
      <c r="F3" s="1" t="s">
        <v>2</v>
      </c>
      <c r="G3" s="1"/>
      <c r="H3" s="1"/>
      <c r="I3" s="1"/>
      <c r="J3" s="6" t="s">
        <v>3</v>
      </c>
      <c r="K3" s="1"/>
    </row>
    <row r="4" spans="1:11" ht="14.4">
      <c r="A4" s="1"/>
      <c r="B4" s="2"/>
      <c r="C4" s="1"/>
      <c r="D4" s="4"/>
      <c r="E4" s="2"/>
      <c r="F4" s="1"/>
      <c r="G4" s="1"/>
      <c r="H4" s="1"/>
      <c r="I4" s="1"/>
      <c r="J4" s="1"/>
      <c r="K4" s="1"/>
    </row>
    <row r="5" spans="1:11" ht="14.4">
      <c r="A5" s="1"/>
      <c r="B5" s="7"/>
      <c r="C5" s="8" t="s">
        <v>4</v>
      </c>
      <c r="D5" s="9"/>
      <c r="E5" s="2"/>
      <c r="F5" s="10" t="s">
        <v>5</v>
      </c>
      <c r="G5" s="11"/>
      <c r="H5" s="1"/>
      <c r="I5" s="10" t="s">
        <v>6</v>
      </c>
      <c r="J5" s="11"/>
      <c r="K5" s="1"/>
    </row>
    <row r="6" spans="1:11" ht="14.4">
      <c r="A6" s="1"/>
      <c r="B6" s="12"/>
      <c r="C6" s="1"/>
      <c r="D6" s="13"/>
      <c r="E6" s="2"/>
      <c r="F6" s="14"/>
      <c r="G6" s="15"/>
      <c r="H6" s="1"/>
      <c r="I6" s="14"/>
      <c r="J6" s="15"/>
      <c r="K6" s="1"/>
    </row>
    <row r="7" spans="1:11" ht="14.4">
      <c r="A7" s="1"/>
      <c r="B7" s="12"/>
      <c r="C7" s="1" t="s">
        <v>7</v>
      </c>
      <c r="D7" s="16">
        <v>500000</v>
      </c>
      <c r="E7" s="2"/>
      <c r="F7" s="14" t="s">
        <v>7</v>
      </c>
      <c r="G7" s="13">
        <f>D7</f>
        <v>500000</v>
      </c>
      <c r="H7" s="1"/>
      <c r="I7" s="14" t="s">
        <v>8</v>
      </c>
      <c r="J7" s="13">
        <f>G7</f>
        <v>500000</v>
      </c>
      <c r="K7" s="1"/>
    </row>
    <row r="8" spans="1:11" ht="14.4">
      <c r="A8" s="1"/>
      <c r="B8" s="12"/>
      <c r="C8" s="17">
        <v>0.18</v>
      </c>
      <c r="D8" s="13">
        <f>(D7*C8)</f>
        <v>90000</v>
      </c>
      <c r="E8" s="2"/>
      <c r="F8" s="18">
        <f t="shared" ref="F8:G8" si="0">C8</f>
        <v>0.18</v>
      </c>
      <c r="G8" s="13">
        <f t="shared" si="0"/>
        <v>90000</v>
      </c>
      <c r="H8" s="1"/>
      <c r="I8" s="14" t="s">
        <v>9</v>
      </c>
      <c r="J8" s="13">
        <f>G7*12</f>
        <v>6000000</v>
      </c>
      <c r="K8" s="1"/>
    </row>
    <row r="9" spans="1:11" ht="14.4">
      <c r="A9" s="1"/>
      <c r="B9" s="12"/>
      <c r="C9" s="19">
        <v>7.0000000000000007E-2</v>
      </c>
      <c r="D9" s="13">
        <f>(D13*C9)</f>
        <v>17500</v>
      </c>
      <c r="E9" s="2"/>
      <c r="F9" s="20">
        <f t="shared" ref="F9:G9" si="1">C9</f>
        <v>7.0000000000000007E-2</v>
      </c>
      <c r="G9" s="13">
        <f t="shared" si="1"/>
        <v>17500</v>
      </c>
      <c r="H9" s="1"/>
      <c r="I9" s="14"/>
      <c r="J9" s="13"/>
      <c r="K9" s="1"/>
    </row>
    <row r="10" spans="1:11" ht="14.4">
      <c r="A10" s="1"/>
      <c r="B10" s="12"/>
      <c r="C10" s="21">
        <v>6.4999999999999997E-3</v>
      </c>
      <c r="D10" s="13">
        <f>D7*C10</f>
        <v>3250</v>
      </c>
      <c r="E10" s="2"/>
      <c r="F10" s="22">
        <v>6.4999999999999997E-3</v>
      </c>
      <c r="G10" s="13">
        <f>G7*F10</f>
        <v>3250</v>
      </c>
      <c r="H10" s="1"/>
      <c r="I10" s="23" t="s">
        <v>10</v>
      </c>
      <c r="J10" s="13">
        <f>IF(I10="Substituição Tributária",G8-G9,0)</f>
        <v>0</v>
      </c>
      <c r="K10" s="1"/>
    </row>
    <row r="11" spans="1:11" ht="14.4">
      <c r="A11" s="1"/>
      <c r="B11" s="12"/>
      <c r="C11" s="24">
        <v>0.03</v>
      </c>
      <c r="D11" s="13">
        <f>D7*C11</f>
        <v>15000</v>
      </c>
      <c r="E11" s="2"/>
      <c r="F11" s="25">
        <v>0.03</v>
      </c>
      <c r="G11" s="13">
        <f>G7*F11</f>
        <v>15000</v>
      </c>
      <c r="H11" s="1"/>
      <c r="I11" s="14"/>
      <c r="J11" s="15"/>
      <c r="K11" s="1"/>
    </row>
    <row r="12" spans="1:11" ht="14.4">
      <c r="A12" s="1"/>
      <c r="B12" s="12" t="s">
        <v>11</v>
      </c>
      <c r="C12" s="1" t="s">
        <v>12</v>
      </c>
      <c r="D12" s="13">
        <f>D7-D8+D9-D10-D11</f>
        <v>409250</v>
      </c>
      <c r="E12" s="2"/>
      <c r="F12" s="14" t="s">
        <v>12</v>
      </c>
      <c r="G12" s="13">
        <f>G7-G8+G9-G10-G11</f>
        <v>409250</v>
      </c>
      <c r="H12" s="1"/>
      <c r="I12" s="14"/>
      <c r="J12" s="15"/>
      <c r="K12" s="1"/>
    </row>
    <row r="13" spans="1:11" ht="14.4">
      <c r="A13" s="1"/>
      <c r="B13" s="12" t="s">
        <v>13</v>
      </c>
      <c r="C13" s="26">
        <v>0.5</v>
      </c>
      <c r="D13" s="13">
        <f>D7*C13</f>
        <v>250000</v>
      </c>
      <c r="E13" s="2"/>
      <c r="F13" s="27">
        <f t="shared" ref="F13:F17" si="2">C13</f>
        <v>0.5</v>
      </c>
      <c r="G13" s="13">
        <f>G7*F13</f>
        <v>250000</v>
      </c>
      <c r="H13" s="1"/>
      <c r="I13" s="27">
        <f>C13</f>
        <v>0.5</v>
      </c>
      <c r="J13" s="13">
        <f>J7*I13</f>
        <v>250000</v>
      </c>
      <c r="K13" s="1"/>
    </row>
    <row r="14" spans="1:11" ht="14.4">
      <c r="A14" s="1"/>
      <c r="B14" s="12" t="s">
        <v>11</v>
      </c>
      <c r="C14" s="1" t="s">
        <v>14</v>
      </c>
      <c r="D14" s="13">
        <f>D12-D13</f>
        <v>159250</v>
      </c>
      <c r="E14" s="2"/>
      <c r="F14" s="14" t="str">
        <f t="shared" si="2"/>
        <v>Margem Bruta</v>
      </c>
      <c r="G14" s="13">
        <f>G12-G13</f>
        <v>159250</v>
      </c>
      <c r="H14" s="1"/>
      <c r="I14" s="14"/>
      <c r="J14" s="15"/>
      <c r="K14" s="1"/>
    </row>
    <row r="15" spans="1:11" ht="14.4">
      <c r="A15" s="1"/>
      <c r="B15" s="12" t="s">
        <v>13</v>
      </c>
      <c r="C15" s="28">
        <v>0.1</v>
      </c>
      <c r="D15" s="13">
        <f>D7*C15</f>
        <v>50000</v>
      </c>
      <c r="E15" s="2"/>
      <c r="F15" s="29">
        <f t="shared" si="2"/>
        <v>0.1</v>
      </c>
      <c r="G15" s="13">
        <f>G7*F15</f>
        <v>50000</v>
      </c>
      <c r="H15" s="1"/>
      <c r="I15" s="29">
        <f>C15</f>
        <v>0.1</v>
      </c>
      <c r="J15" s="13">
        <f>J7*I15</f>
        <v>50000</v>
      </c>
      <c r="K15" s="1"/>
    </row>
    <row r="16" spans="1:11" ht="14.4">
      <c r="A16" s="1"/>
      <c r="B16" s="12" t="s">
        <v>13</v>
      </c>
      <c r="C16" s="30">
        <v>0.27500000000000002</v>
      </c>
      <c r="D16" s="13">
        <f>D15*C16</f>
        <v>13750.000000000002</v>
      </c>
      <c r="E16" s="2"/>
      <c r="F16" s="31">
        <f t="shared" si="2"/>
        <v>0.27500000000000002</v>
      </c>
      <c r="G16" s="13">
        <f t="shared" ref="G16:G18" si="3">D16</f>
        <v>13750.000000000002</v>
      </c>
      <c r="H16" s="1"/>
      <c r="I16" s="32"/>
      <c r="J16" s="13"/>
      <c r="K16" s="1"/>
    </row>
    <row r="17" spans="1:11" ht="14.4">
      <c r="A17" s="1"/>
      <c r="B17" s="12" t="s">
        <v>13</v>
      </c>
      <c r="C17" s="33">
        <v>0.02</v>
      </c>
      <c r="D17" s="13">
        <f>D7*C17</f>
        <v>10000</v>
      </c>
      <c r="E17" s="2"/>
      <c r="F17" s="34">
        <f t="shared" si="2"/>
        <v>0.02</v>
      </c>
      <c r="G17" s="13">
        <f t="shared" si="3"/>
        <v>10000</v>
      </c>
      <c r="H17" s="1"/>
      <c r="I17" s="34">
        <f>C17</f>
        <v>0.02</v>
      </c>
      <c r="J17" s="13">
        <f>J7*I17</f>
        <v>10000</v>
      </c>
      <c r="K17" s="1"/>
    </row>
    <row r="18" spans="1:11" ht="14.4">
      <c r="A18" s="1"/>
      <c r="B18" s="12" t="s">
        <v>11</v>
      </c>
      <c r="C18" s="35" t="s">
        <v>15</v>
      </c>
      <c r="D18" s="36">
        <f>D14-D15-D16-D17</f>
        <v>85500</v>
      </c>
      <c r="E18" s="2"/>
      <c r="F18" s="14" t="s">
        <v>15</v>
      </c>
      <c r="G18" s="36">
        <f t="shared" si="3"/>
        <v>85500</v>
      </c>
      <c r="H18" s="1"/>
      <c r="I18" s="14"/>
      <c r="J18" s="15"/>
      <c r="K18" s="1"/>
    </row>
    <row r="19" spans="1:11" ht="14.4">
      <c r="A19" s="1"/>
      <c r="B19" s="12"/>
      <c r="C19" s="37">
        <v>0.09</v>
      </c>
      <c r="D19" s="13">
        <f>D18*C19</f>
        <v>7695</v>
      </c>
      <c r="E19" s="2"/>
      <c r="F19" s="38" t="s">
        <v>16</v>
      </c>
      <c r="G19" s="15"/>
      <c r="H19" s="1"/>
      <c r="I19" s="14"/>
      <c r="J19" s="15"/>
      <c r="K19" s="1"/>
    </row>
    <row r="20" spans="1:11" ht="14.4">
      <c r="A20" s="1"/>
      <c r="B20" s="12"/>
      <c r="C20" s="39" t="s">
        <v>17</v>
      </c>
      <c r="D20" s="13"/>
      <c r="E20" s="2"/>
      <c r="F20" s="40">
        <v>0.12</v>
      </c>
      <c r="G20" s="13">
        <f>G7*F20</f>
        <v>60000</v>
      </c>
      <c r="H20" s="1"/>
      <c r="I20" s="14"/>
      <c r="J20" s="15"/>
      <c r="K20" s="1"/>
    </row>
    <row r="21" spans="1:11" ht="14.4">
      <c r="A21" s="1"/>
      <c r="B21" s="12"/>
      <c r="C21" s="41">
        <v>0.15</v>
      </c>
      <c r="D21" s="13">
        <f>D18*C21</f>
        <v>12825</v>
      </c>
      <c r="E21" s="2"/>
      <c r="F21" s="42">
        <v>0.09</v>
      </c>
      <c r="G21" s="13">
        <f>G20*F21</f>
        <v>5400</v>
      </c>
      <c r="H21" s="1"/>
      <c r="I21" s="14"/>
      <c r="J21" s="15"/>
      <c r="K21" s="1"/>
    </row>
    <row r="22" spans="1:11" ht="14.4">
      <c r="A22" s="1"/>
      <c r="B22" s="12"/>
      <c r="C22" s="1"/>
      <c r="D22" s="13"/>
      <c r="E22" s="2"/>
      <c r="F22" s="38" t="s">
        <v>18</v>
      </c>
      <c r="G22" s="15"/>
      <c r="H22" s="1"/>
      <c r="I22" s="43" t="s">
        <v>19</v>
      </c>
      <c r="J22" s="15"/>
      <c r="K22" s="1"/>
    </row>
    <row r="23" spans="1:11" ht="14.4">
      <c r="A23" s="1"/>
      <c r="B23" s="12"/>
      <c r="C23" s="1"/>
      <c r="D23" s="36">
        <f>D18-D19-D21</f>
        <v>64980</v>
      </c>
      <c r="E23" s="2"/>
      <c r="F23" s="40">
        <v>0.08</v>
      </c>
      <c r="G23" s="13">
        <f>G7*F23</f>
        <v>40000</v>
      </c>
      <c r="H23" s="1"/>
      <c r="I23" s="44">
        <f>VLOOKUP(I10,'Anexo 1'!L33:M34,2)</f>
        <v>0.11609999999999999</v>
      </c>
      <c r="J23" s="13">
        <f>J7*I23</f>
        <v>58050</v>
      </c>
      <c r="K23" s="1"/>
    </row>
    <row r="24" spans="1:11" ht="14.4">
      <c r="A24" s="1"/>
      <c r="B24" s="12"/>
      <c r="C24" s="45">
        <v>0.1</v>
      </c>
      <c r="D24" s="13">
        <f>IF(D23&gt;20000,(D23-20000)*C24,0)</f>
        <v>4498</v>
      </c>
      <c r="E24" s="2"/>
      <c r="F24" s="46">
        <f>C21</f>
        <v>0.15</v>
      </c>
      <c r="G24" s="13">
        <f>G23*F24</f>
        <v>6000</v>
      </c>
      <c r="H24" s="1"/>
      <c r="I24" s="14"/>
      <c r="J24" s="15"/>
      <c r="K24" s="1"/>
    </row>
    <row r="25" spans="1:11" ht="14.4">
      <c r="A25" s="1"/>
      <c r="B25" s="12"/>
      <c r="C25" s="1"/>
      <c r="D25" s="13"/>
      <c r="E25" s="2"/>
      <c r="F25" s="47">
        <v>0.1</v>
      </c>
      <c r="G25" s="13">
        <f>IF(G23&gt;20000,(G23-20000)*F25,0)</f>
        <v>2000</v>
      </c>
      <c r="H25" s="1"/>
      <c r="I25" s="14"/>
      <c r="J25" s="15"/>
      <c r="K25" s="1"/>
    </row>
    <row r="26" spans="1:11" ht="14.4">
      <c r="A26" s="1"/>
      <c r="B26" s="12"/>
      <c r="C26" s="48" t="s">
        <v>20</v>
      </c>
      <c r="D26" s="36">
        <f>D23-D24</f>
        <v>60482</v>
      </c>
      <c r="E26" s="2"/>
      <c r="F26" s="43" t="s">
        <v>21</v>
      </c>
      <c r="G26" s="36">
        <f>G18-G21-G24-G25</f>
        <v>72100</v>
      </c>
      <c r="H26" s="1"/>
      <c r="I26" s="43" t="s">
        <v>22</v>
      </c>
      <c r="J26" s="36">
        <f>J7-J10-J13-J15-J17-J23</f>
        <v>131950</v>
      </c>
      <c r="K26" s="1"/>
    </row>
    <row r="27" spans="1:11" ht="14.4">
      <c r="A27" s="1"/>
      <c r="B27" s="49"/>
      <c r="C27" s="50"/>
      <c r="D27" s="51"/>
      <c r="E27" s="2"/>
      <c r="F27" s="52"/>
      <c r="G27" s="53"/>
      <c r="H27" s="1"/>
      <c r="I27" s="52"/>
      <c r="J27" s="53"/>
      <c r="K27" s="1"/>
    </row>
    <row r="28" spans="1:11" ht="15.75" customHeight="1">
      <c r="A28" s="1"/>
      <c r="B28" s="2"/>
      <c r="C28" s="1"/>
      <c r="D28" s="4"/>
      <c r="E28" s="2"/>
      <c r="F28" s="1"/>
      <c r="G28" s="1"/>
      <c r="H28" s="1"/>
      <c r="I28" s="1"/>
      <c r="J28" s="1"/>
      <c r="K28" s="1"/>
    </row>
    <row r="29" spans="1:11" ht="14.4">
      <c r="A29" s="1"/>
      <c r="B29" s="2"/>
      <c r="C29" s="54">
        <f>D8-D9+D10+D11+D16+D19+D21+D24</f>
        <v>129518</v>
      </c>
      <c r="D29" s="4"/>
      <c r="E29" s="2"/>
      <c r="F29" s="55">
        <f>C30</f>
        <v>135400</v>
      </c>
      <c r="G29" s="1"/>
      <c r="H29" s="1"/>
      <c r="I29" s="56">
        <f>F31</f>
        <v>58050</v>
      </c>
      <c r="J29" s="1"/>
      <c r="K29" s="1"/>
    </row>
    <row r="30" spans="1:11" ht="14.4">
      <c r="A30" s="1"/>
      <c r="B30" s="2"/>
      <c r="C30" s="57">
        <f>G8+G10+G11+G16+G21+G24+G25</f>
        <v>135400</v>
      </c>
      <c r="D30" s="4"/>
      <c r="E30" s="2"/>
      <c r="F30" s="58">
        <f>C29</f>
        <v>129518</v>
      </c>
      <c r="G30" s="1"/>
      <c r="H30" s="1"/>
      <c r="I30" s="59">
        <f t="shared" ref="I30:I31" si="4">C29</f>
        <v>129518</v>
      </c>
      <c r="J30" s="1"/>
      <c r="K30" s="1"/>
    </row>
    <row r="31" spans="1:11" ht="14.4">
      <c r="A31" s="1"/>
      <c r="B31" s="2"/>
      <c r="C31" s="60">
        <f>J10+J23</f>
        <v>58050</v>
      </c>
      <c r="D31" s="4"/>
      <c r="E31" s="2"/>
      <c r="F31" s="60">
        <f>C31</f>
        <v>58050</v>
      </c>
      <c r="G31" s="1"/>
      <c r="H31" s="1"/>
      <c r="I31" s="57">
        <f t="shared" si="4"/>
        <v>135400</v>
      </c>
      <c r="J31" s="1"/>
      <c r="K31" s="1"/>
    </row>
    <row r="32" spans="1:11" ht="14.4">
      <c r="A32" s="1"/>
      <c r="B32" s="2"/>
      <c r="C32" s="1"/>
      <c r="D32" s="4"/>
      <c r="E32" s="2"/>
      <c r="F32" s="1"/>
      <c r="G32" s="4"/>
      <c r="H32" s="1"/>
      <c r="I32" s="1"/>
      <c r="J32" s="4"/>
      <c r="K32" s="1"/>
    </row>
    <row r="33" spans="1:11" ht="14.4">
      <c r="A33" s="1"/>
      <c r="B33" s="2"/>
      <c r="C33" s="61">
        <f>G26</f>
        <v>72100</v>
      </c>
      <c r="D33" s="4"/>
      <c r="E33" s="2"/>
      <c r="F33" s="62">
        <f>D26</f>
        <v>60482</v>
      </c>
      <c r="G33" s="4"/>
      <c r="H33" s="1"/>
      <c r="I33" s="61">
        <f>C33</f>
        <v>72100</v>
      </c>
      <c r="J33" s="1"/>
      <c r="K33" s="1"/>
    </row>
    <row r="34" spans="1:11" ht="14.4">
      <c r="A34" s="1"/>
      <c r="B34" s="2"/>
      <c r="C34" s="63">
        <f>J26</f>
        <v>131950</v>
      </c>
      <c r="D34" s="4"/>
      <c r="E34" s="2"/>
      <c r="F34" s="63">
        <f>C34</f>
        <v>131950</v>
      </c>
      <c r="G34" s="1"/>
      <c r="H34" s="1"/>
      <c r="I34" s="62">
        <f>F33</f>
        <v>60482</v>
      </c>
      <c r="J34" s="1"/>
      <c r="K34" s="1"/>
    </row>
    <row r="35" spans="1:11" ht="15.75" customHeight="1">
      <c r="A35" s="1"/>
      <c r="B35" s="2"/>
      <c r="C35" s="1"/>
      <c r="D35" s="4"/>
      <c r="E35" s="2"/>
      <c r="F35" s="1"/>
      <c r="G35" s="1"/>
      <c r="H35" s="1"/>
      <c r="I35" s="1"/>
      <c r="J35" s="1"/>
      <c r="K35" s="1"/>
    </row>
    <row r="36" spans="1:11" ht="15.75" customHeight="1">
      <c r="A36" s="1"/>
      <c r="B36" s="2"/>
      <c r="C36" s="1"/>
      <c r="D36" s="4"/>
      <c r="E36" s="2"/>
      <c r="F36" s="1"/>
      <c r="G36" s="1"/>
      <c r="H36" s="1"/>
      <c r="I36" s="1"/>
      <c r="J36" s="1"/>
      <c r="K36" s="1"/>
    </row>
    <row r="37" spans="1:11" ht="24.6" customHeight="1">
      <c r="A37" s="1"/>
      <c r="B37" s="2"/>
      <c r="C37" s="114"/>
      <c r="D37" s="4"/>
      <c r="E37" s="2"/>
      <c r="F37" s="115"/>
      <c r="G37" s="1"/>
      <c r="H37" s="1"/>
      <c r="I37" s="1"/>
      <c r="J37" s="1"/>
      <c r="K37" s="1"/>
    </row>
    <row r="38" spans="1:11" ht="15.75" customHeight="1">
      <c r="A38" s="1"/>
      <c r="B38" s="2"/>
      <c r="C38" s="1"/>
      <c r="D38" s="4"/>
      <c r="E38" s="2"/>
      <c r="F38" s="1"/>
      <c r="G38" s="1"/>
      <c r="H38" s="1"/>
      <c r="I38" s="1"/>
      <c r="J38" s="1"/>
      <c r="K38" s="1"/>
    </row>
    <row r="39" spans="1:11" ht="15.75" customHeight="1">
      <c r="A39" s="1"/>
      <c r="B39" s="2"/>
      <c r="C39" s="1"/>
      <c r="D39" s="4"/>
      <c r="E39" s="2"/>
      <c r="F39" s="1"/>
      <c r="G39" s="1"/>
      <c r="H39" s="1"/>
      <c r="I39" s="1"/>
      <c r="J39" s="1"/>
      <c r="K39" s="1"/>
    </row>
    <row r="40" spans="1:11" ht="15.75" customHeight="1">
      <c r="A40" s="1"/>
      <c r="B40" s="2"/>
      <c r="C40" s="1"/>
      <c r="D40" s="4"/>
      <c r="E40" s="2"/>
      <c r="F40" s="1"/>
      <c r="G40" s="1"/>
      <c r="H40" s="1"/>
      <c r="I40" s="1"/>
      <c r="J40" s="1"/>
      <c r="K40" s="1"/>
    </row>
    <row r="41" spans="1:11" ht="15.75" customHeight="1">
      <c r="A41" s="1"/>
      <c r="B41" s="2"/>
      <c r="C41" s="1"/>
      <c r="D41" s="4"/>
      <c r="E41" s="2"/>
      <c r="F41" s="1"/>
      <c r="G41" s="1"/>
      <c r="H41" s="1"/>
      <c r="I41" s="1"/>
      <c r="J41" s="1"/>
      <c r="K41" s="1"/>
    </row>
    <row r="42" spans="1:11" ht="15.75" customHeight="1">
      <c r="A42" s="1"/>
      <c r="B42" s="2"/>
      <c r="C42" s="1"/>
      <c r="D42" s="4"/>
      <c r="E42" s="2"/>
      <c r="F42" s="1"/>
      <c r="G42" s="1"/>
      <c r="H42" s="1"/>
      <c r="I42" s="1"/>
      <c r="J42" s="1"/>
      <c r="K42" s="1"/>
    </row>
    <row r="43" spans="1:11" ht="15.75" customHeight="1">
      <c r="A43" s="1"/>
      <c r="B43" s="2"/>
      <c r="C43" s="1"/>
      <c r="D43" s="4"/>
      <c r="E43" s="2"/>
      <c r="F43" s="1"/>
      <c r="G43" s="1"/>
      <c r="H43" s="1"/>
      <c r="I43" s="1"/>
      <c r="J43" s="1"/>
      <c r="K43" s="1"/>
    </row>
    <row r="44" spans="1:11" ht="15.75" customHeight="1">
      <c r="A44" s="1"/>
      <c r="B44" s="2"/>
      <c r="C44" s="1"/>
      <c r="D44" s="4"/>
      <c r="E44" s="2"/>
      <c r="F44" s="1"/>
      <c r="G44" s="1"/>
      <c r="H44" s="1"/>
      <c r="I44" s="1"/>
      <c r="J44" s="1"/>
      <c r="K44" s="1"/>
    </row>
    <row r="45" spans="1:11" ht="15.75" customHeight="1">
      <c r="A45" s="1"/>
      <c r="B45" s="2"/>
      <c r="C45" s="1"/>
      <c r="D45" s="4"/>
      <c r="E45" s="2"/>
      <c r="F45" s="1"/>
      <c r="G45" s="1"/>
      <c r="H45" s="1"/>
      <c r="I45" s="1"/>
      <c r="J45" s="1"/>
      <c r="K45" s="1"/>
    </row>
    <row r="46" spans="1:11" ht="15.75" customHeight="1">
      <c r="A46" s="1"/>
      <c r="B46" s="2"/>
      <c r="C46" s="1"/>
      <c r="D46" s="4"/>
      <c r="E46" s="2"/>
      <c r="F46" s="1"/>
      <c r="G46" s="1"/>
      <c r="H46" s="1"/>
      <c r="I46" s="1"/>
      <c r="J46" s="1"/>
      <c r="K46" s="1"/>
    </row>
    <row r="47" spans="1:11" ht="15.75" customHeight="1">
      <c r="A47" s="1"/>
      <c r="B47" s="2"/>
      <c r="C47" s="1"/>
      <c r="D47" s="4"/>
      <c r="E47" s="2"/>
      <c r="F47" s="1"/>
      <c r="G47" s="1"/>
      <c r="H47" s="1"/>
      <c r="I47" s="1"/>
      <c r="J47" s="1"/>
      <c r="K47" s="1"/>
    </row>
    <row r="48" spans="1:11" ht="15.75" customHeight="1">
      <c r="A48" s="1"/>
      <c r="B48" s="2"/>
      <c r="C48" s="1"/>
      <c r="D48" s="4"/>
      <c r="E48" s="2"/>
      <c r="F48" s="1"/>
      <c r="G48" s="1"/>
      <c r="H48" s="1"/>
      <c r="I48" s="1"/>
      <c r="J48" s="1"/>
      <c r="K48" s="1"/>
    </row>
    <row r="49" spans="1:11" ht="15.75" customHeight="1">
      <c r="A49" s="1"/>
      <c r="B49" s="2"/>
      <c r="C49" s="1"/>
      <c r="D49" s="4"/>
      <c r="E49" s="2"/>
      <c r="F49" s="1"/>
      <c r="G49" s="1"/>
      <c r="H49" s="1"/>
      <c r="I49" s="1"/>
      <c r="J49" s="1"/>
      <c r="K49" s="1"/>
    </row>
    <row r="50" spans="1:11" ht="15.75" customHeight="1">
      <c r="A50" s="1"/>
      <c r="B50" s="2"/>
      <c r="C50" s="1"/>
      <c r="D50" s="4"/>
      <c r="E50" s="2"/>
      <c r="F50" s="1"/>
      <c r="G50" s="1"/>
      <c r="H50" s="1"/>
      <c r="I50" s="1"/>
      <c r="J50" s="1"/>
      <c r="K50" s="1"/>
    </row>
    <row r="51" spans="1:11" ht="15.75" customHeight="1">
      <c r="A51" s="1"/>
      <c r="B51" s="2"/>
      <c r="C51" s="1"/>
      <c r="D51" s="4"/>
      <c r="E51" s="2"/>
      <c r="F51" s="1"/>
      <c r="G51" s="1"/>
      <c r="H51" s="1"/>
      <c r="I51" s="1"/>
      <c r="J51" s="1"/>
      <c r="K51" s="1"/>
    </row>
    <row r="52" spans="1:11" ht="15.75" customHeight="1">
      <c r="A52" s="1"/>
      <c r="B52" s="2"/>
      <c r="C52" s="1"/>
      <c r="D52" s="4"/>
      <c r="E52" s="2"/>
      <c r="F52" s="1"/>
      <c r="G52" s="1"/>
      <c r="H52" s="1"/>
      <c r="I52" s="1"/>
      <c r="J52" s="1"/>
      <c r="K52" s="1"/>
    </row>
    <row r="53" spans="1:11" ht="15.75" customHeight="1">
      <c r="A53" s="1"/>
      <c r="B53" s="2"/>
      <c r="C53" s="1"/>
      <c r="D53" s="4"/>
      <c r="E53" s="2"/>
      <c r="F53" s="1"/>
      <c r="G53" s="1"/>
      <c r="H53" s="1"/>
      <c r="I53" s="1"/>
      <c r="J53" s="1"/>
      <c r="K53" s="1"/>
    </row>
    <row r="54" spans="1:11" ht="15.75" customHeight="1">
      <c r="A54" s="1"/>
      <c r="B54" s="2"/>
      <c r="C54" s="1"/>
      <c r="D54" s="4"/>
      <c r="E54" s="2"/>
      <c r="F54" s="1"/>
      <c r="G54" s="1"/>
      <c r="H54" s="1"/>
      <c r="I54" s="1"/>
      <c r="J54" s="1"/>
      <c r="K54" s="1"/>
    </row>
    <row r="55" spans="1:11" ht="15.75" customHeight="1">
      <c r="A55" s="1"/>
      <c r="B55" s="2"/>
      <c r="C55" s="1"/>
      <c r="D55" s="4"/>
      <c r="E55" s="2"/>
      <c r="F55" s="1"/>
      <c r="G55" s="1"/>
      <c r="H55" s="1"/>
      <c r="I55" s="1"/>
      <c r="J55" s="1"/>
      <c r="K55" s="1"/>
    </row>
    <row r="56" spans="1:11" ht="15.75" customHeight="1">
      <c r="A56" s="1"/>
      <c r="B56" s="2"/>
      <c r="C56" s="1"/>
      <c r="D56" s="4"/>
      <c r="E56" s="2"/>
      <c r="F56" s="1"/>
      <c r="G56" s="1"/>
      <c r="H56" s="1"/>
      <c r="I56" s="1"/>
      <c r="J56" s="1"/>
      <c r="K56" s="1"/>
    </row>
    <row r="57" spans="1:11" ht="15.75" customHeight="1">
      <c r="A57" s="1"/>
      <c r="B57" s="2"/>
      <c r="C57" s="1"/>
      <c r="D57" s="4"/>
      <c r="E57" s="2"/>
      <c r="F57" s="1"/>
      <c r="G57" s="1"/>
      <c r="H57" s="1"/>
      <c r="I57" s="1"/>
      <c r="J57" s="1"/>
      <c r="K57" s="1"/>
    </row>
    <row r="58" spans="1:11" ht="15.75" customHeight="1">
      <c r="A58" s="1"/>
      <c r="B58" s="2"/>
      <c r="C58" s="1"/>
      <c r="D58" s="4"/>
      <c r="E58" s="2"/>
      <c r="F58" s="1"/>
      <c r="G58" s="1"/>
      <c r="H58" s="1"/>
      <c r="I58" s="1"/>
      <c r="J58" s="1"/>
      <c r="K58" s="1"/>
    </row>
    <row r="59" spans="1:11" ht="15.75" customHeight="1">
      <c r="A59" s="1"/>
      <c r="B59" s="2"/>
      <c r="C59" s="1"/>
      <c r="D59" s="4"/>
      <c r="E59" s="2"/>
      <c r="F59" s="1"/>
      <c r="G59" s="1"/>
      <c r="H59" s="1"/>
      <c r="I59" s="1"/>
      <c r="J59" s="1"/>
      <c r="K59" s="1"/>
    </row>
    <row r="60" spans="1:11" ht="15.75" customHeight="1">
      <c r="A60" s="1"/>
      <c r="B60" s="2"/>
      <c r="C60" s="1"/>
      <c r="D60" s="4"/>
      <c r="E60" s="2"/>
      <c r="F60" s="1"/>
      <c r="G60" s="1"/>
      <c r="H60" s="1"/>
      <c r="I60" s="1"/>
      <c r="J60" s="1"/>
      <c r="K60" s="1"/>
    </row>
    <row r="61" spans="1:11" ht="15.75" customHeight="1">
      <c r="A61" s="1"/>
      <c r="B61" s="2"/>
      <c r="C61" s="1"/>
      <c r="D61" s="4"/>
      <c r="E61" s="2"/>
      <c r="F61" s="1"/>
      <c r="G61" s="1"/>
      <c r="H61" s="1"/>
      <c r="I61" s="1"/>
      <c r="J61" s="1"/>
      <c r="K61" s="1"/>
    </row>
    <row r="62" spans="1:11" ht="15.75" customHeight="1">
      <c r="A62" s="1"/>
      <c r="B62" s="2"/>
      <c r="C62" s="1"/>
      <c r="D62" s="4"/>
      <c r="E62" s="2"/>
      <c r="F62" s="1"/>
      <c r="G62" s="1"/>
      <c r="H62" s="1"/>
      <c r="I62" s="1"/>
      <c r="J62" s="1"/>
      <c r="K62" s="1"/>
    </row>
    <row r="63" spans="1:11" ht="15.75" customHeight="1">
      <c r="A63" s="1"/>
      <c r="B63" s="2"/>
      <c r="C63" s="1"/>
      <c r="D63" s="4"/>
      <c r="E63" s="2"/>
      <c r="F63" s="1"/>
      <c r="G63" s="1"/>
      <c r="H63" s="1"/>
      <c r="I63" s="1"/>
      <c r="J63" s="1"/>
      <c r="K63" s="1"/>
    </row>
    <row r="64" spans="1:11" ht="15.75" customHeight="1">
      <c r="A64" s="1"/>
      <c r="B64" s="2"/>
      <c r="C64" s="1"/>
      <c r="D64" s="4"/>
      <c r="E64" s="2"/>
      <c r="F64" s="1"/>
      <c r="G64" s="1"/>
      <c r="H64" s="1"/>
      <c r="I64" s="1"/>
      <c r="J64" s="1"/>
      <c r="K64" s="1"/>
    </row>
    <row r="65" spans="1:11" ht="15.75" customHeight="1">
      <c r="A65" s="1"/>
      <c r="B65" s="2"/>
      <c r="C65" s="1"/>
      <c r="D65" s="4"/>
      <c r="E65" s="2"/>
      <c r="F65" s="1"/>
      <c r="G65" s="1"/>
      <c r="H65" s="1"/>
      <c r="I65" s="1"/>
      <c r="J65" s="1"/>
      <c r="K65" s="1"/>
    </row>
    <row r="66" spans="1:11" ht="15.75" customHeight="1">
      <c r="A66" s="1"/>
      <c r="B66" s="2"/>
      <c r="C66" s="1"/>
      <c r="D66" s="4"/>
      <c r="E66" s="2"/>
      <c r="F66" s="1"/>
      <c r="G66" s="1"/>
      <c r="H66" s="1"/>
      <c r="I66" s="1"/>
      <c r="J66" s="1"/>
      <c r="K66" s="1"/>
    </row>
    <row r="67" spans="1:11" ht="15.75" customHeight="1">
      <c r="A67" s="1"/>
      <c r="B67" s="2"/>
      <c r="C67" s="1"/>
      <c r="D67" s="4"/>
      <c r="E67" s="2"/>
      <c r="F67" s="1"/>
      <c r="G67" s="1"/>
      <c r="H67" s="1"/>
      <c r="I67" s="1"/>
      <c r="J67" s="1"/>
      <c r="K67" s="1"/>
    </row>
    <row r="68" spans="1:11" ht="15.75" customHeight="1">
      <c r="A68" s="1"/>
      <c r="B68" s="2"/>
      <c r="C68" s="1"/>
      <c r="D68" s="4"/>
      <c r="E68" s="2"/>
      <c r="F68" s="1"/>
      <c r="G68" s="1"/>
      <c r="H68" s="1"/>
      <c r="I68" s="1"/>
      <c r="J68" s="1"/>
      <c r="K68" s="1"/>
    </row>
    <row r="69" spans="1:11" ht="15.75" customHeight="1">
      <c r="A69" s="1"/>
      <c r="B69" s="2"/>
      <c r="C69" s="1"/>
      <c r="D69" s="4"/>
      <c r="E69" s="2"/>
      <c r="F69" s="1"/>
      <c r="G69" s="1"/>
      <c r="H69" s="1"/>
      <c r="I69" s="1"/>
      <c r="J69" s="1"/>
      <c r="K69" s="1"/>
    </row>
    <row r="70" spans="1:11" ht="15.75" customHeight="1">
      <c r="A70" s="1"/>
      <c r="B70" s="2"/>
      <c r="C70" s="1"/>
      <c r="D70" s="4"/>
      <c r="E70" s="2"/>
      <c r="F70" s="1"/>
      <c r="G70" s="1"/>
      <c r="H70" s="1"/>
      <c r="I70" s="1"/>
      <c r="J70" s="1"/>
      <c r="K70" s="1"/>
    </row>
    <row r="71" spans="1:11" ht="15.75" customHeight="1">
      <c r="A71" s="1"/>
      <c r="B71" s="2"/>
      <c r="C71" s="1"/>
      <c r="D71" s="4"/>
      <c r="E71" s="2"/>
      <c r="F71" s="1"/>
      <c r="G71" s="1"/>
      <c r="H71" s="1"/>
      <c r="I71" s="1"/>
      <c r="J71" s="1"/>
      <c r="K71" s="1"/>
    </row>
    <row r="72" spans="1:11" ht="15.75" customHeight="1">
      <c r="A72" s="1"/>
      <c r="B72" s="2"/>
      <c r="C72" s="1"/>
      <c r="D72" s="4"/>
      <c r="E72" s="2"/>
      <c r="F72" s="1"/>
      <c r="G72" s="1"/>
      <c r="H72" s="1"/>
      <c r="I72" s="1"/>
      <c r="J72" s="1"/>
      <c r="K72" s="1"/>
    </row>
    <row r="73" spans="1:11" ht="15.75" customHeight="1">
      <c r="A73" s="1"/>
      <c r="B73" s="2"/>
      <c r="C73" s="1"/>
      <c r="D73" s="4"/>
      <c r="E73" s="2"/>
      <c r="F73" s="1"/>
      <c r="G73" s="1"/>
      <c r="H73" s="1"/>
      <c r="I73" s="1"/>
      <c r="J73" s="1"/>
      <c r="K73" s="1"/>
    </row>
    <row r="74" spans="1:11" ht="15.75" customHeight="1">
      <c r="A74" s="1"/>
      <c r="B74" s="2"/>
      <c r="C74" s="1"/>
      <c r="D74" s="4"/>
      <c r="E74" s="2"/>
      <c r="F74" s="1"/>
      <c r="G74" s="1"/>
      <c r="H74" s="1"/>
      <c r="I74" s="1"/>
      <c r="J74" s="1"/>
      <c r="K74" s="1"/>
    </row>
    <row r="75" spans="1:11" ht="15.75" customHeight="1">
      <c r="A75" s="1"/>
      <c r="B75" s="2"/>
      <c r="C75" s="1"/>
      <c r="D75" s="4"/>
      <c r="E75" s="2"/>
      <c r="F75" s="1"/>
      <c r="G75" s="1"/>
      <c r="H75" s="1"/>
      <c r="I75" s="1"/>
      <c r="J75" s="1"/>
      <c r="K75" s="1"/>
    </row>
    <row r="76" spans="1:11" ht="15.75" customHeight="1">
      <c r="A76" s="1"/>
      <c r="B76" s="2"/>
      <c r="C76" s="1"/>
      <c r="D76" s="4"/>
      <c r="E76" s="2"/>
      <c r="F76" s="1"/>
      <c r="G76" s="1"/>
      <c r="H76" s="1"/>
      <c r="I76" s="1"/>
      <c r="J76" s="1"/>
      <c r="K76" s="1"/>
    </row>
    <row r="77" spans="1:11" ht="15.75" customHeight="1">
      <c r="A77" s="1"/>
      <c r="B77" s="2"/>
      <c r="C77" s="1"/>
      <c r="D77" s="4"/>
      <c r="E77" s="2"/>
      <c r="F77" s="1"/>
      <c r="G77" s="1"/>
      <c r="H77" s="1"/>
      <c r="I77" s="1"/>
      <c r="J77" s="1"/>
      <c r="K77" s="1"/>
    </row>
    <row r="78" spans="1:11" ht="15.75" customHeight="1">
      <c r="A78" s="1"/>
      <c r="B78" s="2"/>
      <c r="C78" s="1"/>
      <c r="D78" s="4"/>
      <c r="E78" s="2"/>
      <c r="F78" s="1"/>
      <c r="G78" s="1"/>
      <c r="H78" s="1"/>
      <c r="I78" s="1"/>
      <c r="J78" s="1"/>
      <c r="K78" s="1"/>
    </row>
    <row r="79" spans="1:11" ht="15.75" customHeight="1">
      <c r="A79" s="1"/>
      <c r="B79" s="2"/>
      <c r="C79" s="1"/>
      <c r="D79" s="4"/>
      <c r="E79" s="2"/>
      <c r="F79" s="1"/>
      <c r="G79" s="1"/>
      <c r="H79" s="1"/>
      <c r="I79" s="1"/>
      <c r="J79" s="1"/>
      <c r="K79" s="1"/>
    </row>
    <row r="80" spans="1:11" ht="15.75" customHeight="1">
      <c r="A80" s="1"/>
      <c r="B80" s="2"/>
      <c r="C80" s="1"/>
      <c r="D80" s="4"/>
      <c r="E80" s="2"/>
      <c r="F80" s="1"/>
      <c r="G80" s="1"/>
      <c r="H80" s="1"/>
      <c r="I80" s="1"/>
      <c r="J80" s="1"/>
      <c r="K80" s="1"/>
    </row>
    <row r="81" spans="1:11" ht="15.75" customHeight="1">
      <c r="A81" s="1"/>
      <c r="B81" s="2"/>
      <c r="C81" s="1"/>
      <c r="D81" s="4"/>
      <c r="E81" s="2"/>
      <c r="F81" s="1"/>
      <c r="G81" s="1"/>
      <c r="H81" s="1"/>
      <c r="I81" s="1"/>
      <c r="J81" s="1"/>
      <c r="K81" s="1"/>
    </row>
    <row r="82" spans="1:11" ht="15.75" customHeight="1">
      <c r="A82" s="1"/>
      <c r="B82" s="2"/>
      <c r="C82" s="1"/>
      <c r="D82" s="4"/>
      <c r="E82" s="2"/>
      <c r="F82" s="1"/>
      <c r="G82" s="1"/>
      <c r="H82" s="1"/>
      <c r="I82" s="1"/>
      <c r="J82" s="1"/>
      <c r="K82" s="1"/>
    </row>
    <row r="83" spans="1:11" ht="15.75" customHeight="1">
      <c r="A83" s="1"/>
      <c r="B83" s="2"/>
      <c r="C83" s="1"/>
      <c r="D83" s="4"/>
      <c r="E83" s="2"/>
      <c r="F83" s="1"/>
      <c r="G83" s="1"/>
      <c r="H83" s="1"/>
      <c r="I83" s="1"/>
      <c r="J83" s="1"/>
      <c r="K83" s="1"/>
    </row>
    <row r="84" spans="1:11" ht="15.75" customHeight="1">
      <c r="A84" s="1"/>
      <c r="B84" s="2"/>
      <c r="C84" s="1"/>
      <c r="D84" s="4"/>
      <c r="E84" s="2"/>
      <c r="F84" s="1"/>
      <c r="G84" s="1"/>
      <c r="H84" s="1"/>
      <c r="I84" s="1"/>
      <c r="J84" s="1"/>
      <c r="K84" s="1"/>
    </row>
    <row r="85" spans="1:11" ht="15.75" customHeight="1">
      <c r="A85" s="1"/>
      <c r="B85" s="2"/>
      <c r="C85" s="1"/>
      <c r="D85" s="4"/>
      <c r="E85" s="2"/>
      <c r="F85" s="1"/>
      <c r="G85" s="1"/>
      <c r="H85" s="1"/>
      <c r="I85" s="1"/>
      <c r="J85" s="1"/>
      <c r="K85" s="1"/>
    </row>
    <row r="86" spans="1:11" ht="15.75" customHeight="1">
      <c r="A86" s="1"/>
      <c r="B86" s="2"/>
      <c r="C86" s="1"/>
      <c r="D86" s="4"/>
      <c r="E86" s="2"/>
      <c r="F86" s="1"/>
      <c r="G86" s="1"/>
      <c r="H86" s="1"/>
      <c r="I86" s="1"/>
      <c r="J86" s="1"/>
      <c r="K86" s="1"/>
    </row>
    <row r="87" spans="1:11" ht="15.75" customHeight="1">
      <c r="A87" s="1"/>
      <c r="B87" s="2"/>
      <c r="C87" s="1"/>
      <c r="D87" s="4"/>
      <c r="E87" s="2"/>
      <c r="F87" s="1"/>
      <c r="G87" s="1"/>
      <c r="H87" s="1"/>
      <c r="I87" s="1"/>
      <c r="J87" s="1"/>
      <c r="K87" s="1"/>
    </row>
    <row r="88" spans="1:11" ht="15.75" customHeight="1">
      <c r="A88" s="1"/>
      <c r="B88" s="2"/>
      <c r="C88" s="1"/>
      <c r="D88" s="4"/>
      <c r="E88" s="2"/>
      <c r="F88" s="1"/>
      <c r="G88" s="1"/>
      <c r="H88" s="1"/>
      <c r="I88" s="1"/>
      <c r="J88" s="1"/>
      <c r="K88" s="1"/>
    </row>
    <row r="89" spans="1:11" ht="15.75" customHeight="1">
      <c r="A89" s="1"/>
      <c r="B89" s="2"/>
      <c r="C89" s="1"/>
      <c r="D89" s="4"/>
      <c r="E89" s="2"/>
      <c r="F89" s="1"/>
      <c r="G89" s="1"/>
      <c r="H89" s="1"/>
      <c r="I89" s="1"/>
      <c r="J89" s="1"/>
      <c r="K89" s="1"/>
    </row>
    <row r="90" spans="1:11" ht="15.75" customHeight="1">
      <c r="A90" s="1"/>
      <c r="B90" s="2"/>
      <c r="C90" s="1"/>
      <c r="D90" s="4"/>
      <c r="E90" s="2"/>
      <c r="F90" s="1"/>
      <c r="G90" s="1"/>
      <c r="H90" s="1"/>
      <c r="I90" s="1"/>
      <c r="J90" s="1"/>
      <c r="K90" s="1"/>
    </row>
    <row r="91" spans="1:11" ht="15.75" customHeight="1">
      <c r="A91" s="1"/>
      <c r="B91" s="2"/>
      <c r="C91" s="1"/>
      <c r="D91" s="4"/>
      <c r="E91" s="2"/>
      <c r="F91" s="1"/>
      <c r="G91" s="1"/>
      <c r="H91" s="1"/>
      <c r="I91" s="1"/>
      <c r="J91" s="1"/>
      <c r="K91" s="1"/>
    </row>
    <row r="92" spans="1:11" ht="15.75" customHeight="1">
      <c r="A92" s="1"/>
      <c r="B92" s="2"/>
      <c r="C92" s="1"/>
      <c r="D92" s="4"/>
      <c r="E92" s="2"/>
      <c r="F92" s="1"/>
      <c r="G92" s="1"/>
      <c r="H92" s="1"/>
      <c r="I92" s="1"/>
      <c r="J92" s="1"/>
      <c r="K92" s="1"/>
    </row>
    <row r="93" spans="1:11" ht="15.75" customHeight="1">
      <c r="A93" s="1"/>
      <c r="B93" s="2"/>
      <c r="C93" s="1"/>
      <c r="D93" s="4"/>
      <c r="E93" s="2"/>
      <c r="F93" s="1"/>
      <c r="G93" s="1"/>
      <c r="H93" s="1"/>
      <c r="I93" s="1"/>
      <c r="J93" s="1"/>
      <c r="K93" s="1"/>
    </row>
    <row r="94" spans="1:11" ht="15.75" customHeight="1">
      <c r="A94" s="1"/>
      <c r="B94" s="2"/>
      <c r="C94" s="1"/>
      <c r="D94" s="4"/>
      <c r="E94" s="2"/>
      <c r="F94" s="1"/>
      <c r="G94" s="1"/>
      <c r="H94" s="1"/>
      <c r="I94" s="1"/>
      <c r="J94" s="1"/>
      <c r="K94" s="1"/>
    </row>
    <row r="95" spans="1:11" ht="15.75" customHeight="1">
      <c r="A95" s="1"/>
      <c r="B95" s="2"/>
      <c r="C95" s="1"/>
      <c r="D95" s="4"/>
      <c r="E95" s="2"/>
      <c r="F95" s="1"/>
      <c r="G95" s="1"/>
      <c r="H95" s="1"/>
      <c r="I95" s="1"/>
      <c r="J95" s="1"/>
      <c r="K95" s="1"/>
    </row>
    <row r="96" spans="1:11" ht="15.75" customHeight="1">
      <c r="A96" s="1"/>
      <c r="B96" s="2"/>
      <c r="C96" s="1"/>
      <c r="D96" s="4"/>
      <c r="E96" s="2"/>
      <c r="F96" s="1"/>
      <c r="G96" s="1"/>
      <c r="H96" s="1"/>
      <c r="I96" s="1"/>
      <c r="J96" s="1"/>
      <c r="K96" s="1"/>
    </row>
    <row r="97" spans="1:11" ht="15.75" customHeight="1">
      <c r="A97" s="1"/>
      <c r="B97" s="2"/>
      <c r="C97" s="1"/>
      <c r="D97" s="4"/>
      <c r="E97" s="2"/>
      <c r="F97" s="1"/>
      <c r="G97" s="1"/>
      <c r="H97" s="1"/>
      <c r="I97" s="1"/>
      <c r="J97" s="1"/>
      <c r="K97" s="1"/>
    </row>
    <row r="98" spans="1:11" ht="15.75" customHeight="1">
      <c r="A98" s="1"/>
      <c r="B98" s="2"/>
      <c r="C98" s="1"/>
      <c r="D98" s="4"/>
      <c r="E98" s="2"/>
      <c r="F98" s="1"/>
      <c r="G98" s="1"/>
      <c r="H98" s="1"/>
      <c r="I98" s="1"/>
      <c r="J98" s="1"/>
      <c r="K98" s="1"/>
    </row>
    <row r="99" spans="1:11" ht="15.75" customHeight="1">
      <c r="A99" s="1"/>
      <c r="B99" s="2"/>
      <c r="C99" s="1"/>
      <c r="D99" s="4"/>
      <c r="E99" s="2"/>
      <c r="F99" s="1"/>
      <c r="G99" s="1"/>
      <c r="H99" s="1"/>
      <c r="I99" s="1"/>
      <c r="J99" s="1"/>
      <c r="K99" s="1"/>
    </row>
  </sheetData>
  <dataValidations count="1">
    <dataValidation type="list" allowBlank="1" showErrorMessage="1" sqref="I10" xr:uid="{00000000-0002-0000-0000-000000000000}">
      <formula1>Icms</formula1>
    </dataValidation>
  </dataValidations>
  <pageMargins left="0.7" right="0.7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"/>
  <sheetViews>
    <sheetView workbookViewId="0"/>
  </sheetViews>
  <sheetFormatPr defaultColWidth="14.44140625" defaultRowHeight="15" customHeight="1"/>
  <cols>
    <col min="1" max="1" width="14.33203125" customWidth="1"/>
    <col min="2" max="2" width="12.33203125" customWidth="1"/>
    <col min="3" max="11" width="8.5546875" customWidth="1"/>
    <col min="12" max="12" width="21.88671875" customWidth="1"/>
    <col min="13" max="13" width="8.5546875" customWidth="1"/>
  </cols>
  <sheetData>
    <row r="1" spans="1:11" ht="14.4">
      <c r="A1" s="64" t="s">
        <v>23</v>
      </c>
      <c r="B1" s="65"/>
      <c r="C1" s="65"/>
      <c r="D1" s="65"/>
      <c r="E1" s="65"/>
      <c r="F1" s="66"/>
      <c r="G1" s="65"/>
      <c r="H1" s="66"/>
      <c r="I1" s="65"/>
      <c r="J1" s="65"/>
      <c r="K1" s="66"/>
    </row>
    <row r="2" spans="1:11" ht="14.4">
      <c r="A2" s="64"/>
      <c r="B2" s="65"/>
      <c r="C2" s="67"/>
      <c r="D2" s="65"/>
      <c r="E2" s="65"/>
      <c r="F2" s="68"/>
      <c r="G2" s="65"/>
      <c r="H2" s="66"/>
      <c r="I2" s="65"/>
      <c r="J2" s="65"/>
      <c r="K2" s="68"/>
    </row>
    <row r="3" spans="1:11" ht="14.4">
      <c r="A3" s="117" t="s">
        <v>24</v>
      </c>
      <c r="B3" s="118"/>
      <c r="C3" s="69" t="s">
        <v>25</v>
      </c>
      <c r="D3" s="70" t="s">
        <v>26</v>
      </c>
      <c r="E3" s="70" t="s">
        <v>27</v>
      </c>
      <c r="F3" s="70" t="s">
        <v>28</v>
      </c>
      <c r="G3" s="70" t="s">
        <v>29</v>
      </c>
      <c r="H3" s="70" t="s">
        <v>30</v>
      </c>
      <c r="I3" s="70" t="s">
        <v>31</v>
      </c>
      <c r="J3" s="71"/>
      <c r="K3" s="72" t="s">
        <v>32</v>
      </c>
    </row>
    <row r="4" spans="1:11" ht="14.4">
      <c r="A4" s="73">
        <v>0</v>
      </c>
      <c r="B4" s="73">
        <f>120000</f>
        <v>120000</v>
      </c>
      <c r="C4" s="74">
        <v>0.04</v>
      </c>
      <c r="D4" s="75" t="s">
        <v>33</v>
      </c>
      <c r="E4" s="75" t="s">
        <v>33</v>
      </c>
      <c r="F4" s="75" t="s">
        <v>33</v>
      </c>
      <c r="G4" s="75" t="s">
        <v>33</v>
      </c>
      <c r="H4" s="75" t="s">
        <v>34</v>
      </c>
      <c r="I4" s="75" t="s">
        <v>35</v>
      </c>
      <c r="J4" s="76"/>
      <c r="K4" s="74" t="e">
        <f t="shared" ref="K4:K23" si="0">SUM(D4:J4)-I4</f>
        <v>#VALUE!</v>
      </c>
    </row>
    <row r="5" spans="1:11" ht="14.4">
      <c r="A5" s="73">
        <f t="shared" ref="A5:A22" si="1">B4+0.01</f>
        <v>120000.01</v>
      </c>
      <c r="B5" s="73">
        <f>240000</f>
        <v>240000</v>
      </c>
      <c r="C5" s="74">
        <v>5.4699999999999999E-2</v>
      </c>
      <c r="D5" s="75" t="s">
        <v>33</v>
      </c>
      <c r="E5" s="75" t="s">
        <v>33</v>
      </c>
      <c r="F5" s="75" t="s">
        <v>36</v>
      </c>
      <c r="G5" s="75" t="s">
        <v>33</v>
      </c>
      <c r="H5" s="75" t="s">
        <v>34</v>
      </c>
      <c r="I5" s="75" t="s">
        <v>37</v>
      </c>
      <c r="J5" s="76"/>
      <c r="K5" s="74" t="e">
        <f t="shared" si="0"/>
        <v>#VALUE!</v>
      </c>
    </row>
    <row r="6" spans="1:11" ht="14.4">
      <c r="A6" s="73">
        <f t="shared" si="1"/>
        <v>240000.01</v>
      </c>
      <c r="B6" s="73">
        <f>360000</f>
        <v>360000</v>
      </c>
      <c r="C6" s="74">
        <v>6.8400000000000002E-2</v>
      </c>
      <c r="D6" s="75" t="s">
        <v>38</v>
      </c>
      <c r="E6" s="75" t="s">
        <v>39</v>
      </c>
      <c r="F6" s="75" t="s">
        <v>40</v>
      </c>
      <c r="G6" s="75" t="s">
        <v>41</v>
      </c>
      <c r="H6" s="75" t="s">
        <v>34</v>
      </c>
      <c r="I6" s="75" t="s">
        <v>42</v>
      </c>
      <c r="J6" s="76"/>
      <c r="K6" s="74" t="e">
        <f t="shared" si="0"/>
        <v>#VALUE!</v>
      </c>
    </row>
    <row r="7" spans="1:11" ht="14.4">
      <c r="A7" s="73">
        <f t="shared" si="1"/>
        <v>360000.01</v>
      </c>
      <c r="B7" s="73">
        <f>480000</f>
        <v>480000</v>
      </c>
      <c r="C7" s="74">
        <v>7.5399999999999995E-2</v>
      </c>
      <c r="D7" s="75" t="s">
        <v>43</v>
      </c>
      <c r="E7" s="75" t="s">
        <v>43</v>
      </c>
      <c r="F7" s="75" t="s">
        <v>44</v>
      </c>
      <c r="G7" s="75" t="s">
        <v>45</v>
      </c>
      <c r="H7" s="75" t="s">
        <v>46</v>
      </c>
      <c r="I7" s="75" t="s">
        <v>47</v>
      </c>
      <c r="J7" s="76"/>
      <c r="K7" s="74" t="e">
        <f t="shared" si="0"/>
        <v>#VALUE!</v>
      </c>
    </row>
    <row r="8" spans="1:11" ht="14.4">
      <c r="A8" s="73">
        <f t="shared" si="1"/>
        <v>480000.01</v>
      </c>
      <c r="B8" s="73">
        <f>600000</f>
        <v>600000</v>
      </c>
      <c r="C8" s="74">
        <v>7.5999999999999998E-2</v>
      </c>
      <c r="D8" s="75" t="s">
        <v>43</v>
      </c>
      <c r="E8" s="75" t="s">
        <v>43</v>
      </c>
      <c r="F8" s="75" t="s">
        <v>48</v>
      </c>
      <c r="G8" s="75" t="s">
        <v>45</v>
      </c>
      <c r="H8" s="75" t="s">
        <v>49</v>
      </c>
      <c r="I8" s="75" t="s">
        <v>50</v>
      </c>
      <c r="J8" s="76"/>
      <c r="K8" s="74" t="e">
        <f t="shared" si="0"/>
        <v>#VALUE!</v>
      </c>
    </row>
    <row r="9" spans="1:11" ht="14.4">
      <c r="A9" s="73">
        <f t="shared" si="1"/>
        <v>600000.01</v>
      </c>
      <c r="B9" s="73">
        <f>720000</f>
        <v>720000</v>
      </c>
      <c r="C9" s="74">
        <v>8.2799999999999999E-2</v>
      </c>
      <c r="D9" s="75" t="s">
        <v>51</v>
      </c>
      <c r="E9" s="75" t="s">
        <v>51</v>
      </c>
      <c r="F9" s="75" t="s">
        <v>52</v>
      </c>
      <c r="G9" s="75" t="s">
        <v>38</v>
      </c>
      <c r="H9" s="75" t="s">
        <v>53</v>
      </c>
      <c r="I9" s="75" t="s">
        <v>54</v>
      </c>
      <c r="J9" s="76"/>
      <c r="K9" s="74" t="e">
        <f t="shared" si="0"/>
        <v>#VALUE!</v>
      </c>
    </row>
    <row r="10" spans="1:11" ht="14.4">
      <c r="A10" s="73">
        <f t="shared" si="1"/>
        <v>720000.01</v>
      </c>
      <c r="B10" s="73">
        <f>840000</f>
        <v>840000</v>
      </c>
      <c r="C10" s="74">
        <v>8.3599999999999994E-2</v>
      </c>
      <c r="D10" s="75" t="s">
        <v>55</v>
      </c>
      <c r="E10" s="75" t="s">
        <v>55</v>
      </c>
      <c r="F10" s="75" t="s">
        <v>56</v>
      </c>
      <c r="G10" s="75" t="s">
        <v>57</v>
      </c>
      <c r="H10" s="75" t="s">
        <v>58</v>
      </c>
      <c r="I10" s="75" t="s">
        <v>59</v>
      </c>
      <c r="J10" s="76"/>
      <c r="K10" s="74" t="e">
        <f t="shared" si="0"/>
        <v>#VALUE!</v>
      </c>
    </row>
    <row r="11" spans="1:11" ht="14.4">
      <c r="A11" s="73">
        <f t="shared" si="1"/>
        <v>840000.01</v>
      </c>
      <c r="B11" s="73">
        <f>960000</f>
        <v>960000</v>
      </c>
      <c r="C11" s="74">
        <v>8.4500000000000006E-2</v>
      </c>
      <c r="D11" s="75" t="s">
        <v>55</v>
      </c>
      <c r="E11" s="75" t="s">
        <v>55</v>
      </c>
      <c r="F11" s="75" t="s">
        <v>60</v>
      </c>
      <c r="G11" s="75" t="s">
        <v>57</v>
      </c>
      <c r="H11" s="75" t="s">
        <v>61</v>
      </c>
      <c r="I11" s="75" t="s">
        <v>62</v>
      </c>
      <c r="J11" s="76"/>
      <c r="K11" s="74" t="e">
        <f t="shared" si="0"/>
        <v>#VALUE!</v>
      </c>
    </row>
    <row r="12" spans="1:11" ht="14.4">
      <c r="A12" s="73">
        <f t="shared" si="1"/>
        <v>960000.01</v>
      </c>
      <c r="B12" s="73">
        <f>1080000</f>
        <v>1080000</v>
      </c>
      <c r="C12" s="74">
        <v>9.0300000000000005E-2</v>
      </c>
      <c r="D12" s="75" t="s">
        <v>63</v>
      </c>
      <c r="E12" s="75" t="s">
        <v>63</v>
      </c>
      <c r="F12" s="75" t="s">
        <v>35</v>
      </c>
      <c r="G12" s="75" t="s">
        <v>64</v>
      </c>
      <c r="H12" s="75" t="s">
        <v>65</v>
      </c>
      <c r="I12" s="75" t="s">
        <v>66</v>
      </c>
      <c r="J12" s="76"/>
      <c r="K12" s="74" t="e">
        <f t="shared" si="0"/>
        <v>#VALUE!</v>
      </c>
    </row>
    <row r="13" spans="1:11" ht="14.4">
      <c r="A13" s="73">
        <f t="shared" si="1"/>
        <v>1080000.01</v>
      </c>
      <c r="B13" s="73">
        <f>1200000</f>
        <v>1200000</v>
      </c>
      <c r="C13" s="74">
        <v>9.1200000000000003E-2</v>
      </c>
      <c r="D13" s="75" t="s">
        <v>67</v>
      </c>
      <c r="E13" s="75" t="s">
        <v>67</v>
      </c>
      <c r="F13" s="75" t="s">
        <v>68</v>
      </c>
      <c r="G13" s="75" t="s">
        <v>64</v>
      </c>
      <c r="H13" s="75" t="s">
        <v>69</v>
      </c>
      <c r="I13" s="75" t="s">
        <v>70</v>
      </c>
      <c r="J13" s="76"/>
      <c r="K13" s="74" t="e">
        <f t="shared" si="0"/>
        <v>#VALUE!</v>
      </c>
    </row>
    <row r="14" spans="1:11" ht="14.4">
      <c r="A14" s="73">
        <f t="shared" si="1"/>
        <v>1200000.01</v>
      </c>
      <c r="B14" s="73">
        <f>1320000</f>
        <v>1320000</v>
      </c>
      <c r="C14" s="74">
        <v>9.9500000000000005E-2</v>
      </c>
      <c r="D14" s="75" t="s">
        <v>71</v>
      </c>
      <c r="E14" s="75" t="s">
        <v>71</v>
      </c>
      <c r="F14" s="75" t="s">
        <v>72</v>
      </c>
      <c r="G14" s="75" t="s">
        <v>73</v>
      </c>
      <c r="H14" s="75" t="s">
        <v>74</v>
      </c>
      <c r="I14" s="75" t="s">
        <v>75</v>
      </c>
      <c r="J14" s="76"/>
      <c r="K14" s="74" t="e">
        <f t="shared" si="0"/>
        <v>#VALUE!</v>
      </c>
    </row>
    <row r="15" spans="1:11" ht="14.4">
      <c r="A15" s="73">
        <f t="shared" si="1"/>
        <v>1320000.01</v>
      </c>
      <c r="B15" s="73">
        <f>1440000/1</f>
        <v>1440000</v>
      </c>
      <c r="C15" s="74">
        <v>0.1004</v>
      </c>
      <c r="D15" s="75" t="s">
        <v>71</v>
      </c>
      <c r="E15" s="75" t="s">
        <v>71</v>
      </c>
      <c r="F15" s="75" t="s">
        <v>76</v>
      </c>
      <c r="G15" s="75" t="s">
        <v>73</v>
      </c>
      <c r="H15" s="75" t="s">
        <v>77</v>
      </c>
      <c r="I15" s="75" t="s">
        <v>78</v>
      </c>
      <c r="J15" s="76"/>
      <c r="K15" s="74" t="e">
        <f t="shared" si="0"/>
        <v>#VALUE!</v>
      </c>
    </row>
    <row r="16" spans="1:11" ht="14.4">
      <c r="A16" s="73">
        <f t="shared" si="1"/>
        <v>1440000.01</v>
      </c>
      <c r="B16" s="73">
        <f>1560000</f>
        <v>1560000</v>
      </c>
      <c r="C16" s="74">
        <v>0.1013</v>
      </c>
      <c r="D16" s="75" t="s">
        <v>79</v>
      </c>
      <c r="E16" s="75" t="s">
        <v>79</v>
      </c>
      <c r="F16" s="75" t="s">
        <v>80</v>
      </c>
      <c r="G16" s="75" t="s">
        <v>73</v>
      </c>
      <c r="H16" s="75" t="s">
        <v>81</v>
      </c>
      <c r="I16" s="75" t="s">
        <v>82</v>
      </c>
      <c r="J16" s="76"/>
      <c r="K16" s="74" t="e">
        <f t="shared" si="0"/>
        <v>#VALUE!</v>
      </c>
    </row>
    <row r="17" spans="1:11" ht="14.4">
      <c r="A17" s="73">
        <f t="shared" si="1"/>
        <v>1560000.01</v>
      </c>
      <c r="B17" s="73">
        <f>1680000</f>
        <v>1680000</v>
      </c>
      <c r="C17" s="74">
        <v>0.1023</v>
      </c>
      <c r="D17" s="75" t="s">
        <v>79</v>
      </c>
      <c r="E17" s="75" t="s">
        <v>79</v>
      </c>
      <c r="F17" s="75" t="s">
        <v>83</v>
      </c>
      <c r="G17" s="75" t="s">
        <v>84</v>
      </c>
      <c r="H17" s="75" t="s">
        <v>85</v>
      </c>
      <c r="I17" s="75" t="s">
        <v>86</v>
      </c>
      <c r="J17" s="76"/>
      <c r="K17" s="74" t="e">
        <f t="shared" si="0"/>
        <v>#VALUE!</v>
      </c>
    </row>
    <row r="18" spans="1:11" ht="14.4">
      <c r="A18" s="73">
        <f t="shared" si="1"/>
        <v>1680000.01</v>
      </c>
      <c r="B18" s="73">
        <f>1800000</f>
        <v>1800000</v>
      </c>
      <c r="C18" s="74">
        <v>0.1032</v>
      </c>
      <c r="D18" s="75" t="s">
        <v>87</v>
      </c>
      <c r="E18" s="75" t="s">
        <v>87</v>
      </c>
      <c r="F18" s="75" t="s">
        <v>88</v>
      </c>
      <c r="G18" s="75" t="s">
        <v>84</v>
      </c>
      <c r="H18" s="75" t="s">
        <v>89</v>
      </c>
      <c r="I18" s="75" t="s">
        <v>90</v>
      </c>
      <c r="J18" s="76"/>
      <c r="K18" s="74" t="e">
        <f t="shared" si="0"/>
        <v>#VALUE!</v>
      </c>
    </row>
    <row r="19" spans="1:11" ht="14.4">
      <c r="A19" s="73">
        <f t="shared" si="1"/>
        <v>1800000.01</v>
      </c>
      <c r="B19" s="73">
        <f>1920000</f>
        <v>1920000</v>
      </c>
      <c r="C19" s="74">
        <v>0.1123</v>
      </c>
      <c r="D19" s="75" t="s">
        <v>91</v>
      </c>
      <c r="E19" s="75" t="s">
        <v>91</v>
      </c>
      <c r="F19" s="75" t="s">
        <v>92</v>
      </c>
      <c r="G19" s="75" t="s">
        <v>93</v>
      </c>
      <c r="H19" s="75" t="s">
        <v>94</v>
      </c>
      <c r="I19" s="75" t="s">
        <v>95</v>
      </c>
      <c r="J19" s="76"/>
      <c r="K19" s="74" t="e">
        <f t="shared" si="0"/>
        <v>#VALUE!</v>
      </c>
    </row>
    <row r="20" spans="1:11" ht="14.4">
      <c r="A20" s="73">
        <f t="shared" si="1"/>
        <v>1920000.01</v>
      </c>
      <c r="B20" s="73">
        <f>2040000</f>
        <v>2040000</v>
      </c>
      <c r="C20" s="74">
        <v>0.1132</v>
      </c>
      <c r="D20" s="75" t="s">
        <v>91</v>
      </c>
      <c r="E20" s="75" t="s">
        <v>91</v>
      </c>
      <c r="F20" s="75" t="s">
        <v>96</v>
      </c>
      <c r="G20" s="75" t="s">
        <v>93</v>
      </c>
      <c r="H20" s="75" t="s">
        <v>97</v>
      </c>
      <c r="I20" s="75" t="s">
        <v>98</v>
      </c>
      <c r="J20" s="76"/>
      <c r="K20" s="74" t="e">
        <f t="shared" si="0"/>
        <v>#VALUE!</v>
      </c>
    </row>
    <row r="21" spans="1:11" ht="15.75" customHeight="1">
      <c r="A21" s="73">
        <f t="shared" si="1"/>
        <v>2040000.01</v>
      </c>
      <c r="B21" s="73">
        <f>2160000</f>
        <v>2160000</v>
      </c>
      <c r="C21" s="74">
        <v>0.1142</v>
      </c>
      <c r="D21" s="75" t="s">
        <v>99</v>
      </c>
      <c r="E21" s="75" t="s">
        <v>99</v>
      </c>
      <c r="F21" s="75" t="s">
        <v>100</v>
      </c>
      <c r="G21" s="75" t="s">
        <v>51</v>
      </c>
      <c r="H21" s="75" t="s">
        <v>101</v>
      </c>
      <c r="I21" s="75" t="s">
        <v>102</v>
      </c>
      <c r="J21" s="76"/>
      <c r="K21" s="74" t="e">
        <f t="shared" si="0"/>
        <v>#VALUE!</v>
      </c>
    </row>
    <row r="22" spans="1:11" ht="15.75" customHeight="1">
      <c r="A22" s="73">
        <f t="shared" si="1"/>
        <v>2160000.0099999998</v>
      </c>
      <c r="B22" s="73">
        <f>2280000</f>
        <v>2280000</v>
      </c>
      <c r="C22" s="74">
        <v>0.11509999999999999</v>
      </c>
      <c r="D22" s="75" t="s">
        <v>99</v>
      </c>
      <c r="E22" s="75" t="s">
        <v>99</v>
      </c>
      <c r="F22" s="75" t="s">
        <v>103</v>
      </c>
      <c r="G22" s="75" t="s">
        <v>51</v>
      </c>
      <c r="H22" s="75" t="s">
        <v>104</v>
      </c>
      <c r="I22" s="75" t="s">
        <v>105</v>
      </c>
      <c r="J22" s="76"/>
      <c r="K22" s="74" t="e">
        <f t="shared" si="0"/>
        <v>#VALUE!</v>
      </c>
    </row>
    <row r="23" spans="1:11" ht="15.75" customHeight="1">
      <c r="A23" s="73">
        <f>2280000.01</f>
        <v>2280000.0099999998</v>
      </c>
      <c r="B23" s="73">
        <v>2400000</v>
      </c>
      <c r="C23" s="74">
        <v>0.11609999999999999</v>
      </c>
      <c r="D23" s="75" t="s">
        <v>106</v>
      </c>
      <c r="E23" s="75" t="s">
        <v>106</v>
      </c>
      <c r="F23" s="75" t="s">
        <v>103</v>
      </c>
      <c r="G23" s="75" t="s">
        <v>51</v>
      </c>
      <c r="H23" s="75" t="s">
        <v>107</v>
      </c>
      <c r="I23" s="75" t="s">
        <v>108</v>
      </c>
      <c r="J23" s="76"/>
      <c r="K23" s="74" t="e">
        <f t="shared" si="0"/>
        <v>#VALUE!</v>
      </c>
    </row>
    <row r="24" spans="1:11" ht="15.75" customHeight="1">
      <c r="A24" s="77">
        <f>2400000*1.2</f>
        <v>2880000</v>
      </c>
      <c r="B24" s="77"/>
      <c r="C24" s="74">
        <v>0.11609999999999999</v>
      </c>
      <c r="D24" s="78"/>
      <c r="E24" s="79"/>
      <c r="F24" s="79"/>
      <c r="G24" s="79"/>
      <c r="H24" s="79"/>
      <c r="I24" s="79"/>
      <c r="K24" s="74" t="e">
        <f>SUM(D23:J23)-I23</f>
        <v>#VALUE!</v>
      </c>
    </row>
    <row r="25" spans="1:11" ht="15.75" customHeight="1">
      <c r="J25" s="79" t="s">
        <v>109</v>
      </c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spans="12:13" ht="15.75" customHeight="1">
      <c r="L33" t="s">
        <v>10</v>
      </c>
      <c r="M33" s="80">
        <f>VLOOKUP(Comércio!J8,A4:C24,3)</f>
        <v>0.11609999999999999</v>
      </c>
    </row>
    <row r="34" spans="12:13" ht="15.75" customHeight="1">
      <c r="L34" t="s">
        <v>110</v>
      </c>
      <c r="M34" s="80" t="e">
        <f>VLOOKUP(Comércio!J8,A4:K24,11)</f>
        <v>#VALUE!</v>
      </c>
    </row>
    <row r="35" spans="12:13" ht="15.75" customHeight="1">
      <c r="L35" t="s">
        <v>111</v>
      </c>
      <c r="M35" s="80" t="e">
        <f>VLOOKUP(Comércio!J8,A4:K24,11)</f>
        <v>#VALUE!</v>
      </c>
    </row>
    <row r="36" spans="12:13" ht="15.75" customHeight="1"/>
    <row r="37" spans="12:13" ht="15.75" customHeight="1"/>
    <row r="38" spans="12:13" ht="15.75" customHeight="1"/>
    <row r="39" spans="12:13" ht="15.75" customHeight="1"/>
    <row r="40" spans="12:13" ht="15.75" customHeight="1"/>
    <row r="41" spans="12:13" ht="15.75" customHeight="1"/>
    <row r="42" spans="12:13" ht="15.75" customHeight="1"/>
    <row r="43" spans="12:13" ht="15.75" customHeight="1"/>
    <row r="44" spans="12:13" ht="15.75" customHeight="1"/>
    <row r="45" spans="12:13" ht="15.75" customHeight="1"/>
    <row r="46" spans="12:13" ht="15.75" customHeight="1"/>
    <row r="47" spans="12:13" ht="15.75" customHeight="1"/>
    <row r="48" spans="12:1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3:B3"/>
  </mergeCells>
  <hyperlinks>
    <hyperlink ref="D3" r:id="rId1" xr:uid="{00000000-0004-0000-0100-000000000000}"/>
    <hyperlink ref="E3" r:id="rId2" xr:uid="{00000000-0004-0000-0100-000001000000}"/>
    <hyperlink ref="F3" r:id="rId3" xr:uid="{00000000-0004-0000-0100-000002000000}"/>
    <hyperlink ref="G3" r:id="rId4" xr:uid="{00000000-0004-0000-0100-000003000000}"/>
    <hyperlink ref="H3" r:id="rId5" xr:uid="{00000000-0004-0000-0100-000004000000}"/>
    <hyperlink ref="I3" r:id="rId6" xr:uid="{00000000-0004-0000-0100-000005000000}"/>
    <hyperlink ref="D4" r:id="rId7" xr:uid="{00000000-0004-0000-0100-000006000000}"/>
    <hyperlink ref="E4" r:id="rId8" xr:uid="{00000000-0004-0000-0100-000007000000}"/>
    <hyperlink ref="F4" r:id="rId9" xr:uid="{00000000-0004-0000-0100-000008000000}"/>
    <hyperlink ref="G4" r:id="rId10" xr:uid="{00000000-0004-0000-0100-000009000000}"/>
    <hyperlink ref="H4" r:id="rId11" xr:uid="{00000000-0004-0000-0100-00000A000000}"/>
    <hyperlink ref="I4" r:id="rId12" xr:uid="{00000000-0004-0000-0100-00000B000000}"/>
    <hyperlink ref="D5" r:id="rId13" xr:uid="{00000000-0004-0000-0100-00000C000000}"/>
    <hyperlink ref="E5" r:id="rId14" xr:uid="{00000000-0004-0000-0100-00000D000000}"/>
    <hyperlink ref="F5" r:id="rId15" xr:uid="{00000000-0004-0000-0100-00000E000000}"/>
    <hyperlink ref="G5" r:id="rId16" xr:uid="{00000000-0004-0000-0100-00000F000000}"/>
    <hyperlink ref="H5" r:id="rId17" xr:uid="{00000000-0004-0000-0100-000010000000}"/>
    <hyperlink ref="I5" r:id="rId18" xr:uid="{00000000-0004-0000-0100-000011000000}"/>
    <hyperlink ref="D6" r:id="rId19" xr:uid="{00000000-0004-0000-0100-000012000000}"/>
    <hyperlink ref="E6" r:id="rId20" xr:uid="{00000000-0004-0000-0100-000013000000}"/>
    <hyperlink ref="F6" r:id="rId21" xr:uid="{00000000-0004-0000-0100-000014000000}"/>
    <hyperlink ref="G6" r:id="rId22" xr:uid="{00000000-0004-0000-0100-000015000000}"/>
    <hyperlink ref="H6" r:id="rId23" xr:uid="{00000000-0004-0000-0100-000016000000}"/>
    <hyperlink ref="I6" r:id="rId24" xr:uid="{00000000-0004-0000-0100-000017000000}"/>
    <hyperlink ref="D7" r:id="rId25" xr:uid="{00000000-0004-0000-0100-000018000000}"/>
    <hyperlink ref="E7" r:id="rId26" xr:uid="{00000000-0004-0000-0100-000019000000}"/>
    <hyperlink ref="F7" r:id="rId27" xr:uid="{00000000-0004-0000-0100-00001A000000}"/>
    <hyperlink ref="G7" r:id="rId28" xr:uid="{00000000-0004-0000-0100-00001B000000}"/>
    <hyperlink ref="H7" r:id="rId29" xr:uid="{00000000-0004-0000-0100-00001C000000}"/>
    <hyperlink ref="I7" r:id="rId30" xr:uid="{00000000-0004-0000-0100-00001D000000}"/>
    <hyperlink ref="D8" r:id="rId31" xr:uid="{00000000-0004-0000-0100-00001E000000}"/>
    <hyperlink ref="E8" r:id="rId32" xr:uid="{00000000-0004-0000-0100-00001F000000}"/>
    <hyperlink ref="F8" r:id="rId33" xr:uid="{00000000-0004-0000-0100-000020000000}"/>
    <hyperlink ref="G8" r:id="rId34" xr:uid="{00000000-0004-0000-0100-000021000000}"/>
    <hyperlink ref="H8" r:id="rId35" xr:uid="{00000000-0004-0000-0100-000022000000}"/>
    <hyperlink ref="I8" r:id="rId36" xr:uid="{00000000-0004-0000-0100-000023000000}"/>
    <hyperlink ref="D9" r:id="rId37" xr:uid="{00000000-0004-0000-0100-000024000000}"/>
    <hyperlink ref="E9" r:id="rId38" xr:uid="{00000000-0004-0000-0100-000025000000}"/>
    <hyperlink ref="F9" r:id="rId39" xr:uid="{00000000-0004-0000-0100-000026000000}"/>
    <hyperlink ref="G9" r:id="rId40" xr:uid="{00000000-0004-0000-0100-000027000000}"/>
    <hyperlink ref="H9" r:id="rId41" xr:uid="{00000000-0004-0000-0100-000028000000}"/>
    <hyperlink ref="I9" r:id="rId42" xr:uid="{00000000-0004-0000-0100-000029000000}"/>
    <hyperlink ref="D10" r:id="rId43" xr:uid="{00000000-0004-0000-0100-00002A000000}"/>
    <hyperlink ref="E10" r:id="rId44" xr:uid="{00000000-0004-0000-0100-00002B000000}"/>
    <hyperlink ref="F10" r:id="rId45" xr:uid="{00000000-0004-0000-0100-00002C000000}"/>
    <hyperlink ref="G10" r:id="rId46" xr:uid="{00000000-0004-0000-0100-00002D000000}"/>
    <hyperlink ref="H10" r:id="rId47" xr:uid="{00000000-0004-0000-0100-00002E000000}"/>
    <hyperlink ref="I10" r:id="rId48" xr:uid="{00000000-0004-0000-0100-00002F000000}"/>
    <hyperlink ref="D11" r:id="rId49" xr:uid="{00000000-0004-0000-0100-000030000000}"/>
    <hyperlink ref="E11" r:id="rId50" xr:uid="{00000000-0004-0000-0100-000031000000}"/>
    <hyperlink ref="F11" r:id="rId51" xr:uid="{00000000-0004-0000-0100-000032000000}"/>
    <hyperlink ref="G11" r:id="rId52" xr:uid="{00000000-0004-0000-0100-000033000000}"/>
    <hyperlink ref="H11" r:id="rId53" xr:uid="{00000000-0004-0000-0100-000034000000}"/>
    <hyperlink ref="I11" r:id="rId54" xr:uid="{00000000-0004-0000-0100-000035000000}"/>
    <hyperlink ref="D12" r:id="rId55" xr:uid="{00000000-0004-0000-0100-000036000000}"/>
    <hyperlink ref="E12" r:id="rId56" xr:uid="{00000000-0004-0000-0100-000037000000}"/>
    <hyperlink ref="F12" r:id="rId57" xr:uid="{00000000-0004-0000-0100-000038000000}"/>
    <hyperlink ref="G12" r:id="rId58" xr:uid="{00000000-0004-0000-0100-000039000000}"/>
    <hyperlink ref="H12" r:id="rId59" xr:uid="{00000000-0004-0000-0100-00003A000000}"/>
    <hyperlink ref="I12" r:id="rId60" xr:uid="{00000000-0004-0000-0100-00003B000000}"/>
    <hyperlink ref="D13" r:id="rId61" xr:uid="{00000000-0004-0000-0100-00003C000000}"/>
    <hyperlink ref="E13" r:id="rId62" xr:uid="{00000000-0004-0000-0100-00003D000000}"/>
    <hyperlink ref="F13" r:id="rId63" xr:uid="{00000000-0004-0000-0100-00003E000000}"/>
    <hyperlink ref="G13" r:id="rId64" xr:uid="{00000000-0004-0000-0100-00003F000000}"/>
    <hyperlink ref="H13" r:id="rId65" xr:uid="{00000000-0004-0000-0100-000040000000}"/>
    <hyperlink ref="I13" r:id="rId66" xr:uid="{00000000-0004-0000-0100-000041000000}"/>
    <hyperlink ref="D14" r:id="rId67" xr:uid="{00000000-0004-0000-0100-000042000000}"/>
    <hyperlink ref="E14" r:id="rId68" xr:uid="{00000000-0004-0000-0100-000043000000}"/>
    <hyperlink ref="F14" r:id="rId69" xr:uid="{00000000-0004-0000-0100-000044000000}"/>
    <hyperlink ref="G14" r:id="rId70" xr:uid="{00000000-0004-0000-0100-000045000000}"/>
    <hyperlink ref="H14" r:id="rId71" xr:uid="{00000000-0004-0000-0100-000046000000}"/>
    <hyperlink ref="I14" r:id="rId72" xr:uid="{00000000-0004-0000-0100-000047000000}"/>
    <hyperlink ref="D15" r:id="rId73" xr:uid="{00000000-0004-0000-0100-000048000000}"/>
    <hyperlink ref="E15" r:id="rId74" xr:uid="{00000000-0004-0000-0100-000049000000}"/>
    <hyperlink ref="F15" r:id="rId75" xr:uid="{00000000-0004-0000-0100-00004A000000}"/>
    <hyperlink ref="G15" r:id="rId76" xr:uid="{00000000-0004-0000-0100-00004B000000}"/>
    <hyperlink ref="H15" r:id="rId77" xr:uid="{00000000-0004-0000-0100-00004C000000}"/>
    <hyperlink ref="I15" r:id="rId78" xr:uid="{00000000-0004-0000-0100-00004D000000}"/>
    <hyperlink ref="D16" r:id="rId79" xr:uid="{00000000-0004-0000-0100-00004E000000}"/>
    <hyperlink ref="E16" r:id="rId80" xr:uid="{00000000-0004-0000-0100-00004F000000}"/>
    <hyperlink ref="F16" r:id="rId81" xr:uid="{00000000-0004-0000-0100-000050000000}"/>
    <hyperlink ref="G16" r:id="rId82" xr:uid="{00000000-0004-0000-0100-000051000000}"/>
    <hyperlink ref="H16" r:id="rId83" xr:uid="{00000000-0004-0000-0100-000052000000}"/>
    <hyperlink ref="I16" r:id="rId84" xr:uid="{00000000-0004-0000-0100-000053000000}"/>
    <hyperlink ref="D17" r:id="rId85" xr:uid="{00000000-0004-0000-0100-000054000000}"/>
    <hyperlink ref="E17" r:id="rId86" xr:uid="{00000000-0004-0000-0100-000055000000}"/>
    <hyperlink ref="F17" r:id="rId87" xr:uid="{00000000-0004-0000-0100-000056000000}"/>
    <hyperlink ref="G17" r:id="rId88" xr:uid="{00000000-0004-0000-0100-000057000000}"/>
    <hyperlink ref="H17" r:id="rId89" xr:uid="{00000000-0004-0000-0100-000058000000}"/>
    <hyperlink ref="I17" r:id="rId90" xr:uid="{00000000-0004-0000-0100-000059000000}"/>
    <hyperlink ref="D18" r:id="rId91" xr:uid="{00000000-0004-0000-0100-00005A000000}"/>
    <hyperlink ref="E18" r:id="rId92" xr:uid="{00000000-0004-0000-0100-00005B000000}"/>
    <hyperlink ref="F18" r:id="rId93" xr:uid="{00000000-0004-0000-0100-00005C000000}"/>
    <hyperlink ref="G18" r:id="rId94" xr:uid="{00000000-0004-0000-0100-00005D000000}"/>
    <hyperlink ref="H18" r:id="rId95" xr:uid="{00000000-0004-0000-0100-00005E000000}"/>
    <hyperlink ref="I18" r:id="rId96" xr:uid="{00000000-0004-0000-0100-00005F000000}"/>
    <hyperlink ref="D19" r:id="rId97" xr:uid="{00000000-0004-0000-0100-000060000000}"/>
    <hyperlink ref="E19" r:id="rId98" xr:uid="{00000000-0004-0000-0100-000061000000}"/>
    <hyperlink ref="F19" r:id="rId99" xr:uid="{00000000-0004-0000-0100-000062000000}"/>
    <hyperlink ref="G19" r:id="rId100" xr:uid="{00000000-0004-0000-0100-000063000000}"/>
    <hyperlink ref="H19" r:id="rId101" xr:uid="{00000000-0004-0000-0100-000064000000}"/>
    <hyperlink ref="I19" r:id="rId102" xr:uid="{00000000-0004-0000-0100-000065000000}"/>
    <hyperlink ref="D20" r:id="rId103" xr:uid="{00000000-0004-0000-0100-000066000000}"/>
    <hyperlink ref="E20" r:id="rId104" xr:uid="{00000000-0004-0000-0100-000067000000}"/>
    <hyperlink ref="F20" r:id="rId105" xr:uid="{00000000-0004-0000-0100-000068000000}"/>
    <hyperlink ref="G20" r:id="rId106" xr:uid="{00000000-0004-0000-0100-000069000000}"/>
    <hyperlink ref="H20" r:id="rId107" xr:uid="{00000000-0004-0000-0100-00006A000000}"/>
    <hyperlink ref="I20" r:id="rId108" xr:uid="{00000000-0004-0000-0100-00006B000000}"/>
    <hyperlink ref="D21" r:id="rId109" xr:uid="{00000000-0004-0000-0100-00006C000000}"/>
    <hyperlink ref="E21" r:id="rId110" xr:uid="{00000000-0004-0000-0100-00006D000000}"/>
    <hyperlink ref="F21" r:id="rId111" xr:uid="{00000000-0004-0000-0100-00006E000000}"/>
    <hyperlink ref="G21" r:id="rId112" xr:uid="{00000000-0004-0000-0100-00006F000000}"/>
    <hyperlink ref="H21" r:id="rId113" xr:uid="{00000000-0004-0000-0100-000070000000}"/>
    <hyperlink ref="I21" r:id="rId114" xr:uid="{00000000-0004-0000-0100-000071000000}"/>
    <hyperlink ref="D22" r:id="rId115" xr:uid="{00000000-0004-0000-0100-000072000000}"/>
    <hyperlink ref="E22" r:id="rId116" xr:uid="{00000000-0004-0000-0100-000073000000}"/>
    <hyperlink ref="F22" r:id="rId117" xr:uid="{00000000-0004-0000-0100-000074000000}"/>
    <hyperlink ref="G22" r:id="rId118" xr:uid="{00000000-0004-0000-0100-000075000000}"/>
    <hyperlink ref="H22" r:id="rId119" xr:uid="{00000000-0004-0000-0100-000076000000}"/>
    <hyperlink ref="I22" r:id="rId120" xr:uid="{00000000-0004-0000-0100-000077000000}"/>
    <hyperlink ref="D23" r:id="rId121" xr:uid="{00000000-0004-0000-0100-000078000000}"/>
    <hyperlink ref="E23" r:id="rId122" xr:uid="{00000000-0004-0000-0100-000079000000}"/>
    <hyperlink ref="F23" r:id="rId123" xr:uid="{00000000-0004-0000-0100-00007A000000}"/>
    <hyperlink ref="G23" r:id="rId124" xr:uid="{00000000-0004-0000-0100-00007B000000}"/>
    <hyperlink ref="H23" r:id="rId125" xr:uid="{00000000-0004-0000-0100-00007C000000}"/>
    <hyperlink ref="I23" r:id="rId126" xr:uid="{00000000-0004-0000-0100-00007D000000}"/>
  </hyperlink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4140625" defaultRowHeight="15" customHeight="1"/>
  <cols>
    <col min="1" max="1" width="2.6640625" customWidth="1"/>
    <col min="2" max="2" width="3.109375" customWidth="1"/>
    <col min="3" max="3" width="42.33203125" customWidth="1"/>
    <col min="4" max="4" width="14.6640625" customWidth="1"/>
    <col min="5" max="5" width="2.109375" customWidth="1"/>
    <col min="6" max="6" width="46.109375" customWidth="1"/>
    <col min="7" max="7" width="14.6640625" customWidth="1"/>
    <col min="8" max="8" width="2" customWidth="1"/>
    <col min="9" max="9" width="41.6640625" customWidth="1"/>
    <col min="10" max="10" width="17.44140625" customWidth="1"/>
    <col min="11" max="11" width="9.109375" customWidth="1"/>
  </cols>
  <sheetData>
    <row r="1" spans="1:11" ht="14.4">
      <c r="A1" s="1"/>
      <c r="B1" s="2"/>
      <c r="C1" s="1"/>
      <c r="D1" s="4"/>
      <c r="E1" s="2"/>
      <c r="F1" s="1"/>
      <c r="G1" s="1"/>
      <c r="H1" s="1"/>
      <c r="I1" s="1"/>
      <c r="J1" s="1"/>
      <c r="K1" s="1"/>
    </row>
    <row r="2" spans="1:11" ht="26.25" customHeight="1">
      <c r="A2" s="1"/>
      <c r="B2" s="2"/>
      <c r="C2" s="81" t="s">
        <v>112</v>
      </c>
      <c r="D2" s="1"/>
      <c r="E2" s="2"/>
      <c r="F2" s="1"/>
      <c r="G2" s="1"/>
      <c r="H2" s="1"/>
      <c r="I2" s="1"/>
      <c r="J2" s="1"/>
      <c r="K2" s="1"/>
    </row>
    <row r="3" spans="1:11" ht="14.4">
      <c r="A3" s="1"/>
      <c r="B3" s="2"/>
      <c r="C3" s="1"/>
      <c r="D3" s="4"/>
      <c r="E3" s="2"/>
      <c r="F3" s="1"/>
      <c r="G3" s="1"/>
      <c r="H3" s="1"/>
      <c r="I3" s="1"/>
      <c r="J3" s="1"/>
      <c r="K3" s="1"/>
    </row>
    <row r="4" spans="1:11" ht="14.4">
      <c r="A4" s="1"/>
      <c r="B4" s="2"/>
      <c r="C4" s="1"/>
      <c r="D4" s="4"/>
      <c r="E4" s="2"/>
      <c r="F4" s="1"/>
      <c r="G4" s="1"/>
      <c r="H4" s="1"/>
      <c r="I4" s="1"/>
      <c r="J4" s="1"/>
      <c r="K4" s="1"/>
    </row>
    <row r="5" spans="1:11" ht="21">
      <c r="A5" s="1"/>
      <c r="B5" s="82" t="s">
        <v>113</v>
      </c>
      <c r="C5" s="1"/>
      <c r="D5" s="4"/>
      <c r="E5" s="2"/>
      <c r="F5" s="1"/>
      <c r="G5" s="1" t="s">
        <v>114</v>
      </c>
      <c r="H5" s="1"/>
      <c r="I5" s="1"/>
      <c r="J5" s="6" t="s">
        <v>3</v>
      </c>
      <c r="K5" s="1"/>
    </row>
    <row r="6" spans="1:11" ht="14.4">
      <c r="A6" s="1"/>
      <c r="B6" s="2"/>
      <c r="C6" s="1"/>
      <c r="D6" s="4"/>
      <c r="E6" s="2"/>
      <c r="F6" s="1"/>
      <c r="G6" s="1"/>
      <c r="H6" s="1"/>
      <c r="I6" s="1"/>
      <c r="J6" s="1"/>
      <c r="K6" s="1"/>
    </row>
    <row r="7" spans="1:11" ht="14.4">
      <c r="A7" s="1"/>
      <c r="B7" s="7"/>
      <c r="C7" s="8" t="s">
        <v>4</v>
      </c>
      <c r="D7" s="9"/>
      <c r="E7" s="2"/>
      <c r="F7" s="10" t="s">
        <v>5</v>
      </c>
      <c r="G7" s="11"/>
      <c r="H7" s="1"/>
      <c r="I7" s="10" t="s">
        <v>6</v>
      </c>
      <c r="J7" s="11"/>
      <c r="K7" s="1"/>
    </row>
    <row r="8" spans="1:11" ht="14.4">
      <c r="A8" s="1"/>
      <c r="B8" s="12"/>
      <c r="C8" s="1"/>
      <c r="D8" s="13"/>
      <c r="E8" s="2"/>
      <c r="F8" s="14"/>
      <c r="G8" s="15"/>
      <c r="H8" s="1"/>
      <c r="I8" s="14"/>
      <c r="J8" s="15"/>
      <c r="K8" s="1"/>
    </row>
    <row r="9" spans="1:11" ht="14.4">
      <c r="A9" s="1"/>
      <c r="B9" s="12"/>
      <c r="C9" s="1" t="s">
        <v>115</v>
      </c>
      <c r="D9" s="16">
        <v>300000</v>
      </c>
      <c r="E9" s="2"/>
      <c r="F9" s="14" t="s">
        <v>115</v>
      </c>
      <c r="G9" s="13">
        <f>D9</f>
        <v>300000</v>
      </c>
      <c r="H9" s="1"/>
      <c r="I9" s="14" t="s">
        <v>8</v>
      </c>
      <c r="J9" s="13">
        <f>G9</f>
        <v>300000</v>
      </c>
      <c r="K9" s="1"/>
    </row>
    <row r="10" spans="1:11" ht="14.4">
      <c r="A10" s="1"/>
      <c r="B10" s="12"/>
      <c r="C10" s="83">
        <v>0.05</v>
      </c>
      <c r="D10" s="13">
        <f>(D9*C10)</f>
        <v>15000</v>
      </c>
      <c r="E10" s="2"/>
      <c r="F10" s="84">
        <f t="shared" ref="F10:G10" si="0">C10</f>
        <v>0.05</v>
      </c>
      <c r="G10" s="13">
        <f t="shared" si="0"/>
        <v>15000</v>
      </c>
      <c r="H10" s="1"/>
      <c r="I10" s="14" t="s">
        <v>116</v>
      </c>
      <c r="J10" s="13">
        <f>G9*12</f>
        <v>3600000</v>
      </c>
      <c r="K10" s="1"/>
    </row>
    <row r="11" spans="1:11" ht="14.4">
      <c r="A11" s="1"/>
      <c r="B11" s="12"/>
      <c r="C11" s="21">
        <v>6.4999999999999997E-3</v>
      </c>
      <c r="D11" s="13">
        <f>D9*C11</f>
        <v>1950</v>
      </c>
      <c r="E11" s="2"/>
      <c r="F11" s="22">
        <v>6.4999999999999997E-3</v>
      </c>
      <c r="G11" s="13">
        <f>G9*F11</f>
        <v>1950</v>
      </c>
      <c r="H11" s="1"/>
      <c r="I11" s="14"/>
      <c r="J11" s="13"/>
      <c r="K11" s="1"/>
    </row>
    <row r="12" spans="1:11" ht="14.4">
      <c r="A12" s="1"/>
      <c r="B12" s="12"/>
      <c r="C12" s="24">
        <v>0.03</v>
      </c>
      <c r="D12" s="13">
        <f>D9*C12</f>
        <v>9000</v>
      </c>
      <c r="E12" s="2"/>
      <c r="F12" s="25">
        <v>0.03</v>
      </c>
      <c r="G12" s="13">
        <f>G9*F12</f>
        <v>9000</v>
      </c>
      <c r="H12" s="1"/>
      <c r="I12" s="14"/>
      <c r="J12" s="15"/>
      <c r="K12" s="1"/>
    </row>
    <row r="13" spans="1:11" ht="14.4">
      <c r="A13" s="1"/>
      <c r="B13" s="12" t="s">
        <v>11</v>
      </c>
      <c r="C13" s="1" t="s">
        <v>12</v>
      </c>
      <c r="D13" s="13">
        <f>D9-D10-D11-D12</f>
        <v>274050</v>
      </c>
      <c r="E13" s="2"/>
      <c r="F13" s="14" t="s">
        <v>12</v>
      </c>
      <c r="G13" s="13">
        <f>G9-G10-G11-G12</f>
        <v>274050</v>
      </c>
      <c r="H13" s="1"/>
      <c r="I13" s="14"/>
      <c r="J13" s="15"/>
      <c r="K13" s="1"/>
    </row>
    <row r="14" spans="1:11" ht="14.4">
      <c r="A14" s="1"/>
      <c r="B14" s="12" t="s">
        <v>13</v>
      </c>
      <c r="C14" s="85">
        <v>0.57999999999999996</v>
      </c>
      <c r="D14" s="13">
        <f>D9*C14</f>
        <v>174000</v>
      </c>
      <c r="E14" s="2"/>
      <c r="F14" s="86">
        <f>C14</f>
        <v>0.57999999999999996</v>
      </c>
      <c r="G14" s="13">
        <f>G9*F14</f>
        <v>174000</v>
      </c>
      <c r="H14" s="1"/>
      <c r="I14" s="86">
        <f>C14</f>
        <v>0.57999999999999996</v>
      </c>
      <c r="J14" s="13">
        <f>J9*I14</f>
        <v>174000</v>
      </c>
      <c r="K14" s="1"/>
    </row>
    <row r="15" spans="1:11" ht="14.4">
      <c r="A15" s="1"/>
      <c r="B15" s="12" t="s">
        <v>11</v>
      </c>
      <c r="C15" s="1" t="s">
        <v>14</v>
      </c>
      <c r="D15" s="13">
        <f>D13-D14</f>
        <v>100050</v>
      </c>
      <c r="E15" s="2"/>
      <c r="F15" s="14" t="s">
        <v>117</v>
      </c>
      <c r="G15" s="13">
        <f>G13-G14</f>
        <v>100050</v>
      </c>
      <c r="H15" s="1"/>
      <c r="I15" s="14"/>
      <c r="J15" s="15"/>
      <c r="K15" s="1"/>
    </row>
    <row r="16" spans="1:11" ht="14.4">
      <c r="A16" s="1"/>
      <c r="B16" s="12" t="s">
        <v>13</v>
      </c>
      <c r="C16" s="87">
        <v>0.03</v>
      </c>
      <c r="D16" s="13">
        <f>D9*C16</f>
        <v>9000</v>
      </c>
      <c r="E16" s="2"/>
      <c r="F16" s="88">
        <f t="shared" ref="F16:F18" si="1">C16</f>
        <v>0.03</v>
      </c>
      <c r="G16" s="13">
        <f>G9*F16</f>
        <v>9000</v>
      </c>
      <c r="H16" s="1"/>
      <c r="I16" s="89">
        <f>C16</f>
        <v>0.03</v>
      </c>
      <c r="J16" s="13">
        <f>J9*I16</f>
        <v>9000</v>
      </c>
      <c r="K16" s="1"/>
    </row>
    <row r="17" spans="1:11" ht="14.4">
      <c r="A17" s="1"/>
      <c r="B17" s="12" t="s">
        <v>13</v>
      </c>
      <c r="C17" s="90">
        <v>0.2</v>
      </c>
      <c r="D17" s="13">
        <f>D16*C17</f>
        <v>1800</v>
      </c>
      <c r="E17" s="2"/>
      <c r="F17" s="91">
        <f t="shared" si="1"/>
        <v>0.2</v>
      </c>
      <c r="G17" s="13">
        <f t="shared" ref="G17:G19" si="2">D17</f>
        <v>1800</v>
      </c>
      <c r="H17" s="1"/>
      <c r="I17" s="32"/>
      <c r="J17" s="13"/>
      <c r="K17" s="1"/>
    </row>
    <row r="18" spans="1:11" ht="14.4">
      <c r="A18" s="1"/>
      <c r="B18" s="12" t="s">
        <v>13</v>
      </c>
      <c r="C18" s="92">
        <v>0</v>
      </c>
      <c r="D18" s="13">
        <f>D9*C18</f>
        <v>0</v>
      </c>
      <c r="E18" s="2"/>
      <c r="F18" s="93">
        <f t="shared" si="1"/>
        <v>0</v>
      </c>
      <c r="G18" s="13">
        <f t="shared" si="2"/>
        <v>0</v>
      </c>
      <c r="H18" s="1"/>
      <c r="I18" s="93">
        <f>C18</f>
        <v>0</v>
      </c>
      <c r="J18" s="13">
        <f>J9*I18</f>
        <v>0</v>
      </c>
      <c r="K18" s="1"/>
    </row>
    <row r="19" spans="1:11" ht="14.4">
      <c r="A19" s="1"/>
      <c r="B19" s="12" t="s">
        <v>11</v>
      </c>
      <c r="C19" s="35" t="s">
        <v>15</v>
      </c>
      <c r="D19" s="36">
        <f>D15-D16-D17-D18</f>
        <v>89250</v>
      </c>
      <c r="E19" s="2"/>
      <c r="F19" s="14" t="s">
        <v>15</v>
      </c>
      <c r="G19" s="36">
        <f t="shared" si="2"/>
        <v>89250</v>
      </c>
      <c r="H19" s="1"/>
      <c r="I19" s="14"/>
      <c r="J19" s="15"/>
      <c r="K19" s="1"/>
    </row>
    <row r="20" spans="1:11" ht="14.4">
      <c r="A20" s="1"/>
      <c r="B20" s="12"/>
      <c r="C20" s="37">
        <v>0.09</v>
      </c>
      <c r="D20" s="13">
        <f>D19*C20</f>
        <v>8032.5</v>
      </c>
      <c r="E20" s="2"/>
      <c r="F20" s="38" t="s">
        <v>16</v>
      </c>
      <c r="G20" s="15"/>
      <c r="H20" s="1"/>
      <c r="I20" s="14"/>
      <c r="J20" s="15"/>
      <c r="K20" s="1"/>
    </row>
    <row r="21" spans="1:11" ht="14.4">
      <c r="A21" s="1"/>
      <c r="B21" s="12"/>
      <c r="C21" s="39" t="s">
        <v>17</v>
      </c>
      <c r="D21" s="13"/>
      <c r="E21" s="2"/>
      <c r="F21" s="94">
        <v>0.12</v>
      </c>
      <c r="G21" s="13">
        <f>G9*F21</f>
        <v>36000</v>
      </c>
      <c r="H21" s="1"/>
      <c r="I21" s="14"/>
      <c r="J21" s="15"/>
      <c r="K21" s="1"/>
    </row>
    <row r="22" spans="1:11" ht="14.4">
      <c r="A22" s="1"/>
      <c r="B22" s="12"/>
      <c r="C22" s="41">
        <v>0.15</v>
      </c>
      <c r="D22" s="13">
        <f>D19*C22</f>
        <v>13387.5</v>
      </c>
      <c r="E22" s="2"/>
      <c r="F22" s="42">
        <v>0.09</v>
      </c>
      <c r="G22" s="13">
        <f>G21*F22</f>
        <v>3240</v>
      </c>
      <c r="H22" s="1"/>
      <c r="I22" s="14"/>
      <c r="J22" s="15"/>
      <c r="K22" s="1"/>
    </row>
    <row r="23" spans="1:11" ht="14.4">
      <c r="A23" s="1"/>
      <c r="B23" s="12"/>
      <c r="C23" s="1"/>
      <c r="D23" s="13"/>
      <c r="E23" s="2"/>
      <c r="F23" s="38" t="s">
        <v>18</v>
      </c>
      <c r="G23" s="15"/>
      <c r="H23" s="1"/>
      <c r="I23" s="43" t="s">
        <v>118</v>
      </c>
      <c r="J23" s="15"/>
      <c r="K23" s="1"/>
    </row>
    <row r="24" spans="1:11" ht="14.4">
      <c r="A24" s="1"/>
      <c r="B24" s="12"/>
      <c r="C24" s="1"/>
      <c r="D24" s="36">
        <f>D19-D20-D22</f>
        <v>67830</v>
      </c>
      <c r="E24" s="2"/>
      <c r="F24" s="94">
        <v>0.32</v>
      </c>
      <c r="G24" s="13">
        <f>G9*F24</f>
        <v>96000</v>
      </c>
      <c r="H24" s="1"/>
      <c r="I24" s="44">
        <f>VLOOKUP(J10,'Anexo III'!A4:C24,3)</f>
        <v>0.17419999999999999</v>
      </c>
      <c r="J24" s="13">
        <f>J9*I24</f>
        <v>52260</v>
      </c>
      <c r="K24" s="1"/>
    </row>
    <row r="25" spans="1:11" ht="14.4">
      <c r="A25" s="1"/>
      <c r="B25" s="12"/>
      <c r="C25" s="45">
        <v>0.1</v>
      </c>
      <c r="D25" s="13">
        <f>IF(D24&gt;20000,(D24-20000)*C25,0)</f>
        <v>4783</v>
      </c>
      <c r="E25" s="2"/>
      <c r="F25" s="46">
        <f>C22</f>
        <v>0.15</v>
      </c>
      <c r="G25" s="13">
        <f>G24*F25</f>
        <v>14400</v>
      </c>
      <c r="H25" s="1"/>
      <c r="I25" s="14"/>
      <c r="J25" s="15"/>
      <c r="K25" s="1"/>
    </row>
    <row r="26" spans="1:11" ht="14.4">
      <c r="A26" s="1"/>
      <c r="B26" s="12"/>
      <c r="C26" s="1"/>
      <c r="D26" s="13"/>
      <c r="E26" s="2"/>
      <c r="F26" s="47">
        <v>0.1</v>
      </c>
      <c r="G26" s="13">
        <f>IF(G24&gt;20000,(G24-20000)*F26,0)</f>
        <v>7600</v>
      </c>
      <c r="H26" s="1"/>
      <c r="I26" s="14"/>
      <c r="J26" s="15"/>
      <c r="K26" s="1"/>
    </row>
    <row r="27" spans="1:11" ht="14.4">
      <c r="A27" s="1"/>
      <c r="B27" s="12"/>
      <c r="C27" s="1"/>
      <c r="D27" s="13"/>
      <c r="E27" s="2"/>
      <c r="F27" s="14"/>
      <c r="G27" s="15"/>
      <c r="H27" s="1"/>
      <c r="I27" s="14"/>
      <c r="J27" s="15"/>
      <c r="K27" s="1"/>
    </row>
    <row r="28" spans="1:11" ht="14.4">
      <c r="A28" s="1"/>
      <c r="B28" s="12"/>
      <c r="C28" s="48" t="s">
        <v>20</v>
      </c>
      <c r="D28" s="36">
        <f>D24-D25</f>
        <v>63047</v>
      </c>
      <c r="E28" s="2"/>
      <c r="F28" s="43" t="s">
        <v>21</v>
      </c>
      <c r="G28" s="36">
        <f>G19-G22-G25</f>
        <v>71610</v>
      </c>
      <c r="H28" s="1"/>
      <c r="I28" s="43" t="s">
        <v>119</v>
      </c>
      <c r="J28" s="36">
        <f>J9-J11-J14-J16-J18-J24</f>
        <v>64740</v>
      </c>
      <c r="K28" s="1"/>
    </row>
    <row r="29" spans="1:11" ht="14.4">
      <c r="A29" s="1"/>
      <c r="B29" s="49"/>
      <c r="C29" s="50"/>
      <c r="D29" s="51"/>
      <c r="E29" s="2"/>
      <c r="F29" s="52"/>
      <c r="G29" s="53"/>
      <c r="H29" s="1"/>
      <c r="I29" s="52"/>
      <c r="J29" s="53"/>
      <c r="K29" s="1"/>
    </row>
    <row r="30" spans="1:11" ht="15.75" customHeight="1">
      <c r="A30" s="1"/>
      <c r="B30" s="2"/>
      <c r="C30" s="1"/>
      <c r="D30" s="4"/>
      <c r="E30" s="2"/>
      <c r="F30" s="1"/>
      <c r="G30" s="1"/>
      <c r="H30" s="1"/>
      <c r="I30" s="1"/>
      <c r="J30" s="1"/>
      <c r="K30" s="1"/>
    </row>
    <row r="31" spans="1:11" ht="14.4">
      <c r="A31" s="1"/>
      <c r="B31" s="2"/>
      <c r="C31" s="95">
        <f>D10+D11+D12+D17+D20+D22+D25</f>
        <v>53953</v>
      </c>
      <c r="D31" s="4"/>
      <c r="E31" s="2"/>
      <c r="F31" s="96">
        <f t="shared" ref="F31:F33" si="3">C31</f>
        <v>53953</v>
      </c>
      <c r="G31" s="1"/>
      <c r="H31" s="1"/>
      <c r="I31" s="96">
        <f t="shared" ref="I31:I33" si="4">C31</f>
        <v>53953</v>
      </c>
      <c r="J31" s="1"/>
      <c r="K31" s="1"/>
    </row>
    <row r="32" spans="1:11" ht="14.4">
      <c r="A32" s="1"/>
      <c r="B32" s="2"/>
      <c r="C32" s="97">
        <f>G10+G11+G12+G17+G22+G25+G26</f>
        <v>52990</v>
      </c>
      <c r="D32" s="4"/>
      <c r="E32" s="2"/>
      <c r="F32" s="98">
        <f t="shared" si="3"/>
        <v>52990</v>
      </c>
      <c r="G32" s="1"/>
      <c r="H32" s="1"/>
      <c r="I32" s="97">
        <f t="shared" si="4"/>
        <v>52990</v>
      </c>
      <c r="J32" s="1"/>
      <c r="K32" s="1"/>
    </row>
    <row r="33" spans="1:11" ht="14.4">
      <c r="A33" s="1"/>
      <c r="B33" s="2"/>
      <c r="C33" s="99">
        <f>J16+J24</f>
        <v>61260</v>
      </c>
      <c r="D33" s="4"/>
      <c r="E33" s="2"/>
      <c r="F33" s="99">
        <f t="shared" si="3"/>
        <v>61260</v>
      </c>
      <c r="G33" s="1"/>
      <c r="H33" s="1"/>
      <c r="I33" s="100">
        <f t="shared" si="4"/>
        <v>61260</v>
      </c>
      <c r="J33" s="1"/>
      <c r="K33" s="1"/>
    </row>
    <row r="34" spans="1:11" ht="14.4">
      <c r="A34" s="1"/>
      <c r="B34" s="2"/>
      <c r="C34" s="1"/>
      <c r="D34" s="4"/>
      <c r="E34" s="2"/>
      <c r="F34" s="1"/>
      <c r="G34" s="4"/>
      <c r="H34" s="1"/>
      <c r="I34" s="1"/>
      <c r="J34" s="4"/>
      <c r="K34" s="1"/>
    </row>
    <row r="35" spans="1:11" ht="14.4">
      <c r="A35" s="1"/>
      <c r="B35" s="2"/>
      <c r="C35" s="101">
        <f>G28</f>
        <v>71610</v>
      </c>
      <c r="D35" s="4"/>
      <c r="E35" s="2"/>
      <c r="F35" s="102">
        <f>D28</f>
        <v>63047</v>
      </c>
      <c r="G35" s="4"/>
      <c r="H35" s="1"/>
      <c r="I35" s="101">
        <f>G28</f>
        <v>71610</v>
      </c>
      <c r="J35" s="1"/>
      <c r="K35" s="1"/>
    </row>
    <row r="36" spans="1:11" ht="14.4">
      <c r="A36" s="1"/>
      <c r="B36" s="2"/>
      <c r="C36" s="103">
        <f>J28</f>
        <v>64740</v>
      </c>
      <c r="D36" s="4"/>
      <c r="E36" s="2"/>
      <c r="F36" s="103">
        <f>J28</f>
        <v>64740</v>
      </c>
      <c r="G36" s="1"/>
      <c r="H36" s="1"/>
      <c r="I36" s="104">
        <f>D28</f>
        <v>63047</v>
      </c>
      <c r="J36" s="1"/>
      <c r="K36" s="1"/>
    </row>
    <row r="37" spans="1:11" ht="15.75" customHeight="1">
      <c r="A37" s="1"/>
      <c r="B37" s="2"/>
      <c r="C37" s="1"/>
      <c r="D37" s="4"/>
      <c r="E37" s="2"/>
      <c r="F37" s="1"/>
      <c r="G37" s="1"/>
      <c r="H37" s="1"/>
      <c r="I37" s="1"/>
      <c r="J37" s="1"/>
      <c r="K37" s="1"/>
    </row>
    <row r="38" spans="1:11" ht="15.75" customHeight="1">
      <c r="A38" s="1"/>
      <c r="B38" s="2"/>
      <c r="C38" s="1"/>
      <c r="D38" s="4"/>
      <c r="E38" s="2"/>
      <c r="F38" s="1"/>
      <c r="G38" s="1"/>
      <c r="H38" s="1"/>
      <c r="I38" s="1"/>
      <c r="J38" s="1"/>
      <c r="K38" s="1"/>
    </row>
    <row r="39" spans="1:11" ht="15.75" customHeight="1">
      <c r="A39" s="1"/>
      <c r="B39" s="2"/>
      <c r="C39" s="1"/>
      <c r="D39" s="4"/>
      <c r="E39" s="2"/>
      <c r="F39" s="1"/>
      <c r="G39" s="1"/>
      <c r="H39" s="1"/>
      <c r="I39" s="1"/>
      <c r="J39" s="1"/>
      <c r="K39" s="1"/>
    </row>
    <row r="40" spans="1:11" ht="15.75" customHeight="1">
      <c r="A40" s="1"/>
      <c r="B40" s="2"/>
      <c r="C40" s="1"/>
      <c r="D40" s="4"/>
      <c r="E40" s="2"/>
      <c r="F40" s="1"/>
      <c r="G40" s="1"/>
      <c r="H40" s="1"/>
      <c r="I40" s="1"/>
      <c r="J40" s="1"/>
      <c r="K40" s="1"/>
    </row>
    <row r="41" spans="1:11" ht="15.75" customHeight="1">
      <c r="A41" s="1"/>
      <c r="B41" s="2"/>
      <c r="C41" s="1"/>
      <c r="D41" s="4"/>
      <c r="E41" s="2"/>
      <c r="F41" s="1"/>
      <c r="G41" s="1"/>
      <c r="H41" s="1"/>
      <c r="I41" s="1"/>
      <c r="J41" s="1"/>
      <c r="K41" s="1"/>
    </row>
    <row r="42" spans="1:11" ht="15.75" customHeight="1">
      <c r="A42" s="1"/>
      <c r="B42" s="2"/>
      <c r="C42" s="1"/>
      <c r="D42" s="4"/>
      <c r="E42" s="2"/>
      <c r="F42" s="1"/>
      <c r="G42" s="1"/>
      <c r="H42" s="1"/>
      <c r="I42" s="1"/>
      <c r="J42" s="1"/>
      <c r="K42" s="1"/>
    </row>
    <row r="43" spans="1:11" ht="15.75" customHeight="1">
      <c r="A43" s="1"/>
      <c r="B43" s="2"/>
      <c r="C43" s="1"/>
      <c r="D43" s="4"/>
      <c r="E43" s="2"/>
      <c r="F43" s="1"/>
      <c r="G43" s="1"/>
      <c r="H43" s="1"/>
      <c r="I43" s="1"/>
      <c r="J43" s="1"/>
      <c r="K43" s="1"/>
    </row>
    <row r="44" spans="1:11" ht="15.75" customHeight="1">
      <c r="A44" s="1"/>
      <c r="B44" s="2"/>
      <c r="C44" s="1"/>
      <c r="D44" s="4"/>
      <c r="E44" s="2"/>
      <c r="F44" s="1"/>
      <c r="G44" s="1"/>
      <c r="H44" s="1"/>
      <c r="I44" s="1"/>
      <c r="J44" s="1"/>
      <c r="K44" s="1"/>
    </row>
    <row r="45" spans="1:11" ht="15.75" customHeight="1">
      <c r="A45" s="1"/>
      <c r="B45" s="2"/>
      <c r="C45" s="1"/>
      <c r="D45" s="4"/>
      <c r="E45" s="2"/>
      <c r="F45" s="1"/>
      <c r="G45" s="1"/>
      <c r="H45" s="1"/>
      <c r="I45" s="1"/>
      <c r="J45" s="1"/>
      <c r="K45" s="1"/>
    </row>
    <row r="46" spans="1:11" ht="15.75" customHeight="1">
      <c r="A46" s="1"/>
      <c r="B46" s="2"/>
      <c r="C46" s="1"/>
      <c r="D46" s="4"/>
      <c r="E46" s="2"/>
      <c r="F46" s="1"/>
      <c r="G46" s="1"/>
      <c r="H46" s="1"/>
      <c r="I46" s="1"/>
      <c r="J46" s="1"/>
      <c r="K46" s="1"/>
    </row>
    <row r="47" spans="1:11" ht="15.75" customHeight="1">
      <c r="A47" s="1"/>
      <c r="B47" s="2"/>
      <c r="C47" s="1"/>
      <c r="D47" s="4"/>
      <c r="E47" s="2"/>
      <c r="F47" s="1"/>
      <c r="G47" s="1"/>
      <c r="H47" s="1"/>
      <c r="I47" s="1"/>
      <c r="J47" s="1"/>
      <c r="K47" s="1"/>
    </row>
    <row r="48" spans="1:11" ht="15.75" customHeight="1">
      <c r="A48" s="1"/>
      <c r="B48" s="2"/>
      <c r="C48" s="1"/>
      <c r="D48" s="4"/>
      <c r="E48" s="2"/>
      <c r="F48" s="1"/>
      <c r="G48" s="1"/>
      <c r="H48" s="1"/>
      <c r="I48" s="1"/>
      <c r="J48" s="1"/>
      <c r="K48" s="1"/>
    </row>
    <row r="49" spans="1:11" ht="15.75" customHeight="1">
      <c r="A49" s="1"/>
      <c r="B49" s="2"/>
      <c r="C49" s="1"/>
      <c r="D49" s="4"/>
      <c r="E49" s="2"/>
      <c r="F49" s="1"/>
      <c r="G49" s="1"/>
      <c r="H49" s="1"/>
      <c r="I49" s="1"/>
      <c r="J49" s="1"/>
      <c r="K49" s="1"/>
    </row>
    <row r="50" spans="1:11" ht="15.75" customHeight="1">
      <c r="A50" s="1"/>
      <c r="B50" s="2"/>
      <c r="C50" s="1"/>
      <c r="D50" s="4"/>
      <c r="E50" s="2"/>
      <c r="F50" s="1"/>
      <c r="G50" s="1"/>
      <c r="H50" s="1"/>
      <c r="I50" s="1"/>
      <c r="J50" s="1"/>
      <c r="K50" s="1"/>
    </row>
    <row r="51" spans="1:11" ht="15.75" customHeight="1">
      <c r="A51" s="1"/>
      <c r="B51" s="2"/>
      <c r="C51" s="1"/>
      <c r="D51" s="4"/>
      <c r="E51" s="2"/>
      <c r="F51" s="1"/>
      <c r="G51" s="1"/>
      <c r="H51" s="1"/>
      <c r="I51" s="1"/>
      <c r="J51" s="1"/>
      <c r="K51" s="1"/>
    </row>
    <row r="52" spans="1:11" ht="15.75" customHeight="1">
      <c r="A52" s="1"/>
      <c r="B52" s="2"/>
      <c r="C52" s="1"/>
      <c r="D52" s="4"/>
      <c r="E52" s="2"/>
      <c r="F52" s="1"/>
      <c r="G52" s="1"/>
      <c r="H52" s="1"/>
      <c r="I52" s="1"/>
      <c r="J52" s="1"/>
      <c r="K52" s="1"/>
    </row>
    <row r="53" spans="1:11" ht="15.75" customHeight="1">
      <c r="A53" s="1"/>
      <c r="B53" s="2"/>
      <c r="C53" s="1"/>
      <c r="D53" s="4"/>
      <c r="E53" s="2"/>
      <c r="F53" s="1"/>
      <c r="G53" s="1"/>
      <c r="H53" s="1"/>
      <c r="I53" s="1"/>
      <c r="J53" s="1"/>
      <c r="K53" s="1"/>
    </row>
    <row r="54" spans="1:11" ht="15.75" customHeight="1">
      <c r="A54" s="1"/>
      <c r="B54" s="2"/>
      <c r="C54" s="1"/>
      <c r="D54" s="4"/>
      <c r="E54" s="2"/>
      <c r="F54" s="1"/>
      <c r="G54" s="1"/>
      <c r="H54" s="1"/>
      <c r="I54" s="1"/>
      <c r="J54" s="1"/>
      <c r="K54" s="1"/>
    </row>
    <row r="55" spans="1:11" ht="15.75" customHeight="1">
      <c r="A55" s="1"/>
      <c r="B55" s="2"/>
      <c r="C55" s="1"/>
      <c r="D55" s="4"/>
      <c r="E55" s="2"/>
      <c r="F55" s="1"/>
      <c r="G55" s="1"/>
      <c r="H55" s="1"/>
      <c r="I55" s="1"/>
      <c r="J55" s="1"/>
      <c r="K55" s="1"/>
    </row>
    <row r="56" spans="1:11" ht="15.75" customHeight="1">
      <c r="A56" s="1"/>
      <c r="B56" s="2"/>
      <c r="C56" s="1"/>
      <c r="D56" s="4"/>
      <c r="E56" s="2"/>
      <c r="F56" s="1"/>
      <c r="G56" s="1"/>
      <c r="H56" s="1"/>
      <c r="I56" s="1"/>
      <c r="J56" s="1"/>
      <c r="K56" s="1"/>
    </row>
    <row r="57" spans="1:11" ht="15.75" customHeight="1">
      <c r="A57" s="1"/>
      <c r="B57" s="2"/>
      <c r="C57" s="1"/>
      <c r="D57" s="4"/>
      <c r="E57" s="2"/>
      <c r="F57" s="1"/>
      <c r="G57" s="1"/>
      <c r="H57" s="1"/>
      <c r="I57" s="1"/>
      <c r="J57" s="1"/>
      <c r="K57" s="1"/>
    </row>
    <row r="58" spans="1:11" ht="15.75" customHeight="1">
      <c r="A58" s="1"/>
      <c r="B58" s="2"/>
      <c r="C58" s="1"/>
      <c r="D58" s="4"/>
      <c r="E58" s="2"/>
      <c r="F58" s="1"/>
      <c r="G58" s="1"/>
      <c r="H58" s="1"/>
      <c r="I58" s="1"/>
      <c r="J58" s="1"/>
      <c r="K58" s="1"/>
    </row>
    <row r="59" spans="1:11" ht="15.75" customHeight="1">
      <c r="A59" s="1"/>
      <c r="B59" s="2"/>
      <c r="C59" s="1"/>
      <c r="D59" s="4"/>
      <c r="E59" s="2"/>
      <c r="F59" s="1"/>
      <c r="G59" s="1"/>
      <c r="H59" s="1"/>
      <c r="I59" s="1"/>
      <c r="J59" s="1"/>
      <c r="K59" s="1"/>
    </row>
    <row r="60" spans="1:11" ht="15.75" customHeight="1">
      <c r="A60" s="1"/>
      <c r="B60" s="2"/>
      <c r="C60" s="1"/>
      <c r="D60" s="4"/>
      <c r="E60" s="2"/>
      <c r="F60" s="1"/>
      <c r="G60" s="1"/>
      <c r="H60" s="1"/>
      <c r="I60" s="1"/>
      <c r="J60" s="1"/>
      <c r="K60" s="1"/>
    </row>
    <row r="61" spans="1:11" ht="15.75" customHeight="1">
      <c r="A61" s="1"/>
      <c r="B61" s="2"/>
      <c r="C61" s="1"/>
      <c r="D61" s="4"/>
      <c r="E61" s="2"/>
      <c r="F61" s="1"/>
      <c r="G61" s="1"/>
      <c r="H61" s="1"/>
      <c r="I61" s="1"/>
      <c r="J61" s="1"/>
      <c r="K61" s="1"/>
    </row>
    <row r="62" spans="1:11" ht="15.75" customHeight="1">
      <c r="A62" s="1"/>
      <c r="B62" s="2"/>
      <c r="C62" s="1"/>
      <c r="D62" s="4"/>
      <c r="E62" s="2"/>
      <c r="F62" s="1"/>
      <c r="G62" s="1"/>
      <c r="H62" s="1"/>
      <c r="I62" s="1"/>
      <c r="J62" s="1"/>
      <c r="K62" s="1"/>
    </row>
    <row r="63" spans="1:11" ht="15.75" customHeight="1">
      <c r="A63" s="1"/>
      <c r="B63" s="2"/>
      <c r="C63" s="1"/>
      <c r="D63" s="4"/>
      <c r="E63" s="2"/>
      <c r="F63" s="1"/>
      <c r="G63" s="1"/>
      <c r="H63" s="1"/>
      <c r="I63" s="1"/>
      <c r="J63" s="1"/>
      <c r="K63" s="1"/>
    </row>
    <row r="64" spans="1:11" ht="15.75" customHeight="1">
      <c r="A64" s="1"/>
      <c r="B64" s="2"/>
      <c r="C64" s="1"/>
      <c r="D64" s="4"/>
      <c r="E64" s="2"/>
      <c r="F64" s="1"/>
      <c r="G64" s="1"/>
      <c r="H64" s="1"/>
      <c r="I64" s="1"/>
      <c r="J64" s="1"/>
      <c r="K64" s="1"/>
    </row>
    <row r="65" spans="1:11" ht="15.75" customHeight="1">
      <c r="A65" s="1"/>
      <c r="B65" s="2"/>
      <c r="C65" s="1"/>
      <c r="D65" s="4"/>
      <c r="E65" s="2"/>
      <c r="F65" s="1"/>
      <c r="G65" s="1"/>
      <c r="H65" s="1"/>
      <c r="I65" s="1"/>
      <c r="J65" s="1"/>
      <c r="K65" s="1"/>
    </row>
    <row r="66" spans="1:11" ht="15.75" customHeight="1">
      <c r="A66" s="1"/>
      <c r="B66" s="2"/>
      <c r="C66" s="1"/>
      <c r="D66" s="4"/>
      <c r="E66" s="2"/>
      <c r="F66" s="1"/>
      <c r="G66" s="1"/>
      <c r="H66" s="1"/>
      <c r="I66" s="1"/>
      <c r="J66" s="1"/>
      <c r="K66" s="1"/>
    </row>
    <row r="67" spans="1:11" ht="15.75" customHeight="1">
      <c r="A67" s="1"/>
      <c r="B67" s="2"/>
      <c r="C67" s="1"/>
      <c r="D67" s="4"/>
      <c r="E67" s="2"/>
      <c r="F67" s="1"/>
      <c r="G67" s="1"/>
      <c r="H67" s="1"/>
      <c r="I67" s="1"/>
      <c r="J67" s="1"/>
      <c r="K67" s="1"/>
    </row>
    <row r="68" spans="1:11" ht="15.75" customHeight="1">
      <c r="A68" s="1"/>
      <c r="B68" s="2"/>
      <c r="C68" s="1"/>
      <c r="D68" s="4"/>
      <c r="E68" s="2"/>
      <c r="F68" s="1"/>
      <c r="G68" s="1"/>
      <c r="H68" s="1"/>
      <c r="I68" s="1"/>
      <c r="J68" s="1"/>
      <c r="K68" s="1"/>
    </row>
    <row r="69" spans="1:11" ht="15.75" customHeight="1">
      <c r="A69" s="1"/>
      <c r="B69" s="2"/>
      <c r="C69" s="1"/>
      <c r="D69" s="4"/>
      <c r="E69" s="2"/>
      <c r="F69" s="1"/>
      <c r="G69" s="1"/>
      <c r="H69" s="1"/>
      <c r="I69" s="1"/>
      <c r="J69" s="1"/>
      <c r="K69" s="1"/>
    </row>
    <row r="70" spans="1:11" ht="15.75" customHeight="1">
      <c r="A70" s="1"/>
      <c r="B70" s="2"/>
      <c r="C70" s="1"/>
      <c r="D70" s="4"/>
      <c r="E70" s="2"/>
      <c r="F70" s="1"/>
      <c r="G70" s="1"/>
      <c r="H70" s="1"/>
      <c r="I70" s="1"/>
      <c r="J70" s="1"/>
      <c r="K70" s="1"/>
    </row>
    <row r="71" spans="1:11" ht="15.75" customHeight="1">
      <c r="A71" s="1"/>
      <c r="B71" s="2"/>
      <c r="C71" s="1"/>
      <c r="D71" s="4"/>
      <c r="E71" s="2"/>
      <c r="F71" s="1"/>
      <c r="G71" s="1"/>
      <c r="H71" s="1"/>
      <c r="I71" s="1"/>
      <c r="J71" s="1"/>
      <c r="K71" s="1"/>
    </row>
    <row r="72" spans="1:11" ht="15.75" customHeight="1">
      <c r="A72" s="1"/>
      <c r="B72" s="2"/>
      <c r="C72" s="1"/>
      <c r="D72" s="4"/>
      <c r="E72" s="2"/>
      <c r="F72" s="1"/>
      <c r="G72" s="1"/>
      <c r="H72" s="1"/>
      <c r="I72" s="1"/>
      <c r="J72" s="1"/>
      <c r="K72" s="1"/>
    </row>
    <row r="73" spans="1:11" ht="15.75" customHeight="1">
      <c r="A73" s="1"/>
      <c r="B73" s="2"/>
      <c r="C73" s="1"/>
      <c r="D73" s="4"/>
      <c r="E73" s="2"/>
      <c r="F73" s="1"/>
      <c r="G73" s="1"/>
      <c r="H73" s="1"/>
      <c r="I73" s="1"/>
      <c r="J73" s="1"/>
      <c r="K73" s="1"/>
    </row>
    <row r="74" spans="1:11" ht="15.75" customHeight="1">
      <c r="A74" s="1"/>
      <c r="B74" s="2"/>
      <c r="C74" s="1"/>
      <c r="D74" s="4"/>
      <c r="E74" s="2"/>
      <c r="F74" s="1"/>
      <c r="G74" s="1"/>
      <c r="H74" s="1"/>
      <c r="I74" s="1"/>
      <c r="J74" s="1"/>
      <c r="K74" s="1"/>
    </row>
    <row r="75" spans="1:11" ht="15.75" customHeight="1">
      <c r="A75" s="1"/>
      <c r="B75" s="2"/>
      <c r="C75" s="1"/>
      <c r="D75" s="4"/>
      <c r="E75" s="2"/>
      <c r="F75" s="1"/>
      <c r="G75" s="1"/>
      <c r="H75" s="1"/>
      <c r="I75" s="1"/>
      <c r="J75" s="1"/>
      <c r="K75" s="1"/>
    </row>
    <row r="76" spans="1:11" ht="15.75" customHeight="1">
      <c r="A76" s="1"/>
      <c r="B76" s="2"/>
      <c r="C76" s="1"/>
      <c r="D76" s="4"/>
      <c r="E76" s="2"/>
      <c r="F76" s="1"/>
      <c r="G76" s="1"/>
      <c r="H76" s="1"/>
      <c r="I76" s="1"/>
      <c r="J76" s="1"/>
      <c r="K76" s="1"/>
    </row>
    <row r="77" spans="1:11" ht="15.75" customHeight="1">
      <c r="A77" s="1"/>
      <c r="B77" s="2"/>
      <c r="C77" s="1"/>
      <c r="D77" s="4"/>
      <c r="E77" s="2"/>
      <c r="F77" s="1"/>
      <c r="G77" s="1"/>
      <c r="H77" s="1"/>
      <c r="I77" s="1"/>
      <c r="J77" s="1"/>
      <c r="K77" s="1"/>
    </row>
    <row r="78" spans="1:11" ht="15.75" customHeight="1">
      <c r="A78" s="1"/>
      <c r="B78" s="2"/>
      <c r="C78" s="1"/>
      <c r="D78" s="4"/>
      <c r="E78" s="2"/>
      <c r="F78" s="1"/>
      <c r="G78" s="1"/>
      <c r="H78" s="1"/>
      <c r="I78" s="1"/>
      <c r="J78" s="1"/>
      <c r="K78" s="1"/>
    </row>
    <row r="79" spans="1:11" ht="15.75" customHeight="1">
      <c r="A79" s="1"/>
      <c r="B79" s="2"/>
      <c r="C79" s="1"/>
      <c r="D79" s="4"/>
      <c r="E79" s="2"/>
      <c r="F79" s="1"/>
      <c r="G79" s="1"/>
      <c r="H79" s="1"/>
      <c r="I79" s="1"/>
      <c r="J79" s="1"/>
      <c r="K79" s="1"/>
    </row>
    <row r="80" spans="1:11" ht="15.75" customHeight="1">
      <c r="A80" s="1"/>
      <c r="B80" s="2"/>
      <c r="C80" s="1"/>
      <c r="D80" s="4"/>
      <c r="E80" s="2"/>
      <c r="F80" s="1"/>
      <c r="G80" s="1"/>
      <c r="H80" s="1"/>
      <c r="I80" s="1"/>
      <c r="J80" s="1"/>
      <c r="K80" s="1"/>
    </row>
    <row r="81" spans="1:11" ht="15.75" customHeight="1">
      <c r="A81" s="1"/>
      <c r="B81" s="2"/>
      <c r="C81" s="1"/>
      <c r="D81" s="4"/>
      <c r="E81" s="2"/>
      <c r="F81" s="1"/>
      <c r="G81" s="1"/>
      <c r="H81" s="1"/>
      <c r="I81" s="1"/>
      <c r="J81" s="1"/>
      <c r="K81" s="1"/>
    </row>
    <row r="82" spans="1:11" ht="15.75" customHeight="1">
      <c r="A82" s="1"/>
      <c r="B82" s="2"/>
      <c r="C82" s="1"/>
      <c r="D82" s="4"/>
      <c r="E82" s="2"/>
      <c r="F82" s="1"/>
      <c r="G82" s="1"/>
      <c r="H82" s="1"/>
      <c r="I82" s="1"/>
      <c r="J82" s="1"/>
      <c r="K82" s="1"/>
    </row>
    <row r="83" spans="1:11" ht="15.75" customHeight="1">
      <c r="A83" s="1"/>
      <c r="B83" s="2"/>
      <c r="C83" s="1"/>
      <c r="D83" s="4"/>
      <c r="E83" s="2"/>
      <c r="F83" s="1"/>
      <c r="G83" s="1"/>
      <c r="H83" s="1"/>
      <c r="I83" s="1"/>
      <c r="J83" s="1"/>
      <c r="K83" s="1"/>
    </row>
    <row r="84" spans="1:11" ht="15.75" customHeight="1">
      <c r="A84" s="1"/>
      <c r="B84" s="2"/>
      <c r="C84" s="1"/>
      <c r="D84" s="4"/>
      <c r="E84" s="2"/>
      <c r="F84" s="1"/>
      <c r="G84" s="1"/>
      <c r="H84" s="1"/>
      <c r="I84" s="1"/>
      <c r="J84" s="1"/>
      <c r="K84" s="1"/>
    </row>
    <row r="85" spans="1:11" ht="15.75" customHeight="1">
      <c r="A85" s="1"/>
      <c r="B85" s="2"/>
      <c r="C85" s="1"/>
      <c r="D85" s="4"/>
      <c r="E85" s="2"/>
      <c r="F85" s="1"/>
      <c r="G85" s="1"/>
      <c r="H85" s="1"/>
      <c r="I85" s="1"/>
      <c r="J85" s="1"/>
      <c r="K85" s="1"/>
    </row>
    <row r="86" spans="1:11" ht="15.75" customHeight="1">
      <c r="A86" s="1"/>
      <c r="B86" s="2"/>
      <c r="C86" s="1"/>
      <c r="D86" s="4"/>
      <c r="E86" s="2"/>
      <c r="F86" s="1"/>
      <c r="G86" s="1"/>
      <c r="H86" s="1"/>
      <c r="I86" s="1"/>
      <c r="J86" s="1"/>
      <c r="K86" s="1"/>
    </row>
    <row r="87" spans="1:11" ht="15.75" customHeight="1">
      <c r="A87" s="1"/>
      <c r="B87" s="2"/>
      <c r="C87" s="1"/>
      <c r="D87" s="4"/>
      <c r="E87" s="2"/>
      <c r="F87" s="1"/>
      <c r="G87" s="1"/>
      <c r="H87" s="1"/>
      <c r="I87" s="1"/>
      <c r="J87" s="1"/>
      <c r="K87" s="1"/>
    </row>
    <row r="88" spans="1:11" ht="15.75" customHeight="1">
      <c r="A88" s="1"/>
      <c r="B88" s="2"/>
      <c r="C88" s="1"/>
      <c r="D88" s="4"/>
      <c r="E88" s="2"/>
      <c r="F88" s="1"/>
      <c r="G88" s="1"/>
      <c r="H88" s="1"/>
      <c r="I88" s="1"/>
      <c r="J88" s="1"/>
      <c r="K88" s="1"/>
    </row>
    <row r="89" spans="1:11" ht="15.75" customHeight="1">
      <c r="A89" s="1"/>
      <c r="B89" s="2"/>
      <c r="C89" s="1"/>
      <c r="D89" s="4"/>
      <c r="E89" s="2"/>
      <c r="F89" s="1"/>
      <c r="G89" s="1"/>
      <c r="H89" s="1"/>
      <c r="I89" s="1"/>
      <c r="J89" s="1"/>
      <c r="K89" s="1"/>
    </row>
    <row r="90" spans="1:11" ht="15.75" customHeight="1">
      <c r="A90" s="1"/>
      <c r="B90" s="2"/>
      <c r="C90" s="1"/>
      <c r="D90" s="4"/>
      <c r="E90" s="2"/>
      <c r="F90" s="1"/>
      <c r="G90" s="1"/>
      <c r="H90" s="1"/>
      <c r="I90" s="1"/>
      <c r="J90" s="1"/>
      <c r="K90" s="1"/>
    </row>
    <row r="91" spans="1:11" ht="15.75" customHeight="1">
      <c r="A91" s="1"/>
      <c r="B91" s="2"/>
      <c r="C91" s="1"/>
      <c r="D91" s="4"/>
      <c r="E91" s="2"/>
      <c r="F91" s="1"/>
      <c r="G91" s="1"/>
      <c r="H91" s="1"/>
      <c r="I91" s="1"/>
      <c r="J91" s="1"/>
      <c r="K91" s="1"/>
    </row>
    <row r="92" spans="1:11" ht="15.75" customHeight="1">
      <c r="A92" s="1"/>
      <c r="B92" s="2"/>
      <c r="C92" s="1"/>
      <c r="D92" s="4"/>
      <c r="E92" s="2"/>
      <c r="F92" s="1"/>
      <c r="G92" s="1"/>
      <c r="H92" s="1"/>
      <c r="I92" s="1"/>
      <c r="J92" s="1"/>
      <c r="K92" s="1"/>
    </row>
    <row r="93" spans="1:11" ht="15.75" customHeight="1">
      <c r="A93" s="1"/>
      <c r="B93" s="2"/>
      <c r="C93" s="1"/>
      <c r="D93" s="4"/>
      <c r="E93" s="2"/>
      <c r="F93" s="1"/>
      <c r="G93" s="1"/>
      <c r="H93" s="1"/>
      <c r="I93" s="1"/>
      <c r="J93" s="1"/>
      <c r="K93" s="1"/>
    </row>
    <row r="94" spans="1:11" ht="15.75" customHeight="1">
      <c r="A94" s="1"/>
      <c r="B94" s="2"/>
      <c r="C94" s="1"/>
      <c r="D94" s="4"/>
      <c r="E94" s="2"/>
      <c r="F94" s="1"/>
      <c r="G94" s="1"/>
      <c r="H94" s="1"/>
      <c r="I94" s="1"/>
      <c r="J94" s="1"/>
      <c r="K94" s="1"/>
    </row>
    <row r="95" spans="1:11" ht="15.75" customHeight="1">
      <c r="A95" s="1"/>
      <c r="B95" s="2"/>
      <c r="C95" s="1"/>
      <c r="D95" s="4"/>
      <c r="E95" s="2"/>
      <c r="F95" s="1"/>
      <c r="G95" s="1"/>
      <c r="H95" s="1"/>
      <c r="I95" s="1"/>
      <c r="J95" s="1"/>
      <c r="K95" s="1"/>
    </row>
    <row r="96" spans="1:11" ht="15.75" customHeight="1">
      <c r="A96" s="1"/>
      <c r="B96" s="2"/>
      <c r="C96" s="1"/>
      <c r="D96" s="4"/>
      <c r="E96" s="2"/>
      <c r="F96" s="1"/>
      <c r="G96" s="1"/>
      <c r="H96" s="1"/>
      <c r="I96" s="1"/>
      <c r="J96" s="1"/>
      <c r="K96" s="1"/>
    </row>
    <row r="97" spans="1:11" ht="15.75" customHeight="1">
      <c r="A97" s="1"/>
      <c r="B97" s="2"/>
      <c r="C97" s="1"/>
      <c r="D97" s="4"/>
      <c r="E97" s="2"/>
      <c r="F97" s="1"/>
      <c r="G97" s="1"/>
      <c r="H97" s="1"/>
      <c r="I97" s="1"/>
      <c r="J97" s="1"/>
      <c r="K97" s="1"/>
    </row>
    <row r="98" spans="1:11" ht="15.75" customHeight="1">
      <c r="A98" s="1"/>
      <c r="B98" s="2"/>
      <c r="C98" s="1"/>
      <c r="D98" s="4"/>
      <c r="E98" s="2"/>
      <c r="F98" s="1"/>
      <c r="G98" s="1"/>
      <c r="H98" s="1"/>
      <c r="I98" s="1"/>
      <c r="J98" s="1"/>
      <c r="K98" s="1"/>
    </row>
    <row r="99" spans="1:11" ht="15.75" customHeight="1">
      <c r="A99" s="1"/>
      <c r="B99" s="2"/>
      <c r="C99" s="1"/>
      <c r="D99" s="4"/>
      <c r="E99" s="2"/>
      <c r="F99" s="1"/>
      <c r="G99" s="1"/>
      <c r="H99" s="1"/>
      <c r="I99" s="1"/>
      <c r="J99" s="1"/>
      <c r="K99" s="1"/>
    </row>
    <row r="100" spans="1:11" ht="15.75" customHeight="1">
      <c r="A100" s="1"/>
      <c r="B100" s="2"/>
      <c r="C100" s="1"/>
      <c r="D100" s="4"/>
      <c r="E100" s="2"/>
      <c r="F100" s="1"/>
      <c r="G100" s="1"/>
      <c r="H100" s="1"/>
      <c r="I100" s="1"/>
      <c r="J100" s="1"/>
      <c r="K100" s="1"/>
    </row>
  </sheetData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/>
  </sheetViews>
  <sheetFormatPr defaultColWidth="14.44140625" defaultRowHeight="15" customHeight="1"/>
  <cols>
    <col min="1" max="1" width="13.5546875" customWidth="1"/>
    <col min="2" max="2" width="12.33203125" customWidth="1"/>
    <col min="3" max="11" width="8.5546875" customWidth="1"/>
  </cols>
  <sheetData>
    <row r="1" spans="1:10" ht="14.4">
      <c r="A1" s="64" t="s">
        <v>120</v>
      </c>
      <c r="B1" s="65"/>
      <c r="C1" s="65"/>
      <c r="D1" s="65"/>
      <c r="E1" s="66"/>
      <c r="F1" s="65"/>
      <c r="G1" s="66"/>
      <c r="H1" s="65"/>
      <c r="I1" s="65"/>
      <c r="J1" s="66"/>
    </row>
    <row r="2" spans="1:10" ht="14.4">
      <c r="A2" s="64"/>
      <c r="B2" s="65"/>
      <c r="C2" s="67"/>
      <c r="D2" s="65"/>
      <c r="E2" s="105"/>
      <c r="F2" s="65"/>
      <c r="G2" s="66"/>
      <c r="H2" s="65"/>
      <c r="I2" s="65"/>
    </row>
    <row r="3" spans="1:10" ht="14.4">
      <c r="A3" s="117" t="s">
        <v>121</v>
      </c>
      <c r="B3" s="118"/>
      <c r="C3" s="106" t="s">
        <v>122</v>
      </c>
      <c r="D3" s="70" t="s">
        <v>26</v>
      </c>
      <c r="E3" s="70" t="s">
        <v>27</v>
      </c>
      <c r="F3" s="70" t="s">
        <v>28</v>
      </c>
      <c r="G3" s="70" t="s">
        <v>29</v>
      </c>
      <c r="H3" s="70" t="s">
        <v>30</v>
      </c>
      <c r="I3" s="71" t="s">
        <v>123</v>
      </c>
      <c r="J3" t="s">
        <v>122</v>
      </c>
    </row>
    <row r="4" spans="1:10" ht="14.4">
      <c r="A4" s="73">
        <v>0</v>
      </c>
      <c r="B4" s="73">
        <v>120000</v>
      </c>
      <c r="C4" s="74">
        <v>0.06</v>
      </c>
      <c r="D4" s="76">
        <v>0</v>
      </c>
      <c r="E4" s="76">
        <v>0</v>
      </c>
      <c r="F4" s="76">
        <v>0</v>
      </c>
      <c r="G4" s="76">
        <v>0</v>
      </c>
      <c r="H4" s="76">
        <v>0.04</v>
      </c>
      <c r="I4" s="107">
        <v>0.02</v>
      </c>
      <c r="J4" s="108">
        <f t="shared" ref="J4:J23" si="0">SUM(D4:I4)</f>
        <v>0.06</v>
      </c>
    </row>
    <row r="5" spans="1:10" ht="14.4">
      <c r="A5" s="73">
        <f t="shared" ref="A5:A22" si="1">B4+0.01</f>
        <v>120000.01</v>
      </c>
      <c r="B5" s="73">
        <f>240000</f>
        <v>240000</v>
      </c>
      <c r="C5" s="74">
        <v>8.2100000000000006E-2</v>
      </c>
      <c r="D5" s="76">
        <v>0</v>
      </c>
      <c r="E5" s="76">
        <v>0</v>
      </c>
      <c r="F5" s="76">
        <v>1.4200000000000001E-2</v>
      </c>
      <c r="G5" s="76">
        <v>0</v>
      </c>
      <c r="H5" s="76">
        <v>0.04</v>
      </c>
      <c r="I5" s="107">
        <v>2.7900000000000001E-2</v>
      </c>
      <c r="J5" s="108">
        <f t="shared" si="0"/>
        <v>8.2100000000000006E-2</v>
      </c>
    </row>
    <row r="6" spans="1:10" ht="14.4">
      <c r="A6" s="73">
        <f t="shared" si="1"/>
        <v>240000.01</v>
      </c>
      <c r="B6" s="73">
        <f>360000</f>
        <v>360000</v>
      </c>
      <c r="C6" s="74">
        <v>0.1026</v>
      </c>
      <c r="D6" s="76">
        <v>4.7999999999999996E-3</v>
      </c>
      <c r="E6" s="76">
        <v>4.3E-3</v>
      </c>
      <c r="F6" s="76">
        <v>1.43E-2</v>
      </c>
      <c r="G6" s="76">
        <v>3.5000000000000001E-3</v>
      </c>
      <c r="H6" s="76">
        <v>4.07E-2</v>
      </c>
      <c r="I6" s="107">
        <v>3.5000000000000003E-2</v>
      </c>
      <c r="J6" s="108">
        <f t="shared" si="0"/>
        <v>0.1026</v>
      </c>
    </row>
    <row r="7" spans="1:10" ht="14.4">
      <c r="A7" s="73">
        <f t="shared" si="1"/>
        <v>360000.01</v>
      </c>
      <c r="B7" s="73">
        <f>480000</f>
        <v>480000</v>
      </c>
      <c r="C7" s="74">
        <v>0.11310000000000001</v>
      </c>
      <c r="D7" s="76">
        <v>5.3E-3</v>
      </c>
      <c r="E7" s="76">
        <v>5.3E-3</v>
      </c>
      <c r="F7" s="76">
        <v>1.5599999999999999E-2</v>
      </c>
      <c r="G7" s="76">
        <v>3.8E-3</v>
      </c>
      <c r="H7" s="76">
        <v>4.4699999999999997E-2</v>
      </c>
      <c r="I7" s="107">
        <v>3.8399999999999997E-2</v>
      </c>
      <c r="J7" s="108">
        <f t="shared" si="0"/>
        <v>0.11310000000000001</v>
      </c>
    </row>
    <row r="8" spans="1:10" ht="14.4">
      <c r="A8" s="73">
        <f t="shared" si="1"/>
        <v>480000.01</v>
      </c>
      <c r="B8" s="73">
        <f>600000</f>
        <v>600000</v>
      </c>
      <c r="C8" s="74">
        <v>0.114</v>
      </c>
      <c r="D8" s="76">
        <v>5.3E-3</v>
      </c>
      <c r="E8" s="76">
        <v>5.1999999999999998E-3</v>
      </c>
      <c r="F8" s="76">
        <v>1.5800000000000002E-2</v>
      </c>
      <c r="G8" s="76">
        <v>3.8E-3</v>
      </c>
      <c r="H8" s="76">
        <v>4.5199999999999997E-2</v>
      </c>
      <c r="I8" s="107">
        <v>3.8699999999999998E-2</v>
      </c>
      <c r="J8" s="108">
        <f t="shared" si="0"/>
        <v>0.114</v>
      </c>
    </row>
    <row r="9" spans="1:10" ht="14.4">
      <c r="A9" s="73">
        <f t="shared" si="1"/>
        <v>600000.01</v>
      </c>
      <c r="B9" s="73">
        <f>720000</f>
        <v>720000</v>
      </c>
      <c r="C9" s="74">
        <v>0.1242</v>
      </c>
      <c r="D9" s="76">
        <v>5.7000000000000002E-3</v>
      </c>
      <c r="E9" s="76">
        <v>5.7000000000000002E-3</v>
      </c>
      <c r="F9" s="76">
        <v>1.7299999999999999E-2</v>
      </c>
      <c r="G9" s="76">
        <v>4.0000000000000001E-3</v>
      </c>
      <c r="H9" s="76">
        <v>4.9200000000000001E-2</v>
      </c>
      <c r="I9" s="107">
        <v>4.2299999999999997E-2</v>
      </c>
      <c r="J9" s="108">
        <f t="shared" si="0"/>
        <v>0.1242</v>
      </c>
    </row>
    <row r="10" spans="1:10" ht="14.4">
      <c r="A10" s="73">
        <f t="shared" si="1"/>
        <v>720000.01</v>
      </c>
      <c r="B10" s="73">
        <f>840000</f>
        <v>840000</v>
      </c>
      <c r="C10" s="74">
        <v>0.12540000000000001</v>
      </c>
      <c r="D10" s="76">
        <v>5.8999999999999999E-3</v>
      </c>
      <c r="E10" s="76">
        <v>5.5999999999999999E-3</v>
      </c>
      <c r="F10" s="76">
        <v>1.7399999999999999E-2</v>
      </c>
      <c r="G10" s="76">
        <v>4.1999999999999997E-3</v>
      </c>
      <c r="H10" s="76">
        <v>4.9700000000000001E-2</v>
      </c>
      <c r="I10" s="107">
        <v>4.2599999999999999E-2</v>
      </c>
      <c r="J10" s="108">
        <f t="shared" si="0"/>
        <v>0.12540000000000001</v>
      </c>
    </row>
    <row r="11" spans="1:10" ht="14.4">
      <c r="A11" s="73">
        <f t="shared" si="1"/>
        <v>840000.01</v>
      </c>
      <c r="B11" s="73">
        <f>960000</f>
        <v>960000</v>
      </c>
      <c r="C11" s="74">
        <v>0.1268</v>
      </c>
      <c r="D11" s="76">
        <v>5.8999999999999999E-3</v>
      </c>
      <c r="E11" s="76">
        <v>5.7000000000000002E-3</v>
      </c>
      <c r="F11" s="76">
        <v>1.7600000000000001E-2</v>
      </c>
      <c r="G11" s="76">
        <v>4.1999999999999997E-3</v>
      </c>
      <c r="H11" s="76">
        <v>5.0299999999999997E-2</v>
      </c>
      <c r="I11" s="107">
        <v>4.3099999999999999E-2</v>
      </c>
      <c r="J11" s="108">
        <f t="shared" si="0"/>
        <v>0.1268</v>
      </c>
    </row>
    <row r="12" spans="1:10" ht="14.4">
      <c r="A12" s="73">
        <f t="shared" si="1"/>
        <v>960000.01</v>
      </c>
      <c r="B12" s="73">
        <f>1080000</f>
        <v>1080000</v>
      </c>
      <c r="C12" s="74">
        <v>0.13550000000000001</v>
      </c>
      <c r="D12" s="76">
        <v>6.3E-3</v>
      </c>
      <c r="E12" s="76">
        <v>6.1000000000000004E-3</v>
      </c>
      <c r="F12" s="76">
        <v>1.8800000000000001E-2</v>
      </c>
      <c r="G12" s="76">
        <v>4.4999999999999997E-3</v>
      </c>
      <c r="H12" s="76">
        <v>5.3699999999999998E-2</v>
      </c>
      <c r="I12" s="107">
        <v>4.6100000000000002E-2</v>
      </c>
      <c r="J12" s="108">
        <f t="shared" si="0"/>
        <v>0.13550000000000001</v>
      </c>
    </row>
    <row r="13" spans="1:10" ht="14.4">
      <c r="A13" s="73">
        <f t="shared" si="1"/>
        <v>1080000.01</v>
      </c>
      <c r="B13" s="73">
        <f>1200000</f>
        <v>1200000</v>
      </c>
      <c r="C13" s="74">
        <v>0.1368</v>
      </c>
      <c r="D13" s="76">
        <v>6.3E-3</v>
      </c>
      <c r="E13" s="76">
        <v>6.4000000000000003E-3</v>
      </c>
      <c r="F13" s="76">
        <v>1.89E-2</v>
      </c>
      <c r="G13" s="76">
        <v>4.4999999999999997E-3</v>
      </c>
      <c r="H13" s="76">
        <v>5.4199999999999998E-2</v>
      </c>
      <c r="I13" s="107">
        <v>4.65E-2</v>
      </c>
      <c r="J13" s="108">
        <f t="shared" si="0"/>
        <v>0.13679999999999998</v>
      </c>
    </row>
    <row r="14" spans="1:10" ht="14.4">
      <c r="A14" s="73">
        <f t="shared" si="1"/>
        <v>1200000.01</v>
      </c>
      <c r="B14" s="73">
        <f>1320000</f>
        <v>1320000</v>
      </c>
      <c r="C14" s="74">
        <v>0.14929999999999999</v>
      </c>
      <c r="D14" s="76">
        <v>6.8999999999999999E-3</v>
      </c>
      <c r="E14" s="76">
        <v>6.8999999999999999E-3</v>
      </c>
      <c r="F14" s="76">
        <v>2.07E-2</v>
      </c>
      <c r="G14" s="76">
        <v>5.0000000000000001E-3</v>
      </c>
      <c r="H14" s="76">
        <v>5.9799999999999999E-2</v>
      </c>
      <c r="I14" s="107">
        <v>0.05</v>
      </c>
      <c r="J14" s="108">
        <f t="shared" si="0"/>
        <v>0.14929999999999999</v>
      </c>
    </row>
    <row r="15" spans="1:10" ht="14.4">
      <c r="A15" s="73">
        <f t="shared" si="1"/>
        <v>1320000.01</v>
      </c>
      <c r="B15" s="73">
        <f>1440000</f>
        <v>1440000</v>
      </c>
      <c r="C15" s="74">
        <v>0.15060000000000001</v>
      </c>
      <c r="D15" s="76">
        <v>6.8999999999999999E-3</v>
      </c>
      <c r="E15" s="76">
        <v>6.8999999999999999E-3</v>
      </c>
      <c r="F15" s="76">
        <v>2.0899999999999998E-2</v>
      </c>
      <c r="G15" s="76">
        <v>5.0000000000000001E-3</v>
      </c>
      <c r="H15" s="76">
        <v>6.0900000000000003E-2</v>
      </c>
      <c r="I15" s="107">
        <v>0.05</v>
      </c>
      <c r="J15" s="108">
        <f t="shared" si="0"/>
        <v>0.15060000000000001</v>
      </c>
    </row>
    <row r="16" spans="1:10" ht="14.4">
      <c r="A16" s="73">
        <f t="shared" si="1"/>
        <v>1440000.01</v>
      </c>
      <c r="B16" s="73">
        <f>1560000</f>
        <v>1560000</v>
      </c>
      <c r="C16" s="74">
        <v>0.152</v>
      </c>
      <c r="D16" s="76">
        <v>7.1000000000000004E-3</v>
      </c>
      <c r="E16" s="76">
        <v>7.0000000000000001E-3</v>
      </c>
      <c r="F16" s="76">
        <v>2.1000000000000001E-2</v>
      </c>
      <c r="G16" s="76">
        <v>5.0000000000000001E-3</v>
      </c>
      <c r="H16" s="76">
        <v>6.1899999999999997E-2</v>
      </c>
      <c r="I16" s="107">
        <v>0.05</v>
      </c>
      <c r="J16" s="108">
        <f t="shared" si="0"/>
        <v>0.15200000000000002</v>
      </c>
    </row>
    <row r="17" spans="1:10" ht="14.4">
      <c r="A17" s="73">
        <f t="shared" si="1"/>
        <v>1560000.01</v>
      </c>
      <c r="B17" s="73">
        <f>1680000</f>
        <v>1680000</v>
      </c>
      <c r="C17" s="74">
        <v>0.1535</v>
      </c>
      <c r="D17" s="76">
        <v>7.1000000000000004E-3</v>
      </c>
      <c r="E17" s="76">
        <v>7.0000000000000001E-3</v>
      </c>
      <c r="F17" s="76">
        <v>2.1299999999999999E-2</v>
      </c>
      <c r="G17" s="76">
        <v>5.1000000000000004E-3</v>
      </c>
      <c r="H17" s="76">
        <v>6.3E-2</v>
      </c>
      <c r="I17" s="107">
        <v>0.05</v>
      </c>
      <c r="J17" s="108">
        <f t="shared" si="0"/>
        <v>0.15350000000000003</v>
      </c>
    </row>
    <row r="18" spans="1:10" ht="14.4">
      <c r="A18" s="73">
        <f t="shared" si="1"/>
        <v>1680000.01</v>
      </c>
      <c r="B18" s="73">
        <f>1800000</f>
        <v>1800000</v>
      </c>
      <c r="C18" s="74">
        <v>0.15479999999999999</v>
      </c>
      <c r="D18" s="76">
        <v>7.1999999999999998E-3</v>
      </c>
      <c r="E18" s="76">
        <v>7.0000000000000001E-3</v>
      </c>
      <c r="F18" s="76">
        <v>2.1499999999999998E-2</v>
      </c>
      <c r="G18" s="76">
        <v>5.1000000000000004E-3</v>
      </c>
      <c r="H18" s="76">
        <v>6.4000000000000001E-2</v>
      </c>
      <c r="I18" s="107">
        <v>0.05</v>
      </c>
      <c r="J18" s="108">
        <f t="shared" si="0"/>
        <v>0.15479999999999999</v>
      </c>
    </row>
    <row r="19" spans="1:10" ht="14.4">
      <c r="A19" s="73">
        <f t="shared" si="1"/>
        <v>1800000.01</v>
      </c>
      <c r="B19" s="73">
        <f>1920000</f>
        <v>1920000</v>
      </c>
      <c r="C19" s="74">
        <v>0.16850000000000001</v>
      </c>
      <c r="D19" s="76">
        <v>7.7999999999999996E-3</v>
      </c>
      <c r="E19" s="76">
        <v>7.6E-3</v>
      </c>
      <c r="F19" s="76">
        <v>2.3400000000000001E-2</v>
      </c>
      <c r="G19" s="76">
        <v>5.5999999999999999E-3</v>
      </c>
      <c r="H19" s="76">
        <v>7.4099999999999999E-2</v>
      </c>
      <c r="I19" s="107">
        <v>0.05</v>
      </c>
      <c r="J19" s="108">
        <f t="shared" si="0"/>
        <v>0.16849999999999998</v>
      </c>
    </row>
    <row r="20" spans="1:10" ht="14.4">
      <c r="A20" s="73">
        <f t="shared" si="1"/>
        <v>1920000.01</v>
      </c>
      <c r="B20" s="73">
        <f>2040000</f>
        <v>2040000</v>
      </c>
      <c r="C20" s="74">
        <v>0.16980000000000001</v>
      </c>
      <c r="D20" s="76">
        <v>7.7999999999999996E-3</v>
      </c>
      <c r="E20" s="76">
        <v>7.7999999999999996E-3</v>
      </c>
      <c r="F20" s="76">
        <v>2.3599999999999999E-2</v>
      </c>
      <c r="G20" s="76">
        <v>5.5999999999999999E-3</v>
      </c>
      <c r="H20" s="76">
        <v>7.4999999999999997E-2</v>
      </c>
      <c r="I20" s="107">
        <v>0.05</v>
      </c>
      <c r="J20" s="108">
        <f t="shared" si="0"/>
        <v>0.16980000000000001</v>
      </c>
    </row>
    <row r="21" spans="1:10" ht="15.75" customHeight="1">
      <c r="A21" s="73">
        <f t="shared" si="1"/>
        <v>2040000.01</v>
      </c>
      <c r="B21" s="73">
        <f>2160000</f>
        <v>2160000</v>
      </c>
      <c r="C21" s="74">
        <v>0.17130000000000001</v>
      </c>
      <c r="D21" s="76">
        <v>8.0000000000000002E-3</v>
      </c>
      <c r="E21" s="76">
        <v>7.9000000000000008E-3</v>
      </c>
      <c r="F21" s="76">
        <v>2.3699999999999999E-2</v>
      </c>
      <c r="G21" s="76">
        <v>5.7000000000000002E-3</v>
      </c>
      <c r="H21" s="76">
        <v>7.5999999999999998E-2</v>
      </c>
      <c r="I21" s="107">
        <v>0.05</v>
      </c>
      <c r="J21" s="108">
        <f t="shared" si="0"/>
        <v>0.17130000000000001</v>
      </c>
    </row>
    <row r="22" spans="1:10" ht="15.75" customHeight="1">
      <c r="A22" s="73">
        <f t="shared" si="1"/>
        <v>2160000.0099999998</v>
      </c>
      <c r="B22" s="73">
        <f>2280000</f>
        <v>2280000</v>
      </c>
      <c r="C22" s="74">
        <v>0.17269999999999999</v>
      </c>
      <c r="D22" s="76">
        <v>8.0000000000000002E-3</v>
      </c>
      <c r="E22" s="76">
        <v>7.9000000000000008E-3</v>
      </c>
      <c r="F22" s="76">
        <v>2.4E-2</v>
      </c>
      <c r="G22" s="76">
        <v>5.7000000000000002E-3</v>
      </c>
      <c r="H22" s="76">
        <v>7.7100000000000002E-2</v>
      </c>
      <c r="I22" s="107">
        <v>0.05</v>
      </c>
      <c r="J22" s="108">
        <f t="shared" si="0"/>
        <v>0.17270000000000002</v>
      </c>
    </row>
    <row r="23" spans="1:10" ht="15.75" customHeight="1">
      <c r="A23" s="73">
        <f>2280000.01</f>
        <v>2280000.0099999998</v>
      </c>
      <c r="B23" s="73">
        <v>2400000</v>
      </c>
      <c r="C23" s="74">
        <v>0.17419999999999999</v>
      </c>
      <c r="D23" s="76">
        <v>8.0999999999999996E-3</v>
      </c>
      <c r="E23" s="76">
        <v>7.9000000000000008E-3</v>
      </c>
      <c r="F23" s="76">
        <v>2.4199999999999999E-2</v>
      </c>
      <c r="G23" s="76">
        <v>5.7000000000000002E-3</v>
      </c>
      <c r="H23" s="76">
        <v>7.8299999999999995E-2</v>
      </c>
      <c r="I23" s="107">
        <v>0.05</v>
      </c>
      <c r="J23" s="108">
        <f t="shared" si="0"/>
        <v>0.17419999999999999</v>
      </c>
    </row>
    <row r="24" spans="1:10" ht="15.75" customHeight="1">
      <c r="A24" s="73">
        <f>2400000*1.2</f>
        <v>2880000</v>
      </c>
      <c r="B24" s="73"/>
      <c r="C24" s="74">
        <v>0.17419999999999999</v>
      </c>
      <c r="D24" s="74"/>
      <c r="E24" s="74"/>
      <c r="F24" s="74"/>
      <c r="G24" s="74"/>
      <c r="H24" s="74"/>
      <c r="I24" s="74"/>
    </row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3:B3"/>
  </mergeCells>
  <hyperlinks>
    <hyperlink ref="D3" r:id="rId1" xr:uid="{00000000-0004-0000-0300-000000000000}"/>
    <hyperlink ref="E3" r:id="rId2" xr:uid="{00000000-0004-0000-0300-000001000000}"/>
    <hyperlink ref="F3" r:id="rId3" xr:uid="{00000000-0004-0000-0300-000002000000}"/>
    <hyperlink ref="G3" r:id="rId4" xr:uid="{00000000-0004-0000-0300-000003000000}"/>
    <hyperlink ref="H3" r:id="rId5" xr:uid="{00000000-0004-0000-0300-000004000000}"/>
  </hyperlinks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topLeftCell="A13" workbookViewId="0">
      <selection activeCell="F39" sqref="F39"/>
    </sheetView>
  </sheetViews>
  <sheetFormatPr defaultColWidth="14.44140625" defaultRowHeight="15" customHeight="1"/>
  <cols>
    <col min="1" max="1" width="2.6640625" customWidth="1"/>
    <col min="2" max="2" width="3.109375" customWidth="1"/>
    <col min="3" max="3" width="41.33203125" customWidth="1"/>
    <col min="4" max="4" width="14.6640625" customWidth="1"/>
    <col min="5" max="5" width="3.88671875" customWidth="1"/>
    <col min="6" max="6" width="44.5546875" customWidth="1"/>
    <col min="7" max="7" width="14.6640625" customWidth="1"/>
    <col min="8" max="8" width="2" customWidth="1"/>
    <col min="9" max="9" width="43" customWidth="1"/>
    <col min="10" max="10" width="17.44140625" customWidth="1"/>
    <col min="11" max="11" width="9.109375" customWidth="1"/>
  </cols>
  <sheetData>
    <row r="1" spans="1:11" ht="14.4">
      <c r="A1" s="1"/>
      <c r="B1" s="2"/>
      <c r="C1" s="1"/>
      <c r="D1" s="4"/>
      <c r="E1" s="2"/>
      <c r="F1" s="1"/>
      <c r="G1" s="1"/>
      <c r="H1" s="1"/>
      <c r="I1" s="1"/>
      <c r="J1" s="1"/>
      <c r="K1" s="1"/>
    </row>
    <row r="2" spans="1:11" ht="26.25" customHeight="1">
      <c r="A2" s="1"/>
      <c r="B2" s="2"/>
      <c r="C2" s="81" t="s">
        <v>124</v>
      </c>
      <c r="D2" s="1"/>
      <c r="E2" s="2"/>
      <c r="F2" s="1"/>
      <c r="G2" s="1"/>
      <c r="H2" s="1"/>
      <c r="I2" s="1"/>
      <c r="J2" s="48"/>
      <c r="K2" s="1"/>
    </row>
    <row r="3" spans="1:11" ht="14.4">
      <c r="A3" s="1"/>
      <c r="B3" s="2"/>
      <c r="C3" s="1"/>
      <c r="D3" s="4"/>
      <c r="E3" s="2"/>
      <c r="F3" s="1"/>
      <c r="G3" s="1"/>
      <c r="H3" s="1"/>
      <c r="I3" s="1"/>
      <c r="J3" s="1"/>
      <c r="K3" s="1"/>
    </row>
    <row r="4" spans="1:11" ht="14.4">
      <c r="A4" s="1"/>
      <c r="B4" s="2"/>
      <c r="C4" s="1"/>
      <c r="D4" s="4"/>
      <c r="E4" s="2"/>
      <c r="F4" s="1"/>
      <c r="G4" s="1"/>
      <c r="H4" s="1"/>
      <c r="I4" s="1"/>
      <c r="J4" s="1"/>
      <c r="K4" s="1"/>
    </row>
    <row r="5" spans="1:11" ht="21">
      <c r="A5" s="1"/>
      <c r="B5" s="82" t="s">
        <v>113</v>
      </c>
      <c r="C5" s="1"/>
      <c r="D5" s="4"/>
      <c r="E5" s="2"/>
      <c r="F5" s="1"/>
      <c r="G5" s="1" t="s">
        <v>125</v>
      </c>
      <c r="H5" s="1"/>
      <c r="I5" s="1"/>
      <c r="J5" s="6" t="s">
        <v>3</v>
      </c>
      <c r="K5" s="1"/>
    </row>
    <row r="6" spans="1:11" ht="14.4">
      <c r="A6" s="1"/>
      <c r="B6" s="2"/>
      <c r="C6" s="1"/>
      <c r="D6" s="4"/>
      <c r="E6" s="2"/>
      <c r="F6" s="1"/>
      <c r="G6" s="1"/>
      <c r="H6" s="1"/>
      <c r="I6" s="1"/>
      <c r="J6" s="1"/>
      <c r="K6" s="1"/>
    </row>
    <row r="7" spans="1:11" ht="14.4">
      <c r="A7" s="1"/>
      <c r="B7" s="7"/>
      <c r="C7" s="8" t="s">
        <v>4</v>
      </c>
      <c r="D7" s="9"/>
      <c r="E7" s="2"/>
      <c r="F7" s="10" t="s">
        <v>5</v>
      </c>
      <c r="G7" s="11"/>
      <c r="H7" s="1"/>
      <c r="I7" s="10" t="s">
        <v>6</v>
      </c>
      <c r="J7" s="11"/>
      <c r="K7" s="1"/>
    </row>
    <row r="8" spans="1:11" ht="14.4">
      <c r="A8" s="1"/>
      <c r="B8" s="12"/>
      <c r="C8" s="1"/>
      <c r="D8" s="13"/>
      <c r="E8" s="2"/>
      <c r="F8" s="14"/>
      <c r="G8" s="15"/>
      <c r="H8" s="1"/>
      <c r="I8" s="14"/>
      <c r="J8" s="15"/>
      <c r="K8" s="1"/>
    </row>
    <row r="9" spans="1:11" ht="14.4">
      <c r="A9" s="1"/>
      <c r="B9" s="12"/>
      <c r="C9" s="1" t="s">
        <v>115</v>
      </c>
      <c r="D9" s="16">
        <v>300000</v>
      </c>
      <c r="E9" s="2"/>
      <c r="F9" s="14" t="s">
        <v>115</v>
      </c>
      <c r="G9" s="13">
        <f>D9</f>
        <v>300000</v>
      </c>
      <c r="H9" s="1"/>
      <c r="I9" s="14" t="s">
        <v>8</v>
      </c>
      <c r="J9" s="13">
        <f>G9</f>
        <v>300000</v>
      </c>
      <c r="K9" s="1"/>
    </row>
    <row r="10" spans="1:11" ht="14.4">
      <c r="A10" s="1"/>
      <c r="B10" s="12"/>
      <c r="C10" s="83">
        <v>0.05</v>
      </c>
      <c r="D10" s="13">
        <f>(D9*C10)</f>
        <v>15000</v>
      </c>
      <c r="E10" s="2"/>
      <c r="F10" s="84">
        <f t="shared" ref="F10:G10" si="0">C10</f>
        <v>0.05</v>
      </c>
      <c r="G10" s="13">
        <f t="shared" si="0"/>
        <v>15000</v>
      </c>
      <c r="H10" s="1"/>
      <c r="I10" s="14" t="s">
        <v>116</v>
      </c>
      <c r="J10" s="13">
        <f>G9*12</f>
        <v>3600000</v>
      </c>
      <c r="K10" s="1"/>
    </row>
    <row r="11" spans="1:11" ht="14.4">
      <c r="A11" s="1"/>
      <c r="B11" s="12"/>
      <c r="C11" s="21">
        <v>6.4999999999999997E-3</v>
      </c>
      <c r="D11" s="13">
        <f>D9*C11</f>
        <v>1950</v>
      </c>
      <c r="E11" s="2"/>
      <c r="F11" s="22">
        <v>6.4999999999999997E-3</v>
      </c>
      <c r="G11" s="13">
        <f>G9*F11</f>
        <v>1950</v>
      </c>
      <c r="H11" s="1"/>
      <c r="I11" s="14"/>
      <c r="J11" s="13"/>
      <c r="K11" s="1"/>
    </row>
    <row r="12" spans="1:11" ht="14.4">
      <c r="A12" s="1"/>
      <c r="B12" s="12"/>
      <c r="C12" s="24">
        <v>0.03</v>
      </c>
      <c r="D12" s="13">
        <f>D9*C12</f>
        <v>9000</v>
      </c>
      <c r="E12" s="2"/>
      <c r="F12" s="25">
        <v>0.03</v>
      </c>
      <c r="G12" s="13">
        <f>G9*F12</f>
        <v>9000</v>
      </c>
      <c r="H12" s="1"/>
      <c r="I12" s="14"/>
      <c r="J12" s="15"/>
      <c r="K12" s="1"/>
    </row>
    <row r="13" spans="1:11" ht="14.4">
      <c r="A13" s="1"/>
      <c r="B13" s="12" t="s">
        <v>11</v>
      </c>
      <c r="C13" s="1" t="s">
        <v>12</v>
      </c>
      <c r="D13" s="13">
        <f>D9-D10-D11-D12</f>
        <v>274050</v>
      </c>
      <c r="E13" s="2"/>
      <c r="F13" s="14" t="s">
        <v>12</v>
      </c>
      <c r="G13" s="13">
        <f>G9-G10-G11-G12</f>
        <v>274050</v>
      </c>
      <c r="H13" s="1"/>
      <c r="I13" s="14"/>
      <c r="J13" s="15"/>
      <c r="K13" s="1"/>
    </row>
    <row r="14" spans="1:11" ht="14.4">
      <c r="A14" s="1"/>
      <c r="B14" s="12" t="s">
        <v>13</v>
      </c>
      <c r="C14" s="109">
        <v>0.57999999999999996</v>
      </c>
      <c r="D14" s="13">
        <f>D9*C14</f>
        <v>174000</v>
      </c>
      <c r="E14" s="2"/>
      <c r="F14" s="86">
        <f>C14</f>
        <v>0.57999999999999996</v>
      </c>
      <c r="G14" s="13">
        <f>G9*F14</f>
        <v>174000</v>
      </c>
      <c r="H14" s="1"/>
      <c r="I14" s="86">
        <f>C14</f>
        <v>0.57999999999999996</v>
      </c>
      <c r="J14" s="13">
        <f>J9*I14</f>
        <v>174000</v>
      </c>
      <c r="K14" s="1"/>
    </row>
    <row r="15" spans="1:11" ht="14.4">
      <c r="A15" s="1"/>
      <c r="B15" s="12" t="s">
        <v>11</v>
      </c>
      <c r="C15" s="1" t="s">
        <v>14</v>
      </c>
      <c r="D15" s="13">
        <f>D13-D14</f>
        <v>100050</v>
      </c>
      <c r="E15" s="2"/>
      <c r="F15" s="14" t="s">
        <v>117</v>
      </c>
      <c r="G15" s="13">
        <f>G13-G14</f>
        <v>100050</v>
      </c>
      <c r="H15" s="1"/>
      <c r="I15" s="14"/>
      <c r="J15" s="15"/>
      <c r="K15" s="1"/>
    </row>
    <row r="16" spans="1:11" ht="14.4">
      <c r="A16" s="1"/>
      <c r="B16" s="12" t="s">
        <v>13</v>
      </c>
      <c r="C16" s="87">
        <v>0.1</v>
      </c>
      <c r="D16" s="13">
        <f>D9*C16</f>
        <v>30000</v>
      </c>
      <c r="E16" s="2"/>
      <c r="F16" s="88">
        <f t="shared" ref="F16:F18" si="1">C16</f>
        <v>0.1</v>
      </c>
      <c r="G16" s="13">
        <f>G9*F16</f>
        <v>30000</v>
      </c>
      <c r="H16" s="1"/>
      <c r="I16" s="89">
        <f>C16</f>
        <v>0.1</v>
      </c>
      <c r="J16" s="13">
        <f>J9*I16</f>
        <v>30000</v>
      </c>
      <c r="K16" s="1"/>
    </row>
    <row r="17" spans="1:11" ht="14.4">
      <c r="A17" s="1"/>
      <c r="B17" s="12" t="s">
        <v>13</v>
      </c>
      <c r="C17" s="90">
        <v>0.27500000000000002</v>
      </c>
      <c r="D17" s="13">
        <f>D16*C17</f>
        <v>8250</v>
      </c>
      <c r="E17" s="2"/>
      <c r="F17" s="91">
        <f t="shared" si="1"/>
        <v>0.27500000000000002</v>
      </c>
      <c r="G17" s="13">
        <f t="shared" ref="G17:G19" si="2">D17</f>
        <v>8250</v>
      </c>
      <c r="H17" s="1"/>
      <c r="I17" s="32"/>
      <c r="J17" s="13"/>
      <c r="K17" s="1"/>
    </row>
    <row r="18" spans="1:11" ht="14.4">
      <c r="A18" s="1"/>
      <c r="B18" s="12" t="s">
        <v>13</v>
      </c>
      <c r="C18" s="92">
        <v>0.02</v>
      </c>
      <c r="D18" s="13">
        <f>D9*C18</f>
        <v>6000</v>
      </c>
      <c r="E18" s="2"/>
      <c r="F18" s="93">
        <f t="shared" si="1"/>
        <v>0.02</v>
      </c>
      <c r="G18" s="13">
        <f t="shared" si="2"/>
        <v>6000</v>
      </c>
      <c r="H18" s="1"/>
      <c r="I18" s="91">
        <f t="shared" ref="I18:J18" si="3">F17</f>
        <v>0.27500000000000002</v>
      </c>
      <c r="J18" s="13">
        <f t="shared" si="3"/>
        <v>8250</v>
      </c>
      <c r="K18" s="1"/>
    </row>
    <row r="19" spans="1:11" ht="14.4">
      <c r="A19" s="1"/>
      <c r="B19" s="12" t="s">
        <v>11</v>
      </c>
      <c r="C19" s="35" t="s">
        <v>15</v>
      </c>
      <c r="D19" s="36">
        <f>D15-D16-D17-D18</f>
        <v>55800</v>
      </c>
      <c r="E19" s="2"/>
      <c r="F19" s="14" t="s">
        <v>15</v>
      </c>
      <c r="G19" s="36">
        <f t="shared" si="2"/>
        <v>55800</v>
      </c>
      <c r="H19" s="1"/>
      <c r="I19" s="14"/>
      <c r="J19" s="15"/>
      <c r="K19" s="1"/>
    </row>
    <row r="20" spans="1:11" ht="14.4">
      <c r="A20" s="1"/>
      <c r="B20" s="12"/>
      <c r="C20" s="37">
        <v>0.09</v>
      </c>
      <c r="D20" s="13">
        <f>D19*C20</f>
        <v>5022</v>
      </c>
      <c r="E20" s="2"/>
      <c r="F20" s="38" t="s">
        <v>16</v>
      </c>
      <c r="G20" s="15"/>
      <c r="H20" s="1"/>
      <c r="I20" s="93">
        <f>C18</f>
        <v>0.02</v>
      </c>
      <c r="J20" s="13">
        <f>J9*I20</f>
        <v>6000</v>
      </c>
      <c r="K20" s="1"/>
    </row>
    <row r="21" spans="1:11" ht="14.4">
      <c r="A21" s="1"/>
      <c r="B21" s="12"/>
      <c r="C21" s="39" t="s">
        <v>17</v>
      </c>
      <c r="D21" s="13"/>
      <c r="E21" s="2"/>
      <c r="F21" s="94">
        <v>0.12</v>
      </c>
      <c r="G21" s="13">
        <f>G9*F21</f>
        <v>36000</v>
      </c>
      <c r="H21" s="1"/>
      <c r="I21" s="14"/>
      <c r="J21" s="15"/>
      <c r="K21" s="1"/>
    </row>
    <row r="22" spans="1:11" ht="14.4">
      <c r="A22" s="1"/>
      <c r="B22" s="12"/>
      <c r="C22" s="41">
        <v>0.15</v>
      </c>
      <c r="D22" s="13">
        <f>D19*C22</f>
        <v>8370</v>
      </c>
      <c r="E22" s="2"/>
      <c r="F22" s="42">
        <v>0.09</v>
      </c>
      <c r="G22" s="13">
        <f>G21*F22</f>
        <v>3240</v>
      </c>
      <c r="H22" s="1"/>
      <c r="I22" s="14"/>
      <c r="J22" s="15"/>
      <c r="K22" s="1"/>
    </row>
    <row r="23" spans="1:11" ht="14.4">
      <c r="A23" s="1"/>
      <c r="B23" s="12"/>
      <c r="C23" s="1"/>
      <c r="D23" s="13"/>
      <c r="E23" s="2"/>
      <c r="F23" s="38" t="s">
        <v>18</v>
      </c>
      <c r="G23" s="15"/>
      <c r="H23" s="1"/>
      <c r="I23" s="43" t="s">
        <v>126</v>
      </c>
      <c r="J23" s="15"/>
      <c r="K23" s="1"/>
    </row>
    <row r="24" spans="1:11" ht="14.4">
      <c r="A24" s="1"/>
      <c r="B24" s="12"/>
      <c r="C24" s="1"/>
      <c r="D24" s="36">
        <f>D19-D20-D22</f>
        <v>42408</v>
      </c>
      <c r="E24" s="2"/>
      <c r="F24" s="94">
        <v>0.32</v>
      </c>
      <c r="G24" s="13">
        <f>G9*F24</f>
        <v>96000</v>
      </c>
      <c r="H24" s="1"/>
      <c r="I24" s="44">
        <f>VLOOKUP(J10,'Anexo IV'!A4:D24,3)</f>
        <v>0.16850000000000001</v>
      </c>
      <c r="J24" s="13">
        <f>J9*I24</f>
        <v>50550</v>
      </c>
      <c r="K24" s="1"/>
    </row>
    <row r="25" spans="1:11" ht="14.4">
      <c r="A25" s="1"/>
      <c r="B25" s="12"/>
      <c r="C25" s="45">
        <v>0.1</v>
      </c>
      <c r="D25" s="13">
        <f>IF(D24&gt;20000,(D24-20000)*C25,0)</f>
        <v>2240.8000000000002</v>
      </c>
      <c r="E25" s="2"/>
      <c r="F25" s="46">
        <f>C22</f>
        <v>0.15</v>
      </c>
      <c r="G25" s="13">
        <f>G24*F25</f>
        <v>14400</v>
      </c>
      <c r="H25" s="1"/>
      <c r="I25" s="14"/>
      <c r="J25" s="15"/>
      <c r="K25" s="1"/>
    </row>
    <row r="26" spans="1:11" ht="14.4">
      <c r="A26" s="1"/>
      <c r="B26" s="12"/>
      <c r="C26" s="1"/>
      <c r="D26" s="13"/>
      <c r="E26" s="2"/>
      <c r="F26" s="47">
        <v>0.1</v>
      </c>
      <c r="G26" s="13">
        <f>IF(G24&gt;20000,(G24-20000)*F26,0)</f>
        <v>7600</v>
      </c>
      <c r="H26" s="1"/>
      <c r="I26" s="14"/>
      <c r="J26" s="15"/>
      <c r="K26" s="1"/>
    </row>
    <row r="27" spans="1:11" ht="14.4">
      <c r="A27" s="1"/>
      <c r="B27" s="12"/>
      <c r="C27" s="1"/>
      <c r="D27" s="13"/>
      <c r="E27" s="2"/>
      <c r="F27" s="14"/>
      <c r="G27" s="15"/>
      <c r="H27" s="1"/>
      <c r="I27" s="14"/>
      <c r="J27" s="15"/>
      <c r="K27" s="1"/>
    </row>
    <row r="28" spans="1:11" ht="14.4">
      <c r="A28" s="1"/>
      <c r="B28" s="12"/>
      <c r="C28" s="48" t="s">
        <v>20</v>
      </c>
      <c r="D28" s="36">
        <f>D24-D25</f>
        <v>40167.199999999997</v>
      </c>
      <c r="E28" s="2"/>
      <c r="F28" s="43" t="s">
        <v>21</v>
      </c>
      <c r="G28" s="36">
        <f>G19-G22-G25</f>
        <v>38160</v>
      </c>
      <c r="H28" s="1"/>
      <c r="I28" s="43" t="s">
        <v>119</v>
      </c>
      <c r="J28" s="36">
        <f>J9-J14-J16-J18-J20-J24</f>
        <v>31200</v>
      </c>
      <c r="K28" s="1"/>
    </row>
    <row r="29" spans="1:11" ht="14.4">
      <c r="A29" s="1"/>
      <c r="B29" s="49"/>
      <c r="C29" s="50"/>
      <c r="D29" s="51"/>
      <c r="E29" s="2"/>
      <c r="F29" s="52"/>
      <c r="G29" s="53"/>
      <c r="H29" s="1"/>
      <c r="I29" s="52"/>
      <c r="J29" s="53"/>
      <c r="K29" s="1"/>
    </row>
    <row r="30" spans="1:11" ht="15.75" customHeight="1">
      <c r="A30" s="1"/>
      <c r="B30" s="2"/>
      <c r="C30" s="1"/>
      <c r="D30" s="4"/>
      <c r="E30" s="2"/>
      <c r="F30" s="1"/>
      <c r="G30" s="1"/>
      <c r="H30" s="1"/>
      <c r="I30" s="1"/>
      <c r="J30" s="1"/>
      <c r="K30" s="1"/>
    </row>
    <row r="31" spans="1:11" ht="14.4">
      <c r="A31" s="1"/>
      <c r="B31" s="2"/>
      <c r="C31" s="95">
        <f>D10+D11+D12+D17+D20+D22+D25</f>
        <v>49832.800000000003</v>
      </c>
      <c r="D31" s="4"/>
      <c r="E31" s="2"/>
      <c r="F31" s="96">
        <f t="shared" ref="F31:F33" si="4">C31</f>
        <v>49832.800000000003</v>
      </c>
      <c r="G31" s="1"/>
      <c r="H31" s="1"/>
      <c r="I31" s="96">
        <f t="shared" ref="I31:I33" si="5">C31</f>
        <v>49832.800000000003</v>
      </c>
      <c r="J31" s="1"/>
      <c r="K31" s="1"/>
    </row>
    <row r="32" spans="1:11" ht="14.4">
      <c r="A32" s="1"/>
      <c r="B32" s="2"/>
      <c r="C32" s="97">
        <f>G10+G11+G12+G17+G22+G25+G26</f>
        <v>59440</v>
      </c>
      <c r="D32" s="4"/>
      <c r="E32" s="2"/>
      <c r="F32" s="98">
        <f t="shared" si="4"/>
        <v>59440</v>
      </c>
      <c r="G32" s="1"/>
      <c r="H32" s="1"/>
      <c r="I32" s="97">
        <f t="shared" si="5"/>
        <v>59440</v>
      </c>
      <c r="J32" s="1"/>
      <c r="K32" s="1"/>
    </row>
    <row r="33" spans="1:11" ht="14.4">
      <c r="A33" s="1"/>
      <c r="B33" s="2"/>
      <c r="C33" s="99">
        <f>J16+J24</f>
        <v>80550</v>
      </c>
      <c r="D33" s="4"/>
      <c r="E33" s="2"/>
      <c r="F33" s="99">
        <f t="shared" si="4"/>
        <v>80550</v>
      </c>
      <c r="G33" s="1"/>
      <c r="H33" s="1"/>
      <c r="I33" s="100">
        <f t="shared" si="5"/>
        <v>80550</v>
      </c>
      <c r="J33" s="1"/>
      <c r="K33" s="1"/>
    </row>
    <row r="34" spans="1:11" ht="14.4">
      <c r="A34" s="1"/>
      <c r="B34" s="2"/>
      <c r="C34" s="1"/>
      <c r="D34" s="4"/>
      <c r="E34" s="2"/>
      <c r="F34" s="1"/>
      <c r="G34" s="4"/>
      <c r="H34" s="1"/>
      <c r="I34" s="1"/>
      <c r="J34" s="4"/>
      <c r="K34" s="1"/>
    </row>
    <row r="35" spans="1:11" ht="14.4">
      <c r="A35" s="1"/>
      <c r="B35" s="2"/>
      <c r="C35" s="101">
        <f>G28</f>
        <v>38160</v>
      </c>
      <c r="D35" s="4"/>
      <c r="E35" s="2"/>
      <c r="F35" s="102">
        <f>D28</f>
        <v>40167.199999999997</v>
      </c>
      <c r="G35" s="4"/>
      <c r="H35" s="1"/>
      <c r="I35" s="101">
        <f>G28</f>
        <v>38160</v>
      </c>
      <c r="J35" s="1"/>
      <c r="K35" s="1"/>
    </row>
    <row r="36" spans="1:11" ht="14.4">
      <c r="A36" s="1"/>
      <c r="B36" s="2"/>
      <c r="C36" s="103">
        <f>J28</f>
        <v>31200</v>
      </c>
      <c r="D36" s="4"/>
      <c r="E36" s="2"/>
      <c r="F36" s="103">
        <f>J28</f>
        <v>31200</v>
      </c>
      <c r="G36" s="1"/>
      <c r="H36" s="1"/>
      <c r="I36" s="104">
        <f>D28</f>
        <v>40167.199999999997</v>
      </c>
      <c r="J36" s="1"/>
      <c r="K36" s="1"/>
    </row>
    <row r="37" spans="1:11" ht="15.75" customHeight="1">
      <c r="A37" s="1"/>
      <c r="B37" s="2"/>
      <c r="C37" s="1"/>
      <c r="D37" s="4"/>
      <c r="E37" s="2"/>
      <c r="F37" s="1"/>
      <c r="G37" s="1"/>
      <c r="H37" s="1"/>
      <c r="I37" s="1"/>
      <c r="J37" s="1"/>
      <c r="K37" s="1"/>
    </row>
    <row r="38" spans="1:11" ht="15.75" customHeight="1">
      <c r="A38" s="1"/>
      <c r="B38" s="2"/>
      <c r="C38" s="1"/>
      <c r="D38" s="4"/>
      <c r="E38" s="2"/>
      <c r="F38" s="1"/>
      <c r="G38" s="1"/>
      <c r="H38" s="1"/>
      <c r="I38" s="1"/>
      <c r="J38" s="1"/>
      <c r="K38" s="1"/>
    </row>
    <row r="39" spans="1:11" ht="19.2" customHeight="1">
      <c r="A39" s="1"/>
      <c r="B39" s="2"/>
      <c r="C39" s="116"/>
      <c r="D39" s="4"/>
      <c r="E39" s="2"/>
      <c r="F39" s="115"/>
      <c r="G39" s="1"/>
      <c r="H39" s="1"/>
      <c r="I39" s="1"/>
      <c r="J39" s="1"/>
      <c r="K39" s="1"/>
    </row>
    <row r="40" spans="1:11" ht="15.75" customHeight="1">
      <c r="A40" s="1"/>
      <c r="B40" s="2"/>
      <c r="C40" s="1"/>
      <c r="D40" s="4"/>
      <c r="E40" s="2"/>
      <c r="F40" s="1"/>
      <c r="G40" s="1"/>
      <c r="H40" s="1"/>
      <c r="I40" s="1"/>
      <c r="J40" s="1"/>
      <c r="K40" s="1"/>
    </row>
    <row r="41" spans="1:11" ht="15.75" customHeight="1">
      <c r="A41" s="1"/>
      <c r="B41" s="2"/>
      <c r="C41" s="1"/>
      <c r="D41" s="4"/>
      <c r="E41" s="2"/>
      <c r="F41" s="1"/>
      <c r="G41" s="1"/>
      <c r="H41" s="1"/>
      <c r="I41" s="1"/>
      <c r="J41" s="1"/>
      <c r="K41" s="1"/>
    </row>
    <row r="42" spans="1:11" ht="15.75" customHeight="1">
      <c r="A42" s="1"/>
      <c r="B42" s="2"/>
      <c r="C42" s="1"/>
      <c r="D42" s="4"/>
      <c r="E42" s="2"/>
      <c r="F42" s="1"/>
      <c r="G42" s="1"/>
      <c r="H42" s="1"/>
      <c r="I42" s="1"/>
      <c r="J42" s="1"/>
      <c r="K42" s="1"/>
    </row>
    <row r="43" spans="1:11" ht="15.75" customHeight="1">
      <c r="A43" s="1"/>
      <c r="B43" s="2"/>
      <c r="C43" s="1"/>
      <c r="D43" s="4"/>
      <c r="E43" s="2"/>
      <c r="F43" s="1"/>
      <c r="G43" s="1"/>
      <c r="H43" s="1"/>
      <c r="I43" s="1"/>
      <c r="J43" s="1"/>
      <c r="K43" s="1"/>
    </row>
    <row r="44" spans="1:11" ht="15.75" customHeight="1">
      <c r="A44" s="1"/>
      <c r="B44" s="2"/>
      <c r="C44" s="1"/>
      <c r="D44" s="4"/>
      <c r="E44" s="2"/>
      <c r="F44" s="1"/>
      <c r="G44" s="1"/>
      <c r="H44" s="1"/>
      <c r="I44" s="1"/>
      <c r="J44" s="1"/>
      <c r="K44" s="1"/>
    </row>
    <row r="45" spans="1:11" ht="15.75" customHeight="1">
      <c r="A45" s="1"/>
      <c r="B45" s="2"/>
      <c r="C45" s="1"/>
      <c r="D45" s="4"/>
      <c r="E45" s="2"/>
      <c r="F45" s="1"/>
      <c r="G45" s="1"/>
      <c r="H45" s="1"/>
      <c r="I45" s="1"/>
      <c r="J45" s="1"/>
      <c r="K45" s="1"/>
    </row>
    <row r="46" spans="1:11" ht="15.75" customHeight="1">
      <c r="A46" s="1"/>
      <c r="B46" s="2"/>
      <c r="C46" s="1"/>
      <c r="D46" s="4"/>
      <c r="E46" s="2"/>
      <c r="F46" s="1"/>
      <c r="G46" s="1"/>
      <c r="H46" s="1"/>
      <c r="I46" s="1"/>
      <c r="J46" s="1"/>
      <c r="K46" s="1"/>
    </row>
    <row r="47" spans="1:11" ht="15.75" customHeight="1">
      <c r="A47" s="1"/>
      <c r="B47" s="2"/>
      <c r="C47" s="1"/>
      <c r="D47" s="4"/>
      <c r="E47" s="2"/>
      <c r="F47" s="1"/>
      <c r="G47" s="1"/>
      <c r="H47" s="1"/>
      <c r="I47" s="1"/>
      <c r="J47" s="1"/>
      <c r="K47" s="1"/>
    </row>
    <row r="48" spans="1:11" ht="15.75" customHeight="1">
      <c r="A48" s="1"/>
      <c r="B48" s="2"/>
      <c r="C48" s="1"/>
      <c r="D48" s="4"/>
      <c r="E48" s="2"/>
      <c r="F48" s="1"/>
      <c r="G48" s="1"/>
      <c r="H48" s="1"/>
      <c r="I48" s="1"/>
      <c r="J48" s="1"/>
      <c r="K48" s="1"/>
    </row>
    <row r="49" spans="1:11" ht="15.75" customHeight="1">
      <c r="A49" s="1"/>
      <c r="B49" s="2"/>
      <c r="C49" s="1"/>
      <c r="D49" s="4"/>
      <c r="E49" s="2"/>
      <c r="F49" s="1"/>
      <c r="G49" s="1"/>
      <c r="H49" s="1"/>
      <c r="I49" s="1"/>
      <c r="J49" s="1"/>
      <c r="K49" s="1"/>
    </row>
    <row r="50" spans="1:11" ht="15.75" customHeight="1">
      <c r="A50" s="1"/>
      <c r="B50" s="2"/>
      <c r="C50" s="1"/>
      <c r="D50" s="4"/>
      <c r="E50" s="2"/>
      <c r="F50" s="1"/>
      <c r="G50" s="1"/>
      <c r="H50" s="1"/>
      <c r="I50" s="1"/>
      <c r="J50" s="1"/>
      <c r="K50" s="1"/>
    </row>
    <row r="51" spans="1:11" ht="15.75" customHeight="1">
      <c r="A51" s="1"/>
      <c r="B51" s="2"/>
      <c r="C51" s="1"/>
      <c r="D51" s="4"/>
      <c r="E51" s="2"/>
      <c r="F51" s="1"/>
      <c r="G51" s="1"/>
      <c r="H51" s="1"/>
      <c r="I51" s="1"/>
      <c r="J51" s="1"/>
      <c r="K51" s="1"/>
    </row>
    <row r="52" spans="1:11" ht="15.75" customHeight="1">
      <c r="A52" s="1"/>
      <c r="B52" s="2"/>
      <c r="C52" s="1"/>
      <c r="D52" s="4"/>
      <c r="E52" s="2"/>
      <c r="F52" s="1"/>
      <c r="G52" s="1"/>
      <c r="H52" s="1"/>
      <c r="I52" s="1"/>
      <c r="J52" s="1"/>
      <c r="K52" s="1"/>
    </row>
    <row r="53" spans="1:11" ht="15.75" customHeight="1">
      <c r="A53" s="1"/>
      <c r="B53" s="2"/>
      <c r="C53" s="1"/>
      <c r="D53" s="4"/>
      <c r="E53" s="2"/>
      <c r="F53" s="1"/>
      <c r="G53" s="1"/>
      <c r="H53" s="1"/>
      <c r="I53" s="1"/>
      <c r="J53" s="1"/>
      <c r="K53" s="1"/>
    </row>
    <row r="54" spans="1:11" ht="15.75" customHeight="1">
      <c r="A54" s="1"/>
      <c r="B54" s="2"/>
      <c r="C54" s="1"/>
      <c r="D54" s="4"/>
      <c r="E54" s="2"/>
      <c r="F54" s="1"/>
      <c r="G54" s="1"/>
      <c r="H54" s="1"/>
      <c r="I54" s="1"/>
      <c r="J54" s="1"/>
      <c r="K54" s="1"/>
    </row>
    <row r="55" spans="1:11" ht="15.75" customHeight="1">
      <c r="A55" s="1"/>
      <c r="B55" s="2"/>
      <c r="C55" s="1"/>
      <c r="D55" s="4"/>
      <c r="E55" s="2"/>
      <c r="F55" s="1"/>
      <c r="G55" s="1"/>
      <c r="H55" s="1"/>
      <c r="I55" s="1"/>
      <c r="J55" s="1"/>
      <c r="K55" s="1"/>
    </row>
    <row r="56" spans="1:11" ht="15.75" customHeight="1">
      <c r="A56" s="1"/>
      <c r="B56" s="2"/>
      <c r="C56" s="1"/>
      <c r="D56" s="4"/>
      <c r="E56" s="2"/>
      <c r="F56" s="1"/>
      <c r="G56" s="1"/>
      <c r="H56" s="1"/>
      <c r="I56" s="1"/>
      <c r="J56" s="1"/>
      <c r="K56" s="1"/>
    </row>
    <row r="57" spans="1:11" ht="15.75" customHeight="1">
      <c r="A57" s="1"/>
      <c r="B57" s="2"/>
      <c r="C57" s="1"/>
      <c r="D57" s="4"/>
      <c r="E57" s="2"/>
      <c r="F57" s="1"/>
      <c r="G57" s="1"/>
      <c r="H57" s="1"/>
      <c r="I57" s="1"/>
      <c r="J57" s="1"/>
      <c r="K57" s="1"/>
    </row>
    <row r="58" spans="1:11" ht="15.75" customHeight="1">
      <c r="A58" s="1"/>
      <c r="B58" s="2"/>
      <c r="C58" s="1"/>
      <c r="D58" s="4"/>
      <c r="E58" s="2"/>
      <c r="F58" s="1"/>
      <c r="G58" s="1"/>
      <c r="H58" s="1"/>
      <c r="I58" s="1"/>
      <c r="J58" s="1"/>
      <c r="K58" s="1"/>
    </row>
    <row r="59" spans="1:11" ht="15.75" customHeight="1">
      <c r="A59" s="1"/>
      <c r="B59" s="2"/>
      <c r="C59" s="1"/>
      <c r="D59" s="4"/>
      <c r="E59" s="2"/>
      <c r="F59" s="1"/>
      <c r="G59" s="1"/>
      <c r="H59" s="1"/>
      <c r="I59" s="1"/>
      <c r="J59" s="1"/>
      <c r="K59" s="1"/>
    </row>
    <row r="60" spans="1:11" ht="15.75" customHeight="1">
      <c r="A60" s="1"/>
      <c r="B60" s="2"/>
      <c r="C60" s="1"/>
      <c r="D60" s="4"/>
      <c r="E60" s="2"/>
      <c r="F60" s="1"/>
      <c r="G60" s="1"/>
      <c r="H60" s="1"/>
      <c r="I60" s="1"/>
      <c r="J60" s="1"/>
      <c r="K60" s="1"/>
    </row>
    <row r="61" spans="1:11" ht="15.75" customHeight="1">
      <c r="A61" s="1"/>
      <c r="B61" s="2"/>
      <c r="C61" s="1"/>
      <c r="D61" s="4"/>
      <c r="E61" s="2"/>
      <c r="F61" s="1"/>
      <c r="G61" s="1"/>
      <c r="H61" s="1"/>
      <c r="I61" s="1"/>
      <c r="J61" s="1"/>
      <c r="K61" s="1"/>
    </row>
    <row r="62" spans="1:11" ht="15.75" customHeight="1">
      <c r="A62" s="1"/>
      <c r="B62" s="2"/>
      <c r="C62" s="1"/>
      <c r="D62" s="4"/>
      <c r="E62" s="2"/>
      <c r="F62" s="1"/>
      <c r="G62" s="1"/>
      <c r="H62" s="1"/>
      <c r="I62" s="1"/>
      <c r="J62" s="1"/>
      <c r="K62" s="1"/>
    </row>
    <row r="63" spans="1:11" ht="15.75" customHeight="1">
      <c r="A63" s="1"/>
      <c r="B63" s="2"/>
      <c r="C63" s="1"/>
      <c r="D63" s="4"/>
      <c r="E63" s="2"/>
      <c r="F63" s="1"/>
      <c r="G63" s="1"/>
      <c r="H63" s="1"/>
      <c r="I63" s="1"/>
      <c r="J63" s="1"/>
      <c r="K63" s="1"/>
    </row>
    <row r="64" spans="1:11" ht="15.75" customHeight="1">
      <c r="A64" s="1"/>
      <c r="B64" s="2"/>
      <c r="C64" s="1"/>
      <c r="D64" s="4"/>
      <c r="E64" s="2"/>
      <c r="F64" s="1"/>
      <c r="G64" s="1"/>
      <c r="H64" s="1"/>
      <c r="I64" s="1"/>
      <c r="J64" s="1"/>
      <c r="K64" s="1"/>
    </row>
    <row r="65" spans="1:11" ht="15.75" customHeight="1">
      <c r="A65" s="1"/>
      <c r="B65" s="2"/>
      <c r="C65" s="1"/>
      <c r="D65" s="4"/>
      <c r="E65" s="2"/>
      <c r="F65" s="1"/>
      <c r="G65" s="1"/>
      <c r="H65" s="1"/>
      <c r="I65" s="1"/>
      <c r="J65" s="1"/>
      <c r="K65" s="1"/>
    </row>
    <row r="66" spans="1:11" ht="15.75" customHeight="1">
      <c r="A66" s="1"/>
      <c r="B66" s="2"/>
      <c r="C66" s="1"/>
      <c r="D66" s="4"/>
      <c r="E66" s="2"/>
      <c r="F66" s="1"/>
      <c r="G66" s="1"/>
      <c r="H66" s="1"/>
      <c r="I66" s="1"/>
      <c r="J66" s="1"/>
      <c r="K66" s="1"/>
    </row>
    <row r="67" spans="1:11" ht="15.75" customHeight="1">
      <c r="A67" s="1"/>
      <c r="B67" s="2"/>
      <c r="C67" s="1"/>
      <c r="D67" s="4"/>
      <c r="E67" s="2"/>
      <c r="F67" s="1"/>
      <c r="G67" s="1"/>
      <c r="H67" s="1"/>
      <c r="I67" s="1"/>
      <c r="J67" s="1"/>
      <c r="K67" s="1"/>
    </row>
    <row r="68" spans="1:11" ht="15.75" customHeight="1">
      <c r="A68" s="1"/>
      <c r="B68" s="2"/>
      <c r="C68" s="1"/>
      <c r="D68" s="4"/>
      <c r="E68" s="2"/>
      <c r="F68" s="1"/>
      <c r="G68" s="1"/>
      <c r="H68" s="1"/>
      <c r="I68" s="1"/>
      <c r="J68" s="1"/>
      <c r="K68" s="1"/>
    </row>
    <row r="69" spans="1:11" ht="15.75" customHeight="1">
      <c r="A69" s="1"/>
      <c r="B69" s="2"/>
      <c r="C69" s="1"/>
      <c r="D69" s="4"/>
      <c r="E69" s="2"/>
      <c r="F69" s="1"/>
      <c r="G69" s="1"/>
      <c r="H69" s="1"/>
      <c r="I69" s="1"/>
      <c r="J69" s="1"/>
      <c r="K69" s="1"/>
    </row>
    <row r="70" spans="1:11" ht="15.75" customHeight="1">
      <c r="A70" s="1"/>
      <c r="B70" s="2"/>
      <c r="C70" s="1"/>
      <c r="D70" s="4"/>
      <c r="E70" s="2"/>
      <c r="F70" s="1"/>
      <c r="G70" s="1"/>
      <c r="H70" s="1"/>
      <c r="I70" s="1"/>
      <c r="J70" s="1"/>
      <c r="K70" s="1"/>
    </row>
    <row r="71" spans="1:11" ht="15.75" customHeight="1">
      <c r="A71" s="1"/>
      <c r="B71" s="2"/>
      <c r="C71" s="1"/>
      <c r="D71" s="4"/>
      <c r="E71" s="2"/>
      <c r="F71" s="1"/>
      <c r="G71" s="1"/>
      <c r="H71" s="1"/>
      <c r="I71" s="1"/>
      <c r="J71" s="1"/>
      <c r="K71" s="1"/>
    </row>
    <row r="72" spans="1:11" ht="15.75" customHeight="1">
      <c r="A72" s="1"/>
      <c r="B72" s="2"/>
      <c r="C72" s="1"/>
      <c r="D72" s="4"/>
      <c r="E72" s="2"/>
      <c r="F72" s="1"/>
      <c r="G72" s="1"/>
      <c r="H72" s="1"/>
      <c r="I72" s="1"/>
      <c r="J72" s="1"/>
      <c r="K72" s="1"/>
    </row>
    <row r="73" spans="1:11" ht="15.75" customHeight="1">
      <c r="A73" s="1"/>
      <c r="B73" s="2"/>
      <c r="C73" s="1"/>
      <c r="D73" s="4"/>
      <c r="E73" s="2"/>
      <c r="F73" s="1"/>
      <c r="G73" s="1"/>
      <c r="H73" s="1"/>
      <c r="I73" s="1"/>
      <c r="J73" s="1"/>
      <c r="K73" s="1"/>
    </row>
    <row r="74" spans="1:11" ht="15.75" customHeight="1">
      <c r="A74" s="1"/>
      <c r="B74" s="2"/>
      <c r="C74" s="1"/>
      <c r="D74" s="4"/>
      <c r="E74" s="2"/>
      <c r="F74" s="1"/>
      <c r="G74" s="1"/>
      <c r="H74" s="1"/>
      <c r="I74" s="1"/>
      <c r="J74" s="1"/>
      <c r="K74" s="1"/>
    </row>
    <row r="75" spans="1:11" ht="15.75" customHeight="1">
      <c r="A75" s="1"/>
      <c r="B75" s="2"/>
      <c r="C75" s="1"/>
      <c r="D75" s="4"/>
      <c r="E75" s="2"/>
      <c r="F75" s="1"/>
      <c r="G75" s="1"/>
      <c r="H75" s="1"/>
      <c r="I75" s="1"/>
      <c r="J75" s="1"/>
      <c r="K75" s="1"/>
    </row>
    <row r="76" spans="1:11" ht="15.75" customHeight="1">
      <c r="A76" s="1"/>
      <c r="B76" s="2"/>
      <c r="C76" s="1"/>
      <c r="D76" s="4"/>
      <c r="E76" s="2"/>
      <c r="F76" s="1"/>
      <c r="G76" s="1"/>
      <c r="H76" s="1"/>
      <c r="I76" s="1"/>
      <c r="J76" s="1"/>
      <c r="K76" s="1"/>
    </row>
    <row r="77" spans="1:11" ht="15.75" customHeight="1">
      <c r="A77" s="1"/>
      <c r="B77" s="2"/>
      <c r="C77" s="1"/>
      <c r="D77" s="4"/>
      <c r="E77" s="2"/>
      <c r="F77" s="1"/>
      <c r="G77" s="1"/>
      <c r="H77" s="1"/>
      <c r="I77" s="1"/>
      <c r="J77" s="1"/>
      <c r="K77" s="1"/>
    </row>
    <row r="78" spans="1:11" ht="15.75" customHeight="1">
      <c r="A78" s="1"/>
      <c r="B78" s="2"/>
      <c r="C78" s="1"/>
      <c r="D78" s="4"/>
      <c r="E78" s="2"/>
      <c r="F78" s="1"/>
      <c r="G78" s="1"/>
      <c r="H78" s="1"/>
      <c r="I78" s="1"/>
      <c r="J78" s="1"/>
      <c r="K78" s="1"/>
    </row>
    <row r="79" spans="1:11" ht="15.75" customHeight="1">
      <c r="A79" s="1"/>
      <c r="B79" s="2"/>
      <c r="C79" s="1"/>
      <c r="D79" s="4"/>
      <c r="E79" s="2"/>
      <c r="F79" s="1"/>
      <c r="G79" s="1"/>
      <c r="H79" s="1"/>
      <c r="I79" s="1"/>
      <c r="J79" s="1"/>
      <c r="K79" s="1"/>
    </row>
    <row r="80" spans="1:11" ht="15.75" customHeight="1">
      <c r="A80" s="1"/>
      <c r="B80" s="2"/>
      <c r="C80" s="1"/>
      <c r="D80" s="4"/>
      <c r="E80" s="2"/>
      <c r="F80" s="1"/>
      <c r="G80" s="1"/>
      <c r="H80" s="1"/>
      <c r="I80" s="1"/>
      <c r="J80" s="1"/>
      <c r="K80" s="1"/>
    </row>
    <row r="81" spans="1:11" ht="15.75" customHeight="1">
      <c r="A81" s="1"/>
      <c r="B81" s="2"/>
      <c r="C81" s="1"/>
      <c r="D81" s="4"/>
      <c r="E81" s="2"/>
      <c r="F81" s="1"/>
      <c r="G81" s="1"/>
      <c r="H81" s="1"/>
      <c r="I81" s="1"/>
      <c r="J81" s="1"/>
      <c r="K81" s="1"/>
    </row>
    <row r="82" spans="1:11" ht="15.75" customHeight="1">
      <c r="A82" s="1"/>
      <c r="B82" s="2"/>
      <c r="C82" s="1"/>
      <c r="D82" s="4"/>
      <c r="E82" s="2"/>
      <c r="F82" s="1"/>
      <c r="G82" s="1"/>
      <c r="H82" s="1"/>
      <c r="I82" s="1"/>
      <c r="J82" s="1"/>
      <c r="K82" s="1"/>
    </row>
    <row r="83" spans="1:11" ht="15.75" customHeight="1">
      <c r="A83" s="1"/>
      <c r="B83" s="2"/>
      <c r="C83" s="1"/>
      <c r="D83" s="4"/>
      <c r="E83" s="2"/>
      <c r="F83" s="1"/>
      <c r="G83" s="1"/>
      <c r="H83" s="1"/>
      <c r="I83" s="1"/>
      <c r="J83" s="1"/>
      <c r="K83" s="1"/>
    </row>
    <row r="84" spans="1:11" ht="15.75" customHeight="1">
      <c r="A84" s="1"/>
      <c r="B84" s="2"/>
      <c r="C84" s="1"/>
      <c r="D84" s="4"/>
      <c r="E84" s="2"/>
      <c r="F84" s="1"/>
      <c r="G84" s="1"/>
      <c r="H84" s="1"/>
      <c r="I84" s="1"/>
      <c r="J84" s="1"/>
      <c r="K84" s="1"/>
    </row>
    <row r="85" spans="1:11" ht="15.75" customHeight="1">
      <c r="A85" s="1"/>
      <c r="B85" s="2"/>
      <c r="C85" s="1"/>
      <c r="D85" s="4"/>
      <c r="E85" s="2"/>
      <c r="F85" s="1"/>
      <c r="G85" s="1"/>
      <c r="H85" s="1"/>
      <c r="I85" s="1"/>
      <c r="J85" s="1"/>
      <c r="K85" s="1"/>
    </row>
    <row r="86" spans="1:11" ht="15.75" customHeight="1">
      <c r="A86" s="1"/>
      <c r="B86" s="2"/>
      <c r="C86" s="1"/>
      <c r="D86" s="4"/>
      <c r="E86" s="2"/>
      <c r="F86" s="1"/>
      <c r="G86" s="1"/>
      <c r="H86" s="1"/>
      <c r="I86" s="1"/>
      <c r="J86" s="1"/>
      <c r="K86" s="1"/>
    </row>
    <row r="87" spans="1:11" ht="15.75" customHeight="1">
      <c r="A87" s="1"/>
      <c r="B87" s="2"/>
      <c r="C87" s="1"/>
      <c r="D87" s="4"/>
      <c r="E87" s="2"/>
      <c r="F87" s="1"/>
      <c r="G87" s="1"/>
      <c r="H87" s="1"/>
      <c r="I87" s="1"/>
      <c r="J87" s="1"/>
      <c r="K87" s="1"/>
    </row>
    <row r="88" spans="1:11" ht="15.75" customHeight="1">
      <c r="A88" s="1"/>
      <c r="B88" s="2"/>
      <c r="C88" s="1"/>
      <c r="D88" s="4"/>
      <c r="E88" s="2"/>
      <c r="F88" s="1"/>
      <c r="G88" s="1"/>
      <c r="H88" s="1"/>
      <c r="I88" s="1"/>
      <c r="J88" s="1"/>
      <c r="K88" s="1"/>
    </row>
    <row r="89" spans="1:11" ht="15.75" customHeight="1">
      <c r="A89" s="1"/>
      <c r="B89" s="2"/>
      <c r="C89" s="1"/>
      <c r="D89" s="4"/>
      <c r="E89" s="2"/>
      <c r="F89" s="1"/>
      <c r="G89" s="1"/>
      <c r="H89" s="1"/>
      <c r="I89" s="1"/>
      <c r="J89" s="1"/>
      <c r="K89" s="1"/>
    </row>
    <row r="90" spans="1:11" ht="15.75" customHeight="1">
      <c r="A90" s="1"/>
      <c r="B90" s="2"/>
      <c r="C90" s="1"/>
      <c r="D90" s="4"/>
      <c r="E90" s="2"/>
      <c r="F90" s="1"/>
      <c r="G90" s="1"/>
      <c r="H90" s="1"/>
      <c r="I90" s="1"/>
      <c r="J90" s="1"/>
      <c r="K90" s="1"/>
    </row>
    <row r="91" spans="1:11" ht="15.75" customHeight="1">
      <c r="A91" s="1"/>
      <c r="B91" s="2"/>
      <c r="C91" s="1"/>
      <c r="D91" s="4"/>
      <c r="E91" s="2"/>
      <c r="F91" s="1"/>
      <c r="G91" s="1"/>
      <c r="H91" s="1"/>
      <c r="I91" s="1"/>
      <c r="J91" s="1"/>
      <c r="K91" s="1"/>
    </row>
    <row r="92" spans="1:11" ht="15.75" customHeight="1">
      <c r="A92" s="1"/>
      <c r="B92" s="2"/>
      <c r="C92" s="1"/>
      <c r="D92" s="4"/>
      <c r="E92" s="2"/>
      <c r="F92" s="1"/>
      <c r="G92" s="1"/>
      <c r="H92" s="1"/>
      <c r="I92" s="1"/>
      <c r="J92" s="1"/>
      <c r="K92" s="1"/>
    </row>
    <row r="93" spans="1:11" ht="15.75" customHeight="1">
      <c r="A93" s="1"/>
      <c r="B93" s="2"/>
      <c r="C93" s="1"/>
      <c r="D93" s="4"/>
      <c r="E93" s="2"/>
      <c r="F93" s="1"/>
      <c r="G93" s="1"/>
      <c r="H93" s="1"/>
      <c r="I93" s="1"/>
      <c r="J93" s="1"/>
      <c r="K93" s="1"/>
    </row>
    <row r="94" spans="1:11" ht="15.75" customHeight="1">
      <c r="A94" s="1"/>
      <c r="B94" s="2"/>
      <c r="C94" s="1"/>
      <c r="D94" s="4"/>
      <c r="E94" s="2"/>
      <c r="F94" s="1"/>
      <c r="G94" s="1"/>
      <c r="H94" s="1"/>
      <c r="I94" s="1"/>
      <c r="J94" s="1"/>
      <c r="K94" s="1"/>
    </row>
    <row r="95" spans="1:11" ht="15.75" customHeight="1">
      <c r="A95" s="1"/>
      <c r="B95" s="2"/>
      <c r="C95" s="1"/>
      <c r="D95" s="4"/>
      <c r="E95" s="2"/>
      <c r="F95" s="1"/>
      <c r="G95" s="1"/>
      <c r="H95" s="1"/>
      <c r="I95" s="1"/>
      <c r="J95" s="1"/>
      <c r="K95" s="1"/>
    </row>
    <row r="96" spans="1:11" ht="15.75" customHeight="1">
      <c r="A96" s="1"/>
      <c r="B96" s="2"/>
      <c r="C96" s="1"/>
      <c r="D96" s="4"/>
      <c r="E96" s="2"/>
      <c r="F96" s="1"/>
      <c r="G96" s="1"/>
      <c r="H96" s="1"/>
      <c r="I96" s="1"/>
      <c r="J96" s="1"/>
      <c r="K96" s="1"/>
    </row>
    <row r="97" spans="1:11" ht="15.75" customHeight="1">
      <c r="A97" s="1"/>
      <c r="B97" s="2"/>
      <c r="C97" s="1"/>
      <c r="D97" s="4"/>
      <c r="E97" s="2"/>
      <c r="F97" s="1"/>
      <c r="G97" s="1"/>
      <c r="H97" s="1"/>
      <c r="I97" s="1"/>
      <c r="J97" s="1"/>
      <c r="K97" s="1"/>
    </row>
    <row r="98" spans="1:11" ht="15.75" customHeight="1">
      <c r="A98" s="1"/>
      <c r="B98" s="2"/>
      <c r="C98" s="1"/>
      <c r="D98" s="4"/>
      <c r="E98" s="2"/>
      <c r="F98" s="1"/>
      <c r="G98" s="1"/>
      <c r="H98" s="1"/>
      <c r="I98" s="1"/>
      <c r="J98" s="1"/>
      <c r="K98" s="1"/>
    </row>
    <row r="99" spans="1:11" ht="15.75" customHeight="1">
      <c r="A99" s="1"/>
      <c r="B99" s="2"/>
      <c r="C99" s="1"/>
      <c r="D99" s="4"/>
      <c r="E99" s="2"/>
      <c r="F99" s="1"/>
      <c r="G99" s="1"/>
      <c r="H99" s="1"/>
      <c r="I99" s="1"/>
      <c r="J99" s="1"/>
      <c r="K99" s="1"/>
    </row>
    <row r="100" spans="1:11" ht="15.75" customHeight="1">
      <c r="A100" s="1"/>
      <c r="B100" s="2"/>
      <c r="C100" s="1"/>
      <c r="D100" s="4"/>
      <c r="E100" s="2"/>
      <c r="F100" s="1"/>
      <c r="G100" s="1"/>
      <c r="H100" s="1"/>
      <c r="I100" s="1"/>
      <c r="J100" s="1"/>
      <c r="K100" s="1"/>
    </row>
  </sheetData>
  <pageMargins left="0.511811024" right="0.511811024" top="0.78740157499999996" bottom="0.78740157499999996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"/>
  <sheetViews>
    <sheetView workbookViewId="0"/>
  </sheetViews>
  <sheetFormatPr defaultColWidth="14.44140625" defaultRowHeight="15" customHeight="1"/>
  <cols>
    <col min="1" max="1" width="13.5546875" customWidth="1"/>
    <col min="2" max="2" width="12.33203125" customWidth="1"/>
    <col min="3" max="11" width="8.5546875" customWidth="1"/>
  </cols>
  <sheetData>
    <row r="1" spans="1:8" ht="14.4">
      <c r="A1" s="110" t="s">
        <v>127</v>
      </c>
      <c r="B1" s="111"/>
      <c r="C1" s="111"/>
      <c r="D1" s="111"/>
      <c r="E1" s="74"/>
      <c r="F1" s="111"/>
      <c r="G1" s="74"/>
      <c r="H1" s="111"/>
    </row>
    <row r="2" spans="1:8" ht="14.4">
      <c r="A2" s="110"/>
      <c r="B2" s="111"/>
      <c r="C2" s="112"/>
      <c r="D2" s="111"/>
      <c r="E2" s="113"/>
      <c r="F2" s="111"/>
      <c r="G2" s="74"/>
      <c r="H2" s="111"/>
    </row>
    <row r="3" spans="1:8" ht="14.4">
      <c r="A3" s="117" t="s">
        <v>121</v>
      </c>
      <c r="B3" s="118"/>
      <c r="C3" s="106" t="s">
        <v>122</v>
      </c>
      <c r="D3" s="70" t="s">
        <v>26</v>
      </c>
      <c r="E3" s="70" t="s">
        <v>27</v>
      </c>
      <c r="F3" s="70" t="s">
        <v>28</v>
      </c>
      <c r="G3" s="70" t="s">
        <v>29</v>
      </c>
      <c r="H3" s="70" t="s">
        <v>123</v>
      </c>
    </row>
    <row r="4" spans="1:8" ht="14.4">
      <c r="A4" s="73">
        <v>0</v>
      </c>
      <c r="B4" s="73">
        <v>120000</v>
      </c>
      <c r="C4" s="74">
        <v>4.4999999999999998E-2</v>
      </c>
      <c r="D4" s="76">
        <v>0</v>
      </c>
      <c r="E4" s="76">
        <v>1.2200000000000001E-2</v>
      </c>
      <c r="F4" s="76">
        <v>1.2800000000000001E-2</v>
      </c>
      <c r="G4" s="76">
        <v>0</v>
      </c>
      <c r="H4" s="76">
        <v>0.02</v>
      </c>
    </row>
    <row r="5" spans="1:8" ht="14.4">
      <c r="A5" s="73">
        <f t="shared" ref="A5:A22" si="0">B4+0.01</f>
        <v>120000.01</v>
      </c>
      <c r="B5" s="73">
        <f>240000</f>
        <v>240000</v>
      </c>
      <c r="C5" s="74">
        <v>6.54E-2</v>
      </c>
      <c r="D5" s="76">
        <v>0</v>
      </c>
      <c r="E5" s="76">
        <v>1.84E-2</v>
      </c>
      <c r="F5" s="76">
        <v>1.9099999999999999E-2</v>
      </c>
      <c r="G5" s="76">
        <v>0</v>
      </c>
      <c r="H5" s="76">
        <v>2.7900000000000001E-2</v>
      </c>
    </row>
    <row r="6" spans="1:8" ht="14.4">
      <c r="A6" s="73">
        <f t="shared" si="0"/>
        <v>240000.01</v>
      </c>
      <c r="B6" s="73">
        <f>360000</f>
        <v>360000</v>
      </c>
      <c r="C6" s="74">
        <v>7.6999999999999999E-2</v>
      </c>
      <c r="D6" s="76">
        <v>1.6000000000000001E-3</v>
      </c>
      <c r="E6" s="76">
        <v>1.8499999999999999E-2</v>
      </c>
      <c r="F6" s="76">
        <v>1.95E-2</v>
      </c>
      <c r="G6" s="76">
        <v>2.3999999999999998E-3</v>
      </c>
      <c r="H6" s="76">
        <v>3.5000000000000003E-2</v>
      </c>
    </row>
    <row r="7" spans="1:8" ht="14.4">
      <c r="A7" s="73">
        <f t="shared" si="0"/>
        <v>360000.01</v>
      </c>
      <c r="B7" s="73">
        <f>480000</f>
        <v>480000</v>
      </c>
      <c r="C7" s="74">
        <v>8.4900000000000003E-2</v>
      </c>
      <c r="D7" s="76">
        <v>5.1999999999999998E-3</v>
      </c>
      <c r="E7" s="76">
        <v>1.8700000000000001E-2</v>
      </c>
      <c r="F7" s="76">
        <v>1.9900000000000001E-2</v>
      </c>
      <c r="G7" s="76">
        <v>2.7000000000000001E-3</v>
      </c>
      <c r="H7" s="76">
        <v>3.8399999999999997E-2</v>
      </c>
    </row>
    <row r="8" spans="1:8" ht="14.4">
      <c r="A8" s="73">
        <f t="shared" si="0"/>
        <v>480000.01</v>
      </c>
      <c r="B8" s="73">
        <f>600000</f>
        <v>600000</v>
      </c>
      <c r="C8" s="74">
        <v>8.9700000000000002E-2</v>
      </c>
      <c r="D8" s="76">
        <v>8.8999999999999999E-3</v>
      </c>
      <c r="E8" s="76">
        <v>1.89E-2</v>
      </c>
      <c r="F8" s="76">
        <v>2.0299999999999999E-2</v>
      </c>
      <c r="G8" s="76">
        <v>2.8999999999999998E-3</v>
      </c>
      <c r="H8" s="76">
        <v>3.8699999999999998E-2</v>
      </c>
    </row>
    <row r="9" spans="1:8" ht="14.4">
      <c r="A9" s="73">
        <f t="shared" si="0"/>
        <v>600000.01</v>
      </c>
      <c r="B9" s="73">
        <f>720000</f>
        <v>720000</v>
      </c>
      <c r="C9" s="74">
        <v>9.7799999999999998E-2</v>
      </c>
      <c r="D9" s="76">
        <v>1.2500000000000001E-2</v>
      </c>
      <c r="E9" s="76">
        <v>1.9099999999999999E-2</v>
      </c>
      <c r="F9" s="76">
        <v>2.07E-2</v>
      </c>
      <c r="G9" s="76">
        <v>3.2000000000000002E-3</v>
      </c>
      <c r="H9" s="76">
        <v>4.2299999999999997E-2</v>
      </c>
    </row>
    <row r="10" spans="1:8" ht="14.4">
      <c r="A10" s="73">
        <f t="shared" si="0"/>
        <v>720000.01</v>
      </c>
      <c r="B10" s="73">
        <f>840000</f>
        <v>840000</v>
      </c>
      <c r="C10" s="74">
        <v>0.1026</v>
      </c>
      <c r="D10" s="76">
        <v>1.6199999999999999E-2</v>
      </c>
      <c r="E10" s="76">
        <v>1.9300000000000001E-2</v>
      </c>
      <c r="F10" s="76">
        <v>2.1100000000000001E-2</v>
      </c>
      <c r="G10" s="76">
        <v>3.3999999999999998E-3</v>
      </c>
      <c r="H10" s="76">
        <v>4.2599999999999999E-2</v>
      </c>
    </row>
    <row r="11" spans="1:8" ht="14.4">
      <c r="A11" s="73">
        <f t="shared" si="0"/>
        <v>840000.01</v>
      </c>
      <c r="B11" s="73">
        <f>960000</f>
        <v>960000</v>
      </c>
      <c r="C11" s="74">
        <v>0.1076</v>
      </c>
      <c r="D11" s="76">
        <v>0.02</v>
      </c>
      <c r="E11" s="76">
        <v>1.95E-2</v>
      </c>
      <c r="F11" s="76">
        <v>2.1499999999999998E-2</v>
      </c>
      <c r="G11" s="76">
        <v>3.5000000000000001E-3</v>
      </c>
      <c r="H11" s="76">
        <v>4.3099999999999999E-2</v>
      </c>
    </row>
    <row r="12" spans="1:8" ht="14.4">
      <c r="A12" s="73">
        <f t="shared" si="0"/>
        <v>960000.01</v>
      </c>
      <c r="B12" s="73">
        <f>1080000</f>
        <v>1080000</v>
      </c>
      <c r="C12" s="74">
        <v>0.11509999999999999</v>
      </c>
      <c r="D12" s="76">
        <v>2.3699999999999999E-2</v>
      </c>
      <c r="E12" s="76">
        <v>1.9699999999999999E-2</v>
      </c>
      <c r="F12" s="76">
        <v>2.1899999999999999E-2</v>
      </c>
      <c r="G12" s="76">
        <v>3.7000000000000002E-3</v>
      </c>
      <c r="H12" s="76">
        <v>4.6100000000000002E-2</v>
      </c>
    </row>
    <row r="13" spans="1:8" ht="14.4">
      <c r="A13" s="73">
        <f t="shared" si="0"/>
        <v>1080000.01</v>
      </c>
      <c r="B13" s="73">
        <f>1200000</f>
        <v>1200000</v>
      </c>
      <c r="C13" s="74">
        <v>0.12</v>
      </c>
      <c r="D13" s="76">
        <v>2.7400000000000001E-2</v>
      </c>
      <c r="E13" s="76">
        <v>0.02</v>
      </c>
      <c r="F13" s="76">
        <v>2.23E-2</v>
      </c>
      <c r="G13" s="76">
        <v>3.8E-3</v>
      </c>
      <c r="H13" s="76">
        <v>4.65E-2</v>
      </c>
    </row>
    <row r="14" spans="1:8" ht="14.4">
      <c r="A14" s="73">
        <f t="shared" si="0"/>
        <v>1200000.01</v>
      </c>
      <c r="B14" s="73">
        <f>1320000</f>
        <v>1320000</v>
      </c>
      <c r="C14" s="74">
        <v>0.128</v>
      </c>
      <c r="D14" s="76">
        <v>3.1199999999999999E-2</v>
      </c>
      <c r="E14" s="76">
        <v>2.01E-2</v>
      </c>
      <c r="F14" s="76">
        <v>2.2700000000000001E-2</v>
      </c>
      <c r="G14" s="76">
        <v>4.0000000000000001E-3</v>
      </c>
      <c r="H14" s="76">
        <v>0.05</v>
      </c>
    </row>
    <row r="15" spans="1:8" ht="14.4">
      <c r="A15" s="73">
        <f t="shared" si="0"/>
        <v>1320000.01</v>
      </c>
      <c r="B15" s="73">
        <f>1440000</f>
        <v>1440000</v>
      </c>
      <c r="C15" s="74">
        <v>0.13250000000000001</v>
      </c>
      <c r="D15" s="76">
        <v>3.49E-2</v>
      </c>
      <c r="E15" s="76">
        <v>2.0299999999999999E-2</v>
      </c>
      <c r="F15" s="76">
        <v>2.3099999999999999E-2</v>
      </c>
      <c r="G15" s="76">
        <v>4.1999999999999997E-3</v>
      </c>
      <c r="H15" s="76">
        <v>0.05</v>
      </c>
    </row>
    <row r="16" spans="1:8" ht="14.4">
      <c r="A16" s="73">
        <f t="shared" si="0"/>
        <v>1440000.01</v>
      </c>
      <c r="B16" s="73">
        <f>1560000</f>
        <v>1560000</v>
      </c>
      <c r="C16" s="74">
        <v>0.13700000000000001</v>
      </c>
      <c r="D16" s="76">
        <v>3.8600000000000002E-2</v>
      </c>
      <c r="E16" s="76">
        <v>2.0500000000000001E-2</v>
      </c>
      <c r="F16" s="76">
        <v>2.35E-2</v>
      </c>
      <c r="G16" s="76">
        <v>4.4000000000000003E-3</v>
      </c>
      <c r="H16" s="76">
        <v>0.05</v>
      </c>
    </row>
    <row r="17" spans="1:8" ht="14.4">
      <c r="A17" s="73">
        <f t="shared" si="0"/>
        <v>1560000.01</v>
      </c>
      <c r="B17" s="73">
        <f>1680000</f>
        <v>1680000</v>
      </c>
      <c r="C17" s="74">
        <v>0.14149999999999999</v>
      </c>
      <c r="D17" s="76">
        <v>4.2299999999999997E-2</v>
      </c>
      <c r="E17" s="76">
        <v>2.07E-2</v>
      </c>
      <c r="F17" s="76">
        <v>2.3900000000000001E-2</v>
      </c>
      <c r="G17" s="76">
        <v>4.5999999999999999E-3</v>
      </c>
      <c r="H17" s="76">
        <v>0.05</v>
      </c>
    </row>
    <row r="18" spans="1:8" ht="14.4">
      <c r="A18" s="73">
        <f t="shared" si="0"/>
        <v>1680000.01</v>
      </c>
      <c r="B18" s="73">
        <f>1800000</f>
        <v>1800000</v>
      </c>
      <c r="C18" s="74">
        <v>0.14599999999999999</v>
      </c>
      <c r="D18" s="76">
        <v>4.5999999999999999E-2</v>
      </c>
      <c r="E18" s="76">
        <v>2.1000000000000001E-2</v>
      </c>
      <c r="F18" s="76">
        <v>2.4299999999999999E-2</v>
      </c>
      <c r="G18" s="76">
        <v>4.7000000000000002E-3</v>
      </c>
      <c r="H18" s="76">
        <v>0.05</v>
      </c>
    </row>
    <row r="19" spans="1:8" ht="14.4">
      <c r="A19" s="73">
        <f t="shared" si="0"/>
        <v>1800000.01</v>
      </c>
      <c r="B19" s="73">
        <f>1920000</f>
        <v>1920000</v>
      </c>
      <c r="C19" s="74">
        <v>0.15049999999999999</v>
      </c>
      <c r="D19" s="76">
        <v>4.9000000000000002E-2</v>
      </c>
      <c r="E19" s="76">
        <v>2.1899999999999999E-2</v>
      </c>
      <c r="F19" s="76">
        <v>2.47E-2</v>
      </c>
      <c r="G19" s="76">
        <v>4.8999999999999998E-3</v>
      </c>
      <c r="H19" s="76">
        <v>0.05</v>
      </c>
    </row>
    <row r="20" spans="1:8" ht="14.4">
      <c r="A20" s="73">
        <f t="shared" si="0"/>
        <v>1920000.01</v>
      </c>
      <c r="B20" s="73">
        <f>2040000</f>
        <v>2040000</v>
      </c>
      <c r="C20" s="74">
        <v>0.155</v>
      </c>
      <c r="D20" s="76">
        <v>5.21E-2</v>
      </c>
      <c r="E20" s="76">
        <v>2.2700000000000001E-2</v>
      </c>
      <c r="F20" s="76">
        <v>2.5100000000000001E-2</v>
      </c>
      <c r="G20" s="76">
        <v>5.1000000000000004E-3</v>
      </c>
      <c r="H20" s="76">
        <v>0.05</v>
      </c>
    </row>
    <row r="21" spans="1:8" ht="15.75" customHeight="1">
      <c r="A21" s="73">
        <f t="shared" si="0"/>
        <v>2040000.01</v>
      </c>
      <c r="B21" s="73">
        <f>2160000</f>
        <v>2160000</v>
      </c>
      <c r="C21" s="74">
        <v>0.1595</v>
      </c>
      <c r="D21" s="76">
        <v>5.5100000000000003E-2</v>
      </c>
      <c r="E21" s="76">
        <v>2.3599999999999999E-2</v>
      </c>
      <c r="F21" s="76">
        <v>2.5499999999999998E-2</v>
      </c>
      <c r="G21" s="76">
        <v>5.3E-3</v>
      </c>
      <c r="H21" s="76">
        <v>0.05</v>
      </c>
    </row>
    <row r="22" spans="1:8" ht="15.75" customHeight="1">
      <c r="A22" s="73">
        <f t="shared" si="0"/>
        <v>2160000.0099999998</v>
      </c>
      <c r="B22" s="73">
        <f>2280000</f>
        <v>2280000</v>
      </c>
      <c r="C22" s="74">
        <v>0.16400000000000001</v>
      </c>
      <c r="D22" s="76">
        <v>5.8099999999999999E-2</v>
      </c>
      <c r="E22" s="76">
        <v>2.4500000000000001E-2</v>
      </c>
      <c r="F22" s="76">
        <v>2.5899999999999999E-2</v>
      </c>
      <c r="G22" s="76">
        <v>5.4999999999999997E-3</v>
      </c>
      <c r="H22" s="76">
        <v>0.05</v>
      </c>
    </row>
    <row r="23" spans="1:8" ht="15.75" customHeight="1">
      <c r="A23" s="73">
        <f>2280000.01</f>
        <v>2280000.0099999998</v>
      </c>
      <c r="B23" s="73">
        <v>2400000</v>
      </c>
      <c r="C23" s="74">
        <v>0.16850000000000001</v>
      </c>
      <c r="D23" s="76">
        <v>6.1199999999999997E-2</v>
      </c>
      <c r="E23" s="76">
        <v>2.53E-2</v>
      </c>
      <c r="F23" s="76">
        <v>2.63E-2</v>
      </c>
      <c r="G23" s="76">
        <v>5.7000000000000002E-3</v>
      </c>
      <c r="H23" s="76">
        <v>0.05</v>
      </c>
    </row>
    <row r="24" spans="1:8" ht="15.75" customHeight="1">
      <c r="A24" s="73">
        <f>2400000*1.2</f>
        <v>2880000</v>
      </c>
      <c r="B24" s="73"/>
      <c r="C24" s="74">
        <v>0.16850000000000001</v>
      </c>
      <c r="D24" s="74"/>
      <c r="E24" s="74"/>
      <c r="F24" s="74"/>
      <c r="G24" s="74"/>
      <c r="H24" s="74"/>
    </row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3:B3"/>
  </mergeCells>
  <hyperlinks>
    <hyperlink ref="D3" r:id="rId1" xr:uid="{00000000-0004-0000-0500-000000000000}"/>
    <hyperlink ref="E3" r:id="rId2" xr:uid="{00000000-0004-0000-0500-000001000000}"/>
    <hyperlink ref="F3" r:id="rId3" xr:uid="{00000000-0004-0000-0500-000002000000}"/>
    <hyperlink ref="G3" r:id="rId4" xr:uid="{00000000-0004-0000-0500-000003000000}"/>
    <hyperlink ref="H3" r:id="rId5" xr:uid="{00000000-0004-0000-0500-000004000000}"/>
  </hyperlink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E598-D1BC-41EF-89CE-95FDE448A67B}">
  <dimension ref="B6:J16"/>
  <sheetViews>
    <sheetView showGridLines="0" tabSelected="1" workbookViewId="0">
      <selection activeCell="I24" sqref="I24"/>
    </sheetView>
  </sheetViews>
  <sheetFormatPr defaultRowHeight="15.6"/>
  <cols>
    <col min="1" max="5" width="8.88671875" style="119"/>
    <col min="6" max="6" width="15" style="119" customWidth="1"/>
    <col min="7" max="7" width="12.33203125" style="119" customWidth="1"/>
    <col min="8" max="8" width="8.88671875" style="119"/>
    <col min="9" max="9" width="25.88671875" style="119" customWidth="1"/>
    <col min="10" max="10" width="11.44140625" style="119" customWidth="1"/>
    <col min="11" max="16384" width="8.88671875" style="119"/>
  </cols>
  <sheetData>
    <row r="6" spans="2:10">
      <c r="B6" s="119" t="s">
        <v>129</v>
      </c>
    </row>
    <row r="8" spans="2:10">
      <c r="B8" s="119" t="s">
        <v>130</v>
      </c>
      <c r="G8" s="120" t="s">
        <v>131</v>
      </c>
    </row>
    <row r="10" spans="2:10">
      <c r="B10" s="119" t="s">
        <v>132</v>
      </c>
      <c r="H10" s="120" t="s">
        <v>133</v>
      </c>
    </row>
    <row r="12" spans="2:10">
      <c r="B12" s="119" t="s">
        <v>134</v>
      </c>
      <c r="G12" s="120" t="s">
        <v>135</v>
      </c>
    </row>
    <row r="14" spans="2:10">
      <c r="B14" s="119" t="s">
        <v>136</v>
      </c>
      <c r="G14" s="120" t="s">
        <v>137</v>
      </c>
    </row>
    <row r="16" spans="2:10">
      <c r="B16" s="119" t="s">
        <v>138</v>
      </c>
      <c r="H16" s="120" t="s">
        <v>139</v>
      </c>
      <c r="J16" s="120" t="s">
        <v>128</v>
      </c>
    </row>
  </sheetData>
  <hyperlinks>
    <hyperlink ref="G8" r:id="rId1" xr:uid="{7F38DAB4-E523-4A43-9D16-3EF25DF86F51}"/>
    <hyperlink ref="H10" r:id="rId2" xr:uid="{961784DF-462F-4980-A744-13C83BF6A730}"/>
    <hyperlink ref="G12" r:id="rId3" xr:uid="{892F0D5E-98A3-4C0A-8926-B62D89BB7EF7}"/>
    <hyperlink ref="G14" r:id="rId4" xr:uid="{A4456A60-7AA0-4D49-95ED-07EE24E24BF5}"/>
    <hyperlink ref="J16" r:id="rId5" xr:uid="{DC72489E-0AC3-48D8-86FD-9D24A80F44A9}"/>
    <hyperlink ref="H16" r:id="rId6" xr:uid="{F3D7EBBC-0F7A-4025-8443-DDD1C7F29492}"/>
  </hyperlinks>
  <pageMargins left="0.511811024" right="0.511811024" top="0.78740157499999996" bottom="0.78740157499999996" header="0.31496062000000002" footer="0.31496062000000002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Comércio</vt:lpstr>
      <vt:lpstr>Anexo 1</vt:lpstr>
      <vt:lpstr>Serviços (III)</vt:lpstr>
      <vt:lpstr>Anexo III</vt:lpstr>
      <vt:lpstr>Serviços IV</vt:lpstr>
      <vt:lpstr>Anexo IV</vt:lpstr>
      <vt:lpstr>Dicas de Cursos</vt:lpstr>
      <vt:lpstr>Icms</vt:lpstr>
    </vt:vector>
  </TitlesOfParts>
  <Company>Cliente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Obs.</dc:creator>
  <cp:lastModifiedBy>Renato Carvalho</cp:lastModifiedBy>
  <dcterms:created xsi:type="dcterms:W3CDTF">2011-04-15T19:05:09Z</dcterms:created>
  <dcterms:modified xsi:type="dcterms:W3CDTF">2018-09-17T20:17:31Z</dcterms:modified>
</cp:coreProperties>
</file>