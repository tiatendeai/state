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1595" tabRatio="824"/>
  </bookViews>
  <sheets>
    <sheet name="Comércio I" sheetId="1" r:id="rId1"/>
    <sheet name="Plan1" sheetId="20" r:id="rId2"/>
    <sheet name="Indústria II" sheetId="10" r:id="rId3"/>
    <sheet name="Serviço III" sheetId="12" r:id="rId4"/>
    <sheet name="Serviço IV" sheetId="14" r:id="rId5"/>
    <sheet name="Serviço VI" sheetId="17" r:id="rId6"/>
    <sheet name="Anexos Simples" sheetId="2" r:id="rId7"/>
    <sheet name="Análise em Gráficos" sheetId="19" r:id="rId8"/>
  </sheets>
  <definedNames>
    <definedName name="_xlnm.Print_Area" localSheetId="0">'Comércio I'!$B$13:$D$44,'Comércio I'!$F$13:$H$44,'Comércio I'!$J$13:$L$44</definedName>
    <definedName name="_xlnm.Print_Area" localSheetId="2">'Indústria II'!$B$13:$D$46,'Indústria II'!$F$13:$H$42,'Indústria II'!$J$13:$L$46</definedName>
    <definedName name="_xlnm.Print_Area" localSheetId="3">'Serviço III'!$B$13:$D$40,'Serviço III'!$F$13:$H$36,'Serviço III'!$J$13:$L$40</definedName>
    <definedName name="_xlnm.Print_Area" localSheetId="4">'Serviço IV'!$B$13:$D$40,'Serviço IV'!$F$13:$H$36,'Serviço IV'!$J$13:$L$40</definedName>
    <definedName name="_xlnm.Print_Area" localSheetId="5">'Serviço VI'!$B$13:$D$40,'Serviço VI'!$F$13:$H$36,'Serviço VI'!$J$13:$L$40</definedName>
    <definedName name="Icms">'Comércio I'!$N$28:$N$30</definedName>
  </definedNames>
  <calcPr calcId="152511"/>
</workbook>
</file>

<file path=xl/calcChain.xml><?xml version="1.0" encoding="utf-8"?>
<calcChain xmlns="http://schemas.openxmlformats.org/spreadsheetml/2006/main">
  <c r="L29" i="20" l="1"/>
  <c r="L16" i="1" l="1"/>
  <c r="O26" i="10" l="1"/>
  <c r="O25" i="10"/>
  <c r="O24" i="10"/>
  <c r="O23" i="10"/>
  <c r="O22" i="10"/>
  <c r="O21" i="10"/>
  <c r="O20" i="10"/>
  <c r="O19" i="10"/>
  <c r="O18" i="10"/>
  <c r="O17" i="10"/>
  <c r="O16" i="10"/>
  <c r="K34" i="1"/>
  <c r="O15" i="10"/>
  <c r="L16" i="10" l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O16" i="17" l="1"/>
  <c r="O17" i="17"/>
  <c r="O18" i="17"/>
  <c r="O19" i="17"/>
  <c r="O20" i="17"/>
  <c r="O21" i="17"/>
  <c r="O22" i="17"/>
  <c r="O23" i="17"/>
  <c r="O24" i="17"/>
  <c r="O25" i="17"/>
  <c r="O26" i="17"/>
  <c r="O15" i="17"/>
  <c r="D15" i="17"/>
  <c r="O16" i="14"/>
  <c r="O17" i="14"/>
  <c r="O18" i="14"/>
  <c r="O19" i="14"/>
  <c r="O20" i="14"/>
  <c r="O21" i="14"/>
  <c r="O22" i="14"/>
  <c r="O23" i="14"/>
  <c r="O24" i="14"/>
  <c r="O25" i="14"/>
  <c r="O26" i="14"/>
  <c r="O15" i="14"/>
  <c r="D15" i="14"/>
  <c r="O16" i="12"/>
  <c r="O17" i="12"/>
  <c r="O18" i="12"/>
  <c r="O19" i="12"/>
  <c r="O20" i="12"/>
  <c r="O21" i="12"/>
  <c r="O22" i="12"/>
  <c r="O23" i="12"/>
  <c r="O24" i="12"/>
  <c r="O25" i="12"/>
  <c r="O26" i="12"/>
  <c r="O15" i="12"/>
  <c r="D15" i="12"/>
  <c r="D15" i="10"/>
  <c r="K36" i="10"/>
  <c r="L16" i="12" l="1"/>
  <c r="K30" i="12" s="1"/>
  <c r="L16" i="14"/>
  <c r="K30" i="14" s="1"/>
  <c r="L16" i="17"/>
  <c r="K30" i="17" s="1"/>
  <c r="G22" i="10"/>
  <c r="G21" i="10"/>
  <c r="F15" i="10"/>
  <c r="F20" i="10"/>
  <c r="G20" i="10"/>
  <c r="J15" i="1"/>
  <c r="G20" i="1"/>
  <c r="G19" i="1"/>
  <c r="F15" i="1"/>
  <c r="F19" i="1"/>
  <c r="G33" i="17" l="1"/>
  <c r="G31" i="17"/>
  <c r="F25" i="17"/>
  <c r="K24" i="17"/>
  <c r="J24" i="17"/>
  <c r="G24" i="17"/>
  <c r="F24" i="17"/>
  <c r="D24" i="17"/>
  <c r="G23" i="17"/>
  <c r="F23" i="17"/>
  <c r="K22" i="17"/>
  <c r="J22" i="17"/>
  <c r="G22" i="17"/>
  <c r="F22" i="17"/>
  <c r="D22" i="17"/>
  <c r="D23" i="17" s="1"/>
  <c r="K21" i="17"/>
  <c r="J21" i="17"/>
  <c r="G21" i="17"/>
  <c r="F21" i="17"/>
  <c r="K20" i="17"/>
  <c r="J20" i="17"/>
  <c r="G20" i="17"/>
  <c r="F20" i="17"/>
  <c r="D20" i="17"/>
  <c r="K19" i="17"/>
  <c r="J19" i="17"/>
  <c r="G19" i="17"/>
  <c r="F19" i="17"/>
  <c r="D18" i="17"/>
  <c r="D17" i="17"/>
  <c r="G16" i="17"/>
  <c r="D16" i="17"/>
  <c r="H15" i="17"/>
  <c r="H30" i="17" s="1"/>
  <c r="G15" i="17"/>
  <c r="D19" i="17" l="1"/>
  <c r="D21" i="17" s="1"/>
  <c r="D25" i="17" s="1"/>
  <c r="H33" i="17"/>
  <c r="H31" i="17"/>
  <c r="L15" i="17"/>
  <c r="H17" i="17"/>
  <c r="H18" i="17"/>
  <c r="H20" i="17"/>
  <c r="H16" i="17"/>
  <c r="H22" i="17"/>
  <c r="H23" i="17" s="1"/>
  <c r="H24" i="17"/>
  <c r="H27" i="17"/>
  <c r="H28" i="17" s="1"/>
  <c r="K21" i="14"/>
  <c r="K20" i="14"/>
  <c r="K22" i="14"/>
  <c r="K24" i="14"/>
  <c r="J20" i="14"/>
  <c r="J21" i="14"/>
  <c r="J22" i="14"/>
  <c r="J24" i="14"/>
  <c r="J19" i="14"/>
  <c r="K19" i="14"/>
  <c r="G33" i="14"/>
  <c r="G31" i="14"/>
  <c r="F25" i="14"/>
  <c r="G24" i="14"/>
  <c r="F24" i="14"/>
  <c r="D24" i="14"/>
  <c r="G23" i="14"/>
  <c r="F23" i="14"/>
  <c r="G22" i="14"/>
  <c r="F22" i="14"/>
  <c r="D22" i="14"/>
  <c r="D23" i="14" s="1"/>
  <c r="G21" i="14"/>
  <c r="F21" i="14"/>
  <c r="G20" i="14"/>
  <c r="F20" i="14"/>
  <c r="D20" i="14"/>
  <c r="G19" i="14"/>
  <c r="F19" i="14"/>
  <c r="D18" i="14"/>
  <c r="D17" i="14"/>
  <c r="G16" i="14"/>
  <c r="D16" i="14"/>
  <c r="H15" i="14"/>
  <c r="H30" i="14" s="1"/>
  <c r="G15" i="14"/>
  <c r="G16" i="12"/>
  <c r="G33" i="12"/>
  <c r="G31" i="12"/>
  <c r="F25" i="12"/>
  <c r="K24" i="12"/>
  <c r="G24" i="12"/>
  <c r="F24" i="12"/>
  <c r="J24" i="12" s="1"/>
  <c r="D24" i="12"/>
  <c r="G23" i="12"/>
  <c r="F23" i="12"/>
  <c r="K22" i="12"/>
  <c r="G22" i="12"/>
  <c r="F22" i="12"/>
  <c r="J22" i="12" s="1"/>
  <c r="D22" i="12"/>
  <c r="D23" i="12" s="1"/>
  <c r="G21" i="12"/>
  <c r="K21" i="12" s="1"/>
  <c r="F21" i="12"/>
  <c r="J21" i="12" s="1"/>
  <c r="G20" i="12"/>
  <c r="K20" i="12" s="1"/>
  <c r="F20" i="12"/>
  <c r="J20" i="12" s="1"/>
  <c r="D20" i="12"/>
  <c r="G19" i="12"/>
  <c r="K19" i="12" s="1"/>
  <c r="F19" i="12"/>
  <c r="J19" i="12" s="1"/>
  <c r="D18" i="12"/>
  <c r="D17" i="12"/>
  <c r="D16" i="12"/>
  <c r="H15" i="12"/>
  <c r="H22" i="12" s="1"/>
  <c r="G15" i="12"/>
  <c r="G4" i="17" l="1"/>
  <c r="J13" i="19" s="1"/>
  <c r="D28" i="17"/>
  <c r="D31" i="17"/>
  <c r="D27" i="17"/>
  <c r="H17" i="14"/>
  <c r="H18" i="14"/>
  <c r="L15" i="14"/>
  <c r="L30" i="17"/>
  <c r="G5" i="17" s="1"/>
  <c r="J14" i="19" s="1"/>
  <c r="L20" i="17"/>
  <c r="L24" i="17"/>
  <c r="L22" i="17"/>
  <c r="H19" i="17"/>
  <c r="H21" i="17" s="1"/>
  <c r="H25" i="17" s="1"/>
  <c r="H34" i="17" s="1"/>
  <c r="H33" i="14"/>
  <c r="H31" i="14"/>
  <c r="H16" i="14"/>
  <c r="D19" i="14"/>
  <c r="D21" i="14" s="1"/>
  <c r="D25" i="14" s="1"/>
  <c r="D31" i="14" s="1"/>
  <c r="H22" i="14"/>
  <c r="H23" i="14" s="1"/>
  <c r="H20" i="14"/>
  <c r="H24" i="14"/>
  <c r="H27" i="14"/>
  <c r="H28" i="14" s="1"/>
  <c r="H23" i="12"/>
  <c r="L15" i="12"/>
  <c r="H16" i="12"/>
  <c r="H18" i="12"/>
  <c r="H20" i="12"/>
  <c r="H24" i="12"/>
  <c r="H27" i="12"/>
  <c r="H28" i="12" s="1"/>
  <c r="H30" i="12"/>
  <c r="H17" i="12"/>
  <c r="D19" i="12"/>
  <c r="D21" i="12" s="1"/>
  <c r="D25" i="12" s="1"/>
  <c r="D31" i="12" s="1"/>
  <c r="D30" i="10"/>
  <c r="D28" i="10"/>
  <c r="D29" i="10" s="1"/>
  <c r="D26" i="10"/>
  <c r="D26" i="1"/>
  <c r="D27" i="1" s="1"/>
  <c r="D24" i="1"/>
  <c r="D28" i="1"/>
  <c r="D18" i="1"/>
  <c r="D17" i="1"/>
  <c r="D16" i="1"/>
  <c r="D19" i="10"/>
  <c r="D18" i="10"/>
  <c r="D17" i="10"/>
  <c r="D16" i="10"/>
  <c r="G39" i="10"/>
  <c r="G37" i="10"/>
  <c r="F31" i="10"/>
  <c r="K30" i="10"/>
  <c r="G30" i="10"/>
  <c r="F30" i="10"/>
  <c r="J30" i="10" s="1"/>
  <c r="G29" i="10"/>
  <c r="F29" i="10"/>
  <c r="K28" i="10"/>
  <c r="G28" i="10"/>
  <c r="F28" i="10"/>
  <c r="J28" i="10" s="1"/>
  <c r="G27" i="10"/>
  <c r="K27" i="10" s="1"/>
  <c r="F27" i="10"/>
  <c r="J27" i="10" s="1"/>
  <c r="G26" i="10"/>
  <c r="K26" i="10" s="1"/>
  <c r="F26" i="10"/>
  <c r="J26" i="10" s="1"/>
  <c r="G25" i="10"/>
  <c r="K25" i="10" s="1"/>
  <c r="F25" i="10"/>
  <c r="J25" i="10" s="1"/>
  <c r="G16" i="10"/>
  <c r="H15" i="10"/>
  <c r="G15" i="10"/>
  <c r="G37" i="1"/>
  <c r="G15" i="1"/>
  <c r="G25" i="1"/>
  <c r="K25" i="1" s="1"/>
  <c r="F24" i="1"/>
  <c r="J24" i="1" s="1"/>
  <c r="F25" i="1"/>
  <c r="J25" i="1" s="1"/>
  <c r="F26" i="1"/>
  <c r="J26" i="1" s="1"/>
  <c r="F27" i="1"/>
  <c r="F28" i="1"/>
  <c r="J28" i="1" s="1"/>
  <c r="F29" i="1"/>
  <c r="F23" i="1"/>
  <c r="J23" i="1" s="1"/>
  <c r="G23" i="1"/>
  <c r="K23" i="1" s="1"/>
  <c r="G3" i="17" l="1"/>
  <c r="J12" i="19" s="1"/>
  <c r="G4" i="14"/>
  <c r="I13" i="19" s="1"/>
  <c r="D29" i="17"/>
  <c r="D34" i="17" s="1"/>
  <c r="L30" i="12"/>
  <c r="G5" i="12" s="1"/>
  <c r="H14" i="19" s="1"/>
  <c r="H19" i="12"/>
  <c r="H21" i="12" s="1"/>
  <c r="H25" i="12" s="1"/>
  <c r="L34" i="17"/>
  <c r="D23" i="10"/>
  <c r="D21" i="10"/>
  <c r="D24" i="10"/>
  <c r="D22" i="10"/>
  <c r="H36" i="10"/>
  <c r="H39" i="10" s="1"/>
  <c r="D21" i="1"/>
  <c r="D22" i="1"/>
  <c r="D20" i="1"/>
  <c r="L30" i="14"/>
  <c r="L22" i="14"/>
  <c r="L24" i="14"/>
  <c r="L20" i="14"/>
  <c r="L22" i="12"/>
  <c r="L24" i="12"/>
  <c r="L20" i="12"/>
  <c r="H16" i="10"/>
  <c r="H18" i="10"/>
  <c r="H30" i="10"/>
  <c r="H17" i="10"/>
  <c r="H19" i="10"/>
  <c r="H26" i="10"/>
  <c r="H21" i="10" s="1"/>
  <c r="H28" i="10"/>
  <c r="H29" i="10" s="1"/>
  <c r="D28" i="14"/>
  <c r="D27" i="14"/>
  <c r="G3" i="14" s="1"/>
  <c r="I12" i="19" s="1"/>
  <c r="H19" i="14"/>
  <c r="H21" i="14" s="1"/>
  <c r="H25" i="14" s="1"/>
  <c r="H34" i="14" s="1"/>
  <c r="D28" i="12"/>
  <c r="D27" i="12"/>
  <c r="H33" i="12"/>
  <c r="H31" i="12"/>
  <c r="L15" i="10"/>
  <c r="H33" i="10"/>
  <c r="H34" i="10" s="1"/>
  <c r="H15" i="1"/>
  <c r="G16" i="1"/>
  <c r="G24" i="1"/>
  <c r="K24" i="1" s="1"/>
  <c r="G26" i="1"/>
  <c r="K26" i="1"/>
  <c r="G27" i="1"/>
  <c r="G28" i="1"/>
  <c r="K28" i="1"/>
  <c r="G35" i="1"/>
  <c r="G4" i="12" l="1"/>
  <c r="H13" i="19" s="1"/>
  <c r="G3" i="12"/>
  <c r="H12" i="19" s="1"/>
  <c r="G5" i="14"/>
  <c r="I14" i="19" s="1"/>
  <c r="H37" i="10"/>
  <c r="G4" i="10" s="1"/>
  <c r="G13" i="19" s="1"/>
  <c r="L36" i="10"/>
  <c r="G5" i="10" s="1"/>
  <c r="G14" i="19" s="1"/>
  <c r="L34" i="14"/>
  <c r="H25" i="10"/>
  <c r="H27" i="10" s="1"/>
  <c r="H31" i="10" s="1"/>
  <c r="D25" i="10"/>
  <c r="D27" i="10" s="1"/>
  <c r="D31" i="10" s="1"/>
  <c r="D23" i="1"/>
  <c r="D25" i="1" s="1"/>
  <c r="D29" i="1" s="1"/>
  <c r="H17" i="1"/>
  <c r="L30" i="10"/>
  <c r="L26" i="10"/>
  <c r="L28" i="10"/>
  <c r="D34" i="10"/>
  <c r="L34" i="12"/>
  <c r="H28" i="1"/>
  <c r="H26" i="1"/>
  <c r="H27" i="1" s="1"/>
  <c r="H24" i="1"/>
  <c r="H20" i="1" s="1"/>
  <c r="D29" i="14"/>
  <c r="H34" i="12"/>
  <c r="D29" i="12"/>
  <c r="H34" i="1"/>
  <c r="H18" i="1"/>
  <c r="H16" i="1"/>
  <c r="L15" i="1"/>
  <c r="L34" i="1" s="1"/>
  <c r="G5" i="1" s="1"/>
  <c r="F14" i="19" s="1"/>
  <c r="H31" i="1"/>
  <c r="H32" i="1" s="1"/>
  <c r="H40" i="10" l="1"/>
  <c r="D35" i="1"/>
  <c r="D32" i="1"/>
  <c r="L40" i="10"/>
  <c r="D33" i="10"/>
  <c r="D37" i="10"/>
  <c r="H23" i="1"/>
  <c r="H25" i="1" s="1"/>
  <c r="H29" i="1" s="1"/>
  <c r="L28" i="1"/>
  <c r="L24" i="1"/>
  <c r="L26" i="1"/>
  <c r="H37" i="1"/>
  <c r="H35" i="1"/>
  <c r="G4" i="1" s="1"/>
  <c r="F13" i="19" s="1"/>
  <c r="D31" i="1"/>
  <c r="G3" i="1" l="1"/>
  <c r="F12" i="19" s="1"/>
  <c r="D35" i="10"/>
  <c r="G3" i="10"/>
  <c r="G12" i="19" s="1"/>
  <c r="H38" i="1"/>
  <c r="D33" i="1"/>
  <c r="D34" i="14"/>
  <c r="D34" i="12"/>
  <c r="L38" i="1" l="1"/>
  <c r="D38" i="1"/>
  <c r="D40" i="10" l="1"/>
</calcChain>
</file>

<file path=xl/comments1.xml><?xml version="1.0" encoding="utf-8"?>
<comments xmlns="http://schemas.openxmlformats.org/spreadsheetml/2006/main">
  <authors>
    <author>User</author>
    <author>Guilherme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N13" authorId="1" shapeId="0">
      <text>
        <r>
          <rPr>
            <sz val="9"/>
            <color indexed="81"/>
            <rFont val="Tahoma"/>
            <family val="2"/>
          </rPr>
          <t>Insira receitas mensais para média acumulada das últimos 12 meses.</t>
        </r>
      </text>
    </comment>
    <comment ref="C27" authorId="1" shapeId="0">
      <text>
        <r>
          <rPr>
            <sz val="9"/>
            <color indexed="81"/>
            <rFont val="Tahoma"/>
            <family val="2"/>
          </rPr>
          <t>Soma das Aíiquotas: INSS Empresa ou INSS Sobre Receita Bruta + INSS Terceiros + RAT + FGTS</t>
        </r>
      </text>
    </comment>
    <comment ref="C35" authorId="1" shapeId="0">
      <text>
        <r>
          <rPr>
            <sz val="9"/>
            <color indexed="81"/>
            <rFont val="Tahoma"/>
            <family val="2"/>
          </rPr>
          <t>Informe o mês de referencia do cálculo, conforme a lista.</t>
        </r>
      </text>
    </comment>
  </commentList>
</comments>
</file>

<file path=xl/comments2.xml><?xml version="1.0" encoding="utf-8"?>
<comments xmlns="http://schemas.openxmlformats.org/spreadsheetml/2006/main">
  <authors>
    <author>User</author>
    <author>Guilherme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N13" authorId="1" shapeId="0">
      <text>
        <r>
          <rPr>
            <sz val="9"/>
            <color indexed="81"/>
            <rFont val="Tahoma"/>
            <family val="2"/>
          </rPr>
          <t>Insira receitas mensais para média acumulada das últimos 12 meses.</t>
        </r>
      </text>
    </comment>
    <comment ref="C29" authorId="1" shapeId="0">
      <text>
        <r>
          <rPr>
            <sz val="9"/>
            <color indexed="81"/>
            <rFont val="Tahoma"/>
            <family val="2"/>
          </rPr>
          <t>Soma das Aíiquotas: INSS Empresa ou INSS Sobre Receita Bruta + INSS Terceiros + RAT + FGTS</t>
        </r>
      </text>
    </comment>
  </commentList>
</comments>
</file>

<file path=xl/comments3.xml><?xml version="1.0" encoding="utf-8"?>
<comments xmlns="http://schemas.openxmlformats.org/spreadsheetml/2006/main">
  <authors>
    <author>User</author>
    <author>Guilherme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N13" authorId="1" shapeId="0">
      <text>
        <r>
          <rPr>
            <sz val="9"/>
            <color indexed="81"/>
            <rFont val="Tahoma"/>
            <family val="2"/>
          </rPr>
          <t>Insira receitas mensais para média acumulada das últimos 12 meses.</t>
        </r>
      </text>
    </comment>
    <comment ref="C23" authorId="1" shapeId="0">
      <text>
        <r>
          <rPr>
            <sz val="9"/>
            <color indexed="81"/>
            <rFont val="Tahoma"/>
            <family val="2"/>
          </rPr>
          <t>Soma das Aíiquotas: INSS Empresa ou INSS Sobre Receita Bruta + INSS Terceiros + RAT + FGTS</t>
        </r>
      </text>
    </comment>
    <comment ref="C31" authorId="1" shapeId="0">
      <text>
        <r>
          <rPr>
            <sz val="9"/>
            <color indexed="81"/>
            <rFont val="Tahoma"/>
            <family val="2"/>
          </rPr>
          <t>Informe o mês de referencia do cálculo, conforme a lista.</t>
        </r>
      </text>
    </comment>
  </commentList>
</comments>
</file>

<file path=xl/comments4.xml><?xml version="1.0" encoding="utf-8"?>
<comments xmlns="http://schemas.openxmlformats.org/spreadsheetml/2006/main">
  <authors>
    <author>User</author>
    <author>Guilherme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N13" authorId="1" shapeId="0">
      <text>
        <r>
          <rPr>
            <sz val="9"/>
            <color indexed="81"/>
            <rFont val="Tahoma"/>
            <family val="2"/>
          </rPr>
          <t>Insira receitas mensais para média acumulada das últimos 12 meses.</t>
        </r>
      </text>
    </comment>
    <comment ref="C23" authorId="1" shapeId="0">
      <text>
        <r>
          <rPr>
            <sz val="9"/>
            <color indexed="81"/>
            <rFont val="Tahoma"/>
            <family val="2"/>
          </rPr>
          <t>Soma das Aíiquotas: INSS Empresa ou INSS Sobre Receita Bruta + INSS Terceiros + RAT + FGTS</t>
        </r>
      </text>
    </comment>
    <comment ref="C31" authorId="1" shapeId="0">
      <text>
        <r>
          <rPr>
            <sz val="9"/>
            <color indexed="81"/>
            <rFont val="Tahoma"/>
            <family val="2"/>
          </rPr>
          <t>Informe o mês de referencia do cálculo, conforme a lista.</t>
        </r>
      </text>
    </comment>
  </commentList>
</comments>
</file>

<file path=xl/comments5.xml><?xml version="1.0" encoding="utf-8"?>
<comments xmlns="http://schemas.openxmlformats.org/spreadsheetml/2006/main">
  <authors>
    <author>User</author>
    <author>Guilherme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  <comment ref="N13" authorId="1" shapeId="0">
      <text>
        <r>
          <rPr>
            <sz val="9"/>
            <color indexed="81"/>
            <rFont val="Tahoma"/>
            <family val="2"/>
          </rPr>
          <t>Insira receitas mensais para média acumulada das últimos 12 meses.</t>
        </r>
      </text>
    </comment>
    <comment ref="C23" authorId="1" shapeId="0">
      <text>
        <r>
          <rPr>
            <sz val="9"/>
            <color indexed="81"/>
            <rFont val="Tahoma"/>
            <family val="2"/>
          </rPr>
          <t>Soma das Aíiquotas: INSS Empresa ou INSS Sobre Receita Bruta + INSS Terceiros + RAT + FGTS</t>
        </r>
      </text>
    </comment>
    <comment ref="C31" authorId="1" shapeId="0">
      <text>
        <r>
          <rPr>
            <sz val="9"/>
            <color indexed="81"/>
            <rFont val="Tahoma"/>
            <family val="2"/>
          </rPr>
          <t>Informe o mês de referencia do cálculo, conforme a lista.</t>
        </r>
      </text>
    </comment>
  </commentList>
</comments>
</file>

<file path=xl/comments6.xml><?xml version="1.0" encoding="utf-8"?>
<comments xmlns="http://schemas.openxmlformats.org/spreadsheetml/2006/main">
  <authors>
    <author>Guilherme</author>
  </authors>
  <commentList>
    <comment ref="I1" authorId="0" shapeId="0">
      <text>
        <r>
          <rPr>
            <sz val="9"/>
            <color indexed="81"/>
            <rFont val="Segoe UI"/>
            <family val="2"/>
          </rPr>
          <t>1º Não está previsto o cálculo do Anexo V;
2º Também não foi adicionado o ICMS por substituição tributária.</t>
        </r>
      </text>
    </comment>
  </commentList>
</comments>
</file>

<file path=xl/comments7.xml><?xml version="1.0" encoding="utf-8"?>
<comments xmlns="http://schemas.openxmlformats.org/spreadsheetml/2006/main">
  <authors>
    <author>User</author>
  </authors>
  <commentList>
    <comment ref="C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Mestre</t>
        </r>
      </text>
    </comment>
  </commentList>
</comments>
</file>

<file path=xl/sharedStrings.xml><?xml version="1.0" encoding="utf-8"?>
<sst xmlns="http://schemas.openxmlformats.org/spreadsheetml/2006/main" count="247" uniqueCount="64">
  <si>
    <t>-</t>
  </si>
  <si>
    <t>=</t>
  </si>
  <si>
    <t>Receita Líquida</t>
  </si>
  <si>
    <t>Lucro Real</t>
  </si>
  <si>
    <t>Lucro Líquido</t>
  </si>
  <si>
    <t>Lucro Presumido</t>
  </si>
  <si>
    <t>Base de cálculo do Lucro Presumido IR</t>
  </si>
  <si>
    <t>Base de cálculo do Lucro Presumido CSLL</t>
  </si>
  <si>
    <t>LUCRO REAL</t>
  </si>
  <si>
    <t>LUCRO PRESUMIDO</t>
  </si>
  <si>
    <t>SIMPLES NACIONAL</t>
  </si>
  <si>
    <t>Margem Bruta</t>
  </si>
  <si>
    <t>Lucro: Simples</t>
  </si>
  <si>
    <t>Para simulação: Digite nas Células Destacadas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</si>
  <si>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</si>
  <si>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</si>
  <si>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</si>
  <si>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</si>
  <si>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</si>
  <si>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</si>
  <si>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</si>
  <si>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</si>
  <si>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</si>
  <si>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</si>
  <si>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</si>
  <si>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</si>
  <si>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 Bruta Mensal</t>
  </si>
  <si>
    <t>Simples Nacional</t>
  </si>
  <si>
    <t>Em 12 meses (Anual Acumulado)</t>
  </si>
  <si>
    <t>Encargos Fiscais (Anexo I do Simples)</t>
  </si>
  <si>
    <t>Encargos Fiscais (Anexo II do Simples)</t>
  </si>
  <si>
    <t>Encargos Fiscais (anexo IV do Simples)</t>
  </si>
  <si>
    <t>Encargos Fiscais (Anexo III do Simples)</t>
  </si>
  <si>
    <t>Encargos Fiscais (Anexo VI do Simples)</t>
  </si>
  <si>
    <t>Em Reais (R$)</t>
  </si>
  <si>
    <t>Créditos</t>
  </si>
  <si>
    <t>+</t>
  </si>
  <si>
    <t>ICMS: Valor Crédito sobre Compras</t>
  </si>
  <si>
    <t>PIS: Valor Crédito sobre Compras</t>
  </si>
  <si>
    <t>COFINS: Valor Crédito sobre Compras</t>
  </si>
  <si>
    <t>Crédito</t>
  </si>
  <si>
    <t>IPI: Valor Crédito sobre Compras</t>
  </si>
  <si>
    <t>GRÁFICO COMPARATIVO TRIBUTÁRIO - LUCRO REAL X LUCRO PRESUMIDO X SIMPLES NACIONAL</t>
  </si>
  <si>
    <t>PLANILHA COMPARATIVA TRIBUTÁRIA -  LUCRO REAL X LUCRO PRESUMIDO X SIMPLES NACIONAL NO COMÉRCIO</t>
  </si>
  <si>
    <t>PLANILHA COMPARATIVA TRIBUTÁRIA - LUCRO REAL X LUCRO PRESUMIDO X SIMPLES NACIONAL NA INDÚSTRIA</t>
  </si>
  <si>
    <t>PLANILHA COMPARATIVA TRIBUTÁRIA - LUCRO REAL X LUCRO PRESUMIDO X SIMPLES NACIONAL - SERVIÇOS E LOCAÇÃO (ANEXO III)</t>
  </si>
  <si>
    <t>PLANILHA COMPARATIVA TRIBUTÁRIA - LUCRO REAL X LUCRO PRESUMIDO X SIMPLES NACIONAL - SERVIÇOS (ANEXO IV)</t>
  </si>
  <si>
    <t>PLANILHA COMPARATIVA TRIBUTÁRIA - LUCRO REAL X LUCRO PRESUMIDO X SIMPLES NACIONAL - SERVIÇOS (ANEXO VI)</t>
  </si>
  <si>
    <t>Aviso de Desbloqueio</t>
  </si>
  <si>
    <t>Tributos Comércio (ANEXO I)</t>
  </si>
  <si>
    <t>Tributos Industria (ANEXO II)</t>
  </si>
  <si>
    <t>Tributos Serviços (ANEXO III)</t>
  </si>
  <si>
    <t>Tributos Serviços (ANEXO IV)</t>
  </si>
  <si>
    <t>Tributos Serviços (ANEXO VI)</t>
  </si>
  <si>
    <t>Função Contábil</t>
  </si>
  <si>
    <t>Receita Bruta (limite de 200 mil + 20%)</t>
  </si>
  <si>
    <t xml:space="preserve">          Função Contábil</t>
  </si>
  <si>
    <t>Receita Bruta</t>
  </si>
  <si>
    <t>Receita</t>
  </si>
  <si>
    <t>Anexo I</t>
  </si>
  <si>
    <t>Anexo II</t>
  </si>
  <si>
    <t>Anexo IV</t>
  </si>
  <si>
    <t>Anexo VI</t>
  </si>
  <si>
    <t>Obs:.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</si>
</sst>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&quot;PIS de&quot;\ 0.00%"/>
    <numFmt numFmtId="168" formatCode="&quot;Cofins de&quot;\ 0%"/>
    <numFmt numFmtId="169" formatCode="&quot;Folha Salarial de&quot;\ 0%"/>
    <numFmt numFmtId="170" formatCode="&quot;IR de&quot;\ 0%"/>
    <numFmt numFmtId="171" formatCode="&quot;CSLL de&quot;\ 0%"/>
    <numFmt numFmtId="172" formatCode="&quot;Comércio &gt;&quot;\ 0%"/>
    <numFmt numFmtId="173" formatCode="&quot;Alíquota da CSLL de&quot;\ 0%"/>
    <numFmt numFmtId="174" formatCode="&quot;Alíquota do IR de&quot;\ 0%"/>
    <numFmt numFmtId="175" formatCode="&quot;Redução de Base de cálculo do ICMS =&quot;\ 0.00%"/>
    <numFmt numFmtId="176" formatCode="&quot;Alíquota de&quot;\ 0.00%"/>
    <numFmt numFmtId="177" formatCode="&quot;Adicional de IR se &gt; 20 mil reais&quot;\ 0%"/>
    <numFmt numFmtId="178" formatCode="&quot;Serviços &gt;&quot;\ 0%"/>
    <numFmt numFmtId="179" formatCode="&quot;Custo do Serviço =&quot;\ 0.0%"/>
    <numFmt numFmtId="180" formatCode="&quot;Custo da Mercadoria Vendida =&quot;\ 0.0%"/>
    <numFmt numFmtId="181" formatCode="&quot;Folha pagamento s/ Receita Bruta =&quot;\ 0.0%"/>
    <numFmt numFmtId="182" formatCode="&quot;Despesas diversas s/ Receita Bruta =&quot;\ 0.0%"/>
    <numFmt numFmtId="183" formatCode="&quot;Carga Tributária:  Lucro Real&quot;\ &quot;R$ &quot;#,##0.00"/>
    <numFmt numFmtId="184" formatCode="&quot;Carga Tributária: Lucro Presumido&quot;\ &quot;R$ &quot;#,##0.00"/>
    <numFmt numFmtId="185" formatCode="&quot;Carga Tributária: Simples&quot;\ &quot;R$ &quot;#,##0.00"/>
    <numFmt numFmtId="186" formatCode="&quot;Encargos sociais sobre folha = &quot;\ 0.0%"/>
    <numFmt numFmtId="187" formatCode="&quot;ICMS sobre Vendas&quot;\ 0%"/>
    <numFmt numFmtId="188" formatCode="&quot;Cofins de&quot;\ 0.0%"/>
    <numFmt numFmtId="189" formatCode="&quot;Encargos sociais sobre Folha = &quot;\ 0.0%"/>
    <numFmt numFmtId="190" formatCode="&quot;Encargos sociais sobre Folha =&quot;\ 0.0%"/>
    <numFmt numFmtId="191" formatCode="&quot;Mês de Referência:&quot;\ 0"/>
    <numFmt numFmtId="192" formatCode="&quot;IPI sobre vendas de&quot;\ 0%"/>
    <numFmt numFmtId="193" formatCode="&quot;ISS Sobre Prestação de Serviços de&quot;\ 0%"/>
    <numFmt numFmtId="194" formatCode="&quot;PIS sobre Vendas de&quot;\ 0.00%"/>
    <numFmt numFmtId="195" formatCode="&quot;COFINS sobre Vendas de&quot;\ 0.0%"/>
    <numFmt numFmtId="196" formatCode="&quot;Industria &gt;&quot;\ 0%"/>
  </numFmts>
  <fonts count="2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u/>
      <sz val="8"/>
      <name val="Arial"/>
      <family val="2"/>
    </font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u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0" tint="-0.249977111117893"/>
      <name val="Arial"/>
      <family val="2"/>
    </font>
    <font>
      <sz val="8"/>
      <color theme="1"/>
      <name val="Arial"/>
      <family val="2"/>
    </font>
    <font>
      <u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5">
    <xf numFmtId="0" fontId="0" fillId="0" borderId="0" xfId="0"/>
    <xf numFmtId="166" fontId="2" fillId="2" borderId="9" xfId="0" applyNumberFormat="1" applyFont="1" applyFill="1" applyBorder="1" applyAlignment="1">
      <alignment horizontal="center"/>
    </xf>
    <xf numFmtId="182" fontId="6" fillId="3" borderId="9" xfId="0" applyNumberFormat="1" applyFont="1" applyFill="1" applyBorder="1" applyAlignment="1" applyProtection="1">
      <alignment horizontal="right"/>
      <protection locked="0"/>
    </xf>
    <xf numFmtId="189" fontId="6" fillId="3" borderId="9" xfId="0" applyNumberFormat="1" applyFont="1" applyFill="1" applyBorder="1" applyProtection="1">
      <protection locked="0"/>
    </xf>
    <xf numFmtId="181" fontId="6" fillId="3" borderId="9" xfId="0" applyNumberFormat="1" applyFont="1" applyFill="1" applyBorder="1" applyProtection="1">
      <protection locked="0"/>
    </xf>
    <xf numFmtId="180" fontId="6" fillId="3" borderId="9" xfId="0" applyNumberFormat="1" applyFont="1" applyFill="1" applyBorder="1" applyProtection="1">
      <protection locked="0"/>
    </xf>
    <xf numFmtId="187" fontId="6" fillId="3" borderId="9" xfId="0" applyNumberFormat="1" applyFont="1" applyFill="1" applyBorder="1" applyProtection="1">
      <protection locked="0"/>
    </xf>
    <xf numFmtId="192" fontId="6" fillId="4" borderId="9" xfId="0" applyNumberFormat="1" applyFont="1" applyFill="1" applyBorder="1" applyProtection="1">
      <protection locked="0"/>
    </xf>
    <xf numFmtId="43" fontId="6" fillId="3" borderId="9" xfId="0" applyNumberFormat="1" applyFont="1" applyFill="1" applyBorder="1" applyProtection="1">
      <protection locked="0"/>
    </xf>
    <xf numFmtId="0" fontId="6" fillId="2" borderId="0" xfId="0" applyFont="1" applyFill="1" applyBorder="1" applyProtection="1"/>
    <xf numFmtId="0" fontId="0" fillId="0" borderId="0" xfId="0" applyProtection="1"/>
    <xf numFmtId="0" fontId="7" fillId="2" borderId="1" xfId="0" applyFont="1" applyFill="1" applyBorder="1" applyAlignment="1" applyProtection="1">
      <alignment horizontal="left"/>
    </xf>
    <xf numFmtId="0" fontId="7" fillId="2" borderId="7" xfId="0" applyFont="1" applyFill="1" applyBorder="1" applyProtection="1"/>
    <xf numFmtId="0" fontId="6" fillId="2" borderId="1" xfId="0" applyFont="1" applyFill="1" applyBorder="1" applyAlignment="1" applyProtection="1">
      <alignment horizontal="center"/>
    </xf>
    <xf numFmtId="0" fontId="6" fillId="2" borderId="1" xfId="0" applyFont="1" applyFill="1" applyBorder="1" applyProtection="1"/>
    <xf numFmtId="0" fontId="6" fillId="2" borderId="0" xfId="0" applyFont="1" applyFill="1" applyBorder="1" applyAlignment="1" applyProtection="1">
      <alignment horizontal="center"/>
    </xf>
    <xf numFmtId="0" fontId="6" fillId="2" borderId="3" xfId="0" applyFont="1" applyFill="1" applyBorder="1" applyAlignment="1" applyProtection="1">
      <alignment horizontal="center"/>
    </xf>
    <xf numFmtId="166" fontId="6" fillId="2" borderId="4" xfId="0" applyNumberFormat="1" applyFont="1" applyFill="1" applyBorder="1" applyProtection="1"/>
    <xf numFmtId="0" fontId="6" fillId="2" borderId="4" xfId="0" applyFont="1" applyFill="1" applyBorder="1" applyProtection="1"/>
    <xf numFmtId="0" fontId="6" fillId="2" borderId="3" xfId="0" applyFont="1" applyFill="1" applyBorder="1" applyProtection="1"/>
    <xf numFmtId="0" fontId="9" fillId="2" borderId="0" xfId="0" applyFont="1" applyFill="1" applyBorder="1" applyProtection="1"/>
    <xf numFmtId="0" fontId="6" fillId="2" borderId="0" xfId="0" applyFont="1" applyFill="1" applyBorder="1" applyAlignment="1" applyProtection="1">
      <alignment horizontal="right"/>
    </xf>
    <xf numFmtId="39" fontId="6" fillId="2" borderId="4" xfId="0" applyNumberFormat="1" applyFont="1" applyFill="1" applyBorder="1" applyProtection="1"/>
    <xf numFmtId="167" fontId="6" fillId="2" borderId="0" xfId="0" applyNumberFormat="1" applyFont="1" applyFill="1" applyBorder="1" applyProtection="1"/>
    <xf numFmtId="188" fontId="6" fillId="2" borderId="0" xfId="0" applyNumberFormat="1" applyFont="1" applyFill="1" applyBorder="1" applyProtection="1"/>
    <xf numFmtId="168" fontId="6" fillId="2" borderId="0" xfId="0" applyNumberFormat="1" applyFont="1" applyFill="1" applyBorder="1" applyProtection="1"/>
    <xf numFmtId="180" fontId="6" fillId="2" borderId="0" xfId="0" applyNumberFormat="1" applyFont="1" applyFill="1" applyBorder="1" applyProtection="1"/>
    <xf numFmtId="181" fontId="6" fillId="2" borderId="0" xfId="0" applyNumberFormat="1" applyFont="1" applyFill="1" applyBorder="1" applyProtection="1"/>
    <xf numFmtId="169" fontId="6" fillId="2" borderId="0" xfId="0" applyNumberFormat="1" applyFont="1" applyFill="1" applyBorder="1" applyProtection="1"/>
    <xf numFmtId="182" fontId="6" fillId="2" borderId="0" xfId="0" applyNumberFormat="1" applyFont="1" applyFill="1" applyBorder="1" applyAlignment="1" applyProtection="1">
      <alignment horizontal="right"/>
    </xf>
    <xf numFmtId="166" fontId="6" fillId="2" borderId="0" xfId="0" applyNumberFormat="1" applyFont="1" applyFill="1" applyBorder="1" applyAlignment="1" applyProtection="1">
      <alignment horizontal="right"/>
    </xf>
    <xf numFmtId="10" fontId="7" fillId="2" borderId="0" xfId="0" applyNumberFormat="1" applyFont="1" applyFill="1" applyBorder="1" applyProtection="1"/>
    <xf numFmtId="171" fontId="6" fillId="2" borderId="0" xfId="0" applyNumberFormat="1" applyFont="1" applyFill="1" applyBorder="1" applyProtection="1"/>
    <xf numFmtId="172" fontId="6" fillId="2" borderId="0" xfId="0" applyNumberFormat="1" applyFont="1" applyFill="1" applyBorder="1" applyProtection="1"/>
    <xf numFmtId="170" fontId="6" fillId="2" borderId="0" xfId="0" applyNumberFormat="1" applyFont="1" applyFill="1" applyBorder="1" applyProtection="1"/>
    <xf numFmtId="173" fontId="6" fillId="2" borderId="0" xfId="0" applyNumberFormat="1" applyFont="1" applyFill="1" applyBorder="1" applyProtection="1"/>
    <xf numFmtId="0" fontId="7" fillId="2" borderId="0" xfId="0" applyFont="1" applyFill="1" applyBorder="1" applyProtection="1"/>
    <xf numFmtId="177" fontId="6" fillId="2" borderId="0" xfId="0" applyNumberFormat="1" applyFont="1" applyFill="1" applyBorder="1" applyProtection="1"/>
    <xf numFmtId="176" fontId="6" fillId="2" borderId="0" xfId="0" applyNumberFormat="1" applyFont="1" applyFill="1" applyBorder="1" applyProtection="1"/>
    <xf numFmtId="174" fontId="6" fillId="2" borderId="0" xfId="0" applyNumberFormat="1" applyFont="1" applyFill="1" applyBorder="1" applyProtection="1"/>
    <xf numFmtId="191" fontId="6" fillId="0" borderId="0" xfId="0" applyNumberFormat="1" applyFont="1" applyFill="1" applyBorder="1" applyProtection="1"/>
    <xf numFmtId="0" fontId="6" fillId="2" borderId="5" xfId="0" applyFont="1" applyFill="1" applyBorder="1" applyAlignment="1" applyProtection="1">
      <alignment horizontal="center"/>
    </xf>
    <xf numFmtId="0" fontId="6" fillId="2" borderId="8" xfId="0" applyFont="1" applyFill="1" applyBorder="1" applyProtection="1"/>
    <xf numFmtId="43" fontId="6" fillId="2" borderId="6" xfId="0" applyNumberFormat="1" applyFont="1" applyFill="1" applyBorder="1" applyProtection="1"/>
    <xf numFmtId="0" fontId="6" fillId="2" borderId="6" xfId="0" applyFont="1" applyFill="1" applyBorder="1" applyProtection="1"/>
    <xf numFmtId="0" fontId="6" fillId="2" borderId="5" xfId="0" applyFont="1" applyFill="1" applyBorder="1" applyProtection="1"/>
    <xf numFmtId="166" fontId="6" fillId="2" borderId="0" xfId="0" applyNumberFormat="1" applyFont="1" applyFill="1" applyBorder="1" applyProtection="1"/>
    <xf numFmtId="184" fontId="6" fillId="2" borderId="9" xfId="0" applyNumberFormat="1" applyFont="1" applyFill="1" applyBorder="1" applyProtection="1"/>
    <xf numFmtId="183" fontId="6" fillId="2" borderId="9" xfId="0" applyNumberFormat="1" applyFont="1" applyFill="1" applyBorder="1" applyProtection="1"/>
    <xf numFmtId="185" fontId="6" fillId="2" borderId="9" xfId="0" applyNumberFormat="1" applyFont="1" applyFill="1" applyBorder="1" applyProtection="1"/>
    <xf numFmtId="191" fontId="6" fillId="4" borderId="9" xfId="0" applyNumberFormat="1" applyFont="1" applyFill="1" applyBorder="1" applyProtection="1">
      <protection locked="0"/>
    </xf>
    <xf numFmtId="187" fontId="6" fillId="4" borderId="9" xfId="0" applyNumberFormat="1" applyFont="1" applyFill="1" applyBorder="1" applyProtection="1">
      <protection locked="0"/>
    </xf>
    <xf numFmtId="166" fontId="6" fillId="4" borderId="9" xfId="0" applyNumberFormat="1" applyFont="1" applyFill="1" applyBorder="1" applyProtection="1">
      <protection locked="0"/>
    </xf>
    <xf numFmtId="166" fontId="2" fillId="2" borderId="9" xfId="0" applyNumberFormat="1" applyFont="1" applyFill="1" applyBorder="1" applyAlignment="1" applyProtection="1">
      <alignment horizontal="left"/>
      <protection locked="0"/>
    </xf>
    <xf numFmtId="10" fontId="2" fillId="2" borderId="9" xfId="0" applyNumberFormat="1" applyFont="1" applyFill="1" applyBorder="1" applyProtection="1">
      <protection locked="0"/>
    </xf>
    <xf numFmtId="193" fontId="6" fillId="3" borderId="9" xfId="0" applyNumberFormat="1" applyFont="1" applyFill="1" applyBorder="1" applyProtection="1">
      <protection locked="0"/>
    </xf>
    <xf numFmtId="193" fontId="6" fillId="4" borderId="9" xfId="0" applyNumberFormat="1" applyFont="1" applyFill="1" applyBorder="1" applyProtection="1">
      <protection locked="0"/>
    </xf>
    <xf numFmtId="179" fontId="6" fillId="3" borderId="9" xfId="0" applyNumberFormat="1" applyFont="1" applyFill="1" applyBorder="1" applyProtection="1">
      <protection locked="0"/>
    </xf>
    <xf numFmtId="179" fontId="6" fillId="2" borderId="0" xfId="0" applyNumberFormat="1" applyFont="1" applyFill="1" applyBorder="1" applyProtection="1"/>
    <xf numFmtId="178" fontId="6" fillId="2" borderId="0" xfId="0" applyNumberFormat="1" applyFont="1" applyFill="1" applyBorder="1" applyProtection="1"/>
    <xf numFmtId="190" fontId="6" fillId="2" borderId="0" xfId="0" applyNumberFormat="1" applyFont="1" applyFill="1" applyBorder="1" applyAlignment="1" applyProtection="1">
      <alignment wrapText="1"/>
    </xf>
    <xf numFmtId="190" fontId="6" fillId="2" borderId="0" xfId="0" applyNumberFormat="1" applyFont="1" applyFill="1" applyBorder="1" applyProtection="1"/>
    <xf numFmtId="190" fontId="6" fillId="3" borderId="9" xfId="0" applyNumberFormat="1" applyFont="1" applyFill="1" applyBorder="1" applyProtection="1">
      <protection locked="0"/>
    </xf>
    <xf numFmtId="166" fontId="11" fillId="2" borderId="2" xfId="0" applyNumberFormat="1" applyFont="1" applyFill="1" applyBorder="1" applyProtection="1"/>
    <xf numFmtId="4" fontId="6" fillId="2" borderId="6" xfId="0" applyNumberFormat="1" applyFont="1" applyFill="1" applyBorder="1" applyProtection="1"/>
    <xf numFmtId="0" fontId="6" fillId="2" borderId="0" xfId="0" applyFont="1" applyFill="1" applyBorder="1" applyAlignment="1" applyProtection="1">
      <alignment horizontal="center"/>
    </xf>
    <xf numFmtId="167" fontId="6" fillId="2" borderId="0" xfId="0" applyNumberFormat="1" applyFont="1" applyFill="1" applyBorder="1" applyAlignment="1" applyProtection="1">
      <alignment horizontal="right"/>
    </xf>
    <xf numFmtId="186" fontId="6" fillId="2" borderId="0" xfId="0" applyNumberFormat="1" applyFont="1" applyFill="1" applyBorder="1" applyAlignment="1" applyProtection="1">
      <alignment wrapText="1"/>
    </xf>
    <xf numFmtId="165" fontId="6" fillId="2" borderId="4" xfId="0" applyNumberFormat="1" applyFont="1" applyFill="1" applyBorder="1" applyProtection="1"/>
    <xf numFmtId="165" fontId="6" fillId="4" borderId="9" xfId="0" applyNumberFormat="1" applyFont="1" applyFill="1" applyBorder="1" applyProtection="1">
      <protection locked="0"/>
    </xf>
    <xf numFmtId="165" fontId="7" fillId="2" borderId="4" xfId="0" applyNumberFormat="1" applyFont="1" applyFill="1" applyBorder="1" applyProtection="1"/>
    <xf numFmtId="165" fontId="6" fillId="3" borderId="9" xfId="0" applyNumberFormat="1" applyFont="1" applyFill="1" applyBorder="1" applyProtection="1">
      <protection locked="0"/>
    </xf>
    <xf numFmtId="194" fontId="6" fillId="0" borderId="0" xfId="0" applyNumberFormat="1" applyFont="1" applyFill="1" applyBorder="1" applyProtection="1"/>
    <xf numFmtId="195" fontId="6" fillId="0" borderId="0" xfId="0" applyNumberFormat="1" applyFont="1" applyFill="1" applyBorder="1" applyProtection="1"/>
    <xf numFmtId="0" fontId="6" fillId="2" borderId="0" xfId="0" applyFont="1" applyFill="1" applyBorder="1" applyAlignment="1" applyProtection="1">
      <alignment horizontal="center"/>
    </xf>
    <xf numFmtId="43" fontId="6" fillId="2" borderId="4" xfId="0" applyNumberFormat="1" applyFont="1" applyFill="1" applyBorder="1" applyProtection="1"/>
    <xf numFmtId="43" fontId="6" fillId="4" borderId="9" xfId="0" applyNumberFormat="1" applyFont="1" applyFill="1" applyBorder="1" applyProtection="1">
      <protection locked="0"/>
    </xf>
    <xf numFmtId="0" fontId="4" fillId="0" borderId="0" xfId="1" applyAlignment="1" applyProtection="1"/>
    <xf numFmtId="0" fontId="5" fillId="0" borderId="0" xfId="0" applyFont="1"/>
    <xf numFmtId="0" fontId="3" fillId="0" borderId="9" xfId="0" applyFont="1" applyBorder="1"/>
    <xf numFmtId="164" fontId="5" fillId="0" borderId="9" xfId="2" applyFont="1" applyBorder="1"/>
    <xf numFmtId="0" fontId="5" fillId="0" borderId="0" xfId="0" applyFont="1" applyBorder="1"/>
    <xf numFmtId="0" fontId="3" fillId="0" borderId="9" xfId="0" applyFont="1" applyBorder="1" applyAlignment="1">
      <alignment horizontal="center" wrapText="1"/>
    </xf>
    <xf numFmtId="196" fontId="6" fillId="2" borderId="0" xfId="0" applyNumberFormat="1" applyFont="1" applyFill="1" applyBorder="1" applyProtection="1"/>
    <xf numFmtId="0" fontId="14" fillId="0" borderId="0" xfId="1" applyFont="1" applyFill="1" applyAlignment="1" applyProtection="1">
      <protection locked="0"/>
    </xf>
    <xf numFmtId="0" fontId="6" fillId="2" borderId="0" xfId="0" applyFont="1" applyFill="1" applyBorder="1" applyAlignment="1" applyProtection="1">
      <alignment horizontal="center"/>
    </xf>
    <xf numFmtId="0" fontId="6" fillId="2" borderId="0" xfId="0" applyFont="1" applyFill="1" applyBorder="1" applyAlignment="1" applyProtection="1">
      <alignment horizontal="center"/>
    </xf>
    <xf numFmtId="49" fontId="7" fillId="2" borderId="0" xfId="0" applyNumberFormat="1" applyFont="1" applyFill="1" applyBorder="1" applyAlignment="1" applyProtection="1"/>
    <xf numFmtId="49" fontId="7" fillId="2" borderId="8" xfId="0" applyNumberFormat="1" applyFont="1" applyFill="1" applyBorder="1" applyAlignment="1" applyProtection="1"/>
    <xf numFmtId="49" fontId="7" fillId="2" borderId="8" xfId="0" applyNumberFormat="1" applyFont="1" applyFill="1" applyBorder="1" applyAlignment="1" applyProtection="1">
      <alignment vertical="center"/>
    </xf>
    <xf numFmtId="0" fontId="4" fillId="0" borderId="0" xfId="1" applyFont="1" applyAlignment="1" applyProtection="1"/>
    <xf numFmtId="0" fontId="15" fillId="0" borderId="0" xfId="0" applyFont="1"/>
    <xf numFmtId="0" fontId="16" fillId="0" borderId="0" xfId="0" applyFont="1" applyBorder="1" applyAlignment="1">
      <alignment vertical="center"/>
    </xf>
    <xf numFmtId="0" fontId="17" fillId="0" borderId="0" xfId="1" applyFont="1" applyFill="1" applyAlignment="1" applyProtection="1">
      <protection locked="0"/>
    </xf>
    <xf numFmtId="0" fontId="16" fillId="0" borderId="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66" fontId="8" fillId="2" borderId="0" xfId="0" applyNumberFormat="1" applyFont="1" applyFill="1" applyBorder="1" applyAlignment="1" applyProtection="1"/>
    <xf numFmtId="0" fontId="21" fillId="0" borderId="0" xfId="0" applyFont="1"/>
    <xf numFmtId="0" fontId="20" fillId="0" borderId="0" xfId="0" applyFont="1" applyBorder="1" applyAlignment="1">
      <alignment horizontal="left" vertical="center"/>
    </xf>
    <xf numFmtId="0" fontId="6" fillId="2" borderId="0" xfId="0" applyFont="1" applyFill="1" applyBorder="1" applyAlignment="1" applyProtection="1">
      <alignment horizontal="center"/>
    </xf>
    <xf numFmtId="10" fontId="21" fillId="0" borderId="9" xfId="3" applyNumberFormat="1" applyFont="1" applyBorder="1"/>
    <xf numFmtId="10" fontId="2" fillId="2" borderId="9" xfId="0" applyNumberFormat="1" applyFont="1" applyFill="1" applyBorder="1" applyAlignment="1" applyProtection="1">
      <alignment horizontal="left"/>
      <protection locked="0"/>
    </xf>
    <xf numFmtId="10" fontId="21" fillId="0" borderId="9" xfId="0" applyNumberFormat="1" applyFont="1" applyBorder="1"/>
    <xf numFmtId="0" fontId="6" fillId="0" borderId="0" xfId="0" applyFont="1" applyFill="1" applyBorder="1" applyProtection="1">
      <protection locked="0"/>
    </xf>
    <xf numFmtId="165" fontId="6" fillId="0" borderId="4" xfId="0" applyNumberFormat="1" applyFont="1" applyFill="1" applyBorder="1" applyProtection="1">
      <protection locked="0"/>
    </xf>
    <xf numFmtId="0" fontId="0" fillId="0" borderId="4" xfId="0" applyBorder="1"/>
    <xf numFmtId="0" fontId="22" fillId="0" borderId="0" xfId="0" applyFont="1" applyAlignment="1" applyProtection="1">
      <alignment horizontal="right"/>
    </xf>
    <xf numFmtId="0" fontId="6" fillId="2" borderId="0" xfId="0" applyFont="1" applyFill="1" applyBorder="1" applyAlignment="1" applyProtection="1">
      <alignment horizontal="center"/>
    </xf>
    <xf numFmtId="0" fontId="14" fillId="0" borderId="0" xfId="1" applyFont="1" applyFill="1" applyAlignment="1" applyProtection="1">
      <alignment horizontal="left"/>
      <protection locked="0"/>
    </xf>
    <xf numFmtId="175" fontId="1" fillId="2" borderId="9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em Gráficos'!$E$12</c:f>
              <c:strCache>
                <c:ptCount val="1"/>
                <c:pt idx="0">
                  <c:v>Lucro Real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'Análise em Gráficos'!$F$11:$J$11</c:f>
              <c:strCache>
                <c:ptCount val="5"/>
                <c:pt idx="0">
                  <c:v>Tributos Comércio (ANEXO I)</c:v>
                </c:pt>
                <c:pt idx="1">
                  <c:v>Tributos Industria (ANEXO II)</c:v>
                </c:pt>
                <c:pt idx="2">
                  <c:v>Tributos Serviços (ANEXO III)</c:v>
                </c:pt>
                <c:pt idx="3">
                  <c:v>Tributos Serviços (ANEXO IV)</c:v>
                </c:pt>
                <c:pt idx="4">
                  <c:v>Tributos Serviços (ANEXO VI)</c:v>
                </c:pt>
              </c:strCache>
            </c:strRef>
          </c:cat>
          <c:val>
            <c:numRef>
              <c:f>'Análise em Gráficos'!$F$12:$J$12</c:f>
              <c:numCache>
                <c:formatCode>_("R$ "* #,##0.00_);_("R$ "* \(#,##0.00\);_("R$ "* "-"??_);_(@_)</c:formatCode>
                <c:ptCount val="5"/>
                <c:pt idx="0">
                  <c:v>17847</c:v>
                </c:pt>
                <c:pt idx="1">
                  <c:v>26590.5</c:v>
                </c:pt>
                <c:pt idx="2">
                  <c:v>17676</c:v>
                </c:pt>
                <c:pt idx="3">
                  <c:v>17676</c:v>
                </c:pt>
                <c:pt idx="4">
                  <c:v>17676</c:v>
                </c:pt>
              </c:numCache>
            </c:numRef>
          </c:val>
        </c:ser>
        <c:ser>
          <c:idx val="1"/>
          <c:order val="1"/>
          <c:tx>
            <c:strRef>
              <c:f>'Análise em Gráficos'!$E$13</c:f>
              <c:strCache>
                <c:ptCount val="1"/>
                <c:pt idx="0">
                  <c:v>Lucro Presumido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'Análise em Gráficos'!$F$11:$J$11</c:f>
              <c:strCache>
                <c:ptCount val="5"/>
                <c:pt idx="0">
                  <c:v>Tributos Comércio (ANEXO I)</c:v>
                </c:pt>
                <c:pt idx="1">
                  <c:v>Tributos Industria (ANEXO II)</c:v>
                </c:pt>
                <c:pt idx="2">
                  <c:v>Tributos Serviços (ANEXO III)</c:v>
                </c:pt>
                <c:pt idx="3">
                  <c:v>Tributos Serviços (ANEXO IV)</c:v>
                </c:pt>
                <c:pt idx="4">
                  <c:v>Tributos Serviços (ANEXO VI)</c:v>
                </c:pt>
              </c:strCache>
            </c:strRef>
          </c:cat>
          <c:val>
            <c:numRef>
              <c:f>'Análise em Gráficos'!$F$13:$J$13</c:f>
              <c:numCache>
                <c:formatCode>_("R$ "* #,##0.00_);_("R$ "* \(#,##0.00\);_("R$ "* "-"??_);_(@_)</c:formatCode>
                <c:ptCount val="5"/>
                <c:pt idx="0">
                  <c:v>17532</c:v>
                </c:pt>
                <c:pt idx="1">
                  <c:v>27612</c:v>
                </c:pt>
                <c:pt idx="2">
                  <c:v>17172</c:v>
                </c:pt>
                <c:pt idx="3">
                  <c:v>17172</c:v>
                </c:pt>
                <c:pt idx="4">
                  <c:v>17172</c:v>
                </c:pt>
              </c:numCache>
            </c:numRef>
          </c:val>
        </c:ser>
        <c:ser>
          <c:idx val="2"/>
          <c:order val="2"/>
          <c:tx>
            <c:strRef>
              <c:f>'Análise em Gráficos'!$E$14</c:f>
              <c:strCache>
                <c:ptCount val="1"/>
                <c:pt idx="0">
                  <c:v>Simples Nacional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'Análise em Gráficos'!$F$11:$J$11</c:f>
              <c:strCache>
                <c:ptCount val="5"/>
                <c:pt idx="0">
                  <c:v>Tributos Comércio (ANEXO I)</c:v>
                </c:pt>
                <c:pt idx="1">
                  <c:v>Tributos Industria (ANEXO II)</c:v>
                </c:pt>
                <c:pt idx="2">
                  <c:v>Tributos Serviços (ANEXO III)</c:v>
                </c:pt>
                <c:pt idx="3">
                  <c:v>Tributos Serviços (ANEXO IV)</c:v>
                </c:pt>
                <c:pt idx="4">
                  <c:v>Tributos Serviços (ANEXO VI)</c:v>
                </c:pt>
              </c:strCache>
            </c:strRef>
          </c:cat>
          <c:val>
            <c:numRef>
              <c:f>'Análise em Gráficos'!$F$14:$J$14</c:f>
              <c:numCache>
                <c:formatCode>_("R$ "* #,##0.00_);_("R$ "* \(#,##0.00\);_("R$ "* "-"??_);_(@_)</c:formatCode>
                <c:ptCount val="5"/>
                <c:pt idx="0">
                  <c:v>3600</c:v>
                </c:pt>
                <c:pt idx="1">
                  <c:v>4050</c:v>
                </c:pt>
                <c:pt idx="2">
                  <c:v>5400</c:v>
                </c:pt>
                <c:pt idx="3">
                  <c:v>4050</c:v>
                </c:pt>
                <c:pt idx="4">
                  <c:v>15236.999999999998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72331272"/>
        <c:axId val="172332448"/>
      </c:barChart>
      <c:catAx>
        <c:axId val="172331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332448"/>
        <c:crosses val="autoZero"/>
        <c:auto val="1"/>
        <c:lblAlgn val="ctr"/>
        <c:lblOffset val="100"/>
        <c:noMultiLvlLbl val="0"/>
      </c:catAx>
      <c:valAx>
        <c:axId val="172332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 &quot;* #,##0.00_);_(&quot;R$ &quot;* \(#,##0.00\);_(&quot;R$ 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33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funcaocontabil.net/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1857375</xdr:colOff>
      <xdr:row>10</xdr:row>
      <xdr:rowOff>38100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15</xdr:row>
      <xdr:rowOff>42861</xdr:rowOff>
    </xdr:from>
    <xdr:to>
      <xdr:col>10</xdr:col>
      <xdr:colOff>28576</xdr:colOff>
      <xdr:row>47</xdr:row>
      <xdr:rowOff>142875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2000250</xdr:colOff>
      <xdr:row>10</xdr:row>
      <xdr:rowOff>38100</xdr:rowOff>
    </xdr:to>
    <xdr:pic>
      <xdr:nvPicPr>
        <xdr:cNvPr id="4" name="Imagem 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O46"/>
  <sheetViews>
    <sheetView showGridLines="0" tabSelected="1" zoomScaleNormal="100" zoomScaleSheetLayoutView="100" workbookViewId="0">
      <selection activeCell="C28" sqref="C28"/>
    </sheetView>
  </sheetViews>
  <sheetFormatPr defaultRowHeight="12.75" x14ac:dyDescent="0.2"/>
  <cols>
    <col min="1" max="1" width="2.7109375" style="9" customWidth="1"/>
    <col min="2" max="2" width="2.140625" style="65" bestFit="1" customWidth="1"/>
    <col min="3" max="3" width="48.7109375" style="9" customWidth="1"/>
    <col min="4" max="4" width="13.5703125" style="46" bestFit="1" customWidth="1"/>
    <col min="5" max="5" width="2.7109375" style="65" customWidth="1"/>
    <col min="6" max="6" width="2.140625" style="65" customWidth="1"/>
    <col min="7" max="7" width="48.7109375" style="9" customWidth="1"/>
    <col min="8" max="8" width="13.5703125" style="9" bestFit="1" customWidth="1"/>
    <col min="9" max="9" width="2.7109375" style="9" customWidth="1"/>
    <col min="10" max="10" width="2.140625" style="9" bestFit="1" customWidth="1"/>
    <col min="11" max="11" width="48.7109375" style="9" customWidth="1"/>
    <col min="12" max="12" width="13.5703125" style="9" bestFit="1" customWidth="1"/>
    <col min="13" max="13" width="3" style="9" bestFit="1" customWidth="1"/>
    <col min="14" max="14" width="9.42578125" style="9" bestFit="1" customWidth="1"/>
    <col min="15" max="15" width="14.7109375" style="9" bestFit="1" customWidth="1"/>
    <col min="16" max="16384" width="9.140625" style="9"/>
  </cols>
  <sheetData>
    <row r="1" spans="1:15" ht="23.25" x14ac:dyDescent="0.35">
      <c r="A1" s="100" t="s">
        <v>43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91" customFormat="1" ht="12.75" customHeight="1" x14ac:dyDescent="0.2">
      <c r="C2" s="92"/>
      <c r="D2" s="112" t="s">
        <v>48</v>
      </c>
      <c r="E2" s="112"/>
      <c r="F2" s="93"/>
    </row>
    <row r="3" spans="1:15" s="91" customFormat="1" ht="12.75" customHeight="1" x14ac:dyDescent="0.2">
      <c r="C3" s="92"/>
      <c r="D3" s="90"/>
      <c r="E3" s="85"/>
      <c r="G3" s="48">
        <f>-SUM(D16,D20,D17,D18,D27,D21,D22,D31,D32,D35)</f>
        <v>17847</v>
      </c>
    </row>
    <row r="4" spans="1:15" s="91" customFormat="1" ht="12.75" customHeight="1" x14ac:dyDescent="0.2">
      <c r="C4" s="92"/>
      <c r="G4" s="47">
        <f>-SUM(H16,H17,H18,H20,H27,H32,H35,H37)</f>
        <v>17532</v>
      </c>
    </row>
    <row r="5" spans="1:15" s="91" customFormat="1" ht="12.75" customHeight="1" x14ac:dyDescent="0.2">
      <c r="C5" s="92"/>
      <c r="G5" s="49">
        <f>-L34</f>
        <v>3600</v>
      </c>
    </row>
    <row r="6" spans="1:15" s="91" customFormat="1" ht="12.75" customHeight="1" x14ac:dyDescent="0.2">
      <c r="C6" s="92"/>
    </row>
    <row r="7" spans="1:15" s="91" customFormat="1" ht="12.75" customHeight="1" x14ac:dyDescent="0.2">
      <c r="C7" s="92"/>
    </row>
    <row r="8" spans="1:15" s="91" customFormat="1" ht="12.75" customHeight="1" x14ac:dyDescent="0.2">
      <c r="C8" s="92"/>
    </row>
    <row r="9" spans="1:15" s="91" customFormat="1" ht="12.75" customHeight="1" x14ac:dyDescent="0.2">
      <c r="C9" s="102" t="s">
        <v>56</v>
      </c>
    </row>
    <row r="10" spans="1:15" s="91" customFormat="1" ht="12.75" customHeight="1" x14ac:dyDescent="0.2">
      <c r="C10" s="94"/>
    </row>
    <row r="11" spans="1:15" ht="12.75" customHeight="1" x14ac:dyDescent="0.2">
      <c r="B11" s="89" t="s">
        <v>13</v>
      </c>
      <c r="C11" s="88"/>
      <c r="D11" s="87"/>
      <c r="E11" s="87"/>
      <c r="F11" s="87"/>
      <c r="G11" s="87"/>
      <c r="L11" s="36"/>
    </row>
    <row r="12" spans="1:15" s="10" customFormat="1" ht="15" x14ac:dyDescent="0.25"/>
    <row r="13" spans="1:15" x14ac:dyDescent="0.2">
      <c r="B13" s="11"/>
      <c r="C13" s="12" t="s">
        <v>8</v>
      </c>
      <c r="D13" s="63" t="s">
        <v>34</v>
      </c>
      <c r="F13" s="13"/>
      <c r="G13" s="12" t="s">
        <v>9</v>
      </c>
      <c r="H13" s="63" t="s">
        <v>34</v>
      </c>
      <c r="J13" s="14"/>
      <c r="K13" s="12" t="s">
        <v>10</v>
      </c>
      <c r="L13" s="63" t="s">
        <v>34</v>
      </c>
      <c r="N13" s="111" t="s">
        <v>26</v>
      </c>
      <c r="O13" s="111"/>
    </row>
    <row r="14" spans="1:15" x14ac:dyDescent="0.2">
      <c r="B14" s="16"/>
      <c r="D14" s="17"/>
      <c r="F14" s="16"/>
      <c r="H14" s="18"/>
      <c r="J14" s="19"/>
      <c r="L14" s="18"/>
      <c r="N14" s="111" t="s">
        <v>27</v>
      </c>
      <c r="O14" s="111"/>
    </row>
    <row r="15" spans="1:15" x14ac:dyDescent="0.2">
      <c r="B15" s="16" t="s">
        <v>36</v>
      </c>
      <c r="C15" s="9" t="s">
        <v>57</v>
      </c>
      <c r="D15" s="8">
        <v>90000</v>
      </c>
      <c r="F15" s="16" t="str">
        <f>B15</f>
        <v>+</v>
      </c>
      <c r="G15" s="9" t="str">
        <f>C15</f>
        <v>Receita Bruta</v>
      </c>
      <c r="H15" s="68">
        <f>D15</f>
        <v>90000</v>
      </c>
      <c r="J15" s="19" t="str">
        <f>B15</f>
        <v>+</v>
      </c>
      <c r="K15" s="9" t="s">
        <v>55</v>
      </c>
      <c r="L15" s="68">
        <f>H15</f>
        <v>90000</v>
      </c>
      <c r="M15" s="20">
        <v>1</v>
      </c>
      <c r="N15" s="21" t="s">
        <v>14</v>
      </c>
      <c r="O15" s="52">
        <v>7500</v>
      </c>
    </row>
    <row r="16" spans="1:15" x14ac:dyDescent="0.2">
      <c r="B16" s="16"/>
      <c r="C16" s="6">
        <v>0.18</v>
      </c>
      <c r="D16" s="68">
        <f>-$D$15*C16</f>
        <v>-16200</v>
      </c>
      <c r="F16" s="16"/>
      <c r="G16" s="51">
        <f t="shared" ref="G16:G20" si="0">C16</f>
        <v>0.18</v>
      </c>
      <c r="H16" s="68">
        <f>-$H$15*G16</f>
        <v>-16200</v>
      </c>
      <c r="J16" s="19"/>
      <c r="K16" s="9" t="s">
        <v>28</v>
      </c>
      <c r="L16" s="68">
        <f>AVERAGE(O15:O26)*C35</f>
        <v>90000</v>
      </c>
      <c r="M16" s="20">
        <v>2</v>
      </c>
      <c r="N16" s="21" t="s">
        <v>15</v>
      </c>
      <c r="O16" s="52">
        <v>7500</v>
      </c>
    </row>
    <row r="17" spans="2:15" x14ac:dyDescent="0.2">
      <c r="B17" s="16"/>
      <c r="C17" s="72">
        <v>1.6500000000000001E-2</v>
      </c>
      <c r="D17" s="68">
        <f>-$D$15*C17</f>
        <v>-1485</v>
      </c>
      <c r="F17" s="16"/>
      <c r="G17" s="72">
        <v>6.4999999999999997E-3</v>
      </c>
      <c r="H17" s="68">
        <f>-$H$15*G17</f>
        <v>-585</v>
      </c>
      <c r="J17" s="19"/>
      <c r="L17" s="68"/>
      <c r="M17" s="20">
        <v>3</v>
      </c>
      <c r="N17" s="21" t="s">
        <v>16</v>
      </c>
      <c r="O17" s="52">
        <v>7500</v>
      </c>
    </row>
    <row r="18" spans="2:15" x14ac:dyDescent="0.2">
      <c r="B18" s="16"/>
      <c r="C18" s="73">
        <v>7.5999999999999998E-2</v>
      </c>
      <c r="D18" s="68">
        <f>-$D$15*C18</f>
        <v>-6840</v>
      </c>
      <c r="F18" s="16"/>
      <c r="G18" s="73">
        <v>0.03</v>
      </c>
      <c r="H18" s="68">
        <f t="shared" ref="H18" si="1">-$H$15*G18</f>
        <v>-2700</v>
      </c>
      <c r="J18" s="19"/>
      <c r="L18" s="68"/>
      <c r="M18" s="20">
        <v>4</v>
      </c>
      <c r="N18" s="21" t="s">
        <v>17</v>
      </c>
      <c r="O18" s="52">
        <v>7500</v>
      </c>
    </row>
    <row r="19" spans="2:15" x14ac:dyDescent="0.2">
      <c r="B19" s="16" t="s">
        <v>36</v>
      </c>
      <c r="C19" s="9" t="s">
        <v>35</v>
      </c>
      <c r="D19" s="75"/>
      <c r="F19" s="16" t="str">
        <f>B19</f>
        <v>+</v>
      </c>
      <c r="G19" s="25" t="str">
        <f t="shared" si="0"/>
        <v>Créditos</v>
      </c>
      <c r="H19" s="68"/>
      <c r="J19" s="19"/>
      <c r="L19" s="68"/>
      <c r="M19" s="20">
        <v>5</v>
      </c>
      <c r="N19" s="21" t="s">
        <v>18</v>
      </c>
      <c r="O19" s="52">
        <v>7500</v>
      </c>
    </row>
    <row r="20" spans="2:15" x14ac:dyDescent="0.2">
      <c r="B20" s="16"/>
      <c r="C20" s="21" t="s">
        <v>37</v>
      </c>
      <c r="D20" s="76">
        <f>-$D$24*12%</f>
        <v>6480</v>
      </c>
      <c r="F20" s="16"/>
      <c r="G20" s="66" t="str">
        <f t="shared" si="0"/>
        <v>ICMS: Valor Crédito sobre Compras</v>
      </c>
      <c r="H20" s="69">
        <f>-H24*12%</f>
        <v>6480</v>
      </c>
      <c r="J20" s="19"/>
      <c r="K20" s="107"/>
      <c r="L20" s="108"/>
      <c r="M20" s="20">
        <v>6</v>
      </c>
      <c r="N20" s="21" t="s">
        <v>19</v>
      </c>
      <c r="O20" s="52">
        <v>7500</v>
      </c>
    </row>
    <row r="21" spans="2:15" x14ac:dyDescent="0.2">
      <c r="B21" s="16"/>
      <c r="C21" s="21" t="s">
        <v>38</v>
      </c>
      <c r="D21" s="76">
        <f>-$D$24*1.65%</f>
        <v>891</v>
      </c>
      <c r="F21" s="16"/>
      <c r="G21" s="66"/>
      <c r="H21" s="68"/>
      <c r="J21" s="19"/>
      <c r="L21" s="68"/>
      <c r="M21" s="20">
        <v>7</v>
      </c>
      <c r="N21" s="21" t="s">
        <v>20</v>
      </c>
      <c r="O21" s="52">
        <v>7500</v>
      </c>
    </row>
    <row r="22" spans="2:15" x14ac:dyDescent="0.2">
      <c r="B22" s="16"/>
      <c r="C22" s="21" t="s">
        <v>39</v>
      </c>
      <c r="D22" s="76">
        <f>-$D$24*7.6%</f>
        <v>4104</v>
      </c>
      <c r="F22" s="16"/>
      <c r="G22" s="66"/>
      <c r="H22" s="68"/>
      <c r="J22" s="19"/>
      <c r="L22" s="68"/>
      <c r="M22" s="20">
        <v>8</v>
      </c>
      <c r="N22" s="21" t="s">
        <v>21</v>
      </c>
      <c r="O22" s="52">
        <v>7500</v>
      </c>
    </row>
    <row r="23" spans="2:15" x14ac:dyDescent="0.2">
      <c r="B23" s="16" t="s">
        <v>1</v>
      </c>
      <c r="C23" s="9" t="s">
        <v>2</v>
      </c>
      <c r="D23" s="68">
        <f>SUM(D15:D22)</f>
        <v>76950</v>
      </c>
      <c r="F23" s="16" t="str">
        <f t="shared" ref="F23:G28" si="2">B23</f>
        <v>=</v>
      </c>
      <c r="G23" s="9" t="str">
        <f t="shared" si="2"/>
        <v>Receita Líquida</v>
      </c>
      <c r="H23" s="68">
        <f>SUM(H15:H20)</f>
        <v>76995</v>
      </c>
      <c r="J23" s="19" t="str">
        <f>F23</f>
        <v>=</v>
      </c>
      <c r="K23" s="9" t="str">
        <f>G23</f>
        <v>Receita Líquida</v>
      </c>
      <c r="L23" s="68"/>
      <c r="M23" s="20">
        <v>9</v>
      </c>
      <c r="N23" s="21" t="s">
        <v>22</v>
      </c>
      <c r="O23" s="52">
        <v>7500</v>
      </c>
    </row>
    <row r="24" spans="2:15" x14ac:dyDescent="0.2">
      <c r="B24" s="16" t="s">
        <v>0</v>
      </c>
      <c r="C24" s="5">
        <v>0.6</v>
      </c>
      <c r="D24" s="68">
        <f>-D15*C24</f>
        <v>-54000</v>
      </c>
      <c r="F24" s="16" t="str">
        <f t="shared" si="2"/>
        <v>-</v>
      </c>
      <c r="G24" s="26">
        <f t="shared" si="2"/>
        <v>0.6</v>
      </c>
      <c r="H24" s="68">
        <f>-H15*G24</f>
        <v>-54000</v>
      </c>
      <c r="J24" s="19" t="str">
        <f t="shared" ref="J24:K25" si="3">F24</f>
        <v>-</v>
      </c>
      <c r="K24" s="26">
        <f t="shared" si="3"/>
        <v>0.6</v>
      </c>
      <c r="L24" s="68">
        <f>-L15*K24</f>
        <v>-54000</v>
      </c>
      <c r="M24" s="20">
        <v>10</v>
      </c>
      <c r="N24" s="21" t="s">
        <v>23</v>
      </c>
      <c r="O24" s="52">
        <v>7500</v>
      </c>
    </row>
    <row r="25" spans="2:15" x14ac:dyDescent="0.2">
      <c r="B25" s="16" t="s">
        <v>1</v>
      </c>
      <c r="C25" s="9" t="s">
        <v>11</v>
      </c>
      <c r="D25" s="68">
        <f>SUM(D23:D24)</f>
        <v>22950</v>
      </c>
      <c r="F25" s="16" t="str">
        <f t="shared" si="2"/>
        <v>=</v>
      </c>
      <c r="G25" s="9" t="str">
        <f t="shared" si="2"/>
        <v>Margem Bruta</v>
      </c>
      <c r="H25" s="68">
        <f>SUM(H23:H24)</f>
        <v>22995</v>
      </c>
      <c r="J25" s="19" t="str">
        <f t="shared" si="3"/>
        <v>=</v>
      </c>
      <c r="K25" s="9" t="str">
        <f t="shared" si="3"/>
        <v>Margem Bruta</v>
      </c>
      <c r="L25" s="68"/>
      <c r="M25" s="20">
        <v>11</v>
      </c>
      <c r="N25" s="21" t="s">
        <v>24</v>
      </c>
      <c r="O25" s="52">
        <v>7500</v>
      </c>
    </row>
    <row r="26" spans="2:15" x14ac:dyDescent="0.2">
      <c r="B26" s="16" t="s">
        <v>0</v>
      </c>
      <c r="C26" s="4">
        <v>0.1</v>
      </c>
      <c r="D26" s="68">
        <f>-D15*C26</f>
        <v>-9000</v>
      </c>
      <c r="F26" s="16" t="str">
        <f t="shared" si="2"/>
        <v>-</v>
      </c>
      <c r="G26" s="27">
        <f t="shared" si="2"/>
        <v>0.1</v>
      </c>
      <c r="H26" s="68">
        <f>-H15*G26</f>
        <v>-9000</v>
      </c>
      <c r="J26" s="19" t="str">
        <f>F26</f>
        <v>-</v>
      </c>
      <c r="K26" s="27">
        <f>C26</f>
        <v>0.1</v>
      </c>
      <c r="L26" s="68">
        <f>-L15*K26</f>
        <v>-9000</v>
      </c>
      <c r="M26" s="20">
        <v>12</v>
      </c>
      <c r="N26" s="21" t="s">
        <v>25</v>
      </c>
      <c r="O26" s="52">
        <v>7500</v>
      </c>
    </row>
    <row r="27" spans="2:15" x14ac:dyDescent="0.2">
      <c r="B27" s="16" t="s">
        <v>0</v>
      </c>
      <c r="C27" s="62">
        <v>0.27500000000000002</v>
      </c>
      <c r="D27" s="68">
        <f>D26*C27</f>
        <v>-2475</v>
      </c>
      <c r="F27" s="16" t="str">
        <f t="shared" si="2"/>
        <v>-</v>
      </c>
      <c r="G27" s="60">
        <f t="shared" si="2"/>
        <v>0.27500000000000002</v>
      </c>
      <c r="H27" s="68">
        <f>H26*G27</f>
        <v>-2475</v>
      </c>
      <c r="J27" s="19"/>
      <c r="K27" s="28"/>
      <c r="L27" s="68"/>
    </row>
    <row r="28" spans="2:15" x14ac:dyDescent="0.2">
      <c r="B28" s="16" t="s">
        <v>0</v>
      </c>
      <c r="C28" s="2">
        <v>0.02</v>
      </c>
      <c r="D28" s="68">
        <f>-D15*C28</f>
        <v>-1800</v>
      </c>
      <c r="F28" s="16" t="str">
        <f t="shared" si="2"/>
        <v>-</v>
      </c>
      <c r="G28" s="29">
        <f t="shared" si="2"/>
        <v>0.02</v>
      </c>
      <c r="H28" s="68">
        <f>-H15*G28</f>
        <v>-1800</v>
      </c>
      <c r="J28" s="19" t="str">
        <f>F28</f>
        <v>-</v>
      </c>
      <c r="K28" s="29">
        <f>C28</f>
        <v>0.02</v>
      </c>
      <c r="L28" s="68">
        <f>-L15*K28</f>
        <v>-1800</v>
      </c>
      <c r="N28" s="101"/>
      <c r="O28" s="101"/>
    </row>
    <row r="29" spans="2:15" x14ac:dyDescent="0.2">
      <c r="B29" s="16" t="s">
        <v>1</v>
      </c>
      <c r="C29" s="30" t="s">
        <v>4</v>
      </c>
      <c r="D29" s="70">
        <f>SUM(D25:D28)</f>
        <v>9675</v>
      </c>
      <c r="F29" s="16" t="str">
        <f>B29</f>
        <v>=</v>
      </c>
      <c r="G29" s="21" t="s">
        <v>4</v>
      </c>
      <c r="H29" s="70">
        <f>SUM(H25:H28)</f>
        <v>9720</v>
      </c>
      <c r="J29" s="19"/>
      <c r="L29" s="68"/>
      <c r="N29" s="101"/>
      <c r="O29" s="101"/>
    </row>
    <row r="30" spans="2:15" x14ac:dyDescent="0.2">
      <c r="B30" s="16"/>
      <c r="D30" s="68"/>
      <c r="F30" s="16"/>
      <c r="G30" s="31" t="s">
        <v>7</v>
      </c>
      <c r="H30" s="68"/>
      <c r="J30" s="19"/>
      <c r="L30" s="68"/>
      <c r="N30" s="101"/>
      <c r="O30" s="101"/>
    </row>
    <row r="31" spans="2:15" x14ac:dyDescent="0.2">
      <c r="B31" s="16"/>
      <c r="C31" s="32">
        <v>0.09</v>
      </c>
      <c r="D31" s="68">
        <f>-IF($D$29*C31&gt;0,$D$29*C31,0)</f>
        <v>-870.75</v>
      </c>
      <c r="F31" s="16"/>
      <c r="G31" s="33">
        <v>0.12</v>
      </c>
      <c r="H31" s="68">
        <f>H15*G31</f>
        <v>10800</v>
      </c>
      <c r="J31" s="19"/>
      <c r="L31" s="68"/>
    </row>
    <row r="32" spans="2:15" x14ac:dyDescent="0.2">
      <c r="B32" s="16"/>
      <c r="C32" s="34">
        <v>0.15</v>
      </c>
      <c r="D32" s="68">
        <f>-IF($D$29*C32&gt;0,$D$29*C32,0)</f>
        <v>-1451.25</v>
      </c>
      <c r="F32" s="16"/>
      <c r="G32" s="35">
        <v>0.09</v>
      </c>
      <c r="H32" s="68">
        <f>-H31*G32</f>
        <v>-972</v>
      </c>
      <c r="J32" s="19"/>
      <c r="L32" s="68"/>
    </row>
    <row r="33" spans="2:12" x14ac:dyDescent="0.2">
      <c r="B33" s="16"/>
      <c r="D33" s="68">
        <f>SUM(D29:D32)</f>
        <v>7353</v>
      </c>
      <c r="F33" s="16"/>
      <c r="G33" s="31" t="s">
        <v>6</v>
      </c>
      <c r="H33" s="68"/>
      <c r="J33" s="19"/>
      <c r="K33" s="36" t="s">
        <v>29</v>
      </c>
      <c r="L33" s="68"/>
    </row>
    <row r="34" spans="2:12" x14ac:dyDescent="0.2">
      <c r="B34" s="16"/>
      <c r="C34" s="37">
        <v>0.1</v>
      </c>
      <c r="D34" s="68"/>
      <c r="F34" s="16"/>
      <c r="G34" s="33">
        <v>0.08</v>
      </c>
      <c r="H34" s="68">
        <f>H15*G34</f>
        <v>7200</v>
      </c>
      <c r="J34" s="19"/>
      <c r="K34" s="38">
        <f>VLOOKUP($L$16,'Anexos Simples'!$A$2:$G$21,3)</f>
        <v>0.04</v>
      </c>
      <c r="L34" s="68">
        <f>-L15*K34</f>
        <v>-3600</v>
      </c>
    </row>
    <row r="35" spans="2:12" x14ac:dyDescent="0.2">
      <c r="B35" s="16"/>
      <c r="C35" s="50">
        <v>12</v>
      </c>
      <c r="D35" s="68">
        <f>-IF(D29&gt;20000*C35,(D29-20000*C35)*C34,0)</f>
        <v>0</v>
      </c>
      <c r="F35" s="16"/>
      <c r="G35" s="39">
        <f>C32</f>
        <v>0.15</v>
      </c>
      <c r="H35" s="68">
        <f>-H34*G35</f>
        <v>-1080</v>
      </c>
      <c r="J35" s="19"/>
      <c r="L35" s="68"/>
    </row>
    <row r="36" spans="2:12" x14ac:dyDescent="0.2">
      <c r="B36" s="16"/>
      <c r="D36" s="68"/>
      <c r="F36" s="16"/>
      <c r="G36" s="37">
        <v>0.1</v>
      </c>
      <c r="H36" s="68"/>
      <c r="J36" s="19"/>
      <c r="L36" s="68"/>
    </row>
    <row r="37" spans="2:12" x14ac:dyDescent="0.2">
      <c r="B37" s="16"/>
      <c r="D37" s="68"/>
      <c r="F37" s="16"/>
      <c r="G37" s="40">
        <f>C35</f>
        <v>12</v>
      </c>
      <c r="H37" s="68">
        <f>IF(H34&gt;20000*G37,(H34-20000*G37)*G36,0)</f>
        <v>0</v>
      </c>
      <c r="J37" s="19"/>
      <c r="L37" s="68"/>
    </row>
    <row r="38" spans="2:12" x14ac:dyDescent="0.2">
      <c r="B38" s="16"/>
      <c r="C38" s="36" t="s">
        <v>3</v>
      </c>
      <c r="D38" s="70">
        <f>SUM(D33:D35)</f>
        <v>7353</v>
      </c>
      <c r="F38" s="16"/>
      <c r="G38" s="36" t="s">
        <v>5</v>
      </c>
      <c r="H38" s="70">
        <f>H29-H32-H35-H37</f>
        <v>11772</v>
      </c>
      <c r="J38" s="19"/>
      <c r="K38" s="36" t="s">
        <v>12</v>
      </c>
      <c r="L38" s="70">
        <f>L15+L24+L26+L28+L34</f>
        <v>21600</v>
      </c>
    </row>
    <row r="39" spans="2:12" x14ac:dyDescent="0.2">
      <c r="B39" s="41"/>
      <c r="C39" s="42"/>
      <c r="D39" s="43"/>
      <c r="F39" s="41"/>
      <c r="G39" s="42"/>
      <c r="H39" s="44"/>
      <c r="J39" s="45"/>
      <c r="K39" s="42"/>
      <c r="L39" s="44"/>
    </row>
    <row r="44" spans="2:12" x14ac:dyDescent="0.2">
      <c r="L44" s="46"/>
    </row>
    <row r="46" spans="2:12" x14ac:dyDescent="0.2">
      <c r="E46" s="74"/>
    </row>
  </sheetData>
  <sheetProtection algorithmName="SHA-512" hashValue="IVgy2s7wQwcFdkl/JOKVReymRJqx+kFPOBx0U2FfFCfTaL7KvU7lVFi/I+AsyEkoa8Pou47TRpJT8fHy6MEtNg==" saltValue="TGSUK4RZ41E5xRnlcVBDmQ==" spinCount="100000" sheet="1" objects="1" scenarios="1" formatColumns="0" selectLockedCells="1"/>
  <mergeCells count="3">
    <mergeCell ref="N13:O13"/>
    <mergeCell ref="N14:O14"/>
    <mergeCell ref="D2:E2"/>
  </mergeCells>
  <phoneticPr fontId="0" type="noConversion"/>
  <dataValidations count="1">
    <dataValidation type="list" allowBlank="1" showInputMessage="1" showErrorMessage="1" sqref="C35">
      <formula1>$M$15:$M$26</formula1>
    </dataValidation>
  </dataValidations>
  <hyperlinks>
    <hyperlink ref="D2:E2" r:id="rId1" location="!download/cu9f" display="Aviso de Desbloqueio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9"/>
  <sheetViews>
    <sheetView workbookViewId="0">
      <selection activeCell="L30" sqref="L30"/>
    </sheetView>
  </sheetViews>
  <sheetFormatPr defaultRowHeight="15" x14ac:dyDescent="0.25"/>
  <sheetData>
    <row r="29" spans="12:12" x14ac:dyDescent="0.25">
      <c r="L29">
        <f>90000/12</f>
        <v>7500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O46"/>
  <sheetViews>
    <sheetView showGridLines="0" zoomScaleNormal="100" zoomScaleSheetLayoutView="100" workbookViewId="0">
      <selection activeCell="D2" sqref="D2:E2"/>
    </sheetView>
  </sheetViews>
  <sheetFormatPr defaultRowHeight="12.75" x14ac:dyDescent="0.2"/>
  <cols>
    <col min="1" max="1" width="2.7109375" style="9" customWidth="1"/>
    <col min="2" max="2" width="2.140625" style="65" bestFit="1" customWidth="1"/>
    <col min="3" max="3" width="48.7109375" style="9" customWidth="1"/>
    <col min="4" max="4" width="13.5703125" style="46" bestFit="1" customWidth="1"/>
    <col min="5" max="5" width="2.7109375" style="65" customWidth="1"/>
    <col min="6" max="6" width="2.140625" style="65" customWidth="1"/>
    <col min="7" max="7" width="48.7109375" style="9" customWidth="1"/>
    <col min="8" max="8" width="13.5703125" style="9" bestFit="1" customWidth="1"/>
    <col min="9" max="9" width="2.7109375" style="9" customWidth="1"/>
    <col min="10" max="10" width="2.140625" style="9" bestFit="1" customWidth="1"/>
    <col min="11" max="11" width="48.7109375" style="9" customWidth="1"/>
    <col min="12" max="12" width="13.5703125" style="9" bestFit="1" customWidth="1"/>
    <col min="13" max="13" width="3" style="9" bestFit="1" customWidth="1"/>
    <col min="14" max="14" width="9.42578125" style="9" bestFit="1" customWidth="1"/>
    <col min="15" max="15" width="13.140625" style="9" bestFit="1" customWidth="1"/>
    <col min="16" max="16384" width="9.140625" style="9"/>
  </cols>
  <sheetData>
    <row r="1" spans="1:15" ht="23.25" x14ac:dyDescent="0.35">
      <c r="A1" s="100" t="s">
        <v>44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91" customFormat="1" ht="12.75" customHeight="1" x14ac:dyDescent="0.2">
      <c r="C2" s="92"/>
      <c r="D2" s="112" t="s">
        <v>48</v>
      </c>
      <c r="E2" s="112"/>
      <c r="F2" s="93"/>
    </row>
    <row r="3" spans="1:15" s="91" customFormat="1" ht="12.75" customHeight="1" x14ac:dyDescent="0.2">
      <c r="C3" s="92"/>
      <c r="D3" s="90"/>
      <c r="E3" s="85"/>
      <c r="G3" s="48">
        <f>-SUM(D16,D17,D21,D22,D23,D24,D18,D19,D29,D33,D34,D37)</f>
        <v>26590.5</v>
      </c>
    </row>
    <row r="4" spans="1:15" s="91" customFormat="1" ht="12.75" customHeight="1" x14ac:dyDescent="0.2">
      <c r="C4" s="92"/>
      <c r="G4" s="47">
        <f>-SUM(H16,H17,H18,H19,H21,H22,H29,H34,H37,H39)</f>
        <v>27612</v>
      </c>
    </row>
    <row r="5" spans="1:15" s="91" customFormat="1" ht="12.75" customHeight="1" x14ac:dyDescent="0.2">
      <c r="C5" s="92"/>
      <c r="G5" s="49">
        <f>-L36</f>
        <v>4050</v>
      </c>
    </row>
    <row r="6" spans="1:15" s="91" customFormat="1" ht="12.75" customHeight="1" x14ac:dyDescent="0.2">
      <c r="C6" s="92"/>
    </row>
    <row r="7" spans="1:15" s="91" customFormat="1" ht="12.75" customHeight="1" x14ac:dyDescent="0.2">
      <c r="C7" s="92"/>
    </row>
    <row r="8" spans="1:15" s="91" customFormat="1" ht="12.75" customHeight="1" x14ac:dyDescent="0.2">
      <c r="C8" s="92"/>
    </row>
    <row r="9" spans="1:15" s="91" customFormat="1" ht="12.75" customHeight="1" x14ac:dyDescent="0.2">
      <c r="C9" s="94"/>
    </row>
    <row r="10" spans="1:15" s="91" customFormat="1" ht="12.75" customHeight="1" x14ac:dyDescent="0.2">
      <c r="C10" s="94"/>
    </row>
    <row r="11" spans="1:15" s="91" customFormat="1" ht="12.75" customHeight="1" x14ac:dyDescent="0.2">
      <c r="B11" s="89" t="s">
        <v>13</v>
      </c>
      <c r="C11" s="95"/>
    </row>
    <row r="12" spans="1:15" s="10" customFormat="1" ht="15" x14ac:dyDescent="0.25"/>
    <row r="13" spans="1:15" x14ac:dyDescent="0.2">
      <c r="B13" s="11"/>
      <c r="C13" s="12" t="s">
        <v>8</v>
      </c>
      <c r="D13" s="63" t="s">
        <v>34</v>
      </c>
      <c r="F13" s="13"/>
      <c r="G13" s="12" t="s">
        <v>9</v>
      </c>
      <c r="H13" s="63" t="s">
        <v>34</v>
      </c>
      <c r="J13" s="14"/>
      <c r="K13" s="12" t="s">
        <v>10</v>
      </c>
      <c r="L13" s="63" t="s">
        <v>34</v>
      </c>
      <c r="N13" s="111" t="s">
        <v>26</v>
      </c>
      <c r="O13" s="111"/>
    </row>
    <row r="14" spans="1:15" x14ac:dyDescent="0.2">
      <c r="B14" s="16"/>
      <c r="D14" s="17"/>
      <c r="F14" s="16"/>
      <c r="H14" s="18"/>
      <c r="J14" s="19"/>
      <c r="L14" s="18"/>
      <c r="N14" s="111" t="s">
        <v>27</v>
      </c>
      <c r="O14" s="111"/>
    </row>
    <row r="15" spans="1:15" x14ac:dyDescent="0.2">
      <c r="B15" s="16" t="s">
        <v>36</v>
      </c>
      <c r="C15" s="9" t="s">
        <v>57</v>
      </c>
      <c r="D15" s="71">
        <f>'Comércio I'!D15</f>
        <v>90000</v>
      </c>
      <c r="F15" s="16" t="str">
        <f>B15</f>
        <v>+</v>
      </c>
      <c r="G15" s="9" t="str">
        <f>C15</f>
        <v>Receita Bruta</v>
      </c>
      <c r="H15" s="68">
        <f>D15</f>
        <v>90000</v>
      </c>
      <c r="J15" s="19"/>
      <c r="K15" s="9" t="s">
        <v>55</v>
      </c>
      <c r="L15" s="68">
        <f>H15</f>
        <v>90000</v>
      </c>
      <c r="M15" s="20">
        <v>1</v>
      </c>
      <c r="N15" s="21" t="s">
        <v>14</v>
      </c>
      <c r="O15" s="52">
        <f>'Comércio I'!O15</f>
        <v>7500</v>
      </c>
    </row>
    <row r="16" spans="1:15" x14ac:dyDescent="0.2">
      <c r="B16" s="16"/>
      <c r="C16" s="6">
        <v>0.18</v>
      </c>
      <c r="D16" s="68">
        <f>-$D$15*C16</f>
        <v>-16200</v>
      </c>
      <c r="F16" s="16"/>
      <c r="G16" s="51">
        <f>C16</f>
        <v>0.18</v>
      </c>
      <c r="H16" s="68">
        <f>-$H$15*G16</f>
        <v>-16200</v>
      </c>
      <c r="J16" s="19"/>
      <c r="K16" s="9" t="s">
        <v>28</v>
      </c>
      <c r="L16" s="68">
        <f>SUM(O15:O26)</f>
        <v>90000</v>
      </c>
      <c r="M16" s="20">
        <v>2</v>
      </c>
      <c r="N16" s="21" t="s">
        <v>15</v>
      </c>
      <c r="O16" s="52">
        <f>'Comércio I'!O16</f>
        <v>7500</v>
      </c>
    </row>
    <row r="17" spans="2:15" x14ac:dyDescent="0.2">
      <c r="B17" s="16"/>
      <c r="C17" s="7">
        <v>0.1</v>
      </c>
      <c r="D17" s="68">
        <f>-$D$15*C17</f>
        <v>-9000</v>
      </c>
      <c r="F17" s="16"/>
      <c r="G17" s="7">
        <v>0.1</v>
      </c>
      <c r="H17" s="68">
        <f>-$H$15*G17</f>
        <v>-9000</v>
      </c>
      <c r="J17" s="19"/>
      <c r="L17" s="68"/>
      <c r="M17" s="20">
        <v>3</v>
      </c>
      <c r="N17" s="21" t="s">
        <v>16</v>
      </c>
      <c r="O17" s="52">
        <f>'Comércio I'!O17</f>
        <v>7500</v>
      </c>
    </row>
    <row r="18" spans="2:15" x14ac:dyDescent="0.2">
      <c r="B18" s="16"/>
      <c r="C18" s="72">
        <v>1.6500000000000001E-2</v>
      </c>
      <c r="D18" s="68">
        <f>-$D$15*C18</f>
        <v>-1485</v>
      </c>
      <c r="F18" s="16"/>
      <c r="G18" s="72">
        <v>6.4999999999999997E-3</v>
      </c>
      <c r="H18" s="68">
        <f>-$H$15*G18</f>
        <v>-585</v>
      </c>
      <c r="J18" s="19"/>
      <c r="L18" s="68"/>
      <c r="M18" s="20">
        <v>4</v>
      </c>
      <c r="N18" s="21" t="s">
        <v>17</v>
      </c>
      <c r="O18" s="52">
        <f>'Comércio I'!O18</f>
        <v>7500</v>
      </c>
    </row>
    <row r="19" spans="2:15" x14ac:dyDescent="0.2">
      <c r="B19" s="16"/>
      <c r="C19" s="73">
        <v>7.5999999999999998E-2</v>
      </c>
      <c r="D19" s="68">
        <f>-$D$15*C19</f>
        <v>-6840</v>
      </c>
      <c r="F19" s="16"/>
      <c r="G19" s="73">
        <v>0.03</v>
      </c>
      <c r="H19" s="68">
        <f>-$H$15*G19</f>
        <v>-2700</v>
      </c>
      <c r="J19" s="19"/>
      <c r="L19" s="68"/>
      <c r="M19" s="20">
        <v>5</v>
      </c>
      <c r="N19" s="21" t="s">
        <v>18</v>
      </c>
      <c r="O19" s="52">
        <f>'Comércio I'!O19</f>
        <v>7500</v>
      </c>
    </row>
    <row r="20" spans="2:15" x14ac:dyDescent="0.2">
      <c r="B20" s="16" t="s">
        <v>36</v>
      </c>
      <c r="C20" s="24" t="s">
        <v>40</v>
      </c>
      <c r="D20" s="68"/>
      <c r="F20" s="16" t="str">
        <f>B20</f>
        <v>+</v>
      </c>
      <c r="G20" s="24" t="str">
        <f>C20</f>
        <v>Crédito</v>
      </c>
      <c r="H20" s="68"/>
      <c r="J20" s="19"/>
      <c r="L20" s="68"/>
      <c r="M20" s="20">
        <v>6</v>
      </c>
      <c r="N20" s="21" t="s">
        <v>19</v>
      </c>
      <c r="O20" s="52">
        <f>'Comércio I'!O20</f>
        <v>7500</v>
      </c>
    </row>
    <row r="21" spans="2:15" ht="12.75" customHeight="1" x14ac:dyDescent="0.25">
      <c r="B21" s="16"/>
      <c r="C21" s="21" t="s">
        <v>37</v>
      </c>
      <c r="D21" s="69">
        <f>-$D$26*12%</f>
        <v>5400</v>
      </c>
      <c r="F21" s="16"/>
      <c r="G21" s="21" t="str">
        <f>C21</f>
        <v>ICMS: Valor Crédito sobre Compras</v>
      </c>
      <c r="H21" s="69">
        <f>-$H$26*12%</f>
        <v>5400</v>
      </c>
      <c r="J21" s="19"/>
      <c r="K21"/>
      <c r="L21" s="109"/>
      <c r="M21" s="20">
        <v>7</v>
      </c>
      <c r="N21" s="21" t="s">
        <v>20</v>
      </c>
      <c r="O21" s="52">
        <f>'Comércio I'!O21</f>
        <v>7500</v>
      </c>
    </row>
    <row r="22" spans="2:15" x14ac:dyDescent="0.2">
      <c r="B22" s="16"/>
      <c r="C22" s="21" t="s">
        <v>41</v>
      </c>
      <c r="D22" s="69">
        <f>-$D$26*5%</f>
        <v>2250</v>
      </c>
      <c r="F22" s="19"/>
      <c r="G22" s="21" t="str">
        <f t="shared" ref="G22" si="0">C22</f>
        <v>IPI: Valor Crédito sobre Compras</v>
      </c>
      <c r="H22" s="69">
        <v>0</v>
      </c>
      <c r="J22" s="19"/>
      <c r="L22" s="68"/>
      <c r="M22" s="20">
        <v>8</v>
      </c>
      <c r="N22" s="21" t="s">
        <v>21</v>
      </c>
      <c r="O22" s="52">
        <f>'Comércio I'!O22</f>
        <v>7500</v>
      </c>
    </row>
    <row r="23" spans="2:15" x14ac:dyDescent="0.2">
      <c r="B23" s="19"/>
      <c r="C23" s="21" t="s">
        <v>38</v>
      </c>
      <c r="D23" s="69">
        <f>-$D$26*1.65%</f>
        <v>742.5</v>
      </c>
      <c r="F23" s="16"/>
      <c r="G23" s="21"/>
      <c r="H23" s="68"/>
      <c r="J23" s="19"/>
      <c r="L23" s="68"/>
      <c r="M23" s="20">
        <v>9</v>
      </c>
      <c r="N23" s="21" t="s">
        <v>22</v>
      </c>
      <c r="O23" s="52">
        <f>'Comércio I'!O23</f>
        <v>7500</v>
      </c>
    </row>
    <row r="24" spans="2:15" x14ac:dyDescent="0.2">
      <c r="B24" s="19"/>
      <c r="C24" s="21" t="s">
        <v>39</v>
      </c>
      <c r="D24" s="69">
        <f>-$D$26*7.6%</f>
        <v>3420</v>
      </c>
      <c r="F24" s="16"/>
      <c r="G24" s="21"/>
      <c r="H24" s="68"/>
      <c r="J24" s="19"/>
      <c r="L24" s="68"/>
      <c r="M24" s="20">
        <v>10</v>
      </c>
      <c r="N24" s="21" t="s">
        <v>23</v>
      </c>
      <c r="O24" s="52">
        <f>'Comércio I'!O24</f>
        <v>7500</v>
      </c>
    </row>
    <row r="25" spans="2:15" x14ac:dyDescent="0.2">
      <c r="B25" s="16" t="s">
        <v>1</v>
      </c>
      <c r="C25" s="9" t="s">
        <v>2</v>
      </c>
      <c r="D25" s="68">
        <f>SUM(D15:D24)</f>
        <v>68287.5</v>
      </c>
      <c r="F25" s="16" t="str">
        <f>B25</f>
        <v>=</v>
      </c>
      <c r="G25" s="9" t="str">
        <f>C25</f>
        <v>Receita Líquida</v>
      </c>
      <c r="H25" s="68">
        <f>SUM(H15:H22)</f>
        <v>66915</v>
      </c>
      <c r="J25" s="19" t="str">
        <f>F25</f>
        <v>=</v>
      </c>
      <c r="K25" s="9" t="str">
        <f>G25</f>
        <v>Receita Líquida</v>
      </c>
      <c r="L25" s="68"/>
      <c r="M25" s="20">
        <v>11</v>
      </c>
      <c r="N25" s="21" t="s">
        <v>24</v>
      </c>
      <c r="O25" s="52">
        <f>'Comércio I'!O25</f>
        <v>7500</v>
      </c>
    </row>
    <row r="26" spans="2:15" x14ac:dyDescent="0.2">
      <c r="B26" s="16" t="s">
        <v>0</v>
      </c>
      <c r="C26" s="5">
        <v>0.5</v>
      </c>
      <c r="D26" s="68">
        <f>-D15*C26</f>
        <v>-45000</v>
      </c>
      <c r="F26" s="16" t="str">
        <f t="shared" ref="F26:F31" si="1">B26</f>
        <v>-</v>
      </c>
      <c r="G26" s="26">
        <f>C26</f>
        <v>0.5</v>
      </c>
      <c r="H26" s="68">
        <f>-H15*G26</f>
        <v>-45000</v>
      </c>
      <c r="J26" s="19" t="str">
        <f t="shared" ref="J26:J30" si="2">F26</f>
        <v>-</v>
      </c>
      <c r="K26" s="26">
        <f>G26</f>
        <v>0.5</v>
      </c>
      <c r="L26" s="68">
        <f>-L15*K26</f>
        <v>-45000</v>
      </c>
      <c r="M26" s="20">
        <v>12</v>
      </c>
      <c r="N26" s="21" t="s">
        <v>25</v>
      </c>
      <c r="O26" s="52">
        <f>'Comércio I'!O26</f>
        <v>7500</v>
      </c>
    </row>
    <row r="27" spans="2:15" x14ac:dyDescent="0.2">
      <c r="B27" s="16" t="s">
        <v>1</v>
      </c>
      <c r="C27" s="9" t="s">
        <v>11</v>
      </c>
      <c r="D27" s="68">
        <f>SUM(D25:D26)</f>
        <v>23287.5</v>
      </c>
      <c r="F27" s="16" t="str">
        <f t="shared" si="1"/>
        <v>=</v>
      </c>
      <c r="G27" s="9" t="str">
        <f>C27</f>
        <v>Margem Bruta</v>
      </c>
      <c r="H27" s="68">
        <f>SUM(H25:H26)</f>
        <v>21915</v>
      </c>
      <c r="J27" s="19" t="str">
        <f t="shared" si="2"/>
        <v>=</v>
      </c>
      <c r="K27" s="9" t="str">
        <f>G27</f>
        <v>Margem Bruta</v>
      </c>
      <c r="L27" s="68"/>
    </row>
    <row r="28" spans="2:15" x14ac:dyDescent="0.2">
      <c r="B28" s="16" t="s">
        <v>0</v>
      </c>
      <c r="C28" s="4">
        <v>0.1</v>
      </c>
      <c r="D28" s="68">
        <f>-D15*C28</f>
        <v>-9000</v>
      </c>
      <c r="F28" s="16" t="str">
        <f t="shared" si="1"/>
        <v>-</v>
      </c>
      <c r="G28" s="27">
        <f>C28</f>
        <v>0.1</v>
      </c>
      <c r="H28" s="68">
        <f>-H15*G28</f>
        <v>-9000</v>
      </c>
      <c r="J28" s="19" t="str">
        <f t="shared" si="2"/>
        <v>-</v>
      </c>
      <c r="K28" s="27">
        <f>C28</f>
        <v>0.1</v>
      </c>
      <c r="L28" s="68">
        <f>-L15*K28</f>
        <v>-9000</v>
      </c>
      <c r="N28" s="101"/>
      <c r="O28" s="101"/>
    </row>
    <row r="29" spans="2:15" x14ac:dyDescent="0.2">
      <c r="B29" s="16" t="s">
        <v>0</v>
      </c>
      <c r="C29" s="3">
        <v>0.27500000000000002</v>
      </c>
      <c r="D29" s="68">
        <f>D28*C29</f>
        <v>-2475</v>
      </c>
      <c r="F29" s="16" t="str">
        <f t="shared" si="1"/>
        <v>-</v>
      </c>
      <c r="G29" s="67">
        <f>C29</f>
        <v>0.27500000000000002</v>
      </c>
      <c r="H29" s="68">
        <f>H28*G29</f>
        <v>-2475</v>
      </c>
      <c r="J29" s="19"/>
      <c r="K29" s="28"/>
      <c r="L29" s="68"/>
      <c r="N29" s="101"/>
      <c r="O29" s="101"/>
    </row>
    <row r="30" spans="2:15" x14ac:dyDescent="0.2">
      <c r="B30" s="16" t="s">
        <v>0</v>
      </c>
      <c r="C30" s="2">
        <v>0.02</v>
      </c>
      <c r="D30" s="68">
        <f>-D15*C30</f>
        <v>-1800</v>
      </c>
      <c r="F30" s="16" t="str">
        <f t="shared" si="1"/>
        <v>-</v>
      </c>
      <c r="G30" s="29">
        <f>C30</f>
        <v>0.02</v>
      </c>
      <c r="H30" s="68">
        <f>-H15*G30</f>
        <v>-1800</v>
      </c>
      <c r="J30" s="19" t="str">
        <f t="shared" si="2"/>
        <v>-</v>
      </c>
      <c r="K30" s="29">
        <f>C30</f>
        <v>0.02</v>
      </c>
      <c r="L30" s="68">
        <f>-L15*K30</f>
        <v>-1800</v>
      </c>
      <c r="N30" s="101"/>
      <c r="O30" s="101"/>
    </row>
    <row r="31" spans="2:15" x14ac:dyDescent="0.2">
      <c r="B31" s="16" t="s">
        <v>1</v>
      </c>
      <c r="C31" s="30" t="s">
        <v>4</v>
      </c>
      <c r="D31" s="70">
        <f>SUM(D27:D30)</f>
        <v>10012.5</v>
      </c>
      <c r="F31" s="16" t="str">
        <f t="shared" si="1"/>
        <v>=</v>
      </c>
      <c r="G31" s="21" t="s">
        <v>4</v>
      </c>
      <c r="H31" s="70">
        <f>SUM(H27:H30)</f>
        <v>8640</v>
      </c>
      <c r="J31" s="19"/>
      <c r="L31" s="68"/>
    </row>
    <row r="32" spans="2:15" x14ac:dyDescent="0.2">
      <c r="B32" s="16"/>
      <c r="D32" s="68"/>
      <c r="F32" s="16"/>
      <c r="G32" s="31" t="s">
        <v>7</v>
      </c>
      <c r="H32" s="68"/>
      <c r="J32" s="19"/>
      <c r="L32" s="68"/>
    </row>
    <row r="33" spans="2:12" x14ac:dyDescent="0.2">
      <c r="B33" s="16"/>
      <c r="C33" s="32">
        <v>0.09</v>
      </c>
      <c r="D33" s="68">
        <f>-IF($D$31*C33&gt;0,$D$31*C33,0)</f>
        <v>-901.125</v>
      </c>
      <c r="F33" s="16"/>
      <c r="G33" s="83">
        <v>0.12</v>
      </c>
      <c r="H33" s="68">
        <f>H15*G33</f>
        <v>10800</v>
      </c>
      <c r="J33" s="19"/>
      <c r="L33" s="68"/>
    </row>
    <row r="34" spans="2:12" x14ac:dyDescent="0.2">
      <c r="B34" s="16"/>
      <c r="C34" s="34">
        <v>0.15</v>
      </c>
      <c r="D34" s="68">
        <f>-IF($D$31*C34&gt;0,$D$31*C34,0)</f>
        <v>-1501.875</v>
      </c>
      <c r="F34" s="16"/>
      <c r="G34" s="35">
        <v>0.09</v>
      </c>
      <c r="H34" s="68">
        <f>-H33*G34</f>
        <v>-972</v>
      </c>
      <c r="J34" s="19"/>
      <c r="L34" s="68"/>
    </row>
    <row r="35" spans="2:12" x14ac:dyDescent="0.2">
      <c r="B35" s="16"/>
      <c r="D35" s="70">
        <f>SUM(D31:D34)</f>
        <v>7609.5</v>
      </c>
      <c r="F35" s="16"/>
      <c r="G35" s="31" t="s">
        <v>6</v>
      </c>
      <c r="H35" s="68"/>
      <c r="J35" s="19"/>
      <c r="K35" s="36" t="s">
        <v>30</v>
      </c>
      <c r="L35" s="68"/>
    </row>
    <row r="36" spans="2:12" x14ac:dyDescent="0.2">
      <c r="B36" s="16"/>
      <c r="C36" s="37">
        <v>0.1</v>
      </c>
      <c r="D36" s="68"/>
      <c r="F36" s="16"/>
      <c r="G36" s="83">
        <v>0.08</v>
      </c>
      <c r="H36" s="68">
        <f>H15*G36</f>
        <v>7200</v>
      </c>
      <c r="J36" s="19"/>
      <c r="K36" s="38">
        <f>VLOOKUP($L$16,'Anexos Simples'!$A$2:$G$21,4)</f>
        <v>4.4999999999999998E-2</v>
      </c>
      <c r="L36" s="68">
        <f>-L15*K36</f>
        <v>-4050</v>
      </c>
    </row>
    <row r="37" spans="2:12" x14ac:dyDescent="0.2">
      <c r="B37" s="16"/>
      <c r="C37" s="50">
        <v>12</v>
      </c>
      <c r="D37" s="68">
        <f>-IF(D31&gt;20000*C37,(D31-20000*C37)*C36,0)</f>
        <v>0</v>
      </c>
      <c r="F37" s="16"/>
      <c r="G37" s="39">
        <f>C34</f>
        <v>0.15</v>
      </c>
      <c r="H37" s="68">
        <f>-H36*G37</f>
        <v>-1080</v>
      </c>
      <c r="J37" s="19"/>
      <c r="L37" s="68"/>
    </row>
    <row r="38" spans="2:12" x14ac:dyDescent="0.2">
      <c r="B38" s="16"/>
      <c r="D38" s="68"/>
      <c r="F38" s="16"/>
      <c r="G38" s="37">
        <v>0.1</v>
      </c>
      <c r="H38" s="68"/>
      <c r="J38" s="19"/>
      <c r="L38" s="68"/>
    </row>
    <row r="39" spans="2:12" x14ac:dyDescent="0.2">
      <c r="B39" s="16"/>
      <c r="D39" s="68"/>
      <c r="F39" s="16"/>
      <c r="G39" s="40">
        <f>C37</f>
        <v>12</v>
      </c>
      <c r="H39" s="68">
        <f>-IF(H36&gt;20000*G39,(H36-20000*G39)*G38,0)</f>
        <v>0</v>
      </c>
      <c r="J39" s="19"/>
      <c r="L39" s="68"/>
    </row>
    <row r="40" spans="2:12" x14ac:dyDescent="0.2">
      <c r="B40" s="16"/>
      <c r="C40" s="36" t="s">
        <v>3</v>
      </c>
      <c r="D40" s="70">
        <f>SUM(D35:D37)</f>
        <v>7609.5</v>
      </c>
      <c r="F40" s="16"/>
      <c r="G40" s="36" t="s">
        <v>5</v>
      </c>
      <c r="H40" s="70">
        <f>H31+H34+H37+H39</f>
        <v>6588</v>
      </c>
      <c r="J40" s="19"/>
      <c r="K40" s="36" t="s">
        <v>12</v>
      </c>
      <c r="L40" s="70">
        <f>L15+L21+L26+L28+L30+L36</f>
        <v>30150</v>
      </c>
    </row>
    <row r="41" spans="2:12" x14ac:dyDescent="0.2">
      <c r="B41" s="41"/>
      <c r="C41" s="42"/>
      <c r="D41" s="64"/>
      <c r="F41" s="41"/>
      <c r="G41" s="42"/>
      <c r="H41" s="64"/>
      <c r="J41" s="45"/>
      <c r="K41" s="42"/>
      <c r="L41" s="64"/>
    </row>
    <row r="46" spans="2:12" x14ac:dyDescent="0.2">
      <c r="L46" s="46"/>
    </row>
  </sheetData>
  <sheetProtection algorithmName="SHA-512" hashValue="06cmdfscCqJ+tvsMfEOneFOBWSLFXUNKF+HZYrAEXaDZFGhGToNENV0edY6o31PH7RSuhOEFDlmAbcJAda8d9w==" saltValue="+1UJxuoJBMXaTfi0v4yapw==" spinCount="100000" sheet="1" objects="1" scenarios="1" formatColumns="0" selectLockedCells="1"/>
  <mergeCells count="3">
    <mergeCell ref="N13:O13"/>
    <mergeCell ref="N14:O14"/>
    <mergeCell ref="D2:E2"/>
  </mergeCells>
  <dataValidations disablePrompts="1" count="1">
    <dataValidation type="list" allowBlank="1" showInputMessage="1" showErrorMessage="1" sqref="C37">
      <formula1>$M$15:$M$26</formula1>
    </dataValidation>
  </dataValidations>
  <hyperlinks>
    <hyperlink ref="D2:E2" r:id="rId1" location="!download/cu9f" display="Aviso de Desbloqueio"/>
  </hyperlinks>
  <pageMargins left="0.7" right="0.7" top="0.75" bottom="0.75" header="0.3" footer="0.3"/>
  <pageSetup paperSize="9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O40"/>
  <sheetViews>
    <sheetView showGridLines="0" zoomScaleNormal="100" zoomScaleSheetLayoutView="100" workbookViewId="0">
      <selection activeCell="D2" sqref="D2:F2"/>
    </sheetView>
  </sheetViews>
  <sheetFormatPr defaultRowHeight="12.75" x14ac:dyDescent="0.2"/>
  <cols>
    <col min="1" max="1" width="2.7109375" style="9" customWidth="1"/>
    <col min="2" max="2" width="2.140625" style="103" bestFit="1" customWidth="1"/>
    <col min="3" max="3" width="43.42578125" style="9" bestFit="1" customWidth="1"/>
    <col min="4" max="4" width="13.5703125" style="46" bestFit="1" customWidth="1"/>
    <col min="5" max="5" width="2.7109375" style="103" customWidth="1"/>
    <col min="6" max="6" width="2.140625" style="103" customWidth="1"/>
    <col min="7" max="7" width="47.42578125" style="9" bestFit="1" customWidth="1"/>
    <col min="8" max="8" width="13.5703125" style="9" bestFit="1" customWidth="1"/>
    <col min="9" max="9" width="2.7109375" style="9" customWidth="1"/>
    <col min="10" max="10" width="2.140625" style="9" bestFit="1" customWidth="1"/>
    <col min="11" max="11" width="43.42578125" style="9" bestFit="1" customWidth="1"/>
    <col min="12" max="12" width="13.5703125" style="9" bestFit="1" customWidth="1"/>
    <col min="13" max="13" width="3" style="9" bestFit="1" customWidth="1"/>
    <col min="14" max="14" width="9.42578125" style="9" bestFit="1" customWidth="1"/>
    <col min="15" max="15" width="14.7109375" style="9" bestFit="1" customWidth="1"/>
    <col min="16" max="16384" width="9.140625" style="9"/>
  </cols>
  <sheetData>
    <row r="1" spans="1:15" ht="23.25" x14ac:dyDescent="0.35">
      <c r="A1" s="100" t="s">
        <v>45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96" customFormat="1" x14ac:dyDescent="0.2">
      <c r="C2" s="97"/>
      <c r="D2" s="112" t="s">
        <v>48</v>
      </c>
      <c r="E2" s="112"/>
      <c r="F2" s="112"/>
    </row>
    <row r="3" spans="1:15" s="96" customFormat="1" x14ac:dyDescent="0.2">
      <c r="C3" s="97"/>
      <c r="D3" s="90"/>
      <c r="E3" s="103"/>
      <c r="G3" s="48">
        <f>-SUM(D16,D17,D18,D23,D27,D28,D31)</f>
        <v>17676</v>
      </c>
    </row>
    <row r="4" spans="1:15" s="96" customFormat="1" x14ac:dyDescent="0.2">
      <c r="C4" s="97"/>
      <c r="G4" s="47">
        <f>-SUM(H16,H17,H18,H23,H28,H31,H33)</f>
        <v>17172</v>
      </c>
    </row>
    <row r="5" spans="1:15" s="96" customFormat="1" x14ac:dyDescent="0.2">
      <c r="C5" s="97"/>
      <c r="G5" s="49">
        <f>-L30</f>
        <v>5400</v>
      </c>
    </row>
    <row r="6" spans="1:15" s="96" customFormat="1" x14ac:dyDescent="0.2">
      <c r="C6" s="97"/>
    </row>
    <row r="7" spans="1:15" s="96" customFormat="1" x14ac:dyDescent="0.2">
      <c r="C7" s="97"/>
    </row>
    <row r="8" spans="1:15" s="96" customFormat="1" x14ac:dyDescent="0.2">
      <c r="C8" s="97"/>
    </row>
    <row r="9" spans="1:15" s="96" customFormat="1" x14ac:dyDescent="0.2">
      <c r="C9" s="97"/>
    </row>
    <row r="10" spans="1:15" s="96" customFormat="1" x14ac:dyDescent="0.2">
      <c r="C10" s="97"/>
    </row>
    <row r="11" spans="1:15" x14ac:dyDescent="0.2">
      <c r="B11" s="89" t="s">
        <v>13</v>
      </c>
      <c r="C11" s="88"/>
      <c r="D11" s="87"/>
      <c r="E11" s="87"/>
      <c r="F11" s="87"/>
      <c r="G11" s="87"/>
      <c r="L11" s="36"/>
    </row>
    <row r="12" spans="1:15" s="10" customFormat="1" ht="15" x14ac:dyDescent="0.25"/>
    <row r="13" spans="1:15" x14ac:dyDescent="0.2">
      <c r="B13" s="11"/>
      <c r="C13" s="12" t="s">
        <v>8</v>
      </c>
      <c r="D13" s="63" t="s">
        <v>34</v>
      </c>
      <c r="F13" s="13"/>
      <c r="G13" s="12" t="s">
        <v>9</v>
      </c>
      <c r="H13" s="63" t="s">
        <v>34</v>
      </c>
      <c r="J13" s="14"/>
      <c r="K13" s="12" t="s">
        <v>10</v>
      </c>
      <c r="L13" s="63" t="s">
        <v>34</v>
      </c>
      <c r="N13" s="111" t="s">
        <v>26</v>
      </c>
      <c r="O13" s="111"/>
    </row>
    <row r="14" spans="1:15" x14ac:dyDescent="0.2">
      <c r="B14" s="16"/>
      <c r="D14" s="17"/>
      <c r="F14" s="16"/>
      <c r="H14" s="18"/>
      <c r="J14" s="19"/>
      <c r="L14" s="18"/>
      <c r="N14" s="111" t="s">
        <v>27</v>
      </c>
      <c r="O14" s="111"/>
    </row>
    <row r="15" spans="1:15" x14ac:dyDescent="0.2">
      <c r="B15" s="16"/>
      <c r="C15" s="9" t="s">
        <v>57</v>
      </c>
      <c r="D15" s="8">
        <f>'Comércio I'!D15</f>
        <v>90000</v>
      </c>
      <c r="F15" s="16"/>
      <c r="G15" s="9" t="str">
        <f>C15</f>
        <v>Receita Bruta</v>
      </c>
      <c r="H15" s="68">
        <f>D15</f>
        <v>90000</v>
      </c>
      <c r="J15" s="19"/>
      <c r="K15" s="9" t="s">
        <v>55</v>
      </c>
      <c r="L15" s="68">
        <f>H15</f>
        <v>90000</v>
      </c>
      <c r="M15" s="20">
        <v>1</v>
      </c>
      <c r="N15" s="21" t="s">
        <v>14</v>
      </c>
      <c r="O15" s="52">
        <f>'Comércio I'!O15</f>
        <v>7500</v>
      </c>
    </row>
    <row r="16" spans="1:15" x14ac:dyDescent="0.2">
      <c r="B16" s="16"/>
      <c r="C16" s="55">
        <v>0.05</v>
      </c>
      <c r="D16" s="68">
        <f>-$D$15*C16</f>
        <v>-4500</v>
      </c>
      <c r="F16" s="16"/>
      <c r="G16" s="56">
        <f>C16</f>
        <v>0.05</v>
      </c>
      <c r="H16" s="68">
        <f>-$H$15*G16</f>
        <v>-4500</v>
      </c>
      <c r="J16" s="19"/>
      <c r="K16" s="9" t="s">
        <v>28</v>
      </c>
      <c r="L16" s="68">
        <f>SUM(O15:O26)</f>
        <v>90000</v>
      </c>
      <c r="M16" s="20">
        <v>2</v>
      </c>
      <c r="N16" s="21" t="s">
        <v>15</v>
      </c>
      <c r="O16" s="52">
        <f>'Comércio I'!O16</f>
        <v>7500</v>
      </c>
    </row>
    <row r="17" spans="2:15" x14ac:dyDescent="0.2">
      <c r="B17" s="16"/>
      <c r="C17" s="23">
        <v>1.6500000000000001E-2</v>
      </c>
      <c r="D17" s="68">
        <f>-$D$15*C17</f>
        <v>-1485</v>
      </c>
      <c r="F17" s="16"/>
      <c r="G17" s="23">
        <v>6.4999999999999997E-3</v>
      </c>
      <c r="H17" s="68">
        <f t="shared" ref="H17:H18" si="0">-$H$15*G17</f>
        <v>-585</v>
      </c>
      <c r="J17" s="19"/>
      <c r="L17" s="68"/>
      <c r="M17" s="20">
        <v>3</v>
      </c>
      <c r="N17" s="21" t="s">
        <v>16</v>
      </c>
      <c r="O17" s="52">
        <f>'Comércio I'!O17</f>
        <v>7500</v>
      </c>
    </row>
    <row r="18" spans="2:15" x14ac:dyDescent="0.2">
      <c r="B18" s="16"/>
      <c r="C18" s="24">
        <v>7.5999999999999998E-2</v>
      </c>
      <c r="D18" s="68">
        <f>-$D$15*C18</f>
        <v>-6840</v>
      </c>
      <c r="F18" s="16"/>
      <c r="G18" s="25">
        <v>0.03</v>
      </c>
      <c r="H18" s="68">
        <f t="shared" si="0"/>
        <v>-2700</v>
      </c>
      <c r="J18" s="19"/>
      <c r="L18" s="68"/>
      <c r="M18" s="20">
        <v>4</v>
      </c>
      <c r="N18" s="21" t="s">
        <v>17</v>
      </c>
      <c r="O18" s="52">
        <f>'Comércio I'!O18</f>
        <v>7500</v>
      </c>
    </row>
    <row r="19" spans="2:15" x14ac:dyDescent="0.2">
      <c r="B19" s="16" t="s">
        <v>1</v>
      </c>
      <c r="C19" s="9" t="s">
        <v>2</v>
      </c>
      <c r="D19" s="68">
        <f>SUM(D15:D18)</f>
        <v>77175</v>
      </c>
      <c r="F19" s="16" t="str">
        <f>B19</f>
        <v>=</v>
      </c>
      <c r="G19" s="9" t="str">
        <f>C19</f>
        <v>Receita Líquida</v>
      </c>
      <c r="H19" s="68">
        <f>SUM(H15:H18)</f>
        <v>82215</v>
      </c>
      <c r="J19" s="19" t="str">
        <f>F19</f>
        <v>=</v>
      </c>
      <c r="K19" s="9" t="str">
        <f>G19</f>
        <v>Receita Líquida</v>
      </c>
      <c r="L19" s="68"/>
      <c r="M19" s="20">
        <v>5</v>
      </c>
      <c r="N19" s="21" t="s">
        <v>18</v>
      </c>
      <c r="O19" s="52">
        <f>'Comércio I'!O19</f>
        <v>7500</v>
      </c>
    </row>
    <row r="20" spans="2:15" x14ac:dyDescent="0.2">
      <c r="B20" s="16" t="s">
        <v>0</v>
      </c>
      <c r="C20" s="57">
        <v>0.6</v>
      </c>
      <c r="D20" s="68">
        <f>-D15*C20</f>
        <v>-54000</v>
      </c>
      <c r="F20" s="16" t="str">
        <f t="shared" ref="F20:F25" si="1">B20</f>
        <v>-</v>
      </c>
      <c r="G20" s="58">
        <f>C20</f>
        <v>0.6</v>
      </c>
      <c r="H20" s="68">
        <f>-H15*G20</f>
        <v>-54000</v>
      </c>
      <c r="J20" s="19" t="str">
        <f t="shared" ref="J20:J24" si="2">F20</f>
        <v>-</v>
      </c>
      <c r="K20" s="58">
        <f>G20</f>
        <v>0.6</v>
      </c>
      <c r="L20" s="68">
        <f>-L15*K20</f>
        <v>-54000</v>
      </c>
      <c r="M20" s="20">
        <v>6</v>
      </c>
      <c r="N20" s="21" t="s">
        <v>19</v>
      </c>
      <c r="O20" s="52">
        <f>'Comércio I'!O20</f>
        <v>7500</v>
      </c>
    </row>
    <row r="21" spans="2:15" x14ac:dyDescent="0.2">
      <c r="B21" s="16" t="s">
        <v>1</v>
      </c>
      <c r="C21" s="9" t="s">
        <v>11</v>
      </c>
      <c r="D21" s="68">
        <f>SUM(D19:D20)</f>
        <v>23175</v>
      </c>
      <c r="F21" s="16" t="str">
        <f t="shared" si="1"/>
        <v>=</v>
      </c>
      <c r="G21" s="9" t="str">
        <f>C21</f>
        <v>Margem Bruta</v>
      </c>
      <c r="H21" s="68">
        <f>SUM(H19:H20)</f>
        <v>28215</v>
      </c>
      <c r="J21" s="19" t="str">
        <f t="shared" si="2"/>
        <v>=</v>
      </c>
      <c r="K21" s="9" t="str">
        <f>G21</f>
        <v>Margem Bruta</v>
      </c>
      <c r="L21" s="68"/>
      <c r="M21" s="20">
        <v>7</v>
      </c>
      <c r="N21" s="21" t="s">
        <v>20</v>
      </c>
      <c r="O21" s="52">
        <f>'Comércio I'!O21</f>
        <v>7500</v>
      </c>
    </row>
    <row r="22" spans="2:15" x14ac:dyDescent="0.2">
      <c r="B22" s="16" t="s">
        <v>0</v>
      </c>
      <c r="C22" s="4">
        <v>0.1</v>
      </c>
      <c r="D22" s="68">
        <f>-D15*C22</f>
        <v>-9000</v>
      </c>
      <c r="F22" s="16" t="str">
        <f t="shared" si="1"/>
        <v>-</v>
      </c>
      <c r="G22" s="27">
        <f>C22</f>
        <v>0.1</v>
      </c>
      <c r="H22" s="68">
        <f>-H15*G22</f>
        <v>-9000</v>
      </c>
      <c r="J22" s="19" t="str">
        <f t="shared" si="2"/>
        <v>-</v>
      </c>
      <c r="K22" s="27">
        <f>C22</f>
        <v>0.1</v>
      </c>
      <c r="L22" s="68">
        <f>-L15*K22</f>
        <v>-9000</v>
      </c>
      <c r="M22" s="20">
        <v>8</v>
      </c>
      <c r="N22" s="21" t="s">
        <v>21</v>
      </c>
      <c r="O22" s="52">
        <f>'Comércio I'!O22</f>
        <v>7500</v>
      </c>
    </row>
    <row r="23" spans="2:15" x14ac:dyDescent="0.2">
      <c r="B23" s="16" t="s">
        <v>0</v>
      </c>
      <c r="C23" s="62">
        <v>0.27500000000000002</v>
      </c>
      <c r="D23" s="68">
        <f>D22*C23</f>
        <v>-2475</v>
      </c>
      <c r="F23" s="16" t="str">
        <f t="shared" si="1"/>
        <v>-</v>
      </c>
      <c r="G23" s="60">
        <f>C23</f>
        <v>0.27500000000000002</v>
      </c>
      <c r="H23" s="68">
        <f>H22*G23</f>
        <v>-2475</v>
      </c>
      <c r="J23" s="19"/>
      <c r="K23" s="61"/>
      <c r="L23" s="68"/>
      <c r="M23" s="20">
        <v>9</v>
      </c>
      <c r="N23" s="21" t="s">
        <v>22</v>
      </c>
      <c r="O23" s="52">
        <f>'Comércio I'!O23</f>
        <v>7500</v>
      </c>
    </row>
    <row r="24" spans="2:15" x14ac:dyDescent="0.2">
      <c r="B24" s="16" t="s">
        <v>0</v>
      </c>
      <c r="C24" s="2">
        <v>0.02</v>
      </c>
      <c r="D24" s="68">
        <f>-D15*C24</f>
        <v>-1800</v>
      </c>
      <c r="F24" s="16" t="str">
        <f t="shared" si="1"/>
        <v>-</v>
      </c>
      <c r="G24" s="29">
        <f>C24</f>
        <v>0.02</v>
      </c>
      <c r="H24" s="68">
        <f>-H15*G24</f>
        <v>-1800</v>
      </c>
      <c r="J24" s="19" t="str">
        <f t="shared" si="2"/>
        <v>-</v>
      </c>
      <c r="K24" s="29">
        <f>C24</f>
        <v>0.02</v>
      </c>
      <c r="L24" s="68">
        <f>-L15*K24</f>
        <v>-1800</v>
      </c>
      <c r="M24" s="20">
        <v>10</v>
      </c>
      <c r="N24" s="21" t="s">
        <v>23</v>
      </c>
      <c r="O24" s="52">
        <f>'Comércio I'!O24</f>
        <v>7500</v>
      </c>
    </row>
    <row r="25" spans="2:15" x14ac:dyDescent="0.2">
      <c r="B25" s="16" t="s">
        <v>1</v>
      </c>
      <c r="C25" s="30" t="s">
        <v>4</v>
      </c>
      <c r="D25" s="70">
        <f>SUM(D21:D24)</f>
        <v>9900</v>
      </c>
      <c r="F25" s="16" t="str">
        <f t="shared" si="1"/>
        <v>=</v>
      </c>
      <c r="G25" s="21" t="s">
        <v>4</v>
      </c>
      <c r="H25" s="70">
        <f>SUM(H21:H24)</f>
        <v>14940</v>
      </c>
      <c r="J25" s="19"/>
      <c r="L25" s="68"/>
      <c r="M25" s="20">
        <v>11</v>
      </c>
      <c r="N25" s="21" t="s">
        <v>24</v>
      </c>
      <c r="O25" s="52">
        <f>'Comércio I'!O25</f>
        <v>7500</v>
      </c>
    </row>
    <row r="26" spans="2:15" x14ac:dyDescent="0.2">
      <c r="B26" s="16"/>
      <c r="D26" s="22"/>
      <c r="F26" s="16"/>
      <c r="G26" s="31" t="s">
        <v>7</v>
      </c>
      <c r="H26" s="68"/>
      <c r="J26" s="19"/>
      <c r="L26" s="68"/>
      <c r="M26" s="20">
        <v>12</v>
      </c>
      <c r="N26" s="21" t="s">
        <v>25</v>
      </c>
      <c r="O26" s="52">
        <f>'Comércio I'!O26</f>
        <v>7500</v>
      </c>
    </row>
    <row r="27" spans="2:15" x14ac:dyDescent="0.2">
      <c r="B27" s="16"/>
      <c r="C27" s="32">
        <v>0.09</v>
      </c>
      <c r="D27" s="68">
        <f>-IF($D$25*C27&gt;0,$D$25*C27,0)</f>
        <v>-891</v>
      </c>
      <c r="F27" s="16"/>
      <c r="G27" s="59">
        <v>0.32</v>
      </c>
      <c r="H27" s="68">
        <f>H15*G27</f>
        <v>28800</v>
      </c>
      <c r="J27" s="19"/>
      <c r="L27" s="68"/>
    </row>
    <row r="28" spans="2:15" x14ac:dyDescent="0.2">
      <c r="B28" s="16"/>
      <c r="C28" s="34">
        <v>0.15</v>
      </c>
      <c r="D28" s="68">
        <f>-IF($D$25*C28&gt;0,$D$25*C28,0)</f>
        <v>-1485</v>
      </c>
      <c r="F28" s="16"/>
      <c r="G28" s="35">
        <v>0.09</v>
      </c>
      <c r="H28" s="68">
        <f>-H27*G28</f>
        <v>-2592</v>
      </c>
      <c r="J28" s="19"/>
      <c r="L28" s="68"/>
    </row>
    <row r="29" spans="2:15" x14ac:dyDescent="0.2">
      <c r="B29" s="16"/>
      <c r="D29" s="70">
        <f>SUM(D25:D28)</f>
        <v>7524</v>
      </c>
      <c r="F29" s="16"/>
      <c r="G29" s="31" t="s">
        <v>6</v>
      </c>
      <c r="H29" s="68"/>
      <c r="J29" s="19"/>
      <c r="K29" s="36" t="s">
        <v>32</v>
      </c>
      <c r="L29" s="68"/>
    </row>
    <row r="30" spans="2:15" x14ac:dyDescent="0.2">
      <c r="B30" s="16"/>
      <c r="C30" s="37">
        <v>0.1</v>
      </c>
      <c r="D30" s="22"/>
      <c r="F30" s="16"/>
      <c r="G30" s="59">
        <v>0.32</v>
      </c>
      <c r="H30" s="68">
        <f>H15*G30</f>
        <v>28800</v>
      </c>
      <c r="J30" s="19"/>
      <c r="K30" s="38">
        <f>VLOOKUP($L$16,'Anexos Simples'!$A$2:$G$21,5)</f>
        <v>0.06</v>
      </c>
      <c r="L30" s="68">
        <f>-L15*K30</f>
        <v>-5400</v>
      </c>
    </row>
    <row r="31" spans="2:15" x14ac:dyDescent="0.2">
      <c r="B31" s="16"/>
      <c r="C31" s="50">
        <v>12</v>
      </c>
      <c r="D31" s="68">
        <f>-IF(D25&gt;20000*C31,(D25-20000*C31)*C30,0)</f>
        <v>0</v>
      </c>
      <c r="F31" s="16"/>
      <c r="G31" s="39">
        <f>C28</f>
        <v>0.15</v>
      </c>
      <c r="H31" s="68">
        <f>-H30*G31</f>
        <v>-4320</v>
      </c>
      <c r="J31" s="19"/>
      <c r="L31" s="68"/>
    </row>
    <row r="32" spans="2:15" x14ac:dyDescent="0.2">
      <c r="B32" s="16"/>
      <c r="D32" s="22"/>
      <c r="F32" s="16"/>
      <c r="G32" s="37">
        <v>0.1</v>
      </c>
      <c r="H32" s="68"/>
      <c r="J32" s="19"/>
      <c r="L32" s="68"/>
    </row>
    <row r="33" spans="2:12" x14ac:dyDescent="0.2">
      <c r="B33" s="16"/>
      <c r="D33" s="22"/>
      <c r="F33" s="16"/>
      <c r="G33" s="40">
        <f>C31</f>
        <v>12</v>
      </c>
      <c r="H33" s="68">
        <f>IF(H30&gt;20000*G33,(H30-20000*G33)*G32,0)</f>
        <v>0</v>
      </c>
      <c r="J33" s="19"/>
      <c r="L33" s="68"/>
    </row>
    <row r="34" spans="2:12" x14ac:dyDescent="0.2">
      <c r="B34" s="16"/>
      <c r="C34" s="36" t="s">
        <v>3</v>
      </c>
      <c r="D34" s="70">
        <f>SUM(D29:D31)</f>
        <v>7524</v>
      </c>
      <c r="F34" s="16"/>
      <c r="G34" s="36" t="s">
        <v>5</v>
      </c>
      <c r="H34" s="70">
        <f>H25-H28-H31-H33</f>
        <v>21852</v>
      </c>
      <c r="J34" s="19"/>
      <c r="K34" s="36" t="s">
        <v>12</v>
      </c>
      <c r="L34" s="70">
        <f>L15+L20+L22+L24+L30</f>
        <v>19800</v>
      </c>
    </row>
    <row r="35" spans="2:12" x14ac:dyDescent="0.2">
      <c r="B35" s="41"/>
      <c r="C35" s="42"/>
      <c r="D35" s="43"/>
      <c r="F35" s="41"/>
      <c r="G35" s="42"/>
      <c r="H35" s="64"/>
      <c r="J35" s="45"/>
      <c r="K35" s="42"/>
      <c r="L35" s="64"/>
    </row>
    <row r="40" spans="2:12" x14ac:dyDescent="0.2">
      <c r="L40" s="46"/>
    </row>
  </sheetData>
  <sheetProtection algorithmName="SHA-512" hashValue="l702YS/1WhVt9sBSzFQ0ywB1gdAhQgeLEUhl/C5v4JYKjTyStAHNTJ4UldmZHI1ukFZe43znZBiytlpVmCQA/w==" saltValue="ClsEw18YeE0qXkaKAOw1aw==" spinCount="100000" sheet="1" objects="1" scenarios="1" formatColumns="0" selectLockedCells="1"/>
  <mergeCells count="3">
    <mergeCell ref="N13:O13"/>
    <mergeCell ref="N14:O14"/>
    <mergeCell ref="D2:F2"/>
  </mergeCells>
  <dataValidations count="1">
    <dataValidation type="list" allowBlank="1" showInputMessage="1" showErrorMessage="1" sqref="C31">
      <formula1>$M$15:$M$26</formula1>
    </dataValidation>
  </dataValidations>
  <hyperlinks>
    <hyperlink ref="D2:F2" r:id="rId1" location="!download/cu9f" display="Aviso de Desbloqueio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O40"/>
  <sheetViews>
    <sheetView showGridLines="0" zoomScaleNormal="100" zoomScaleSheetLayoutView="100" workbookViewId="0">
      <selection activeCell="D2" sqref="D2:F2"/>
    </sheetView>
  </sheetViews>
  <sheetFormatPr defaultRowHeight="12.75" x14ac:dyDescent="0.2"/>
  <cols>
    <col min="1" max="1" width="2.7109375" style="9" customWidth="1"/>
    <col min="2" max="2" width="2.140625" style="103" bestFit="1" customWidth="1"/>
    <col min="3" max="3" width="43.42578125" style="9" bestFit="1" customWidth="1"/>
    <col min="4" max="4" width="13.5703125" style="46" bestFit="1" customWidth="1"/>
    <col min="5" max="5" width="2.7109375" style="103" customWidth="1"/>
    <col min="6" max="6" width="2.140625" style="103" customWidth="1"/>
    <col min="7" max="7" width="47.42578125" style="9" bestFit="1" customWidth="1"/>
    <col min="8" max="8" width="13.5703125" style="9" bestFit="1" customWidth="1"/>
    <col min="9" max="9" width="2.7109375" style="9" customWidth="1"/>
    <col min="10" max="10" width="2.140625" style="9" bestFit="1" customWidth="1"/>
    <col min="11" max="11" width="43.42578125" style="9" bestFit="1" customWidth="1"/>
    <col min="12" max="12" width="13.5703125" style="9" bestFit="1" customWidth="1"/>
    <col min="13" max="13" width="3" style="9" bestFit="1" customWidth="1"/>
    <col min="14" max="14" width="9.42578125" style="9" bestFit="1" customWidth="1"/>
    <col min="15" max="15" width="14.7109375" style="9" bestFit="1" customWidth="1"/>
    <col min="16" max="16384" width="9.140625" style="9"/>
  </cols>
  <sheetData>
    <row r="1" spans="1:15" ht="23.25" x14ac:dyDescent="0.35">
      <c r="A1" s="100" t="s">
        <v>46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96" customFormat="1" x14ac:dyDescent="0.2">
      <c r="C2" s="97"/>
      <c r="D2" s="112" t="s">
        <v>48</v>
      </c>
      <c r="E2" s="112"/>
      <c r="F2" s="112"/>
    </row>
    <row r="3" spans="1:15" s="96" customFormat="1" x14ac:dyDescent="0.2">
      <c r="C3" s="97"/>
      <c r="D3" s="90"/>
      <c r="E3" s="103"/>
      <c r="G3" s="48">
        <f>-SUM(D16,D17,D18,D23,D27,D28,D31)</f>
        <v>17676</v>
      </c>
    </row>
    <row r="4" spans="1:15" s="96" customFormat="1" x14ac:dyDescent="0.2">
      <c r="C4" s="97"/>
      <c r="G4" s="47">
        <f>-SUM(H16,H17,H18,H23,H28,H31,H33)</f>
        <v>17172</v>
      </c>
    </row>
    <row r="5" spans="1:15" s="96" customFormat="1" x14ac:dyDescent="0.2">
      <c r="C5" s="97"/>
      <c r="G5" s="49">
        <f>-L30</f>
        <v>4050</v>
      </c>
    </row>
    <row r="6" spans="1:15" s="96" customFormat="1" x14ac:dyDescent="0.2">
      <c r="C6" s="97"/>
    </row>
    <row r="7" spans="1:15" s="96" customFormat="1" x14ac:dyDescent="0.2">
      <c r="C7" s="97"/>
    </row>
    <row r="8" spans="1:15" s="96" customFormat="1" x14ac:dyDescent="0.2">
      <c r="C8" s="97"/>
    </row>
    <row r="9" spans="1:15" s="96" customFormat="1" x14ac:dyDescent="0.2">
      <c r="C9" s="97"/>
    </row>
    <row r="10" spans="1:15" s="96" customFormat="1" x14ac:dyDescent="0.2">
      <c r="C10" s="97"/>
    </row>
    <row r="11" spans="1:15" x14ac:dyDescent="0.2">
      <c r="B11" s="89" t="s">
        <v>13</v>
      </c>
      <c r="C11" s="88"/>
      <c r="D11" s="87"/>
      <c r="E11" s="87"/>
      <c r="F11" s="87"/>
      <c r="G11" s="87"/>
      <c r="L11" s="36"/>
    </row>
    <row r="12" spans="1:15" s="10" customFormat="1" ht="15" x14ac:dyDescent="0.25"/>
    <row r="13" spans="1:15" x14ac:dyDescent="0.2">
      <c r="B13" s="11"/>
      <c r="C13" s="12" t="s">
        <v>8</v>
      </c>
      <c r="D13" s="63" t="s">
        <v>34</v>
      </c>
      <c r="F13" s="13"/>
      <c r="G13" s="12" t="s">
        <v>9</v>
      </c>
      <c r="H13" s="63" t="s">
        <v>34</v>
      </c>
      <c r="J13" s="14"/>
      <c r="K13" s="12" t="s">
        <v>10</v>
      </c>
      <c r="L13" s="63" t="s">
        <v>34</v>
      </c>
      <c r="N13" s="111" t="s">
        <v>26</v>
      </c>
      <c r="O13" s="111"/>
    </row>
    <row r="14" spans="1:15" x14ac:dyDescent="0.2">
      <c r="B14" s="16"/>
      <c r="D14" s="17"/>
      <c r="F14" s="16"/>
      <c r="H14" s="18"/>
      <c r="J14" s="19"/>
      <c r="L14" s="18"/>
      <c r="N14" s="111" t="s">
        <v>27</v>
      </c>
      <c r="O14" s="111"/>
    </row>
    <row r="15" spans="1:15" x14ac:dyDescent="0.2">
      <c r="B15" s="16"/>
      <c r="C15" s="9" t="s">
        <v>57</v>
      </c>
      <c r="D15" s="8">
        <f>'Comércio I'!D15</f>
        <v>90000</v>
      </c>
      <c r="F15" s="16"/>
      <c r="G15" s="9" t="str">
        <f>C15</f>
        <v>Receita Bruta</v>
      </c>
      <c r="H15" s="68">
        <f>D15</f>
        <v>90000</v>
      </c>
      <c r="J15" s="19"/>
      <c r="K15" s="9" t="s">
        <v>55</v>
      </c>
      <c r="L15" s="68">
        <f>H15</f>
        <v>90000</v>
      </c>
      <c r="M15" s="20">
        <v>1</v>
      </c>
      <c r="N15" s="21" t="s">
        <v>14</v>
      </c>
      <c r="O15" s="52">
        <f>'Comércio I'!O15</f>
        <v>7500</v>
      </c>
    </row>
    <row r="16" spans="1:15" x14ac:dyDescent="0.2">
      <c r="B16" s="16"/>
      <c r="C16" s="55">
        <v>0.05</v>
      </c>
      <c r="D16" s="68">
        <f>-$D$15*C16</f>
        <v>-4500</v>
      </c>
      <c r="F16" s="16"/>
      <c r="G16" s="56">
        <f>C16</f>
        <v>0.05</v>
      </c>
      <c r="H16" s="68">
        <f>-$H$15*G16</f>
        <v>-4500</v>
      </c>
      <c r="J16" s="19"/>
      <c r="K16" s="9" t="s">
        <v>28</v>
      </c>
      <c r="L16" s="68">
        <f>SUM(O15:O26)</f>
        <v>90000</v>
      </c>
      <c r="M16" s="20">
        <v>2</v>
      </c>
      <c r="N16" s="21" t="s">
        <v>15</v>
      </c>
      <c r="O16" s="52">
        <f>'Comércio I'!O16</f>
        <v>7500</v>
      </c>
    </row>
    <row r="17" spans="2:15" x14ac:dyDescent="0.2">
      <c r="B17" s="16"/>
      <c r="C17" s="23">
        <v>1.6500000000000001E-2</v>
      </c>
      <c r="D17" s="68">
        <f>-$D$15*C17</f>
        <v>-1485</v>
      </c>
      <c r="F17" s="16"/>
      <c r="G17" s="23">
        <v>6.4999999999999997E-3</v>
      </c>
      <c r="H17" s="68">
        <f t="shared" ref="H17:H18" si="0">-$H$15*G17</f>
        <v>-585</v>
      </c>
      <c r="J17" s="19"/>
      <c r="L17" s="68"/>
      <c r="M17" s="20">
        <v>3</v>
      </c>
      <c r="N17" s="21" t="s">
        <v>16</v>
      </c>
      <c r="O17" s="52">
        <f>'Comércio I'!O17</f>
        <v>7500</v>
      </c>
    </row>
    <row r="18" spans="2:15" x14ac:dyDescent="0.2">
      <c r="B18" s="16"/>
      <c r="C18" s="24">
        <v>7.5999999999999998E-2</v>
      </c>
      <c r="D18" s="68">
        <f>-$D$15*C18</f>
        <v>-6840</v>
      </c>
      <c r="F18" s="16"/>
      <c r="G18" s="25">
        <v>0.03</v>
      </c>
      <c r="H18" s="68">
        <f t="shared" si="0"/>
        <v>-2700</v>
      </c>
      <c r="J18" s="19"/>
      <c r="L18" s="68"/>
      <c r="M18" s="20">
        <v>4</v>
      </c>
      <c r="N18" s="21" t="s">
        <v>17</v>
      </c>
      <c r="O18" s="52">
        <f>'Comércio I'!O18</f>
        <v>7500</v>
      </c>
    </row>
    <row r="19" spans="2:15" x14ac:dyDescent="0.2">
      <c r="B19" s="16" t="s">
        <v>1</v>
      </c>
      <c r="C19" s="9" t="s">
        <v>2</v>
      </c>
      <c r="D19" s="68">
        <f>SUM(D15:D18)</f>
        <v>77175</v>
      </c>
      <c r="F19" s="16" t="str">
        <f>B19</f>
        <v>=</v>
      </c>
      <c r="G19" s="9" t="str">
        <f>C19</f>
        <v>Receita Líquida</v>
      </c>
      <c r="H19" s="68">
        <f>SUM(H15:H18)</f>
        <v>82215</v>
      </c>
      <c r="J19" s="19" t="str">
        <f>B19</f>
        <v>=</v>
      </c>
      <c r="K19" s="9" t="str">
        <f>C19</f>
        <v>Receita Líquida</v>
      </c>
      <c r="L19" s="68"/>
      <c r="M19" s="20">
        <v>5</v>
      </c>
      <c r="N19" s="21" t="s">
        <v>18</v>
      </c>
      <c r="O19" s="52">
        <f>'Comércio I'!O19</f>
        <v>7500</v>
      </c>
    </row>
    <row r="20" spans="2:15" x14ac:dyDescent="0.2">
      <c r="B20" s="16" t="s">
        <v>0</v>
      </c>
      <c r="C20" s="57">
        <v>0.6</v>
      </c>
      <c r="D20" s="68">
        <f>-D15*C20</f>
        <v>-54000</v>
      </c>
      <c r="F20" s="16" t="str">
        <f t="shared" ref="F20:F25" si="1">B20</f>
        <v>-</v>
      </c>
      <c r="G20" s="58">
        <f>C20</f>
        <v>0.6</v>
      </c>
      <c r="H20" s="68">
        <f>-H15*G20</f>
        <v>-54000</v>
      </c>
      <c r="J20" s="19" t="str">
        <f t="shared" ref="J20:J24" si="2">B20</f>
        <v>-</v>
      </c>
      <c r="K20" s="58">
        <f>C20</f>
        <v>0.6</v>
      </c>
      <c r="L20" s="68">
        <f>-L15*K20</f>
        <v>-54000</v>
      </c>
      <c r="M20" s="20">
        <v>6</v>
      </c>
      <c r="N20" s="21" t="s">
        <v>19</v>
      </c>
      <c r="O20" s="52">
        <f>'Comércio I'!O20</f>
        <v>7500</v>
      </c>
    </row>
    <row r="21" spans="2:15" x14ac:dyDescent="0.2">
      <c r="B21" s="16" t="s">
        <v>1</v>
      </c>
      <c r="C21" s="9" t="s">
        <v>11</v>
      </c>
      <c r="D21" s="68">
        <f>SUM(D19:D20)</f>
        <v>23175</v>
      </c>
      <c r="F21" s="16" t="str">
        <f t="shared" si="1"/>
        <v>=</v>
      </c>
      <c r="G21" s="9" t="str">
        <f>C21</f>
        <v>Margem Bruta</v>
      </c>
      <c r="H21" s="68">
        <f>SUM(H19:H20)</f>
        <v>28215</v>
      </c>
      <c r="J21" s="19" t="str">
        <f t="shared" si="2"/>
        <v>=</v>
      </c>
      <c r="K21" s="9" t="str">
        <f>C21</f>
        <v>Margem Bruta</v>
      </c>
      <c r="L21" s="68"/>
      <c r="M21" s="20">
        <v>7</v>
      </c>
      <c r="N21" s="21" t="s">
        <v>20</v>
      </c>
      <c r="O21" s="52">
        <f>'Comércio I'!O21</f>
        <v>7500</v>
      </c>
    </row>
    <row r="22" spans="2:15" x14ac:dyDescent="0.2">
      <c r="B22" s="16" t="s">
        <v>0</v>
      </c>
      <c r="C22" s="4">
        <v>0.1</v>
      </c>
      <c r="D22" s="68">
        <f>-D15*C22</f>
        <v>-9000</v>
      </c>
      <c r="F22" s="16" t="str">
        <f t="shared" si="1"/>
        <v>-</v>
      </c>
      <c r="G22" s="27">
        <f>C22</f>
        <v>0.1</v>
      </c>
      <c r="H22" s="68">
        <f>-H15*G22</f>
        <v>-9000</v>
      </c>
      <c r="J22" s="19" t="str">
        <f t="shared" si="2"/>
        <v>-</v>
      </c>
      <c r="K22" s="27">
        <f>C22</f>
        <v>0.1</v>
      </c>
      <c r="L22" s="68">
        <f>-L15*K22</f>
        <v>-9000</v>
      </c>
      <c r="M22" s="20">
        <v>8</v>
      </c>
      <c r="N22" s="21" t="s">
        <v>21</v>
      </c>
      <c r="O22" s="52">
        <f>'Comércio I'!O22</f>
        <v>7500</v>
      </c>
    </row>
    <row r="23" spans="2:15" x14ac:dyDescent="0.2">
      <c r="B23" s="16" t="s">
        <v>0</v>
      </c>
      <c r="C23" s="62">
        <v>0.27500000000000002</v>
      </c>
      <c r="D23" s="68">
        <f>D22*C23</f>
        <v>-2475</v>
      </c>
      <c r="F23" s="16" t="str">
        <f t="shared" si="1"/>
        <v>-</v>
      </c>
      <c r="G23" s="60">
        <f>C23</f>
        <v>0.27500000000000002</v>
      </c>
      <c r="H23" s="68">
        <f>H22*G23</f>
        <v>-2475</v>
      </c>
      <c r="J23" s="19"/>
      <c r="K23" s="61"/>
      <c r="L23" s="68"/>
      <c r="M23" s="20">
        <v>9</v>
      </c>
      <c r="N23" s="21" t="s">
        <v>22</v>
      </c>
      <c r="O23" s="52">
        <f>'Comércio I'!O23</f>
        <v>7500</v>
      </c>
    </row>
    <row r="24" spans="2:15" x14ac:dyDescent="0.2">
      <c r="B24" s="16" t="s">
        <v>0</v>
      </c>
      <c r="C24" s="2">
        <v>0.02</v>
      </c>
      <c r="D24" s="68">
        <f>-D15*C24</f>
        <v>-1800</v>
      </c>
      <c r="F24" s="16" t="str">
        <f t="shared" si="1"/>
        <v>-</v>
      </c>
      <c r="G24" s="29">
        <f>C24</f>
        <v>0.02</v>
      </c>
      <c r="H24" s="68">
        <f>-H15*G24</f>
        <v>-1800</v>
      </c>
      <c r="J24" s="19" t="str">
        <f t="shared" si="2"/>
        <v>-</v>
      </c>
      <c r="K24" s="29">
        <f>C24</f>
        <v>0.02</v>
      </c>
      <c r="L24" s="68">
        <f>-L15*K24</f>
        <v>-1800</v>
      </c>
      <c r="M24" s="20">
        <v>10</v>
      </c>
      <c r="N24" s="21" t="s">
        <v>23</v>
      </c>
      <c r="O24" s="52">
        <f>'Comércio I'!O24</f>
        <v>7500</v>
      </c>
    </row>
    <row r="25" spans="2:15" x14ac:dyDescent="0.2">
      <c r="B25" s="16" t="s">
        <v>1</v>
      </c>
      <c r="C25" s="30" t="s">
        <v>4</v>
      </c>
      <c r="D25" s="70">
        <f>SUM(D21:D24)</f>
        <v>9900</v>
      </c>
      <c r="F25" s="16" t="str">
        <f t="shared" si="1"/>
        <v>=</v>
      </c>
      <c r="G25" s="21" t="s">
        <v>4</v>
      </c>
      <c r="H25" s="70">
        <f>SUM(H21:H24)</f>
        <v>14940</v>
      </c>
      <c r="J25" s="19"/>
      <c r="L25" s="68"/>
      <c r="M25" s="20">
        <v>11</v>
      </c>
      <c r="N25" s="21" t="s">
        <v>24</v>
      </c>
      <c r="O25" s="52">
        <f>'Comércio I'!O25</f>
        <v>7500</v>
      </c>
    </row>
    <row r="26" spans="2:15" x14ac:dyDescent="0.2">
      <c r="B26" s="16"/>
      <c r="D26" s="22"/>
      <c r="F26" s="16"/>
      <c r="G26" s="31" t="s">
        <v>7</v>
      </c>
      <c r="H26" s="68"/>
      <c r="J26" s="19"/>
      <c r="L26" s="68"/>
      <c r="M26" s="20">
        <v>12</v>
      </c>
      <c r="N26" s="21" t="s">
        <v>25</v>
      </c>
      <c r="O26" s="52">
        <f>'Comércio I'!O26</f>
        <v>7500</v>
      </c>
    </row>
    <row r="27" spans="2:15" x14ac:dyDescent="0.2">
      <c r="B27" s="16"/>
      <c r="C27" s="32">
        <v>0.09</v>
      </c>
      <c r="D27" s="68">
        <f>-IF($D$25*C27&gt;0,$D$25*C27,0)</f>
        <v>-891</v>
      </c>
      <c r="F27" s="16"/>
      <c r="G27" s="59">
        <v>0.32</v>
      </c>
      <c r="H27" s="68">
        <f>H15*G27</f>
        <v>28800</v>
      </c>
      <c r="J27" s="19"/>
      <c r="L27" s="68"/>
    </row>
    <row r="28" spans="2:15" x14ac:dyDescent="0.2">
      <c r="B28" s="16"/>
      <c r="C28" s="34">
        <v>0.15</v>
      </c>
      <c r="D28" s="68">
        <f>-IF($D$25*C28&gt;0,$D$25*C28,0)</f>
        <v>-1485</v>
      </c>
      <c r="F28" s="16"/>
      <c r="G28" s="35">
        <v>0.09</v>
      </c>
      <c r="H28" s="68">
        <f>-H27*G28</f>
        <v>-2592</v>
      </c>
      <c r="J28" s="19"/>
      <c r="L28" s="68"/>
    </row>
    <row r="29" spans="2:15" x14ac:dyDescent="0.2">
      <c r="B29" s="16"/>
      <c r="D29" s="70">
        <f>SUM(D25:D28)</f>
        <v>7524</v>
      </c>
      <c r="F29" s="16"/>
      <c r="G29" s="31" t="s">
        <v>6</v>
      </c>
      <c r="H29" s="68"/>
      <c r="J29" s="19"/>
      <c r="K29" s="36" t="s">
        <v>31</v>
      </c>
      <c r="L29" s="68"/>
    </row>
    <row r="30" spans="2:15" x14ac:dyDescent="0.2">
      <c r="B30" s="16"/>
      <c r="C30" s="37">
        <v>0.1</v>
      </c>
      <c r="D30" s="22"/>
      <c r="F30" s="16"/>
      <c r="G30" s="59">
        <v>0.32</v>
      </c>
      <c r="H30" s="68">
        <f>H15*G30</f>
        <v>28800</v>
      </c>
      <c r="J30" s="19"/>
      <c r="K30" s="38">
        <f>VLOOKUP($L$16,'Anexos Simples'!$A$2:$G$21,6)</f>
        <v>4.4999999999999998E-2</v>
      </c>
      <c r="L30" s="68">
        <f>-L15*K30</f>
        <v>-4050</v>
      </c>
    </row>
    <row r="31" spans="2:15" x14ac:dyDescent="0.2">
      <c r="B31" s="16"/>
      <c r="C31" s="50">
        <v>12</v>
      </c>
      <c r="D31" s="68">
        <f>-IF(D25&gt;20000*C31,(D25-20000*C31)*C30,0)</f>
        <v>0</v>
      </c>
      <c r="F31" s="16"/>
      <c r="G31" s="39">
        <f>C28</f>
        <v>0.15</v>
      </c>
      <c r="H31" s="68">
        <f>-H30*G31</f>
        <v>-4320</v>
      </c>
      <c r="J31" s="19"/>
      <c r="L31" s="68"/>
    </row>
    <row r="32" spans="2:15" x14ac:dyDescent="0.2">
      <c r="B32" s="16"/>
      <c r="D32" s="22"/>
      <c r="F32" s="16"/>
      <c r="G32" s="37">
        <v>0.1</v>
      </c>
      <c r="H32" s="68"/>
      <c r="J32" s="19"/>
      <c r="L32" s="68"/>
    </row>
    <row r="33" spans="2:12" x14ac:dyDescent="0.2">
      <c r="B33" s="16"/>
      <c r="D33" s="22"/>
      <c r="F33" s="16"/>
      <c r="G33" s="40">
        <f>C31</f>
        <v>12</v>
      </c>
      <c r="H33" s="68">
        <f>IF(H30&gt;20000*G33,(H30-20000*G33)*G32,0)</f>
        <v>0</v>
      </c>
      <c r="J33" s="19"/>
      <c r="L33" s="68"/>
    </row>
    <row r="34" spans="2:12" x14ac:dyDescent="0.2">
      <c r="B34" s="16"/>
      <c r="C34" s="36" t="s">
        <v>3</v>
      </c>
      <c r="D34" s="70">
        <f>SUM(D29:D31)</f>
        <v>7524</v>
      </c>
      <c r="F34" s="16"/>
      <c r="G34" s="36" t="s">
        <v>5</v>
      </c>
      <c r="H34" s="70">
        <f>H25-H28-H31-H33</f>
        <v>21852</v>
      </c>
      <c r="J34" s="19"/>
      <c r="K34" s="36" t="s">
        <v>12</v>
      </c>
      <c r="L34" s="70">
        <f>L15+L20+L22+L24+L30</f>
        <v>21150</v>
      </c>
    </row>
    <row r="35" spans="2:12" x14ac:dyDescent="0.2">
      <c r="B35" s="41"/>
      <c r="C35" s="42"/>
      <c r="D35" s="43"/>
      <c r="F35" s="41"/>
      <c r="G35" s="42"/>
      <c r="H35" s="64"/>
      <c r="J35" s="45"/>
      <c r="K35" s="42"/>
      <c r="L35" s="64"/>
    </row>
    <row r="40" spans="2:12" x14ac:dyDescent="0.2">
      <c r="L40" s="46"/>
    </row>
  </sheetData>
  <sheetProtection algorithmName="SHA-512" hashValue="XZD/tMkZ5BwRPN82RKo8i18tYB7M1EyhQ+LW53LQJUn443thtYEjHeEtycggPWOTtqQ+6Og5rZcpkA0TTpzvqQ==" saltValue="TbrwHlfB/gIPVGVk2rmHhA==" spinCount="100000" sheet="1" objects="1" scenarios="1" formatColumns="0" selectLockedCells="1"/>
  <mergeCells count="3">
    <mergeCell ref="N13:O13"/>
    <mergeCell ref="N14:O14"/>
    <mergeCell ref="D2:F2"/>
  </mergeCells>
  <dataValidations count="1">
    <dataValidation type="list" allowBlank="1" showInputMessage="1" showErrorMessage="1" sqref="C31">
      <formula1>$M$15:$M$26</formula1>
    </dataValidation>
  </dataValidations>
  <hyperlinks>
    <hyperlink ref="D2:F2" r:id="rId1" location="!download/cu9f" display="Aviso de Desbloqueio"/>
  </hyperlinks>
  <pageMargins left="0.7" right="0.7" top="0.75" bottom="0.75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O40"/>
  <sheetViews>
    <sheetView showGridLines="0" zoomScaleNormal="100" zoomScaleSheetLayoutView="100" workbookViewId="0">
      <selection activeCell="D2" sqref="D2:F2"/>
    </sheetView>
  </sheetViews>
  <sheetFormatPr defaultRowHeight="12.75" x14ac:dyDescent="0.2"/>
  <cols>
    <col min="1" max="1" width="2.7109375" style="9" customWidth="1"/>
    <col min="2" max="2" width="2.140625" style="15" bestFit="1" customWidth="1"/>
    <col min="3" max="3" width="43.42578125" style="9" bestFit="1" customWidth="1"/>
    <col min="4" max="4" width="13.5703125" style="46" bestFit="1" customWidth="1"/>
    <col min="5" max="5" width="2.7109375" style="15" customWidth="1"/>
    <col min="6" max="6" width="2.140625" style="15" customWidth="1"/>
    <col min="7" max="7" width="47.42578125" style="9" bestFit="1" customWidth="1"/>
    <col min="8" max="8" width="13.5703125" style="9" bestFit="1" customWidth="1"/>
    <col min="9" max="9" width="2.7109375" style="9" customWidth="1"/>
    <col min="10" max="10" width="2.140625" style="9" bestFit="1" customWidth="1"/>
    <col min="11" max="11" width="43.42578125" style="9" bestFit="1" customWidth="1"/>
    <col min="12" max="12" width="13.5703125" style="9" bestFit="1" customWidth="1"/>
    <col min="13" max="13" width="3" style="9" bestFit="1" customWidth="1"/>
    <col min="14" max="14" width="9.42578125" style="9" bestFit="1" customWidth="1"/>
    <col min="15" max="15" width="14.7109375" style="9" bestFit="1" customWidth="1"/>
    <col min="16" max="16384" width="9.140625" style="9"/>
  </cols>
  <sheetData>
    <row r="1" spans="1:15" ht="23.25" x14ac:dyDescent="0.35">
      <c r="A1" s="100" t="s">
        <v>47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96" customFormat="1" x14ac:dyDescent="0.2">
      <c r="C2" s="97"/>
      <c r="D2" s="112" t="s">
        <v>48</v>
      </c>
      <c r="E2" s="112"/>
      <c r="F2" s="112"/>
    </row>
    <row r="3" spans="1:15" s="96" customFormat="1" x14ac:dyDescent="0.2">
      <c r="C3" s="97"/>
      <c r="D3" s="90"/>
      <c r="E3" s="86"/>
      <c r="G3" s="48">
        <f>-SUM(D16,D17,D18,D23,D27,D28,D31)</f>
        <v>17676</v>
      </c>
    </row>
    <row r="4" spans="1:15" s="96" customFormat="1" x14ac:dyDescent="0.2">
      <c r="C4" s="97"/>
      <c r="G4" s="47">
        <f>-SUM(H16,H17,H18,H23,H28,H31,H33)</f>
        <v>17172</v>
      </c>
    </row>
    <row r="5" spans="1:15" s="96" customFormat="1" x14ac:dyDescent="0.2">
      <c r="C5" s="97"/>
      <c r="G5" s="49">
        <f>-L30</f>
        <v>15236.999999999998</v>
      </c>
    </row>
    <row r="6" spans="1:15" s="96" customFormat="1" x14ac:dyDescent="0.2">
      <c r="C6" s="97"/>
    </row>
    <row r="7" spans="1:15" s="96" customFormat="1" x14ac:dyDescent="0.2">
      <c r="C7" s="97"/>
    </row>
    <row r="8" spans="1:15" s="96" customFormat="1" x14ac:dyDescent="0.2">
      <c r="C8" s="97"/>
    </row>
    <row r="9" spans="1:15" s="96" customFormat="1" x14ac:dyDescent="0.2">
      <c r="C9" s="97"/>
    </row>
    <row r="10" spans="1:15" s="96" customFormat="1" x14ac:dyDescent="0.2">
      <c r="C10" s="97"/>
    </row>
    <row r="11" spans="1:15" x14ac:dyDescent="0.2">
      <c r="B11" s="89" t="s">
        <v>13</v>
      </c>
      <c r="C11" s="88"/>
      <c r="D11" s="87"/>
      <c r="E11" s="87"/>
      <c r="F11" s="87"/>
      <c r="G11" s="87"/>
      <c r="L11" s="36"/>
    </row>
    <row r="12" spans="1:15" s="10" customFormat="1" ht="15" x14ac:dyDescent="0.25"/>
    <row r="13" spans="1:15" x14ac:dyDescent="0.2">
      <c r="B13" s="11"/>
      <c r="C13" s="12" t="s">
        <v>8</v>
      </c>
      <c r="D13" s="63" t="s">
        <v>34</v>
      </c>
      <c r="F13" s="13"/>
      <c r="G13" s="12" t="s">
        <v>9</v>
      </c>
      <c r="H13" s="63" t="s">
        <v>34</v>
      </c>
      <c r="J13" s="14"/>
      <c r="K13" s="12" t="s">
        <v>10</v>
      </c>
      <c r="L13" s="63" t="s">
        <v>34</v>
      </c>
      <c r="N13" s="111" t="s">
        <v>26</v>
      </c>
      <c r="O13" s="111"/>
    </row>
    <row r="14" spans="1:15" x14ac:dyDescent="0.2">
      <c r="B14" s="16"/>
      <c r="D14" s="17"/>
      <c r="F14" s="16"/>
      <c r="H14" s="18"/>
      <c r="J14" s="19"/>
      <c r="L14" s="18"/>
      <c r="N14" s="111" t="s">
        <v>27</v>
      </c>
      <c r="O14" s="111"/>
    </row>
    <row r="15" spans="1:15" x14ac:dyDescent="0.2">
      <c r="B15" s="16"/>
      <c r="C15" s="9" t="s">
        <v>57</v>
      </c>
      <c r="D15" s="8">
        <f>'Comércio I'!D15</f>
        <v>90000</v>
      </c>
      <c r="F15" s="16"/>
      <c r="G15" s="9" t="str">
        <f>C15</f>
        <v>Receita Bruta</v>
      </c>
      <c r="H15" s="68">
        <f>D15</f>
        <v>90000</v>
      </c>
      <c r="J15" s="19"/>
      <c r="K15" s="9" t="s">
        <v>55</v>
      </c>
      <c r="L15" s="68">
        <f>H15</f>
        <v>90000</v>
      </c>
      <c r="M15" s="20">
        <v>1</v>
      </c>
      <c r="N15" s="21" t="s">
        <v>14</v>
      </c>
      <c r="O15" s="52">
        <f>'Comércio I'!O15</f>
        <v>7500</v>
      </c>
    </row>
    <row r="16" spans="1:15" x14ac:dyDescent="0.2">
      <c r="B16" s="16"/>
      <c r="C16" s="55">
        <v>0.05</v>
      </c>
      <c r="D16" s="68">
        <f>-$D$15*C16</f>
        <v>-4500</v>
      </c>
      <c r="F16" s="16"/>
      <c r="G16" s="56">
        <f>C16</f>
        <v>0.05</v>
      </c>
      <c r="H16" s="68">
        <f>-$H$15*G16</f>
        <v>-4500</v>
      </c>
      <c r="J16" s="19"/>
      <c r="K16" s="9" t="s">
        <v>28</v>
      </c>
      <c r="L16" s="68">
        <f>SUM(O15:O26)</f>
        <v>90000</v>
      </c>
      <c r="M16" s="20">
        <v>2</v>
      </c>
      <c r="N16" s="21" t="s">
        <v>15</v>
      </c>
      <c r="O16" s="52">
        <f>'Comércio I'!O16</f>
        <v>7500</v>
      </c>
    </row>
    <row r="17" spans="2:15" x14ac:dyDescent="0.2">
      <c r="B17" s="16"/>
      <c r="C17" s="23">
        <v>1.6500000000000001E-2</v>
      </c>
      <c r="D17" s="68">
        <f>-$D$15*C17</f>
        <v>-1485</v>
      </c>
      <c r="F17" s="16"/>
      <c r="G17" s="23">
        <v>6.4999999999999997E-3</v>
      </c>
      <c r="H17" s="68">
        <f t="shared" ref="H17:H18" si="0">-$H$15*G17</f>
        <v>-585</v>
      </c>
      <c r="J17" s="19"/>
      <c r="L17" s="68"/>
      <c r="M17" s="20">
        <v>3</v>
      </c>
      <c r="N17" s="21" t="s">
        <v>16</v>
      </c>
      <c r="O17" s="52">
        <f>'Comércio I'!O17</f>
        <v>7500</v>
      </c>
    </row>
    <row r="18" spans="2:15" x14ac:dyDescent="0.2">
      <c r="B18" s="16"/>
      <c r="C18" s="24">
        <v>7.5999999999999998E-2</v>
      </c>
      <c r="D18" s="68">
        <f>-$D$15*C18</f>
        <v>-6840</v>
      </c>
      <c r="F18" s="16"/>
      <c r="G18" s="25">
        <v>0.03</v>
      </c>
      <c r="H18" s="68">
        <f t="shared" si="0"/>
        <v>-2700</v>
      </c>
      <c r="J18" s="19"/>
      <c r="L18" s="68"/>
      <c r="M18" s="20">
        <v>4</v>
      </c>
      <c r="N18" s="21" t="s">
        <v>17</v>
      </c>
      <c r="O18" s="52">
        <f>'Comércio I'!O18</f>
        <v>7500</v>
      </c>
    </row>
    <row r="19" spans="2:15" x14ac:dyDescent="0.2">
      <c r="B19" s="16" t="s">
        <v>1</v>
      </c>
      <c r="C19" s="9" t="s">
        <v>2</v>
      </c>
      <c r="D19" s="68">
        <f>SUM(D15:D18)</f>
        <v>77175</v>
      </c>
      <c r="F19" s="16" t="str">
        <f>B19</f>
        <v>=</v>
      </c>
      <c r="G19" s="9" t="str">
        <f>C19</f>
        <v>Receita Líquida</v>
      </c>
      <c r="H19" s="68">
        <f>SUM(H15:H18)</f>
        <v>82215</v>
      </c>
      <c r="J19" s="19" t="str">
        <f>B19</f>
        <v>=</v>
      </c>
      <c r="K19" s="9" t="str">
        <f>C19</f>
        <v>Receita Líquida</v>
      </c>
      <c r="L19" s="68"/>
      <c r="M19" s="20">
        <v>5</v>
      </c>
      <c r="N19" s="21" t="s">
        <v>18</v>
      </c>
      <c r="O19" s="52">
        <f>'Comércio I'!O19</f>
        <v>7500</v>
      </c>
    </row>
    <row r="20" spans="2:15" x14ac:dyDescent="0.2">
      <c r="B20" s="16" t="s">
        <v>0</v>
      </c>
      <c r="C20" s="57">
        <v>0.6</v>
      </c>
      <c r="D20" s="68">
        <f>-D15*C20</f>
        <v>-54000</v>
      </c>
      <c r="F20" s="16" t="str">
        <f t="shared" ref="F20:F25" si="1">B20</f>
        <v>-</v>
      </c>
      <c r="G20" s="58">
        <f>C20</f>
        <v>0.6</v>
      </c>
      <c r="H20" s="68">
        <f>-H15*G20</f>
        <v>-54000</v>
      </c>
      <c r="J20" s="19" t="str">
        <f t="shared" ref="J20:J24" si="2">B20</f>
        <v>-</v>
      </c>
      <c r="K20" s="58">
        <f>C20</f>
        <v>0.6</v>
      </c>
      <c r="L20" s="68">
        <f>-L15*K20</f>
        <v>-54000</v>
      </c>
      <c r="M20" s="20">
        <v>6</v>
      </c>
      <c r="N20" s="21" t="s">
        <v>19</v>
      </c>
      <c r="O20" s="52">
        <f>'Comércio I'!O20</f>
        <v>7500</v>
      </c>
    </row>
    <row r="21" spans="2:15" x14ac:dyDescent="0.2">
      <c r="B21" s="16" t="s">
        <v>1</v>
      </c>
      <c r="C21" s="9" t="s">
        <v>11</v>
      </c>
      <c r="D21" s="68">
        <f>SUM(D19:D20)</f>
        <v>23175</v>
      </c>
      <c r="F21" s="16" t="str">
        <f t="shared" si="1"/>
        <v>=</v>
      </c>
      <c r="G21" s="9" t="str">
        <f>C21</f>
        <v>Margem Bruta</v>
      </c>
      <c r="H21" s="68">
        <f>SUM(H19:H20)</f>
        <v>28215</v>
      </c>
      <c r="J21" s="19" t="str">
        <f t="shared" si="2"/>
        <v>=</v>
      </c>
      <c r="K21" s="9" t="str">
        <f>C21</f>
        <v>Margem Bruta</v>
      </c>
      <c r="L21" s="68"/>
      <c r="M21" s="20">
        <v>7</v>
      </c>
      <c r="N21" s="21" t="s">
        <v>20</v>
      </c>
      <c r="O21" s="52">
        <f>'Comércio I'!O21</f>
        <v>7500</v>
      </c>
    </row>
    <row r="22" spans="2:15" x14ac:dyDescent="0.2">
      <c r="B22" s="16" t="s">
        <v>0</v>
      </c>
      <c r="C22" s="4">
        <v>0.1</v>
      </c>
      <c r="D22" s="68">
        <f>-D15*C22</f>
        <v>-9000</v>
      </c>
      <c r="F22" s="16" t="str">
        <f t="shared" si="1"/>
        <v>-</v>
      </c>
      <c r="G22" s="27">
        <f>C22</f>
        <v>0.1</v>
      </c>
      <c r="H22" s="68">
        <f>-H15*G22</f>
        <v>-9000</v>
      </c>
      <c r="J22" s="19" t="str">
        <f t="shared" si="2"/>
        <v>-</v>
      </c>
      <c r="K22" s="27">
        <f>C22</f>
        <v>0.1</v>
      </c>
      <c r="L22" s="68">
        <f>-L15*K22</f>
        <v>-9000</v>
      </c>
      <c r="M22" s="20">
        <v>8</v>
      </c>
      <c r="N22" s="21" t="s">
        <v>21</v>
      </c>
      <c r="O22" s="52">
        <f>'Comércio I'!O22</f>
        <v>7500</v>
      </c>
    </row>
    <row r="23" spans="2:15" x14ac:dyDescent="0.2">
      <c r="B23" s="16" t="s">
        <v>0</v>
      </c>
      <c r="C23" s="62">
        <v>0.27500000000000002</v>
      </c>
      <c r="D23" s="68">
        <f>D22*C23</f>
        <v>-2475</v>
      </c>
      <c r="F23" s="16" t="str">
        <f t="shared" si="1"/>
        <v>-</v>
      </c>
      <c r="G23" s="60">
        <f>C23</f>
        <v>0.27500000000000002</v>
      </c>
      <c r="H23" s="68">
        <f>H22*G23</f>
        <v>-2475</v>
      </c>
      <c r="J23" s="19"/>
      <c r="K23" s="61"/>
      <c r="L23" s="68"/>
      <c r="M23" s="20">
        <v>9</v>
      </c>
      <c r="N23" s="21" t="s">
        <v>22</v>
      </c>
      <c r="O23" s="52">
        <f>'Comércio I'!O23</f>
        <v>7500</v>
      </c>
    </row>
    <row r="24" spans="2:15" x14ac:dyDescent="0.2">
      <c r="B24" s="16" t="s">
        <v>0</v>
      </c>
      <c r="C24" s="2">
        <v>0.02</v>
      </c>
      <c r="D24" s="68">
        <f>-D15*C24</f>
        <v>-1800</v>
      </c>
      <c r="F24" s="16" t="str">
        <f t="shared" si="1"/>
        <v>-</v>
      </c>
      <c r="G24" s="29">
        <f>C24</f>
        <v>0.02</v>
      </c>
      <c r="H24" s="68">
        <f>-H15*G24</f>
        <v>-1800</v>
      </c>
      <c r="J24" s="19" t="str">
        <f t="shared" si="2"/>
        <v>-</v>
      </c>
      <c r="K24" s="29">
        <f>C24</f>
        <v>0.02</v>
      </c>
      <c r="L24" s="68">
        <f>-L15*K24</f>
        <v>-1800</v>
      </c>
      <c r="M24" s="20">
        <v>10</v>
      </c>
      <c r="N24" s="21" t="s">
        <v>23</v>
      </c>
      <c r="O24" s="52">
        <f>'Comércio I'!O24</f>
        <v>7500</v>
      </c>
    </row>
    <row r="25" spans="2:15" x14ac:dyDescent="0.2">
      <c r="B25" s="16" t="s">
        <v>1</v>
      </c>
      <c r="C25" s="30" t="s">
        <v>4</v>
      </c>
      <c r="D25" s="70">
        <f>SUM(D21:D24)</f>
        <v>9900</v>
      </c>
      <c r="F25" s="16" t="str">
        <f t="shared" si="1"/>
        <v>=</v>
      </c>
      <c r="G25" s="21" t="s">
        <v>4</v>
      </c>
      <c r="H25" s="70">
        <f>SUM(H21:H24)</f>
        <v>14940</v>
      </c>
      <c r="J25" s="19"/>
      <c r="L25" s="68"/>
      <c r="M25" s="20">
        <v>11</v>
      </c>
      <c r="N25" s="21" t="s">
        <v>24</v>
      </c>
      <c r="O25" s="52">
        <f>'Comércio I'!O25</f>
        <v>7500</v>
      </c>
    </row>
    <row r="26" spans="2:15" x14ac:dyDescent="0.2">
      <c r="B26" s="16"/>
      <c r="D26" s="22"/>
      <c r="F26" s="16"/>
      <c r="G26" s="31" t="s">
        <v>7</v>
      </c>
      <c r="H26" s="68"/>
      <c r="J26" s="19"/>
      <c r="L26" s="68"/>
      <c r="M26" s="20">
        <v>12</v>
      </c>
      <c r="N26" s="21" t="s">
        <v>25</v>
      </c>
      <c r="O26" s="52">
        <f>'Comércio I'!O26</f>
        <v>7500</v>
      </c>
    </row>
    <row r="27" spans="2:15" x14ac:dyDescent="0.2">
      <c r="B27" s="16"/>
      <c r="C27" s="32">
        <v>0.09</v>
      </c>
      <c r="D27" s="68">
        <f>-IF($D$25*C27&gt;0,$D$25*C27,0)</f>
        <v>-891</v>
      </c>
      <c r="F27" s="16"/>
      <c r="G27" s="59">
        <v>0.32</v>
      </c>
      <c r="H27" s="68">
        <f>H15*G27</f>
        <v>28800</v>
      </c>
      <c r="J27" s="19"/>
      <c r="L27" s="68"/>
    </row>
    <row r="28" spans="2:15" x14ac:dyDescent="0.2">
      <c r="B28" s="16"/>
      <c r="C28" s="34">
        <v>0.15</v>
      </c>
      <c r="D28" s="68">
        <f>-IF($D$25*C28&gt;0,$D$25*C28,0)</f>
        <v>-1485</v>
      </c>
      <c r="F28" s="16"/>
      <c r="G28" s="35">
        <v>0.09</v>
      </c>
      <c r="H28" s="68">
        <f>-H27*G28</f>
        <v>-2592</v>
      </c>
      <c r="J28" s="19"/>
      <c r="L28" s="68"/>
    </row>
    <row r="29" spans="2:15" x14ac:dyDescent="0.2">
      <c r="B29" s="16"/>
      <c r="D29" s="70">
        <f>SUM(D25:D28)</f>
        <v>7524</v>
      </c>
      <c r="F29" s="16"/>
      <c r="G29" s="31" t="s">
        <v>6</v>
      </c>
      <c r="H29" s="68"/>
      <c r="J29" s="19"/>
      <c r="K29" s="36" t="s">
        <v>33</v>
      </c>
      <c r="L29" s="68"/>
    </row>
    <row r="30" spans="2:15" x14ac:dyDescent="0.2">
      <c r="B30" s="16"/>
      <c r="C30" s="37">
        <v>0.1</v>
      </c>
      <c r="D30" s="22"/>
      <c r="F30" s="16"/>
      <c r="G30" s="59">
        <v>0.32</v>
      </c>
      <c r="H30" s="68">
        <f>H15*G30</f>
        <v>28800</v>
      </c>
      <c r="J30" s="19"/>
      <c r="K30" s="38">
        <f>VLOOKUP($L$16,'Anexos Simples'!$A$2:$G$21,7)</f>
        <v>0.16929999999999998</v>
      </c>
      <c r="L30" s="68">
        <f>-L15*K30</f>
        <v>-15236.999999999998</v>
      </c>
    </row>
    <row r="31" spans="2:15" x14ac:dyDescent="0.2">
      <c r="B31" s="16"/>
      <c r="C31" s="50">
        <v>12</v>
      </c>
      <c r="D31" s="68">
        <f>-IF(D25&gt;20000*C31,(D25-20000*C31)*C30,0)</f>
        <v>0</v>
      </c>
      <c r="F31" s="16"/>
      <c r="G31" s="39">
        <f>C28</f>
        <v>0.15</v>
      </c>
      <c r="H31" s="68">
        <f>-H30*G31</f>
        <v>-4320</v>
      </c>
      <c r="J31" s="19"/>
      <c r="L31" s="68"/>
    </row>
    <row r="32" spans="2:15" x14ac:dyDescent="0.2">
      <c r="B32" s="16"/>
      <c r="D32" s="22"/>
      <c r="F32" s="16"/>
      <c r="G32" s="37">
        <v>0.1</v>
      </c>
      <c r="H32" s="68"/>
      <c r="J32" s="19"/>
      <c r="L32" s="68"/>
    </row>
    <row r="33" spans="2:12" x14ac:dyDescent="0.2">
      <c r="B33" s="16"/>
      <c r="D33" s="22"/>
      <c r="F33" s="16"/>
      <c r="G33" s="40">
        <f>C31</f>
        <v>12</v>
      </c>
      <c r="H33" s="68">
        <f>IF(H30&gt;20000*G33,(H30-20000*G33)*G32,0)</f>
        <v>0</v>
      </c>
      <c r="J33" s="19"/>
      <c r="L33" s="68"/>
    </row>
    <row r="34" spans="2:12" x14ac:dyDescent="0.2">
      <c r="B34" s="16"/>
      <c r="C34" s="36" t="s">
        <v>3</v>
      </c>
      <c r="D34" s="70">
        <f>SUM(D29:D31)</f>
        <v>7524</v>
      </c>
      <c r="F34" s="16"/>
      <c r="G34" s="36" t="s">
        <v>5</v>
      </c>
      <c r="H34" s="70">
        <f>H25-H28-H31-H33</f>
        <v>21852</v>
      </c>
      <c r="J34" s="19"/>
      <c r="K34" s="36" t="s">
        <v>12</v>
      </c>
      <c r="L34" s="70">
        <f>L15+L20++L22+L24+L30</f>
        <v>9963.0000000000018</v>
      </c>
    </row>
    <row r="35" spans="2:12" x14ac:dyDescent="0.2">
      <c r="B35" s="41"/>
      <c r="C35" s="42"/>
      <c r="D35" s="43"/>
      <c r="F35" s="41"/>
      <c r="G35" s="42"/>
      <c r="H35" s="64"/>
      <c r="J35" s="45"/>
      <c r="K35" s="42"/>
      <c r="L35" s="64"/>
    </row>
    <row r="40" spans="2:12" x14ac:dyDescent="0.2">
      <c r="L40" s="46"/>
    </row>
  </sheetData>
  <sheetProtection algorithmName="SHA-512" hashValue="DN+g9plzdh16KWfKATQAVTN70R6ZRs7MHSSbcd5fybku/ue7UaYFLJKGwVM/EpUb1hqUXNGKY3f9A5/LCYLSjg==" saltValue="hBmWojHAaj0U9micxmQIYA==" spinCount="100000" sheet="1" objects="1" scenarios="1" formatColumns="0" selectLockedCells="1"/>
  <mergeCells count="3">
    <mergeCell ref="N13:O13"/>
    <mergeCell ref="N14:O14"/>
    <mergeCell ref="D2:F2"/>
  </mergeCells>
  <dataValidations count="1">
    <dataValidation type="list" allowBlank="1" showInputMessage="1" showErrorMessage="1" sqref="C31">
      <formula1>$M$15:$M$26</formula1>
    </dataValidation>
  </dataValidations>
  <hyperlinks>
    <hyperlink ref="D2:F2" r:id="rId1" location="!download/cu9f" display="Aviso de Desbloqueio"/>
  </hyperlinks>
  <pageMargins left="0.7" right="0.7" top="0.75" bottom="0.75" header="0.3" footer="0.3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I21"/>
  <sheetViews>
    <sheetView showGridLines="0" zoomScaleNormal="100" workbookViewId="0">
      <selection activeCell="I1" sqref="I1"/>
    </sheetView>
  </sheetViews>
  <sheetFormatPr defaultColWidth="8.5703125" defaultRowHeight="12.75" customHeight="1" x14ac:dyDescent="0.25"/>
  <cols>
    <col min="1" max="2" width="12.28515625" bestFit="1" customWidth="1"/>
    <col min="3" max="3" width="6.28515625" bestFit="1" customWidth="1"/>
    <col min="4" max="5" width="6.5703125" bestFit="1" customWidth="1"/>
    <col min="6" max="7" width="7.42578125" bestFit="1" customWidth="1"/>
    <col min="8" max="9" width="5.42578125" bestFit="1" customWidth="1"/>
    <col min="10" max="10" width="8.42578125" bestFit="1" customWidth="1"/>
  </cols>
  <sheetData>
    <row r="1" spans="1:9" ht="12.75" customHeight="1" x14ac:dyDescent="0.25">
      <c r="A1" s="113" t="s">
        <v>58</v>
      </c>
      <c r="B1" s="114"/>
      <c r="C1" s="1" t="s">
        <v>59</v>
      </c>
      <c r="D1" s="1" t="s">
        <v>60</v>
      </c>
      <c r="E1" s="1" t="s">
        <v>60</v>
      </c>
      <c r="F1" s="1" t="s">
        <v>61</v>
      </c>
      <c r="G1" s="1" t="s">
        <v>62</v>
      </c>
      <c r="I1" s="110" t="s">
        <v>63</v>
      </c>
    </row>
    <row r="2" spans="1:9" ht="12.75" customHeight="1" x14ac:dyDescent="0.25">
      <c r="A2" s="53">
        <v>0</v>
      </c>
      <c r="B2" s="53">
        <v>180000</v>
      </c>
      <c r="C2" s="54">
        <v>0.04</v>
      </c>
      <c r="D2" s="104">
        <v>4.4999999999999998E-2</v>
      </c>
      <c r="E2" s="105">
        <v>0.06</v>
      </c>
      <c r="F2" s="106">
        <v>4.4999999999999998E-2</v>
      </c>
      <c r="G2" s="106">
        <v>0.16929999999999998</v>
      </c>
    </row>
    <row r="3" spans="1:9" ht="12.75" customHeight="1" x14ac:dyDescent="0.25">
      <c r="A3" s="53">
        <f>B2+0.01</f>
        <v>180000.01</v>
      </c>
      <c r="B3" s="53">
        <v>360000</v>
      </c>
      <c r="C3" s="54">
        <v>5.4699999999999999E-2</v>
      </c>
      <c r="D3" s="104">
        <v>5.9699999999999996E-2</v>
      </c>
      <c r="E3" s="105">
        <v>8.2100000000000006E-2</v>
      </c>
      <c r="F3" s="106">
        <v>6.54E-2</v>
      </c>
      <c r="G3" s="106">
        <v>0.1772</v>
      </c>
    </row>
    <row r="4" spans="1:9" ht="12.75" customHeight="1" x14ac:dyDescent="0.25">
      <c r="A4" s="53">
        <f t="shared" ref="A4:A20" si="0">B3+0.01</f>
        <v>360000.01</v>
      </c>
      <c r="B4" s="53">
        <v>540000</v>
      </c>
      <c r="C4" s="54">
        <v>6.8400000000000002E-2</v>
      </c>
      <c r="D4" s="104">
        <v>7.3400000000000007E-2</v>
      </c>
      <c r="E4" s="105">
        <v>0.1026</v>
      </c>
      <c r="F4" s="106">
        <v>7.6999999999999999E-2</v>
      </c>
      <c r="G4" s="106">
        <v>0.18429999999999999</v>
      </c>
    </row>
    <row r="5" spans="1:9" ht="12.75" customHeight="1" x14ac:dyDescent="0.25">
      <c r="A5" s="53">
        <f t="shared" si="0"/>
        <v>540000.01</v>
      </c>
      <c r="B5" s="53">
        <v>720000</v>
      </c>
      <c r="C5" s="54">
        <v>7.5399999999999995E-2</v>
      </c>
      <c r="D5" s="104">
        <v>8.0399999999999999E-2</v>
      </c>
      <c r="E5" s="105">
        <v>0.11310000000000001</v>
      </c>
      <c r="F5" s="106">
        <v>8.4900000000000003E-2</v>
      </c>
      <c r="G5" s="106">
        <v>0.18769999999999998</v>
      </c>
    </row>
    <row r="6" spans="1:9" ht="12.75" customHeight="1" x14ac:dyDescent="0.25">
      <c r="A6" s="53">
        <f t="shared" si="0"/>
        <v>720000.01</v>
      </c>
      <c r="B6" s="53">
        <v>900000</v>
      </c>
      <c r="C6" s="54">
        <v>7.5999999999999998E-2</v>
      </c>
      <c r="D6" s="104">
        <v>8.1000000000000003E-2</v>
      </c>
      <c r="E6" s="105">
        <v>0.114</v>
      </c>
      <c r="F6" s="106">
        <v>8.9700000000000002E-2</v>
      </c>
      <c r="G6" s="106">
        <v>0.19040000000000001</v>
      </c>
    </row>
    <row r="7" spans="1:9" ht="12.75" customHeight="1" x14ac:dyDescent="0.25">
      <c r="A7" s="53">
        <f t="shared" si="0"/>
        <v>900000.01</v>
      </c>
      <c r="B7" s="53">
        <v>1080000</v>
      </c>
      <c r="C7" s="54">
        <v>8.2799999999999999E-2</v>
      </c>
      <c r="D7" s="104">
        <v>8.7800000000000003E-2</v>
      </c>
      <c r="E7" s="105">
        <v>0.1242</v>
      </c>
      <c r="F7" s="106">
        <v>9.7799999999999998E-2</v>
      </c>
      <c r="G7" s="106">
        <v>0.19939999999999999</v>
      </c>
    </row>
    <row r="8" spans="1:9" ht="12.75" customHeight="1" x14ac:dyDescent="0.25">
      <c r="A8" s="53">
        <f t="shared" si="0"/>
        <v>1080000.01</v>
      </c>
      <c r="B8" s="53">
        <v>1260000</v>
      </c>
      <c r="C8" s="54">
        <v>8.3599999999999994E-2</v>
      </c>
      <c r="D8" s="104">
        <v>8.8600000000000012E-2</v>
      </c>
      <c r="E8" s="105">
        <v>0.12540000000000001</v>
      </c>
      <c r="F8" s="106">
        <v>0.1026</v>
      </c>
      <c r="G8" s="106">
        <v>0.2034</v>
      </c>
    </row>
    <row r="9" spans="1:9" ht="12.75" customHeight="1" x14ac:dyDescent="0.25">
      <c r="A9" s="53">
        <f t="shared" si="0"/>
        <v>1260000.01</v>
      </c>
      <c r="B9" s="53">
        <v>1440000</v>
      </c>
      <c r="C9" s="54">
        <v>8.4500000000000006E-2</v>
      </c>
      <c r="D9" s="104">
        <v>8.950000000000001E-2</v>
      </c>
      <c r="E9" s="105">
        <v>0.1268</v>
      </c>
      <c r="F9" s="106">
        <v>0.1076</v>
      </c>
      <c r="G9" s="106">
        <v>0.20660000000000001</v>
      </c>
    </row>
    <row r="10" spans="1:9" ht="12.75" customHeight="1" x14ac:dyDescent="0.25">
      <c r="A10" s="53">
        <f t="shared" si="0"/>
        <v>1440000.01</v>
      </c>
      <c r="B10" s="53">
        <v>1620000</v>
      </c>
      <c r="C10" s="54">
        <v>9.0300000000000005E-2</v>
      </c>
      <c r="D10" s="104">
        <v>9.530000000000001E-2</v>
      </c>
      <c r="E10" s="105">
        <v>0.13550000000000001</v>
      </c>
      <c r="F10" s="106">
        <v>0.11509999999999999</v>
      </c>
      <c r="G10" s="106">
        <v>0.2117</v>
      </c>
    </row>
    <row r="11" spans="1:9" ht="12.75" customHeight="1" x14ac:dyDescent="0.25">
      <c r="A11" s="53">
        <f t="shared" si="0"/>
        <v>1620000.01</v>
      </c>
      <c r="B11" s="53">
        <v>1800000</v>
      </c>
      <c r="C11" s="54">
        <v>9.1200000000000003E-2</v>
      </c>
      <c r="D11" s="104">
        <v>9.6200000000000008E-2</v>
      </c>
      <c r="E11" s="105">
        <v>0.13679999999999998</v>
      </c>
      <c r="F11" s="106">
        <v>0.12</v>
      </c>
      <c r="G11" s="106">
        <v>0.21379999999999999</v>
      </c>
    </row>
    <row r="12" spans="1:9" ht="12.75" customHeight="1" x14ac:dyDescent="0.25">
      <c r="A12" s="53">
        <f t="shared" si="0"/>
        <v>1800000.01</v>
      </c>
      <c r="B12" s="53">
        <v>1980000</v>
      </c>
      <c r="C12" s="54">
        <v>9.9500000000000005E-2</v>
      </c>
      <c r="D12" s="104">
        <v>0.1045</v>
      </c>
      <c r="E12" s="105">
        <v>0.14929999999999999</v>
      </c>
      <c r="F12" s="106">
        <v>0.128</v>
      </c>
      <c r="G12" s="106">
        <v>0.21860000000000002</v>
      </c>
    </row>
    <row r="13" spans="1:9" ht="12.75" customHeight="1" x14ac:dyDescent="0.25">
      <c r="A13" s="53">
        <f t="shared" si="0"/>
        <v>1980000.01</v>
      </c>
      <c r="B13" s="53">
        <v>2160000</v>
      </c>
      <c r="C13" s="54">
        <v>0.1004</v>
      </c>
      <c r="D13" s="104">
        <v>0.10539999999999999</v>
      </c>
      <c r="E13" s="105">
        <v>0.15060000000000001</v>
      </c>
      <c r="F13" s="106">
        <v>0.13250000000000001</v>
      </c>
      <c r="G13" s="106">
        <v>0.21970000000000001</v>
      </c>
    </row>
    <row r="14" spans="1:9" ht="12.75" customHeight="1" x14ac:dyDescent="0.25">
      <c r="A14" s="53">
        <f t="shared" si="0"/>
        <v>2160000.0099999998</v>
      </c>
      <c r="B14" s="53">
        <v>2340000</v>
      </c>
      <c r="C14" s="54">
        <v>0.1013</v>
      </c>
      <c r="D14" s="104">
        <v>0.10630000000000001</v>
      </c>
      <c r="E14" s="105">
        <v>0.15200000000000002</v>
      </c>
      <c r="F14" s="106">
        <v>0.13700000000000001</v>
      </c>
      <c r="G14" s="106">
        <v>0.22060000000000002</v>
      </c>
    </row>
    <row r="15" spans="1:9" ht="12.75" customHeight="1" x14ac:dyDescent="0.25">
      <c r="A15" s="53">
        <f t="shared" si="0"/>
        <v>2340000.0099999998</v>
      </c>
      <c r="B15" s="53">
        <v>2520000</v>
      </c>
      <c r="C15" s="54">
        <v>0.1023</v>
      </c>
      <c r="D15" s="104">
        <v>0.10730000000000001</v>
      </c>
      <c r="E15" s="105">
        <v>0.15350000000000003</v>
      </c>
      <c r="F15" s="106">
        <v>0.14150000000000001</v>
      </c>
      <c r="G15" s="106">
        <v>0.22139999999999999</v>
      </c>
    </row>
    <row r="16" spans="1:9" ht="12.75" customHeight="1" x14ac:dyDescent="0.25">
      <c r="A16" s="53">
        <f t="shared" si="0"/>
        <v>2520000.0099999998</v>
      </c>
      <c r="B16" s="53">
        <v>2700000</v>
      </c>
      <c r="C16" s="54">
        <v>0.1032</v>
      </c>
      <c r="D16" s="104">
        <v>0.10819999999999999</v>
      </c>
      <c r="E16" s="105">
        <v>0.15479999999999999</v>
      </c>
      <c r="F16" s="106">
        <v>0.14600000000000002</v>
      </c>
      <c r="G16" s="106">
        <v>0.22210000000000002</v>
      </c>
    </row>
    <row r="17" spans="1:7" ht="12.75" customHeight="1" x14ac:dyDescent="0.25">
      <c r="A17" s="53">
        <f t="shared" si="0"/>
        <v>2700000.01</v>
      </c>
      <c r="B17" s="53">
        <v>2880000</v>
      </c>
      <c r="C17" s="54">
        <v>0.1123</v>
      </c>
      <c r="D17" s="104">
        <v>0.1173</v>
      </c>
      <c r="E17" s="105">
        <v>0.16849999999999998</v>
      </c>
      <c r="F17" s="106">
        <v>0.15050000000000002</v>
      </c>
      <c r="G17" s="106">
        <v>0.22210000000000002</v>
      </c>
    </row>
    <row r="18" spans="1:7" ht="12.75" customHeight="1" x14ac:dyDescent="0.25">
      <c r="A18" s="53">
        <f t="shared" si="0"/>
        <v>2880000.01</v>
      </c>
      <c r="B18" s="53">
        <v>3060000</v>
      </c>
      <c r="C18" s="54">
        <v>0.1132</v>
      </c>
      <c r="D18" s="104">
        <v>0.1182</v>
      </c>
      <c r="E18" s="105">
        <v>0.16980000000000001</v>
      </c>
      <c r="F18" s="106">
        <v>0.15500000000000003</v>
      </c>
      <c r="G18" s="106">
        <v>0.22320000000000001</v>
      </c>
    </row>
    <row r="19" spans="1:7" ht="12.75" customHeight="1" x14ac:dyDescent="0.25">
      <c r="A19" s="53">
        <f t="shared" si="0"/>
        <v>3060000.01</v>
      </c>
      <c r="B19" s="53">
        <v>3240000</v>
      </c>
      <c r="C19" s="54">
        <v>0.1142</v>
      </c>
      <c r="D19" s="104">
        <v>0.1192</v>
      </c>
      <c r="E19" s="105">
        <v>0.17130000000000001</v>
      </c>
      <c r="F19" s="106">
        <v>0.1595</v>
      </c>
      <c r="G19" s="106">
        <v>0.22370000000000001</v>
      </c>
    </row>
    <row r="20" spans="1:7" ht="12.75" customHeight="1" x14ac:dyDescent="0.25">
      <c r="A20" s="53">
        <f t="shared" si="0"/>
        <v>3240000.01</v>
      </c>
      <c r="B20" s="53">
        <v>3420000</v>
      </c>
      <c r="C20" s="54">
        <v>0.11509999999999999</v>
      </c>
      <c r="D20" s="104">
        <v>0.12010000000000001</v>
      </c>
      <c r="E20" s="105">
        <v>0.17270000000000002</v>
      </c>
      <c r="F20" s="106">
        <v>0.16400000000000003</v>
      </c>
      <c r="G20" s="106">
        <v>0.22410000000000002</v>
      </c>
    </row>
    <row r="21" spans="1:7" ht="12.75" customHeight="1" x14ac:dyDescent="0.25">
      <c r="A21" s="53">
        <f>B20+0.01</f>
        <v>3420000.01</v>
      </c>
      <c r="B21" s="53">
        <v>3600000</v>
      </c>
      <c r="C21" s="54">
        <v>0.11609999999999999</v>
      </c>
      <c r="D21" s="104">
        <v>0.12110000000000001</v>
      </c>
      <c r="E21" s="105">
        <v>0.17419999999999999</v>
      </c>
      <c r="F21" s="106">
        <v>0.16849999999999998</v>
      </c>
      <c r="G21" s="106">
        <v>0.22449999999999998</v>
      </c>
    </row>
  </sheetData>
  <mergeCells count="1">
    <mergeCell ref="A1:B1"/>
  </mergeCells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5"/>
  <sheetViews>
    <sheetView showGridLines="0" workbookViewId="0">
      <selection activeCell="L20" sqref="L20"/>
    </sheetView>
  </sheetViews>
  <sheetFormatPr defaultRowHeight="12.75" x14ac:dyDescent="0.2"/>
  <cols>
    <col min="1" max="1" width="2.28515625" style="78" customWidth="1"/>
    <col min="2" max="2" width="42.42578125" style="78" customWidth="1"/>
    <col min="3" max="3" width="20.7109375" style="78" bestFit="1" customWidth="1"/>
    <col min="4" max="4" width="3.85546875" style="78" customWidth="1"/>
    <col min="5" max="5" width="17" style="78" bestFit="1" customWidth="1"/>
    <col min="6" max="6" width="17.85546875" style="78" bestFit="1" customWidth="1"/>
    <col min="7" max="7" width="16.85546875" style="78" bestFit="1" customWidth="1"/>
    <col min="8" max="11" width="16.7109375" style="78" bestFit="1" customWidth="1"/>
    <col min="12" max="16384" width="9.140625" style="78"/>
  </cols>
  <sheetData>
    <row r="1" spans="1:11" ht="23.25" x14ac:dyDescent="0.35">
      <c r="A1" s="100" t="s">
        <v>42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x14ac:dyDescent="0.2">
      <c r="B2" s="98"/>
      <c r="C2" s="84" t="s">
        <v>48</v>
      </c>
      <c r="D2" s="84"/>
      <c r="E2" s="84"/>
    </row>
    <row r="3" spans="1:11" x14ac:dyDescent="0.2">
      <c r="B3" s="98"/>
      <c r="C3" s="77"/>
    </row>
    <row r="4" spans="1:11" x14ac:dyDescent="0.2">
      <c r="B4" s="98"/>
    </row>
    <row r="5" spans="1:11" x14ac:dyDescent="0.2">
      <c r="B5" s="98"/>
    </row>
    <row r="6" spans="1:11" x14ac:dyDescent="0.2">
      <c r="B6" s="98"/>
    </row>
    <row r="7" spans="1:11" x14ac:dyDescent="0.2">
      <c r="B7" s="98"/>
    </row>
    <row r="9" spans="1:11" x14ac:dyDescent="0.2">
      <c r="B9" s="99" t="s">
        <v>54</v>
      </c>
    </row>
    <row r="11" spans="1:11" ht="25.5" x14ac:dyDescent="0.2">
      <c r="F11" s="82" t="s">
        <v>49</v>
      </c>
      <c r="G11" s="82" t="s">
        <v>50</v>
      </c>
      <c r="H11" s="82" t="s">
        <v>51</v>
      </c>
      <c r="I11" s="82" t="s">
        <v>52</v>
      </c>
      <c r="J11" s="82" t="s">
        <v>53</v>
      </c>
    </row>
    <row r="12" spans="1:11" x14ac:dyDescent="0.2">
      <c r="E12" s="79" t="s">
        <v>3</v>
      </c>
      <c r="F12" s="80">
        <f>'Comércio I'!G3</f>
        <v>17847</v>
      </c>
      <c r="G12" s="80">
        <f>'Indústria II'!G3</f>
        <v>26590.5</v>
      </c>
      <c r="H12" s="80">
        <f>'Serviço III'!G3</f>
        <v>17676</v>
      </c>
      <c r="I12" s="80">
        <f>'Serviço IV'!G3</f>
        <v>17676</v>
      </c>
      <c r="J12" s="80">
        <f>'Serviço VI'!G3</f>
        <v>17676</v>
      </c>
    </row>
    <row r="13" spans="1:11" x14ac:dyDescent="0.2">
      <c r="E13" s="79" t="s">
        <v>5</v>
      </c>
      <c r="F13" s="80">
        <f>'Comércio I'!G4</f>
        <v>17532</v>
      </c>
      <c r="G13" s="80">
        <f>'Indústria II'!G4</f>
        <v>27612</v>
      </c>
      <c r="H13" s="80">
        <f>'Serviço III'!G4</f>
        <v>17172</v>
      </c>
      <c r="I13" s="80">
        <f>'Serviço IV'!G4</f>
        <v>17172</v>
      </c>
      <c r="J13" s="80">
        <f>'Serviço VI'!G4</f>
        <v>17172</v>
      </c>
    </row>
    <row r="14" spans="1:11" x14ac:dyDescent="0.2">
      <c r="E14" s="79" t="s">
        <v>27</v>
      </c>
      <c r="F14" s="80">
        <f>'Comércio I'!G5</f>
        <v>3600</v>
      </c>
      <c r="G14" s="80">
        <f>'Indústria II'!G5</f>
        <v>4050</v>
      </c>
      <c r="H14" s="80">
        <f>'Serviço III'!G5</f>
        <v>5400</v>
      </c>
      <c r="I14" s="80">
        <f>'Serviço IV'!G5</f>
        <v>4050</v>
      </c>
      <c r="J14" s="80">
        <f>'Serviço VI'!G5</f>
        <v>15236.999999999998</v>
      </c>
    </row>
    <row r="15" spans="1:11" x14ac:dyDescent="0.2">
      <c r="E15" s="81"/>
      <c r="F15" s="81"/>
      <c r="G15" s="81"/>
      <c r="H15" s="81"/>
      <c r="I15" s="81"/>
      <c r="J15" s="81"/>
      <c r="K15" s="81"/>
    </row>
  </sheetData>
  <sheetProtection algorithmName="SHA-512" hashValue="SPbLLz/oZy3QrzheGiOSnLZNehRFGdDMBFAHAcBtvjxSpbbl5IzbjlUqjT32GzxycPhHTEGAtuz92P44htvbag==" saltValue="wf6sEtL81/f8oDewx7kwaQ==" spinCount="100000" sheet="1" objects="1" scenarios="1" selectLockedCells="1" selectUnlockedCells="1"/>
  <hyperlinks>
    <hyperlink ref="C2:E2" r:id="rId1" location="!download/cu9f" display="Aviso de Desbloqueio"/>
  </hyperlinks>
  <pageMargins left="0.511811024" right="0.511811024" top="0.78740157499999996" bottom="0.78740157499999996" header="0.31496062000000002" footer="0.31496062000000002"/>
  <pageSetup paperSize="9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Comércio I</vt:lpstr>
      <vt:lpstr>Plan1</vt:lpstr>
      <vt:lpstr>Indústria II</vt:lpstr>
      <vt:lpstr>Serviço III</vt:lpstr>
      <vt:lpstr>Serviço IV</vt:lpstr>
      <vt:lpstr>Serviço VI</vt:lpstr>
      <vt:lpstr>Anexos Simples</vt:lpstr>
      <vt:lpstr>Análise em Gráficos</vt:lpstr>
      <vt:lpstr>'Comércio I'!Area_de_impressao</vt:lpstr>
      <vt:lpstr>'Indústria II'!Area_de_impressao</vt:lpstr>
      <vt:lpstr>'Serviço III'!Area_de_impressao</vt:lpstr>
      <vt:lpstr>'Serviço IV'!Area_de_impressao</vt:lpstr>
      <vt:lpstr>'Serviço VI'!Area_de_impressao</vt:lpstr>
      <vt:lpstr>Icms</vt:lpstr>
    </vt:vector>
  </TitlesOfParts>
  <Company>Cliente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Comparativo Tributos</dc:title>
  <dc:subject>Impostos</dc:subject>
  <dc:creator>www.funcaocontabil.net</dc:creator>
  <cp:lastModifiedBy>user</cp:lastModifiedBy>
  <cp:lastPrinted>2015-10-22T20:04:03Z</cp:lastPrinted>
  <dcterms:created xsi:type="dcterms:W3CDTF">2011-04-15T19:05:09Z</dcterms:created>
  <dcterms:modified xsi:type="dcterms:W3CDTF">2017-05-15T13:49:50Z</dcterms:modified>
</cp:coreProperties>
</file>