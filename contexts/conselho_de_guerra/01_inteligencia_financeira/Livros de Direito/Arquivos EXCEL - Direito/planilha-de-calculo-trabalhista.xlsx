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ee\AC\Temp\"/>
    </mc:Choice>
  </mc:AlternateContent>
  <bookViews>
    <workbookView xWindow="3615" yWindow="4740" windowWidth="9720" windowHeight="5835" tabRatio="515" activeTab="1" xr2:uid="{00000000-000D-0000-FFFF-FFFF00000000}"/>
  </bookViews>
  <sheets>
    <sheet name="RESCISÓRIAS" sheetId="1" r:id="rId1"/>
    <sheet name="INDICES" sheetId="2" r:id="rId2"/>
    <sheet name="DADOS" sheetId="3" r:id="rId3"/>
  </sheets>
  <definedNames>
    <definedName name="_xlnm.Print_Area" localSheetId="0">RESCISÓRIAS!$C:$L</definedName>
  </definedNames>
  <calcPr calcId="171026"/>
</workbook>
</file>

<file path=xl/calcChain.xml><?xml version="1.0" encoding="utf-8"?>
<calcChain xmlns="http://schemas.openxmlformats.org/spreadsheetml/2006/main">
  <c r="H2" i="3" l="1"/>
  <c r="I2" i="3"/>
  <c r="J2" i="3"/>
  <c r="H3" i="3"/>
  <c r="I3" i="3"/>
  <c r="J3" i="3"/>
  <c r="H4" i="3"/>
  <c r="I4" i="3"/>
  <c r="J4" i="3"/>
  <c r="H5" i="3"/>
  <c r="I5" i="3"/>
  <c r="J5" i="3"/>
  <c r="H6" i="3"/>
  <c r="I6" i="3"/>
  <c r="J6" i="3"/>
  <c r="H7" i="3"/>
  <c r="I7" i="3"/>
  <c r="J7" i="3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L7" i="1"/>
  <c r="H23" i="1"/>
  <c r="O22" i="1"/>
  <c r="P22" i="1"/>
  <c r="Q22" i="1"/>
  <c r="D23" i="1"/>
  <c r="H25" i="1"/>
  <c r="F26" i="1"/>
  <c r="L8" i="1"/>
  <c r="F9" i="1"/>
  <c r="L9" i="1"/>
  <c r="L42" i="1"/>
  <c r="F45" i="1"/>
  <c r="L45" i="1"/>
  <c r="F44" i="1"/>
  <c r="L44" i="1"/>
  <c r="L47" i="1"/>
  <c r="M58" i="1"/>
  <c r="L58" i="1"/>
  <c r="G59" i="1"/>
  <c r="L59" i="1"/>
  <c r="L61" i="1"/>
  <c r="H6" i="1"/>
  <c r="F10" i="1"/>
  <c r="L10" i="1"/>
  <c r="F13" i="1"/>
  <c r="L13" i="1"/>
  <c r="L11" i="1"/>
  <c r="F12" i="1"/>
  <c r="L12" i="1"/>
  <c r="L14" i="1"/>
  <c r="L15" i="1"/>
  <c r="L16" i="1"/>
  <c r="L17" i="1"/>
  <c r="L18" i="1"/>
  <c r="L19" i="1"/>
  <c r="P19" i="1"/>
  <c r="J20" i="1"/>
  <c r="L20" i="1"/>
  <c r="O21" i="1"/>
  <c r="P21" i="1"/>
  <c r="Q21" i="1"/>
  <c r="H22" i="1"/>
  <c r="L22" i="1"/>
  <c r="N23" i="1"/>
  <c r="O23" i="1"/>
  <c r="P23" i="1"/>
  <c r="Q23" i="1"/>
  <c r="H24" i="1"/>
  <c r="L24" i="1"/>
  <c r="F25" i="1"/>
  <c r="L25" i="1"/>
  <c r="J31" i="1"/>
  <c r="L31" i="1"/>
  <c r="L26" i="1"/>
  <c r="H27" i="1"/>
  <c r="L27" i="1"/>
  <c r="J28" i="1"/>
  <c r="L28" i="1"/>
  <c r="J29" i="1"/>
  <c r="L29" i="1"/>
  <c r="L32" i="1"/>
  <c r="L33" i="1"/>
  <c r="L34" i="1"/>
  <c r="J35" i="1"/>
  <c r="L35" i="1"/>
  <c r="J36" i="1"/>
  <c r="L36" i="1"/>
  <c r="L37" i="1"/>
  <c r="F49" i="1"/>
  <c r="L49" i="1"/>
  <c r="F50" i="1"/>
  <c r="L50" i="1"/>
  <c r="L52" i="1"/>
  <c r="L54" i="1"/>
  <c r="G56" i="1"/>
  <c r="L56" i="1"/>
  <c r="G58" i="1"/>
  <c r="K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  <author>SPI</author>
  </authors>
  <commentList>
    <comment ref="L4" authorId="0" shapeId="0" xr:uid="{00000000-0006-0000-0000-000001000000}">
      <text>
        <r>
          <rPr>
            <sz val="8"/>
            <color indexed="81"/>
            <rFont val="Tahoma"/>
            <family val="2"/>
          </rPr>
          <t>Digite a data de admissão.</t>
        </r>
      </text>
    </comment>
    <comment ref="L5" authorId="0" shapeId="0" xr:uid="{00000000-0006-0000-0000-000002000000}">
      <text>
        <r>
          <rPr>
            <sz val="8"/>
            <color indexed="81"/>
            <rFont val="Tahoma"/>
            <family val="2"/>
          </rPr>
          <t>Digite a data de afastamento.</t>
        </r>
      </text>
    </comment>
    <comment ref="D6" authorId="0" shapeId="0" xr:uid="{00000000-0006-0000-0000-000003000000}">
      <text>
        <r>
          <rPr>
            <sz val="8"/>
            <color indexed="81"/>
            <rFont val="Tahoma"/>
            <family val="2"/>
          </rPr>
          <t>Digite o nº do processo.</t>
        </r>
      </text>
    </comment>
    <comment ref="L6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A data da inicial corresponde ao dia do ajuizamento da ação. </t>
        </r>
        <r>
          <rPr>
            <b/>
            <u/>
            <sz val="8"/>
            <color indexed="81"/>
            <rFont val="Tahoma"/>
            <family val="2"/>
          </rPr>
          <t>NÃO DELETE</t>
        </r>
        <r>
          <rPr>
            <sz val="8"/>
            <color indexed="81"/>
            <rFont val="Tahoma"/>
            <family val="2"/>
          </rPr>
          <t xml:space="preserve"> a mesma, pois o resultado final ficará comprometido.</t>
        </r>
      </text>
    </comment>
    <comment ref="D7" authorId="0" shapeId="0" xr:uid="{00000000-0006-0000-0000-000005000000}">
      <text>
        <r>
          <rPr>
            <sz val="8"/>
            <color indexed="81"/>
            <rFont val="Tahoma"/>
          </rPr>
          <t xml:space="preserve">Equivalente ao Salário-Base + ATS.
Deve-se informar </t>
        </r>
        <r>
          <rPr>
            <u/>
            <sz val="8"/>
            <color indexed="81"/>
            <rFont val="Tahoma"/>
            <family val="2"/>
          </rPr>
          <t>apenas</t>
        </r>
        <r>
          <rPr>
            <sz val="8"/>
            <color indexed="81"/>
            <rFont val="Tahoma"/>
          </rPr>
          <t xml:space="preserve"> o Salário-Base quando houver pedido de </t>
        </r>
        <r>
          <rPr>
            <u/>
            <sz val="8"/>
            <color indexed="81"/>
            <rFont val="Tahoma"/>
            <family val="2"/>
          </rPr>
          <t>Periculosidade</t>
        </r>
        <r>
          <rPr>
            <sz val="8"/>
            <color indexed="81"/>
            <rFont val="Tahoma"/>
          </rPr>
          <t>.</t>
        </r>
      </text>
    </comment>
    <comment ref="H7" authorId="0" shapeId="0" xr:uid="{00000000-0006-0000-0000-000006000000}">
      <text>
        <r>
          <rPr>
            <sz val="8"/>
            <color indexed="81"/>
            <rFont val="Tahoma"/>
          </rPr>
          <t>Informar o valor da média da Comissão recebida.</t>
        </r>
      </text>
    </comment>
    <comment ref="L7" authorId="0" shapeId="0" xr:uid="{00000000-0006-0000-0000-000007000000}">
      <text>
        <r>
          <rPr>
            <sz val="8"/>
            <color indexed="81"/>
            <rFont val="Tahoma"/>
          </rPr>
          <t xml:space="preserve">A </t>
        </r>
        <r>
          <rPr>
            <b/>
            <u/>
            <sz val="8"/>
            <color indexed="81"/>
            <rFont val="Tahoma"/>
            <family val="2"/>
          </rPr>
          <t>REMUNERAÇÂO</t>
        </r>
        <r>
          <rPr>
            <sz val="8"/>
            <color indexed="81"/>
            <rFont val="Tahoma"/>
          </rPr>
          <t xml:space="preserve"> é </t>
        </r>
        <r>
          <rPr>
            <b/>
            <u/>
            <sz val="8"/>
            <color indexed="81"/>
            <rFont val="Tahoma"/>
            <family val="2"/>
          </rPr>
          <t>calculada</t>
        </r>
        <r>
          <rPr>
            <sz val="8"/>
            <color indexed="81"/>
            <rFont val="Tahoma"/>
          </rPr>
          <t xml:space="preserve"> pelo somatório do </t>
        </r>
        <r>
          <rPr>
            <b/>
            <u/>
            <sz val="8"/>
            <color indexed="81"/>
            <rFont val="Tahoma"/>
            <family val="2"/>
          </rPr>
          <t>Salário e Comissão</t>
        </r>
        <r>
          <rPr>
            <sz val="8"/>
            <color indexed="81"/>
            <rFont val="Tahoma"/>
          </rPr>
          <t xml:space="preserve">.
Informe estes valores nos campos ao lado. </t>
        </r>
        <r>
          <rPr>
            <b/>
            <sz val="8"/>
            <color indexed="81"/>
            <rFont val="Tahoma"/>
            <family val="2"/>
          </rPr>
          <t>Somente digite a remuneração se existir apenas os pedidos das parcelas rescisórias e existir pagamento de outras parcelas além do Salário-base e Comissão.</t>
        </r>
      </text>
    </comment>
    <comment ref="L8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Base de cálculo: Salário, Comissão, Periculosidade / Insalubridade, média das Horas Extras, média do Adicional de Horas Extras face ao repouso diário não concedido, média do Adicional de Horas Extras face as Comissões e média do Repouso Semanal Remunerado.
</t>
        </r>
        <r>
          <rPr>
            <b/>
            <sz val="8"/>
            <color indexed="81"/>
            <rFont val="Tahoma"/>
            <family val="2"/>
          </rPr>
          <t>= Base de Cálculo</t>
        </r>
      </text>
    </comment>
    <comment ref="F9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Os duodécimos das férias são calculados automaticamente a partir das datas de admissão e afastamento.
</t>
        </r>
        <r>
          <rPr>
            <u/>
            <sz val="8"/>
            <color indexed="81"/>
            <rFont val="Tahoma"/>
            <family val="2"/>
          </rPr>
          <t>Se o Aviso Prévio for calculado, será integrado o duodécimo (1/12) respectivo.</t>
        </r>
      </text>
    </comment>
    <comment ref="L9" authorId="1" shapeId="0" xr:uid="{00000000-0006-0000-0000-00000A000000}">
      <text>
        <r>
          <rPr>
            <sz val="8"/>
            <color indexed="81"/>
            <rFont val="Tahoma"/>
            <family val="2"/>
          </rPr>
          <t xml:space="preserve">Base de cálculo: Salário, Comissão, Periculosidade / Insalubridade, média das Horas Extras, média do Adicional de Horas Extras face ao repouso diário não concedido, média do Adicional de Horas Extras face as Comissões e média do Repouso Semanal Remunerado.
Calculada de forma proporcional ao duodécimos indicados ao lado.
</t>
        </r>
        <r>
          <rPr>
            <b/>
            <sz val="8"/>
            <color indexed="81"/>
            <rFont val="Tahoma"/>
            <family val="2"/>
          </rPr>
          <t>= Base de Cálculo * nº duodécimos / 12 * 4/3</t>
        </r>
      </text>
    </comment>
    <comment ref="F10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Os duodécimos das férias são calculados automaticamente a partir das datas de admissão e afastamento.
</t>
        </r>
        <r>
          <rPr>
            <u/>
            <sz val="8"/>
            <color indexed="81"/>
            <rFont val="Tahoma"/>
            <family val="2"/>
          </rPr>
          <t>Se o Aviso Prévio for calculado, será integrado o duodécimo (1/12) respectivo.</t>
        </r>
      </text>
    </comment>
    <comment ref="L10" authorId="1" shapeId="0" xr:uid="{00000000-0006-0000-0000-00000C000000}">
      <text>
        <r>
          <rPr>
            <sz val="8"/>
            <color indexed="81"/>
            <rFont val="Tahoma"/>
            <family val="2"/>
          </rPr>
          <t xml:space="preserve">Base de cálculo: Salário, Comissão, Periculosidade / Insalubridade, média das Horas Extras, média do Adicional de Horas Extras face ao repouso diário não concedido, média do Adicional de Horas Extras face as Comissões e média do Repouso Semanal Remunerado.
Calculada de forma proporcional ao duodécimos indicados ao lado.
</t>
        </r>
        <r>
          <rPr>
            <b/>
            <sz val="8"/>
            <color indexed="81"/>
            <rFont val="Tahoma"/>
            <family val="2"/>
          </rPr>
          <t>= Base de Cálculo * nº duodécimos / 12</t>
        </r>
      </text>
    </comment>
    <comment ref="F11" authorId="0" shapeId="0" xr:uid="{00000000-0006-0000-0000-00000D000000}">
      <text>
        <r>
          <rPr>
            <sz val="8"/>
            <color indexed="81"/>
            <rFont val="Tahoma"/>
            <family val="2"/>
          </rPr>
          <t xml:space="preserve">Para que esta parcela seja calculada acrescida de 40%, mantenha o valor dos 40% neste campo.
</t>
        </r>
        <r>
          <rPr>
            <u/>
            <sz val="8"/>
            <color indexed="81"/>
            <rFont val="Tahoma"/>
            <family val="2"/>
          </rPr>
          <t>Se desejar calcular apenas o FGTS da Rescisão sem os 40% (Ex. no caso de aposentadoria), apague este campo.</t>
        </r>
      </text>
    </comment>
    <comment ref="L11" authorId="1" shapeId="0" xr:uid="{00000000-0006-0000-0000-00000E000000}">
      <text>
        <r>
          <rPr>
            <sz val="8"/>
            <color indexed="81"/>
            <rFont val="Tahoma"/>
            <family val="2"/>
          </rPr>
          <t xml:space="preserve">Base de cálculo: Aviso Prévio, 13º Salário Proporcional e Saldo de Salário em dobro.
</t>
        </r>
        <r>
          <rPr>
            <u/>
            <sz val="8"/>
            <color indexed="81"/>
            <rFont val="Tahoma"/>
            <family val="2"/>
          </rPr>
          <t>Para calcular apenas o FGTS da Rescisão sem o acréscimo de 40%, basta deletar a campo ao lado.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= Base de Cálculo * 8% * 1,40</t>
        </r>
      </text>
    </comment>
    <comment ref="F12" authorId="0" shapeId="0" xr:uid="{00000000-0006-0000-0000-00000F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12" authorId="1" shapeId="0" xr:uid="{00000000-0006-0000-0000-000010000000}">
      <text>
        <r>
          <rPr>
            <sz val="8"/>
            <color indexed="81"/>
            <rFont val="Tahoma"/>
            <family val="2"/>
          </rPr>
          <t xml:space="preserve">Base de cálculo: Salário e 13º Salário de todo o vínculo empregatício.
Calcula apenas a multa de 40% do FGTS de todo o vínculo.
</t>
        </r>
        <r>
          <rPr>
            <b/>
            <sz val="8"/>
            <color indexed="81"/>
            <rFont val="Tahoma"/>
            <family val="2"/>
          </rPr>
          <t>= Base de Cálculo * 8% * 0,40 * nº de meses</t>
        </r>
      </text>
    </comment>
    <comment ref="F13" authorId="0" shapeId="0" xr:uid="{00000000-0006-0000-0000-000011000000}">
      <text>
        <r>
          <rPr>
            <sz val="8"/>
            <color indexed="81"/>
            <rFont val="Tahoma"/>
            <family val="2"/>
          </rPr>
          <t xml:space="preserve">O nº de dias do mês da despedida é calculado automaticamente, a partir da data de afastamento.
</t>
        </r>
        <r>
          <rPr>
            <u/>
            <sz val="8"/>
            <color indexed="81"/>
            <rFont val="Tahoma"/>
            <family val="2"/>
          </rPr>
          <t xml:space="preserve">Se desejar uma quantidade diferente =&gt; </t>
        </r>
        <r>
          <rPr>
            <b/>
            <u/>
            <sz val="8"/>
            <color indexed="81"/>
            <rFont val="Tahoma"/>
            <family val="2"/>
          </rPr>
          <t>DIGITE</t>
        </r>
        <r>
          <rPr>
            <u/>
            <sz val="8"/>
            <color indexed="81"/>
            <rFont val="Tahoma"/>
            <family val="2"/>
          </rPr>
          <t xml:space="preserve"> a mesma neste campo. </t>
        </r>
        <r>
          <rPr>
            <b/>
            <u/>
            <sz val="8"/>
            <color indexed="81"/>
            <rFont val="Tahoma"/>
            <family val="2"/>
          </rPr>
          <t>O dobro será calculado automaticamente</t>
        </r>
        <r>
          <rPr>
            <u/>
            <sz val="8"/>
            <color indexed="81"/>
            <rFont val="Tahoma"/>
            <family val="2"/>
          </rPr>
          <t>.</t>
        </r>
      </text>
    </comment>
    <comment ref="L13" authorId="1" shapeId="0" xr:uid="{00000000-0006-0000-0000-000012000000}">
      <text>
        <r>
          <rPr>
            <sz val="8"/>
            <color indexed="81"/>
            <rFont val="Tahoma"/>
            <family val="2"/>
          </rPr>
          <t xml:space="preserve">Base de cálculo: Salário e Comissão.
Calculado em dobro, de forma proporcional ao nº de dias requeridos indicados ao lado.
</t>
        </r>
        <r>
          <rPr>
            <b/>
            <sz val="8"/>
            <color indexed="81"/>
            <rFont val="Tahoma"/>
            <family val="2"/>
          </rPr>
          <t>= Base de Cálculo / 30 * nº de dias * 2</t>
        </r>
      </text>
    </comment>
    <comment ref="L14" authorId="0" shapeId="0" xr:uid="{00000000-0006-0000-0000-000013000000}">
      <text>
        <r>
          <rPr>
            <sz val="8"/>
            <color indexed="81"/>
            <rFont val="Tahoma"/>
            <family val="2"/>
          </rPr>
          <t>Base de cálculo: Salário e Comissão.</t>
        </r>
        <r>
          <rPr>
            <b/>
            <sz val="8"/>
            <color indexed="81"/>
            <rFont val="Tahoma"/>
            <family val="2"/>
          </rPr>
          <t xml:space="preserve">
Esta parcela equivale a um Salário-base.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= Base de cálculo</t>
        </r>
      </text>
    </comment>
    <comment ref="F15" authorId="0" shapeId="0" xr:uid="{00000000-0006-0000-0000-000014000000}">
      <text>
        <r>
          <rPr>
            <sz val="8"/>
            <color indexed="81"/>
            <rFont val="Tahoma"/>
            <family val="2"/>
          </rPr>
          <t>Digite a quantidade de férias simples.</t>
        </r>
      </text>
    </comment>
    <comment ref="L15" authorId="1" shapeId="0" xr:uid="{00000000-0006-0000-0000-000015000000}">
      <text>
        <r>
          <rPr>
            <sz val="8"/>
            <color indexed="81"/>
            <rFont val="Tahoma"/>
            <family val="2"/>
          </rPr>
          <t xml:space="preserve">Base de cálculo: Salário, Comissão, Periculosidade / Insalubridade, média das Horas Extras, média do Adicional de Horas Extras face ao repouso diário não concedido, média do Adicional de Horas Extras face as Comissões e média do Repouso Semanal Remunerado.
Calculada de forma proporcional a quantidade indicada ao lado.
</t>
        </r>
        <r>
          <rPr>
            <b/>
            <sz val="8"/>
            <color indexed="81"/>
            <rFont val="Tahoma"/>
            <family val="2"/>
          </rPr>
          <t>= Base de Cálculo * 4/3 * nº período</t>
        </r>
      </text>
    </comment>
    <comment ref="F16" authorId="0" shapeId="0" xr:uid="{00000000-0006-0000-0000-000016000000}">
      <text>
        <r>
          <rPr>
            <sz val="8"/>
            <color indexed="81"/>
            <rFont val="Tahoma"/>
            <family val="2"/>
          </rPr>
          <t>Digite a quantidade de férias em dobro.
Para as Férias toma-se como base a data de admissão e é devida após 1 ano de trabalho. Então, após 1 ano da data de admissão encerra-se o período aquisitivo e inicia-se o período concessivo das férias com duração de 1 ano também. O fato das férias não serem gozadas no período concessivo enseja o fato gerador das férias em dobro.</t>
        </r>
      </text>
    </comment>
    <comment ref="L16" authorId="1" shapeId="0" xr:uid="{00000000-0006-0000-0000-000017000000}">
      <text>
        <r>
          <rPr>
            <sz val="8"/>
            <color indexed="81"/>
            <rFont val="Tahoma"/>
            <family val="2"/>
          </rPr>
          <t xml:space="preserve">Base de cálculo: Salário, Comissão, Periculosidade / Insalubridade, média das Horas Extras, média do Adicional de Horas Extras face ao repouso diário não concedido, média do Adicional de Horas Extras face as Comissões e média do Repouso Semanal Remunerado.
Calculada em dobro, de forma proporcional a quantidade indicada ao lado.
</t>
        </r>
        <r>
          <rPr>
            <b/>
            <sz val="8"/>
            <color indexed="81"/>
            <rFont val="Tahoma"/>
            <family val="2"/>
          </rPr>
          <t>= Base de Cálculo * 4/3 * nº períodos * 2</t>
        </r>
      </text>
    </comment>
    <comment ref="E17" authorId="0" shapeId="0" xr:uid="{00000000-0006-0000-0000-000018000000}">
      <text>
        <r>
          <rPr>
            <sz val="8"/>
            <color indexed="81"/>
            <rFont val="Tahoma"/>
            <family val="2"/>
          </rPr>
          <t>Digite os anos de referência do pedido do 13º Salário</t>
        </r>
      </text>
    </comment>
    <comment ref="F17" authorId="0" shapeId="0" xr:uid="{00000000-0006-0000-0000-000019000000}">
      <text>
        <r>
          <rPr>
            <sz val="8"/>
            <color indexed="81"/>
            <rFont val="Tahoma"/>
            <family val="2"/>
          </rPr>
          <t xml:space="preserve">Digite a quantidade de 13º Salários requeridos.
Se ocorrer um período incompleto, digite a fórmula com a sua proporcionalidade. Ex: 5 meses =&gt; digite: </t>
        </r>
        <r>
          <rPr>
            <b/>
            <sz val="8"/>
            <color indexed="81"/>
            <rFont val="Tahoma"/>
            <family val="2"/>
          </rPr>
          <t>= 5/12 + a quantidade de períodos completos.</t>
        </r>
      </text>
    </comment>
    <comment ref="L17" authorId="1" shapeId="0" xr:uid="{00000000-0006-0000-0000-00001A000000}">
      <text>
        <r>
          <rPr>
            <sz val="8"/>
            <color indexed="81"/>
            <rFont val="Tahoma"/>
            <family val="2"/>
          </rPr>
          <t xml:space="preserve">Base de cálculo: Salário, Comissão, Periculosidade / Insalubridade, média das Horas Extras, média do Adicional de Horas Extras face ao repouso diário não concedido, média do Adicional de Horas Extras face as Comissões e média do Repouso Semanal Remunerado.
Calculada de forma proporcional ao duodécimos indicados ao lado.
</t>
        </r>
        <r>
          <rPr>
            <b/>
            <sz val="8"/>
            <color indexed="81"/>
            <rFont val="Tahoma"/>
            <family val="2"/>
          </rPr>
          <t>= Base de Cálculo * nº de anos</t>
        </r>
      </text>
    </comment>
    <comment ref="F18" authorId="0" shapeId="0" xr:uid="{00000000-0006-0000-0000-00001B000000}">
      <text>
        <r>
          <rPr>
            <sz val="8"/>
            <color indexed="81"/>
            <rFont val="Tahoma"/>
            <family val="2"/>
          </rPr>
          <t>Digite a quantidade de meses que o RTE trabalhou em condições perigosas (risco de vida).</t>
        </r>
      </text>
    </comment>
    <comment ref="L18" authorId="1" shapeId="0" xr:uid="{00000000-0006-0000-0000-00001C000000}">
      <text>
        <r>
          <rPr>
            <sz val="8"/>
            <color indexed="81"/>
            <rFont val="Tahoma"/>
            <family val="2"/>
          </rPr>
          <t xml:space="preserve">Base de cálculo: Salário e Comissão.
Calculado a base de 30%, em relação a quantidade de meses indicada ao lado.
</t>
        </r>
        <r>
          <rPr>
            <b/>
            <sz val="8"/>
            <color indexed="81"/>
            <rFont val="Tahoma"/>
            <family val="2"/>
          </rPr>
          <t>= Base de Cálculo * 30% * nº meses</t>
        </r>
      </text>
    </comment>
    <comment ref="F19" authorId="0" shapeId="0" xr:uid="{00000000-0006-0000-0000-00001D000000}">
      <text>
        <r>
          <rPr>
            <sz val="8"/>
            <color indexed="81"/>
            <rFont val="Tahoma"/>
            <family val="2"/>
          </rPr>
          <t>Digite a quantidade de meses que o RTE trabalhou em condições insalubres (risco para a saúde).</t>
        </r>
      </text>
    </comment>
    <comment ref="H19" authorId="0" shapeId="0" xr:uid="{00000000-0006-0000-0000-00001E000000}">
      <text>
        <r>
          <rPr>
            <sz val="8"/>
            <color indexed="81"/>
            <rFont val="Tahoma"/>
            <family val="2"/>
          </rPr>
          <t>O grau de risco da insalubridade pode ser baixo (</t>
        </r>
        <r>
          <rPr>
            <b/>
            <sz val="8"/>
            <color indexed="81"/>
            <rFont val="Tahoma"/>
            <family val="2"/>
          </rPr>
          <t>10%</t>
        </r>
        <r>
          <rPr>
            <sz val="8"/>
            <color indexed="81"/>
            <rFont val="Tahoma"/>
            <family val="2"/>
          </rPr>
          <t>), médio (</t>
        </r>
        <r>
          <rPr>
            <b/>
            <sz val="8"/>
            <color indexed="81"/>
            <rFont val="Tahoma"/>
            <family val="2"/>
          </rPr>
          <t>20%</t>
        </r>
        <r>
          <rPr>
            <sz val="8"/>
            <color indexed="81"/>
            <rFont val="Tahoma"/>
            <family val="2"/>
          </rPr>
          <t>) ou alto (</t>
        </r>
        <r>
          <rPr>
            <b/>
            <sz val="8"/>
            <color indexed="81"/>
            <rFont val="Tahoma"/>
            <family val="2"/>
          </rPr>
          <t>40%</t>
        </r>
        <r>
          <rPr>
            <sz val="8"/>
            <color indexed="81"/>
            <rFont val="Tahoma"/>
            <family val="2"/>
          </rPr>
          <t xml:space="preserve">).
</t>
        </r>
        <r>
          <rPr>
            <u/>
            <sz val="8"/>
            <color indexed="81"/>
            <rFont val="Tahoma"/>
            <family val="2"/>
          </rPr>
          <t xml:space="preserve">Se não souber o grau apropriado manter o grau padrão de </t>
        </r>
        <r>
          <rPr>
            <b/>
            <u/>
            <sz val="8"/>
            <color indexed="81"/>
            <rFont val="Tahoma"/>
            <family val="2"/>
          </rPr>
          <t>40</t>
        </r>
        <r>
          <rPr>
            <u/>
            <sz val="8"/>
            <color indexed="81"/>
            <rFont val="Tahoma"/>
            <family val="2"/>
          </rPr>
          <t>%. Informar ao RTE que será necessário fazer uma perícia para a comprovação das condições de trabalho.</t>
        </r>
      </text>
    </comment>
    <comment ref="L19" authorId="1" shapeId="0" xr:uid="{00000000-0006-0000-0000-00001F000000}">
      <text>
        <r>
          <rPr>
            <sz val="8"/>
            <color indexed="81"/>
            <rFont val="Tahoma"/>
            <family val="2"/>
          </rPr>
          <t xml:space="preserve">Base de cálculo: Salário Mínimo legal vigente no afastamento.
Calculado com base no grau de risco e na quantidade de meses indicados ao lado.
</t>
        </r>
        <r>
          <rPr>
            <b/>
            <sz val="8"/>
            <color indexed="81"/>
            <rFont val="Tahoma"/>
            <family val="2"/>
          </rPr>
          <t>= Base de Cálculo * grau de risco * nº de meses</t>
        </r>
      </text>
    </comment>
    <comment ref="D20" authorId="0" shapeId="0" xr:uid="{00000000-0006-0000-0000-000020000000}">
      <text>
        <r>
          <rPr>
            <sz val="8"/>
            <color indexed="81"/>
            <rFont val="Tahoma"/>
            <family val="2"/>
          </rPr>
          <t xml:space="preserve">Para o </t>
        </r>
        <r>
          <rPr>
            <u/>
            <sz val="8"/>
            <color indexed="81"/>
            <rFont val="Tahoma"/>
            <family val="2"/>
          </rPr>
          <t>trabalhador urbano</t>
        </r>
        <r>
          <rPr>
            <sz val="8"/>
            <color indexed="81"/>
            <rFont val="Tahoma"/>
            <family val="2"/>
          </rPr>
          <t xml:space="preserve"> é devido um percentual de </t>
        </r>
        <r>
          <rPr>
            <b/>
            <u/>
            <sz val="8"/>
            <color indexed="81"/>
            <rFont val="Tahoma"/>
            <family val="2"/>
          </rPr>
          <t>20%</t>
        </r>
        <r>
          <rPr>
            <sz val="8"/>
            <color indexed="81"/>
            <rFont val="Tahoma"/>
            <family val="2"/>
          </rPr>
          <t xml:space="preserve"> a título de Adicional Noturno. Para o </t>
        </r>
        <r>
          <rPr>
            <u/>
            <sz val="8"/>
            <color indexed="81"/>
            <rFont val="Tahoma"/>
            <family val="2"/>
          </rPr>
          <t>trabalhador rural</t>
        </r>
        <r>
          <rPr>
            <sz val="8"/>
            <color indexed="81"/>
            <rFont val="Tahoma"/>
            <family val="2"/>
          </rPr>
          <t xml:space="preserve"> o percentual é de </t>
        </r>
        <r>
          <rPr>
            <b/>
            <u/>
            <sz val="8"/>
            <color indexed="81"/>
            <rFont val="Tahoma"/>
            <family val="2"/>
          </rPr>
          <t>25%</t>
        </r>
        <r>
          <rPr>
            <sz val="8"/>
            <color indexed="81"/>
            <rFont val="Tahoma"/>
            <family val="2"/>
          </rPr>
          <t>. A convenção coletiva pode estabelecer um percentual maior, mas para tanto é necessário a devida comprovação.</t>
        </r>
      </text>
    </comment>
    <comment ref="F20" authorId="0" shapeId="0" xr:uid="{00000000-0006-0000-0000-000021000000}">
      <text>
        <r>
          <rPr>
            <sz val="8"/>
            <color indexed="81"/>
            <rFont val="Tahoma"/>
            <family val="2"/>
          </rPr>
          <t xml:space="preserve">Se for informado pelo RTE, digite a quantidade de horas noturnas por mês.
O horário noturno na </t>
        </r>
        <r>
          <rPr>
            <b/>
            <u/>
            <sz val="8"/>
            <color indexed="81"/>
            <rFont val="Tahoma"/>
            <family val="2"/>
          </rPr>
          <t>área urbana</t>
        </r>
        <r>
          <rPr>
            <sz val="8"/>
            <color indexed="81"/>
            <rFont val="Tahoma"/>
            <family val="2"/>
          </rPr>
          <t xml:space="preserve"> é das </t>
        </r>
        <r>
          <rPr>
            <b/>
            <u/>
            <sz val="8"/>
            <color indexed="81"/>
            <rFont val="Tahoma"/>
            <family val="2"/>
          </rPr>
          <t>22:00 às 05:00</t>
        </r>
        <r>
          <rPr>
            <sz val="8"/>
            <color indexed="81"/>
            <rFont val="Tahoma"/>
            <family val="2"/>
          </rPr>
          <t>. Pela redução do horário noturno, cada hora noturna equivale a 52,50 minutos.
Ex: Para 6 hrs noturnas/dia em 25 dias/mês, digite a fórmula =&gt;
= 6 * 60 / 52,5 * 25</t>
        </r>
      </text>
    </comment>
    <comment ref="H20" authorId="0" shapeId="0" xr:uid="{00000000-0006-0000-0000-000022000000}">
      <text>
        <r>
          <rPr>
            <sz val="8"/>
            <color indexed="81"/>
            <rFont val="Tahoma"/>
            <family val="2"/>
          </rPr>
          <t>Digite o nº médio de horas noturnas mensais pagas ao RTE.
Este valor deve ser informado para o cálculo de Diferença de Adicional Noturno.</t>
        </r>
      </text>
    </comment>
    <comment ref="J20" authorId="0" shapeId="0" xr:uid="{00000000-0006-0000-0000-000023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20" authorId="1" shapeId="0" xr:uid="{00000000-0006-0000-0000-000024000000}">
      <text>
        <r>
          <rPr>
            <sz val="8"/>
            <color indexed="81"/>
            <rFont val="Tahoma"/>
            <family val="2"/>
          </rPr>
          <t xml:space="preserve">Base de cálculo: Salário, Comissão e Periculosidade / Insalubridade.
Calculado com base no percentual do adicional noturno, na quantidade de horas noturnas e na quantidade de meses indicados ao lado.
</t>
        </r>
        <r>
          <rPr>
            <u/>
            <sz val="8"/>
            <color indexed="81"/>
            <rFont val="Tahoma"/>
            <family val="2"/>
          </rPr>
          <t>O divisor de horas mensais é selecionado a partir da jornada semanal indicada no item das Horas Extras. Portanto, esse campo deverá estar sempre atualizado.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= Base de Cálculo / divisor * % noturno *  nº de horas noturnas mensais * nº meses</t>
        </r>
      </text>
    </comment>
    <comment ref="D21" authorId="0" shapeId="0" xr:uid="{00000000-0006-0000-0000-000025000000}">
      <text>
        <r>
          <rPr>
            <sz val="8"/>
            <color indexed="81"/>
            <rFont val="Tahoma"/>
            <family val="2"/>
          </rPr>
          <t xml:space="preserve">O adicional das Horas Extras é de pelo menos </t>
        </r>
        <r>
          <rPr>
            <b/>
            <u/>
            <sz val="8"/>
            <color indexed="81"/>
            <rFont val="Tahoma"/>
            <family val="2"/>
          </rPr>
          <t>50%</t>
        </r>
        <r>
          <rPr>
            <sz val="8"/>
            <color indexed="81"/>
            <rFont val="Tahoma"/>
            <family val="2"/>
          </rPr>
          <t>.
A convenção coletiva pode estabelecer um percentual maior, mas para tanto é necessário a devida comprovação.</t>
        </r>
      </text>
    </comment>
    <comment ref="F21" authorId="0" shapeId="0" xr:uid="{00000000-0006-0000-0000-000026000000}">
      <text>
        <r>
          <rPr>
            <sz val="8"/>
            <color indexed="81"/>
            <rFont val="Tahoma"/>
            <family val="2"/>
          </rPr>
          <t xml:space="preserve">Digite a média da quantidade de dias trabalhados por mês.
Jornada de segunda a sexta = </t>
        </r>
        <r>
          <rPr>
            <b/>
            <sz val="8"/>
            <color indexed="81"/>
            <rFont val="Tahoma"/>
            <family val="2"/>
          </rPr>
          <t>21</t>
        </r>
        <r>
          <rPr>
            <sz val="8"/>
            <color indexed="81"/>
            <rFont val="Tahoma"/>
            <family val="2"/>
          </rPr>
          <t xml:space="preserve"> dias; jornada de segunda a sábado = </t>
        </r>
        <r>
          <rPr>
            <b/>
            <sz val="8"/>
            <color indexed="81"/>
            <rFont val="Tahoma"/>
            <family val="2"/>
          </rPr>
          <t>25</t>
        </r>
        <r>
          <rPr>
            <sz val="8"/>
            <color indexed="81"/>
            <rFont val="Tahoma"/>
            <family val="2"/>
          </rPr>
          <t xml:space="preserve"> dias e jornada de segunda a domingo = </t>
        </r>
        <r>
          <rPr>
            <b/>
            <sz val="8"/>
            <color indexed="81"/>
            <rFont val="Tahoma"/>
            <family val="2"/>
          </rPr>
          <t>30</t>
        </r>
        <r>
          <rPr>
            <sz val="8"/>
            <color indexed="81"/>
            <rFont val="Tahoma"/>
            <family val="2"/>
          </rPr>
          <t xml:space="preserve"> dias.</t>
        </r>
      </text>
    </comment>
    <comment ref="H21" authorId="1" shapeId="0" xr:uid="{00000000-0006-0000-0000-000027000000}">
      <text>
        <r>
          <rPr>
            <sz val="8"/>
            <color indexed="81"/>
            <rFont val="Tahoma"/>
            <family val="2"/>
          </rPr>
          <t>Digite a jornada diária.</t>
        </r>
      </text>
    </comment>
    <comment ref="J21" authorId="1" shapeId="0" xr:uid="{00000000-0006-0000-0000-000028000000}">
      <text>
        <r>
          <rPr>
            <sz val="8"/>
            <color indexed="81"/>
            <rFont val="Tahoma"/>
            <family val="2"/>
          </rPr>
          <t xml:space="preserve">Digite a jornada semanal.
</t>
        </r>
        <r>
          <rPr>
            <u/>
            <sz val="8"/>
            <color indexed="81"/>
            <rFont val="Tahoma"/>
            <family val="2"/>
          </rPr>
          <t>Esse campo interfere no cálculo do Adicional Noturno, Adicionais de Horas Extras face ao Repouso não Concedido e face as Comissões e deve ficar atualizado mesmo não existindo pedido de Horas Extras.</t>
        </r>
      </text>
    </comment>
    <comment ref="D22" authorId="1" shapeId="0" xr:uid="{00000000-0006-0000-0000-000029000000}">
      <text>
        <r>
          <rPr>
            <sz val="8"/>
            <color indexed="81"/>
            <rFont val="Tahoma"/>
            <family val="2"/>
          </rPr>
          <t>Digite o horário de entrada e saída com o intervalo.
Após a digitação, Verifique se o Excel interpretou  a informação como hora. Basta olhar na barra de fórmula se o formato ficou "hora.minuto.segundo"</t>
        </r>
      </text>
    </comment>
    <comment ref="E22" authorId="1" shapeId="0" xr:uid="{00000000-0006-0000-0000-00002A000000}">
      <text>
        <r>
          <rPr>
            <sz val="8"/>
            <color indexed="81"/>
            <rFont val="Tahoma"/>
            <family val="2"/>
          </rPr>
          <t>Digite o horário de entrada e saída com o intervalo.
Após a digitação, Verifique se o Excel interpretou  a informação como hora. Basta olhar na barra de fórmula se o formato ficou "hora.minuto.segundo"</t>
        </r>
      </text>
    </comment>
    <comment ref="F22" authorId="1" shapeId="0" xr:uid="{00000000-0006-0000-0000-00002B000000}">
      <text>
        <r>
          <rPr>
            <sz val="8"/>
            <color indexed="81"/>
            <rFont val="Tahoma"/>
            <family val="2"/>
          </rPr>
          <t>Digite o horário de entrada e saída com o intervalo.
Após a digitação, Verifique se o Excel interpretou  a informação como hora. Basta olhar na barra de fórmula se o formato ficou "hora.minuto.segundo"</t>
        </r>
      </text>
    </comment>
    <comment ref="G22" authorId="1" shapeId="0" xr:uid="{00000000-0006-0000-0000-00002C000000}">
      <text>
        <r>
          <rPr>
            <sz val="8"/>
            <color indexed="81"/>
            <rFont val="Tahoma"/>
            <family val="2"/>
          </rPr>
          <t>Digite o horário de entrada e saída com o intervalo.
Após a digitação, Verifique se o Excel interpretou  a informação como hora. Basta olhar na barra de fórmula se o formato ficou "hora.minuto.segundo"</t>
        </r>
      </text>
    </comment>
    <comment ref="H22" authorId="0" shapeId="0" xr:uid="{00000000-0006-0000-0000-00002D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22" authorId="1" shapeId="0" xr:uid="{00000000-0006-0000-0000-00002E000000}">
      <text>
        <r>
          <rPr>
            <sz val="8"/>
            <color indexed="81"/>
            <rFont val="Tahoma"/>
            <family val="2"/>
          </rPr>
          <t xml:space="preserve">Base de Cálculo: Salário e Periculosidade / Insalubridade.
Calculado com base no adicional das Horas Extras, na quantidade de horas extras mensais e na quantidade de meses indicados ao lado.
</t>
        </r>
        <r>
          <rPr>
            <u/>
            <sz val="8"/>
            <color indexed="81"/>
            <rFont val="Tahoma"/>
            <family val="2"/>
          </rPr>
          <t>O divisor de horas mensais é selecionado a partir da jornada semanal. Esse campo deverá estar sempre atualizado.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= Base de Cálculo / divisor * (1 + adicional/100) * nº de horas extras mensais * nº meses</t>
        </r>
      </text>
    </comment>
    <comment ref="D23" authorId="0" shapeId="0" xr:uid="{00000000-0006-0000-0000-00002F000000}">
      <text>
        <r>
          <rPr>
            <sz val="8"/>
            <color indexed="81"/>
            <rFont val="Tahoma"/>
            <family val="2"/>
          </rPr>
          <t xml:space="preserve">Digite o nº médio de horas mensais, caso seja informado pelo RTE.
Caso contrário, digite a jornada nos campos ao lado, que o nº médio de horas mensais será calculado automaticamente.
Se o RTE não possuia jornada </t>
        </r>
        <r>
          <rPr>
            <u/>
            <sz val="8"/>
            <color indexed="81"/>
            <rFont val="Tahoma"/>
            <family val="2"/>
          </rPr>
          <t>semanal</t>
        </r>
        <r>
          <rPr>
            <sz val="8"/>
            <color indexed="81"/>
            <rFont val="Tahoma"/>
            <family val="2"/>
          </rPr>
          <t xml:space="preserve"> superior a legal, mas em alguns dias trabalhava com jornada </t>
        </r>
        <r>
          <rPr>
            <u/>
            <sz val="8"/>
            <color indexed="81"/>
            <rFont val="Tahoma"/>
            <family val="2"/>
          </rPr>
          <t>diária</t>
        </r>
        <r>
          <rPr>
            <sz val="8"/>
            <color indexed="81"/>
            <rFont val="Tahoma"/>
            <family val="2"/>
          </rPr>
          <t xml:space="preserve"> superior a legal, esse cálculo deverá ser feito da seguinte forma:
</t>
        </r>
        <r>
          <rPr>
            <b/>
            <u/>
            <sz val="8"/>
            <color indexed="81"/>
            <rFont val="Tahoma"/>
            <family val="2"/>
          </rPr>
          <t>Nº Horas Extras mensais = Total do nº de Horas Extras Diárias da Semana / nº médio de dias trabalhados na semana * nº média de dias trabalhados por mês</t>
        </r>
      </text>
    </comment>
    <comment ref="F23" authorId="0" shapeId="0" xr:uid="{00000000-0006-0000-0000-000030000000}">
      <text>
        <r>
          <rPr>
            <sz val="8"/>
            <color indexed="81"/>
            <rFont val="Tahoma"/>
            <family val="2"/>
          </rPr>
          <t>Digite o nº médio de horas extras mensais pagas ao RTE.
Este valor deve ser informado para o cálculo de Diferença de Horas Extras.</t>
        </r>
      </text>
    </comment>
    <comment ref="H23" authorId="1" shapeId="0" xr:uid="{00000000-0006-0000-0000-000031000000}">
      <text>
        <r>
          <rPr>
            <sz val="8"/>
            <color indexed="81"/>
            <rFont val="Tahoma"/>
            <family val="2"/>
          </rPr>
          <t>Digite o divisor mensal de horas.</t>
        </r>
      </text>
    </comment>
    <comment ref="F24" authorId="1" shapeId="0" xr:uid="{00000000-0006-0000-0000-000032000000}">
      <text>
        <r>
          <rPr>
            <sz val="8"/>
            <color indexed="81"/>
            <rFont val="Tahoma"/>
            <family val="2"/>
          </rPr>
          <t>Digite a quantidade mensal de horas de repouso não concedidas. Observar a quantidade de dias trabalhados por mês.</t>
        </r>
      </text>
    </comment>
    <comment ref="H24" authorId="0" shapeId="0" xr:uid="{00000000-0006-0000-0000-000033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24" authorId="1" shapeId="0" xr:uid="{00000000-0006-0000-0000-000034000000}">
      <text>
        <r>
          <rPr>
            <sz val="8"/>
            <color indexed="81"/>
            <rFont val="Tahoma"/>
            <family val="2"/>
          </rPr>
          <t xml:space="preserve">Base de Cálculo: Salário e Periculosidade / Insalubridade.
Calculado com base no adicional das Horas Extras, na quantidade de horas de repouso não condecidas e na quantidade de meses indicados ao lado.
</t>
        </r>
        <r>
          <rPr>
            <u/>
            <sz val="8"/>
            <color indexed="81"/>
            <rFont val="Tahoma"/>
            <family val="2"/>
          </rPr>
          <t>O divisor de horas mensais é selecionado a partir da jornada semanal indicada no item das Horas Extras. Portanto, esse campo deverá estar sempre atualizado.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= Base de Cálculo / divisor * adicioanl * nº de horas de repouso * nº meses</t>
        </r>
      </text>
    </comment>
    <comment ref="D25" authorId="0" shapeId="0" xr:uid="{00000000-0006-0000-0000-000035000000}">
      <text>
        <r>
          <rPr>
            <sz val="8"/>
            <color indexed="81"/>
            <rFont val="Tahoma"/>
            <family val="2"/>
          </rPr>
          <t xml:space="preserve">O adicional das Horas Extras é de pelo menos </t>
        </r>
        <r>
          <rPr>
            <b/>
            <u/>
            <sz val="8"/>
            <color indexed="81"/>
            <rFont val="Tahoma"/>
            <family val="2"/>
          </rPr>
          <t>50%</t>
        </r>
        <r>
          <rPr>
            <sz val="8"/>
            <color indexed="81"/>
            <rFont val="Tahoma"/>
            <family val="2"/>
          </rPr>
          <t>.
A convenção coletiva pode estabelecer um percentual maior, mas para tanto é necessário a devida comprovação.</t>
        </r>
      </text>
    </comment>
    <comment ref="F25" authorId="0" shapeId="0" xr:uid="{00000000-0006-0000-0000-000036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H25" authorId="0" shapeId="0" xr:uid="{00000000-0006-0000-0000-000037000000}">
      <text>
        <r>
          <rPr>
            <sz val="8"/>
            <color indexed="81"/>
            <rFont val="Tahoma"/>
            <family val="2"/>
          </rPr>
          <t>Digite o nº médio de horas de repouso não concedidos por mês, informado pelo RTE.
Caso contrário, digite a jornada no item das Horas Extras, que nº médio de horas mensais será calculado automaticamente.</t>
        </r>
      </text>
    </comment>
    <comment ref="L25" authorId="1" shapeId="0" xr:uid="{00000000-0006-0000-0000-000038000000}">
      <text>
        <r>
          <rPr>
            <sz val="8"/>
            <color indexed="81"/>
            <rFont val="Tahoma"/>
            <family val="2"/>
          </rPr>
          <t xml:space="preserve">Base de Cálculo: média das Comissões.
Calculado com base na média das Comissões, no adicional das Horas Extras face as comissões, na quantidade de horas extras face as comissões e na quantidade de meses indicados ao lado.
</t>
        </r>
        <r>
          <rPr>
            <u/>
            <sz val="8"/>
            <color indexed="81"/>
            <rFont val="Tahoma"/>
            <family val="2"/>
          </rPr>
          <t>O divisor de horas mensais é selecionado a partir da jornada semanal indicada no item das Horas Extras. Portanto, esse campo deverá estar sempre atualizado.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= Base de Cálculo / divisor * adicional * nº de horas extras face as comissões * nº meses</t>
        </r>
      </text>
    </comment>
    <comment ref="F26" authorId="1" shapeId="0" xr:uid="{00000000-0006-0000-0000-000039000000}">
      <text>
        <r>
          <rPr>
            <sz val="8"/>
            <color indexed="81"/>
            <rFont val="Tahoma"/>
            <family val="2"/>
          </rPr>
          <t xml:space="preserve">Calculado com base no nº de folgas pelo nº de dias trabalhados por mês.
Para uma média mensal de 5 folgas / 25 dias trabalhados = </t>
        </r>
        <r>
          <rPr>
            <b/>
            <sz val="8"/>
            <color indexed="81"/>
            <rFont val="Tahoma"/>
            <family val="2"/>
          </rPr>
          <t>20,00%</t>
        </r>
        <r>
          <rPr>
            <sz val="8"/>
            <color indexed="81"/>
            <rFont val="Tahoma"/>
            <family val="2"/>
          </rPr>
          <t xml:space="preserve">.
Para uma média mensal de 5 folgas / 30 dias trabalhados = </t>
        </r>
        <r>
          <rPr>
            <b/>
            <sz val="8"/>
            <color indexed="81"/>
            <rFont val="Tahoma"/>
            <family val="2"/>
          </rPr>
          <t>16,67%.</t>
        </r>
      </text>
    </comment>
    <comment ref="L26" authorId="1" shapeId="0" xr:uid="{00000000-0006-0000-0000-00003A000000}">
      <text>
        <r>
          <rPr>
            <sz val="8"/>
            <color indexed="81"/>
            <rFont val="Tahoma"/>
            <family val="2"/>
          </rPr>
          <t xml:space="preserve">Base de Cálculo: média do  Adicional Noturno, média das Horas Extras, média do Adicional de Horas Extras face o Repouso diário não COncedido e média do Adicional de Horas Extras face as Comissões.
Calculado com base no percentual do repouso.
</t>
        </r>
        <r>
          <rPr>
            <b/>
            <sz val="8"/>
            <color indexed="81"/>
            <rFont val="Tahoma"/>
            <family val="2"/>
          </rPr>
          <t>= Base de Cálculo * percentual do repouso</t>
        </r>
      </text>
    </comment>
    <comment ref="F27" authorId="1" shapeId="0" xr:uid="{00000000-0006-0000-0000-00003B000000}">
      <text>
        <r>
          <rPr>
            <sz val="8"/>
            <color indexed="81"/>
            <rFont val="Tahoma"/>
            <family val="2"/>
          </rPr>
          <t>Digite a quantidade de domingos / feriados por mês.
A média mensal utilizada corresponde a 4 domingos e 1 feriado.</t>
        </r>
      </text>
    </comment>
    <comment ref="H27" authorId="0" shapeId="0" xr:uid="{00000000-0006-0000-0000-00003C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27" authorId="1" shapeId="0" xr:uid="{00000000-0006-0000-0000-00003D000000}">
      <text>
        <r>
          <rPr>
            <sz val="8"/>
            <color indexed="81"/>
            <rFont val="Tahoma"/>
            <family val="2"/>
          </rPr>
          <t xml:space="preserve">Base de Cálculo: Salário, Comissão e Periculosidade / Insalubridade.
Calculadode forma proporcional ao nº de dias de domingos e feriados.
</t>
        </r>
        <r>
          <rPr>
            <b/>
            <sz val="8"/>
            <color indexed="81"/>
            <rFont val="Tahoma"/>
            <family val="2"/>
          </rPr>
          <t>= Base de Cálculo /30 * nº domingos/feriados * nº de meses.</t>
        </r>
      </text>
    </comment>
    <comment ref="F28" authorId="1" shapeId="0" xr:uid="{00000000-0006-0000-0000-00003E000000}">
      <text>
        <r>
          <rPr>
            <sz val="8"/>
            <color indexed="81"/>
            <rFont val="Tahoma"/>
            <family val="2"/>
          </rPr>
          <t>Digite o salário devido.</t>
        </r>
      </text>
    </comment>
    <comment ref="H28" authorId="1" shapeId="0" xr:uid="{00000000-0006-0000-0000-00003F000000}">
      <text>
        <r>
          <rPr>
            <sz val="8"/>
            <color indexed="81"/>
            <rFont val="Tahoma"/>
            <family val="2"/>
          </rPr>
          <t>Digite o salário pago.</t>
        </r>
      </text>
    </comment>
    <comment ref="J28" authorId="0" shapeId="0" xr:uid="{00000000-0006-0000-0000-000040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28" authorId="1" shapeId="0" xr:uid="{00000000-0006-0000-0000-000041000000}">
      <text>
        <r>
          <rPr>
            <sz val="8"/>
            <color indexed="81"/>
            <rFont val="Tahoma"/>
            <family val="2"/>
          </rPr>
          <t xml:space="preserve">Base de Cálculo: Salário Devido e Salário Pago.
Calculado a partir da diferença entre o salário devido e o salário pago, com base no nº de meses informado.
</t>
        </r>
        <r>
          <rPr>
            <b/>
            <sz val="8"/>
            <color indexed="81"/>
            <rFont val="Tahoma"/>
            <family val="2"/>
          </rPr>
          <t>= Base de Cálculo * nº de meses * 2.</t>
        </r>
      </text>
    </comment>
    <comment ref="F29" authorId="1" shapeId="0" xr:uid="{00000000-0006-0000-0000-000042000000}">
      <text>
        <r>
          <rPr>
            <sz val="8"/>
            <color indexed="81"/>
            <rFont val="Tahoma"/>
            <family val="2"/>
          </rPr>
          <t>Digite o salário por hora ou o salário por dia.</t>
        </r>
      </text>
    </comment>
    <comment ref="H29" authorId="1" shapeId="0" xr:uid="{00000000-0006-0000-0000-000043000000}">
      <text>
        <r>
          <rPr>
            <sz val="8"/>
            <color indexed="81"/>
            <rFont val="Tahoma"/>
            <family val="2"/>
          </rPr>
          <t>Digite o salário por hora ou o salário por dia.</t>
        </r>
      </text>
    </comment>
    <comment ref="J29" authorId="0" shapeId="0" xr:uid="{00000000-0006-0000-0000-000044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29" authorId="1" shapeId="0" xr:uid="{00000000-0006-0000-0000-000045000000}">
      <text>
        <r>
          <rPr>
            <sz val="8"/>
            <color indexed="81"/>
            <rFont val="Tahoma"/>
            <family val="2"/>
          </rPr>
          <t xml:space="preserve">Base de Cálculo: Salário por hora ou por dia.
Calculado a partir do salário por hora ou por dia, considerando um dia da trabalho por semana e o nº de meses estipulado.
</t>
        </r>
        <r>
          <rPr>
            <b/>
            <sz val="8"/>
            <color indexed="81"/>
            <rFont val="Tahoma"/>
            <family val="2"/>
          </rPr>
          <t>= Base de Cálculo por hora * 8 /(7*30) * nº de meses;
= Base de Cálculo por dia /(7*30) * nº de meses.</t>
        </r>
      </text>
    </comment>
    <comment ref="L30" authorId="1" shapeId="0" xr:uid="{00000000-0006-0000-0000-000046000000}">
      <text>
        <r>
          <rPr>
            <sz val="8"/>
            <color indexed="81"/>
            <rFont val="Tahoma"/>
            <family val="2"/>
          </rPr>
          <t>Digite o valor retido das comissões.</t>
        </r>
      </text>
    </comment>
    <comment ref="F31" authorId="1" shapeId="0" xr:uid="{00000000-0006-0000-0000-000047000000}">
      <text>
        <r>
          <rPr>
            <sz val="8"/>
            <color indexed="81"/>
            <rFont val="Tahoma"/>
            <family val="2"/>
          </rPr>
          <t>Digite a comissão devida.</t>
        </r>
      </text>
    </comment>
    <comment ref="H31" authorId="1" shapeId="0" xr:uid="{00000000-0006-0000-0000-000048000000}">
      <text>
        <r>
          <rPr>
            <sz val="8"/>
            <color indexed="81"/>
            <rFont val="Tahoma"/>
            <family val="2"/>
          </rPr>
          <t>Digite a comissão paga.</t>
        </r>
      </text>
    </comment>
    <comment ref="J31" authorId="0" shapeId="0" xr:uid="{00000000-0006-0000-0000-000049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31" authorId="1" shapeId="0" xr:uid="{00000000-0006-0000-0000-00004A000000}">
      <text>
        <r>
          <rPr>
            <sz val="8"/>
            <color indexed="81"/>
            <rFont val="Tahoma"/>
            <family val="2"/>
          </rPr>
          <t xml:space="preserve">Base de Cálculo: Comissão Devida e Comissão Paga.
Calculado a partir da diferença entre a comissão devida e a comissão paga, com base no nº de meses informado.
</t>
        </r>
        <r>
          <rPr>
            <b/>
            <sz val="8"/>
            <color indexed="81"/>
            <rFont val="Tahoma"/>
            <family val="2"/>
          </rPr>
          <t>= Base de Cálculo * nº de meses * 2.</t>
        </r>
      </text>
    </comment>
    <comment ref="H32" authorId="0" shapeId="0" xr:uid="{00000000-0006-0000-0000-00004B000000}">
      <text>
        <r>
          <rPr>
            <sz val="8"/>
            <color indexed="81"/>
            <rFont val="Tahoma"/>
            <family val="2"/>
          </rPr>
          <t xml:space="preserve">Para que esta parcela seja calculada acrescida de 40%, mantenha o valor dos 40% neste campo.
</t>
        </r>
        <r>
          <rPr>
            <u/>
            <sz val="8"/>
            <color indexed="81"/>
            <rFont val="Tahoma"/>
            <family val="2"/>
          </rPr>
          <t>Se desejar calcular apenas o FGTS da Rescisão sem os 40% (Ex. no caso de aposentadoria), apague este campo.</t>
        </r>
      </text>
    </comment>
    <comment ref="L32" authorId="1" shapeId="0" xr:uid="{00000000-0006-0000-0000-00004C000000}">
      <text>
        <r>
          <rPr>
            <sz val="8"/>
            <color indexed="81"/>
            <rFont val="Tahoma"/>
            <family val="2"/>
          </rPr>
          <t xml:space="preserve">Base de cálculo: 13º Salário Integral, Periculosidade / Insalubridade, Adicional Noturno, Horas Extras, Adicional de Horas Extras face ao repouso diário não concedido, Adicional de Horas Extras face as Comissões e Repouso Semanal Remunerado, Dobras dos Domingos/Feriados, Diferença Salarial em Dobro, Repouso Semanal Remunerado para Horista ou Diarista, Comissão Retida e Diferença de Comissão.
</t>
        </r>
        <r>
          <rPr>
            <b/>
            <sz val="8"/>
            <color indexed="81"/>
            <rFont val="Tahoma"/>
            <family val="2"/>
          </rPr>
          <t>= Base de Cálculo * 8% * 1,40</t>
        </r>
      </text>
    </comment>
    <comment ref="H33" authorId="0" shapeId="0" xr:uid="{00000000-0006-0000-0000-00004D000000}">
      <text>
        <r>
          <rPr>
            <sz val="8"/>
            <color indexed="81"/>
            <rFont val="Tahoma"/>
            <family val="2"/>
          </rPr>
          <t>Digite a quantidade de meses entre a despedida da gestante e o parto. O período relativo a estabilidade da gestante (5 meses) está previsto na fórmula.</t>
        </r>
      </text>
    </comment>
    <comment ref="L33" authorId="1" shapeId="0" xr:uid="{00000000-0006-0000-0000-00004E000000}">
      <text>
        <r>
          <rPr>
            <sz val="8"/>
            <color indexed="81"/>
            <rFont val="Tahoma"/>
            <family val="2"/>
          </rPr>
          <t xml:space="preserve">Base de cálculo: Salário, Comissão, Periculosidade / Insalubridade, média das Horas Extras, média do Adicional de Horas Extras face ao repouso diário não concedido, média do Adicional de Horas Extras face as Comissões e média do Repouso Semanal Remunerado.
Calculada com base no tempo entre a despedida e o parto, acrescido dos 5 meses de estabilidade.
</t>
        </r>
        <r>
          <rPr>
            <b/>
            <sz val="8"/>
            <color indexed="81"/>
            <rFont val="Tahoma"/>
            <family val="2"/>
          </rPr>
          <t>= Base de Cálculo * (nº de meses entre a despedida e o parto + 5)</t>
        </r>
      </text>
    </comment>
    <comment ref="L34" authorId="1" shapeId="0" xr:uid="{00000000-0006-0000-0000-00004F000000}">
      <text>
        <r>
          <rPr>
            <sz val="8"/>
            <color indexed="81"/>
            <rFont val="Tahoma"/>
            <family val="2"/>
          </rPr>
          <t xml:space="preserve">Base de cálculo: Salário, Comissão, Periculosidade / Insalubridade, média das Horas Extras, média do Adicional de Horas Extras face ao repouso diário não concedido, média do Adicional de Horas Extras face as Comissões e média do Repouso Semanal Remunerado.
Calculada com base nos 120 dias, conforme a legislação.
Esta parcela abrange as trabalhadoras que não são protegidas pela estabilidade da gestante.
</t>
        </r>
        <r>
          <rPr>
            <b/>
            <sz val="8"/>
            <color indexed="81"/>
            <rFont val="Tahoma"/>
            <family val="2"/>
          </rPr>
          <t>= Base de Cálculo / 30 * 120</t>
        </r>
      </text>
    </comment>
    <comment ref="F35" authorId="1" shapeId="0" xr:uid="{00000000-0006-0000-0000-000050000000}">
      <text>
        <r>
          <rPr>
            <sz val="8"/>
            <color indexed="81"/>
            <rFont val="Tahoma"/>
            <family val="2"/>
          </rPr>
          <t>Digite o nº de vales transportes por mês.</t>
        </r>
      </text>
    </comment>
    <comment ref="H35" authorId="1" shapeId="0" xr:uid="{00000000-0006-0000-0000-000051000000}">
      <text>
        <r>
          <rPr>
            <sz val="8"/>
            <color indexed="81"/>
            <rFont val="Tahoma"/>
            <family val="2"/>
          </rPr>
          <t>Digite o valor unitário da passagem.</t>
        </r>
      </text>
    </comment>
    <comment ref="J35" authorId="0" shapeId="0" xr:uid="{00000000-0006-0000-0000-000052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35" authorId="1" shapeId="0" xr:uid="{00000000-0006-0000-0000-000053000000}">
      <text>
        <r>
          <rPr>
            <sz val="8"/>
            <color indexed="81"/>
            <rFont val="Tahoma"/>
            <family val="2"/>
          </rPr>
          <t xml:space="preserve">Base de cálculo: valor unitário da passagem, nº de vales por mês e o nº e meses.
</t>
        </r>
        <r>
          <rPr>
            <b/>
            <sz val="8"/>
            <color indexed="81"/>
            <rFont val="Tahoma"/>
            <family val="2"/>
          </rPr>
          <t>= nº de vales por mês * valor unitário da passagem * nº de meses</t>
        </r>
      </text>
    </comment>
    <comment ref="F36" authorId="1" shapeId="0" xr:uid="{00000000-0006-0000-0000-000054000000}">
      <text>
        <r>
          <rPr>
            <sz val="8"/>
            <color indexed="81"/>
            <rFont val="Tahoma"/>
            <family val="2"/>
          </rPr>
          <t>Digite o nº de dependentes.
É necessário a devida comprovação.</t>
        </r>
      </text>
    </comment>
    <comment ref="J36" authorId="0" shapeId="0" xr:uid="{00000000-0006-0000-0000-000055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
Para um período inferior ao do vínculo empregatício digite o nº de meses desejados.</t>
        </r>
      </text>
    </comment>
    <comment ref="L36" authorId="1" shapeId="0" xr:uid="{00000000-0006-0000-0000-000056000000}">
      <text>
        <r>
          <rPr>
            <sz val="8"/>
            <color indexed="81"/>
            <rFont val="Tahoma"/>
            <family val="2"/>
          </rPr>
          <t xml:space="preserve">Base de cálculo: valor do benefício, que é pesquisado na planilha DADOS, em relação ao Salário.
Calculada com base no valor unitário do benefício, no nº de dependentes e no nº de meses.
</t>
        </r>
        <r>
          <rPr>
            <b/>
            <sz val="8"/>
            <color indexed="81"/>
            <rFont val="Tahoma"/>
            <family val="2"/>
          </rPr>
          <t>= valor unitário do benefício * nº de dependentes * nº de meses</t>
        </r>
      </text>
    </comment>
    <comment ref="H37" authorId="1" shapeId="0" xr:uid="{00000000-0006-0000-0000-000057000000}">
      <text>
        <r>
          <rPr>
            <sz val="8"/>
            <color indexed="81"/>
            <rFont val="Tahoma"/>
            <family val="2"/>
          </rPr>
          <t>Digite o nº de anos requeridos.
Somente tem direito quem ganha quantia inferior a dois salários mínimos.</t>
        </r>
      </text>
    </comment>
    <comment ref="L37" authorId="1" shapeId="0" xr:uid="{00000000-0006-0000-0000-000058000000}">
      <text>
        <r>
          <rPr>
            <sz val="8"/>
            <color indexed="81"/>
            <rFont val="Tahoma"/>
            <family val="2"/>
          </rPr>
          <t xml:space="preserve">Base de cálculo: Salário Mínimo legal vigente.
Calculada com base no salário mínimo e no nº períodos requeridos. O cálculo observa se o Salário do RTE é inferior a dois salários mínimos.
</t>
        </r>
        <r>
          <rPr>
            <b/>
            <sz val="8"/>
            <color indexed="81"/>
            <rFont val="Tahoma"/>
            <family val="2"/>
          </rPr>
          <t>= salário mínimo * nº de períodos</t>
        </r>
      </text>
    </comment>
    <comment ref="L38" authorId="1" shapeId="0" xr:uid="{00000000-0006-0000-0000-000059000000}">
      <text>
        <r>
          <rPr>
            <sz val="8"/>
            <color indexed="81"/>
            <rFont val="Tahoma"/>
            <family val="2"/>
          </rPr>
          <t>Esta parcela é livre. Digite no campo ao lado o título desejado e nesse campo digite a fórmula necessária.</t>
        </r>
      </text>
    </comment>
    <comment ref="L39" authorId="1" shapeId="0" xr:uid="{00000000-0006-0000-0000-00005A000000}">
      <text>
        <r>
          <rPr>
            <sz val="8"/>
            <color indexed="81"/>
            <rFont val="Tahoma"/>
            <family val="2"/>
          </rPr>
          <t>Esta parcela é livre. Digite no campo ao lado o título desejado e nesse campo digite a fórmula necessária.</t>
        </r>
      </text>
    </comment>
    <comment ref="L40" authorId="1" shapeId="0" xr:uid="{00000000-0006-0000-0000-00005B000000}">
      <text>
        <r>
          <rPr>
            <sz val="8"/>
            <color indexed="81"/>
            <rFont val="Tahoma"/>
            <family val="2"/>
          </rPr>
          <t>Esta parcela é livre. Digite no campo ao lado o título desejado e nesse campo digite a fórmula necessária.</t>
        </r>
      </text>
    </comment>
    <comment ref="L41" authorId="1" shapeId="0" xr:uid="{00000000-0006-0000-0000-00005C000000}">
      <text>
        <r>
          <rPr>
            <sz val="8"/>
            <color indexed="81"/>
            <rFont val="Tahoma"/>
            <family val="2"/>
          </rPr>
          <t>Digite o valor pago para a devida compensação.</t>
        </r>
      </text>
    </comment>
    <comment ref="G58" authorId="1" shapeId="0" xr:uid="{00000000-0006-0000-0000-00005D000000}">
      <text>
        <r>
          <rPr>
            <sz val="8"/>
            <color indexed="81"/>
            <rFont val="Tahoma"/>
            <family val="2"/>
          </rPr>
          <t xml:space="preserve">O nº de cotas é calculado automaticamente a partir das datas de admissão e afastamento.
</t>
        </r>
        <r>
          <rPr>
            <b/>
            <sz val="8"/>
            <color indexed="81"/>
            <rFont val="Tahoma"/>
            <family val="2"/>
          </rPr>
          <t>3 cotas</t>
        </r>
        <r>
          <rPr>
            <sz val="8"/>
            <color indexed="81"/>
            <rFont val="Tahoma"/>
            <family val="2"/>
          </rPr>
          <t xml:space="preserve">: vínculo de 6 a 11 meses;
</t>
        </r>
        <r>
          <rPr>
            <b/>
            <sz val="8"/>
            <color indexed="81"/>
            <rFont val="Tahoma"/>
            <family val="2"/>
          </rPr>
          <t>4 cotas:</t>
        </r>
        <r>
          <rPr>
            <sz val="8"/>
            <color indexed="81"/>
            <rFont val="Tahoma"/>
            <family val="2"/>
          </rPr>
          <t xml:space="preserve"> vínculo de 12 a 23 meses;
</t>
        </r>
        <r>
          <rPr>
            <b/>
            <sz val="8"/>
            <color indexed="81"/>
            <rFont val="Tahoma"/>
            <family val="2"/>
          </rPr>
          <t>5 cotas:</t>
        </r>
        <r>
          <rPr>
            <sz val="8"/>
            <color indexed="81"/>
            <rFont val="Tahoma"/>
            <family val="2"/>
          </rPr>
          <t xml:space="preserve"> vínculo a partir de 24 meses.</t>
        </r>
      </text>
    </comment>
    <comment ref="K58" authorId="1" shapeId="0" xr:uid="{00000000-0006-0000-0000-00005E000000}">
      <text>
        <r>
          <rPr>
            <sz val="8"/>
            <color indexed="81"/>
            <rFont val="Tahoma"/>
            <family val="2"/>
          </rPr>
          <t>O valor da cotas é calculado automaticamente a partir das faixas do seguro desemprego listadas na planilha DADOS.</t>
        </r>
      </text>
    </comment>
    <comment ref="L58" authorId="1" shapeId="0" xr:uid="{00000000-0006-0000-0000-00005F000000}">
      <text>
        <r>
          <rPr>
            <sz val="8"/>
            <color indexed="81"/>
            <rFont val="Tahoma"/>
            <family val="2"/>
          </rPr>
          <t>Calculado com base no valor unitário da cota e no nº de cotas relativas ao vínculo laboral.</t>
        </r>
      </text>
    </comment>
    <comment ref="G59" authorId="0" shapeId="0" xr:uid="{00000000-0006-0000-0000-000060000000}">
      <text>
        <r>
          <rPr>
            <sz val="8"/>
            <color indexed="81"/>
            <rFont val="Tahoma"/>
            <family val="2"/>
          </rPr>
          <t>O período do vínculo empregatício é calculado automaticamente a partir das datas de admissão e afastamento.</t>
        </r>
      </text>
    </comment>
    <comment ref="K59" authorId="0" shapeId="0" xr:uid="{00000000-0006-0000-0000-000061000000}">
      <text>
        <r>
          <rPr>
            <sz val="8"/>
            <color indexed="81"/>
            <rFont val="Tahoma"/>
            <family val="2"/>
          </rPr>
          <t>Digite o valor já depositado na conta do FGTS do RTE para a devida compensação.</t>
        </r>
      </text>
    </comment>
    <comment ref="L59" authorId="1" shapeId="0" xr:uid="{00000000-0006-0000-0000-000062000000}">
      <text>
        <r>
          <rPr>
            <sz val="8"/>
            <color indexed="81"/>
            <rFont val="Tahoma"/>
            <family val="2"/>
          </rPr>
          <t xml:space="preserve">Base de cálculo: Salário e 13º Salário de todo o vínculo empregatício.
Calcula apenas o FGTS de todo o vínculo.
</t>
        </r>
        <r>
          <rPr>
            <b/>
            <sz val="8"/>
            <color indexed="81"/>
            <rFont val="Tahoma"/>
            <family val="2"/>
          </rPr>
          <t>= Base de Cálculo * 8% * nº de meses</t>
        </r>
      </text>
    </comment>
  </commentList>
</comments>
</file>

<file path=xl/sharedStrings.xml><?xml version="1.0" encoding="utf-8"?>
<sst xmlns="http://schemas.openxmlformats.org/spreadsheetml/2006/main" count="5227" uniqueCount="107">
  <si>
    <t>=</t>
  </si>
  <si>
    <t>R$</t>
  </si>
  <si>
    <t xml:space="preserve">( - ) VALOR PAGO </t>
  </si>
  <si>
    <t>/12</t>
  </si>
  <si>
    <t>Débito na data da despedida:</t>
  </si>
  <si>
    <t>meses</t>
  </si>
  <si>
    <t>períodos</t>
  </si>
  <si>
    <t>anos</t>
  </si>
  <si>
    <t xml:space="preserve">dias p/mês       </t>
  </si>
  <si>
    <t>nº meses</t>
  </si>
  <si>
    <t xml:space="preserve">ÍNDICE DE CORREÇÃO PARA </t>
  </si>
  <si>
    <t>CUSTAS</t>
  </si>
  <si>
    <t>Data</t>
  </si>
  <si>
    <t>Índice</t>
  </si>
  <si>
    <t>Moeda</t>
  </si>
  <si>
    <t>valor da passagem</t>
  </si>
  <si>
    <t>vales p/ mês</t>
  </si>
  <si>
    <t>percentual</t>
  </si>
  <si>
    <t xml:space="preserve"> </t>
  </si>
  <si>
    <t>período</t>
  </si>
  <si>
    <t xml:space="preserve">hs p/ mês </t>
  </si>
  <si>
    <t>jornada:</t>
  </si>
  <si>
    <t>13º Salário Proporcional</t>
  </si>
  <si>
    <t>Férias Proporcionais + 1/3</t>
  </si>
  <si>
    <t>Férias Simples + 1/3</t>
  </si>
  <si>
    <t>Férias em Dobro + 1/3</t>
  </si>
  <si>
    <t>Aviso Prévio Integrativo</t>
  </si>
  <si>
    <t>Horas Extras</t>
  </si>
  <si>
    <t>40% do F.G.T.S.</t>
  </si>
  <si>
    <t>% de adicional</t>
  </si>
  <si>
    <t>dias trab p/ mês</t>
  </si>
  <si>
    <t xml:space="preserve">TOTAL BRUTO DAS PARCELAS ATUALIZADO </t>
  </si>
  <si>
    <t>DÉBITO INSS</t>
  </si>
  <si>
    <t>DÉBITO IR</t>
  </si>
  <si>
    <t>Base de cálculo:</t>
  </si>
  <si>
    <t xml:space="preserve">TOTAL LÍQUIDO DAS PARCELAS ATUALIZADO </t>
  </si>
  <si>
    <t>Repouso Semanal Remunerado</t>
  </si>
  <si>
    <t>Dobras Domingos e Feriados</t>
  </si>
  <si>
    <t>Multa do §8º, art. 477 da CLT</t>
  </si>
  <si>
    <t>Vale Transporte</t>
  </si>
  <si>
    <t>Outros</t>
  </si>
  <si>
    <t>INICIAL:</t>
  </si>
  <si>
    <t>AFASTAMENTO:</t>
  </si>
  <si>
    <t>ADMISSÃO:</t>
  </si>
  <si>
    <t>13º Salário Integral dos anos =&gt;</t>
  </si>
  <si>
    <t>Adicional de Periculosidade</t>
  </si>
  <si>
    <t>Adicional de Insalubridade</t>
  </si>
  <si>
    <t>grau percentual</t>
  </si>
  <si>
    <t>Época</t>
  </si>
  <si>
    <t>Salário Mínimo</t>
  </si>
  <si>
    <t>Faixa</t>
  </si>
  <si>
    <t>Salário Família 1</t>
  </si>
  <si>
    <t>Salário Família 2</t>
  </si>
  <si>
    <t>Adicional Noturno</t>
  </si>
  <si>
    <t>%</t>
  </si>
  <si>
    <t>Adicional de Horas Extras face o repouso diário não concedido</t>
  </si>
  <si>
    <t>intervalo em horas p/ mês</t>
  </si>
  <si>
    <t>Adicional de Horas Extras face as comissões</t>
  </si>
  <si>
    <t>salário devido</t>
  </si>
  <si>
    <t>salário pago</t>
  </si>
  <si>
    <t>Diferença Salarial em dobro</t>
  </si>
  <si>
    <t>Repouso Semanal Remunerado para Horista ou Diarista</t>
  </si>
  <si>
    <t>salário por hora</t>
  </si>
  <si>
    <t>salário por dia</t>
  </si>
  <si>
    <t>Salário Família</t>
  </si>
  <si>
    <t>nº dependentes</t>
  </si>
  <si>
    <t>Indenização Decorrente do não Cadastramento no PIS</t>
  </si>
  <si>
    <t>Comissão Retida</t>
  </si>
  <si>
    <t>Diferença de Comissão</t>
  </si>
  <si>
    <t>comissão devida</t>
  </si>
  <si>
    <t>comissão paga</t>
  </si>
  <si>
    <t xml:space="preserve">TOTAL GERAL, ATUALIZADO ATÉ </t>
  </si>
  <si>
    <t>nº de cotas</t>
  </si>
  <si>
    <t>Seguro Desemprego</t>
  </si>
  <si>
    <t>nº meses entre a despedida e o parto</t>
  </si>
  <si>
    <t>VALOR DE REFERÊNCIA PARA DEFINIÇÃO DO RITO PROCESSUAL</t>
  </si>
  <si>
    <t>Indenização Decorrente da Estabilidade da Gestante</t>
  </si>
  <si>
    <t>PROCESSO:</t>
  </si>
  <si>
    <t>Saldo de Salário em dobro</t>
  </si>
  <si>
    <t>Valor da Cota:</t>
  </si>
  <si>
    <t>nº anos</t>
  </si>
  <si>
    <t xml:space="preserve">nº dias         </t>
  </si>
  <si>
    <t>jornada semanal</t>
  </si>
  <si>
    <t>jornada diária</t>
  </si>
  <si>
    <t>F.G.T.S. da Rescisão + 40%</t>
  </si>
  <si>
    <t>DEFINIDO COMO:</t>
  </si>
  <si>
    <t>Diferença de FGTS + 40% das Parcelas Salariais Pedidas</t>
  </si>
  <si>
    <t>Valor já Depositado:</t>
  </si>
  <si>
    <t>Indenização do Seguro Desemprego</t>
  </si>
  <si>
    <t>Salário Maternidade (120 dias)</t>
  </si>
  <si>
    <t>SALÁRIO:</t>
  </si>
  <si>
    <t>REMUNERAÇÃO:</t>
  </si>
  <si>
    <t>COMISSÃO:</t>
  </si>
  <si>
    <t>% do adicional</t>
  </si>
  <si>
    <t xml:space="preserve">HE devidas p/ mês </t>
  </si>
  <si>
    <t>divisor mensal</t>
  </si>
  <si>
    <t xml:space="preserve">HE pagas p/ mês </t>
  </si>
  <si>
    <t xml:space="preserve">hs noturnas devidas p/ mês </t>
  </si>
  <si>
    <t xml:space="preserve">hs noturnas pagas p/ mês </t>
  </si>
  <si>
    <t>Cr$</t>
  </si>
  <si>
    <t>CR$</t>
  </si>
  <si>
    <t>X</t>
  </si>
  <si>
    <t>Pagamento de Quantia Equivalente ao FGTS</t>
  </si>
  <si>
    <t>Fórmula antiga =&gt;</t>
  </si>
  <si>
    <t>Dias Trab</t>
  </si>
  <si>
    <t>HEsemana</t>
  </si>
  <si>
    <t>Hemês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</si>
</sst>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&quot;R$&quot;#,##0.00_);\(&quot;R$&quot;#,##0.00\)"/>
    <numFmt numFmtId="166" formatCode="&quot;R$&quot;#,##0.00_);[Red]\(&quot;R$&quot;#,##0.00\)"/>
    <numFmt numFmtId="167" formatCode="_(&quot;R$&quot;* #,##0.00_);_(&quot;R$&quot;* \(#,##0.00\);_(&quot;R$&quot;* &quot;-&quot;??_);_(@_)"/>
    <numFmt numFmtId="168" formatCode="0.00000000000"/>
    <numFmt numFmtId="169" formatCode="&quot;R$&quot;#,##0.00"/>
    <numFmt numFmtId="170" formatCode="_(* #,##0_);_(* \(#,##0\);_(* &quot;-&quot;??_);_(@_)"/>
    <numFmt numFmtId="171" formatCode="0.000000000"/>
    <numFmt numFmtId="172" formatCode="0.0000"/>
    <numFmt numFmtId="173" formatCode="0.00000"/>
    <numFmt numFmtId="174" formatCode="0.0"/>
    <numFmt numFmtId="175" formatCode="[hh]:mm"/>
  </numFmts>
  <fonts count="3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</font>
    <font>
      <b/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0"/>
      <name val="Arial"/>
      <family val="2"/>
    </font>
    <font>
      <b/>
      <sz val="10"/>
      <color indexed="8"/>
      <name val="Arial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sz val="10"/>
      <color indexed="8"/>
      <name val="Arial"/>
    </font>
    <font>
      <b/>
      <sz val="10"/>
      <name val="Times New Roman"/>
      <family val="1"/>
    </font>
    <font>
      <sz val="10"/>
      <name val="Arial"/>
    </font>
    <font>
      <b/>
      <sz val="11"/>
      <color indexed="8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10"/>
      <name val="Times New Roman"/>
    </font>
    <font>
      <b/>
      <sz val="12"/>
      <name val="Times New Roman"/>
      <family val="1"/>
    </font>
    <font>
      <sz val="8"/>
      <color indexed="81"/>
      <name val="Tahoma"/>
    </font>
    <font>
      <u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9"/>
      <color indexed="8"/>
      <name val="Times New Roman"/>
      <family val="1"/>
    </font>
    <font>
      <sz val="10"/>
      <color indexed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9">
    <xf numFmtId="0" fontId="0" fillId="0" borderId="0" xfId="0"/>
    <xf numFmtId="164" fontId="2" fillId="0" borderId="0" xfId="3" applyFont="1" applyFill="1" applyBorder="1"/>
    <xf numFmtId="0" fontId="3" fillId="0" borderId="0" xfId="0" applyFont="1" applyFill="1" applyBorder="1"/>
    <xf numFmtId="14" fontId="3" fillId="0" borderId="0" xfId="0" applyNumberFormat="1" applyFont="1"/>
    <xf numFmtId="0" fontId="3" fillId="0" borderId="0" xfId="0" applyFont="1"/>
    <xf numFmtId="0" fontId="4" fillId="0" borderId="0" xfId="0" applyFont="1" applyFill="1" applyBorder="1"/>
    <xf numFmtId="14" fontId="4" fillId="0" borderId="0" xfId="0" applyNumberFormat="1" applyFont="1"/>
    <xf numFmtId="164" fontId="4" fillId="0" borderId="0" xfId="0" applyNumberFormat="1" applyFont="1"/>
    <xf numFmtId="164" fontId="4" fillId="0" borderId="0" xfId="3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8" fillId="0" borderId="0" xfId="0" applyFont="1" applyFill="1" applyBorder="1"/>
    <xf numFmtId="0" fontId="3" fillId="0" borderId="0" xfId="0" applyFont="1" applyFill="1" applyBorder="1" applyAlignment="1" applyProtection="1">
      <alignment horizontal="center"/>
      <protection locked="0"/>
    </xf>
    <xf numFmtId="0" fontId="7" fillId="2" borderId="1" xfId="0" applyFont="1" applyFill="1" applyBorder="1"/>
    <xf numFmtId="173" fontId="11" fillId="0" borderId="0" xfId="0" applyNumberFormat="1" applyFont="1" applyFill="1" applyBorder="1"/>
    <xf numFmtId="0" fontId="7" fillId="2" borderId="2" xfId="0" applyFont="1" applyFill="1" applyBorder="1"/>
    <xf numFmtId="164" fontId="2" fillId="0" borderId="0" xfId="3" applyNumberFormat="1" applyFont="1" applyFill="1" applyBorder="1" applyProtection="1">
      <protection locked="0"/>
    </xf>
    <xf numFmtId="170" fontId="2" fillId="0" borderId="0" xfId="3" applyNumberFormat="1" applyFont="1" applyFill="1" applyBorder="1" applyProtection="1">
      <protection locked="0"/>
    </xf>
    <xf numFmtId="0" fontId="12" fillId="2" borderId="3" xfId="0" applyFont="1" applyFill="1" applyBorder="1"/>
    <xf numFmtId="0" fontId="7" fillId="2" borderId="4" xfId="0" applyFont="1" applyFill="1" applyBorder="1"/>
    <xf numFmtId="0" fontId="7" fillId="2" borderId="3" xfId="0" applyFont="1" applyFill="1" applyBorder="1"/>
    <xf numFmtId="165" fontId="13" fillId="2" borderId="2" xfId="0" applyNumberFormat="1" applyFont="1" applyFill="1" applyBorder="1" applyAlignment="1">
      <alignment horizontal="left"/>
    </xf>
    <xf numFmtId="0" fontId="7" fillId="2" borderId="5" xfId="0" applyFont="1" applyFill="1" applyBorder="1"/>
    <xf numFmtId="0" fontId="15" fillId="2" borderId="6" xfId="0" applyFont="1" applyFill="1" applyBorder="1"/>
    <xf numFmtId="0" fontId="15" fillId="2" borderId="6" xfId="0" applyFont="1" applyFill="1" applyBorder="1" applyProtection="1"/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14" fontId="16" fillId="0" borderId="0" xfId="0" applyNumberFormat="1" applyFont="1" applyFill="1" applyBorder="1" applyAlignment="1" applyProtection="1">
      <alignment horizontal="center"/>
      <protection locked="0"/>
    </xf>
    <xf numFmtId="0" fontId="16" fillId="0" borderId="0" xfId="0" applyFont="1" applyFill="1" applyBorder="1" applyAlignment="1">
      <alignment horizontal="center"/>
    </xf>
    <xf numFmtId="0" fontId="17" fillId="0" borderId="0" xfId="0" applyFont="1"/>
    <xf numFmtId="0" fontId="17" fillId="0" borderId="0" xfId="0" applyFont="1" applyFill="1"/>
    <xf numFmtId="0" fontId="16" fillId="0" borderId="0" xfId="0" applyFont="1" applyFill="1"/>
    <xf numFmtId="0" fontId="16" fillId="0" borderId="1" xfId="0" applyFont="1" applyFill="1" applyBorder="1"/>
    <xf numFmtId="0" fontId="16" fillId="0" borderId="2" xfId="0" applyFont="1" applyFill="1" applyBorder="1"/>
    <xf numFmtId="9" fontId="16" fillId="0" borderId="0" xfId="0" applyNumberFormat="1" applyFont="1" applyFill="1" applyAlignment="1">
      <alignment horizontal="center"/>
    </xf>
    <xf numFmtId="0" fontId="6" fillId="0" borderId="7" xfId="0" applyFont="1" applyFill="1" applyBorder="1"/>
    <xf numFmtId="0" fontId="6" fillId="0" borderId="8" xfId="0" applyFont="1" applyFill="1" applyBorder="1" applyAlignment="1">
      <alignment horizontal="right"/>
    </xf>
    <xf numFmtId="0" fontId="8" fillId="0" borderId="8" xfId="0" applyFont="1" applyFill="1" applyBorder="1"/>
    <xf numFmtId="0" fontId="16" fillId="0" borderId="8" xfId="0" applyFont="1" applyFill="1" applyBorder="1" applyAlignment="1">
      <alignment horizontal="center"/>
    </xf>
    <xf numFmtId="0" fontId="7" fillId="3" borderId="8" xfId="0" applyFont="1" applyFill="1" applyBorder="1"/>
    <xf numFmtId="0" fontId="12" fillId="2" borderId="6" xfId="0" applyFont="1" applyFill="1" applyBorder="1"/>
    <xf numFmtId="0" fontId="7" fillId="2" borderId="6" xfId="0" applyFont="1" applyFill="1" applyBorder="1" applyAlignment="1" applyProtection="1">
      <alignment horizontal="right"/>
      <protection locked="0"/>
    </xf>
    <xf numFmtId="2" fontId="7" fillId="2" borderId="2" xfId="0" applyNumberFormat="1" applyFont="1" applyFill="1" applyBorder="1" applyAlignment="1" applyProtection="1">
      <alignment horizontal="right"/>
      <protection locked="0"/>
    </xf>
    <xf numFmtId="0" fontId="6" fillId="3" borderId="3" xfId="0" applyFont="1" applyFill="1" applyBorder="1" applyAlignment="1">
      <alignment horizontal="center"/>
    </xf>
    <xf numFmtId="0" fontId="13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164" fontId="16" fillId="0" borderId="0" xfId="0" applyNumberFormat="1" applyFont="1" applyFill="1"/>
    <xf numFmtId="0" fontId="13" fillId="0" borderId="0" xfId="0" applyFont="1" applyAlignment="1">
      <alignment horizontal="right"/>
    </xf>
    <xf numFmtId="164" fontId="13" fillId="0" borderId="0" xfId="0" applyNumberFormat="1" applyFont="1"/>
    <xf numFmtId="0" fontId="7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3" borderId="7" xfId="0" applyFont="1" applyFill="1" applyBorder="1"/>
    <xf numFmtId="0" fontId="16" fillId="0" borderId="0" xfId="0" applyFont="1" applyFill="1" applyBorder="1"/>
    <xf numFmtId="164" fontId="16" fillId="0" borderId="9" xfId="0" applyNumberFormat="1" applyFont="1" applyBorder="1" applyAlignment="1">
      <alignment horizontal="centerContinuous"/>
    </xf>
    <xf numFmtId="0" fontId="13" fillId="0" borderId="2" xfId="0" applyFont="1" applyFill="1" applyBorder="1" applyAlignment="1">
      <alignment horizontal="right"/>
    </xf>
    <xf numFmtId="0" fontId="8" fillId="0" borderId="2" xfId="0" applyFont="1" applyBorder="1"/>
    <xf numFmtId="164" fontId="16" fillId="0" borderId="0" xfId="3" applyFont="1" applyFill="1" applyBorder="1" applyAlignment="1">
      <alignment horizontal="center"/>
    </xf>
    <xf numFmtId="14" fontId="13" fillId="0" borderId="10" xfId="0" applyNumberFormat="1" applyFont="1" applyFill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right"/>
    </xf>
    <xf numFmtId="0" fontId="20" fillId="3" borderId="9" xfId="0" applyFont="1" applyFill="1" applyBorder="1" applyAlignment="1">
      <alignment horizontal="center"/>
    </xf>
    <xf numFmtId="164" fontId="16" fillId="0" borderId="9" xfId="0" applyNumberFormat="1" applyFont="1" applyBorder="1" applyAlignment="1">
      <alignment horizontal="centerContinuous" vertical="justify"/>
    </xf>
    <xf numFmtId="1" fontId="16" fillId="0" borderId="2" xfId="0" applyNumberFormat="1" applyFont="1" applyFill="1" applyBorder="1" applyAlignment="1">
      <alignment horizontal="centerContinuous" vertical="justify"/>
    </xf>
    <xf numFmtId="14" fontId="13" fillId="0" borderId="10" xfId="0" applyNumberFormat="1" applyFont="1" applyFill="1" applyBorder="1" applyAlignment="1">
      <alignment horizontal="left"/>
    </xf>
    <xf numFmtId="164" fontId="16" fillId="2" borderId="1" xfId="0" applyNumberFormat="1" applyFont="1" applyFill="1" applyBorder="1" applyAlignment="1">
      <alignment horizontal="centerContinuous" vertical="justify"/>
    </xf>
    <xf numFmtId="164" fontId="16" fillId="0" borderId="9" xfId="0" applyNumberFormat="1" applyFont="1" applyBorder="1" applyAlignment="1">
      <alignment horizontal="left" vertical="top"/>
    </xf>
    <xf numFmtId="0" fontId="8" fillId="0" borderId="0" xfId="0" applyFont="1" applyProtection="1">
      <protection locked="0"/>
    </xf>
    <xf numFmtId="0" fontId="7" fillId="2" borderId="5" xfId="0" applyFont="1" applyFill="1" applyBorder="1" applyProtection="1">
      <protection locked="0"/>
    </xf>
    <xf numFmtId="0" fontId="10" fillId="2" borderId="6" xfId="0" applyFont="1" applyFill="1" applyBorder="1" applyProtection="1">
      <protection locked="0"/>
    </xf>
    <xf numFmtId="165" fontId="13" fillId="2" borderId="2" xfId="0" applyNumberFormat="1" applyFont="1" applyFill="1" applyBorder="1" applyAlignment="1" applyProtection="1">
      <alignment horizontal="left"/>
      <protection locked="0"/>
    </xf>
    <xf numFmtId="165" fontId="13" fillId="2" borderId="10" xfId="0" applyNumberFormat="1" applyFont="1" applyFill="1" applyBorder="1" applyAlignment="1" applyProtection="1">
      <alignment horizontal="left"/>
      <protection locked="0"/>
    </xf>
    <xf numFmtId="165" fontId="19" fillId="2" borderId="2" xfId="0" applyNumberFormat="1" applyFont="1" applyFill="1" applyBorder="1" applyAlignment="1" applyProtection="1">
      <alignment horizontal="left" vertical="justify"/>
      <protection locked="0"/>
    </xf>
    <xf numFmtId="0" fontId="8" fillId="0" borderId="0" xfId="0" applyFont="1" applyProtection="1">
      <protection hidden="1"/>
    </xf>
    <xf numFmtId="167" fontId="9" fillId="2" borderId="9" xfId="1" applyFont="1" applyFill="1" applyBorder="1" applyAlignment="1" applyProtection="1">
      <alignment horizontal="right"/>
      <protection locked="0" hidden="1"/>
    </xf>
    <xf numFmtId="164" fontId="7" fillId="2" borderId="13" xfId="0" applyNumberFormat="1" applyFont="1" applyFill="1" applyBorder="1" applyAlignment="1" applyProtection="1">
      <alignment horizontal="right"/>
      <protection locked="0" hidden="1"/>
    </xf>
    <xf numFmtId="164" fontId="7" fillId="2" borderId="13" xfId="0" applyNumberFormat="1" applyFont="1" applyFill="1" applyBorder="1" applyAlignment="1" applyProtection="1">
      <alignment horizontal="right" vertical="center"/>
      <protection locked="0" hidden="1"/>
    </xf>
    <xf numFmtId="164" fontId="7" fillId="2" borderId="14" xfId="0" applyNumberFormat="1" applyFont="1" applyFill="1" applyBorder="1" applyAlignment="1" applyProtection="1">
      <alignment horizontal="right"/>
      <protection locked="0" hidden="1"/>
    </xf>
    <xf numFmtId="164" fontId="7" fillId="2" borderId="15" xfId="0" applyNumberFormat="1" applyFont="1" applyFill="1" applyBorder="1" applyAlignment="1" applyProtection="1">
      <alignment horizontal="right"/>
      <protection locked="0" hidden="1"/>
    </xf>
    <xf numFmtId="164" fontId="7" fillId="2" borderId="13" xfId="0" applyNumberFormat="1" applyFont="1" applyFill="1" applyBorder="1" applyAlignment="1" applyProtection="1">
      <alignment vertical="center"/>
      <protection locked="0" hidden="1"/>
    </xf>
    <xf numFmtId="164" fontId="7" fillId="2" borderId="16" xfId="0" applyNumberFormat="1" applyFont="1" applyFill="1" applyBorder="1" applyAlignment="1" applyProtection="1">
      <alignment horizontal="right"/>
      <protection locked="0" hidden="1"/>
    </xf>
    <xf numFmtId="4" fontId="16" fillId="0" borderId="17" xfId="0" applyNumberFormat="1" applyFont="1" applyFill="1" applyBorder="1" applyAlignment="1" applyProtection="1">
      <alignment horizontal="right"/>
      <protection locked="0" hidden="1"/>
    </xf>
    <xf numFmtId="4" fontId="16" fillId="0" borderId="0" xfId="0" applyNumberFormat="1" applyFont="1" applyFill="1" applyBorder="1" applyAlignment="1" applyProtection="1">
      <alignment horizontal="right"/>
      <protection locked="0" hidden="1"/>
    </xf>
    <xf numFmtId="171" fontId="16" fillId="0" borderId="0" xfId="0" applyNumberFormat="1" applyFont="1" applyFill="1" applyProtection="1">
      <protection locked="0" hidden="1"/>
    </xf>
    <xf numFmtId="169" fontId="16" fillId="0" borderId="0" xfId="0" applyNumberFormat="1" applyFont="1" applyFill="1" applyProtection="1">
      <protection hidden="1"/>
    </xf>
    <xf numFmtId="167" fontId="18" fillId="3" borderId="18" xfId="1" applyFont="1" applyFill="1" applyBorder="1" applyProtection="1">
      <protection locked="0" hidden="1"/>
    </xf>
    <xf numFmtId="167" fontId="16" fillId="0" borderId="0" xfId="1" applyFont="1" applyProtection="1">
      <protection hidden="1"/>
    </xf>
    <xf numFmtId="164" fontId="16" fillId="0" borderId="0" xfId="3" applyFont="1" applyFill="1" applyProtection="1">
      <protection locked="0" hidden="1"/>
    </xf>
    <xf numFmtId="169" fontId="17" fillId="0" borderId="0" xfId="0" applyNumberFormat="1" applyFont="1" applyFill="1" applyProtection="1">
      <protection hidden="1"/>
    </xf>
    <xf numFmtId="167" fontId="16" fillId="0" borderId="9" xfId="1" applyFont="1" applyFill="1" applyBorder="1" applyProtection="1">
      <protection locked="0" hidden="1"/>
    </xf>
    <xf numFmtId="167" fontId="16" fillId="0" borderId="0" xfId="1" applyFont="1" applyFill="1" applyBorder="1" applyProtection="1">
      <protection hidden="1"/>
    </xf>
    <xf numFmtId="1" fontId="16" fillId="0" borderId="19" xfId="0" applyNumberFormat="1" applyFont="1" applyFill="1" applyBorder="1" applyProtection="1">
      <protection locked="0" hidden="1"/>
    </xf>
    <xf numFmtId="174" fontId="16" fillId="0" borderId="19" xfId="0" applyNumberFormat="1" applyFont="1" applyFill="1" applyBorder="1" applyProtection="1">
      <protection locked="0" hidden="1"/>
    </xf>
    <xf numFmtId="2" fontId="16" fillId="0" borderId="2" xfId="0" applyNumberFormat="1" applyFont="1" applyFill="1" applyBorder="1" applyProtection="1">
      <protection locked="0" hidden="1"/>
    </xf>
    <xf numFmtId="164" fontId="16" fillId="0" borderId="9" xfId="0" applyNumberFormat="1" applyFont="1" applyBorder="1" applyAlignment="1" applyProtection="1">
      <alignment horizontal="centerContinuous"/>
      <protection locked="0" hidden="1"/>
    </xf>
    <xf numFmtId="0" fontId="7" fillId="2" borderId="19" xfId="0" applyFont="1" applyFill="1" applyBorder="1" applyAlignment="1" applyProtection="1">
      <alignment horizontal="right"/>
      <protection locked="0" hidden="1"/>
    </xf>
    <xf numFmtId="2" fontId="7" fillId="2" borderId="19" xfId="0" applyNumberFormat="1" applyFont="1" applyFill="1" applyBorder="1" applyAlignment="1" applyProtection="1">
      <alignment horizontal="right"/>
      <protection locked="0" hidden="1"/>
    </xf>
    <xf numFmtId="174" fontId="7" fillId="2" borderId="19" xfId="0" applyNumberFormat="1" applyFont="1" applyFill="1" applyBorder="1" applyAlignment="1" applyProtection="1">
      <alignment horizontal="right"/>
      <protection locked="0" hidden="1"/>
    </xf>
    <xf numFmtId="2" fontId="7" fillId="2" borderId="19" xfId="0" applyNumberFormat="1" applyFont="1" applyFill="1" applyBorder="1" applyAlignment="1" applyProtection="1">
      <alignment horizontal="right" vertical="center"/>
      <protection locked="0" hidden="1"/>
    </xf>
    <xf numFmtId="1" fontId="7" fillId="2" borderId="19" xfId="2" applyNumberFormat="1" applyFont="1" applyFill="1" applyBorder="1" applyAlignment="1" applyProtection="1">
      <alignment horizontal="right"/>
      <protection locked="0" hidden="1"/>
    </xf>
    <xf numFmtId="174" fontId="7" fillId="2" borderId="19" xfId="0" applyNumberFormat="1" applyFont="1" applyFill="1" applyBorder="1" applyAlignment="1" applyProtection="1">
      <alignment horizontal="right" vertical="center"/>
      <protection locked="0" hidden="1"/>
    </xf>
    <xf numFmtId="2" fontId="7" fillId="2" borderId="20" xfId="0" applyNumberFormat="1" applyFont="1" applyFill="1" applyBorder="1" applyAlignment="1" applyProtection="1">
      <alignment horizontal="right"/>
      <protection locked="0" hidden="1"/>
    </xf>
    <xf numFmtId="0" fontId="7" fillId="2" borderId="21" xfId="0" applyFont="1" applyFill="1" applyBorder="1" applyAlignment="1" applyProtection="1">
      <alignment horizontal="right" vertical="center"/>
      <protection locked="0" hidden="1"/>
    </xf>
    <xf numFmtId="1" fontId="7" fillId="2" borderId="19" xfId="0" applyNumberFormat="1" applyFont="1" applyFill="1" applyBorder="1" applyAlignment="1" applyProtection="1">
      <alignment horizontal="right"/>
      <protection locked="0" hidden="1"/>
    </xf>
    <xf numFmtId="174" fontId="7" fillId="2" borderId="19" xfId="2" applyNumberFormat="1" applyFont="1" applyFill="1" applyBorder="1" applyAlignment="1" applyProtection="1">
      <alignment horizontal="right"/>
      <protection locked="0" hidden="1"/>
    </xf>
    <xf numFmtId="0" fontId="7" fillId="2" borderId="4" xfId="0" applyFont="1" applyFill="1" applyBorder="1" applyProtection="1"/>
    <xf numFmtId="0" fontId="7" fillId="2" borderId="22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alignment horizontal="centerContinuous"/>
    </xf>
    <xf numFmtId="1" fontId="10" fillId="2" borderId="2" xfId="0" applyNumberFormat="1" applyFont="1" applyFill="1" applyBorder="1" applyAlignment="1" applyProtection="1">
      <alignment horizontal="left"/>
    </xf>
    <xf numFmtId="0" fontId="15" fillId="2" borderId="3" xfId="0" applyFont="1" applyFill="1" applyBorder="1" applyProtection="1"/>
    <xf numFmtId="0" fontId="15" fillId="2" borderId="2" xfId="0" applyFont="1" applyFill="1" applyBorder="1" applyProtection="1"/>
    <xf numFmtId="166" fontId="30" fillId="2" borderId="2" xfId="0" applyNumberFormat="1" applyFont="1" applyFill="1" applyBorder="1" applyAlignment="1" applyProtection="1">
      <alignment horizontal="left"/>
    </xf>
    <xf numFmtId="165" fontId="13" fillId="2" borderId="2" xfId="0" applyNumberFormat="1" applyFont="1" applyFill="1" applyBorder="1" applyAlignment="1" applyProtection="1">
      <alignment horizontal="left"/>
    </xf>
    <xf numFmtId="0" fontId="10" fillId="2" borderId="2" xfId="0" applyFont="1" applyFill="1" applyBorder="1" applyAlignment="1" applyProtection="1">
      <alignment horizontal="right"/>
    </xf>
    <xf numFmtId="1" fontId="7" fillId="2" borderId="2" xfId="0" applyNumberFormat="1" applyFont="1" applyFill="1" applyBorder="1" applyAlignment="1" applyProtection="1">
      <alignment horizontal="left"/>
    </xf>
    <xf numFmtId="166" fontId="14" fillId="2" borderId="2" xfId="0" applyNumberFormat="1" applyFont="1" applyFill="1" applyBorder="1" applyAlignment="1" applyProtection="1">
      <alignment horizontal="left"/>
    </xf>
    <xf numFmtId="0" fontId="7" fillId="2" borderId="2" xfId="0" applyFont="1" applyFill="1" applyBorder="1" applyProtection="1"/>
    <xf numFmtId="14" fontId="7" fillId="2" borderId="6" xfId="0" applyNumberFormat="1" applyFont="1" applyFill="1" applyBorder="1" applyAlignment="1" applyProtection="1">
      <alignment horizontal="centerContinuous"/>
    </xf>
    <xf numFmtId="0" fontId="7" fillId="2" borderId="2" xfId="0" applyFont="1" applyFill="1" applyBorder="1" applyAlignment="1" applyProtection="1">
      <alignment horizontal="right"/>
    </xf>
    <xf numFmtId="4" fontId="7" fillId="2" borderId="3" xfId="0" applyNumberFormat="1" applyFont="1" applyFill="1" applyBorder="1" applyAlignment="1" applyProtection="1">
      <alignment horizontal="center"/>
    </xf>
    <xf numFmtId="0" fontId="12" fillId="2" borderId="2" xfId="0" applyFont="1" applyFill="1" applyBorder="1" applyProtection="1"/>
    <xf numFmtId="0" fontId="12" fillId="2" borderId="6" xfId="0" applyFont="1" applyFill="1" applyBorder="1" applyProtection="1"/>
    <xf numFmtId="165" fontId="13" fillId="2" borderId="2" xfId="0" applyNumberFormat="1" applyFont="1" applyFill="1" applyBorder="1" applyAlignment="1" applyProtection="1">
      <alignment horizontal="left" vertical="center"/>
    </xf>
    <xf numFmtId="2" fontId="7" fillId="2" borderId="19" xfId="0" applyNumberFormat="1" applyFont="1" applyFill="1" applyBorder="1" applyAlignment="1" applyProtection="1">
      <alignment vertical="center"/>
      <protection locked="0" hidden="1"/>
    </xf>
    <xf numFmtId="2" fontId="7" fillId="2" borderId="21" xfId="0" applyNumberFormat="1" applyFont="1" applyFill="1" applyBorder="1" applyAlignment="1" applyProtection="1">
      <alignment vertical="center"/>
      <protection locked="0" hidden="1"/>
    </xf>
    <xf numFmtId="175" fontId="7" fillId="2" borderId="0" xfId="0" applyNumberFormat="1" applyFont="1" applyFill="1" applyBorder="1" applyAlignment="1" applyProtection="1">
      <alignment horizontal="center"/>
      <protection locked="0" hidden="1"/>
    </xf>
    <xf numFmtId="0" fontId="10" fillId="2" borderId="23" xfId="0" applyFont="1" applyFill="1" applyBorder="1" applyAlignment="1" applyProtection="1">
      <alignment horizontal="right"/>
    </xf>
    <xf numFmtId="0" fontId="10" fillId="2" borderId="10" xfId="0" applyFont="1" applyFill="1" applyBorder="1" applyAlignment="1" applyProtection="1">
      <alignment vertical="center"/>
    </xf>
    <xf numFmtId="0" fontId="10" fillId="2" borderId="24" xfId="0" applyFont="1" applyFill="1" applyBorder="1" applyAlignment="1" applyProtection="1">
      <alignment horizontal="center" vertical="justify"/>
    </xf>
    <xf numFmtId="1" fontId="7" fillId="2" borderId="10" xfId="0" applyNumberFormat="1" applyFont="1" applyFill="1" applyBorder="1" applyAlignment="1" applyProtection="1">
      <alignment horizontal="left"/>
    </xf>
    <xf numFmtId="172" fontId="10" fillId="2" borderId="10" xfId="2" applyNumberFormat="1" applyFont="1" applyFill="1" applyBorder="1" applyAlignment="1" applyProtection="1">
      <alignment horizontal="left"/>
    </xf>
    <xf numFmtId="0" fontId="10" fillId="2" borderId="10" xfId="0" applyFont="1" applyFill="1" applyBorder="1" applyProtection="1"/>
    <xf numFmtId="165" fontId="19" fillId="2" borderId="24" xfId="0" applyNumberFormat="1" applyFont="1" applyFill="1" applyBorder="1" applyAlignment="1" applyProtection="1">
      <alignment horizontal="center" vertical="justify"/>
    </xf>
    <xf numFmtId="165" fontId="19" fillId="2" borderId="10" xfId="0" applyNumberFormat="1" applyFont="1" applyFill="1" applyBorder="1" applyAlignment="1" applyProtection="1">
      <alignment horizontal="center" vertical="justify"/>
    </xf>
    <xf numFmtId="165" fontId="13" fillId="2" borderId="10" xfId="0" applyNumberFormat="1" applyFont="1" applyFill="1" applyBorder="1" applyAlignment="1" applyProtection="1">
      <alignment horizontal="left"/>
    </xf>
    <xf numFmtId="0" fontId="10" fillId="2" borderId="25" xfId="0" applyFont="1" applyFill="1" applyBorder="1" applyProtection="1"/>
    <xf numFmtId="0" fontId="10" fillId="2" borderId="10" xfId="0" applyFont="1" applyFill="1" applyBorder="1" applyAlignment="1" applyProtection="1">
      <alignment horizontal="center" vertical="justify"/>
    </xf>
    <xf numFmtId="164" fontId="10" fillId="2" borderId="10" xfId="0" applyNumberFormat="1" applyFont="1" applyFill="1" applyBorder="1" applyAlignment="1" applyProtection="1">
      <alignment vertical="center"/>
    </xf>
    <xf numFmtId="165" fontId="19" fillId="2" borderId="2" xfId="0" applyNumberFormat="1" applyFont="1" applyFill="1" applyBorder="1" applyAlignment="1" applyProtection="1">
      <alignment horizontal="left"/>
    </xf>
    <xf numFmtId="165" fontId="13" fillId="2" borderId="10" xfId="0" applyNumberFormat="1" applyFont="1" applyFill="1" applyBorder="1" applyAlignment="1" applyProtection="1">
      <alignment horizontal="center" vertical="justify"/>
    </xf>
    <xf numFmtId="0" fontId="29" fillId="2" borderId="10" xfId="0" applyFont="1" applyFill="1" applyBorder="1" applyProtection="1"/>
    <xf numFmtId="164" fontId="16" fillId="2" borderId="2" xfId="0" applyNumberFormat="1" applyFont="1" applyFill="1" applyBorder="1" applyAlignment="1" applyProtection="1">
      <alignment horizontal="centerContinuous" vertical="justify"/>
    </xf>
    <xf numFmtId="174" fontId="7" fillId="2" borderId="6" xfId="0" applyNumberFormat="1" applyFont="1" applyFill="1" applyBorder="1" applyAlignment="1" applyProtection="1">
      <alignment horizontal="right"/>
    </xf>
    <xf numFmtId="165" fontId="13" fillId="2" borderId="6" xfId="0" applyNumberFormat="1" applyFont="1" applyFill="1" applyBorder="1" applyAlignment="1" applyProtection="1">
      <alignment horizontal="left"/>
    </xf>
    <xf numFmtId="165" fontId="13" fillId="2" borderId="3" xfId="0" applyNumberFormat="1" applyFont="1" applyFill="1" applyBorder="1" applyAlignment="1" applyProtection="1">
      <alignment horizontal="left"/>
    </xf>
    <xf numFmtId="174" fontId="7" fillId="2" borderId="2" xfId="0" applyNumberFormat="1" applyFont="1" applyFill="1" applyBorder="1" applyAlignment="1" applyProtection="1">
      <alignment horizontal="right"/>
    </xf>
    <xf numFmtId="174" fontId="7" fillId="2" borderId="19" xfId="0" applyNumberFormat="1" applyFont="1" applyFill="1" applyBorder="1" applyAlignment="1" applyProtection="1">
      <alignment horizontal="right"/>
    </xf>
    <xf numFmtId="0" fontId="7" fillId="2" borderId="6" xfId="0" applyFont="1" applyFill="1" applyBorder="1" applyAlignment="1" applyProtection="1">
      <alignment horizontal="right"/>
    </xf>
    <xf numFmtId="0" fontId="10" fillId="2" borderId="6" xfId="0" applyFont="1" applyFill="1" applyBorder="1" applyProtection="1"/>
    <xf numFmtId="0" fontId="12" fillId="2" borderId="6" xfId="0" applyFont="1" applyFill="1" applyBorder="1" applyAlignment="1" applyProtection="1">
      <alignment vertical="center"/>
    </xf>
    <xf numFmtId="164" fontId="16" fillId="2" borderId="13" xfId="0" applyNumberFormat="1" applyFont="1" applyFill="1" applyBorder="1" applyAlignment="1" applyProtection="1">
      <alignment horizontal="centerContinuous"/>
      <protection locked="0"/>
    </xf>
    <xf numFmtId="14" fontId="16" fillId="0" borderId="2" xfId="0" applyNumberFormat="1" applyFont="1" applyFill="1" applyBorder="1" applyAlignment="1">
      <alignment horizontal="center"/>
    </xf>
    <xf numFmtId="14" fontId="16" fillId="0" borderId="0" xfId="0" applyNumberFormat="1" applyFont="1" applyFill="1" applyAlignment="1" applyProtection="1">
      <alignment horizontal="center"/>
      <protection locked="0"/>
    </xf>
    <xf numFmtId="14" fontId="7" fillId="3" borderId="9" xfId="0" applyNumberFormat="1" applyFont="1" applyFill="1" applyBorder="1" applyAlignment="1" applyProtection="1">
      <alignment horizontal="center"/>
      <protection locked="0" hidden="1"/>
    </xf>
    <xf numFmtId="0" fontId="20" fillId="3" borderId="4" xfId="0" applyFont="1" applyFill="1" applyBorder="1" applyAlignment="1">
      <alignment horizontal="right"/>
    </xf>
    <xf numFmtId="0" fontId="20" fillId="2" borderId="2" xfId="0" applyNumberFormat="1" applyFont="1" applyFill="1" applyBorder="1" applyAlignment="1" applyProtection="1">
      <alignment horizontal="centerContinuous"/>
      <protection locked="0"/>
    </xf>
    <xf numFmtId="0" fontId="6" fillId="3" borderId="9" xfId="0" applyFont="1" applyFill="1" applyBorder="1" applyAlignment="1">
      <alignment horizontal="right"/>
    </xf>
    <xf numFmtId="14" fontId="7" fillId="2" borderId="13" xfId="0" applyNumberFormat="1" applyFont="1" applyFill="1" applyBorder="1" applyAlignment="1" applyProtection="1">
      <alignment horizontal="center"/>
      <protection locked="0"/>
    </xf>
    <xf numFmtId="0" fontId="6" fillId="3" borderId="26" xfId="0" applyFont="1" applyFill="1" applyBorder="1" applyAlignment="1">
      <alignment horizontal="right"/>
    </xf>
    <xf numFmtId="14" fontId="7" fillId="2" borderId="12" xfId="0" applyNumberFormat="1" applyFont="1" applyFill="1" applyBorder="1" applyAlignment="1" applyProtection="1">
      <alignment horizontal="center"/>
      <protection locked="0"/>
    </xf>
    <xf numFmtId="0" fontId="7" fillId="2" borderId="6" xfId="0" applyFont="1" applyFill="1" applyBorder="1" applyProtection="1"/>
    <xf numFmtId="0" fontId="7" fillId="2" borderId="6" xfId="0" applyFont="1" applyFill="1" applyBorder="1" applyAlignment="1" applyProtection="1">
      <alignment horizontal="left"/>
    </xf>
    <xf numFmtId="0" fontId="16" fillId="3" borderId="27" xfId="0" applyFont="1" applyFill="1" applyBorder="1" applyAlignment="1" applyProtection="1">
      <alignment horizontal="right"/>
      <protection locked="0"/>
    </xf>
    <xf numFmtId="0" fontId="16" fillId="3" borderId="14" xfId="0" applyFont="1" applyFill="1" applyBorder="1" applyAlignment="1" applyProtection="1">
      <alignment horizontal="right"/>
      <protection locked="0"/>
    </xf>
    <xf numFmtId="0" fontId="4" fillId="3" borderId="6" xfId="0" applyFont="1" applyFill="1" applyBorder="1"/>
    <xf numFmtId="0" fontId="16" fillId="3" borderId="9" xfId="0" applyFont="1" applyFill="1" applyBorder="1" applyAlignment="1">
      <alignment horizontal="right"/>
    </xf>
    <xf numFmtId="0" fontId="16" fillId="3" borderId="0" xfId="0" applyFont="1" applyFill="1" applyBorder="1" applyAlignment="1" applyProtection="1">
      <alignment horizontal="right"/>
      <protection locked="0"/>
    </xf>
    <xf numFmtId="0" fontId="16" fillId="3" borderId="3" xfId="0" applyFont="1" applyFill="1" applyBorder="1" applyAlignment="1">
      <alignment horizontal="right"/>
    </xf>
    <xf numFmtId="0" fontId="10" fillId="2" borderId="28" xfId="0" applyFont="1" applyFill="1" applyBorder="1" applyAlignment="1" applyProtection="1">
      <alignment horizontal="right"/>
    </xf>
    <xf numFmtId="174" fontId="7" fillId="2" borderId="29" xfId="0" applyNumberFormat="1" applyFont="1" applyFill="1" applyBorder="1" applyAlignment="1" applyProtection="1">
      <alignment horizontal="right"/>
      <protection locked="0" hidden="1"/>
    </xf>
    <xf numFmtId="165" fontId="13" fillId="2" borderId="30" xfId="0" applyNumberFormat="1" applyFont="1" applyFill="1" applyBorder="1" applyAlignment="1" applyProtection="1">
      <alignment horizontal="left"/>
    </xf>
    <xf numFmtId="164" fontId="16" fillId="2" borderId="31" xfId="0" applyNumberFormat="1" applyFont="1" applyFill="1" applyBorder="1" applyAlignment="1">
      <alignment horizontal="centerContinuous" vertical="justify"/>
    </xf>
    <xf numFmtId="164" fontId="16" fillId="2" borderId="6" xfId="0" applyNumberFormat="1" applyFont="1" applyFill="1" applyBorder="1" applyAlignment="1">
      <alignment horizontal="centerContinuous" vertical="justify"/>
    </xf>
    <xf numFmtId="2" fontId="7" fillId="2" borderId="6" xfId="0" applyNumberFormat="1" applyFont="1" applyFill="1" applyBorder="1" applyAlignment="1" applyProtection="1">
      <alignment horizontal="right" vertical="center"/>
      <protection locked="0"/>
    </xf>
    <xf numFmtId="2" fontId="7" fillId="2" borderId="20" xfId="0" applyNumberFormat="1" applyFont="1" applyFill="1" applyBorder="1" applyAlignment="1" applyProtection="1">
      <alignment horizontal="right" vertical="center"/>
      <protection locked="0" hidden="1"/>
    </xf>
    <xf numFmtId="165" fontId="29" fillId="2" borderId="25" xfId="0" applyNumberFormat="1" applyFont="1" applyFill="1" applyBorder="1" applyAlignment="1" applyProtection="1">
      <alignment horizontal="center" vertical="justify"/>
    </xf>
    <xf numFmtId="174" fontId="7" fillId="2" borderId="20" xfId="0" applyNumberFormat="1" applyFont="1" applyFill="1" applyBorder="1" applyAlignment="1" applyProtection="1">
      <alignment horizontal="right" vertical="center"/>
      <protection locked="0" hidden="1"/>
    </xf>
    <xf numFmtId="0" fontId="29" fillId="2" borderId="25" xfId="0" applyFont="1" applyFill="1" applyBorder="1" applyAlignment="1" applyProtection="1">
      <alignment vertical="center"/>
    </xf>
    <xf numFmtId="2" fontId="7" fillId="2" borderId="32" xfId="0" applyNumberFormat="1" applyFont="1" applyFill="1" applyBorder="1" applyAlignment="1" applyProtection="1">
      <alignment horizontal="right" vertical="center"/>
      <protection locked="0" hidden="1"/>
    </xf>
    <xf numFmtId="0" fontId="10" fillId="2" borderId="32" xfId="0" applyFont="1" applyFill="1" applyBorder="1" applyAlignment="1" applyProtection="1">
      <alignment vertical="center"/>
    </xf>
    <xf numFmtId="0" fontId="8" fillId="0" borderId="33" xfId="0" applyFont="1" applyBorder="1"/>
    <xf numFmtId="164" fontId="7" fillId="2" borderId="34" xfId="0" applyNumberFormat="1" applyFont="1" applyFill="1" applyBorder="1" applyAlignment="1" applyProtection="1">
      <alignment horizontal="right"/>
      <protection locked="0" hidden="1"/>
    </xf>
    <xf numFmtId="2" fontId="7" fillId="2" borderId="35" xfId="0" applyNumberFormat="1" applyFont="1" applyFill="1" applyBorder="1" applyAlignment="1" applyProtection="1">
      <alignment horizontal="right" vertical="center"/>
      <protection locked="0" hidden="1"/>
    </xf>
    <xf numFmtId="165" fontId="19" fillId="2" borderId="36" xfId="0" applyNumberFormat="1" applyFont="1" applyFill="1" applyBorder="1" applyAlignment="1" applyProtection="1">
      <alignment horizontal="center" vertical="justify"/>
    </xf>
    <xf numFmtId="165" fontId="19" fillId="2" borderId="37" xfId="0" applyNumberFormat="1" applyFont="1" applyFill="1" applyBorder="1" applyAlignment="1" applyProtection="1">
      <alignment horizontal="center" vertical="justify"/>
    </xf>
    <xf numFmtId="0" fontId="7" fillId="2" borderId="35" xfId="0" applyFont="1" applyFill="1" applyBorder="1" applyAlignment="1" applyProtection="1">
      <alignment horizontal="right" vertical="center"/>
      <protection locked="0" hidden="1"/>
    </xf>
    <xf numFmtId="164" fontId="7" fillId="2" borderId="38" xfId="0" applyNumberFormat="1" applyFont="1" applyFill="1" applyBorder="1" applyAlignment="1" applyProtection="1">
      <alignment horizontal="right" vertical="center"/>
      <protection locked="0" hidden="1"/>
    </xf>
    <xf numFmtId="0" fontId="8" fillId="0" borderId="0" xfId="0" applyFont="1" applyFill="1" applyProtection="1">
      <protection locked="0"/>
    </xf>
    <xf numFmtId="14" fontId="0" fillId="0" borderId="0" xfId="0" applyNumberFormat="1"/>
    <xf numFmtId="2" fontId="0" fillId="0" borderId="0" xfId="0" applyNumberFormat="1"/>
    <xf numFmtId="17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1" fontId="4" fillId="0" borderId="0" xfId="0" quotePrefix="1" applyNumberFormat="1" applyFont="1" applyAlignment="1">
      <alignment horizontal="center"/>
    </xf>
    <xf numFmtId="171" fontId="4" fillId="0" borderId="0" xfId="0" applyNumberFormat="1" applyFont="1"/>
    <xf numFmtId="14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7" fillId="2" borderId="19" xfId="0" applyNumberFormat="1" applyFont="1" applyFill="1" applyBorder="1" applyAlignment="1" applyProtection="1">
      <alignment vertical="center"/>
      <protection locked="0"/>
    </xf>
    <xf numFmtId="167" fontId="16" fillId="0" borderId="0" xfId="1" applyFont="1" applyProtection="1">
      <protection locked="0" hidden="1"/>
    </xf>
    <xf numFmtId="0" fontId="0" fillId="0" borderId="0" xfId="0" applyProtection="1">
      <protection locked="0"/>
    </xf>
    <xf numFmtId="14" fontId="0" fillId="0" borderId="0" xfId="0" applyNumberFormat="1" applyAlignment="1">
      <alignment horizontal="right"/>
    </xf>
    <xf numFmtId="0" fontId="1" fillId="0" borderId="0" xfId="0" applyFont="1"/>
    <xf numFmtId="14" fontId="0" fillId="0" borderId="0" xfId="0" applyNumberFormat="1" applyProtection="1">
      <protection locked="0"/>
    </xf>
    <xf numFmtId="164" fontId="0" fillId="0" borderId="0" xfId="3" applyFont="1"/>
    <xf numFmtId="164" fontId="0" fillId="0" borderId="0" xfId="3" applyFont="1" applyProtection="1">
      <protection locked="0"/>
    </xf>
    <xf numFmtId="171" fontId="0" fillId="0" borderId="0" xfId="0" applyNumberFormat="1" applyProtection="1">
      <protection locked="0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IU87"/>
  <sheetViews>
    <sheetView topLeftCell="C4" zoomScale="94" workbookViewId="0" xr3:uid="{AEA406A1-0E4B-5B11-9CD5-51D6E497D94C}">
      <selection activeCell="L49" sqref="L49"/>
    </sheetView>
  </sheetViews>
  <sheetFormatPr defaultColWidth="0" defaultRowHeight="12.75" zeroHeight="1" x14ac:dyDescent="0.15"/>
  <cols>
    <col min="1" max="1" width="0.94140625" style="190" hidden="1" customWidth="1"/>
    <col min="2" max="2" width="1.75" style="190" hidden="1" customWidth="1"/>
    <col min="3" max="3" width="21.3046875" style="11" customWidth="1"/>
    <col min="4" max="4" width="12.67578125" style="11" customWidth="1"/>
    <col min="5" max="6" width="8.62890625" style="11" customWidth="1"/>
    <col min="7" max="7" width="10.78515625" style="11" customWidth="1"/>
    <col min="8" max="8" width="12.67578125" style="11" customWidth="1"/>
    <col min="9" max="9" width="9.57421875" style="11" customWidth="1"/>
    <col min="10" max="10" width="7.68359375" style="11" customWidth="1"/>
    <col min="11" max="11" width="8.62890625" style="76" customWidth="1"/>
    <col min="12" max="12" width="13.88671875" style="11" customWidth="1"/>
    <col min="13" max="13" width="16.71875" style="4" hidden="1" customWidth="1"/>
    <col min="14" max="14" width="9.9765625" style="4" hidden="1" customWidth="1"/>
    <col min="15" max="15" width="9.16796875" style="4" hidden="1" customWidth="1"/>
    <col min="16" max="254" width="9.16796875" style="11" hidden="1" customWidth="1"/>
    <col min="255" max="255" width="6.60546875" style="11" hidden="1" customWidth="1"/>
    <col min="256" max="16384" width="1.48046875" style="11" hidden="1"/>
  </cols>
  <sheetData>
    <row r="1" spans="1:17" ht="2.25" hidden="1" customHeight="1" x14ac:dyDescent="0.15">
      <c r="A1" s="70"/>
      <c r="B1" s="70"/>
      <c r="C1" s="45" t="s">
        <v>18</v>
      </c>
      <c r="D1" s="46"/>
      <c r="E1" s="46"/>
      <c r="K1" s="11"/>
      <c r="L1" s="76"/>
      <c r="M1" s="11"/>
      <c r="P1" s="4"/>
    </row>
    <row r="2" spans="1:17" ht="2.25" hidden="1" customHeight="1" x14ac:dyDescent="0.15">
      <c r="A2" s="70"/>
      <c r="B2" s="70"/>
      <c r="C2" s="45"/>
      <c r="D2" s="47"/>
      <c r="E2" s="47"/>
      <c r="K2" s="11"/>
      <c r="L2" s="76"/>
      <c r="M2" s="11"/>
      <c r="P2" s="4"/>
    </row>
    <row r="3" spans="1:17" ht="2.25" hidden="1" customHeight="1" x14ac:dyDescent="0.15">
      <c r="A3" s="70"/>
      <c r="B3" s="70"/>
      <c r="C3" s="45"/>
      <c r="D3" s="48"/>
      <c r="E3" s="48"/>
      <c r="K3" s="11"/>
      <c r="L3" s="76"/>
      <c r="M3" s="11"/>
      <c r="P3" s="4"/>
    </row>
    <row r="4" spans="1:17" ht="14.25" x14ac:dyDescent="0.15">
      <c r="A4" s="70"/>
      <c r="B4" s="70"/>
      <c r="C4" s="45"/>
      <c r="D4" s="48"/>
      <c r="E4" s="48"/>
      <c r="J4" s="159"/>
      <c r="K4" s="168" t="s">
        <v>43</v>
      </c>
      <c r="L4" s="160"/>
      <c r="M4" s="11"/>
      <c r="P4" s="4"/>
    </row>
    <row r="5" spans="1:17" ht="17.25" customHeight="1" x14ac:dyDescent="0.15">
      <c r="A5" s="70"/>
      <c r="B5" s="70"/>
      <c r="C5" s="45"/>
      <c r="D5" s="45"/>
      <c r="E5" s="45"/>
      <c r="F5" s="45"/>
      <c r="J5" s="161"/>
      <c r="K5" s="169" t="s">
        <v>42</v>
      </c>
      <c r="L5" s="162"/>
      <c r="M5" s="11"/>
      <c r="P5" s="4"/>
    </row>
    <row r="6" spans="1:17" ht="13.5" x14ac:dyDescent="0.15">
      <c r="A6" s="70"/>
      <c r="B6" s="70"/>
      <c r="C6" s="157" t="s">
        <v>77</v>
      </c>
      <c r="D6" s="158"/>
      <c r="E6" s="153"/>
      <c r="F6" s="44"/>
      <c r="G6" s="63" t="s">
        <v>85</v>
      </c>
      <c r="H6" s="64" t="e">
        <f>IF(L61&gt;40*VLOOKUP(L6,DADOS!A:B,2),"01","47")</f>
        <v>#VALUE!</v>
      </c>
      <c r="I6" s="44"/>
      <c r="J6" s="44"/>
      <c r="K6" s="170" t="s">
        <v>41</v>
      </c>
      <c r="L6" s="156"/>
      <c r="M6" s="11"/>
      <c r="N6" s="2"/>
      <c r="O6" s="2"/>
      <c r="P6" s="4"/>
    </row>
    <row r="7" spans="1:17" ht="13.5" x14ac:dyDescent="0.15">
      <c r="A7" s="70"/>
      <c r="B7" s="70"/>
      <c r="C7" s="165" t="s">
        <v>90</v>
      </c>
      <c r="D7" s="77"/>
      <c r="E7" s="167"/>
      <c r="F7" s="167"/>
      <c r="G7" s="166" t="s">
        <v>92</v>
      </c>
      <c r="H7" s="77"/>
      <c r="I7" s="167"/>
      <c r="J7" s="167"/>
      <c r="K7" s="166" t="s">
        <v>91</v>
      </c>
      <c r="L7" s="77">
        <f>D7+H7</f>
        <v>0</v>
      </c>
      <c r="M7" s="11"/>
      <c r="N7" s="2"/>
      <c r="O7" s="2"/>
      <c r="P7" s="2"/>
      <c r="Q7" s="12"/>
    </row>
    <row r="8" spans="1:17" ht="14.25" customHeight="1" x14ac:dyDescent="0.15">
      <c r="A8" s="70" t="s">
        <v>101</v>
      </c>
      <c r="B8" s="70"/>
      <c r="C8" s="23" t="s">
        <v>26</v>
      </c>
      <c r="D8" s="163"/>
      <c r="E8" s="164"/>
      <c r="F8" s="120"/>
      <c r="G8" s="110"/>
      <c r="H8" s="110"/>
      <c r="I8" s="110"/>
      <c r="J8" s="110"/>
      <c r="K8" s="110"/>
      <c r="L8" s="80">
        <f>IF(A8="X",IF(AND(F18=0,F19=0),L7+D7/H23*((1+D21/100)*D23+(D20/100)*F20+(D21/100)*F24+(H7/H23*(D25/100))*H25)*(1+F26/100),IF(AND(F18&lt;&gt;0,F19&lt;&gt;0),"Periculosidade ou Insalubridade?",IF(AND(F18&lt;&gt;0,F19=0),L7+L18/F18+(D7+L18/F18)/H23*((1+D21/100)*D23+(D20/100)*F20+(D21/100)*F24+(H7/H23*(D25/100))*H25)*(1+F26/100),IF(AND(F18=0,F19&lt;&gt;0),L7+L19/F19+(D7+L19/F19)/H23*((1+D21/100)*D23+(D20/100)*F20+(D21/100)*F24+(H7/H23*(D25/100))*H25)*(1+F26/100),0)))),0)</f>
        <v>0</v>
      </c>
      <c r="M8" s="11"/>
      <c r="N8" s="13"/>
      <c r="O8" s="2"/>
      <c r="P8" s="4"/>
    </row>
    <row r="9" spans="1:17" ht="14.25" customHeight="1" x14ac:dyDescent="0.15">
      <c r="A9" s="70" t="s">
        <v>101</v>
      </c>
      <c r="B9" s="70"/>
      <c r="C9" s="14" t="s">
        <v>23</v>
      </c>
      <c r="D9" s="121"/>
      <c r="E9" s="121"/>
      <c r="F9" s="106" t="e">
        <f>IF(VALUE(CONCATENATE(LEFT(TEXT(L4,"dd/mm/aa"),5),RIGHT(TEXT(L5,"dd/mm/aa"),3)))&gt;L5,IF(L8&lt;&gt;0,IF(VALUE(RIGHT(TEXT(L5,"dd/mm/aa"),2))=0,ROUND(DAYS360(CONCATENATE(LEFT(TEXT(L4,"dd/mm/aa"),6),99),L5+1)/30,0)+1,ROUND(DAYS360(CONCATENATE(LEFT(TEXT(L4,"dd/mm/aa"),6),RIGHT(TEXT(L5,"dd/mm/aa"),2)-1),L5+1)/30,0)+1),IF(VALUE(RIGHT(TEXT(L5,"dd/mm/aa"),2))=0,ROUND(DAYS360(CONCATENATE(LEFT(TEXT(L4,"dd/mm/aa"),6),99),L5+1)/30,0),ROUND(DAYS360(CONCATENATE(LEFT(TEXT(L4,"dd/mm/aa"),6),RIGHT(TEXT(L5,"dd/mm/aa"),2)-1),L5+1)/30,0))),IF(L8&lt;&gt;0,ROUND(DAYS360(VALUE(CONCATENATE(LEFT(TEXT(L4,"dd/mm/aa"),6),RIGHT(TEXT(L5,"dd/mm/aa"),2))),L5+1)/30,0)+1,ROUND(DAYS360(VALUE(CONCATENATE(LEFT(TEXT(L4,"dd/mm/aa"),6),RIGHT(TEXT(L5,"dd/mm/aa"),2))),L5+1)/30,0)))</f>
        <v>#VALUE!</v>
      </c>
      <c r="G9" s="132" t="s">
        <v>3</v>
      </c>
      <c r="H9" s="111"/>
      <c r="I9" s="111"/>
      <c r="J9" s="111"/>
      <c r="K9" s="111"/>
      <c r="L9" s="78" t="e">
        <f>IF(A9="X",IF(AND(F18&lt;&gt;0,F19=0),(L7+L18/F18+(D7+L18/F18)/H23*((1+D21/100)*D23+(D20/100)*F20+(D21/100)*F24+(H7/H23*(D25/100))*H25)*(1+F26/100))/12*ROUND(F9,0)*4/3,IF(AND(F18=0,F19&lt;&gt;0),(L7+L19/F19+(D7+L19/F19)/H23*((1+D21/100)*D23+(D20/100)*F20+(D21/100)*F24+(H7/H23*(D25/100))*H25)*(1+F26/100))/12*ROUND(F9,0)*4/3,(L7+D7/H23*((1+D21/100)*D23+(D20/100)*F20+(D21/100)*F24+(H7/H23*(D25/100))*H25)*(1+F26/100))/12*ROUND(F9,0)*4/3)),0)</f>
        <v>#VALUE!</v>
      </c>
      <c r="M9" s="11"/>
      <c r="N9" s="13"/>
      <c r="O9" s="2"/>
      <c r="P9" s="4"/>
    </row>
    <row r="10" spans="1:17" ht="14.25" customHeight="1" x14ac:dyDescent="0.15">
      <c r="A10" s="70" t="s">
        <v>101</v>
      </c>
      <c r="B10" s="70"/>
      <c r="C10" s="14" t="s">
        <v>22</v>
      </c>
      <c r="D10" s="119"/>
      <c r="E10" s="119"/>
      <c r="F10" s="106">
        <f>IF(YEAR(L4)&lt;YEAR(L5),IF(L8&lt;&gt;0,ROUND(DAYS360(VALUE(CONCATENATE("1/1",RIGHT(TEXT(L5,"dd/mm/aa"),3))),L5+1)/30,0)+1,ROUND(DAYS360(VALUE(CONCATENATE("1/1",RIGHT(TEXT(L5,"dd/mm/aa"),3))),L5+1)/30,0)),IF(L8&lt;&gt;0,ROUND(DAYS360(L4,L5+1)/30,0)+1,ROUND(DAYS360(L4,L5+1)/30,0)))</f>
        <v>0</v>
      </c>
      <c r="G10" s="132" t="s">
        <v>3</v>
      </c>
      <c r="H10" s="111"/>
      <c r="I10" s="111"/>
      <c r="J10" s="111"/>
      <c r="K10" s="111"/>
      <c r="L10" s="78">
        <f>IF(A10="X",IF(AND(F18&lt;&gt;0,F19=0),(L7+L18/F18+(D7+L18/F18)/H23*((1+D21/100)*D23+(D20/100)*F20+(D21/100)*F24+(H7/H23*(D25/100))*H25)*(1+F26/100))/12*ROUND(F10,0),IF(AND(F18=0,F19&lt;&gt;0),(L7+L19/F19+(D7+L19/F19)/H23*((1+D21/100)*D23+(D20/100)*F20+(D21/100)*F24+(H7/H23*(D25/100))*H25)*(1+F26/100))/12*ROUND(F10,0),(L7+D7/H23*((1+D21/100)*D23+(D20/100)*F20+(D21/100)*F24+(H7/H23*(D25/100))*H25)*(1+F26/100))/12*ROUND(F10,0))),0)</f>
        <v>0</v>
      </c>
      <c r="M10" s="11"/>
      <c r="N10" s="13"/>
      <c r="O10" s="2"/>
      <c r="P10" s="4"/>
    </row>
    <row r="11" spans="1:17" ht="14.25" customHeight="1" x14ac:dyDescent="0.15">
      <c r="A11" s="70" t="s">
        <v>101</v>
      </c>
      <c r="B11" s="70"/>
      <c r="C11" s="108" t="s">
        <v>84</v>
      </c>
      <c r="D11" s="122"/>
      <c r="E11" s="122"/>
      <c r="F11" s="102">
        <v>40</v>
      </c>
      <c r="G11" s="133" t="s">
        <v>54</v>
      </c>
      <c r="H11" s="111"/>
      <c r="I11" s="111"/>
      <c r="J11" s="112"/>
      <c r="K11" s="112"/>
      <c r="L11" s="78">
        <f>IF(A11="X",(L8+L10+L13)*0.08*(1+F11/100),0)</f>
        <v>0</v>
      </c>
      <c r="M11" s="11"/>
      <c r="N11" s="13"/>
      <c r="O11" s="2"/>
      <c r="P11" s="4"/>
    </row>
    <row r="12" spans="1:17" ht="14.25" customHeight="1" x14ac:dyDescent="0.15">
      <c r="A12" s="70" t="s">
        <v>101</v>
      </c>
      <c r="B12" s="70"/>
      <c r="C12" s="14" t="s">
        <v>28</v>
      </c>
      <c r="D12" s="119"/>
      <c r="E12" s="119"/>
      <c r="F12" s="107">
        <f>(DAYS360(L4,L5)/30)</f>
        <v>0</v>
      </c>
      <c r="G12" s="133" t="s">
        <v>5</v>
      </c>
      <c r="H12" s="113"/>
      <c r="I12" s="113"/>
      <c r="J12" s="113"/>
      <c r="K12" s="113"/>
      <c r="L12" s="78">
        <f>IF(A12="X",IF(F12&lt;&gt;0,(L7*0.08*(F12+F12/12))*0.4,0),0)</f>
        <v>0</v>
      </c>
      <c r="M12" s="11"/>
      <c r="N12" s="13"/>
      <c r="O12" s="2"/>
      <c r="P12" s="4"/>
    </row>
    <row r="13" spans="1:17" ht="14.25" customHeight="1" x14ac:dyDescent="0.15">
      <c r="A13" s="70" t="s">
        <v>101</v>
      </c>
      <c r="B13" s="70"/>
      <c r="C13" s="14" t="s">
        <v>78</v>
      </c>
      <c r="D13" s="123"/>
      <c r="E13" s="123"/>
      <c r="F13" s="98">
        <f>DAYS360(VALUE(CONCATENATE(1,RIGHT(TEXT(L5,"dd/mm/aa"),6))),L5+1)</f>
        <v>-36000</v>
      </c>
      <c r="G13" s="134" t="s">
        <v>81</v>
      </c>
      <c r="H13" s="113"/>
      <c r="I13" s="113"/>
      <c r="J13" s="113"/>
      <c r="K13" s="113"/>
      <c r="L13" s="78">
        <f>IF(A13="X",(D7+H7)*F13/30*2,0)</f>
        <v>0</v>
      </c>
      <c r="M13" s="11"/>
      <c r="N13" s="13"/>
      <c r="O13" s="2"/>
      <c r="P13" s="4"/>
    </row>
    <row r="14" spans="1:17" ht="14.25" customHeight="1" x14ac:dyDescent="0.15">
      <c r="A14" s="70" t="s">
        <v>101</v>
      </c>
      <c r="B14" s="70"/>
      <c r="C14" s="14" t="s">
        <v>38</v>
      </c>
      <c r="D14" s="124"/>
      <c r="E14" s="124"/>
      <c r="F14" s="42"/>
      <c r="G14" s="72"/>
      <c r="H14" s="114"/>
      <c r="I14" s="114"/>
      <c r="J14" s="115"/>
      <c r="K14" s="115"/>
      <c r="L14" s="78">
        <f>IF(A14="X",(D7+H7),0)</f>
        <v>0</v>
      </c>
      <c r="M14" s="11"/>
      <c r="N14" s="13"/>
      <c r="O14" s="2"/>
      <c r="P14" s="4"/>
    </row>
    <row r="15" spans="1:17" ht="14.25" customHeight="1" x14ac:dyDescent="0.15">
      <c r="A15" s="70" t="s">
        <v>101</v>
      </c>
      <c r="B15" s="70"/>
      <c r="C15" s="14" t="s">
        <v>24</v>
      </c>
      <c r="D15" s="121"/>
      <c r="E15" s="121"/>
      <c r="F15" s="99">
        <v>1</v>
      </c>
      <c r="G15" s="134" t="s">
        <v>19</v>
      </c>
      <c r="H15" s="116"/>
      <c r="I15" s="116"/>
      <c r="J15" s="116"/>
      <c r="K15" s="116"/>
      <c r="L15" s="78">
        <f>IF(A15="X",IF(AND(F18&lt;&gt;0,F19=0),(L7+L18/F18+(D7+L18/F18)/H23*((1+D21/100)*D23+(D20/100)*F20+(D21/100)*F24+(H7/H23*(D25/100))*H25)*(1+F26/100))*4/3*F15,IF(AND(F18=0,F19&lt;&gt;0),(L7+L19/F19+(D7+L19/F19)/H23*((1+D21/100)*D23+(D20/100)*F20+(D21/100)*F24+(H7/H23*(D25/100))*H25)*(1+F26/100))*4/3*F15,(L7+D7/H23*((1+D21/100)*D23+(D20/100)*F20+(D21/100)*F24+(H7/H23*(D25/100))*H25)*(1+F26/100))*4/3*F15)),0)</f>
        <v>0</v>
      </c>
      <c r="M15" s="11"/>
      <c r="N15" s="15"/>
      <c r="O15" s="2"/>
      <c r="P15" s="4"/>
    </row>
    <row r="16" spans="1:17" ht="14.25" customHeight="1" x14ac:dyDescent="0.15">
      <c r="A16" s="70" t="s">
        <v>101</v>
      </c>
      <c r="B16" s="70"/>
      <c r="C16" s="23" t="s">
        <v>25</v>
      </c>
      <c r="D16" s="121"/>
      <c r="E16" s="121"/>
      <c r="F16" s="99">
        <v>0</v>
      </c>
      <c r="G16" s="134" t="s">
        <v>6</v>
      </c>
      <c r="H16" s="116"/>
      <c r="I16" s="116"/>
      <c r="J16" s="116"/>
      <c r="K16" s="116"/>
      <c r="L16" s="78">
        <f>IF(A16="X",IF(AND(F18&lt;&gt;0,F19=0),(L7+L18/F18+(D7+L18/F18)/H23*((1+D21/100)*D23+(D20/100)*F20+(D21/100)*F24+(H7/H23*(D25/100))*H25)*(1+F26/100))*4/3*F16*2,IF(AND(F18=0,F19&lt;&gt;0),(L7+L19/F19+(D7+L19/F19)/220*((1+D21/100)*D23+(D20/100)*F20+(D21/100)*F24+(H7/H23*(D25/100))*H25)*(1+F26/100))*4/3*F16*2,(L7+D7/H23*((1+D21/100)*D23+(D20/100)*F20+(D21/100)*F24+(H7/H23*(D25/100))*H25)*(1+F26/100))*4/3*F16*2)),0)</f>
        <v>0</v>
      </c>
      <c r="M16" s="11"/>
      <c r="N16" s="15"/>
      <c r="O16" s="2"/>
      <c r="P16" s="4"/>
    </row>
    <row r="17" spans="1:18" ht="14.25" customHeight="1" thickBot="1" x14ac:dyDescent="0.2">
      <c r="A17" s="70" t="s">
        <v>101</v>
      </c>
      <c r="B17" s="70"/>
      <c r="C17" s="14" t="s">
        <v>44</v>
      </c>
      <c r="D17" s="16"/>
      <c r="E17" s="109"/>
      <c r="F17" s="99">
        <v>0</v>
      </c>
      <c r="G17" s="134" t="s">
        <v>80</v>
      </c>
      <c r="H17" s="117"/>
      <c r="I17" s="117"/>
      <c r="J17" s="117"/>
      <c r="K17" s="117"/>
      <c r="L17" s="78">
        <f>IF(A17="X",IF(AND(F18&lt;&gt;0,F19=0),(L7+L18/F18+(D7+L18/F18)/H23*((1+D21/100)*D23+(D20/100)*F20+(D21/100)*F24+(H7/H23*(D25/100))*H25)*(1+F26/100))*F17,IF(AND(F18=0,F19&lt;&gt;0),(L7+L19/F19+(D7+L19/F19)/H23*((1+D21/100)*D23+(D20/100)*F20+(D21/100)*F24+(H7/H23*(D25/100))*H25)*(1+F26/100))*F17,(L7+D7/220*((1+D21/100)*D23+(D20/100)*F20+(D21/100)*F24+(H7/H23*(D25/100))*H25)*(1+F26/100))*F17)),0)</f>
        <v>0</v>
      </c>
      <c r="M17" s="11"/>
      <c r="N17" s="17"/>
      <c r="O17" s="5"/>
      <c r="P17" s="4"/>
    </row>
    <row r="18" spans="1:18" ht="14.25" customHeight="1" x14ac:dyDescent="0.15">
      <c r="A18" s="70" t="s">
        <v>101</v>
      </c>
      <c r="B18" s="70"/>
      <c r="C18" s="14" t="s">
        <v>45</v>
      </c>
      <c r="D18" s="41"/>
      <c r="E18" s="41"/>
      <c r="F18" s="99">
        <v>0</v>
      </c>
      <c r="G18" s="134" t="s">
        <v>9</v>
      </c>
      <c r="H18" s="118"/>
      <c r="I18" s="118"/>
      <c r="J18" s="115"/>
      <c r="K18" s="115"/>
      <c r="L18" s="78">
        <f>IF(A18="X",(D7+H7)*30%*F18,0)</f>
        <v>0</v>
      </c>
      <c r="M18" s="11"/>
      <c r="N18" s="18"/>
      <c r="O18" s="5"/>
      <c r="P18" s="10"/>
    </row>
    <row r="19" spans="1:18" ht="24" customHeight="1" x14ac:dyDescent="0.15">
      <c r="A19" s="70" t="s">
        <v>101</v>
      </c>
      <c r="B19" s="70"/>
      <c r="C19" s="53" t="s">
        <v>46</v>
      </c>
      <c r="D19" s="152"/>
      <c r="E19" s="152"/>
      <c r="F19" s="101">
        <v>0</v>
      </c>
      <c r="G19" s="130" t="s">
        <v>9</v>
      </c>
      <c r="H19" s="101">
        <v>40</v>
      </c>
      <c r="I19" s="136" t="s">
        <v>47</v>
      </c>
      <c r="J19" s="125"/>
      <c r="K19" s="125"/>
      <c r="L19" s="79" t="e">
        <f>IF(A19="X",VLOOKUP(L5,DADOS!A:B,2)*H19/100*F19,0)</f>
        <v>#N/A</v>
      </c>
      <c r="M19" s="11"/>
      <c r="N19" s="8" t="s">
        <v>103</v>
      </c>
      <c r="O19" s="1"/>
      <c r="P19" s="7">
        <f>IF(A21="X",IF(F21=25,IF((E22-D22-(G22-F22))*24*6&gt;J21,((E22-D22-(G22-F22))*24*6-J21)/6*F21,0),IF(F21=21,IF((E22-D22-(G22-F22))*24*5&gt;J21,((E22-D22-(G22-F22))*24*5-J21)/5*F21,0),IF(F21=30,IF((E22-D22-(G22-F22))*24*6&gt;J21,((E22-D22-(G22-F22))*24*6-J21)/6*25+((E22-D22-(G22-F22))*24-H21)*5,0),0))),0)</f>
        <v>0</v>
      </c>
      <c r="Q19" s="204"/>
      <c r="R19" s="204"/>
    </row>
    <row r="20" spans="1:18" ht="23.25" customHeight="1" x14ac:dyDescent="0.15">
      <c r="A20" s="70" t="s">
        <v>101</v>
      </c>
      <c r="B20" s="70"/>
      <c r="C20" s="14" t="s">
        <v>53</v>
      </c>
      <c r="D20" s="126">
        <v>20</v>
      </c>
      <c r="E20" s="130" t="s">
        <v>54</v>
      </c>
      <c r="F20" s="99">
        <v>0</v>
      </c>
      <c r="G20" s="178" t="s">
        <v>97</v>
      </c>
      <c r="H20" s="99">
        <v>0</v>
      </c>
      <c r="I20" s="178" t="s">
        <v>98</v>
      </c>
      <c r="J20" s="100">
        <f>DAYS360(L4,L5+1)/30</f>
        <v>3.3333333333333333E-2</v>
      </c>
      <c r="K20" s="137" t="s">
        <v>9</v>
      </c>
      <c r="L20" s="78">
        <f>IF(A20="X",IF(AND(F18&lt;&gt;0,F19=0),(D7+L18/F18)/H23*D20/100*(F20-H20)*J20,IF(AND(F18=0,F19&lt;&gt;0),(D7+L19/F19)/H23*D20/100*(F20-H20)*J20,D7/H23*D20/100*(F20-H20)*J20)),0)</f>
        <v>0</v>
      </c>
      <c r="M20" s="11"/>
      <c r="N20" s="8" t="s">
        <v>104</v>
      </c>
      <c r="O20" s="7"/>
      <c r="P20" s="7" t="s">
        <v>105</v>
      </c>
      <c r="Q20" s="7" t="s">
        <v>106</v>
      </c>
      <c r="R20" s="7"/>
    </row>
    <row r="21" spans="1:18" ht="23.25" customHeight="1" x14ac:dyDescent="0.15">
      <c r="A21" s="70" t="s">
        <v>101</v>
      </c>
      <c r="B21" s="70"/>
      <c r="C21" s="52" t="s">
        <v>27</v>
      </c>
      <c r="D21" s="127">
        <v>50</v>
      </c>
      <c r="E21" s="131" t="s">
        <v>93</v>
      </c>
      <c r="F21" s="105">
        <v>25</v>
      </c>
      <c r="G21" s="135" t="s">
        <v>30</v>
      </c>
      <c r="H21" s="105">
        <v>8</v>
      </c>
      <c r="I21" s="135" t="s">
        <v>83</v>
      </c>
      <c r="J21" s="105">
        <v>44</v>
      </c>
      <c r="K21" s="135" t="s">
        <v>82</v>
      </c>
      <c r="L21" s="183"/>
      <c r="M21" s="11"/>
      <c r="N21" s="7">
        <v>21</v>
      </c>
      <c r="O21" s="7">
        <f>(E22-D22-(G22-F22))*24</f>
        <v>0</v>
      </c>
      <c r="P21" s="7">
        <f>IF(O21&gt;$H$21,IF($H$21*5&gt;$J$21,(O21-$H$21)*5+$H$21*5-$J$21,(O21-$H$21)*5),IF(O21*5&gt;$J$21,O21*5-$J$21,0))</f>
        <v>0</v>
      </c>
      <c r="Q21" s="7">
        <f>P21/5*N21</f>
        <v>0</v>
      </c>
      <c r="R21" s="7"/>
    </row>
    <row r="22" spans="1:18" ht="16.5" customHeight="1" x14ac:dyDescent="0.15">
      <c r="A22" s="70" t="s">
        <v>101</v>
      </c>
      <c r="B22" s="70"/>
      <c r="C22" s="171" t="s">
        <v>21</v>
      </c>
      <c r="D22" s="128">
        <v>0</v>
      </c>
      <c r="E22" s="128">
        <v>0</v>
      </c>
      <c r="F22" s="128">
        <v>0</v>
      </c>
      <c r="G22" s="128">
        <v>0</v>
      </c>
      <c r="H22" s="172">
        <f>DAYS360(L4,L5+1)/30</f>
        <v>3.3333333333333333E-2</v>
      </c>
      <c r="I22" s="173" t="s">
        <v>9</v>
      </c>
      <c r="J22" s="172"/>
      <c r="K22" s="187"/>
      <c r="L22" s="189">
        <f>IF(A21="X",IF(AND(F18&lt;&gt;0,F19=0),(D7+L18/F18)/H23*(1+D21/100)*(D23-F23)*H22,IF(AND(F18=0,F19&lt;&gt;0),(D7+L19/F19)/H23*(1+D21/100)*(D23-F23)*H22,D7/H23*(1+D21/100)*(D23-F23)*H22)),0)</f>
        <v>0</v>
      </c>
      <c r="M22" s="11"/>
      <c r="N22" s="7">
        <v>25</v>
      </c>
      <c r="O22" s="7">
        <f>(E22-D22-(G22-F22))*24</f>
        <v>0</v>
      </c>
      <c r="P22" s="7">
        <f>IF(O22&gt;$H$21,IF($H$21*6&gt;$J$21,(O22-$H$21)*6+$H$21*6-$J$21,(O22-$H$21)*6),IF(O22*6&gt;$J$21,O22*6-$J$21,0))</f>
        <v>0</v>
      </c>
      <c r="Q22" s="7">
        <f>P22/6*N22</f>
        <v>0</v>
      </c>
      <c r="R22" s="7"/>
    </row>
    <row r="23" spans="1:18" ht="23.25" customHeight="1" x14ac:dyDescent="0.15">
      <c r="A23" s="70" t="s">
        <v>101</v>
      </c>
      <c r="B23" s="70"/>
      <c r="C23" s="129"/>
      <c r="D23" s="185">
        <f>IF(A21="X",IF(F21=25,Q22,IF(F21=21,Q21,IF(AND(F21&gt;25,F21&lt;=30),Q23,0))),0)</f>
        <v>0</v>
      </c>
      <c r="E23" s="186" t="s">
        <v>94</v>
      </c>
      <c r="F23" s="185">
        <v>0</v>
      </c>
      <c r="G23" s="186" t="s">
        <v>96</v>
      </c>
      <c r="H23" s="188">
        <f>IF(H21=6,180,220)</f>
        <v>220</v>
      </c>
      <c r="I23" s="186" t="s">
        <v>95</v>
      </c>
      <c r="J23" s="181"/>
      <c r="K23" s="182"/>
      <c r="L23" s="184"/>
      <c r="M23" s="11"/>
      <c r="N23" s="7">
        <f>IF(AND(F21&gt;25,F21&lt;=30),F21,0)</f>
        <v>0</v>
      </c>
      <c r="O23" s="7">
        <f>(E22-D22-(G22-F22))*24</f>
        <v>0</v>
      </c>
      <c r="P23" s="7">
        <f>IF(O23&gt;$H$21,IF($H$21*6&gt;$J$21,(O23-$H$21)*6+$H$21*6-$J$21,(O23-$H$21)*6),IF(O23*6&gt;$J$21,O23*6-$J$21,0))</f>
        <v>0</v>
      </c>
      <c r="Q23" s="7">
        <f>IF(AND(N23&gt;25,N23&lt;=30),IF(O23&gt;$H$21,P23/6*25+(O23-$H$21)*(N23-25),P23/6*25),0)</f>
        <v>0</v>
      </c>
      <c r="R23" s="7"/>
    </row>
    <row r="24" spans="1:18" ht="25.5" customHeight="1" x14ac:dyDescent="0.15">
      <c r="A24" s="70" t="s">
        <v>101</v>
      </c>
      <c r="B24" s="70"/>
      <c r="C24" s="174" t="s">
        <v>55</v>
      </c>
      <c r="D24" s="175"/>
      <c r="E24" s="176"/>
      <c r="F24" s="177">
        <v>0</v>
      </c>
      <c r="G24" s="178" t="s">
        <v>56</v>
      </c>
      <c r="H24" s="179">
        <f>DAYS360(L4,L5+1)/30</f>
        <v>3.3333333333333333E-2</v>
      </c>
      <c r="I24" s="180" t="s">
        <v>9</v>
      </c>
      <c r="J24" s="163"/>
      <c r="K24" s="163"/>
      <c r="L24" s="81">
        <f>IF(A24="X",IF(AND(F18&lt;&gt;0,F19=0),(D7+L18/F18)/H23*(D21/100)*F24*H24,IF(AND(F18=0,F19&lt;&gt;0),(D7+L19/F19)/H23*(D21/100)*F24*H24,D7/H23*(D21/100)*F24*H24)),0)</f>
        <v>0</v>
      </c>
      <c r="M24" s="11"/>
      <c r="N24" s="6"/>
      <c r="O24" s="7"/>
      <c r="P24" s="4"/>
    </row>
    <row r="25" spans="1:18" ht="24.75" customHeight="1" x14ac:dyDescent="0.15">
      <c r="A25" s="70" t="s">
        <v>101</v>
      </c>
      <c r="B25" s="70"/>
      <c r="C25" s="68" t="s">
        <v>57</v>
      </c>
      <c r="D25" s="200">
        <v>50</v>
      </c>
      <c r="E25" s="139" t="s">
        <v>29</v>
      </c>
      <c r="F25" s="103">
        <f>DAYS360(L4,L5+1)/30</f>
        <v>3.3333333333333333E-2</v>
      </c>
      <c r="G25" s="180" t="s">
        <v>9</v>
      </c>
      <c r="H25" s="101">
        <f>IF(A21="X",IF(F21=25,IF((E22-D22-(G22-F22))*24*6&gt;J21,((E22-D22-(G22-F22))*24*6-J21)/6*F21,0),IF(F21=21,IF((E22-D22-(G22-F22))*24*5&gt;J21,((E22-D22-(G22-F22))*24*5-J21)/5*F21,0),IF(F21=30,IF((E22-D22-(G22-F22))*24*6&gt;J21,((E22-D22-(G22-F22))*24*6-J21)/6*25+((E22-D22-(G22-F22))*24-H21)*5,0),0))),0)</f>
        <v>0</v>
      </c>
      <c r="I25" s="130" t="s">
        <v>20</v>
      </c>
      <c r="J25" s="119"/>
      <c r="K25" s="119"/>
      <c r="L25" s="78">
        <f>IF(A25="X",H7/H23*D25/100*H25*F25,0)</f>
        <v>0</v>
      </c>
      <c r="M25" s="11"/>
      <c r="N25" s="6"/>
      <c r="O25" s="7"/>
      <c r="P25" s="4"/>
    </row>
    <row r="26" spans="1:18" ht="14.25" customHeight="1" x14ac:dyDescent="0.15">
      <c r="A26" s="70" t="s">
        <v>101</v>
      </c>
      <c r="B26" s="70"/>
      <c r="C26" s="23" t="s">
        <v>36</v>
      </c>
      <c r="D26" s="124"/>
      <c r="E26" s="124"/>
      <c r="F26" s="104">
        <f>IF(F21=25,20,IF(F21=30,16.67,20))</f>
        <v>20</v>
      </c>
      <c r="G26" s="138" t="s">
        <v>17</v>
      </c>
      <c r="H26" s="145"/>
      <c r="I26" s="146"/>
      <c r="J26" s="146"/>
      <c r="K26" s="146"/>
      <c r="L26" s="80">
        <f>IF(A26="X",(L20+L22+L24+L25+L30+L31)*F26/100,0)</f>
        <v>0</v>
      </c>
      <c r="M26" s="11"/>
      <c r="N26" s="6"/>
      <c r="O26" s="8"/>
      <c r="P26" s="4"/>
    </row>
    <row r="27" spans="1:18" ht="14.25" customHeight="1" x14ac:dyDescent="0.15">
      <c r="A27" s="70" t="s">
        <v>101</v>
      </c>
      <c r="B27" s="70"/>
      <c r="C27" s="14" t="s">
        <v>37</v>
      </c>
      <c r="D27" s="123"/>
      <c r="E27" s="123"/>
      <c r="F27" s="98">
        <v>0</v>
      </c>
      <c r="G27" s="134" t="s">
        <v>8</v>
      </c>
      <c r="H27" s="100">
        <f>DAYS360(L4,L5+1)/30</f>
        <v>3.3333333333333333E-2</v>
      </c>
      <c r="I27" s="137" t="s">
        <v>9</v>
      </c>
      <c r="J27" s="115"/>
      <c r="K27" s="147"/>
      <c r="L27" s="78">
        <f>IF(A27="X",IF(AND(F18&lt;&gt;0,F19=0),(L7+L18/F18)/30*F27*H27,IF(AND(F18=0,F19&lt;&gt;0),(L7+L19/F19)/30*F27*H27,L7/30*F27*H27)),0)</f>
        <v>0</v>
      </c>
      <c r="M27" s="11"/>
      <c r="N27" s="8"/>
      <c r="O27" s="9"/>
      <c r="P27" s="4"/>
    </row>
    <row r="28" spans="1:18" ht="24" customHeight="1" x14ac:dyDescent="0.15">
      <c r="A28" s="70" t="s">
        <v>101</v>
      </c>
      <c r="B28" s="70"/>
      <c r="C28" s="54" t="s">
        <v>60</v>
      </c>
      <c r="D28" s="25"/>
      <c r="E28" s="25"/>
      <c r="F28" s="101">
        <v>0</v>
      </c>
      <c r="G28" s="136" t="s">
        <v>58</v>
      </c>
      <c r="H28" s="101">
        <v>0</v>
      </c>
      <c r="I28" s="136" t="s">
        <v>59</v>
      </c>
      <c r="J28" s="103">
        <f>DAYS360(L4,L5+1)/30</f>
        <v>3.3333333333333333E-2</v>
      </c>
      <c r="K28" s="140" t="s">
        <v>9</v>
      </c>
      <c r="L28" s="82">
        <f>IF(A28="X",(F28-H28)*J28*2,0)</f>
        <v>0</v>
      </c>
      <c r="M28" s="11"/>
      <c r="N28" s="3"/>
      <c r="P28" s="4"/>
    </row>
    <row r="29" spans="1:18" ht="25.5" customHeight="1" x14ac:dyDescent="0.15">
      <c r="A29" s="70" t="s">
        <v>101</v>
      </c>
      <c r="B29" s="70"/>
      <c r="C29" s="68" t="s">
        <v>61</v>
      </c>
      <c r="D29" s="144"/>
      <c r="E29" s="25"/>
      <c r="F29" s="101">
        <v>0</v>
      </c>
      <c r="G29" s="136" t="s">
        <v>62</v>
      </c>
      <c r="H29" s="101">
        <v>0</v>
      </c>
      <c r="I29" s="136" t="s">
        <v>63</v>
      </c>
      <c r="J29" s="103">
        <f>DAYS360(L4,L5+1)/30</f>
        <v>3.3333333333333333E-2</v>
      </c>
      <c r="K29" s="140" t="s">
        <v>9</v>
      </c>
      <c r="L29" s="78">
        <f>IF(A29="X",IF(AND(F29&lt;&gt;0,H29=0),F29*8/(7*30)*J29,IF(AND(F29=0,H29&lt;&gt;0),H29/(7*30)*J29,0)),0)</f>
        <v>0</v>
      </c>
      <c r="M29" s="11"/>
      <c r="N29" s="3"/>
      <c r="P29" s="4"/>
    </row>
    <row r="30" spans="1:18" ht="14.25" customHeight="1" x14ac:dyDescent="0.15">
      <c r="A30" s="70" t="s">
        <v>101</v>
      </c>
      <c r="B30" s="70"/>
      <c r="C30" s="23" t="s">
        <v>67</v>
      </c>
      <c r="D30" s="25"/>
      <c r="E30" s="25"/>
      <c r="F30" s="148"/>
      <c r="G30" s="115"/>
      <c r="H30" s="25"/>
      <c r="I30" s="25"/>
      <c r="J30" s="115"/>
      <c r="K30" s="115"/>
      <c r="L30" s="78">
        <v>0</v>
      </c>
      <c r="M30" s="11"/>
      <c r="N30" s="3"/>
      <c r="P30" s="4"/>
    </row>
    <row r="31" spans="1:18" ht="24" customHeight="1" x14ac:dyDescent="0.15">
      <c r="A31" s="70" t="s">
        <v>101</v>
      </c>
      <c r="B31" s="70"/>
      <c r="C31" s="23" t="s">
        <v>68</v>
      </c>
      <c r="D31" s="25"/>
      <c r="E31" s="25"/>
      <c r="F31" s="101">
        <v>0</v>
      </c>
      <c r="G31" s="136" t="s">
        <v>69</v>
      </c>
      <c r="H31" s="101">
        <v>0</v>
      </c>
      <c r="I31" s="136" t="s">
        <v>70</v>
      </c>
      <c r="J31" s="103">
        <f>DAYS360(L4,L5+1)/30</f>
        <v>3.3333333333333333E-2</v>
      </c>
      <c r="K31" s="140" t="s">
        <v>9</v>
      </c>
      <c r="L31" s="82">
        <f>IF(A31="X",(F31-H31)*J31*2,0)</f>
        <v>0</v>
      </c>
      <c r="M31" s="11"/>
      <c r="N31" s="3"/>
      <c r="P31" s="4"/>
    </row>
    <row r="32" spans="1:18" ht="14.25" customHeight="1" x14ac:dyDescent="0.15">
      <c r="A32" s="70" t="s">
        <v>101</v>
      </c>
      <c r="B32" s="70"/>
      <c r="C32" s="14" t="s">
        <v>86</v>
      </c>
      <c r="D32" s="119"/>
      <c r="E32" s="119"/>
      <c r="F32" s="119"/>
      <c r="G32" s="119"/>
      <c r="H32" s="102">
        <v>40</v>
      </c>
      <c r="I32" s="133" t="s">
        <v>54</v>
      </c>
      <c r="J32" s="123"/>
      <c r="K32" s="123"/>
      <c r="L32" s="78" t="e">
        <f>IF(A32="X",(L17+L18+L19+L20+L22+L24+L25+L26+L27+L28+L29+L30+L31)*0.08*(1+H32/100),0)</f>
        <v>#N/A</v>
      </c>
      <c r="M32" s="11"/>
      <c r="N32" s="13"/>
      <c r="O32" s="2"/>
      <c r="P32" s="4"/>
    </row>
    <row r="33" spans="1:16" ht="14.25" customHeight="1" x14ac:dyDescent="0.15">
      <c r="A33" s="70" t="s">
        <v>101</v>
      </c>
      <c r="B33" s="70"/>
      <c r="C33" s="23" t="s">
        <v>76</v>
      </c>
      <c r="D33" s="25"/>
      <c r="E33" s="25"/>
      <c r="F33" s="25"/>
      <c r="G33" s="25"/>
      <c r="H33" s="100">
        <v>0</v>
      </c>
      <c r="I33" s="141" t="s">
        <v>74</v>
      </c>
      <c r="J33" s="73"/>
      <c r="K33" s="74"/>
      <c r="L33" s="78">
        <f>IF(A33="X",IF(H33&gt;0,IF(AND(F18&lt;&gt;0,F19=0),(L7+L18/F18+(D7+L18/F18)/H23*((1+D21/100)*D23+(D20/100)*F20+(D21/100)*F24+(H7/H23*(D25/100))*H25)*(1+F26/100))*(H33+5),IF(AND(F18=0,F19&lt;&gt;0),(L7+L19/F19+(D7+L19/F19)/H23*((1+D21/100)*D23+(D20/100)*F20+(D21/100)*F24+(H7/H23*(D25/100))*H25)*(1+F26/100))*(H33+5),(L7+D7/H23*((1+D21/100)*D23+(D20/100)*F20+(D21/100)*F24+(H7/H23*(D25/100))*H25)*(1+F26/100))*(H33+5))),0),0)</f>
        <v>0</v>
      </c>
      <c r="M33" s="11"/>
      <c r="N33" s="3"/>
      <c r="P33" s="4"/>
    </row>
    <row r="34" spans="1:16" ht="14.25" customHeight="1" x14ac:dyDescent="0.15">
      <c r="A34" s="70" t="s">
        <v>101</v>
      </c>
      <c r="B34" s="70"/>
      <c r="C34" s="23" t="s">
        <v>89</v>
      </c>
      <c r="D34" s="25"/>
      <c r="E34" s="25"/>
      <c r="F34" s="25"/>
      <c r="G34" s="25"/>
      <c r="H34" s="149"/>
      <c r="I34" s="141"/>
      <c r="J34" s="115"/>
      <c r="K34" s="137"/>
      <c r="L34" s="78">
        <f>IF(A34="X",IF(AND(F18&lt;&gt;0,F19=0),(L7+L18/F18+(D7+L18/F18)/H23*((1+D21/100)*D23+(D20/100)*F20+(D21/100)*F24+(H7/H23*(D25/100))*H25)*(1+F26/100))/30*120,IF(AND(F18=0,F19&lt;&gt;0),(L7+L19/F19+(D7+L19/F19)/H23*((1+D21/100)*D23+(D20/100)*F20+(D21/100)*F24+(H7/H23*(D25/100))*H25)*(1+F26/100))/30*120,(L7+D7/H23*((1+D21/100)*D23+(D20/100)*F20+(D21/100)*F24+(H7/220*(D25/100))*H25)*(1+F26/100))/30*120)),0)</f>
        <v>0</v>
      </c>
      <c r="M34" s="11"/>
      <c r="N34" s="3"/>
      <c r="P34" s="4"/>
    </row>
    <row r="35" spans="1:16" ht="24" customHeight="1" x14ac:dyDescent="0.15">
      <c r="A35" s="70" t="s">
        <v>101</v>
      </c>
      <c r="B35" s="70"/>
      <c r="C35" s="23" t="s">
        <v>39</v>
      </c>
      <c r="D35" s="124"/>
      <c r="E35" s="124"/>
      <c r="F35" s="98">
        <v>0</v>
      </c>
      <c r="G35" s="142" t="s">
        <v>16</v>
      </c>
      <c r="H35" s="99">
        <v>1.3</v>
      </c>
      <c r="I35" s="136" t="s">
        <v>15</v>
      </c>
      <c r="J35" s="100">
        <f>DAYS360(L4,L5+1)/30</f>
        <v>3.3333333333333333E-2</v>
      </c>
      <c r="K35" s="137" t="s">
        <v>9</v>
      </c>
      <c r="L35" s="78">
        <f>IF(A35="X",IF(OR(F35=0,H35=0),0,F35*H35*J35),0)</f>
        <v>0</v>
      </c>
      <c r="M35" s="11"/>
      <c r="N35" s="3"/>
      <c r="P35" s="4"/>
    </row>
    <row r="36" spans="1:16" ht="14.25" customHeight="1" x14ac:dyDescent="0.15">
      <c r="A36" s="70" t="s">
        <v>101</v>
      </c>
      <c r="B36" s="70"/>
      <c r="C36" s="23" t="s">
        <v>64</v>
      </c>
      <c r="D36" s="124"/>
      <c r="E36" s="124"/>
      <c r="F36" s="98">
        <v>0</v>
      </c>
      <c r="G36" s="143" t="s">
        <v>65</v>
      </c>
      <c r="H36" s="43"/>
      <c r="I36" s="75"/>
      <c r="J36" s="100">
        <f>DAYS360(L4,L5+1)/30</f>
        <v>3.3333333333333333E-2</v>
      </c>
      <c r="K36" s="137" t="s">
        <v>9</v>
      </c>
      <c r="L36" s="78" t="e">
        <f>IF(A36="X",IF(AND(F18&lt;&gt;0,F19=0),IF((L7+L18/F18+(D7+L18/F18)/H23*((1+D21/100)*D23+(D20/100)*F20)*(1+F26/100))&lt;=VLOOKUP(L5,DADOS!A:C,3),VLOOKUP(L5,DADOS!A:D,4)*F36*J36,VLOOKUP(L5,DADOS!A:E,5)*F36*J36),IF(AND(F18=0,F19&lt;&gt;0),IF((L7+L19/F19+(D7+L19/F19)/H23*((1+D21/100)*D23+(D20/100)*F20)*(1+F26/100))&lt;=VLOOKUP(L5,DADOS!A:C,3),VLOOKUP(L5,DADOS!A:D,4)*F36*J36,VLOOKUP(L5,DADOS!A:E,5)*F36*J36),IF((L7+D7/220*((1+D21/100)*D23+(D20/100)*F20)*(1+F26/100))&lt;=VLOOKUP(L5,DADOS!A:C,3),VLOOKUP(L5,DADOS!A:D,4)*F36*J36,VLOOKUP(L5,DADOS!A:E,5)*F36*J36))),0)</f>
        <v>#N/A</v>
      </c>
      <c r="M36" s="11"/>
      <c r="N36" s="3"/>
      <c r="P36" s="4"/>
    </row>
    <row r="37" spans="1:16" ht="14.25" customHeight="1" x14ac:dyDescent="0.15">
      <c r="A37" s="70" t="s">
        <v>101</v>
      </c>
      <c r="B37" s="70"/>
      <c r="C37" s="23" t="s">
        <v>66</v>
      </c>
      <c r="D37" s="124"/>
      <c r="E37" s="124"/>
      <c r="F37" s="150"/>
      <c r="G37" s="151"/>
      <c r="H37" s="99">
        <v>0</v>
      </c>
      <c r="I37" s="134" t="s">
        <v>7</v>
      </c>
      <c r="J37" s="148"/>
      <c r="K37" s="115"/>
      <c r="L37" s="78" t="e">
        <f>IF(A37="X",IF(L7&lt;=VLOOKUP(L5,DADOS!A:B,2)*2,VLOOKUP(L5,DADOS!A:B,2)*H37,0),0)</f>
        <v>#N/A</v>
      </c>
      <c r="M37" s="11"/>
      <c r="N37" s="3"/>
      <c r="P37" s="4"/>
    </row>
    <row r="38" spans="1:16" ht="14.25" customHeight="1" x14ac:dyDescent="0.15">
      <c r="A38" s="70" t="s">
        <v>101</v>
      </c>
      <c r="B38" s="70"/>
      <c r="C38" s="71" t="s">
        <v>40</v>
      </c>
      <c r="D38" s="24"/>
      <c r="E38" s="24"/>
      <c r="F38" s="25"/>
      <c r="G38" s="24"/>
      <c r="H38" s="24"/>
      <c r="I38" s="24"/>
      <c r="J38" s="22"/>
      <c r="K38" s="22"/>
      <c r="L38" s="78">
        <v>0</v>
      </c>
      <c r="M38" s="11"/>
      <c r="N38" s="3"/>
      <c r="P38" s="4"/>
    </row>
    <row r="39" spans="1:16" ht="14.25" customHeight="1" x14ac:dyDescent="0.15">
      <c r="A39" s="70" t="s">
        <v>101</v>
      </c>
      <c r="B39" s="70"/>
      <c r="C39" s="71" t="s">
        <v>40</v>
      </c>
      <c r="D39" s="24"/>
      <c r="E39" s="24"/>
      <c r="F39" s="25"/>
      <c r="G39" s="24"/>
      <c r="H39" s="24"/>
      <c r="I39" s="24"/>
      <c r="J39" s="22"/>
      <c r="K39" s="22"/>
      <c r="L39" s="78">
        <v>0</v>
      </c>
      <c r="M39" s="11"/>
      <c r="N39" s="3"/>
      <c r="P39" s="4"/>
    </row>
    <row r="40" spans="1:16" ht="14.25" customHeight="1" x14ac:dyDescent="0.15">
      <c r="A40" s="70" t="s">
        <v>101</v>
      </c>
      <c r="B40" s="70"/>
      <c r="C40" s="71" t="s">
        <v>40</v>
      </c>
      <c r="D40" s="24"/>
      <c r="E40" s="24"/>
      <c r="F40" s="25"/>
      <c r="G40" s="24"/>
      <c r="H40" s="24"/>
      <c r="I40" s="24"/>
      <c r="J40" s="22"/>
      <c r="K40" s="22"/>
      <c r="L40" s="78">
        <v>0</v>
      </c>
      <c r="M40" s="11"/>
      <c r="N40" s="3"/>
      <c r="P40" s="4"/>
    </row>
    <row r="41" spans="1:16" ht="14.25" customHeight="1" thickBot="1" x14ac:dyDescent="0.2">
      <c r="A41" s="70" t="s">
        <v>101</v>
      </c>
      <c r="B41" s="70"/>
      <c r="C41" s="20" t="s">
        <v>2</v>
      </c>
      <c r="D41" s="21"/>
      <c r="E41" s="21"/>
      <c r="F41" s="19"/>
      <c r="G41" s="19"/>
      <c r="H41" s="19"/>
      <c r="I41" s="19"/>
      <c r="J41" s="19"/>
      <c r="K41" s="19"/>
      <c r="L41" s="83">
        <v>0</v>
      </c>
      <c r="M41" s="11"/>
      <c r="N41" s="3"/>
      <c r="P41" s="4"/>
    </row>
    <row r="42" spans="1:16" ht="14.25" customHeight="1" thickBot="1" x14ac:dyDescent="0.2">
      <c r="A42" s="70" t="s">
        <v>101</v>
      </c>
      <c r="B42" s="70"/>
      <c r="C42" s="36" t="s">
        <v>4</v>
      </c>
      <c r="D42" s="37"/>
      <c r="E42" s="37"/>
      <c r="F42" s="38"/>
      <c r="G42" s="39" t="s">
        <v>0</v>
      </c>
      <c r="H42" s="39" t="s">
        <v>1</v>
      </c>
      <c r="I42" s="39"/>
      <c r="J42" s="39"/>
      <c r="K42" s="39"/>
      <c r="L42" s="84" t="e">
        <f>SUM(L8:L40)-L41</f>
        <v>#VALUE!</v>
      </c>
      <c r="M42" s="11"/>
      <c r="N42" s="3"/>
      <c r="P42" s="4"/>
    </row>
    <row r="43" spans="1:16" ht="9" customHeight="1" x14ac:dyDescent="0.15">
      <c r="A43" s="70" t="s">
        <v>101</v>
      </c>
      <c r="B43" s="70"/>
      <c r="C43" s="26"/>
      <c r="D43" s="27"/>
      <c r="E43" s="27"/>
      <c r="F43" s="28"/>
      <c r="G43" s="29"/>
      <c r="H43" s="29"/>
      <c r="I43" s="29"/>
      <c r="J43" s="29"/>
      <c r="K43" s="29"/>
      <c r="L43" s="85"/>
      <c r="M43" s="11"/>
      <c r="N43" s="3"/>
      <c r="P43" s="4"/>
    </row>
    <row r="44" spans="1:16" s="30" customFormat="1" ht="13.5" x14ac:dyDescent="0.15">
      <c r="A44" s="70" t="s">
        <v>101</v>
      </c>
      <c r="B44" s="70"/>
      <c r="C44" s="32" t="s">
        <v>10</v>
      </c>
      <c r="D44" s="32"/>
      <c r="E44" s="32"/>
      <c r="F44" s="155">
        <f>L5</f>
        <v>0</v>
      </c>
      <c r="G44" s="32"/>
      <c r="H44" s="32"/>
      <c r="I44" s="32"/>
      <c r="J44" s="32"/>
      <c r="L44" s="86" t="e">
        <f>VLOOKUP(F44,INDICES!A:B,2)</f>
        <v>#N/A</v>
      </c>
      <c r="M44" s="11"/>
    </row>
    <row r="45" spans="1:16" s="30" customFormat="1" ht="13.5" x14ac:dyDescent="0.15">
      <c r="A45" s="70" t="s">
        <v>101</v>
      </c>
      <c r="B45" s="70"/>
      <c r="C45" s="32" t="s">
        <v>10</v>
      </c>
      <c r="D45" s="32"/>
      <c r="E45" s="32"/>
      <c r="F45" s="155">
        <f>L6</f>
        <v>0</v>
      </c>
      <c r="G45" s="32"/>
      <c r="H45" s="32"/>
      <c r="I45" s="32"/>
      <c r="J45" s="32"/>
      <c r="L45" s="86" t="e">
        <f>VLOOKUP(F45,INDICES!A:B,2)</f>
        <v>#N/A</v>
      </c>
      <c r="M45" s="11"/>
    </row>
    <row r="46" spans="1:16" s="30" customFormat="1" ht="9" customHeight="1" thickBot="1" x14ac:dyDescent="0.2">
      <c r="A46" s="70" t="s">
        <v>101</v>
      </c>
      <c r="B46" s="70"/>
      <c r="C46" s="32"/>
      <c r="D46" s="32"/>
      <c r="E46" s="32"/>
      <c r="F46" s="32"/>
      <c r="G46" s="32"/>
      <c r="H46" s="32"/>
      <c r="I46" s="32"/>
      <c r="J46" s="32"/>
      <c r="L46" s="87"/>
      <c r="M46" s="11"/>
    </row>
    <row r="47" spans="1:16" s="30" customFormat="1" ht="14.25" thickBot="1" x14ac:dyDescent="0.2">
      <c r="A47" s="70" t="s">
        <v>101</v>
      </c>
      <c r="B47" s="70"/>
      <c r="C47" s="55" t="s">
        <v>31</v>
      </c>
      <c r="D47" s="40"/>
      <c r="E47" s="40"/>
      <c r="F47" s="40"/>
      <c r="G47" s="40"/>
      <c r="H47" s="40"/>
      <c r="I47" s="40"/>
      <c r="J47" s="40"/>
      <c r="K47" s="40"/>
      <c r="L47" s="88" t="e">
        <f>L42*L45/L44</f>
        <v>#VALUE!</v>
      </c>
      <c r="M47" s="11"/>
    </row>
    <row r="48" spans="1:16" s="45" customFormat="1" ht="9" customHeight="1" x14ac:dyDescent="0.15">
      <c r="A48" s="70" t="s">
        <v>101</v>
      </c>
      <c r="B48" s="70"/>
      <c r="C48" s="32"/>
      <c r="D48" s="32"/>
      <c r="E48" s="32"/>
      <c r="F48" s="32"/>
      <c r="G48" s="32"/>
      <c r="H48" s="32"/>
      <c r="I48" s="32"/>
      <c r="J48" s="32"/>
      <c r="L48" s="87"/>
      <c r="M48" s="11"/>
    </row>
    <row r="49" spans="1:16" s="45" customFormat="1" ht="13.5" x14ac:dyDescent="0.15">
      <c r="A49" s="70" t="s">
        <v>101</v>
      </c>
      <c r="B49" s="70"/>
      <c r="C49" s="32" t="s">
        <v>32</v>
      </c>
      <c r="E49" s="50" t="s">
        <v>34</v>
      </c>
      <c r="F49" s="97" t="e">
        <f>L10+L13+L17+L18+L19+L20+L22+L24+L25+L26+L27+L28+L29+L30+L31</f>
        <v>#N/A</v>
      </c>
      <c r="G49" s="97"/>
      <c r="H49" s="32"/>
      <c r="I49" s="49"/>
      <c r="J49" s="49"/>
      <c r="K49" s="51"/>
      <c r="L49" s="201" t="e">
        <f>IF(F49/(DAYS360(L4,L5+1)/30)&lt;=752.62,F49*0.0765,IF(AND(F49/(DAYS360(L4,L5+1)/30)&gt;=752.63,F49/(DAYS360(L4,L5+1)/30)&lt;=780),F49*0.0865,IF(AND(F49/(DAYS360(L4,L5+1)/30)&gt;=780.01,F49/(DAYS360(L4,L5+1)/30)&lt;=1254.36),F49*0.09,IF(AND(F49/(DAYS360(L4,L5+1)/30)&gt;=1254.37,F49/(DAYS360(L4,L5+1)/30)&lt;=2508.72),F49*0.11,2508.72*0.11*(DAYS360(L4,L5+1)/30)))))</f>
        <v>#N/A</v>
      </c>
      <c r="M49" s="11"/>
    </row>
    <row r="50" spans="1:16" s="45" customFormat="1" ht="13.5" x14ac:dyDescent="0.15">
      <c r="A50" s="70" t="s">
        <v>101</v>
      </c>
      <c r="B50" s="70"/>
      <c r="C50" s="32" t="s">
        <v>33</v>
      </c>
      <c r="D50" s="32"/>
      <c r="E50" s="50" t="s">
        <v>34</v>
      </c>
      <c r="F50" s="97" t="e">
        <f>L9+L10+L13+L15+L16+L17+L18+L19+L20+L22+L24+L25+L26+L27+L28+L29+L30+L31</f>
        <v>#VALUE!</v>
      </c>
      <c r="G50" s="97"/>
      <c r="H50" s="32"/>
      <c r="I50" s="32"/>
      <c r="J50" s="32"/>
      <c r="L50" s="201" t="e">
        <f>IF(F50-L49&lt;=900,0,IF(AND(F50-L49&gt;900,F50-L49&lt;=1800),(F50-L49)*15%-135,IF(F50-L49&gt;1800,(F50-L49)*27.5%-360)))</f>
        <v>#VALUE!</v>
      </c>
      <c r="M50" s="11"/>
    </row>
    <row r="51" spans="1:16" s="45" customFormat="1" ht="9" customHeight="1" thickBot="1" x14ac:dyDescent="0.2">
      <c r="A51" s="70" t="s">
        <v>101</v>
      </c>
      <c r="B51" s="70"/>
      <c r="C51" s="32"/>
      <c r="D51" s="32"/>
      <c r="E51" s="50"/>
      <c r="F51" s="49"/>
      <c r="G51" s="32"/>
      <c r="H51" s="32"/>
      <c r="I51" s="32"/>
      <c r="J51" s="32"/>
      <c r="L51" s="89"/>
      <c r="M51" s="11"/>
    </row>
    <row r="52" spans="1:16" s="30" customFormat="1" ht="14.25" thickBot="1" x14ac:dyDescent="0.2">
      <c r="A52" s="70" t="s">
        <v>101</v>
      </c>
      <c r="B52" s="70"/>
      <c r="C52" s="55" t="s">
        <v>35</v>
      </c>
      <c r="D52" s="40"/>
      <c r="E52" s="40"/>
      <c r="F52" s="40"/>
      <c r="G52" s="40"/>
      <c r="H52" s="40"/>
      <c r="I52" s="40"/>
      <c r="J52" s="40"/>
      <c r="K52" s="40"/>
      <c r="L52" s="88" t="e">
        <f>L47-L49-L50</f>
        <v>#VALUE!</v>
      </c>
      <c r="M52" s="11"/>
    </row>
    <row r="53" spans="1:16" s="30" customFormat="1" ht="9" customHeight="1" x14ac:dyDescent="0.15">
      <c r="A53" s="70" t="s">
        <v>101</v>
      </c>
      <c r="B53" s="70"/>
      <c r="C53" s="32"/>
      <c r="D53" s="32"/>
      <c r="E53" s="32"/>
      <c r="F53" s="32"/>
      <c r="G53" s="32"/>
      <c r="H53" s="32"/>
      <c r="I53" s="32"/>
      <c r="J53" s="32"/>
      <c r="L53" s="87"/>
      <c r="M53" s="11"/>
    </row>
    <row r="54" spans="1:16" s="30" customFormat="1" ht="13.5" x14ac:dyDescent="0.15">
      <c r="A54" s="70" t="s">
        <v>101</v>
      </c>
      <c r="B54" s="70"/>
      <c r="C54" s="32" t="s">
        <v>11</v>
      </c>
      <c r="D54" s="35">
        <v>0.02</v>
      </c>
      <c r="E54" s="35"/>
      <c r="F54" s="32"/>
      <c r="G54" s="32"/>
      <c r="H54" s="32"/>
      <c r="I54" s="32"/>
      <c r="J54" s="32"/>
      <c r="L54" s="90" t="e">
        <f>L47*2%</f>
        <v>#VALUE!</v>
      </c>
      <c r="M54" s="11"/>
    </row>
    <row r="55" spans="1:16" s="30" customFormat="1" ht="9" customHeight="1" x14ac:dyDescent="0.15">
      <c r="A55" s="70" t="s">
        <v>101</v>
      </c>
      <c r="B55" s="70"/>
      <c r="C55" s="31"/>
      <c r="D55" s="31"/>
      <c r="E55" s="31"/>
      <c r="F55" s="31"/>
      <c r="G55" s="31"/>
      <c r="H55" s="31"/>
      <c r="I55" s="31"/>
      <c r="J55" s="31"/>
      <c r="L55" s="91"/>
      <c r="M55" s="11"/>
    </row>
    <row r="56" spans="1:16" ht="13.5" x14ac:dyDescent="0.15">
      <c r="A56" s="70" t="s">
        <v>101</v>
      </c>
      <c r="B56" s="70"/>
      <c r="C56" s="33" t="s">
        <v>71</v>
      </c>
      <c r="D56" s="34"/>
      <c r="E56" s="34"/>
      <c r="F56" s="34"/>
      <c r="G56" s="154">
        <f>L6</f>
        <v>0</v>
      </c>
      <c r="H56" s="34"/>
      <c r="I56" s="34"/>
      <c r="J56" s="34"/>
      <c r="K56" s="34"/>
      <c r="L56" s="92" t="e">
        <f>SUM(L47,L54)</f>
        <v>#VALUE!</v>
      </c>
      <c r="M56" s="11"/>
      <c r="N56" s="11"/>
      <c r="O56" s="11"/>
    </row>
    <row r="57" spans="1:16" ht="9" customHeight="1" x14ac:dyDescent="0.15">
      <c r="A57" s="70" t="s">
        <v>101</v>
      </c>
      <c r="B57" s="70"/>
      <c r="C57" s="56"/>
      <c r="D57" s="56"/>
      <c r="E57" s="56"/>
      <c r="F57" s="56"/>
      <c r="G57" s="60"/>
      <c r="H57" s="56"/>
      <c r="I57" s="56"/>
      <c r="J57" s="56"/>
      <c r="K57" s="56"/>
      <c r="L57" s="93"/>
      <c r="M57" s="11"/>
      <c r="N57" s="11"/>
      <c r="O57" s="11"/>
    </row>
    <row r="58" spans="1:16" ht="13.5" x14ac:dyDescent="0.15">
      <c r="A58" s="70" t="s">
        <v>101</v>
      </c>
      <c r="B58" s="70"/>
      <c r="C58" s="33" t="s">
        <v>88</v>
      </c>
      <c r="D58" s="34"/>
      <c r="E58" s="59"/>
      <c r="F58" s="62"/>
      <c r="G58" s="94">
        <f>IF(A58="X",IF(L8=0,IF(AND(ROUND(DAYS360(L4,L5+1)/30,0)&gt;=6,ROUND(DAYS360(L4,L5+1)/30,0)&lt;=11),3,IF(AND(ROUND(DAYS360(L4,L5+1)/30,0)&gt;=12,ROUND(DAYS360(L4,L5+1)/30,0)&lt;=23),4,IF(ROUND(DAYS360(L4,L5+1)/30,0)&gt;=24,5,0))),IF(AND(ROUND(DAYS360(L4,L5+1)/30+1,0)&gt;=6,ROUND(DAYS360(L4,L5+1)/30+1,0)&lt;=11),3,IF(AND(ROUND(DAYS360(L4,L5+1)/30+1,0)&gt;=12,ROUND(DAYS360(L4,L5+1)/30+1,0)&lt;=23),4,IF(ROUND(DAYS360(L4,L5+1)/30+1,0)&gt;=24,5,0)))),0)</f>
        <v>0</v>
      </c>
      <c r="H58" s="61" t="s">
        <v>72</v>
      </c>
      <c r="I58" s="58"/>
      <c r="J58" s="58" t="s">
        <v>79</v>
      </c>
      <c r="K58" s="96" t="e">
        <f>IF(A58="X",IF(AND(M58&lt;=VLOOKUP(L5,DADOS!G:J,2),M58*80%&gt;=VLOOKUP(L5,DADOS!A:E,2)),M58*80%,IF(AND(M58&gt;VLOOKUP(L5,DADOS!G:J,2),M58&lt;=VLOOKUP(L5,DADOS!G:J,3),(VLOOKUP(L5,DADOS!G:J,2)*80%+(M58-VLOOKUP(L5,DADOS!G:J,2))*50%)&gt;=VLOOKUP(L5,DADOS!A:E,2)),(VLOOKUP(L5,DADOS!G:J,2)*80%+(M58-VLOOKUP(L5,DADOS!G:J,2))*50%),IF(AND(M58&gt;VLOOKUP(L5,DADOS!G:J,3),(VLOOKUP(L5,DADOS!G:J,4))&gt;=VLOOKUP(L5,DADOS!A:E,2)),(VLOOKUP(L5,DADOS!G:J,4)),VLOOKUP(L5,DADOS!A:E,2)))),0)</f>
        <v>#N/A</v>
      </c>
      <c r="L58" s="92" t="e">
        <f>IF(A58="X",IF(AND(M58&lt;=VLOOKUP(L5,DADOS!G:J,2),M58*80%&gt;=VLOOKUP(L5,DADOS!A:E,2)),M58*80%*G58,IF(AND(M58&gt;VLOOKUP(L5,DADOS!G:J,2),M58&lt;=VLOOKUP(L5,DADOS!G:J,3),(VLOOKUP(L5,DADOS!G:J,2)*80%+(M58-VLOOKUP(L5,DADOS!G:J,2))*50%)&gt;=VLOOKUP(L5,DADOS!A:E,2)),(VLOOKUP(L5,DADOS!G:J,2)*80%+(M58-VLOOKUP(L5,DADOS!G:J,2))*50%)*G58,IF(AND(M58&gt;VLOOKUP(L5,DADOS!G:J,3),(VLOOKUP(L5,DADOS!G:J,4))&gt;=VLOOKUP(L5,DADOS!A:E,2)),(VLOOKUP(L5,DADOS!G:J,4))*G58,VLOOKUP(L5,DADOS!A:E,2)*G58))),0)</f>
        <v>#N/A</v>
      </c>
      <c r="M58" s="57">
        <f>IF(AND(F18&lt;&gt;0,F19=0),(L7+L18/F18+L7/220*((1+D21/100)*D23+(D20/100)*F20)*(1+F26/100)),IF(AND(F18=0,F19&lt;&gt;0),(L7+L19/F19+L7/220*((1+D21/100)*D23+(D20/100)*F20)*(1+F26/100)),(L7+L7/220*((1+D21/100)*D23+(D20/100)*F20)*(1+F26/100))))</f>
        <v>0</v>
      </c>
      <c r="N58" s="11"/>
      <c r="O58" s="11"/>
    </row>
    <row r="59" spans="1:16" ht="12.75" customHeight="1" x14ac:dyDescent="0.15">
      <c r="A59" s="70" t="s">
        <v>101</v>
      </c>
      <c r="B59" s="70"/>
      <c r="C59" s="69" t="s">
        <v>102</v>
      </c>
      <c r="D59" s="65"/>
      <c r="E59" s="66"/>
      <c r="F59" s="62"/>
      <c r="G59" s="95">
        <f>DAYS360(L4,L5+1)/30</f>
        <v>3.3333333333333333E-2</v>
      </c>
      <c r="H59" s="67" t="s">
        <v>9</v>
      </c>
      <c r="I59" s="34"/>
      <c r="J59" s="58" t="s">
        <v>87</v>
      </c>
      <c r="K59" s="96">
        <v>0</v>
      </c>
      <c r="L59" s="92">
        <f>IF(A59="X",L7*0.08*(G59+ROUND(DAYS360(L4,VALUE(CONCATENATE("1/1/",RIGHT(TEXT(L5,"dd/mm/aa"),2)))-1)/30/12,2))-K59,0)</f>
        <v>0</v>
      </c>
      <c r="M59" s="11">
        <v>0</v>
      </c>
      <c r="N59" s="11"/>
      <c r="O59" s="11"/>
    </row>
    <row r="60" spans="1:16" ht="9" customHeight="1" thickBot="1" x14ac:dyDescent="0.2">
      <c r="A60" s="70"/>
      <c r="B60" s="70"/>
      <c r="K60" s="11"/>
      <c r="L60" s="76"/>
      <c r="M60" s="11"/>
      <c r="P60" s="4"/>
    </row>
    <row r="61" spans="1:16" ht="14.25" thickBot="1" x14ac:dyDescent="0.2">
      <c r="A61" s="70"/>
      <c r="B61" s="70"/>
      <c r="C61" s="55" t="s">
        <v>75</v>
      </c>
      <c r="D61" s="40"/>
      <c r="E61" s="40"/>
      <c r="F61" s="40"/>
      <c r="G61" s="40"/>
      <c r="H61" s="40"/>
      <c r="I61" s="40"/>
      <c r="J61" s="40"/>
      <c r="K61" s="40"/>
      <c r="L61" s="88" t="e">
        <f>L47+L58+L59</f>
        <v>#VALUE!</v>
      </c>
      <c r="M61" s="11"/>
      <c r="P61" s="4"/>
    </row>
    <row r="62" spans="1:16" ht="26.25" customHeight="1" x14ac:dyDescent="0.15">
      <c r="A62" s="70"/>
      <c r="B62" s="70"/>
      <c r="K62" s="11"/>
      <c r="L62" s="76"/>
      <c r="M62" s="11"/>
      <c r="P62" s="4"/>
    </row>
    <row r="63" spans="1:16" ht="26.25" customHeight="1" x14ac:dyDescent="0.15">
      <c r="A63" s="70"/>
      <c r="B63" s="70"/>
      <c r="K63" s="11"/>
      <c r="L63" s="76"/>
      <c r="M63" s="11"/>
      <c r="P63" s="4"/>
    </row>
    <row r="64" spans="1:16" hidden="1" x14ac:dyDescent="0.15"/>
    <row r="65" hidden="1" x14ac:dyDescent="0.15"/>
    <row r="66" hidden="1" x14ac:dyDescent="0.15"/>
    <row r="67" hidden="1" x14ac:dyDescent="0.15"/>
    <row r="68" hidden="1" x14ac:dyDescent="0.15"/>
    <row r="69" hidden="1" x14ac:dyDescent="0.15"/>
    <row r="70" hidden="1" x14ac:dyDescent="0.15"/>
    <row r="71" hidden="1" x14ac:dyDescent="0.15"/>
    <row r="72" hidden="1" x14ac:dyDescent="0.15"/>
    <row r="73" hidden="1" x14ac:dyDescent="0.15"/>
    <row r="74" hidden="1" x14ac:dyDescent="0.15"/>
    <row r="75" hidden="1" x14ac:dyDescent="0.15"/>
    <row r="76" hidden="1" x14ac:dyDescent="0.15"/>
    <row r="77" hidden="1" x14ac:dyDescent="0.15"/>
    <row r="78" hidden="1" x14ac:dyDescent="0.15"/>
    <row r="79" hidden="1" x14ac:dyDescent="0.15"/>
    <row r="80" hidden="1" x14ac:dyDescent="0.15"/>
    <row r="81" hidden="1" x14ac:dyDescent="0.15"/>
    <row r="82" hidden="1" x14ac:dyDescent="0.15"/>
    <row r="83" hidden="1" x14ac:dyDescent="0.15"/>
    <row r="84" hidden="1" x14ac:dyDescent="0.15"/>
    <row r="85" hidden="1" x14ac:dyDescent="0.15"/>
    <row r="86" hidden="1" x14ac:dyDescent="0.15"/>
    <row r="87" hidden="1" x14ac:dyDescent="0.15"/>
  </sheetData>
  <sheetProtection password="AED1" sheet="1" objects="1" scenarios="1"/>
  <phoneticPr fontId="0" type="noConversion"/>
  <dataValidations count="1">
    <dataValidation type="custom" allowBlank="1" showInputMessage="1" showErrorMessage="1" sqref="F9" xr:uid="{00000000-0002-0000-0000-000000000000}">
      <formula1>(A9="X")</formula1>
    </dataValidation>
  </dataValidations>
  <pageMargins left="0.78740157480314965" right="0.39370078740157483" top="0.39370078740157483" bottom="0.39370078740157483" header="0.51181102362204722" footer="0.51181102362204722"/>
  <pageSetup paperSize="9" scale="77" orientation="portrait" horizontalDpi="120" verticalDpi="144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C5052"/>
  <sheetViews>
    <sheetView tabSelected="1" topLeftCell="A5020" workbookViewId="0" xr3:uid="{958C4451-9541-5A59-BF78-D2F731DF1C81}">
      <selection activeCell="G5050" sqref="G5050"/>
    </sheetView>
  </sheetViews>
  <sheetFormatPr defaultColWidth="11.4609375" defaultRowHeight="12.75" x14ac:dyDescent="0.15"/>
  <cols>
    <col min="1" max="1" width="11.32421875" style="202" customWidth="1"/>
    <col min="2" max="2" width="13.34765625" style="202" customWidth="1"/>
    <col min="3" max="3" width="11.4609375" style="202" customWidth="1"/>
  </cols>
  <sheetData>
    <row r="1" spans="1:3" x14ac:dyDescent="0.15">
      <c r="A1" s="197" t="s">
        <v>12</v>
      </c>
      <c r="B1" s="198" t="s">
        <v>13</v>
      </c>
      <c r="C1" s="199" t="s">
        <v>14</v>
      </c>
    </row>
    <row r="2" spans="1:3" x14ac:dyDescent="0.15">
      <c r="A2" s="191">
        <v>33273</v>
      </c>
      <c r="B2" s="193">
        <v>1.0028741299999999</v>
      </c>
      <c r="C2" s="194" t="s">
        <v>99</v>
      </c>
    </row>
    <row r="3" spans="1:3" x14ac:dyDescent="0.15">
      <c r="A3" s="191">
        <v>33274</v>
      </c>
      <c r="B3" s="193">
        <v>1.0057565206232568</v>
      </c>
      <c r="C3" s="194" t="s">
        <v>99</v>
      </c>
    </row>
    <row r="4" spans="1:3" x14ac:dyDescent="0.15">
      <c r="A4" s="191">
        <v>33275</v>
      </c>
      <c r="B4" s="193">
        <v>1.0086471956118757</v>
      </c>
      <c r="C4" s="194" t="s">
        <v>99</v>
      </c>
    </row>
    <row r="5" spans="1:3" x14ac:dyDescent="0.15">
      <c r="A5" s="191">
        <v>33276</v>
      </c>
      <c r="B5" s="193">
        <v>1.0115461787761995</v>
      </c>
      <c r="C5" s="194" t="s">
        <v>99</v>
      </c>
    </row>
    <row r="6" spans="1:3" x14ac:dyDescent="0.15">
      <c r="A6" s="191">
        <v>33277</v>
      </c>
      <c r="B6" s="193">
        <v>1.0144534939950054</v>
      </c>
      <c r="C6" s="194" t="s">
        <v>99</v>
      </c>
    </row>
    <row r="7" spans="1:3" x14ac:dyDescent="0.15">
      <c r="A7" s="191">
        <v>33278</v>
      </c>
      <c r="B7" s="193">
        <v>1.0144534939950054</v>
      </c>
      <c r="C7" s="194" t="s">
        <v>99</v>
      </c>
    </row>
    <row r="8" spans="1:3" x14ac:dyDescent="0.15">
      <c r="A8" s="191">
        <v>33279</v>
      </c>
      <c r="B8" s="193">
        <v>1.0144534939950054</v>
      </c>
      <c r="C8" s="194" t="s">
        <v>99</v>
      </c>
    </row>
    <row r="9" spans="1:3" x14ac:dyDescent="0.15">
      <c r="A9" s="191">
        <v>33280</v>
      </c>
      <c r="B9" s="193">
        <v>1.0144534939950054</v>
      </c>
      <c r="C9" s="194" t="s">
        <v>99</v>
      </c>
    </row>
    <row r="10" spans="1:3" x14ac:dyDescent="0.15">
      <c r="A10" s="191">
        <v>33281</v>
      </c>
      <c r="B10" s="193">
        <v>1.0144534939950054</v>
      </c>
      <c r="C10" s="194" t="s">
        <v>99</v>
      </c>
    </row>
    <row r="11" spans="1:3" x14ac:dyDescent="0.15">
      <c r="A11" s="191">
        <v>33282</v>
      </c>
      <c r="B11" s="193">
        <v>1.0181730993206224</v>
      </c>
      <c r="C11" s="194" t="s">
        <v>99</v>
      </c>
    </row>
    <row r="12" spans="1:3" x14ac:dyDescent="0.15">
      <c r="A12" s="191">
        <v>33283</v>
      </c>
      <c r="B12" s="193">
        <v>1.0219063429883224</v>
      </c>
      <c r="C12" s="194" t="s">
        <v>99</v>
      </c>
    </row>
    <row r="13" spans="1:3" x14ac:dyDescent="0.15">
      <c r="A13" s="191">
        <v>33284</v>
      </c>
      <c r="B13" s="193">
        <v>1.0266167896191367</v>
      </c>
      <c r="C13" s="194" t="s">
        <v>99</v>
      </c>
    </row>
    <row r="14" spans="1:3" x14ac:dyDescent="0.15">
      <c r="A14" s="191">
        <v>33285</v>
      </c>
      <c r="B14" s="193">
        <v>1.0266167896191367</v>
      </c>
      <c r="C14" s="194" t="s">
        <v>99</v>
      </c>
    </row>
    <row r="15" spans="1:3" x14ac:dyDescent="0.15">
      <c r="A15" s="191">
        <v>33286</v>
      </c>
      <c r="B15" s="193">
        <v>1.0266167896191367</v>
      </c>
      <c r="C15" s="194" t="s">
        <v>99</v>
      </c>
    </row>
    <row r="16" spans="1:3" x14ac:dyDescent="0.15">
      <c r="A16" s="191">
        <v>33287</v>
      </c>
      <c r="B16" s="193">
        <v>1.0313489489123824</v>
      </c>
      <c r="C16" s="194" t="s">
        <v>99</v>
      </c>
    </row>
    <row r="17" spans="1:3" x14ac:dyDescent="0.15">
      <c r="A17" s="191">
        <v>33288</v>
      </c>
      <c r="B17" s="193">
        <v>1.0361029209519255</v>
      </c>
      <c r="C17" s="194" t="s">
        <v>99</v>
      </c>
    </row>
    <row r="18" spans="1:3" x14ac:dyDescent="0.15">
      <c r="A18" s="191">
        <v>33289</v>
      </c>
      <c r="B18" s="193">
        <v>1.0408788062829657</v>
      </c>
      <c r="C18" s="194" t="s">
        <v>99</v>
      </c>
    </row>
    <row r="19" spans="1:3" x14ac:dyDescent="0.15">
      <c r="A19" s="191">
        <v>33290</v>
      </c>
      <c r="B19" s="193">
        <v>1.0456767059141627</v>
      </c>
      <c r="C19" s="194" t="s">
        <v>99</v>
      </c>
    </row>
    <row r="20" spans="1:3" x14ac:dyDescent="0.15">
      <c r="A20" s="191">
        <v>33291</v>
      </c>
      <c r="B20" s="193">
        <v>1.0504967213197727</v>
      </c>
      <c r="C20" s="194" t="s">
        <v>99</v>
      </c>
    </row>
    <row r="21" spans="1:3" x14ac:dyDescent="0.15">
      <c r="A21" s="191">
        <v>33292</v>
      </c>
      <c r="B21" s="193">
        <v>1.0504967213197727</v>
      </c>
      <c r="C21" s="194" t="s">
        <v>99</v>
      </c>
    </row>
    <row r="22" spans="1:3" x14ac:dyDescent="0.15">
      <c r="A22" s="191">
        <v>33293</v>
      </c>
      <c r="B22" s="193">
        <v>1.0504967213197727</v>
      </c>
      <c r="C22" s="194" t="s">
        <v>99</v>
      </c>
    </row>
    <row r="23" spans="1:3" x14ac:dyDescent="0.15">
      <c r="A23" s="191">
        <v>33294</v>
      </c>
      <c r="B23" s="193">
        <v>1.0553389544417944</v>
      </c>
      <c r="C23" s="194" t="s">
        <v>99</v>
      </c>
    </row>
    <row r="24" spans="1:3" x14ac:dyDescent="0.15">
      <c r="A24" s="191">
        <v>33295</v>
      </c>
      <c r="B24" s="193">
        <v>1.060203507692125</v>
      </c>
      <c r="C24" s="194" t="s">
        <v>99</v>
      </c>
    </row>
    <row r="25" spans="1:3" x14ac:dyDescent="0.15">
      <c r="A25" s="191">
        <v>33296</v>
      </c>
      <c r="B25" s="193">
        <v>1.0650904839547266</v>
      </c>
      <c r="C25" s="194" t="s">
        <v>99</v>
      </c>
    </row>
    <row r="26" spans="1:3" x14ac:dyDescent="0.15">
      <c r="A26" s="191">
        <v>33297</v>
      </c>
      <c r="B26" s="193">
        <v>1.0699999865878014</v>
      </c>
      <c r="C26" s="194" t="s">
        <v>99</v>
      </c>
    </row>
    <row r="27" spans="1:3" x14ac:dyDescent="0.15">
      <c r="A27" s="191">
        <v>33298</v>
      </c>
      <c r="B27" s="193">
        <v>1.0746041002300899</v>
      </c>
      <c r="C27" s="194" t="s">
        <v>99</v>
      </c>
    </row>
    <row r="28" spans="1:3" x14ac:dyDescent="0.15">
      <c r="A28" s="191">
        <v>33299</v>
      </c>
      <c r="B28" s="193">
        <v>1.0746041002300899</v>
      </c>
      <c r="C28" s="194" t="s">
        <v>99</v>
      </c>
    </row>
    <row r="29" spans="1:3" x14ac:dyDescent="0.15">
      <c r="A29" s="191">
        <v>33300</v>
      </c>
      <c r="B29" s="193">
        <v>1.0746041002300899</v>
      </c>
      <c r="C29" s="194" t="s">
        <v>99</v>
      </c>
    </row>
    <row r="30" spans="1:3" x14ac:dyDescent="0.15">
      <c r="A30" s="191">
        <v>33301</v>
      </c>
      <c r="B30" s="193">
        <v>1.0792280249590109</v>
      </c>
      <c r="C30" s="194" t="s">
        <v>99</v>
      </c>
    </row>
    <row r="31" spans="1:3" x14ac:dyDescent="0.15">
      <c r="A31" s="191">
        <v>33302</v>
      </c>
      <c r="B31" s="193">
        <v>1.0838718460198873</v>
      </c>
      <c r="C31" s="194" t="s">
        <v>99</v>
      </c>
    </row>
    <row r="32" spans="1:3" x14ac:dyDescent="0.15">
      <c r="A32" s="191">
        <v>33303</v>
      </c>
      <c r="B32" s="193">
        <v>1.0885356490248448</v>
      </c>
      <c r="C32" s="194" t="s">
        <v>99</v>
      </c>
    </row>
    <row r="33" spans="1:3" x14ac:dyDescent="0.15">
      <c r="A33" s="191">
        <v>33304</v>
      </c>
      <c r="B33" s="193">
        <v>1.0932195199543904</v>
      </c>
      <c r="C33" s="194" t="s">
        <v>99</v>
      </c>
    </row>
    <row r="34" spans="1:3" x14ac:dyDescent="0.15">
      <c r="A34" s="191">
        <v>33305</v>
      </c>
      <c r="B34" s="193">
        <v>1.0979235451589975</v>
      </c>
      <c r="C34" s="194" t="s">
        <v>99</v>
      </c>
    </row>
    <row r="35" spans="1:3" x14ac:dyDescent="0.15">
      <c r="A35" s="191">
        <v>33306</v>
      </c>
      <c r="B35" s="193">
        <v>1.0979235451589975</v>
      </c>
      <c r="C35" s="194" t="s">
        <v>99</v>
      </c>
    </row>
    <row r="36" spans="1:3" x14ac:dyDescent="0.15">
      <c r="A36" s="191">
        <v>33307</v>
      </c>
      <c r="B36" s="193">
        <v>1.0979235451589975</v>
      </c>
      <c r="C36" s="194" t="s">
        <v>99</v>
      </c>
    </row>
    <row r="37" spans="1:3" x14ac:dyDescent="0.15">
      <c r="A37" s="191">
        <v>33308</v>
      </c>
      <c r="B37" s="193">
        <v>1.1026478113606977</v>
      </c>
      <c r="C37" s="194" t="s">
        <v>99</v>
      </c>
    </row>
    <row r="38" spans="1:3" x14ac:dyDescent="0.15">
      <c r="A38" s="191">
        <v>33309</v>
      </c>
      <c r="B38" s="193">
        <v>1.1073924056546798</v>
      </c>
      <c r="C38" s="194" t="s">
        <v>99</v>
      </c>
    </row>
    <row r="39" spans="1:3" x14ac:dyDescent="0.15">
      <c r="A39" s="191">
        <v>33310</v>
      </c>
      <c r="B39" s="193">
        <v>1.1121574155108953</v>
      </c>
      <c r="C39" s="194" t="s">
        <v>99</v>
      </c>
    </row>
    <row r="40" spans="1:3" x14ac:dyDescent="0.15">
      <c r="A40" s="191">
        <v>33311</v>
      </c>
      <c r="B40" s="193">
        <v>1.1169429287756714</v>
      </c>
      <c r="C40" s="194" t="s">
        <v>99</v>
      </c>
    </row>
    <row r="41" spans="1:3" x14ac:dyDescent="0.15">
      <c r="A41" s="191">
        <v>33312</v>
      </c>
      <c r="B41" s="193">
        <v>1.1217490336733296</v>
      </c>
      <c r="C41" s="194" t="s">
        <v>99</v>
      </c>
    </row>
    <row r="42" spans="1:3" x14ac:dyDescent="0.15">
      <c r="A42" s="191">
        <v>33313</v>
      </c>
      <c r="B42" s="193">
        <v>1.1217490336733296</v>
      </c>
      <c r="C42" s="194" t="s">
        <v>99</v>
      </c>
    </row>
    <row r="43" spans="1:3" x14ac:dyDescent="0.15">
      <c r="A43" s="191">
        <v>33314</v>
      </c>
      <c r="B43" s="193">
        <v>1.1217490336733296</v>
      </c>
      <c r="C43" s="194" t="s">
        <v>99</v>
      </c>
    </row>
    <row r="44" spans="1:3" x14ac:dyDescent="0.15">
      <c r="A44" s="191">
        <v>33315</v>
      </c>
      <c r="B44" s="193">
        <v>1.126575818807813</v>
      </c>
      <c r="C44" s="194" t="s">
        <v>99</v>
      </c>
    </row>
    <row r="45" spans="1:3" x14ac:dyDescent="0.15">
      <c r="A45" s="191">
        <v>33316</v>
      </c>
      <c r="B45" s="193">
        <v>1.1314233731643193</v>
      </c>
      <c r="C45" s="194" t="s">
        <v>99</v>
      </c>
    </row>
    <row r="46" spans="1:3" x14ac:dyDescent="0.15">
      <c r="A46" s="191">
        <v>33317</v>
      </c>
      <c r="B46" s="193">
        <v>1.1362917861109418</v>
      </c>
      <c r="C46" s="194" t="s">
        <v>99</v>
      </c>
    </row>
    <row r="47" spans="1:3" x14ac:dyDescent="0.15">
      <c r="A47" s="191">
        <v>33318</v>
      </c>
      <c r="B47" s="193">
        <v>1.1411811474003166</v>
      </c>
      <c r="C47" s="194" t="s">
        <v>99</v>
      </c>
    </row>
    <row r="48" spans="1:3" x14ac:dyDescent="0.15">
      <c r="A48" s="191">
        <v>33319</v>
      </c>
      <c r="B48" s="193">
        <v>1.1460915471712769</v>
      </c>
      <c r="C48" s="194" t="s">
        <v>99</v>
      </c>
    </row>
    <row r="49" spans="1:3" x14ac:dyDescent="0.15">
      <c r="A49" s="191">
        <v>33320</v>
      </c>
      <c r="B49" s="193">
        <v>1.1460915471712769</v>
      </c>
      <c r="C49" s="194" t="s">
        <v>99</v>
      </c>
    </row>
    <row r="50" spans="1:3" x14ac:dyDescent="0.15">
      <c r="A50" s="191">
        <v>33321</v>
      </c>
      <c r="B50" s="193">
        <v>1.1460915471712769</v>
      </c>
      <c r="C50" s="194" t="s">
        <v>99</v>
      </c>
    </row>
    <row r="51" spans="1:3" x14ac:dyDescent="0.15">
      <c r="A51" s="191">
        <v>33322</v>
      </c>
      <c r="B51" s="193">
        <v>1.1510230759505158</v>
      </c>
      <c r="C51" s="194" t="s">
        <v>99</v>
      </c>
    </row>
    <row r="52" spans="1:3" x14ac:dyDescent="0.15">
      <c r="A52" s="191">
        <v>33323</v>
      </c>
      <c r="B52" s="193">
        <v>1.155975824654254</v>
      </c>
      <c r="C52" s="194" t="s">
        <v>99</v>
      </c>
    </row>
    <row r="53" spans="1:3" x14ac:dyDescent="0.15">
      <c r="A53" s="191">
        <v>33324</v>
      </c>
      <c r="B53" s="193">
        <v>1.1609498845899171</v>
      </c>
      <c r="C53" s="194" t="s">
        <v>99</v>
      </c>
    </row>
    <row r="54" spans="1:3" x14ac:dyDescent="0.15">
      <c r="A54" s="191">
        <v>33325</v>
      </c>
      <c r="B54" s="193">
        <v>1.1609498845899171</v>
      </c>
      <c r="C54" s="194" t="s">
        <v>99</v>
      </c>
    </row>
    <row r="55" spans="1:3" x14ac:dyDescent="0.15">
      <c r="A55" s="191">
        <v>33326</v>
      </c>
      <c r="B55" s="193">
        <v>1.1609498845899171</v>
      </c>
      <c r="C55" s="194" t="s">
        <v>99</v>
      </c>
    </row>
    <row r="56" spans="1:3" x14ac:dyDescent="0.15">
      <c r="A56" s="191">
        <v>33327</v>
      </c>
      <c r="B56" s="193">
        <v>1.1609498845899171</v>
      </c>
      <c r="C56" s="194" t="s">
        <v>99</v>
      </c>
    </row>
    <row r="57" spans="1:3" x14ac:dyDescent="0.15">
      <c r="A57" s="191">
        <v>33328</v>
      </c>
      <c r="B57" s="193">
        <v>1.1609498845899171</v>
      </c>
      <c r="C57" s="194" t="s">
        <v>99</v>
      </c>
    </row>
    <row r="58" spans="1:3" x14ac:dyDescent="0.15">
      <c r="A58" s="191">
        <v>33329</v>
      </c>
      <c r="B58" s="193">
        <v>1.1652628946776604</v>
      </c>
      <c r="C58" s="194" t="s">
        <v>99</v>
      </c>
    </row>
    <row r="59" spans="1:3" x14ac:dyDescent="0.15">
      <c r="A59" s="191">
        <v>33330</v>
      </c>
      <c r="B59" s="193">
        <v>1.1695919278997904</v>
      </c>
      <c r="C59" s="194" t="s">
        <v>99</v>
      </c>
    </row>
    <row r="60" spans="1:3" x14ac:dyDescent="0.15">
      <c r="A60" s="191">
        <v>33331</v>
      </c>
      <c r="B60" s="193">
        <v>1.1738287512667689</v>
      </c>
      <c r="C60" s="194" t="s">
        <v>99</v>
      </c>
    </row>
    <row r="61" spans="1:3" x14ac:dyDescent="0.15">
      <c r="A61" s="191">
        <v>33332</v>
      </c>
      <c r="B61" s="193">
        <v>1.1780809224416577</v>
      </c>
      <c r="C61" s="194" t="s">
        <v>99</v>
      </c>
    </row>
    <row r="62" spans="1:3" x14ac:dyDescent="0.15">
      <c r="A62" s="191">
        <v>33333</v>
      </c>
      <c r="B62" s="193">
        <v>1.1823484970215843</v>
      </c>
      <c r="C62" s="194" t="s">
        <v>99</v>
      </c>
    </row>
    <row r="63" spans="1:3" x14ac:dyDescent="0.15">
      <c r="A63" s="191">
        <v>33334</v>
      </c>
      <c r="B63" s="193">
        <v>1.1823484970215843</v>
      </c>
      <c r="C63" s="194" t="s">
        <v>99</v>
      </c>
    </row>
    <row r="64" spans="1:3" x14ac:dyDescent="0.15">
      <c r="A64" s="191">
        <v>33335</v>
      </c>
      <c r="B64" s="193">
        <v>1.1823484970215843</v>
      </c>
      <c r="C64" s="194" t="s">
        <v>99</v>
      </c>
    </row>
    <row r="65" spans="1:3" x14ac:dyDescent="0.15">
      <c r="A65" s="191">
        <v>33336</v>
      </c>
      <c r="B65" s="193">
        <v>1.186631530805075</v>
      </c>
      <c r="C65" s="194" t="s">
        <v>99</v>
      </c>
    </row>
    <row r="66" spans="1:3" x14ac:dyDescent="0.15">
      <c r="A66" s="191">
        <v>33337</v>
      </c>
      <c r="B66" s="193">
        <v>1.1913618831405304</v>
      </c>
      <c r="C66" s="194" t="s">
        <v>99</v>
      </c>
    </row>
    <row r="67" spans="1:3" x14ac:dyDescent="0.15">
      <c r="A67" s="191">
        <v>33338</v>
      </c>
      <c r="B67" s="193">
        <v>1.1961110924106253</v>
      </c>
      <c r="C67" s="194" t="s">
        <v>99</v>
      </c>
    </row>
    <row r="68" spans="1:3" x14ac:dyDescent="0.15">
      <c r="A68" s="191">
        <v>33339</v>
      </c>
      <c r="B68" s="193">
        <v>1.2008792337860783</v>
      </c>
      <c r="C68" s="194" t="s">
        <v>99</v>
      </c>
    </row>
    <row r="69" spans="1:3" x14ac:dyDescent="0.15">
      <c r="A69" s="191">
        <v>33340</v>
      </c>
      <c r="B69" s="193">
        <v>1.2056663827372662</v>
      </c>
      <c r="C69" s="194" t="s">
        <v>99</v>
      </c>
    </row>
    <row r="70" spans="1:3" x14ac:dyDescent="0.15">
      <c r="A70" s="191">
        <v>33341</v>
      </c>
      <c r="B70" s="193">
        <v>1.2056663827372662</v>
      </c>
      <c r="C70" s="194" t="s">
        <v>99</v>
      </c>
    </row>
    <row r="71" spans="1:3" x14ac:dyDescent="0.15">
      <c r="A71" s="191">
        <v>33342</v>
      </c>
      <c r="B71" s="193">
        <v>1.2056663827372662</v>
      </c>
      <c r="C71" s="194" t="s">
        <v>99</v>
      </c>
    </row>
    <row r="72" spans="1:3" x14ac:dyDescent="0.15">
      <c r="A72" s="191">
        <v>33343</v>
      </c>
      <c r="B72" s="193">
        <v>1.2104726150354186</v>
      </c>
      <c r="C72" s="194" t="s">
        <v>99</v>
      </c>
    </row>
    <row r="73" spans="1:3" x14ac:dyDescent="0.15">
      <c r="A73" s="191">
        <v>33344</v>
      </c>
      <c r="B73" s="193">
        <v>1.2152980067538173</v>
      </c>
      <c r="C73" s="194" t="s">
        <v>99</v>
      </c>
    </row>
    <row r="74" spans="1:3" x14ac:dyDescent="0.15">
      <c r="A74" s="191">
        <v>33345</v>
      </c>
      <c r="B74" s="193">
        <v>1.2201426342690005</v>
      </c>
      <c r="C74" s="194" t="s">
        <v>99</v>
      </c>
    </row>
    <row r="75" spans="1:3" x14ac:dyDescent="0.15">
      <c r="A75" s="191">
        <v>33346</v>
      </c>
      <c r="B75" s="193">
        <v>1.2250065742619713</v>
      </c>
      <c r="C75" s="194" t="s">
        <v>99</v>
      </c>
    </row>
    <row r="76" spans="1:3" x14ac:dyDescent="0.15">
      <c r="A76" s="191">
        <v>33347</v>
      </c>
      <c r="B76" s="193">
        <v>1.229889903719412</v>
      </c>
      <c r="C76" s="194" t="s">
        <v>99</v>
      </c>
    </row>
    <row r="77" spans="1:3" x14ac:dyDescent="0.15">
      <c r="A77" s="191">
        <v>33348</v>
      </c>
      <c r="B77" s="193">
        <v>1.229889903719412</v>
      </c>
      <c r="C77" s="194" t="s">
        <v>99</v>
      </c>
    </row>
    <row r="78" spans="1:3" x14ac:dyDescent="0.15">
      <c r="A78" s="191">
        <v>33349</v>
      </c>
      <c r="B78" s="193">
        <v>1.229889903719412</v>
      </c>
      <c r="C78" s="194" t="s">
        <v>99</v>
      </c>
    </row>
    <row r="79" spans="1:3" x14ac:dyDescent="0.15">
      <c r="A79" s="191">
        <v>33350</v>
      </c>
      <c r="B79" s="193">
        <v>1.2347926999349019</v>
      </c>
      <c r="C79" s="194" t="s">
        <v>99</v>
      </c>
    </row>
    <row r="80" spans="1:3" x14ac:dyDescent="0.15">
      <c r="A80" s="191">
        <v>33351</v>
      </c>
      <c r="B80" s="193">
        <v>1.2397150405101414</v>
      </c>
      <c r="C80" s="194" t="s">
        <v>99</v>
      </c>
    </row>
    <row r="81" spans="1:3" x14ac:dyDescent="0.15">
      <c r="A81" s="191">
        <v>33352</v>
      </c>
      <c r="B81" s="193">
        <v>1.2446570033561799</v>
      </c>
      <c r="C81" s="194" t="s">
        <v>99</v>
      </c>
    </row>
    <row r="82" spans="1:3" x14ac:dyDescent="0.15">
      <c r="A82" s="191">
        <v>33353</v>
      </c>
      <c r="B82" s="193">
        <v>1.2496186666946489</v>
      </c>
      <c r="C82" s="194" t="s">
        <v>99</v>
      </c>
    </row>
    <row r="83" spans="1:3" x14ac:dyDescent="0.15">
      <c r="A83" s="191">
        <v>33354</v>
      </c>
      <c r="B83" s="193">
        <v>1.2546001090590004</v>
      </c>
      <c r="C83" s="194" t="s">
        <v>99</v>
      </c>
    </row>
    <row r="84" spans="1:3" x14ac:dyDescent="0.15">
      <c r="A84" s="191">
        <v>33355</v>
      </c>
      <c r="B84" s="193">
        <v>1.2546001090590004</v>
      </c>
      <c r="C84" s="194" t="s">
        <v>99</v>
      </c>
    </row>
    <row r="85" spans="1:3" x14ac:dyDescent="0.15">
      <c r="A85" s="191">
        <v>33356</v>
      </c>
      <c r="B85" s="193">
        <v>1.2546001090590004</v>
      </c>
      <c r="C85" s="194" t="s">
        <v>99</v>
      </c>
    </row>
    <row r="86" spans="1:3" x14ac:dyDescent="0.15">
      <c r="A86" s="191">
        <v>33357</v>
      </c>
      <c r="B86" s="193">
        <v>1.2596014092957499</v>
      </c>
      <c r="C86" s="194" t="s">
        <v>99</v>
      </c>
    </row>
    <row r="87" spans="1:3" x14ac:dyDescent="0.15">
      <c r="A87" s="191">
        <v>33358</v>
      </c>
      <c r="B87" s="193">
        <v>1.2646226465657242</v>
      </c>
      <c r="C87" s="194" t="s">
        <v>99</v>
      </c>
    </row>
    <row r="88" spans="1:3" x14ac:dyDescent="0.15">
      <c r="A88" s="191">
        <v>33359</v>
      </c>
      <c r="B88" s="193">
        <v>1.2646226465657242</v>
      </c>
      <c r="C88" s="194" t="s">
        <v>99</v>
      </c>
    </row>
    <row r="89" spans="1:3" x14ac:dyDescent="0.15">
      <c r="A89" s="191">
        <v>33360</v>
      </c>
      <c r="B89" s="193">
        <v>1.2697840900816439</v>
      </c>
      <c r="C89" s="194" t="s">
        <v>99</v>
      </c>
    </row>
    <row r="90" spans="1:3" x14ac:dyDescent="0.15">
      <c r="A90" s="191">
        <v>33361</v>
      </c>
      <c r="B90" s="193">
        <v>1.2749665995647439</v>
      </c>
      <c r="C90" s="194" t="s">
        <v>99</v>
      </c>
    </row>
    <row r="91" spans="1:3" x14ac:dyDescent="0.15">
      <c r="A91" s="191">
        <v>33362</v>
      </c>
      <c r="B91" s="193">
        <v>1.2749665995647439</v>
      </c>
      <c r="C91" s="194" t="s">
        <v>99</v>
      </c>
    </row>
    <row r="92" spans="1:3" x14ac:dyDescent="0.15">
      <c r="A92" s="191">
        <v>33363</v>
      </c>
      <c r="B92" s="193">
        <v>1.2749665995647439</v>
      </c>
      <c r="C92" s="194" t="s">
        <v>99</v>
      </c>
    </row>
    <row r="93" spans="1:3" x14ac:dyDescent="0.15">
      <c r="A93" s="191">
        <v>33364</v>
      </c>
      <c r="B93" s="193">
        <v>1.2801702609938734</v>
      </c>
      <c r="C93" s="194" t="s">
        <v>99</v>
      </c>
    </row>
    <row r="94" spans="1:3" x14ac:dyDescent="0.15">
      <c r="A94" s="191">
        <v>33365</v>
      </c>
      <c r="B94" s="193">
        <v>1.2853951606987963</v>
      </c>
      <c r="C94" s="194" t="s">
        <v>99</v>
      </c>
    </row>
    <row r="95" spans="1:3" x14ac:dyDescent="0.15">
      <c r="A95" s="191">
        <v>33366</v>
      </c>
      <c r="B95" s="193">
        <v>1.2906413853616239</v>
      </c>
      <c r="C95" s="194" t="s">
        <v>99</v>
      </c>
    </row>
    <row r="96" spans="1:3" x14ac:dyDescent="0.15">
      <c r="A96" s="191">
        <v>33367</v>
      </c>
      <c r="B96" s="193">
        <v>1.2959536265845306</v>
      </c>
      <c r="C96" s="194" t="s">
        <v>99</v>
      </c>
    </row>
    <row r="97" spans="1:3" x14ac:dyDescent="0.15">
      <c r="A97" s="191">
        <v>33368</v>
      </c>
      <c r="B97" s="193">
        <v>1.3012877328329437</v>
      </c>
      <c r="C97" s="194" t="s">
        <v>99</v>
      </c>
    </row>
    <row r="98" spans="1:3" x14ac:dyDescent="0.15">
      <c r="A98" s="191">
        <v>33369</v>
      </c>
      <c r="B98" s="193">
        <v>1.3012877328329437</v>
      </c>
      <c r="C98" s="194" t="s">
        <v>99</v>
      </c>
    </row>
    <row r="99" spans="1:3" x14ac:dyDescent="0.15">
      <c r="A99" s="191">
        <v>33370</v>
      </c>
      <c r="B99" s="193">
        <v>1.3012877328329437</v>
      </c>
      <c r="C99" s="194" t="s">
        <v>99</v>
      </c>
    </row>
    <row r="100" spans="1:3" x14ac:dyDescent="0.15">
      <c r="A100" s="191">
        <v>33371</v>
      </c>
      <c r="B100" s="193">
        <v>1.3066437941026521</v>
      </c>
      <c r="C100" s="194" t="s">
        <v>99</v>
      </c>
    </row>
    <row r="101" spans="1:3" x14ac:dyDescent="0.15">
      <c r="A101" s="191">
        <v>33372</v>
      </c>
      <c r="B101" s="193">
        <v>1.3120219007598648</v>
      </c>
      <c r="C101" s="194" t="s">
        <v>99</v>
      </c>
    </row>
    <row r="102" spans="1:3" x14ac:dyDescent="0.15">
      <c r="A102" s="191">
        <v>33373</v>
      </c>
      <c r="B102" s="193">
        <v>1.3174221435427353</v>
      </c>
      <c r="C102" s="194" t="s">
        <v>99</v>
      </c>
    </row>
    <row r="103" spans="1:3" x14ac:dyDescent="0.15">
      <c r="A103" s="191">
        <v>33374</v>
      </c>
      <c r="B103" s="193">
        <v>1.3228446135628928</v>
      </c>
      <c r="C103" s="194" t="s">
        <v>99</v>
      </c>
    </row>
    <row r="104" spans="1:3" x14ac:dyDescent="0.15">
      <c r="A104" s="191">
        <v>33375</v>
      </c>
      <c r="B104" s="193">
        <v>1.3282894023069793</v>
      </c>
      <c r="C104" s="194" t="s">
        <v>99</v>
      </c>
    </row>
    <row r="105" spans="1:3" x14ac:dyDescent="0.15">
      <c r="A105" s="191">
        <v>33376</v>
      </c>
      <c r="B105" s="193">
        <v>1.3282894023069793</v>
      </c>
      <c r="C105" s="194" t="s">
        <v>99</v>
      </c>
    </row>
    <row r="106" spans="1:3" x14ac:dyDescent="0.15">
      <c r="A106" s="191">
        <v>33377</v>
      </c>
      <c r="B106" s="193">
        <v>1.3282894023069793</v>
      </c>
      <c r="C106" s="194" t="s">
        <v>99</v>
      </c>
    </row>
    <row r="107" spans="1:3" x14ac:dyDescent="0.15">
      <c r="A107" s="191">
        <v>33378</v>
      </c>
      <c r="B107" s="193">
        <v>1.3337566016381928</v>
      </c>
      <c r="C107" s="194" t="s">
        <v>99</v>
      </c>
    </row>
    <row r="108" spans="1:3" x14ac:dyDescent="0.15">
      <c r="A108" s="191">
        <v>33379</v>
      </c>
      <c r="B108" s="193">
        <v>1.3392463037978375</v>
      </c>
      <c r="C108" s="194" t="s">
        <v>99</v>
      </c>
    </row>
    <row r="109" spans="1:3" x14ac:dyDescent="0.15">
      <c r="A109" s="191">
        <v>33380</v>
      </c>
      <c r="B109" s="193">
        <v>1.3447586014068802</v>
      </c>
      <c r="C109" s="194" t="s">
        <v>99</v>
      </c>
    </row>
    <row r="110" spans="1:3" x14ac:dyDescent="0.15">
      <c r="A110" s="191">
        <v>33381</v>
      </c>
      <c r="B110" s="193">
        <v>1.3502935874675128</v>
      </c>
      <c r="C110" s="194" t="s">
        <v>99</v>
      </c>
    </row>
    <row r="111" spans="1:3" x14ac:dyDescent="0.15">
      <c r="A111" s="191">
        <v>33382</v>
      </c>
      <c r="B111" s="193">
        <v>1.3558513553647213</v>
      </c>
      <c r="C111" s="194" t="s">
        <v>99</v>
      </c>
    </row>
    <row r="112" spans="1:3" x14ac:dyDescent="0.15">
      <c r="A112" s="191">
        <v>33383</v>
      </c>
      <c r="B112" s="193">
        <v>1.3558513553647213</v>
      </c>
      <c r="C112" s="194" t="s">
        <v>99</v>
      </c>
    </row>
    <row r="113" spans="1:3" x14ac:dyDescent="0.15">
      <c r="A113" s="191">
        <v>33384</v>
      </c>
      <c r="B113" s="193">
        <v>1.3558513553647213</v>
      </c>
      <c r="C113" s="194" t="s">
        <v>99</v>
      </c>
    </row>
    <row r="114" spans="1:3" x14ac:dyDescent="0.15">
      <c r="A114" s="191">
        <v>33385</v>
      </c>
      <c r="B114" s="193">
        <v>1.3614319988678618</v>
      </c>
      <c r="C114" s="194" t="s">
        <v>99</v>
      </c>
    </row>
    <row r="115" spans="1:3" x14ac:dyDescent="0.15">
      <c r="A115" s="191">
        <v>33386</v>
      </c>
      <c r="B115" s="193">
        <v>1.367035612132242</v>
      </c>
      <c r="C115" s="194" t="s">
        <v>99</v>
      </c>
    </row>
    <row r="116" spans="1:3" x14ac:dyDescent="0.15">
      <c r="A116" s="191">
        <v>33387</v>
      </c>
      <c r="B116" s="193">
        <v>1.3726622897007099</v>
      </c>
      <c r="C116" s="194" t="s">
        <v>99</v>
      </c>
    </row>
    <row r="117" spans="1:3" x14ac:dyDescent="0.15">
      <c r="A117" s="191">
        <v>33388</v>
      </c>
      <c r="B117" s="193">
        <v>1.3726622897007099</v>
      </c>
      <c r="C117" s="194" t="s">
        <v>99</v>
      </c>
    </row>
    <row r="118" spans="1:3" x14ac:dyDescent="0.15">
      <c r="A118" s="191">
        <v>33389</v>
      </c>
      <c r="B118" s="193">
        <v>1.3783121265052494</v>
      </c>
      <c r="C118" s="194" t="s">
        <v>99</v>
      </c>
    </row>
    <row r="119" spans="1:3" x14ac:dyDescent="0.15">
      <c r="A119" s="191">
        <v>33390</v>
      </c>
      <c r="B119" s="193">
        <v>1.3783121265052494</v>
      </c>
      <c r="C119" s="194" t="s">
        <v>99</v>
      </c>
    </row>
    <row r="120" spans="1:3" x14ac:dyDescent="0.15">
      <c r="A120" s="191">
        <v>33391</v>
      </c>
      <c r="B120" s="193">
        <v>1.3783121265052494</v>
      </c>
      <c r="C120" s="194" t="s">
        <v>99</v>
      </c>
    </row>
    <row r="121" spans="1:3" x14ac:dyDescent="0.15">
      <c r="A121" s="191">
        <v>33392</v>
      </c>
      <c r="B121" s="193">
        <v>1.3843908137780478</v>
      </c>
      <c r="C121" s="194" t="s">
        <v>99</v>
      </c>
    </row>
    <row r="122" spans="1:3" x14ac:dyDescent="0.15">
      <c r="A122" s="191">
        <v>33393</v>
      </c>
      <c r="B122" s="193">
        <v>1.3904963095206042</v>
      </c>
      <c r="C122" s="194" t="s">
        <v>99</v>
      </c>
    </row>
    <row r="123" spans="1:3" x14ac:dyDescent="0.15">
      <c r="A123" s="191">
        <v>33394</v>
      </c>
      <c r="B123" s="193">
        <v>1.3967707155428695</v>
      </c>
      <c r="C123" s="194" t="s">
        <v>99</v>
      </c>
    </row>
    <row r="124" spans="1:3" x14ac:dyDescent="0.15">
      <c r="A124" s="191">
        <v>33395</v>
      </c>
      <c r="B124" s="193">
        <v>1.4030734338811492</v>
      </c>
      <c r="C124" s="194" t="s">
        <v>99</v>
      </c>
    </row>
    <row r="125" spans="1:3" x14ac:dyDescent="0.15">
      <c r="A125" s="191">
        <v>33396</v>
      </c>
      <c r="B125" s="193">
        <v>1.4094045922905227</v>
      </c>
      <c r="C125" s="194" t="s">
        <v>99</v>
      </c>
    </row>
    <row r="126" spans="1:3" x14ac:dyDescent="0.15">
      <c r="A126" s="191">
        <v>33397</v>
      </c>
      <c r="B126" s="193">
        <v>1.4094045922905227</v>
      </c>
      <c r="C126" s="194" t="s">
        <v>99</v>
      </c>
    </row>
    <row r="127" spans="1:3" x14ac:dyDescent="0.15">
      <c r="A127" s="191">
        <v>33398</v>
      </c>
      <c r="B127" s="193">
        <v>1.4094045922905227</v>
      </c>
      <c r="C127" s="194" t="s">
        <v>99</v>
      </c>
    </row>
    <row r="128" spans="1:3" x14ac:dyDescent="0.15">
      <c r="A128" s="191">
        <v>33399</v>
      </c>
      <c r="B128" s="193">
        <v>1.4157643191025449</v>
      </c>
      <c r="C128" s="194" t="s">
        <v>99</v>
      </c>
    </row>
    <row r="129" spans="1:3" x14ac:dyDescent="0.15">
      <c r="A129" s="191">
        <v>33400</v>
      </c>
      <c r="B129" s="193">
        <v>1.4221527432278471</v>
      </c>
      <c r="C129" s="194" t="s">
        <v>99</v>
      </c>
    </row>
    <row r="130" spans="1:3" x14ac:dyDescent="0.15">
      <c r="A130" s="191">
        <v>33401</v>
      </c>
      <c r="B130" s="193">
        <v>1.4285699941587513</v>
      </c>
      <c r="C130" s="194" t="s">
        <v>99</v>
      </c>
    </row>
    <row r="131" spans="1:3" x14ac:dyDescent="0.15">
      <c r="A131" s="191">
        <v>33402</v>
      </c>
      <c r="B131" s="193">
        <v>1.4350162019718935</v>
      </c>
      <c r="C131" s="194" t="s">
        <v>99</v>
      </c>
    </row>
    <row r="132" spans="1:3" x14ac:dyDescent="0.15">
      <c r="A132" s="191">
        <v>33403</v>
      </c>
      <c r="B132" s="193">
        <v>1.4414914973308612</v>
      </c>
      <c r="C132" s="194" t="s">
        <v>99</v>
      </c>
    </row>
    <row r="133" spans="1:3" x14ac:dyDescent="0.15">
      <c r="A133" s="191">
        <v>33404</v>
      </c>
      <c r="B133" s="193">
        <v>1.4414914973308612</v>
      </c>
      <c r="C133" s="194" t="s">
        <v>99</v>
      </c>
    </row>
    <row r="134" spans="1:3" x14ac:dyDescent="0.15">
      <c r="A134" s="191">
        <v>33405</v>
      </c>
      <c r="B134" s="193">
        <v>1.4414914973308612</v>
      </c>
      <c r="C134" s="194" t="s">
        <v>99</v>
      </c>
    </row>
    <row r="135" spans="1:3" x14ac:dyDescent="0.15">
      <c r="A135" s="191">
        <v>33406</v>
      </c>
      <c r="B135" s="193">
        <v>1.4479960114888422</v>
      </c>
      <c r="C135" s="194" t="s">
        <v>99</v>
      </c>
    </row>
    <row r="136" spans="1:3" x14ac:dyDescent="0.15">
      <c r="A136" s="191">
        <v>33407</v>
      </c>
      <c r="B136" s="193">
        <v>1.4545298762912837</v>
      </c>
      <c r="C136" s="194" t="s">
        <v>99</v>
      </c>
    </row>
    <row r="137" spans="1:3" x14ac:dyDescent="0.15">
      <c r="A137" s="191">
        <v>33408</v>
      </c>
      <c r="B137" s="193">
        <v>1.4610932241785666</v>
      </c>
      <c r="C137" s="194" t="s">
        <v>99</v>
      </c>
    </row>
    <row r="138" spans="1:3" x14ac:dyDescent="0.15">
      <c r="A138" s="191">
        <v>33409</v>
      </c>
      <c r="B138" s="193">
        <v>1.4676861881886887</v>
      </c>
      <c r="C138" s="194" t="s">
        <v>99</v>
      </c>
    </row>
    <row r="139" spans="1:3" x14ac:dyDescent="0.15">
      <c r="A139" s="191">
        <v>33410</v>
      </c>
      <c r="B139" s="193">
        <v>1.4743089019599618</v>
      </c>
      <c r="C139" s="194" t="s">
        <v>99</v>
      </c>
    </row>
    <row r="140" spans="1:3" x14ac:dyDescent="0.15">
      <c r="A140" s="191">
        <v>33411</v>
      </c>
      <c r="B140" s="193">
        <v>1.4743089019599618</v>
      </c>
      <c r="C140" s="194" t="s">
        <v>99</v>
      </c>
    </row>
    <row r="141" spans="1:3" x14ac:dyDescent="0.15">
      <c r="A141" s="191">
        <v>33412</v>
      </c>
      <c r="B141" s="193">
        <v>1.4743089019599618</v>
      </c>
      <c r="C141" s="194" t="s">
        <v>99</v>
      </c>
    </row>
    <row r="142" spans="1:3" x14ac:dyDescent="0.15">
      <c r="A142" s="191">
        <v>33413</v>
      </c>
      <c r="B142" s="193">
        <v>1.4809614997337208</v>
      </c>
      <c r="C142" s="194" t="s">
        <v>99</v>
      </c>
    </row>
    <row r="143" spans="1:3" x14ac:dyDescent="0.15">
      <c r="A143" s="191">
        <v>33414</v>
      </c>
      <c r="B143" s="193">
        <v>1.4876441163570442</v>
      </c>
      <c r="C143" s="194" t="s">
        <v>99</v>
      </c>
    </row>
    <row r="144" spans="1:3" x14ac:dyDescent="0.15">
      <c r="A144" s="191">
        <v>33415</v>
      </c>
      <c r="B144" s="193">
        <v>1.4943568872854878</v>
      </c>
      <c r="C144" s="194" t="s">
        <v>99</v>
      </c>
    </row>
    <row r="145" spans="1:3" x14ac:dyDescent="0.15">
      <c r="A145" s="191">
        <v>33416</v>
      </c>
      <c r="B145" s="193">
        <v>1.5010999485858303</v>
      </c>
      <c r="C145" s="194" t="s">
        <v>99</v>
      </c>
    </row>
    <row r="146" spans="1:3" x14ac:dyDescent="0.15">
      <c r="A146" s="191">
        <v>33417</v>
      </c>
      <c r="B146" s="193">
        <v>1.5078734369388316</v>
      </c>
      <c r="C146" s="194" t="s">
        <v>99</v>
      </c>
    </row>
    <row r="147" spans="1:3" x14ac:dyDescent="0.15">
      <c r="A147" s="191">
        <v>33418</v>
      </c>
      <c r="B147" s="193">
        <v>1.5078734369388316</v>
      </c>
      <c r="C147" s="194" t="s">
        <v>99</v>
      </c>
    </row>
    <row r="148" spans="1:3" x14ac:dyDescent="0.15">
      <c r="A148" s="191">
        <v>33419</v>
      </c>
      <c r="B148" s="193">
        <v>1.5078734369388316</v>
      </c>
      <c r="C148" s="194" t="s">
        <v>99</v>
      </c>
    </row>
    <row r="149" spans="1:3" x14ac:dyDescent="0.15">
      <c r="A149" s="191">
        <v>33420</v>
      </c>
      <c r="B149" s="193">
        <v>1.514015110998624</v>
      </c>
      <c r="C149" s="194" t="s">
        <v>99</v>
      </c>
    </row>
    <row r="150" spans="1:3" x14ac:dyDescent="0.15">
      <c r="A150" s="191">
        <v>33421</v>
      </c>
      <c r="B150" s="193">
        <v>1.5201818005267791</v>
      </c>
      <c r="C150" s="194" t="s">
        <v>99</v>
      </c>
    </row>
    <row r="151" spans="1:3" x14ac:dyDescent="0.15">
      <c r="A151" s="191">
        <v>33422</v>
      </c>
      <c r="B151" s="193">
        <v>1.5263736074130507</v>
      </c>
      <c r="C151" s="194" t="s">
        <v>99</v>
      </c>
    </row>
    <row r="152" spans="1:3" x14ac:dyDescent="0.15">
      <c r="A152" s="191">
        <v>33423</v>
      </c>
      <c r="B152" s="193">
        <v>1.5325906339621966</v>
      </c>
      <c r="C152" s="194" t="s">
        <v>99</v>
      </c>
    </row>
    <row r="153" spans="1:3" x14ac:dyDescent="0.15">
      <c r="A153" s="191">
        <v>33424</v>
      </c>
      <c r="B153" s="193">
        <v>1.538906715831069</v>
      </c>
      <c r="C153" s="194" t="s">
        <v>99</v>
      </c>
    </row>
    <row r="154" spans="1:3" x14ac:dyDescent="0.15">
      <c r="A154" s="191">
        <v>33425</v>
      </c>
      <c r="B154" s="193">
        <v>1.538906715831069</v>
      </c>
      <c r="C154" s="194" t="s">
        <v>99</v>
      </c>
    </row>
    <row r="155" spans="1:3" x14ac:dyDescent="0.15">
      <c r="A155" s="191">
        <v>33426</v>
      </c>
      <c r="B155" s="193">
        <v>1.538906715831069</v>
      </c>
      <c r="C155" s="194" t="s">
        <v>99</v>
      </c>
    </row>
    <row r="156" spans="1:3" x14ac:dyDescent="0.15">
      <c r="A156" s="191">
        <v>33427</v>
      </c>
      <c r="B156" s="193">
        <v>1.5452488274102179</v>
      </c>
      <c r="C156" s="194" t="s">
        <v>99</v>
      </c>
    </row>
    <row r="157" spans="1:3" x14ac:dyDescent="0.15">
      <c r="A157" s="191">
        <v>33428</v>
      </c>
      <c r="B157" s="193">
        <v>1.5517415766707887</v>
      </c>
      <c r="C157" s="194" t="s">
        <v>99</v>
      </c>
    </row>
    <row r="158" spans="1:3" x14ac:dyDescent="0.15">
      <c r="A158" s="191">
        <v>33429</v>
      </c>
      <c r="B158" s="193">
        <v>1.5582616068405652</v>
      </c>
      <c r="C158" s="194" t="s">
        <v>99</v>
      </c>
    </row>
    <row r="159" spans="1:3" x14ac:dyDescent="0.15">
      <c r="A159" s="191">
        <v>33430</v>
      </c>
      <c r="B159" s="193">
        <v>1.5648090325471076</v>
      </c>
      <c r="C159" s="194" t="s">
        <v>99</v>
      </c>
    </row>
    <row r="160" spans="1:3" x14ac:dyDescent="0.15">
      <c r="A160" s="191">
        <v>33431</v>
      </c>
      <c r="B160" s="193">
        <v>1.5713839688996123</v>
      </c>
      <c r="C160" s="194" t="s">
        <v>99</v>
      </c>
    </row>
    <row r="161" spans="1:3" x14ac:dyDescent="0.15">
      <c r="A161" s="191">
        <v>33432</v>
      </c>
      <c r="B161" s="193">
        <v>1.5713839688996123</v>
      </c>
      <c r="C161" s="194" t="s">
        <v>99</v>
      </c>
    </row>
    <row r="162" spans="1:3" x14ac:dyDescent="0.15">
      <c r="A162" s="191">
        <v>33433</v>
      </c>
      <c r="B162" s="193">
        <v>1.5713839688996123</v>
      </c>
      <c r="C162" s="194" t="s">
        <v>99</v>
      </c>
    </row>
    <row r="163" spans="1:3" x14ac:dyDescent="0.15">
      <c r="A163" s="191">
        <v>33434</v>
      </c>
      <c r="B163" s="193">
        <v>1.5779865314909363</v>
      </c>
      <c r="C163" s="194" t="s">
        <v>99</v>
      </c>
    </row>
    <row r="164" spans="1:3" x14ac:dyDescent="0.15">
      <c r="A164" s="191">
        <v>33435</v>
      </c>
      <c r="B164" s="193">
        <v>1.5846168363996282</v>
      </c>
      <c r="C164" s="194" t="s">
        <v>99</v>
      </c>
    </row>
    <row r="165" spans="1:3" x14ac:dyDescent="0.15">
      <c r="A165" s="191">
        <v>33436</v>
      </c>
      <c r="B165" s="193">
        <v>1.5912750001919704</v>
      </c>
      <c r="C165" s="194" t="s">
        <v>99</v>
      </c>
    </row>
    <row r="166" spans="1:3" x14ac:dyDescent="0.15">
      <c r="A166" s="191">
        <v>33437</v>
      </c>
      <c r="B166" s="193">
        <v>1.597961139924027</v>
      </c>
      <c r="C166" s="194" t="s">
        <v>99</v>
      </c>
    </row>
    <row r="167" spans="1:3" x14ac:dyDescent="0.15">
      <c r="A167" s="191">
        <v>33438</v>
      </c>
      <c r="B167" s="193">
        <v>1.6046753731437027</v>
      </c>
      <c r="C167" s="194" t="s">
        <v>99</v>
      </c>
    </row>
    <row r="168" spans="1:3" x14ac:dyDescent="0.15">
      <c r="A168" s="191">
        <v>33439</v>
      </c>
      <c r="B168" s="193">
        <v>1.6046753731437027</v>
      </c>
      <c r="C168" s="194" t="s">
        <v>99</v>
      </c>
    </row>
    <row r="169" spans="1:3" x14ac:dyDescent="0.15">
      <c r="A169" s="191">
        <v>33440</v>
      </c>
      <c r="B169" s="193">
        <v>1.6046753731437027</v>
      </c>
      <c r="C169" s="194" t="s">
        <v>99</v>
      </c>
    </row>
    <row r="170" spans="1:3" x14ac:dyDescent="0.15">
      <c r="A170" s="191">
        <v>33441</v>
      </c>
      <c r="B170" s="193">
        <v>1.6114178178928091</v>
      </c>
      <c r="C170" s="194" t="s">
        <v>99</v>
      </c>
    </row>
    <row r="171" spans="1:3" x14ac:dyDescent="0.15">
      <c r="A171" s="191">
        <v>33442</v>
      </c>
      <c r="B171" s="193">
        <v>1.6181885927091402</v>
      </c>
      <c r="C171" s="194" t="s">
        <v>99</v>
      </c>
    </row>
    <row r="172" spans="1:3" x14ac:dyDescent="0.15">
      <c r="A172" s="191">
        <v>33443</v>
      </c>
      <c r="B172" s="193">
        <v>1.6249878166285558</v>
      </c>
      <c r="C172" s="194" t="s">
        <v>99</v>
      </c>
    </row>
    <row r="173" spans="1:3" x14ac:dyDescent="0.15">
      <c r="A173" s="191">
        <v>33444</v>
      </c>
      <c r="B173" s="193">
        <v>1.6318156091870748</v>
      </c>
      <c r="C173" s="194" t="s">
        <v>99</v>
      </c>
    </row>
    <row r="174" spans="1:3" x14ac:dyDescent="0.15">
      <c r="A174" s="191">
        <v>33445</v>
      </c>
      <c r="B174" s="193">
        <v>1.6386720904229766</v>
      </c>
      <c r="C174" s="194" t="s">
        <v>99</v>
      </c>
    </row>
    <row r="175" spans="1:3" x14ac:dyDescent="0.15">
      <c r="A175" s="191">
        <v>33446</v>
      </c>
      <c r="B175" s="193">
        <v>1.6386720904229766</v>
      </c>
      <c r="C175" s="194" t="s">
        <v>99</v>
      </c>
    </row>
    <row r="176" spans="1:3" x14ac:dyDescent="0.15">
      <c r="A176" s="191">
        <v>33447</v>
      </c>
      <c r="B176" s="193">
        <v>1.6386720904229766</v>
      </c>
      <c r="C176" s="194" t="s">
        <v>99</v>
      </c>
    </row>
    <row r="177" spans="1:3" x14ac:dyDescent="0.15">
      <c r="A177" s="191">
        <v>33448</v>
      </c>
      <c r="B177" s="193">
        <v>1.6455573808789112</v>
      </c>
      <c r="C177" s="194" t="s">
        <v>99</v>
      </c>
    </row>
    <row r="178" spans="1:3" x14ac:dyDescent="0.15">
      <c r="A178" s="191">
        <v>33449</v>
      </c>
      <c r="B178" s="193">
        <v>1.6524716016040193</v>
      </c>
      <c r="C178" s="194" t="s">
        <v>99</v>
      </c>
    </row>
    <row r="179" spans="1:3" x14ac:dyDescent="0.15">
      <c r="A179" s="191">
        <v>33450</v>
      </c>
      <c r="B179" s="193">
        <v>1.659414874156059</v>
      </c>
      <c r="C179" s="194" t="s">
        <v>99</v>
      </c>
    </row>
    <row r="180" spans="1:3" x14ac:dyDescent="0.15">
      <c r="A180" s="191">
        <v>33451</v>
      </c>
      <c r="B180" s="193">
        <v>1.6675097986068697</v>
      </c>
      <c r="C180" s="194" t="s">
        <v>99</v>
      </c>
    </row>
    <row r="181" spans="1:3" x14ac:dyDescent="0.15">
      <c r="A181" s="191">
        <v>33452</v>
      </c>
      <c r="B181" s="193">
        <v>1.6756442115562376</v>
      </c>
      <c r="C181" s="194" t="s">
        <v>99</v>
      </c>
    </row>
    <row r="182" spans="1:3" x14ac:dyDescent="0.15">
      <c r="A182" s="191">
        <v>33453</v>
      </c>
      <c r="B182" s="193">
        <v>1.6756442115562376</v>
      </c>
      <c r="C182" s="194" t="s">
        <v>99</v>
      </c>
    </row>
    <row r="183" spans="1:3" x14ac:dyDescent="0.15">
      <c r="A183" s="191">
        <v>33454</v>
      </c>
      <c r="B183" s="193">
        <v>1.6756442115562376</v>
      </c>
      <c r="C183" s="194" t="s">
        <v>99</v>
      </c>
    </row>
    <row r="184" spans="1:3" x14ac:dyDescent="0.15">
      <c r="A184" s="191">
        <v>33455</v>
      </c>
      <c r="B184" s="193">
        <v>1.6839694655004913</v>
      </c>
      <c r="C184" s="194" t="s">
        <v>99</v>
      </c>
    </row>
    <row r="185" spans="1:3" x14ac:dyDescent="0.15">
      <c r="A185" s="191">
        <v>33456</v>
      </c>
      <c r="B185" s="193">
        <v>1.6923360825531892</v>
      </c>
      <c r="C185" s="194" t="s">
        <v>99</v>
      </c>
    </row>
    <row r="186" spans="1:3" x14ac:dyDescent="0.15">
      <c r="A186" s="191">
        <v>33457</v>
      </c>
      <c r="B186" s="193">
        <v>1.7007442682223857</v>
      </c>
      <c r="C186" s="194" t="s">
        <v>99</v>
      </c>
    </row>
    <row r="187" spans="1:3" x14ac:dyDescent="0.15">
      <c r="A187" s="191">
        <v>33458</v>
      </c>
      <c r="B187" s="193">
        <v>1.7093744228923973</v>
      </c>
      <c r="C187" s="194" t="s">
        <v>99</v>
      </c>
    </row>
    <row r="188" spans="1:3" x14ac:dyDescent="0.15">
      <c r="A188" s="191">
        <v>33459</v>
      </c>
      <c r="B188" s="193">
        <v>1.718048369901457</v>
      </c>
      <c r="C188" s="194" t="s">
        <v>99</v>
      </c>
    </row>
    <row r="189" spans="1:3" x14ac:dyDescent="0.15">
      <c r="A189" s="191">
        <v>33460</v>
      </c>
      <c r="B189" s="193">
        <v>1.718048369901457</v>
      </c>
      <c r="C189" s="194" t="s">
        <v>99</v>
      </c>
    </row>
    <row r="190" spans="1:3" x14ac:dyDescent="0.15">
      <c r="A190" s="191">
        <v>33461</v>
      </c>
      <c r="B190" s="193">
        <v>1.718048369901457</v>
      </c>
      <c r="C190" s="194" t="s">
        <v>99</v>
      </c>
    </row>
    <row r="191" spans="1:3" x14ac:dyDescent="0.15">
      <c r="A191" s="191">
        <v>33462</v>
      </c>
      <c r="B191" s="193">
        <v>1.7270237122930778</v>
      </c>
      <c r="C191" s="194" t="s">
        <v>99</v>
      </c>
    </row>
    <row r="192" spans="1:3" x14ac:dyDescent="0.15">
      <c r="A192" s="191">
        <v>33463</v>
      </c>
      <c r="B192" s="193">
        <v>1.7360459432196538</v>
      </c>
      <c r="C192" s="194" t="s">
        <v>99</v>
      </c>
    </row>
    <row r="193" spans="1:3" x14ac:dyDescent="0.15">
      <c r="A193" s="191">
        <v>33464</v>
      </c>
      <c r="B193" s="193">
        <v>1.745115307633925</v>
      </c>
      <c r="C193" s="194" t="s">
        <v>99</v>
      </c>
    </row>
    <row r="194" spans="1:3" x14ac:dyDescent="0.15">
      <c r="A194" s="191">
        <v>33465</v>
      </c>
      <c r="B194" s="193">
        <v>1.754232051768301</v>
      </c>
      <c r="C194" s="194" t="s">
        <v>99</v>
      </c>
    </row>
    <row r="195" spans="1:3" x14ac:dyDescent="0.15">
      <c r="A195" s="191">
        <v>33466</v>
      </c>
      <c r="B195" s="193">
        <v>1.7633964231415464</v>
      </c>
      <c r="C195" s="194" t="s">
        <v>99</v>
      </c>
    </row>
    <row r="196" spans="1:3" x14ac:dyDescent="0.15">
      <c r="A196" s="191">
        <v>33467</v>
      </c>
      <c r="B196" s="193">
        <v>1.7633964231415464</v>
      </c>
      <c r="C196" s="194" t="s">
        <v>99</v>
      </c>
    </row>
    <row r="197" spans="1:3" x14ac:dyDescent="0.15">
      <c r="A197" s="191">
        <v>33468</v>
      </c>
      <c r="B197" s="193">
        <v>1.7633964231415464</v>
      </c>
      <c r="C197" s="194" t="s">
        <v>99</v>
      </c>
    </row>
    <row r="198" spans="1:3" x14ac:dyDescent="0.15">
      <c r="A198" s="191">
        <v>33469</v>
      </c>
      <c r="B198" s="193">
        <v>1.7726086705655015</v>
      </c>
      <c r="C198" s="194" t="s">
        <v>99</v>
      </c>
    </row>
    <row r="199" spans="1:3" x14ac:dyDescent="0.15">
      <c r="A199" s="191">
        <v>33470</v>
      </c>
      <c r="B199" s="193">
        <v>1.7818690441518366</v>
      </c>
      <c r="C199" s="194" t="s">
        <v>99</v>
      </c>
    </row>
    <row r="200" spans="1:3" x14ac:dyDescent="0.15">
      <c r="A200" s="191">
        <v>33471</v>
      </c>
      <c r="B200" s="193">
        <v>1.7911777953188426</v>
      </c>
      <c r="C200" s="194" t="s">
        <v>99</v>
      </c>
    </row>
    <row r="201" spans="1:3" x14ac:dyDescent="0.15">
      <c r="A201" s="191">
        <v>33472</v>
      </c>
      <c r="B201" s="193">
        <v>1.8005351767982576</v>
      </c>
      <c r="C201" s="194" t="s">
        <v>99</v>
      </c>
    </row>
    <row r="202" spans="1:3" x14ac:dyDescent="0.15">
      <c r="A202" s="191">
        <v>33473</v>
      </c>
      <c r="B202" s="193">
        <v>1.8099414426421283</v>
      </c>
      <c r="C202" s="194" t="s">
        <v>99</v>
      </c>
    </row>
    <row r="203" spans="1:3" x14ac:dyDescent="0.15">
      <c r="A203" s="191">
        <v>33474</v>
      </c>
      <c r="B203" s="193">
        <v>1.8099414426421283</v>
      </c>
      <c r="C203" s="194" t="s">
        <v>99</v>
      </c>
    </row>
    <row r="204" spans="1:3" x14ac:dyDescent="0.15">
      <c r="A204" s="191">
        <v>33475</v>
      </c>
      <c r="B204" s="193">
        <v>1.8099414426421283</v>
      </c>
      <c r="C204" s="194" t="s">
        <v>99</v>
      </c>
    </row>
    <row r="205" spans="1:3" x14ac:dyDescent="0.15">
      <c r="A205" s="191">
        <v>33476</v>
      </c>
      <c r="B205" s="193">
        <v>1.8193968482297074</v>
      </c>
      <c r="C205" s="194" t="s">
        <v>99</v>
      </c>
    </row>
    <row r="206" spans="1:3" x14ac:dyDescent="0.15">
      <c r="A206" s="191">
        <v>33477</v>
      </c>
      <c r="B206" s="193">
        <v>1.8289016502743867</v>
      </c>
      <c r="C206" s="194" t="s">
        <v>99</v>
      </c>
    </row>
    <row r="207" spans="1:3" x14ac:dyDescent="0.15">
      <c r="A207" s="191">
        <v>33478</v>
      </c>
      <c r="B207" s="193">
        <v>1.8384561068306677</v>
      </c>
      <c r="C207" s="194" t="s">
        <v>99</v>
      </c>
    </row>
    <row r="208" spans="1:3" x14ac:dyDescent="0.15">
      <c r="A208" s="191">
        <v>33479</v>
      </c>
      <c r="B208" s="193">
        <v>1.8480604773011673</v>
      </c>
      <c r="C208" s="194" t="s">
        <v>99</v>
      </c>
    </row>
    <row r="209" spans="1:3" x14ac:dyDescent="0.15">
      <c r="A209" s="191">
        <v>33480</v>
      </c>
      <c r="B209" s="193">
        <v>1.8577150224436603</v>
      </c>
      <c r="C209" s="194" t="s">
        <v>99</v>
      </c>
    </row>
    <row r="210" spans="1:3" x14ac:dyDescent="0.15">
      <c r="A210" s="191">
        <v>33481</v>
      </c>
      <c r="B210" s="193">
        <v>1.8577150224436603</v>
      </c>
      <c r="C210" s="194" t="s">
        <v>99</v>
      </c>
    </row>
    <row r="211" spans="1:3" x14ac:dyDescent="0.15">
      <c r="A211" s="191">
        <v>33482</v>
      </c>
      <c r="B211" s="193">
        <v>1.8577150224436603</v>
      </c>
      <c r="C211" s="194" t="s">
        <v>99</v>
      </c>
    </row>
    <row r="212" spans="1:3" x14ac:dyDescent="0.15">
      <c r="A212" s="191">
        <v>33483</v>
      </c>
      <c r="B212" s="193">
        <v>1.8712743729295753</v>
      </c>
      <c r="C212" s="194" t="s">
        <v>99</v>
      </c>
    </row>
    <row r="213" spans="1:3" x14ac:dyDescent="0.15">
      <c r="A213" s="191">
        <v>33484</v>
      </c>
      <c r="B213" s="193">
        <v>1.884932692301126</v>
      </c>
      <c r="C213" s="194" t="s">
        <v>99</v>
      </c>
    </row>
    <row r="214" spans="1:3" x14ac:dyDescent="0.15">
      <c r="A214" s="191">
        <v>33485</v>
      </c>
      <c r="B214" s="193">
        <v>1.8986907029262705</v>
      </c>
      <c r="C214" s="194" t="s">
        <v>99</v>
      </c>
    </row>
    <row r="215" spans="1:3" x14ac:dyDescent="0.15">
      <c r="A215" s="191">
        <v>33486</v>
      </c>
      <c r="B215" s="193">
        <v>1.9125491324454873</v>
      </c>
      <c r="C215" s="194" t="s">
        <v>99</v>
      </c>
    </row>
    <row r="216" spans="1:3" x14ac:dyDescent="0.15">
      <c r="A216" s="191">
        <v>33487</v>
      </c>
      <c r="B216" s="193">
        <v>1.9265087138102592</v>
      </c>
      <c r="C216" s="194" t="s">
        <v>99</v>
      </c>
    </row>
    <row r="217" spans="1:3" x14ac:dyDescent="0.15">
      <c r="A217" s="191">
        <v>33488</v>
      </c>
      <c r="B217" s="193">
        <v>1.9265087138102592</v>
      </c>
      <c r="C217" s="194" t="s">
        <v>99</v>
      </c>
    </row>
    <row r="218" spans="1:3" x14ac:dyDescent="0.15">
      <c r="A218" s="191">
        <v>33489</v>
      </c>
      <c r="B218" s="193">
        <v>1.9265087138102592</v>
      </c>
      <c r="C218" s="194" t="s">
        <v>99</v>
      </c>
    </row>
    <row r="219" spans="1:3" x14ac:dyDescent="0.15">
      <c r="A219" s="191">
        <v>33490</v>
      </c>
      <c r="B219" s="193">
        <v>1.9405701853218376</v>
      </c>
      <c r="C219" s="194" t="s">
        <v>99</v>
      </c>
    </row>
    <row r="220" spans="1:3" x14ac:dyDescent="0.15">
      <c r="A220" s="191">
        <v>33491</v>
      </c>
      <c r="B220" s="193">
        <v>1.9550471493955679</v>
      </c>
      <c r="C220" s="194" t="s">
        <v>99</v>
      </c>
    </row>
    <row r="221" spans="1:3" x14ac:dyDescent="0.15">
      <c r="A221" s="191">
        <v>33492</v>
      </c>
      <c r="B221" s="193">
        <v>1.9696321139376025</v>
      </c>
      <c r="C221" s="194" t="s">
        <v>99</v>
      </c>
    </row>
    <row r="222" spans="1:3" x14ac:dyDescent="0.15">
      <c r="A222" s="191">
        <v>33493</v>
      </c>
      <c r="B222" s="193">
        <v>1.9843258846487151</v>
      </c>
      <c r="C222" s="194" t="s">
        <v>99</v>
      </c>
    </row>
    <row r="223" spans="1:3" x14ac:dyDescent="0.15">
      <c r="A223" s="191">
        <v>33494</v>
      </c>
      <c r="B223" s="193">
        <v>1.9991292732403358</v>
      </c>
      <c r="C223" s="194" t="s">
        <v>99</v>
      </c>
    </row>
    <row r="224" spans="1:3" x14ac:dyDescent="0.15">
      <c r="A224" s="191">
        <v>33495</v>
      </c>
      <c r="B224" s="193">
        <v>1.9991292732403358</v>
      </c>
      <c r="C224" s="194" t="s">
        <v>99</v>
      </c>
    </row>
    <row r="225" spans="1:3" x14ac:dyDescent="0.15">
      <c r="A225" s="191">
        <v>33496</v>
      </c>
      <c r="B225" s="193">
        <v>1.9991292732403358</v>
      </c>
      <c r="C225" s="194" t="s">
        <v>99</v>
      </c>
    </row>
    <row r="226" spans="1:3" x14ac:dyDescent="0.15">
      <c r="A226" s="191">
        <v>33497</v>
      </c>
      <c r="B226" s="193">
        <v>2.0140430974793921</v>
      </c>
      <c r="C226" s="194" t="s">
        <v>99</v>
      </c>
    </row>
    <row r="227" spans="1:3" x14ac:dyDescent="0.15">
      <c r="A227" s="191">
        <v>33498</v>
      </c>
      <c r="B227" s="193">
        <v>2.0290681812334839</v>
      </c>
      <c r="C227" s="194" t="s">
        <v>99</v>
      </c>
    </row>
    <row r="228" spans="1:3" x14ac:dyDescent="0.15">
      <c r="A228" s="191">
        <v>33499</v>
      </c>
      <c r="B228" s="193">
        <v>2.0442053545163947</v>
      </c>
      <c r="C228" s="194" t="s">
        <v>99</v>
      </c>
    </row>
    <row r="229" spans="1:3" x14ac:dyDescent="0.15">
      <c r="A229" s="191">
        <v>33500</v>
      </c>
      <c r="B229" s="193">
        <v>2.0594554535339435</v>
      </c>
      <c r="C229" s="194" t="s">
        <v>99</v>
      </c>
    </row>
    <row r="230" spans="1:3" x14ac:dyDescent="0.15">
      <c r="A230" s="191">
        <v>33501</v>
      </c>
      <c r="B230" s="193">
        <v>2.0748193207301791</v>
      </c>
      <c r="C230" s="194" t="s">
        <v>99</v>
      </c>
    </row>
    <row r="231" spans="1:3" x14ac:dyDescent="0.15">
      <c r="A231" s="191">
        <v>33502</v>
      </c>
      <c r="B231" s="193">
        <v>2.0748193207301791</v>
      </c>
      <c r="C231" s="194" t="s">
        <v>99</v>
      </c>
    </row>
    <row r="232" spans="1:3" x14ac:dyDescent="0.15">
      <c r="A232" s="191">
        <v>33503</v>
      </c>
      <c r="B232" s="193">
        <v>2.0748193207301791</v>
      </c>
      <c r="C232" s="194" t="s">
        <v>99</v>
      </c>
    </row>
    <row r="233" spans="1:3" x14ac:dyDescent="0.15">
      <c r="A233" s="191">
        <v>33504</v>
      </c>
      <c r="B233" s="193">
        <v>2.0902978048339174</v>
      </c>
      <c r="C233" s="194" t="s">
        <v>99</v>
      </c>
    </row>
    <row r="234" spans="1:3" x14ac:dyDescent="0.15">
      <c r="A234" s="191">
        <v>33505</v>
      </c>
      <c r="B234" s="193">
        <v>2.1058917609056271</v>
      </c>
      <c r="C234" s="194" t="s">
        <v>99</v>
      </c>
    </row>
    <row r="235" spans="1:3" x14ac:dyDescent="0.15">
      <c r="A235" s="191">
        <v>33506</v>
      </c>
      <c r="B235" s="193">
        <v>2.1216020503846647</v>
      </c>
      <c r="C235" s="194" t="s">
        <v>99</v>
      </c>
    </row>
    <row r="236" spans="1:3" x14ac:dyDescent="0.15">
      <c r="A236" s="191">
        <v>33507</v>
      </c>
      <c r="B236" s="193">
        <v>2.137429541136862</v>
      </c>
      <c r="C236" s="194" t="s">
        <v>99</v>
      </c>
    </row>
    <row r="237" spans="1:3" x14ac:dyDescent="0.15">
      <c r="A237" s="191">
        <v>33508</v>
      </c>
      <c r="B237" s="193">
        <v>2.1533751075024696</v>
      </c>
      <c r="C237" s="194" t="s">
        <v>99</v>
      </c>
    </row>
    <row r="238" spans="1:3" x14ac:dyDescent="0.15">
      <c r="A238" s="191">
        <v>33509</v>
      </c>
      <c r="B238" s="193">
        <v>2.1533751075024696</v>
      </c>
      <c r="C238" s="194" t="s">
        <v>99</v>
      </c>
    </row>
    <row r="239" spans="1:3" x14ac:dyDescent="0.15">
      <c r="A239" s="191">
        <v>33510</v>
      </c>
      <c r="B239" s="193">
        <v>2.1533751075024696</v>
      </c>
      <c r="C239" s="194" t="s">
        <v>99</v>
      </c>
    </row>
    <row r="240" spans="1:3" x14ac:dyDescent="0.15">
      <c r="A240" s="191">
        <v>33511</v>
      </c>
      <c r="B240" s="193">
        <v>2.169439630344455</v>
      </c>
      <c r="C240" s="194" t="s">
        <v>99</v>
      </c>
    </row>
    <row r="241" spans="1:3" x14ac:dyDescent="0.15">
      <c r="A241" s="191">
        <v>33512</v>
      </c>
      <c r="B241" s="193">
        <v>2.1855095808510612</v>
      </c>
      <c r="C241" s="194" t="s">
        <v>99</v>
      </c>
    </row>
    <row r="242" spans="1:3" x14ac:dyDescent="0.15">
      <c r="A242" s="191">
        <v>33513</v>
      </c>
      <c r="B242" s="193">
        <v>2.2016985682304488</v>
      </c>
      <c r="C242" s="194" t="s">
        <v>99</v>
      </c>
    </row>
    <row r="243" spans="1:3" x14ac:dyDescent="0.15">
      <c r="A243" s="191">
        <v>33514</v>
      </c>
      <c r="B243" s="193">
        <v>2.2180074742387306</v>
      </c>
      <c r="C243" s="194" t="s">
        <v>99</v>
      </c>
    </row>
    <row r="244" spans="1:3" x14ac:dyDescent="0.15">
      <c r="A244" s="191">
        <v>33515</v>
      </c>
      <c r="B244" s="193">
        <v>2.234437187163556</v>
      </c>
      <c r="C244" s="194" t="s">
        <v>99</v>
      </c>
    </row>
    <row r="245" spans="1:3" x14ac:dyDescent="0.15">
      <c r="A245" s="191">
        <v>33516</v>
      </c>
      <c r="B245" s="193">
        <v>2.234437187163556</v>
      </c>
      <c r="C245" s="194" t="s">
        <v>99</v>
      </c>
    </row>
    <row r="246" spans="1:3" x14ac:dyDescent="0.15">
      <c r="A246" s="191">
        <v>33517</v>
      </c>
      <c r="B246" s="193">
        <v>2.234437187163556</v>
      </c>
      <c r="C246" s="194" t="s">
        <v>99</v>
      </c>
    </row>
    <row r="247" spans="1:3" x14ac:dyDescent="0.15">
      <c r="A247" s="191">
        <v>33518</v>
      </c>
      <c r="B247" s="193">
        <v>2.2509886018724954</v>
      </c>
      <c r="C247" s="194" t="s">
        <v>99</v>
      </c>
    </row>
    <row r="248" spans="1:3" x14ac:dyDescent="0.15">
      <c r="A248" s="191">
        <v>33519</v>
      </c>
      <c r="B248" s="193">
        <v>2.2690060098593752</v>
      </c>
      <c r="C248" s="194" t="s">
        <v>99</v>
      </c>
    </row>
    <row r="249" spans="1:3" x14ac:dyDescent="0.15">
      <c r="A249" s="191">
        <v>33520</v>
      </c>
      <c r="B249" s="193">
        <v>2.2871676331436115</v>
      </c>
      <c r="C249" s="194" t="s">
        <v>99</v>
      </c>
    </row>
    <row r="250" spans="1:3" x14ac:dyDescent="0.15">
      <c r="A250" s="191">
        <v>33521</v>
      </c>
      <c r="B250" s="193">
        <v>2.305474626056172</v>
      </c>
      <c r="C250" s="194" t="s">
        <v>99</v>
      </c>
    </row>
    <row r="251" spans="1:3" x14ac:dyDescent="0.15">
      <c r="A251" s="191">
        <v>33522</v>
      </c>
      <c r="B251" s="193">
        <v>2.323928152167543</v>
      </c>
      <c r="C251" s="194" t="s">
        <v>99</v>
      </c>
    </row>
    <row r="252" spans="1:3" x14ac:dyDescent="0.15">
      <c r="A252" s="191">
        <v>33523</v>
      </c>
      <c r="B252" s="193">
        <v>2.323928152167543</v>
      </c>
      <c r="C252" s="194" t="s">
        <v>99</v>
      </c>
    </row>
    <row r="253" spans="1:3" x14ac:dyDescent="0.15">
      <c r="A253" s="191">
        <v>33524</v>
      </c>
      <c r="B253" s="193">
        <v>2.323928152167543</v>
      </c>
      <c r="C253" s="194" t="s">
        <v>99</v>
      </c>
    </row>
    <row r="254" spans="1:3" x14ac:dyDescent="0.15">
      <c r="A254" s="191">
        <v>33525</v>
      </c>
      <c r="B254" s="193">
        <v>2.3425293843616855</v>
      </c>
      <c r="C254" s="194" t="s">
        <v>99</v>
      </c>
    </row>
    <row r="255" spans="1:3" x14ac:dyDescent="0.15">
      <c r="A255" s="191">
        <v>33526</v>
      </c>
      <c r="B255" s="193">
        <v>2.3612795049105806</v>
      </c>
      <c r="C255" s="194" t="s">
        <v>99</v>
      </c>
    </row>
    <row r="256" spans="1:3" x14ac:dyDescent="0.15">
      <c r="A256" s="191">
        <v>33527</v>
      </c>
      <c r="B256" s="193">
        <v>2.3801797055493759</v>
      </c>
      <c r="C256" s="194" t="s">
        <v>99</v>
      </c>
    </row>
    <row r="257" spans="1:3" x14ac:dyDescent="0.15">
      <c r="A257" s="191">
        <v>33528</v>
      </c>
      <c r="B257" s="193">
        <v>2.3992311875521279</v>
      </c>
      <c r="C257" s="194" t="s">
        <v>99</v>
      </c>
    </row>
    <row r="258" spans="1:3" x14ac:dyDescent="0.15">
      <c r="A258" s="191">
        <v>33529</v>
      </c>
      <c r="B258" s="193">
        <v>2.4184351618081563</v>
      </c>
      <c r="C258" s="194" t="s">
        <v>99</v>
      </c>
    </row>
    <row r="259" spans="1:3" x14ac:dyDescent="0.15">
      <c r="A259" s="191">
        <v>33530</v>
      </c>
      <c r="B259" s="193">
        <v>2.4184351618081563</v>
      </c>
      <c r="C259" s="194" t="s">
        <v>99</v>
      </c>
    </row>
    <row r="260" spans="1:3" x14ac:dyDescent="0.15">
      <c r="A260" s="191">
        <v>33531</v>
      </c>
      <c r="B260" s="193">
        <v>2.4184351618081563</v>
      </c>
      <c r="C260" s="194" t="s">
        <v>99</v>
      </c>
    </row>
    <row r="261" spans="1:3" x14ac:dyDescent="0.15">
      <c r="A261" s="191">
        <v>33532</v>
      </c>
      <c r="B261" s="193">
        <v>2.4377928488990039</v>
      </c>
      <c r="C261" s="194" t="s">
        <v>99</v>
      </c>
    </row>
    <row r="262" spans="1:3" x14ac:dyDescent="0.15">
      <c r="A262" s="191">
        <v>33533</v>
      </c>
      <c r="B262" s="193">
        <v>2.4573054791760183</v>
      </c>
      <c r="C262" s="194" t="s">
        <v>99</v>
      </c>
    </row>
    <row r="263" spans="1:3" x14ac:dyDescent="0.15">
      <c r="A263" s="191">
        <v>33534</v>
      </c>
      <c r="B263" s="193">
        <v>2.4769742928385483</v>
      </c>
      <c r="C263" s="194" t="s">
        <v>99</v>
      </c>
    </row>
    <row r="264" spans="1:3" x14ac:dyDescent="0.15">
      <c r="A264" s="191">
        <v>33535</v>
      </c>
      <c r="B264" s="193">
        <v>2.4968005400127722</v>
      </c>
      <c r="C264" s="194" t="s">
        <v>99</v>
      </c>
    </row>
    <row r="265" spans="1:3" x14ac:dyDescent="0.15">
      <c r="A265" s="191">
        <v>33536</v>
      </c>
      <c r="B265" s="193">
        <v>2.5167854808311532</v>
      </c>
      <c r="C265" s="194" t="s">
        <v>99</v>
      </c>
    </row>
    <row r="266" spans="1:3" x14ac:dyDescent="0.15">
      <c r="A266" s="191">
        <v>33537</v>
      </c>
      <c r="B266" s="193">
        <v>2.5167854808311532</v>
      </c>
      <c r="C266" s="194" t="s">
        <v>99</v>
      </c>
    </row>
    <row r="267" spans="1:3" x14ac:dyDescent="0.15">
      <c r="A267" s="191">
        <v>33538</v>
      </c>
      <c r="B267" s="193">
        <v>2.5167854808311532</v>
      </c>
      <c r="C267" s="194" t="s">
        <v>99</v>
      </c>
    </row>
    <row r="268" spans="1:3" x14ac:dyDescent="0.15">
      <c r="A268" s="191">
        <v>33539</v>
      </c>
      <c r="B268" s="193">
        <v>2.5369303855125311</v>
      </c>
      <c r="C268" s="194" t="s">
        <v>99</v>
      </c>
    </row>
    <row r="269" spans="1:3" x14ac:dyDescent="0.15">
      <c r="A269" s="191">
        <v>33540</v>
      </c>
      <c r="B269" s="193">
        <v>2.557236534442858</v>
      </c>
      <c r="C269" s="194" t="s">
        <v>99</v>
      </c>
    </row>
    <row r="270" spans="1:3" x14ac:dyDescent="0.15">
      <c r="A270" s="191">
        <v>33541</v>
      </c>
      <c r="B270" s="193">
        <v>2.5777052182565758</v>
      </c>
      <c r="C270" s="194" t="s">
        <v>99</v>
      </c>
    </row>
    <row r="271" spans="1:3" x14ac:dyDescent="0.15">
      <c r="A271" s="191">
        <v>33542</v>
      </c>
      <c r="B271" s="193">
        <v>2.5983377379186492</v>
      </c>
      <c r="C271" s="194" t="s">
        <v>99</v>
      </c>
    </row>
    <row r="272" spans="1:3" x14ac:dyDescent="0.15">
      <c r="A272" s="191">
        <v>33543</v>
      </c>
      <c r="B272" s="193">
        <v>2.6326478263629016</v>
      </c>
      <c r="C272" s="194" t="s">
        <v>99</v>
      </c>
    </row>
    <row r="273" spans="1:3" x14ac:dyDescent="0.15">
      <c r="A273" s="191">
        <v>33544</v>
      </c>
      <c r="B273" s="193">
        <v>2.6326478263629016</v>
      </c>
      <c r="C273" s="194" t="s">
        <v>99</v>
      </c>
    </row>
    <row r="274" spans="1:3" x14ac:dyDescent="0.15">
      <c r="A274" s="191">
        <v>33545</v>
      </c>
      <c r="B274" s="193">
        <v>2.6326478263629016</v>
      </c>
      <c r="C274" s="194" t="s">
        <v>99</v>
      </c>
    </row>
    <row r="275" spans="1:3" x14ac:dyDescent="0.15">
      <c r="A275" s="191">
        <v>33546</v>
      </c>
      <c r="B275" s="193">
        <v>2.6674109668303276</v>
      </c>
      <c r="C275" s="194" t="s">
        <v>99</v>
      </c>
    </row>
    <row r="276" spans="1:3" x14ac:dyDescent="0.15">
      <c r="A276" s="191">
        <v>33547</v>
      </c>
      <c r="B276" s="193">
        <v>2.702633141705264</v>
      </c>
      <c r="C276" s="194" t="s">
        <v>99</v>
      </c>
    </row>
    <row r="277" spans="1:3" x14ac:dyDescent="0.15">
      <c r="A277" s="191">
        <v>33548</v>
      </c>
      <c r="B277" s="193">
        <v>2.7383204123672193</v>
      </c>
      <c r="C277" s="194" t="s">
        <v>99</v>
      </c>
    </row>
    <row r="278" spans="1:3" x14ac:dyDescent="0.15">
      <c r="A278" s="191">
        <v>33549</v>
      </c>
      <c r="B278" s="193">
        <v>2.7744789202339759</v>
      </c>
      <c r="C278" s="194" t="s">
        <v>99</v>
      </c>
    </row>
    <row r="279" spans="1:3" x14ac:dyDescent="0.15">
      <c r="A279" s="191">
        <v>33550</v>
      </c>
      <c r="B279" s="193">
        <v>2.8111148878184649</v>
      </c>
      <c r="C279" s="194" t="s">
        <v>99</v>
      </c>
    </row>
    <row r="280" spans="1:3" x14ac:dyDescent="0.15">
      <c r="A280" s="191">
        <v>33551</v>
      </c>
      <c r="B280" s="193">
        <v>2.8111148878184649</v>
      </c>
      <c r="C280" s="194" t="s">
        <v>99</v>
      </c>
    </row>
    <row r="281" spans="1:3" x14ac:dyDescent="0.15">
      <c r="A281" s="191">
        <v>33552</v>
      </c>
      <c r="B281" s="193">
        <v>2.8111148878184649</v>
      </c>
      <c r="C281" s="194" t="s">
        <v>99</v>
      </c>
    </row>
    <row r="282" spans="1:3" x14ac:dyDescent="0.15">
      <c r="A282" s="191">
        <v>33553</v>
      </c>
      <c r="B282" s="193">
        <v>2.8482346197995989</v>
      </c>
      <c r="C282" s="194" t="s">
        <v>99</v>
      </c>
    </row>
    <row r="283" spans="1:3" x14ac:dyDescent="0.15">
      <c r="A283" s="191">
        <v>33554</v>
      </c>
      <c r="B283" s="193">
        <v>2.8858445041072431</v>
      </c>
      <c r="C283" s="194" t="s">
        <v>99</v>
      </c>
    </row>
    <row r="284" spans="1:3" x14ac:dyDescent="0.15">
      <c r="A284" s="191">
        <v>33555</v>
      </c>
      <c r="B284" s="193">
        <v>2.9249239177791826</v>
      </c>
      <c r="C284" s="194" t="s">
        <v>99</v>
      </c>
    </row>
    <row r="285" spans="1:3" x14ac:dyDescent="0.15">
      <c r="A285" s="191">
        <v>33556</v>
      </c>
      <c r="B285" s="193">
        <v>2.9645325354920082</v>
      </c>
      <c r="C285" s="194" t="s">
        <v>99</v>
      </c>
    </row>
    <row r="286" spans="1:3" x14ac:dyDescent="0.15">
      <c r="A286" s="191">
        <v>33557</v>
      </c>
      <c r="B286" s="193">
        <v>2.9645325354920082</v>
      </c>
      <c r="C286" s="194" t="s">
        <v>99</v>
      </c>
    </row>
    <row r="287" spans="1:3" x14ac:dyDescent="0.15">
      <c r="A287" s="191">
        <v>33558</v>
      </c>
      <c r="B287" s="193">
        <v>2.9645325354920082</v>
      </c>
      <c r="C287" s="194" t="s">
        <v>99</v>
      </c>
    </row>
    <row r="288" spans="1:3" x14ac:dyDescent="0.15">
      <c r="A288" s="191">
        <v>33559</v>
      </c>
      <c r="B288" s="193">
        <v>2.9645325354920082</v>
      </c>
      <c r="C288" s="194" t="s">
        <v>99</v>
      </c>
    </row>
    <row r="289" spans="1:3" x14ac:dyDescent="0.15">
      <c r="A289" s="191">
        <v>33560</v>
      </c>
      <c r="B289" s="193">
        <v>3.0046775235998329</v>
      </c>
      <c r="C289" s="194" t="s">
        <v>99</v>
      </c>
    </row>
    <row r="290" spans="1:3" x14ac:dyDescent="0.15">
      <c r="A290" s="191">
        <v>33561</v>
      </c>
      <c r="B290" s="193">
        <v>3.0453661455018164</v>
      </c>
      <c r="C290" s="194" t="s">
        <v>99</v>
      </c>
    </row>
    <row r="291" spans="1:3" x14ac:dyDescent="0.15">
      <c r="A291" s="191">
        <v>33562</v>
      </c>
      <c r="B291" s="193">
        <v>3.0866057629563275</v>
      </c>
      <c r="C291" s="194" t="s">
        <v>99</v>
      </c>
    </row>
    <row r="292" spans="1:3" x14ac:dyDescent="0.15">
      <c r="A292" s="191">
        <v>33563</v>
      </c>
      <c r="B292" s="193">
        <v>3.1284038374128991</v>
      </c>
      <c r="C292" s="194" t="s">
        <v>99</v>
      </c>
    </row>
    <row r="293" spans="1:3" x14ac:dyDescent="0.15">
      <c r="A293" s="191">
        <v>33564</v>
      </c>
      <c r="B293" s="193">
        <v>3.1707679313622239</v>
      </c>
      <c r="C293" s="194" t="s">
        <v>99</v>
      </c>
    </row>
    <row r="294" spans="1:3" x14ac:dyDescent="0.15">
      <c r="A294" s="191">
        <v>33565</v>
      </c>
      <c r="B294" s="193">
        <v>3.1707679313622239</v>
      </c>
      <c r="C294" s="194" t="s">
        <v>99</v>
      </c>
    </row>
    <row r="295" spans="1:3" x14ac:dyDescent="0.15">
      <c r="A295" s="191">
        <v>33566</v>
      </c>
      <c r="B295" s="193">
        <v>3.1707679313622239</v>
      </c>
      <c r="C295" s="194" t="s">
        <v>99</v>
      </c>
    </row>
    <row r="296" spans="1:3" x14ac:dyDescent="0.15">
      <c r="A296" s="191">
        <v>33567</v>
      </c>
      <c r="B296" s="193">
        <v>3.2137057097044277</v>
      </c>
      <c r="C296" s="194" t="s">
        <v>99</v>
      </c>
    </row>
    <row r="297" spans="1:3" x14ac:dyDescent="0.15">
      <c r="A297" s="191">
        <v>33568</v>
      </c>
      <c r="B297" s="193">
        <v>3.2572249411358749</v>
      </c>
      <c r="C297" s="194" t="s">
        <v>99</v>
      </c>
    </row>
    <row r="298" spans="1:3" x14ac:dyDescent="0.15">
      <c r="A298" s="191">
        <v>33569</v>
      </c>
      <c r="B298" s="193">
        <v>3.3013334995547514</v>
      </c>
      <c r="C298" s="194" t="s">
        <v>99</v>
      </c>
    </row>
    <row r="299" spans="1:3" x14ac:dyDescent="0.15">
      <c r="A299" s="191">
        <v>33570</v>
      </c>
      <c r="B299" s="193">
        <v>3.3460393654856824</v>
      </c>
      <c r="C299" s="194" t="s">
        <v>99</v>
      </c>
    </row>
    <row r="300" spans="1:3" x14ac:dyDescent="0.15">
      <c r="A300" s="191">
        <v>33571</v>
      </c>
      <c r="B300" s="193">
        <v>3.391350627523642</v>
      </c>
      <c r="C300" s="194" t="s">
        <v>99</v>
      </c>
    </row>
    <row r="301" spans="1:3" x14ac:dyDescent="0.15">
      <c r="A301" s="191">
        <v>33572</v>
      </c>
      <c r="B301" s="193">
        <v>3.391350627523642</v>
      </c>
      <c r="C301" s="194" t="s">
        <v>99</v>
      </c>
    </row>
    <row r="302" spans="1:3" x14ac:dyDescent="0.15">
      <c r="A302" s="191">
        <v>33573</v>
      </c>
      <c r="B302" s="193">
        <v>3.391350627523642</v>
      </c>
      <c r="C302" s="194" t="s">
        <v>99</v>
      </c>
    </row>
    <row r="303" spans="1:3" x14ac:dyDescent="0.15">
      <c r="A303" s="191">
        <v>33574</v>
      </c>
      <c r="B303" s="193">
        <v>3.4338605293695257</v>
      </c>
      <c r="C303" s="194" t="s">
        <v>99</v>
      </c>
    </row>
    <row r="304" spans="1:3" x14ac:dyDescent="0.15">
      <c r="A304" s="191">
        <v>33575</v>
      </c>
      <c r="B304" s="193">
        <v>3.4769032843330669</v>
      </c>
      <c r="C304" s="194" t="s">
        <v>99</v>
      </c>
    </row>
    <row r="305" spans="1:3" x14ac:dyDescent="0.15">
      <c r="A305" s="191">
        <v>33576</v>
      </c>
      <c r="B305" s="193">
        <v>3.5202000830928482</v>
      </c>
      <c r="C305" s="194" t="s">
        <v>99</v>
      </c>
    </row>
    <row r="306" spans="1:3" x14ac:dyDescent="0.15">
      <c r="A306" s="191">
        <v>33577</v>
      </c>
      <c r="B306" s="193">
        <v>3.5640360434655776</v>
      </c>
      <c r="C306" s="194" t="s">
        <v>99</v>
      </c>
    </row>
    <row r="307" spans="1:3" x14ac:dyDescent="0.15">
      <c r="A307" s="191">
        <v>33578</v>
      </c>
      <c r="B307" s="193">
        <v>3.6080903445512864</v>
      </c>
      <c r="C307" s="194" t="s">
        <v>99</v>
      </c>
    </row>
    <row r="308" spans="1:3" x14ac:dyDescent="0.15">
      <c r="A308" s="191">
        <v>33579</v>
      </c>
      <c r="B308" s="193">
        <v>3.6080903445512864</v>
      </c>
      <c r="C308" s="194" t="s">
        <v>99</v>
      </c>
    </row>
    <row r="309" spans="1:3" x14ac:dyDescent="0.15">
      <c r="A309" s="191">
        <v>33580</v>
      </c>
      <c r="B309" s="193">
        <v>3.6080903445512864</v>
      </c>
      <c r="C309" s="194" t="s">
        <v>99</v>
      </c>
    </row>
    <row r="310" spans="1:3" x14ac:dyDescent="0.15">
      <c r="A310" s="191">
        <v>33581</v>
      </c>
      <c r="B310" s="193">
        <v>3.6521597404241533</v>
      </c>
      <c r="C310" s="194" t="s">
        <v>99</v>
      </c>
    </row>
    <row r="311" spans="1:3" x14ac:dyDescent="0.15">
      <c r="A311" s="191">
        <v>33582</v>
      </c>
      <c r="B311" s="193">
        <v>3.6961945243247976</v>
      </c>
      <c r="C311" s="194" t="s">
        <v>99</v>
      </c>
    </row>
    <row r="312" spans="1:3" x14ac:dyDescent="0.15">
      <c r="A312" s="191">
        <v>33583</v>
      </c>
      <c r="B312" s="193">
        <v>3.7405528874687266</v>
      </c>
      <c r="C312" s="194" t="s">
        <v>99</v>
      </c>
    </row>
    <row r="313" spans="1:3" x14ac:dyDescent="0.15">
      <c r="A313" s="191">
        <v>33584</v>
      </c>
      <c r="B313" s="193">
        <v>3.7845833469679384</v>
      </c>
      <c r="C313" s="194" t="s">
        <v>99</v>
      </c>
    </row>
    <row r="314" spans="1:3" x14ac:dyDescent="0.15">
      <c r="A314" s="191">
        <v>33585</v>
      </c>
      <c r="B314" s="193">
        <v>3.8291320938492661</v>
      </c>
      <c r="C314" s="194" t="s">
        <v>99</v>
      </c>
    </row>
    <row r="315" spans="1:3" x14ac:dyDescent="0.15">
      <c r="A315" s="191">
        <v>33586</v>
      </c>
      <c r="B315" s="193">
        <v>3.8291320938492661</v>
      </c>
      <c r="C315" s="194" t="s">
        <v>99</v>
      </c>
    </row>
    <row r="316" spans="1:3" x14ac:dyDescent="0.15">
      <c r="A316" s="191">
        <v>33587</v>
      </c>
      <c r="B316" s="193">
        <v>3.8291320938492661</v>
      </c>
      <c r="C316" s="194" t="s">
        <v>99</v>
      </c>
    </row>
    <row r="317" spans="1:3" x14ac:dyDescent="0.15">
      <c r="A317" s="191">
        <v>33588</v>
      </c>
      <c r="B317" s="193">
        <v>3.8742052289304962</v>
      </c>
      <c r="C317" s="194" t="s">
        <v>99</v>
      </c>
    </row>
    <row r="318" spans="1:3" x14ac:dyDescent="0.15">
      <c r="A318" s="191">
        <v>33589</v>
      </c>
      <c r="B318" s="193">
        <v>3.9198089248428123</v>
      </c>
      <c r="C318" s="194" t="s">
        <v>99</v>
      </c>
    </row>
    <row r="319" spans="1:3" x14ac:dyDescent="0.15">
      <c r="A319" s="191">
        <v>33590</v>
      </c>
      <c r="B319" s="193">
        <v>3.9659494268761186</v>
      </c>
      <c r="C319" s="194" t="s">
        <v>99</v>
      </c>
    </row>
    <row r="320" spans="1:3" x14ac:dyDescent="0.15">
      <c r="A320" s="191">
        <v>33591</v>
      </c>
      <c r="B320" s="193">
        <v>4.012633053834314</v>
      </c>
      <c r="C320" s="194" t="s">
        <v>99</v>
      </c>
    </row>
    <row r="321" spans="1:3" x14ac:dyDescent="0.15">
      <c r="A321" s="191">
        <v>33592</v>
      </c>
      <c r="B321" s="193">
        <v>4.0598661989006333</v>
      </c>
      <c r="C321" s="194" t="s">
        <v>99</v>
      </c>
    </row>
    <row r="322" spans="1:3" x14ac:dyDescent="0.15">
      <c r="A322" s="191">
        <v>33593</v>
      </c>
      <c r="B322" s="193">
        <v>4.0598661989006333</v>
      </c>
      <c r="C322" s="194" t="s">
        <v>99</v>
      </c>
    </row>
    <row r="323" spans="1:3" x14ac:dyDescent="0.15">
      <c r="A323" s="191">
        <v>33594</v>
      </c>
      <c r="B323" s="193">
        <v>4.0598661989006333</v>
      </c>
      <c r="C323" s="194" t="s">
        <v>99</v>
      </c>
    </row>
    <row r="324" spans="1:3" x14ac:dyDescent="0.15">
      <c r="A324" s="191">
        <v>33595</v>
      </c>
      <c r="B324" s="193">
        <v>4.1076553305131744</v>
      </c>
      <c r="C324" s="194" t="s">
        <v>99</v>
      </c>
    </row>
    <row r="325" spans="1:3" x14ac:dyDescent="0.15">
      <c r="A325" s="191">
        <v>33596</v>
      </c>
      <c r="B325" s="193">
        <v>4.1076553305131744</v>
      </c>
      <c r="C325" s="194" t="s">
        <v>99</v>
      </c>
    </row>
    <row r="326" spans="1:3" x14ac:dyDescent="0.15">
      <c r="A326" s="191">
        <v>33597</v>
      </c>
      <c r="B326" s="193">
        <v>4.1560069932507311</v>
      </c>
      <c r="C326" s="194" t="s">
        <v>99</v>
      </c>
    </row>
    <row r="327" spans="1:3" x14ac:dyDescent="0.15">
      <c r="A327" s="191">
        <v>33598</v>
      </c>
      <c r="B327" s="193">
        <v>4.2049278087290549</v>
      </c>
      <c r="C327" s="194" t="s">
        <v>99</v>
      </c>
    </row>
    <row r="328" spans="1:3" x14ac:dyDescent="0.15">
      <c r="A328" s="191">
        <v>33599</v>
      </c>
      <c r="B328" s="193">
        <v>4.2544244765076638</v>
      </c>
      <c r="C328" s="194" t="s">
        <v>99</v>
      </c>
    </row>
    <row r="329" spans="1:3" x14ac:dyDescent="0.15">
      <c r="A329" s="191">
        <v>33600</v>
      </c>
      <c r="B329" s="193">
        <v>4.2544244765076638</v>
      </c>
      <c r="C329" s="194" t="s">
        <v>99</v>
      </c>
    </row>
    <row r="330" spans="1:3" x14ac:dyDescent="0.15">
      <c r="A330" s="191">
        <v>33601</v>
      </c>
      <c r="B330" s="193">
        <v>4.2544244765076638</v>
      </c>
      <c r="C330" s="194" t="s">
        <v>99</v>
      </c>
    </row>
    <row r="331" spans="1:3" x14ac:dyDescent="0.15">
      <c r="A331" s="191">
        <v>33602</v>
      </c>
      <c r="B331" s="193">
        <v>4.3045037750073281</v>
      </c>
      <c r="C331" s="194" t="s">
        <v>99</v>
      </c>
    </row>
    <row r="332" spans="1:3" x14ac:dyDescent="0.15">
      <c r="A332" s="191">
        <v>33603</v>
      </c>
      <c r="B332" s="193">
        <v>4.3551725624383542</v>
      </c>
      <c r="C332" s="194" t="s">
        <v>99</v>
      </c>
    </row>
    <row r="333" spans="1:3" x14ac:dyDescent="0.15">
      <c r="A333" s="191">
        <v>33604</v>
      </c>
      <c r="B333" s="193">
        <v>4.3551725624383542</v>
      </c>
      <c r="C333" s="194" t="s">
        <v>99</v>
      </c>
    </row>
    <row r="334" spans="1:3" x14ac:dyDescent="0.15">
      <c r="A334" s="191">
        <v>33605</v>
      </c>
      <c r="B334" s="193">
        <v>4.4027468996483075</v>
      </c>
      <c r="C334" s="194" t="s">
        <v>99</v>
      </c>
    </row>
    <row r="335" spans="1:3" x14ac:dyDescent="0.15">
      <c r="A335" s="191">
        <v>33606</v>
      </c>
      <c r="B335" s="193">
        <v>4.4508409217911815</v>
      </c>
      <c r="C335" s="194" t="s">
        <v>99</v>
      </c>
    </row>
    <row r="336" spans="1:3" x14ac:dyDescent="0.15">
      <c r="A336" s="191">
        <v>33607</v>
      </c>
      <c r="B336" s="193">
        <v>4.4508409217911815</v>
      </c>
      <c r="C336" s="194" t="s">
        <v>99</v>
      </c>
    </row>
    <row r="337" spans="1:3" x14ac:dyDescent="0.15">
      <c r="A337" s="191">
        <v>33608</v>
      </c>
      <c r="B337" s="193">
        <v>4.4508409217911815</v>
      </c>
      <c r="C337" s="194" t="s">
        <v>99</v>
      </c>
    </row>
    <row r="338" spans="1:3" x14ac:dyDescent="0.15">
      <c r="A338" s="191">
        <v>33609</v>
      </c>
      <c r="B338" s="193">
        <v>4.4994603057180962</v>
      </c>
      <c r="C338" s="194" t="s">
        <v>99</v>
      </c>
    </row>
    <row r="339" spans="1:3" x14ac:dyDescent="0.15">
      <c r="A339" s="191">
        <v>33610</v>
      </c>
      <c r="B339" s="193">
        <v>4.547666488557689</v>
      </c>
      <c r="C339" s="194" t="s">
        <v>99</v>
      </c>
    </row>
    <row r="340" spans="1:3" x14ac:dyDescent="0.15">
      <c r="A340" s="191">
        <v>33611</v>
      </c>
      <c r="B340" s="193">
        <v>4.5963891413528035</v>
      </c>
      <c r="C340" s="194" t="s">
        <v>99</v>
      </c>
    </row>
    <row r="341" spans="1:3" x14ac:dyDescent="0.15">
      <c r="A341" s="191">
        <v>33612</v>
      </c>
      <c r="B341" s="193">
        <v>4.6456337974437547</v>
      </c>
      <c r="C341" s="194" t="s">
        <v>99</v>
      </c>
    </row>
    <row r="342" spans="1:3" x14ac:dyDescent="0.15">
      <c r="A342" s="191">
        <v>33613</v>
      </c>
      <c r="B342" s="193">
        <v>4.6942439441593624</v>
      </c>
      <c r="C342" s="194" t="s">
        <v>99</v>
      </c>
    </row>
    <row r="343" spans="1:3" x14ac:dyDescent="0.15">
      <c r="A343" s="191">
        <v>33614</v>
      </c>
      <c r="B343" s="193">
        <v>4.6942439441593624</v>
      </c>
      <c r="C343" s="194" t="s">
        <v>99</v>
      </c>
    </row>
    <row r="344" spans="1:3" x14ac:dyDescent="0.15">
      <c r="A344" s="191">
        <v>33615</v>
      </c>
      <c r="B344" s="193">
        <v>4.6942439441593624</v>
      </c>
      <c r="C344" s="194" t="s">
        <v>99</v>
      </c>
    </row>
    <row r="345" spans="1:3" x14ac:dyDescent="0.15">
      <c r="A345" s="191">
        <v>33616</v>
      </c>
      <c r="B345" s="193">
        <v>4.7433627289783464</v>
      </c>
      <c r="C345" s="194" t="s">
        <v>99</v>
      </c>
    </row>
    <row r="346" spans="1:3" x14ac:dyDescent="0.15">
      <c r="A346" s="191">
        <v>33617</v>
      </c>
      <c r="B346" s="193">
        <v>4.7915798649237029</v>
      </c>
      <c r="C346" s="194" t="s">
        <v>99</v>
      </c>
    </row>
    <row r="347" spans="1:3" x14ac:dyDescent="0.15">
      <c r="A347" s="191">
        <v>33618</v>
      </c>
      <c r="B347" s="193">
        <v>4.8402871367350278</v>
      </c>
      <c r="C347" s="194" t="s">
        <v>99</v>
      </c>
    </row>
    <row r="348" spans="1:3" x14ac:dyDescent="0.15">
      <c r="A348" s="191">
        <v>33619</v>
      </c>
      <c r="B348" s="193">
        <v>4.8894895267316238</v>
      </c>
      <c r="C348" s="194" t="s">
        <v>99</v>
      </c>
    </row>
    <row r="349" spans="1:3" x14ac:dyDescent="0.15">
      <c r="A349" s="191">
        <v>33620</v>
      </c>
      <c r="B349" s="193">
        <v>4.9391920678789658</v>
      </c>
      <c r="C349" s="194" t="s">
        <v>99</v>
      </c>
    </row>
    <row r="350" spans="1:3" x14ac:dyDescent="0.15">
      <c r="A350" s="191">
        <v>33621</v>
      </c>
      <c r="B350" s="193">
        <v>4.9391920678789658</v>
      </c>
      <c r="C350" s="194" t="s">
        <v>99</v>
      </c>
    </row>
    <row r="351" spans="1:3" x14ac:dyDescent="0.15">
      <c r="A351" s="191">
        <v>33622</v>
      </c>
      <c r="B351" s="193">
        <v>4.9391920678789658</v>
      </c>
      <c r="C351" s="194" t="s">
        <v>99</v>
      </c>
    </row>
    <row r="352" spans="1:3" x14ac:dyDescent="0.15">
      <c r="A352" s="191">
        <v>33623</v>
      </c>
      <c r="B352" s="193">
        <v>4.9893998443035281</v>
      </c>
      <c r="C352" s="194" t="s">
        <v>99</v>
      </c>
    </row>
    <row r="353" spans="1:3" x14ac:dyDescent="0.15">
      <c r="A353" s="191">
        <v>33624</v>
      </c>
      <c r="B353" s="193">
        <v>5.0401179918128456</v>
      </c>
      <c r="C353" s="194" t="s">
        <v>99</v>
      </c>
    </row>
    <row r="354" spans="1:3" x14ac:dyDescent="0.15">
      <c r="A354" s="191">
        <v>33625</v>
      </c>
      <c r="B354" s="193">
        <v>5.091351698420862</v>
      </c>
      <c r="C354" s="194" t="s">
        <v>99</v>
      </c>
    </row>
    <row r="355" spans="1:3" x14ac:dyDescent="0.15">
      <c r="A355" s="191">
        <v>33626</v>
      </c>
      <c r="B355" s="193">
        <v>5.1431062048786158</v>
      </c>
      <c r="C355" s="194" t="s">
        <v>99</v>
      </c>
    </row>
    <row r="356" spans="1:3" x14ac:dyDescent="0.15">
      <c r="A356" s="191">
        <v>33627</v>
      </c>
      <c r="B356" s="193">
        <v>5.1953868052103234</v>
      </c>
      <c r="C356" s="194" t="s">
        <v>99</v>
      </c>
    </row>
    <row r="357" spans="1:3" x14ac:dyDescent="0.15">
      <c r="A357" s="191">
        <v>33628</v>
      </c>
      <c r="B357" s="193">
        <v>5.1953868052103234</v>
      </c>
      <c r="C357" s="194" t="s">
        <v>99</v>
      </c>
    </row>
    <row r="358" spans="1:3" x14ac:dyDescent="0.15">
      <c r="A358" s="191">
        <v>33629</v>
      </c>
      <c r="B358" s="193">
        <v>5.1953868052103234</v>
      </c>
      <c r="C358" s="194" t="s">
        <v>99</v>
      </c>
    </row>
    <row r="359" spans="1:3" x14ac:dyDescent="0.15">
      <c r="A359" s="191">
        <v>33630</v>
      </c>
      <c r="B359" s="193">
        <v>5.248198847254911</v>
      </c>
      <c r="C359" s="194" t="s">
        <v>99</v>
      </c>
    </row>
    <row r="360" spans="1:3" x14ac:dyDescent="0.15">
      <c r="A360" s="191">
        <v>33631</v>
      </c>
      <c r="B360" s="193">
        <v>5.3015477332130496</v>
      </c>
      <c r="C360" s="194" t="s">
        <v>99</v>
      </c>
    </row>
    <row r="361" spans="1:3" x14ac:dyDescent="0.15">
      <c r="A361" s="191">
        <v>33632</v>
      </c>
      <c r="B361" s="193">
        <v>5.3554389201997523</v>
      </c>
      <c r="C361" s="194" t="s">
        <v>99</v>
      </c>
    </row>
    <row r="362" spans="1:3" x14ac:dyDescent="0.15">
      <c r="A362" s="191">
        <v>33633</v>
      </c>
      <c r="B362" s="193">
        <v>5.4098779208025887</v>
      </c>
      <c r="C362" s="194" t="s">
        <v>99</v>
      </c>
    </row>
    <row r="363" spans="1:3" x14ac:dyDescent="0.15">
      <c r="A363" s="191">
        <v>33634</v>
      </c>
      <c r="B363" s="193">
        <v>5.464870303645573</v>
      </c>
      <c r="C363" s="194" t="s">
        <v>99</v>
      </c>
    </row>
    <row r="364" spans="1:3" x14ac:dyDescent="0.15">
      <c r="A364" s="191">
        <v>33635</v>
      </c>
      <c r="B364" s="193">
        <v>5.464870303645573</v>
      </c>
      <c r="C364" s="194" t="s">
        <v>99</v>
      </c>
    </row>
    <row r="365" spans="1:3" x14ac:dyDescent="0.15">
      <c r="A365" s="191">
        <v>33636</v>
      </c>
      <c r="B365" s="193">
        <v>5.464870303645573</v>
      </c>
      <c r="C365" s="194" t="s">
        <v>99</v>
      </c>
    </row>
    <row r="366" spans="1:3" x14ac:dyDescent="0.15">
      <c r="A366" s="191">
        <v>33637</v>
      </c>
      <c r="B366" s="193">
        <v>5.5272873744673632</v>
      </c>
      <c r="C366" s="194" t="s">
        <v>99</v>
      </c>
    </row>
    <row r="367" spans="1:3" x14ac:dyDescent="0.15">
      <c r="A367" s="191">
        <v>33638</v>
      </c>
      <c r="B367" s="193">
        <v>5.590417342487715</v>
      </c>
      <c r="C367" s="194" t="s">
        <v>99</v>
      </c>
    </row>
    <row r="368" spans="1:3" x14ac:dyDescent="0.15">
      <c r="A368" s="191">
        <v>33639</v>
      </c>
      <c r="B368" s="193">
        <v>5.6542683500691115</v>
      </c>
      <c r="C368" s="194" t="s">
        <v>99</v>
      </c>
    </row>
    <row r="369" spans="1:3" x14ac:dyDescent="0.15">
      <c r="A369" s="191">
        <v>33640</v>
      </c>
      <c r="B369" s="193">
        <v>5.7188486325721088</v>
      </c>
      <c r="C369" s="194" t="s">
        <v>99</v>
      </c>
    </row>
    <row r="370" spans="1:3" x14ac:dyDescent="0.15">
      <c r="A370" s="191">
        <v>33641</v>
      </c>
      <c r="B370" s="193">
        <v>5.7841665194175169</v>
      </c>
      <c r="C370" s="194" t="s">
        <v>99</v>
      </c>
    </row>
    <row r="371" spans="1:3" x14ac:dyDescent="0.15">
      <c r="A371" s="191">
        <v>33642</v>
      </c>
      <c r="B371" s="193">
        <v>5.7841665194175169</v>
      </c>
      <c r="C371" s="194" t="s">
        <v>99</v>
      </c>
    </row>
    <row r="372" spans="1:3" x14ac:dyDescent="0.15">
      <c r="A372" s="191">
        <v>33643</v>
      </c>
      <c r="B372" s="193">
        <v>5.7841665194175169</v>
      </c>
      <c r="C372" s="194" t="s">
        <v>99</v>
      </c>
    </row>
    <row r="373" spans="1:3" x14ac:dyDescent="0.15">
      <c r="A373" s="191">
        <v>33644</v>
      </c>
      <c r="B373" s="193">
        <v>5.8502304351607091</v>
      </c>
      <c r="C373" s="194" t="s">
        <v>99</v>
      </c>
    </row>
    <row r="374" spans="1:3" x14ac:dyDescent="0.15">
      <c r="A374" s="191">
        <v>33645</v>
      </c>
      <c r="B374" s="193">
        <v>5.9170489005782008</v>
      </c>
      <c r="C374" s="194" t="s">
        <v>99</v>
      </c>
    </row>
    <row r="375" spans="1:3" x14ac:dyDescent="0.15">
      <c r="A375" s="191">
        <v>33646</v>
      </c>
      <c r="B375" s="193">
        <v>5.9846305337666434</v>
      </c>
      <c r="C375" s="194" t="s">
        <v>99</v>
      </c>
    </row>
    <row r="376" spans="1:3" x14ac:dyDescent="0.15">
      <c r="A376" s="191">
        <v>33647</v>
      </c>
      <c r="B376" s="193">
        <v>6.0534260162192837</v>
      </c>
      <c r="C376" s="194" t="s">
        <v>99</v>
      </c>
    </row>
    <row r="377" spans="1:3" x14ac:dyDescent="0.15">
      <c r="A377" s="191">
        <v>33648</v>
      </c>
      <c r="B377" s="193">
        <v>6.1230123275090902</v>
      </c>
      <c r="C377" s="194" t="s">
        <v>99</v>
      </c>
    </row>
    <row r="378" spans="1:3" x14ac:dyDescent="0.15">
      <c r="A378" s="191">
        <v>33649</v>
      </c>
      <c r="B378" s="193">
        <v>6.1230123275090902</v>
      </c>
      <c r="C378" s="194" t="s">
        <v>99</v>
      </c>
    </row>
    <row r="379" spans="1:3" x14ac:dyDescent="0.15">
      <c r="A379" s="191">
        <v>33650</v>
      </c>
      <c r="B379" s="193">
        <v>6.1230123275090902</v>
      </c>
      <c r="C379" s="194" t="s">
        <v>99</v>
      </c>
    </row>
    <row r="380" spans="1:3" x14ac:dyDescent="0.15">
      <c r="A380" s="191">
        <v>33651</v>
      </c>
      <c r="B380" s="193">
        <v>6.1933985584982452</v>
      </c>
      <c r="C380" s="194" t="s">
        <v>99</v>
      </c>
    </row>
    <row r="381" spans="1:3" x14ac:dyDescent="0.15">
      <c r="A381" s="191">
        <v>33652</v>
      </c>
      <c r="B381" s="193">
        <v>6.2645939045516643</v>
      </c>
      <c r="C381" s="194" t="s">
        <v>99</v>
      </c>
    </row>
    <row r="382" spans="1:3" x14ac:dyDescent="0.15">
      <c r="A382" s="191">
        <v>33653</v>
      </c>
      <c r="B382" s="193">
        <v>6.336607666738292</v>
      </c>
      <c r="C382" s="194" t="s">
        <v>99</v>
      </c>
    </row>
    <row r="383" spans="1:3" x14ac:dyDescent="0.15">
      <c r="A383" s="191">
        <v>33654</v>
      </c>
      <c r="B383" s="193">
        <v>6.4094492530462093</v>
      </c>
      <c r="C383" s="194" t="s">
        <v>99</v>
      </c>
    </row>
    <row r="384" spans="1:3" x14ac:dyDescent="0.15">
      <c r="A384" s="191">
        <v>33655</v>
      </c>
      <c r="B384" s="193">
        <v>6.4831281796117066</v>
      </c>
      <c r="C384" s="194" t="s">
        <v>99</v>
      </c>
    </row>
    <row r="385" spans="1:3" x14ac:dyDescent="0.15">
      <c r="A385" s="191">
        <v>33656</v>
      </c>
      <c r="B385" s="193">
        <v>6.4831281796117066</v>
      </c>
      <c r="C385" s="194" t="s">
        <v>99</v>
      </c>
    </row>
    <row r="386" spans="1:3" x14ac:dyDescent="0.15">
      <c r="A386" s="191">
        <v>33657</v>
      </c>
      <c r="B386" s="193">
        <v>6.4831281796117066</v>
      </c>
      <c r="C386" s="194" t="s">
        <v>99</v>
      </c>
    </row>
    <row r="387" spans="1:3" x14ac:dyDescent="0.15">
      <c r="A387" s="191">
        <v>33658</v>
      </c>
      <c r="B387" s="193">
        <v>6.5576540719624878</v>
      </c>
      <c r="C387" s="194" t="s">
        <v>99</v>
      </c>
    </row>
    <row r="388" spans="1:3" x14ac:dyDescent="0.15">
      <c r="A388" s="191">
        <v>33659</v>
      </c>
      <c r="B388" s="193">
        <v>6.6330366662751628</v>
      </c>
      <c r="C388" s="194" t="s">
        <v>99</v>
      </c>
    </row>
    <row r="389" spans="1:3" x14ac:dyDescent="0.15">
      <c r="A389" s="191">
        <v>33660</v>
      </c>
      <c r="B389" s="193">
        <v>6.709285810647196</v>
      </c>
      <c r="C389" s="194" t="s">
        <v>99</v>
      </c>
    </row>
    <row r="390" spans="1:3" x14ac:dyDescent="0.15">
      <c r="A390" s="191">
        <v>33661</v>
      </c>
      <c r="B390" s="193">
        <v>6.7864114663834778</v>
      </c>
      <c r="C390" s="194" t="s">
        <v>99</v>
      </c>
    </row>
    <row r="391" spans="1:3" x14ac:dyDescent="0.15">
      <c r="A391" s="191">
        <v>33662</v>
      </c>
      <c r="B391" s="193">
        <v>6.8644237092976841</v>
      </c>
      <c r="C391" s="194" t="s">
        <v>99</v>
      </c>
    </row>
    <row r="392" spans="1:3" x14ac:dyDescent="0.15">
      <c r="A392" s="191">
        <v>33663</v>
      </c>
      <c r="B392" s="193">
        <v>6.8644237092976841</v>
      </c>
      <c r="C392" s="194" t="s">
        <v>99</v>
      </c>
    </row>
    <row r="393" spans="1:3" x14ac:dyDescent="0.15">
      <c r="A393" s="191">
        <v>33664</v>
      </c>
      <c r="B393" s="193">
        <v>6.8644237092976841</v>
      </c>
      <c r="C393" s="194" t="s">
        <v>99</v>
      </c>
    </row>
    <row r="394" spans="1:3" x14ac:dyDescent="0.15">
      <c r="A394" s="191">
        <v>33665</v>
      </c>
      <c r="B394" s="193">
        <v>6.8644237092976841</v>
      </c>
      <c r="C394" s="194" t="s">
        <v>99</v>
      </c>
    </row>
    <row r="395" spans="1:3" x14ac:dyDescent="0.15">
      <c r="A395" s="191">
        <v>33666</v>
      </c>
      <c r="B395" s="193">
        <v>6.8644237092976841</v>
      </c>
      <c r="C395" s="194" t="s">
        <v>99</v>
      </c>
    </row>
    <row r="396" spans="1:3" x14ac:dyDescent="0.15">
      <c r="A396" s="191">
        <v>33667</v>
      </c>
      <c r="B396" s="193">
        <v>6.9414401407677051</v>
      </c>
      <c r="C396" s="194" t="s">
        <v>99</v>
      </c>
    </row>
    <row r="397" spans="1:3" x14ac:dyDescent="0.15">
      <c r="A397" s="191">
        <v>33668</v>
      </c>
      <c r="B397" s="193">
        <v>7.0193206696430686</v>
      </c>
      <c r="C397" s="194" t="s">
        <v>99</v>
      </c>
    </row>
    <row r="398" spans="1:3" x14ac:dyDescent="0.15">
      <c r="A398" s="191">
        <v>33669</v>
      </c>
      <c r="B398" s="193">
        <v>7.0980749907942284</v>
      </c>
      <c r="C398" s="194" t="s">
        <v>99</v>
      </c>
    </row>
    <row r="399" spans="1:3" x14ac:dyDescent="0.15">
      <c r="A399" s="191">
        <v>33670</v>
      </c>
      <c r="B399" s="193">
        <v>7.0980749907942284</v>
      </c>
      <c r="C399" s="194" t="s">
        <v>99</v>
      </c>
    </row>
    <row r="400" spans="1:3" x14ac:dyDescent="0.15">
      <c r="A400" s="191">
        <v>33671</v>
      </c>
      <c r="B400" s="193">
        <v>7.0980749907942284</v>
      </c>
      <c r="C400" s="194" t="s">
        <v>99</v>
      </c>
    </row>
    <row r="401" spans="1:3" x14ac:dyDescent="0.15">
      <c r="A401" s="191">
        <v>33672</v>
      </c>
      <c r="B401" s="193">
        <v>7.1777129078646924</v>
      </c>
      <c r="C401" s="194" t="s">
        <v>99</v>
      </c>
    </row>
    <row r="402" spans="1:3" x14ac:dyDescent="0.15">
      <c r="A402" s="191">
        <v>33673</v>
      </c>
      <c r="B402" s="193">
        <v>7.2575179499451394</v>
      </c>
      <c r="C402" s="194" t="s">
        <v>99</v>
      </c>
    </row>
    <row r="403" spans="1:3" x14ac:dyDescent="0.15">
      <c r="A403" s="191">
        <v>33674</v>
      </c>
      <c r="B403" s="193">
        <v>7.3370329858338659</v>
      </c>
      <c r="C403" s="194" t="s">
        <v>99</v>
      </c>
    </row>
    <row r="404" spans="1:3" x14ac:dyDescent="0.15">
      <c r="A404" s="191">
        <v>33675</v>
      </c>
      <c r="B404" s="193">
        <v>7.4169935120904098</v>
      </c>
      <c r="C404" s="194" t="s">
        <v>99</v>
      </c>
    </row>
    <row r="405" spans="1:3" x14ac:dyDescent="0.15">
      <c r="A405" s="191">
        <v>33676</v>
      </c>
      <c r="B405" s="193">
        <v>7.4973616803494973</v>
      </c>
      <c r="C405" s="194" t="s">
        <v>99</v>
      </c>
    </row>
    <row r="406" spans="1:3" x14ac:dyDescent="0.15">
      <c r="A406" s="191">
        <v>33677</v>
      </c>
      <c r="B406" s="193">
        <v>7.4973616803494973</v>
      </c>
      <c r="C406" s="194" t="s">
        <v>99</v>
      </c>
    </row>
    <row r="407" spans="1:3" x14ac:dyDescent="0.15">
      <c r="A407" s="191">
        <v>33678</v>
      </c>
      <c r="B407" s="193">
        <v>7.4973616803494973</v>
      </c>
      <c r="C407" s="194" t="s">
        <v>99</v>
      </c>
    </row>
    <row r="408" spans="1:3" x14ac:dyDescent="0.15">
      <c r="A408" s="191">
        <v>33679</v>
      </c>
      <c r="B408" s="193">
        <v>7.5784482709990648</v>
      </c>
      <c r="C408" s="194" t="s">
        <v>99</v>
      </c>
    </row>
    <row r="409" spans="1:3" x14ac:dyDescent="0.15">
      <c r="A409" s="191">
        <v>33680</v>
      </c>
      <c r="B409" s="193">
        <v>7.6604118415068134</v>
      </c>
      <c r="C409" s="194" t="s">
        <v>99</v>
      </c>
    </row>
    <row r="410" spans="1:3" x14ac:dyDescent="0.15">
      <c r="A410" s="191">
        <v>33681</v>
      </c>
      <c r="B410" s="193">
        <v>7.7432618767168533</v>
      </c>
      <c r="C410" s="194" t="s">
        <v>99</v>
      </c>
    </row>
    <row r="411" spans="1:3" x14ac:dyDescent="0.15">
      <c r="A411" s="191">
        <v>33682</v>
      </c>
      <c r="B411" s="193">
        <v>7.8270079640552019</v>
      </c>
      <c r="C411" s="194" t="s">
        <v>99</v>
      </c>
    </row>
    <row r="412" spans="1:3" x14ac:dyDescent="0.15">
      <c r="A412" s="191">
        <v>33683</v>
      </c>
      <c r="B412" s="193">
        <v>7.9116597946392453</v>
      </c>
      <c r="C412" s="194" t="s">
        <v>99</v>
      </c>
    </row>
    <row r="413" spans="1:3" x14ac:dyDescent="0.15">
      <c r="A413" s="191">
        <v>33684</v>
      </c>
      <c r="B413" s="193">
        <v>7.9116597946392453</v>
      </c>
      <c r="C413" s="194" t="s">
        <v>99</v>
      </c>
    </row>
    <row r="414" spans="1:3" x14ac:dyDescent="0.15">
      <c r="A414" s="191">
        <v>33685</v>
      </c>
      <c r="B414" s="193">
        <v>7.9116597946392453</v>
      </c>
      <c r="C414" s="194" t="s">
        <v>99</v>
      </c>
    </row>
    <row r="415" spans="1:3" x14ac:dyDescent="0.15">
      <c r="A415" s="191">
        <v>33686</v>
      </c>
      <c r="B415" s="193">
        <v>7.9972271643991961</v>
      </c>
      <c r="C415" s="194" t="s">
        <v>99</v>
      </c>
    </row>
    <row r="416" spans="1:3" x14ac:dyDescent="0.15">
      <c r="A416" s="191">
        <v>33687</v>
      </c>
      <c r="B416" s="193">
        <v>8.0837199752116806</v>
      </c>
      <c r="C416" s="194" t="s">
        <v>99</v>
      </c>
    </row>
    <row r="417" spans="1:3" x14ac:dyDescent="0.15">
      <c r="A417" s="191">
        <v>33688</v>
      </c>
      <c r="B417" s="193">
        <v>8.1711482360455854</v>
      </c>
      <c r="C417" s="194" t="s">
        <v>99</v>
      </c>
    </row>
    <row r="418" spans="1:3" x14ac:dyDescent="0.15">
      <c r="A418" s="191">
        <v>33689</v>
      </c>
      <c r="B418" s="193">
        <v>8.2595220641203007</v>
      </c>
      <c r="C418" s="194" t="s">
        <v>99</v>
      </c>
    </row>
    <row r="419" spans="1:3" x14ac:dyDescent="0.15">
      <c r="A419" s="191">
        <v>33690</v>
      </c>
      <c r="B419" s="193">
        <v>8.3488516860764825</v>
      </c>
      <c r="C419" s="194" t="s">
        <v>99</v>
      </c>
    </row>
    <row r="420" spans="1:3" x14ac:dyDescent="0.15">
      <c r="A420" s="191">
        <v>33691</v>
      </c>
      <c r="B420" s="193">
        <v>8.3488516860764825</v>
      </c>
      <c r="C420" s="194" t="s">
        <v>99</v>
      </c>
    </row>
    <row r="421" spans="1:3" x14ac:dyDescent="0.15">
      <c r="A421" s="191">
        <v>33692</v>
      </c>
      <c r="B421" s="193">
        <v>8.3488516860764825</v>
      </c>
      <c r="C421" s="194" t="s">
        <v>99</v>
      </c>
    </row>
    <row r="422" spans="1:3" x14ac:dyDescent="0.15">
      <c r="A422" s="191">
        <v>33693</v>
      </c>
      <c r="B422" s="193">
        <v>8.4391474391594894</v>
      </c>
      <c r="C422" s="194" t="s">
        <v>99</v>
      </c>
    </row>
    <row r="423" spans="1:3" x14ac:dyDescent="0.15">
      <c r="A423" s="191">
        <v>33694</v>
      </c>
      <c r="B423" s="193">
        <v>8.5304197724156019</v>
      </c>
      <c r="C423" s="194" t="s">
        <v>99</v>
      </c>
    </row>
    <row r="424" spans="1:3" x14ac:dyDescent="0.15">
      <c r="A424" s="191">
        <v>33695</v>
      </c>
      <c r="B424" s="193">
        <v>8.6212809414921026</v>
      </c>
      <c r="C424" s="194" t="s">
        <v>99</v>
      </c>
    </row>
    <row r="425" spans="1:3" x14ac:dyDescent="0.15">
      <c r="A425" s="191">
        <v>33696</v>
      </c>
      <c r="B425" s="193">
        <v>8.71310991195074</v>
      </c>
      <c r="C425" s="194" t="s">
        <v>99</v>
      </c>
    </row>
    <row r="426" spans="1:3" x14ac:dyDescent="0.15">
      <c r="A426" s="191">
        <v>33697</v>
      </c>
      <c r="B426" s="193">
        <v>8.8044325397244911</v>
      </c>
      <c r="C426" s="194" t="s">
        <v>99</v>
      </c>
    </row>
    <row r="427" spans="1:3" x14ac:dyDescent="0.15">
      <c r="A427" s="191">
        <v>33698</v>
      </c>
      <c r="B427" s="193">
        <v>8.8044325397244911</v>
      </c>
      <c r="C427" s="194" t="s">
        <v>99</v>
      </c>
    </row>
    <row r="428" spans="1:3" x14ac:dyDescent="0.15">
      <c r="A428" s="191">
        <v>33699</v>
      </c>
      <c r="B428" s="193">
        <v>8.8044325397244911</v>
      </c>
      <c r="C428" s="194" t="s">
        <v>99</v>
      </c>
    </row>
    <row r="429" spans="1:3" x14ac:dyDescent="0.15">
      <c r="A429" s="191">
        <v>33700</v>
      </c>
      <c r="B429" s="193">
        <v>8.8967123254392959</v>
      </c>
      <c r="C429" s="194" t="s">
        <v>99</v>
      </c>
    </row>
    <row r="430" spans="1:3" x14ac:dyDescent="0.15">
      <c r="A430" s="191">
        <v>33701</v>
      </c>
      <c r="B430" s="193">
        <v>8.988729508580219</v>
      </c>
      <c r="C430" s="194" t="s">
        <v>99</v>
      </c>
    </row>
    <row r="431" spans="1:3" x14ac:dyDescent="0.15">
      <c r="A431" s="191">
        <v>33702</v>
      </c>
      <c r="B431" s="193">
        <v>9.0816984098034474</v>
      </c>
      <c r="C431" s="194" t="s">
        <v>99</v>
      </c>
    </row>
    <row r="432" spans="1:3" x14ac:dyDescent="0.15">
      <c r="A432" s="191">
        <v>33703</v>
      </c>
      <c r="B432" s="193">
        <v>9.1744680498765732</v>
      </c>
      <c r="C432" s="194" t="s">
        <v>99</v>
      </c>
    </row>
    <row r="433" spans="1:3" x14ac:dyDescent="0.15">
      <c r="A433" s="191">
        <v>33704</v>
      </c>
      <c r="B433" s="193">
        <v>9.2681853327507433</v>
      </c>
      <c r="C433" s="194" t="s">
        <v>99</v>
      </c>
    </row>
    <row r="434" spans="1:3" x14ac:dyDescent="0.15">
      <c r="A434" s="191">
        <v>33705</v>
      </c>
      <c r="B434" s="193">
        <v>9.2681853327507433</v>
      </c>
      <c r="C434" s="194" t="s">
        <v>99</v>
      </c>
    </row>
    <row r="435" spans="1:3" x14ac:dyDescent="0.15">
      <c r="A435" s="191">
        <v>33706</v>
      </c>
      <c r="B435" s="193">
        <v>9.2681853327507433</v>
      </c>
      <c r="C435" s="194" t="s">
        <v>99</v>
      </c>
    </row>
    <row r="436" spans="1:3" x14ac:dyDescent="0.15">
      <c r="A436" s="191">
        <v>33707</v>
      </c>
      <c r="B436" s="193">
        <v>9.3599129337163909</v>
      </c>
      <c r="C436" s="194" t="s">
        <v>99</v>
      </c>
    </row>
    <row r="437" spans="1:3" x14ac:dyDescent="0.15">
      <c r="A437" s="191">
        <v>33708</v>
      </c>
      <c r="B437" s="193">
        <v>9.4525483664178989</v>
      </c>
      <c r="C437" s="194" t="s">
        <v>99</v>
      </c>
    </row>
    <row r="438" spans="1:3" x14ac:dyDescent="0.15">
      <c r="A438" s="191">
        <v>33709</v>
      </c>
      <c r="B438" s="193">
        <v>9.5461006157022723</v>
      </c>
      <c r="C438" s="194" t="s">
        <v>99</v>
      </c>
    </row>
    <row r="439" spans="1:3" x14ac:dyDescent="0.15">
      <c r="A439" s="191">
        <v>33710</v>
      </c>
      <c r="B439" s="193">
        <v>9.5461006157022723</v>
      </c>
      <c r="C439" s="194" t="s">
        <v>99</v>
      </c>
    </row>
    <row r="440" spans="1:3" x14ac:dyDescent="0.15">
      <c r="A440" s="191">
        <v>33711</v>
      </c>
      <c r="B440" s="193">
        <v>9.5461006157022723</v>
      </c>
      <c r="C440" s="194" t="s">
        <v>99</v>
      </c>
    </row>
    <row r="441" spans="1:3" x14ac:dyDescent="0.15">
      <c r="A441" s="191">
        <v>33712</v>
      </c>
      <c r="B441" s="193">
        <v>9.5461006157022723</v>
      </c>
      <c r="C441" s="194" t="s">
        <v>99</v>
      </c>
    </row>
    <row r="442" spans="1:3" x14ac:dyDescent="0.15">
      <c r="A442" s="191">
        <v>33713</v>
      </c>
      <c r="B442" s="193">
        <v>9.5461006157022723</v>
      </c>
      <c r="C442" s="194" t="s">
        <v>99</v>
      </c>
    </row>
    <row r="443" spans="1:3" x14ac:dyDescent="0.15">
      <c r="A443" s="191">
        <v>33714</v>
      </c>
      <c r="B443" s="193">
        <v>9.6405787553399023</v>
      </c>
      <c r="C443" s="194" t="s">
        <v>99</v>
      </c>
    </row>
    <row r="444" spans="1:3" x14ac:dyDescent="0.15">
      <c r="A444" s="191">
        <v>33715</v>
      </c>
      <c r="B444" s="193">
        <v>9.6405787553399023</v>
      </c>
      <c r="C444" s="194" t="s">
        <v>99</v>
      </c>
    </row>
    <row r="445" spans="1:3" x14ac:dyDescent="0.15">
      <c r="A445" s="191">
        <v>33716</v>
      </c>
      <c r="B445" s="193">
        <v>9.7359919489046511</v>
      </c>
      <c r="C445" s="194" t="s">
        <v>99</v>
      </c>
    </row>
    <row r="446" spans="1:3" x14ac:dyDescent="0.15">
      <c r="A446" s="191">
        <v>33717</v>
      </c>
      <c r="B446" s="193">
        <v>9.8323494506626385</v>
      </c>
      <c r="C446" s="194" t="s">
        <v>99</v>
      </c>
    </row>
    <row r="447" spans="1:3" x14ac:dyDescent="0.15">
      <c r="A447" s="191">
        <v>33718</v>
      </c>
      <c r="B447" s="193">
        <v>9.9296606064698256</v>
      </c>
      <c r="C447" s="194" t="s">
        <v>99</v>
      </c>
    </row>
    <row r="448" spans="1:3" x14ac:dyDescent="0.15">
      <c r="A448" s="191">
        <v>33719</v>
      </c>
      <c r="B448" s="193">
        <v>9.9296606064698256</v>
      </c>
      <c r="C448" s="194" t="s">
        <v>99</v>
      </c>
    </row>
    <row r="449" spans="1:3" x14ac:dyDescent="0.15">
      <c r="A449" s="191">
        <v>33720</v>
      </c>
      <c r="B449" s="193">
        <v>9.9296606064698256</v>
      </c>
      <c r="C449" s="194" t="s">
        <v>99</v>
      </c>
    </row>
    <row r="450" spans="1:3" x14ac:dyDescent="0.15">
      <c r="A450" s="191">
        <v>33721</v>
      </c>
      <c r="B450" s="193">
        <v>10.027934854678483</v>
      </c>
      <c r="C450" s="194" t="s">
        <v>99</v>
      </c>
    </row>
    <row r="451" spans="1:3" x14ac:dyDescent="0.15">
      <c r="A451" s="191">
        <v>33722</v>
      </c>
      <c r="B451" s="193">
        <v>10.12718172705263</v>
      </c>
      <c r="C451" s="194" t="s">
        <v>99</v>
      </c>
    </row>
    <row r="452" spans="1:3" x14ac:dyDescent="0.15">
      <c r="A452" s="191">
        <v>33723</v>
      </c>
      <c r="B452" s="193">
        <v>10.227410849692539</v>
      </c>
      <c r="C452" s="194" t="s">
        <v>99</v>
      </c>
    </row>
    <row r="453" spans="1:3" x14ac:dyDescent="0.15">
      <c r="A453" s="191">
        <v>33724</v>
      </c>
      <c r="B453" s="193">
        <v>10.32863194396838</v>
      </c>
      <c r="C453" s="194" t="s">
        <v>99</v>
      </c>
    </row>
    <row r="454" spans="1:3" x14ac:dyDescent="0.15">
      <c r="A454" s="191">
        <v>33725</v>
      </c>
      <c r="B454" s="193">
        <v>10.32863194396838</v>
      </c>
      <c r="C454" s="194" t="s">
        <v>99</v>
      </c>
    </row>
    <row r="455" spans="1:3" x14ac:dyDescent="0.15">
      <c r="A455" s="191">
        <v>33726</v>
      </c>
      <c r="B455" s="193">
        <v>10.32863194396838</v>
      </c>
      <c r="C455" s="194" t="s">
        <v>99</v>
      </c>
    </row>
    <row r="456" spans="1:3" x14ac:dyDescent="0.15">
      <c r="A456" s="191">
        <v>33727</v>
      </c>
      <c r="B456" s="193">
        <v>10.32863194396838</v>
      </c>
      <c r="C456" s="194" t="s">
        <v>99</v>
      </c>
    </row>
    <row r="457" spans="1:3" x14ac:dyDescent="0.15">
      <c r="A457" s="191">
        <v>33728</v>
      </c>
      <c r="B457" s="193">
        <v>10.425386229994059</v>
      </c>
      <c r="C457" s="194" t="s">
        <v>99</v>
      </c>
    </row>
    <row r="458" spans="1:3" x14ac:dyDescent="0.15">
      <c r="A458" s="191">
        <v>33729</v>
      </c>
      <c r="B458" s="193">
        <v>10.523046869534426</v>
      </c>
      <c r="C458" s="194" t="s">
        <v>99</v>
      </c>
    </row>
    <row r="459" spans="1:3" x14ac:dyDescent="0.15">
      <c r="A459" s="191">
        <v>33730</v>
      </c>
      <c r="B459" s="193">
        <v>10.621132505096762</v>
      </c>
      <c r="C459" s="194" t="s">
        <v>99</v>
      </c>
    </row>
    <row r="460" spans="1:3" x14ac:dyDescent="0.15">
      <c r="A460" s="191">
        <v>33731</v>
      </c>
      <c r="B460" s="193">
        <v>10.720132399810744</v>
      </c>
      <c r="C460" s="194" t="s">
        <v>99</v>
      </c>
    </row>
    <row r="461" spans="1:3" x14ac:dyDescent="0.15">
      <c r="A461" s="191">
        <v>33732</v>
      </c>
      <c r="B461" s="193">
        <v>10.819493126172953</v>
      </c>
      <c r="C461" s="194" t="s">
        <v>99</v>
      </c>
    </row>
    <row r="462" spans="1:3" x14ac:dyDescent="0.15">
      <c r="A462" s="191">
        <v>33733</v>
      </c>
      <c r="B462" s="193">
        <v>10.819493126172953</v>
      </c>
      <c r="C462" s="194" t="s">
        <v>99</v>
      </c>
    </row>
    <row r="463" spans="1:3" x14ac:dyDescent="0.15">
      <c r="A463" s="191">
        <v>33734</v>
      </c>
      <c r="B463" s="193">
        <v>10.819493126172953</v>
      </c>
      <c r="C463" s="194" t="s">
        <v>99</v>
      </c>
    </row>
    <row r="464" spans="1:3" x14ac:dyDescent="0.15">
      <c r="A464" s="191">
        <v>33735</v>
      </c>
      <c r="B464" s="193">
        <v>10.918563654296587</v>
      </c>
      <c r="C464" s="194" t="s">
        <v>99</v>
      </c>
    </row>
    <row r="465" spans="1:3" x14ac:dyDescent="0.15">
      <c r="A465" s="191">
        <v>33736</v>
      </c>
      <c r="B465" s="193">
        <v>11.017885678805534</v>
      </c>
      <c r="C465" s="194" t="s">
        <v>99</v>
      </c>
    </row>
    <row r="466" spans="1:3" x14ac:dyDescent="0.15">
      <c r="A466" s="191">
        <v>33737</v>
      </c>
      <c r="B466" s="193">
        <v>11.118111198029069</v>
      </c>
      <c r="C466" s="194" t="s">
        <v>99</v>
      </c>
    </row>
    <row r="467" spans="1:3" x14ac:dyDescent="0.15">
      <c r="A467" s="191">
        <v>33738</v>
      </c>
      <c r="B467" s="193">
        <v>11.217767053579259</v>
      </c>
      <c r="C467" s="194" t="s">
        <v>99</v>
      </c>
    </row>
    <row r="468" spans="1:3" x14ac:dyDescent="0.15">
      <c r="A468" s="191">
        <v>33739</v>
      </c>
      <c r="B468" s="193">
        <v>11.318316162431969</v>
      </c>
      <c r="C468" s="194" t="s">
        <v>99</v>
      </c>
    </row>
    <row r="469" spans="1:3" x14ac:dyDescent="0.15">
      <c r="A469" s="191">
        <v>33740</v>
      </c>
      <c r="B469" s="193">
        <v>11.318316162431969</v>
      </c>
      <c r="C469" s="194" t="s">
        <v>99</v>
      </c>
    </row>
    <row r="470" spans="1:3" x14ac:dyDescent="0.15">
      <c r="A470" s="191">
        <v>33741</v>
      </c>
      <c r="B470" s="193">
        <v>11.318316162431969</v>
      </c>
      <c r="C470" s="194" t="s">
        <v>99</v>
      </c>
    </row>
    <row r="471" spans="1:3" x14ac:dyDescent="0.15">
      <c r="A471" s="191">
        <v>33742</v>
      </c>
      <c r="B471" s="193">
        <v>11.419766531155988</v>
      </c>
      <c r="C471" s="194" t="s">
        <v>99</v>
      </c>
    </row>
    <row r="472" spans="1:3" x14ac:dyDescent="0.15">
      <c r="A472" s="191">
        <v>33743</v>
      </c>
      <c r="B472" s="193">
        <v>11.52212623808602</v>
      </c>
      <c r="C472" s="194" t="s">
        <v>99</v>
      </c>
    </row>
    <row r="473" spans="1:3" x14ac:dyDescent="0.15">
      <c r="A473" s="191">
        <v>33744</v>
      </c>
      <c r="B473" s="193">
        <v>11.625403433965955</v>
      </c>
      <c r="C473" s="194" t="s">
        <v>99</v>
      </c>
    </row>
    <row r="474" spans="1:3" x14ac:dyDescent="0.15">
      <c r="A474" s="191">
        <v>33745</v>
      </c>
      <c r="B474" s="193">
        <v>11.729606342597897</v>
      </c>
      <c r="C474" s="194" t="s">
        <v>99</v>
      </c>
    </row>
    <row r="475" spans="1:3" x14ac:dyDescent="0.15">
      <c r="A475" s="191">
        <v>33746</v>
      </c>
      <c r="B475" s="193">
        <v>11.834743261497012</v>
      </c>
      <c r="C475" s="194" t="s">
        <v>99</v>
      </c>
    </row>
    <row r="476" spans="1:3" x14ac:dyDescent="0.15">
      <c r="A476" s="191">
        <v>33747</v>
      </c>
      <c r="B476" s="193">
        <v>11.834743261497012</v>
      </c>
      <c r="C476" s="194" t="s">
        <v>99</v>
      </c>
    </row>
    <row r="477" spans="1:3" x14ac:dyDescent="0.15">
      <c r="A477" s="191">
        <v>33748</v>
      </c>
      <c r="B477" s="193">
        <v>11.834743261497012</v>
      </c>
      <c r="C477" s="194" t="s">
        <v>99</v>
      </c>
    </row>
    <row r="478" spans="1:3" x14ac:dyDescent="0.15">
      <c r="A478" s="191">
        <v>33749</v>
      </c>
      <c r="B478" s="193">
        <v>11.940822562552249</v>
      </c>
      <c r="C478" s="194" t="s">
        <v>99</v>
      </c>
    </row>
    <row r="479" spans="1:3" x14ac:dyDescent="0.15">
      <c r="A479" s="191">
        <v>33750</v>
      </c>
      <c r="B479" s="193">
        <v>12.047852692692977</v>
      </c>
      <c r="C479" s="194" t="s">
        <v>99</v>
      </c>
    </row>
    <row r="480" spans="1:3" x14ac:dyDescent="0.15">
      <c r="A480" s="191">
        <v>33751</v>
      </c>
      <c r="B480" s="193">
        <v>12.155842174561608</v>
      </c>
      <c r="C480" s="194" t="s">
        <v>99</v>
      </c>
    </row>
    <row r="481" spans="1:3" x14ac:dyDescent="0.15">
      <c r="A481" s="191">
        <v>33752</v>
      </c>
      <c r="B481" s="193">
        <v>12.264799607192229</v>
      </c>
      <c r="C481" s="194" t="s">
        <v>99</v>
      </c>
    </row>
    <row r="482" spans="1:3" x14ac:dyDescent="0.15">
      <c r="A482" s="191">
        <v>33753</v>
      </c>
      <c r="B482" s="193">
        <v>12.374733666695343</v>
      </c>
      <c r="C482" s="194" t="s">
        <v>99</v>
      </c>
    </row>
    <row r="483" spans="1:3" x14ac:dyDescent="0.15">
      <c r="A483" s="191">
        <v>33754</v>
      </c>
      <c r="B483" s="193">
        <v>12.374733666695343</v>
      </c>
      <c r="C483" s="194" t="s">
        <v>99</v>
      </c>
    </row>
    <row r="484" spans="1:3" x14ac:dyDescent="0.15">
      <c r="A484" s="191">
        <v>33755</v>
      </c>
      <c r="B484" s="193">
        <v>12.374733666695343</v>
      </c>
      <c r="C484" s="194" t="s">
        <v>99</v>
      </c>
    </row>
    <row r="485" spans="1:3" x14ac:dyDescent="0.15">
      <c r="A485" s="191">
        <v>33756</v>
      </c>
      <c r="B485" s="193">
        <v>12.490024852858499</v>
      </c>
      <c r="C485" s="194" t="s">
        <v>99</v>
      </c>
    </row>
    <row r="486" spans="1:3" x14ac:dyDescent="0.15">
      <c r="A486" s="191">
        <v>33757</v>
      </c>
      <c r="B486" s="193">
        <v>12.606390167804133</v>
      </c>
      <c r="C486" s="194" t="s">
        <v>99</v>
      </c>
    </row>
    <row r="487" spans="1:3" x14ac:dyDescent="0.15">
      <c r="A487" s="191">
        <v>33758</v>
      </c>
      <c r="B487" s="193">
        <v>12.723839618824908</v>
      </c>
      <c r="C487" s="194" t="s">
        <v>99</v>
      </c>
    </row>
    <row r="488" spans="1:3" x14ac:dyDescent="0.15">
      <c r="A488" s="191">
        <v>33759</v>
      </c>
      <c r="B488" s="193">
        <v>12.84238330644803</v>
      </c>
      <c r="C488" s="194" t="s">
        <v>99</v>
      </c>
    </row>
    <row r="489" spans="1:3" x14ac:dyDescent="0.15">
      <c r="A489" s="191">
        <v>33760</v>
      </c>
      <c r="B489" s="193">
        <v>12.961717557455874</v>
      </c>
      <c r="C489" s="194" t="s">
        <v>99</v>
      </c>
    </row>
    <row r="490" spans="1:3" x14ac:dyDescent="0.15">
      <c r="A490" s="191">
        <v>33761</v>
      </c>
      <c r="B490" s="193">
        <v>12.961717557455874</v>
      </c>
      <c r="C490" s="194" t="s">
        <v>99</v>
      </c>
    </row>
    <row r="491" spans="1:3" x14ac:dyDescent="0.15">
      <c r="A491" s="191">
        <v>33762</v>
      </c>
      <c r="B491" s="193">
        <v>12.961717557455874</v>
      </c>
      <c r="C491" s="194" t="s">
        <v>99</v>
      </c>
    </row>
    <row r="492" spans="1:3" x14ac:dyDescent="0.15">
      <c r="A492" s="191">
        <v>33763</v>
      </c>
      <c r="B492" s="193">
        <v>13.082160688577618</v>
      </c>
      <c r="C492" s="194" t="s">
        <v>99</v>
      </c>
    </row>
    <row r="493" spans="1:3" x14ac:dyDescent="0.15">
      <c r="A493" s="191">
        <v>33764</v>
      </c>
      <c r="B493" s="193">
        <v>13.202635222109977</v>
      </c>
      <c r="C493" s="194" t="s">
        <v>99</v>
      </c>
    </row>
    <row r="494" spans="1:3" x14ac:dyDescent="0.15">
      <c r="A494" s="191">
        <v>33765</v>
      </c>
      <c r="B494" s="193">
        <v>13.3234343173909</v>
      </c>
      <c r="C494" s="194" t="s">
        <v>99</v>
      </c>
    </row>
    <row r="495" spans="1:3" x14ac:dyDescent="0.15">
      <c r="A495" s="191">
        <v>33766</v>
      </c>
      <c r="B495" s="193">
        <v>13.444057896749056</v>
      </c>
      <c r="C495" s="194" t="s">
        <v>99</v>
      </c>
    </row>
    <row r="496" spans="1:3" x14ac:dyDescent="0.15">
      <c r="A496" s="191">
        <v>33767</v>
      </c>
      <c r="B496" s="193">
        <v>13.565773540476696</v>
      </c>
      <c r="C496" s="194" t="s">
        <v>99</v>
      </c>
    </row>
    <row r="497" spans="1:3" x14ac:dyDescent="0.15">
      <c r="A497" s="191">
        <v>33768</v>
      </c>
      <c r="B497" s="193">
        <v>13.565773540476696</v>
      </c>
      <c r="C497" s="194" t="s">
        <v>99</v>
      </c>
    </row>
    <row r="498" spans="1:3" x14ac:dyDescent="0.15">
      <c r="A498" s="191">
        <v>33769</v>
      </c>
      <c r="B498" s="193">
        <v>13.565773540476696</v>
      </c>
      <c r="C498" s="194" t="s">
        <v>99</v>
      </c>
    </row>
    <row r="499" spans="1:3" x14ac:dyDescent="0.15">
      <c r="A499" s="191">
        <v>33770</v>
      </c>
      <c r="B499" s="193">
        <v>13.688591135567668</v>
      </c>
      <c r="C499" s="194" t="s">
        <v>99</v>
      </c>
    </row>
    <row r="500" spans="1:3" x14ac:dyDescent="0.15">
      <c r="A500" s="191">
        <v>33771</v>
      </c>
      <c r="B500" s="193">
        <v>13.812520658527619</v>
      </c>
      <c r="C500" s="194" t="s">
        <v>99</v>
      </c>
    </row>
    <row r="501" spans="1:3" x14ac:dyDescent="0.15">
      <c r="A501" s="191">
        <v>33772</v>
      </c>
      <c r="B501" s="193">
        <v>13.937572176184394</v>
      </c>
      <c r="C501" s="194" t="s">
        <v>99</v>
      </c>
    </row>
    <row r="502" spans="1:3" x14ac:dyDescent="0.15">
      <c r="A502" s="191">
        <v>33773</v>
      </c>
      <c r="B502" s="193">
        <v>13.937572176184394</v>
      </c>
      <c r="C502" s="194" t="s">
        <v>99</v>
      </c>
    </row>
    <row r="503" spans="1:3" x14ac:dyDescent="0.15">
      <c r="A503" s="191">
        <v>33774</v>
      </c>
      <c r="B503" s="193">
        <v>14.06375584650576</v>
      </c>
      <c r="C503" s="194" t="s">
        <v>99</v>
      </c>
    </row>
    <row r="504" spans="1:3" x14ac:dyDescent="0.15">
      <c r="A504" s="191">
        <v>33775</v>
      </c>
      <c r="B504" s="193">
        <v>14.06375584650576</v>
      </c>
      <c r="C504" s="194" t="s">
        <v>99</v>
      </c>
    </row>
    <row r="505" spans="1:3" x14ac:dyDescent="0.15">
      <c r="A505" s="191">
        <v>33776</v>
      </c>
      <c r="B505" s="193">
        <v>14.06375584650576</v>
      </c>
      <c r="C505" s="194" t="s">
        <v>99</v>
      </c>
    </row>
    <row r="506" spans="1:3" x14ac:dyDescent="0.15">
      <c r="A506" s="191">
        <v>33777</v>
      </c>
      <c r="B506" s="193">
        <v>14.191081919424542</v>
      </c>
      <c r="C506" s="194" t="s">
        <v>99</v>
      </c>
    </row>
    <row r="507" spans="1:3" x14ac:dyDescent="0.15">
      <c r="A507" s="191">
        <v>33778</v>
      </c>
      <c r="B507" s="193">
        <v>14.319560737671235</v>
      </c>
      <c r="C507" s="194" t="s">
        <v>99</v>
      </c>
    </row>
    <row r="508" spans="1:3" x14ac:dyDescent="0.15">
      <c r="A508" s="191">
        <v>33779</v>
      </c>
      <c r="B508" s="193">
        <v>14.449202737614137</v>
      </c>
      <c r="C508" s="194" t="s">
        <v>99</v>
      </c>
    </row>
    <row r="509" spans="1:3" x14ac:dyDescent="0.15">
      <c r="A509" s="191">
        <v>33780</v>
      </c>
      <c r="B509" s="193">
        <v>14.580018450107101</v>
      </c>
      <c r="C509" s="194" t="s">
        <v>99</v>
      </c>
    </row>
    <row r="510" spans="1:3" x14ac:dyDescent="0.15">
      <c r="A510" s="191">
        <v>33781</v>
      </c>
      <c r="B510" s="193">
        <v>14.712018501344962</v>
      </c>
      <c r="C510" s="194" t="s">
        <v>99</v>
      </c>
    </row>
    <row r="511" spans="1:3" x14ac:dyDescent="0.15">
      <c r="A511" s="191">
        <v>33782</v>
      </c>
      <c r="B511" s="193">
        <v>14.712018501344962</v>
      </c>
      <c r="C511" s="194" t="s">
        <v>99</v>
      </c>
    </row>
    <row r="512" spans="1:3" x14ac:dyDescent="0.15">
      <c r="A512" s="191">
        <v>33783</v>
      </c>
      <c r="B512" s="193">
        <v>14.712018501344962</v>
      </c>
      <c r="C512" s="194" t="s">
        <v>99</v>
      </c>
    </row>
    <row r="513" spans="1:3" x14ac:dyDescent="0.15">
      <c r="A513" s="191">
        <v>33784</v>
      </c>
      <c r="B513" s="193">
        <v>14.845213613726706</v>
      </c>
      <c r="C513" s="194" t="s">
        <v>99</v>
      </c>
    </row>
    <row r="514" spans="1:3" x14ac:dyDescent="0.15">
      <c r="A514" s="191">
        <v>33785</v>
      </c>
      <c r="B514" s="193">
        <v>14.979614606726447</v>
      </c>
      <c r="C514" s="194" t="s">
        <v>99</v>
      </c>
    </row>
    <row r="515" spans="1:3" x14ac:dyDescent="0.15">
      <c r="A515" s="191">
        <v>33786</v>
      </c>
      <c r="B515" s="193">
        <v>15.118247195008047</v>
      </c>
      <c r="C515" s="194" t="s">
        <v>99</v>
      </c>
    </row>
    <row r="516" spans="1:3" x14ac:dyDescent="0.15">
      <c r="A516" s="191">
        <v>33787</v>
      </c>
      <c r="B516" s="193">
        <v>15.258162793236048</v>
      </c>
      <c r="C516" s="194" t="s">
        <v>99</v>
      </c>
    </row>
    <row r="517" spans="1:3" x14ac:dyDescent="0.15">
      <c r="A517" s="191">
        <v>33788</v>
      </c>
      <c r="B517" s="193">
        <v>15.399373275346749</v>
      </c>
      <c r="C517" s="194" t="s">
        <v>99</v>
      </c>
    </row>
    <row r="518" spans="1:3" x14ac:dyDescent="0.15">
      <c r="A518" s="191">
        <v>33789</v>
      </c>
      <c r="B518" s="193">
        <v>15.399373275346749</v>
      </c>
      <c r="C518" s="194" t="s">
        <v>99</v>
      </c>
    </row>
    <row r="519" spans="1:3" x14ac:dyDescent="0.15">
      <c r="A519" s="191">
        <v>33790</v>
      </c>
      <c r="B519" s="193">
        <v>15.399373275346749</v>
      </c>
      <c r="C519" s="194" t="s">
        <v>99</v>
      </c>
    </row>
    <row r="520" spans="1:3" x14ac:dyDescent="0.15">
      <c r="A520" s="191">
        <v>33791</v>
      </c>
      <c r="B520" s="193">
        <v>15.541890625166763</v>
      </c>
      <c r="C520" s="194" t="s">
        <v>99</v>
      </c>
    </row>
    <row r="521" spans="1:3" x14ac:dyDescent="0.15">
      <c r="A521" s="191">
        <v>33792</v>
      </c>
      <c r="B521" s="193">
        <v>15.685726937430024</v>
      </c>
      <c r="C521" s="194" t="s">
        <v>99</v>
      </c>
    </row>
    <row r="522" spans="1:3" x14ac:dyDescent="0.15">
      <c r="A522" s="191">
        <v>33793</v>
      </c>
      <c r="B522" s="193">
        <v>15.830894418804204</v>
      </c>
      <c r="C522" s="194" t="s">
        <v>99</v>
      </c>
    </row>
    <row r="523" spans="1:3" x14ac:dyDescent="0.15">
      <c r="A523" s="191">
        <v>33794</v>
      </c>
      <c r="B523" s="193">
        <v>15.977405388926632</v>
      </c>
      <c r="C523" s="194" t="s">
        <v>99</v>
      </c>
    </row>
    <row r="524" spans="1:3" x14ac:dyDescent="0.15">
      <c r="A524" s="191">
        <v>33795</v>
      </c>
      <c r="B524" s="193">
        <v>16.125272281449799</v>
      </c>
      <c r="C524" s="194" t="s">
        <v>99</v>
      </c>
    </row>
    <row r="525" spans="1:3" x14ac:dyDescent="0.15">
      <c r="A525" s="191">
        <v>33796</v>
      </c>
      <c r="B525" s="193">
        <v>16.125272281449799</v>
      </c>
      <c r="C525" s="194" t="s">
        <v>99</v>
      </c>
    </row>
    <row r="526" spans="1:3" x14ac:dyDescent="0.15">
      <c r="A526" s="191">
        <v>33797</v>
      </c>
      <c r="B526" s="193">
        <v>16.125272281449799</v>
      </c>
      <c r="C526" s="194" t="s">
        <v>99</v>
      </c>
    </row>
    <row r="527" spans="1:3" x14ac:dyDescent="0.15">
      <c r="A527" s="191">
        <v>33798</v>
      </c>
      <c r="B527" s="193">
        <v>16.275297460932894</v>
      </c>
      <c r="C527" s="194" t="s">
        <v>99</v>
      </c>
    </row>
    <row r="528" spans="1:3" x14ac:dyDescent="0.15">
      <c r="A528" s="191">
        <v>33799</v>
      </c>
      <c r="B528" s="193">
        <v>16.426718434179101</v>
      </c>
      <c r="C528" s="194" t="s">
        <v>99</v>
      </c>
    </row>
    <row r="529" spans="1:3" x14ac:dyDescent="0.15">
      <c r="A529" s="191">
        <v>33800</v>
      </c>
      <c r="B529" s="193">
        <v>16.579548187276728</v>
      </c>
      <c r="C529" s="194" t="s">
        <v>99</v>
      </c>
    </row>
    <row r="530" spans="1:3" x14ac:dyDescent="0.15">
      <c r="A530" s="191">
        <v>33801</v>
      </c>
      <c r="B530" s="193">
        <v>16.73379982713314</v>
      </c>
      <c r="C530" s="194" t="s">
        <v>99</v>
      </c>
    </row>
    <row r="531" spans="1:3" x14ac:dyDescent="0.15">
      <c r="A531" s="191">
        <v>33802</v>
      </c>
      <c r="B531" s="193">
        <v>16.889486582598835</v>
      </c>
      <c r="C531" s="194" t="s">
        <v>99</v>
      </c>
    </row>
    <row r="532" spans="1:3" x14ac:dyDescent="0.15">
      <c r="A532" s="191">
        <v>33803</v>
      </c>
      <c r="B532" s="193">
        <v>16.889486582598835</v>
      </c>
      <c r="C532" s="194" t="s">
        <v>99</v>
      </c>
    </row>
    <row r="533" spans="1:3" x14ac:dyDescent="0.15">
      <c r="A533" s="191">
        <v>33804</v>
      </c>
      <c r="B533" s="193">
        <v>16.889486582598835</v>
      </c>
      <c r="C533" s="194" t="s">
        <v>99</v>
      </c>
    </row>
    <row r="534" spans="1:3" x14ac:dyDescent="0.15">
      <c r="A534" s="191">
        <v>33805</v>
      </c>
      <c r="B534" s="193">
        <v>17.046621805601958</v>
      </c>
      <c r="C534" s="194" t="s">
        <v>99</v>
      </c>
    </row>
    <row r="535" spans="1:3" x14ac:dyDescent="0.15">
      <c r="A535" s="191">
        <v>33806</v>
      </c>
      <c r="B535" s="193">
        <v>17.205218972293391</v>
      </c>
      <c r="C535" s="194" t="s">
        <v>99</v>
      </c>
    </row>
    <row r="536" spans="1:3" x14ac:dyDescent="0.15">
      <c r="A536" s="191">
        <v>33807</v>
      </c>
      <c r="B536" s="193">
        <v>17.365291684202486</v>
      </c>
      <c r="C536" s="194" t="s">
        <v>99</v>
      </c>
    </row>
    <row r="537" spans="1:3" x14ac:dyDescent="0.15">
      <c r="A537" s="191">
        <v>33808</v>
      </c>
      <c r="B537" s="193">
        <v>17.52685366940355</v>
      </c>
      <c r="C537" s="194" t="s">
        <v>99</v>
      </c>
    </row>
    <row r="538" spans="1:3" x14ac:dyDescent="0.15">
      <c r="A538" s="191">
        <v>33809</v>
      </c>
      <c r="B538" s="193">
        <v>17.689918783693191</v>
      </c>
      <c r="C538" s="194" t="s">
        <v>99</v>
      </c>
    </row>
    <row r="539" spans="1:3" x14ac:dyDescent="0.15">
      <c r="A539" s="191">
        <v>33810</v>
      </c>
      <c r="B539" s="193">
        <v>17.689918783693191</v>
      </c>
      <c r="C539" s="194" t="s">
        <v>99</v>
      </c>
    </row>
    <row r="540" spans="1:3" x14ac:dyDescent="0.15">
      <c r="A540" s="191">
        <v>33811</v>
      </c>
      <c r="B540" s="193">
        <v>17.689918783693191</v>
      </c>
      <c r="C540" s="194" t="s">
        <v>99</v>
      </c>
    </row>
    <row r="541" spans="1:3" x14ac:dyDescent="0.15">
      <c r="A541" s="191">
        <v>33812</v>
      </c>
      <c r="B541" s="193">
        <v>17.854501011778602</v>
      </c>
      <c r="C541" s="194" t="s">
        <v>99</v>
      </c>
    </row>
    <row r="542" spans="1:3" x14ac:dyDescent="0.15">
      <c r="A542" s="191">
        <v>33813</v>
      </c>
      <c r="B542" s="193">
        <v>18.020614468476918</v>
      </c>
      <c r="C542" s="194" t="s">
        <v>99</v>
      </c>
    </row>
    <row r="543" spans="1:3" x14ac:dyDescent="0.15">
      <c r="A543" s="191">
        <v>33814</v>
      </c>
      <c r="B543" s="193">
        <v>18.188273399925723</v>
      </c>
      <c r="C543" s="194" t="s">
        <v>99</v>
      </c>
    </row>
    <row r="544" spans="1:3" x14ac:dyDescent="0.15">
      <c r="A544" s="191">
        <v>33815</v>
      </c>
      <c r="B544" s="193">
        <v>18.357492184804816</v>
      </c>
      <c r="C544" s="194" t="s">
        <v>99</v>
      </c>
    </row>
    <row r="545" spans="1:3" x14ac:dyDescent="0.15">
      <c r="A545" s="191">
        <v>33816</v>
      </c>
      <c r="B545" s="193">
        <v>18.52828533556935</v>
      </c>
      <c r="C545" s="194" t="s">
        <v>99</v>
      </c>
    </row>
    <row r="546" spans="1:3" x14ac:dyDescent="0.15">
      <c r="A546" s="191">
        <v>33817</v>
      </c>
      <c r="B546" s="193">
        <v>18.52828533556935</v>
      </c>
      <c r="C546" s="194" t="s">
        <v>99</v>
      </c>
    </row>
    <row r="547" spans="1:3" x14ac:dyDescent="0.15">
      <c r="A547" s="191">
        <v>33818</v>
      </c>
      <c r="B547" s="193">
        <v>18.52828533556935</v>
      </c>
      <c r="C547" s="194" t="s">
        <v>99</v>
      </c>
    </row>
    <row r="548" spans="1:3" x14ac:dyDescent="0.15">
      <c r="A548" s="191">
        <v>33819</v>
      </c>
      <c r="B548" s="193">
        <v>18.71038706761578</v>
      </c>
      <c r="C548" s="194" t="s">
        <v>99</v>
      </c>
    </row>
    <row r="549" spans="1:3" x14ac:dyDescent="0.15">
      <c r="A549" s="191">
        <v>33820</v>
      </c>
      <c r="B549" s="193">
        <v>18.894278551936299</v>
      </c>
      <c r="C549" s="194" t="s">
        <v>99</v>
      </c>
    </row>
    <row r="550" spans="1:3" x14ac:dyDescent="0.15">
      <c r="A550" s="191">
        <v>33821</v>
      </c>
      <c r="B550" s="193">
        <v>19.07997737877108</v>
      </c>
      <c r="C550" s="194" t="s">
        <v>99</v>
      </c>
    </row>
    <row r="551" spans="1:3" x14ac:dyDescent="0.15">
      <c r="A551" s="191">
        <v>33822</v>
      </c>
      <c r="B551" s="193">
        <v>19.267501311242629</v>
      </c>
      <c r="C551" s="194" t="s">
        <v>99</v>
      </c>
    </row>
    <row r="552" spans="1:3" x14ac:dyDescent="0.15">
      <c r="A552" s="191">
        <v>33823</v>
      </c>
      <c r="B552" s="193">
        <v>19.456868287054931</v>
      </c>
      <c r="C552" s="194" t="s">
        <v>99</v>
      </c>
    </row>
    <row r="553" spans="1:3" x14ac:dyDescent="0.15">
      <c r="A553" s="191">
        <v>33824</v>
      </c>
      <c r="B553" s="193">
        <v>19.456868287054931</v>
      </c>
      <c r="C553" s="194" t="s">
        <v>99</v>
      </c>
    </row>
    <row r="554" spans="1:3" x14ac:dyDescent="0.15">
      <c r="A554" s="191">
        <v>33825</v>
      </c>
      <c r="B554" s="193">
        <v>19.456868287054931</v>
      </c>
      <c r="C554" s="194" t="s">
        <v>99</v>
      </c>
    </row>
    <row r="555" spans="1:3" x14ac:dyDescent="0.15">
      <c r="A555" s="191">
        <v>33826</v>
      </c>
      <c r="B555" s="193">
        <v>19.650094835151041</v>
      </c>
      <c r="C555" s="194" t="s">
        <v>99</v>
      </c>
    </row>
    <row r="556" spans="1:3" x14ac:dyDescent="0.15">
      <c r="A556" s="191">
        <v>33827</v>
      </c>
      <c r="B556" s="193">
        <v>19.845240319960823</v>
      </c>
      <c r="C556" s="194" t="s">
        <v>99</v>
      </c>
    </row>
    <row r="557" spans="1:3" x14ac:dyDescent="0.15">
      <c r="A557" s="191">
        <v>33828</v>
      </c>
      <c r="B557" s="193">
        <v>20.04232379848316</v>
      </c>
      <c r="C557" s="194" t="s">
        <v>99</v>
      </c>
    </row>
    <row r="558" spans="1:3" x14ac:dyDescent="0.15">
      <c r="A558" s="191">
        <v>33829</v>
      </c>
      <c r="B558" s="193">
        <v>20.244147193208555</v>
      </c>
      <c r="C558" s="194" t="s">
        <v>99</v>
      </c>
    </row>
    <row r="559" spans="1:3" x14ac:dyDescent="0.15">
      <c r="A559" s="191">
        <v>33830</v>
      </c>
      <c r="B559" s="193">
        <v>20.448002921263559</v>
      </c>
      <c r="C559" s="194" t="s">
        <v>99</v>
      </c>
    </row>
    <row r="560" spans="1:3" x14ac:dyDescent="0.15">
      <c r="A560" s="191">
        <v>33831</v>
      </c>
      <c r="B560" s="193">
        <v>20.448002921263559</v>
      </c>
      <c r="C560" s="194" t="s">
        <v>99</v>
      </c>
    </row>
    <row r="561" spans="1:3" x14ac:dyDescent="0.15">
      <c r="A561" s="191">
        <v>33832</v>
      </c>
      <c r="B561" s="193">
        <v>20.448002921263559</v>
      </c>
      <c r="C561" s="194" t="s">
        <v>99</v>
      </c>
    </row>
    <row r="562" spans="1:3" x14ac:dyDescent="0.15">
      <c r="A562" s="191">
        <v>33833</v>
      </c>
      <c r="B562" s="193">
        <v>20.653911447960272</v>
      </c>
      <c r="C562" s="194" t="s">
        <v>99</v>
      </c>
    </row>
    <row r="563" spans="1:3" x14ac:dyDescent="0.15">
      <c r="A563" s="191">
        <v>33834</v>
      </c>
      <c r="B563" s="193">
        <v>20.861893444693628</v>
      </c>
      <c r="C563" s="194" t="s">
        <v>99</v>
      </c>
    </row>
    <row r="564" spans="1:3" x14ac:dyDescent="0.15">
      <c r="A564" s="191">
        <v>33835</v>
      </c>
      <c r="B564" s="193">
        <v>21.07196979101661</v>
      </c>
      <c r="C564" s="194" t="s">
        <v>99</v>
      </c>
    </row>
    <row r="565" spans="1:3" x14ac:dyDescent="0.15">
      <c r="A565" s="191">
        <v>33836</v>
      </c>
      <c r="B565" s="193">
        <v>21.284161576736377</v>
      </c>
      <c r="C565" s="194" t="s">
        <v>99</v>
      </c>
    </row>
    <row r="566" spans="1:3" x14ac:dyDescent="0.15">
      <c r="A566" s="191">
        <v>33837</v>
      </c>
      <c r="B566" s="193">
        <v>21.49849010403149</v>
      </c>
      <c r="C566" s="194" t="s">
        <v>99</v>
      </c>
    </row>
    <row r="567" spans="1:3" x14ac:dyDescent="0.15">
      <c r="A567" s="191">
        <v>33838</v>
      </c>
      <c r="B567" s="193">
        <v>21.49849010403149</v>
      </c>
      <c r="C567" s="194" t="s">
        <v>99</v>
      </c>
    </row>
    <row r="568" spans="1:3" x14ac:dyDescent="0.15">
      <c r="A568" s="191">
        <v>33839</v>
      </c>
      <c r="B568" s="193">
        <v>21.49849010403149</v>
      </c>
      <c r="C568" s="194" t="s">
        <v>99</v>
      </c>
    </row>
    <row r="569" spans="1:3" x14ac:dyDescent="0.15">
      <c r="A569" s="191">
        <v>33840</v>
      </c>
      <c r="B569" s="193">
        <v>21.714976889590471</v>
      </c>
      <c r="C569" s="194" t="s">
        <v>99</v>
      </c>
    </row>
    <row r="570" spans="1:3" x14ac:dyDescent="0.15">
      <c r="A570" s="191">
        <v>33841</v>
      </c>
      <c r="B570" s="193">
        <v>21.933643666771882</v>
      </c>
      <c r="C570" s="194" t="s">
        <v>99</v>
      </c>
    </row>
    <row r="571" spans="1:3" x14ac:dyDescent="0.15">
      <c r="A571" s="191">
        <v>33842</v>
      </c>
      <c r="B571" s="193">
        <v>22.154512387786163</v>
      </c>
      <c r="C571" s="194" t="s">
        <v>99</v>
      </c>
    </row>
    <row r="572" spans="1:3" x14ac:dyDescent="0.15">
      <c r="A572" s="191">
        <v>33843</v>
      </c>
      <c r="B572" s="193">
        <v>22.377605225899433</v>
      </c>
      <c r="C572" s="194" t="s">
        <v>99</v>
      </c>
    </row>
    <row r="573" spans="1:3" x14ac:dyDescent="0.15">
      <c r="A573" s="191">
        <v>33844</v>
      </c>
      <c r="B573" s="193">
        <v>22.60294457765951</v>
      </c>
      <c r="C573" s="194" t="s">
        <v>99</v>
      </c>
    </row>
    <row r="574" spans="1:3" x14ac:dyDescent="0.15">
      <c r="A574" s="191">
        <v>33845</v>
      </c>
      <c r="B574" s="193">
        <v>22.60294457765951</v>
      </c>
      <c r="C574" s="194" t="s">
        <v>99</v>
      </c>
    </row>
    <row r="575" spans="1:3" x14ac:dyDescent="0.15">
      <c r="A575" s="191">
        <v>33846</v>
      </c>
      <c r="B575" s="193">
        <v>22.60294457765951</v>
      </c>
      <c r="C575" s="194" t="s">
        <v>99</v>
      </c>
    </row>
    <row r="576" spans="1:3" x14ac:dyDescent="0.15">
      <c r="A576" s="191">
        <v>33847</v>
      </c>
      <c r="B576" s="193">
        <v>22.830553065144301</v>
      </c>
      <c r="C576" s="194" t="s">
        <v>99</v>
      </c>
    </row>
    <row r="577" spans="1:3" x14ac:dyDescent="0.15">
      <c r="A577" s="191">
        <v>33848</v>
      </c>
      <c r="B577" s="193">
        <v>23.074441361484826</v>
      </c>
      <c r="C577" s="194" t="s">
        <v>99</v>
      </c>
    </row>
    <row r="578" spans="1:3" x14ac:dyDescent="0.15">
      <c r="A578" s="191">
        <v>33849</v>
      </c>
      <c r="B578" s="193">
        <v>23.320935004306541</v>
      </c>
      <c r="C578" s="194" t="s">
        <v>99</v>
      </c>
    </row>
    <row r="579" spans="1:3" x14ac:dyDescent="0.15">
      <c r="A579" s="191">
        <v>33850</v>
      </c>
      <c r="B579" s="193">
        <v>23.570061825327443</v>
      </c>
      <c r="C579" s="194" t="s">
        <v>99</v>
      </c>
    </row>
    <row r="580" spans="1:3" x14ac:dyDescent="0.15">
      <c r="A580" s="191">
        <v>33851</v>
      </c>
      <c r="B580" s="193">
        <v>23.823437161542294</v>
      </c>
      <c r="C580" s="194" t="s">
        <v>99</v>
      </c>
    </row>
    <row r="581" spans="1:3" x14ac:dyDescent="0.15">
      <c r="A581" s="191">
        <v>33852</v>
      </c>
      <c r="B581" s="193">
        <v>23.823437161542294</v>
      </c>
      <c r="C581" s="194" t="s">
        <v>99</v>
      </c>
    </row>
    <row r="582" spans="1:3" x14ac:dyDescent="0.15">
      <c r="A582" s="191">
        <v>33853</v>
      </c>
      <c r="B582" s="193">
        <v>23.823437161542294</v>
      </c>
      <c r="C582" s="194" t="s">
        <v>99</v>
      </c>
    </row>
    <row r="583" spans="1:3" x14ac:dyDescent="0.15">
      <c r="A583" s="191">
        <v>33854</v>
      </c>
      <c r="B583" s="193">
        <v>23.823437161542294</v>
      </c>
      <c r="C583" s="194" t="s">
        <v>99</v>
      </c>
    </row>
    <row r="584" spans="1:3" x14ac:dyDescent="0.15">
      <c r="A584" s="191">
        <v>33855</v>
      </c>
      <c r="B584" s="193">
        <v>24.079536252216418</v>
      </c>
      <c r="C584" s="194" t="s">
        <v>99</v>
      </c>
    </row>
    <row r="585" spans="1:3" x14ac:dyDescent="0.15">
      <c r="A585" s="191">
        <v>33856</v>
      </c>
      <c r="B585" s="193">
        <v>24.338388377383396</v>
      </c>
      <c r="C585" s="194" t="s">
        <v>99</v>
      </c>
    </row>
    <row r="586" spans="1:3" x14ac:dyDescent="0.15">
      <c r="A586" s="191">
        <v>33857</v>
      </c>
      <c r="B586" s="193">
        <v>24.600023131833666</v>
      </c>
      <c r="C586" s="194" t="s">
        <v>99</v>
      </c>
    </row>
    <row r="587" spans="1:3" x14ac:dyDescent="0.15">
      <c r="A587" s="191">
        <v>33858</v>
      </c>
      <c r="B587" s="193">
        <v>24.864470428498105</v>
      </c>
      <c r="C587" s="194" t="s">
        <v>99</v>
      </c>
    </row>
    <row r="588" spans="1:3" x14ac:dyDescent="0.15">
      <c r="A588" s="191">
        <v>33859</v>
      </c>
      <c r="B588" s="193">
        <v>24.864470428498105</v>
      </c>
      <c r="C588" s="194" t="s">
        <v>99</v>
      </c>
    </row>
    <row r="589" spans="1:3" x14ac:dyDescent="0.15">
      <c r="A589" s="191">
        <v>33860</v>
      </c>
      <c r="B589" s="193">
        <v>24.864470428498105</v>
      </c>
      <c r="C589" s="194" t="s">
        <v>99</v>
      </c>
    </row>
    <row r="590" spans="1:3" x14ac:dyDescent="0.15">
      <c r="A590" s="191">
        <v>33861</v>
      </c>
      <c r="B590" s="193">
        <v>25.135310402311084</v>
      </c>
      <c r="C590" s="194" t="s">
        <v>99</v>
      </c>
    </row>
    <row r="591" spans="1:3" x14ac:dyDescent="0.15">
      <c r="A591" s="191">
        <v>33862</v>
      </c>
      <c r="B591" s="193">
        <v>25.409100541164818</v>
      </c>
      <c r="C591" s="194" t="s">
        <v>99</v>
      </c>
    </row>
    <row r="592" spans="1:3" x14ac:dyDescent="0.15">
      <c r="A592" s="191">
        <v>33863</v>
      </c>
      <c r="B592" s="193">
        <v>25.685872980174537</v>
      </c>
      <c r="C592" s="194" t="s">
        <v>99</v>
      </c>
    </row>
    <row r="593" spans="1:3" x14ac:dyDescent="0.15">
      <c r="A593" s="191">
        <v>33864</v>
      </c>
      <c r="B593" s="193">
        <v>25.965660204492035</v>
      </c>
      <c r="C593" s="194" t="s">
        <v>99</v>
      </c>
    </row>
    <row r="594" spans="1:3" x14ac:dyDescent="0.15">
      <c r="A594" s="191">
        <v>33865</v>
      </c>
      <c r="B594" s="193">
        <v>26.248495053118493</v>
      </c>
      <c r="C594" s="194" t="s">
        <v>99</v>
      </c>
    </row>
    <row r="595" spans="1:3" x14ac:dyDescent="0.15">
      <c r="A595" s="191">
        <v>33866</v>
      </c>
      <c r="B595" s="193">
        <v>26.248495053118493</v>
      </c>
      <c r="C595" s="194" t="s">
        <v>99</v>
      </c>
    </row>
    <row r="596" spans="1:3" x14ac:dyDescent="0.15">
      <c r="A596" s="191">
        <v>33867</v>
      </c>
      <c r="B596" s="193">
        <v>26.248495053118493</v>
      </c>
      <c r="C596" s="194" t="s">
        <v>99</v>
      </c>
    </row>
    <row r="597" spans="1:3" x14ac:dyDescent="0.15">
      <c r="A597" s="191">
        <v>33868</v>
      </c>
      <c r="B597" s="193">
        <v>26.534410722758842</v>
      </c>
      <c r="C597" s="194" t="s">
        <v>99</v>
      </c>
    </row>
    <row r="598" spans="1:3" x14ac:dyDescent="0.15">
      <c r="A598" s="191">
        <v>33869</v>
      </c>
      <c r="B598" s="193">
        <v>26.823440771718101</v>
      </c>
      <c r="C598" s="194" t="s">
        <v>99</v>
      </c>
    </row>
    <row r="599" spans="1:3" x14ac:dyDescent="0.15">
      <c r="A599" s="191">
        <v>33870</v>
      </c>
      <c r="B599" s="193">
        <v>27.115619123840155</v>
      </c>
      <c r="C599" s="194" t="s">
        <v>99</v>
      </c>
    </row>
    <row r="600" spans="1:3" x14ac:dyDescent="0.15">
      <c r="A600" s="191">
        <v>33871</v>
      </c>
      <c r="B600" s="193">
        <v>27.410980072489451</v>
      </c>
      <c r="C600" s="194" t="s">
        <v>99</v>
      </c>
    </row>
    <row r="601" spans="1:3" x14ac:dyDescent="0.15">
      <c r="A601" s="191">
        <v>33872</v>
      </c>
      <c r="B601" s="193">
        <v>27.709558284576051</v>
      </c>
      <c r="C601" s="194" t="s">
        <v>99</v>
      </c>
    </row>
    <row r="602" spans="1:3" x14ac:dyDescent="0.15">
      <c r="A602" s="191">
        <v>33873</v>
      </c>
      <c r="B602" s="193">
        <v>27.709558284576051</v>
      </c>
      <c r="C602" s="194" t="s">
        <v>99</v>
      </c>
    </row>
    <row r="603" spans="1:3" x14ac:dyDescent="0.15">
      <c r="A603" s="191">
        <v>33874</v>
      </c>
      <c r="B603" s="193">
        <v>27.709558284576051</v>
      </c>
      <c r="C603" s="194" t="s">
        <v>99</v>
      </c>
    </row>
    <row r="604" spans="1:3" x14ac:dyDescent="0.15">
      <c r="A604" s="191">
        <v>33875</v>
      </c>
      <c r="B604" s="193">
        <v>28.011388804624538</v>
      </c>
      <c r="C604" s="194" t="s">
        <v>99</v>
      </c>
    </row>
    <row r="605" spans="1:3" x14ac:dyDescent="0.15">
      <c r="A605" s="191">
        <v>33876</v>
      </c>
      <c r="B605" s="193">
        <v>28.316507058887229</v>
      </c>
      <c r="C605" s="194" t="s">
        <v>99</v>
      </c>
    </row>
    <row r="606" spans="1:3" x14ac:dyDescent="0.15">
      <c r="A606" s="191">
        <v>33877</v>
      </c>
      <c r="B606" s="193">
        <v>28.624948859502215</v>
      </c>
      <c r="C606" s="194" t="s">
        <v>99</v>
      </c>
    </row>
    <row r="607" spans="1:3" x14ac:dyDescent="0.15">
      <c r="A607" s="191">
        <v>33878</v>
      </c>
      <c r="B607" s="193">
        <v>28.939526169987577</v>
      </c>
      <c r="C607" s="194" t="s">
        <v>99</v>
      </c>
    </row>
    <row r="608" spans="1:3" x14ac:dyDescent="0.15">
      <c r="A608" s="191">
        <v>33879</v>
      </c>
      <c r="B608" s="193">
        <v>29.257560565575794</v>
      </c>
      <c r="C608" s="194" t="s">
        <v>99</v>
      </c>
    </row>
    <row r="609" spans="1:3" x14ac:dyDescent="0.15">
      <c r="A609" s="191">
        <v>33880</v>
      </c>
      <c r="B609" s="193">
        <v>29.257560565575794</v>
      </c>
      <c r="C609" s="194" t="s">
        <v>99</v>
      </c>
    </row>
    <row r="610" spans="1:3" x14ac:dyDescent="0.15">
      <c r="A610" s="191">
        <v>33881</v>
      </c>
      <c r="B610" s="193">
        <v>29.257560565575794</v>
      </c>
      <c r="C610" s="194" t="s">
        <v>99</v>
      </c>
    </row>
    <row r="611" spans="1:3" x14ac:dyDescent="0.15">
      <c r="A611" s="191">
        <v>33882</v>
      </c>
      <c r="B611" s="193">
        <v>29.579090038318455</v>
      </c>
      <c r="C611" s="194" t="s">
        <v>99</v>
      </c>
    </row>
    <row r="612" spans="1:3" x14ac:dyDescent="0.15">
      <c r="A612" s="191">
        <v>33883</v>
      </c>
      <c r="B612" s="193">
        <v>29.904152997785356</v>
      </c>
      <c r="C612" s="194" t="s">
        <v>99</v>
      </c>
    </row>
    <row r="613" spans="1:3" x14ac:dyDescent="0.15">
      <c r="A613" s="191">
        <v>33884</v>
      </c>
      <c r="B613" s="193">
        <v>30.22995874469623</v>
      </c>
      <c r="C613" s="194" t="s">
        <v>99</v>
      </c>
    </row>
    <row r="614" spans="1:3" x14ac:dyDescent="0.15">
      <c r="A614" s="191">
        <v>33885</v>
      </c>
      <c r="B614" s="193">
        <v>30.557792973695662</v>
      </c>
      <c r="C614" s="194" t="s">
        <v>99</v>
      </c>
    </row>
    <row r="615" spans="1:3" x14ac:dyDescent="0.15">
      <c r="A615" s="191">
        <v>33886</v>
      </c>
      <c r="B615" s="193">
        <v>30.885898413990759</v>
      </c>
      <c r="C615" s="194" t="s">
        <v>99</v>
      </c>
    </row>
    <row r="616" spans="1:3" x14ac:dyDescent="0.15">
      <c r="A616" s="191">
        <v>33887</v>
      </c>
      <c r="B616" s="193">
        <v>30.885898413990759</v>
      </c>
      <c r="C616" s="194" t="s">
        <v>99</v>
      </c>
    </row>
    <row r="617" spans="1:3" x14ac:dyDescent="0.15">
      <c r="A617" s="191">
        <v>33888</v>
      </c>
      <c r="B617" s="193">
        <v>30.885898413990759</v>
      </c>
      <c r="C617" s="194" t="s">
        <v>99</v>
      </c>
    </row>
    <row r="618" spans="1:3" x14ac:dyDescent="0.15">
      <c r="A618" s="191">
        <v>33889</v>
      </c>
      <c r="B618" s="193">
        <v>30.885898413990759</v>
      </c>
      <c r="C618" s="194" t="s">
        <v>99</v>
      </c>
    </row>
    <row r="619" spans="1:3" x14ac:dyDescent="0.15">
      <c r="A619" s="191">
        <v>33890</v>
      </c>
      <c r="B619" s="193">
        <v>31.217526791300447</v>
      </c>
      <c r="C619" s="194" t="s">
        <v>99</v>
      </c>
    </row>
    <row r="620" spans="1:3" x14ac:dyDescent="0.15">
      <c r="A620" s="191">
        <v>33891</v>
      </c>
      <c r="B620" s="193">
        <v>31.548256820612394</v>
      </c>
      <c r="C620" s="194" t="s">
        <v>99</v>
      </c>
    </row>
    <row r="621" spans="1:3" x14ac:dyDescent="0.15">
      <c r="A621" s="191">
        <v>33892</v>
      </c>
      <c r="B621" s="193">
        <v>31.882490726224983</v>
      </c>
      <c r="C621" s="194" t="s">
        <v>99</v>
      </c>
    </row>
    <row r="622" spans="1:3" x14ac:dyDescent="0.15">
      <c r="A622" s="191">
        <v>33893</v>
      </c>
      <c r="B622" s="193">
        <v>32.220265629500176</v>
      </c>
      <c r="C622" s="194" t="s">
        <v>99</v>
      </c>
    </row>
    <row r="623" spans="1:3" x14ac:dyDescent="0.15">
      <c r="A623" s="191">
        <v>33894</v>
      </c>
      <c r="B623" s="193">
        <v>32.220265629500176</v>
      </c>
      <c r="C623" s="194" t="s">
        <v>99</v>
      </c>
    </row>
    <row r="624" spans="1:3" x14ac:dyDescent="0.15">
      <c r="A624" s="191">
        <v>33895</v>
      </c>
      <c r="B624" s="193">
        <v>32.220265629500176</v>
      </c>
      <c r="C624" s="194" t="s">
        <v>99</v>
      </c>
    </row>
    <row r="625" spans="1:3" x14ac:dyDescent="0.15">
      <c r="A625" s="191">
        <v>33896</v>
      </c>
      <c r="B625" s="193">
        <v>32.561619045077386</v>
      </c>
      <c r="C625" s="194" t="s">
        <v>99</v>
      </c>
    </row>
    <row r="626" spans="1:3" x14ac:dyDescent="0.15">
      <c r="A626" s="191">
        <v>33897</v>
      </c>
      <c r="B626" s="193">
        <v>32.90658888503998</v>
      </c>
      <c r="C626" s="194" t="s">
        <v>99</v>
      </c>
    </row>
    <row r="627" spans="1:3" x14ac:dyDescent="0.15">
      <c r="A627" s="191">
        <v>33898</v>
      </c>
      <c r="B627" s="193">
        <v>33.255213463125983</v>
      </c>
      <c r="C627" s="194" t="s">
        <v>99</v>
      </c>
    </row>
    <row r="628" spans="1:3" x14ac:dyDescent="0.15">
      <c r="A628" s="191">
        <v>33899</v>
      </c>
      <c r="B628" s="193">
        <v>33.60753149898332</v>
      </c>
      <c r="C628" s="194" t="s">
        <v>99</v>
      </c>
    </row>
    <row r="629" spans="1:3" x14ac:dyDescent="0.15">
      <c r="A629" s="191">
        <v>33900</v>
      </c>
      <c r="B629" s="193">
        <v>33.9635821224702</v>
      </c>
      <c r="C629" s="194" t="s">
        <v>99</v>
      </c>
    </row>
    <row r="630" spans="1:3" x14ac:dyDescent="0.15">
      <c r="A630" s="191">
        <v>33901</v>
      </c>
      <c r="B630" s="193">
        <v>33.9635821224702</v>
      </c>
      <c r="C630" s="194" t="s">
        <v>99</v>
      </c>
    </row>
    <row r="631" spans="1:3" x14ac:dyDescent="0.15">
      <c r="A631" s="191">
        <v>33902</v>
      </c>
      <c r="B631" s="193">
        <v>33.9635821224702</v>
      </c>
      <c r="C631" s="194" t="s">
        <v>99</v>
      </c>
    </row>
    <row r="632" spans="1:3" x14ac:dyDescent="0.15">
      <c r="A632" s="191">
        <v>33903</v>
      </c>
      <c r="B632" s="193">
        <v>34.323404878001035</v>
      </c>
      <c r="C632" s="194" t="s">
        <v>99</v>
      </c>
    </row>
    <row r="633" spans="1:3" x14ac:dyDescent="0.15">
      <c r="A633" s="191">
        <v>33904</v>
      </c>
      <c r="B633" s="193">
        <v>34.68703972893838</v>
      </c>
      <c r="C633" s="194" t="s">
        <v>99</v>
      </c>
    </row>
    <row r="634" spans="1:3" x14ac:dyDescent="0.15">
      <c r="A634" s="191">
        <v>33905</v>
      </c>
      <c r="B634" s="193">
        <v>35.054527062031454</v>
      </c>
      <c r="C634" s="194" t="s">
        <v>99</v>
      </c>
    </row>
    <row r="635" spans="1:3" x14ac:dyDescent="0.15">
      <c r="A635" s="191">
        <v>33906</v>
      </c>
      <c r="B635" s="193">
        <v>35.425907691901628</v>
      </c>
      <c r="C635" s="194" t="s">
        <v>99</v>
      </c>
    </row>
    <row r="636" spans="1:3" x14ac:dyDescent="0.15">
      <c r="A636" s="191">
        <v>33907</v>
      </c>
      <c r="B636" s="193">
        <v>35.801222865575475</v>
      </c>
      <c r="C636" s="194" t="s">
        <v>99</v>
      </c>
    </row>
    <row r="637" spans="1:3" x14ac:dyDescent="0.15">
      <c r="A637" s="191">
        <v>33908</v>
      </c>
      <c r="B637" s="193">
        <v>35.801222865575475</v>
      </c>
      <c r="C637" s="194" t="s">
        <v>99</v>
      </c>
    </row>
    <row r="638" spans="1:3" x14ac:dyDescent="0.15">
      <c r="A638" s="191">
        <v>33909</v>
      </c>
      <c r="B638" s="193">
        <v>35.801222865575475</v>
      </c>
      <c r="C638" s="194" t="s">
        <v>99</v>
      </c>
    </row>
    <row r="639" spans="1:3" x14ac:dyDescent="0.15">
      <c r="A639" s="191">
        <v>33910</v>
      </c>
      <c r="B639" s="193">
        <v>35.801222865575475</v>
      </c>
      <c r="C639" s="194" t="s">
        <v>99</v>
      </c>
    </row>
    <row r="640" spans="1:3" x14ac:dyDescent="0.15">
      <c r="A640" s="191">
        <v>33911</v>
      </c>
      <c r="B640" s="193">
        <v>36.195645653909978</v>
      </c>
      <c r="C640" s="194" t="s">
        <v>99</v>
      </c>
    </row>
    <row r="641" spans="1:3" x14ac:dyDescent="0.15">
      <c r="A641" s="191">
        <v>33912</v>
      </c>
      <c r="B641" s="193">
        <v>36.594413805992012</v>
      </c>
      <c r="C641" s="194" t="s">
        <v>99</v>
      </c>
    </row>
    <row r="642" spans="1:3" x14ac:dyDescent="0.15">
      <c r="A642" s="191">
        <v>33913</v>
      </c>
      <c r="B642" s="193">
        <v>36.992616651710193</v>
      </c>
      <c r="C642" s="194" t="s">
        <v>99</v>
      </c>
    </row>
    <row r="643" spans="1:3" x14ac:dyDescent="0.15">
      <c r="A643" s="191">
        <v>33914</v>
      </c>
      <c r="B643" s="193">
        <v>37.395152549658114</v>
      </c>
      <c r="C643" s="194" t="s">
        <v>99</v>
      </c>
    </row>
    <row r="644" spans="1:3" x14ac:dyDescent="0.15">
      <c r="A644" s="191">
        <v>33915</v>
      </c>
      <c r="B644" s="193">
        <v>37.395152549658114</v>
      </c>
      <c r="C644" s="194" t="s">
        <v>99</v>
      </c>
    </row>
    <row r="645" spans="1:3" x14ac:dyDescent="0.15">
      <c r="A645" s="191">
        <v>33916</v>
      </c>
      <c r="B645" s="193">
        <v>37.395152549658114</v>
      </c>
      <c r="C645" s="194" t="s">
        <v>99</v>
      </c>
    </row>
    <row r="646" spans="1:3" x14ac:dyDescent="0.15">
      <c r="A646" s="191">
        <v>33917</v>
      </c>
      <c r="B646" s="193">
        <v>37.798261449549187</v>
      </c>
      <c r="C646" s="194" t="s">
        <v>99</v>
      </c>
    </row>
    <row r="647" spans="1:3" x14ac:dyDescent="0.15">
      <c r="A647" s="191">
        <v>33918</v>
      </c>
      <c r="B647" s="193">
        <v>38.205715746479505</v>
      </c>
      <c r="C647" s="194" t="s">
        <v>99</v>
      </c>
    </row>
    <row r="648" spans="1:3" x14ac:dyDescent="0.15">
      <c r="A648" s="191">
        <v>33919</v>
      </c>
      <c r="B648" s="193">
        <v>38.613109788455894</v>
      </c>
      <c r="C648" s="194" t="s">
        <v>99</v>
      </c>
    </row>
    <row r="649" spans="1:3" x14ac:dyDescent="0.15">
      <c r="A649" s="191">
        <v>33920</v>
      </c>
      <c r="B649" s="193">
        <v>39.015134428460478</v>
      </c>
      <c r="C649" s="194" t="s">
        <v>99</v>
      </c>
    </row>
    <row r="650" spans="1:3" x14ac:dyDescent="0.15">
      <c r="A650" s="191">
        <v>33921</v>
      </c>
      <c r="B650" s="193">
        <v>39.418415145782951</v>
      </c>
      <c r="C650" s="194" t="s">
        <v>99</v>
      </c>
    </row>
    <row r="651" spans="1:3" x14ac:dyDescent="0.15">
      <c r="A651" s="191">
        <v>33922</v>
      </c>
      <c r="B651" s="193">
        <v>39.418415145782951</v>
      </c>
      <c r="C651" s="194" t="s">
        <v>99</v>
      </c>
    </row>
    <row r="652" spans="1:3" x14ac:dyDescent="0.15">
      <c r="A652" s="191">
        <v>33923</v>
      </c>
      <c r="B652" s="193">
        <v>39.418415145782951</v>
      </c>
      <c r="C652" s="194" t="s">
        <v>99</v>
      </c>
    </row>
    <row r="653" spans="1:3" x14ac:dyDescent="0.15">
      <c r="A653" s="191">
        <v>33924</v>
      </c>
      <c r="B653" s="193">
        <v>39.825864382305646</v>
      </c>
      <c r="C653" s="194" t="s">
        <v>99</v>
      </c>
    </row>
    <row r="654" spans="1:3" x14ac:dyDescent="0.15">
      <c r="A654" s="191">
        <v>33925</v>
      </c>
      <c r="B654" s="193">
        <v>40.237525226010639</v>
      </c>
      <c r="C654" s="194" t="s">
        <v>99</v>
      </c>
    </row>
    <row r="655" spans="1:3" x14ac:dyDescent="0.15">
      <c r="A655" s="191">
        <v>33926</v>
      </c>
      <c r="B655" s="193">
        <v>40.653441210259807</v>
      </c>
      <c r="C655" s="194" t="s">
        <v>99</v>
      </c>
    </row>
    <row r="656" spans="1:3" x14ac:dyDescent="0.15">
      <c r="A656" s="191">
        <v>33927</v>
      </c>
      <c r="B656" s="193">
        <v>41.073656318398484</v>
      </c>
      <c r="C656" s="194" t="s">
        <v>99</v>
      </c>
    </row>
    <row r="657" spans="1:3" x14ac:dyDescent="0.15">
      <c r="A657" s="191">
        <v>33928</v>
      </c>
      <c r="B657" s="193">
        <v>41.498214988406737</v>
      </c>
      <c r="C657" s="194" t="s">
        <v>99</v>
      </c>
    </row>
    <row r="658" spans="1:3" x14ac:dyDescent="0.15">
      <c r="A658" s="191">
        <v>33929</v>
      </c>
      <c r="B658" s="193">
        <v>41.498214988406737</v>
      </c>
      <c r="C658" s="194" t="s">
        <v>99</v>
      </c>
    </row>
    <row r="659" spans="1:3" x14ac:dyDescent="0.15">
      <c r="A659" s="191">
        <v>33930</v>
      </c>
      <c r="B659" s="193">
        <v>41.498214988406737</v>
      </c>
      <c r="C659" s="194" t="s">
        <v>99</v>
      </c>
    </row>
    <row r="660" spans="1:3" x14ac:dyDescent="0.15">
      <c r="A660" s="191">
        <v>33931</v>
      </c>
      <c r="B660" s="193">
        <v>41.927162117598705</v>
      </c>
      <c r="C660" s="194" t="s">
        <v>99</v>
      </c>
    </row>
    <row r="661" spans="1:3" x14ac:dyDescent="0.15">
      <c r="A661" s="191">
        <v>33932</v>
      </c>
      <c r="B661" s="193">
        <v>42.360543067370507</v>
      </c>
      <c r="C661" s="194" t="s">
        <v>99</v>
      </c>
    </row>
    <row r="662" spans="1:3" x14ac:dyDescent="0.15">
      <c r="A662" s="191">
        <v>33933</v>
      </c>
      <c r="B662" s="193">
        <v>42.798403667997249</v>
      </c>
      <c r="C662" s="194" t="s">
        <v>99</v>
      </c>
    </row>
    <row r="663" spans="1:3" x14ac:dyDescent="0.15">
      <c r="A663" s="191">
        <v>33934</v>
      </c>
      <c r="B663" s="193">
        <v>43.240790223479578</v>
      </c>
      <c r="C663" s="194" t="s">
        <v>99</v>
      </c>
    </row>
    <row r="664" spans="1:3" x14ac:dyDescent="0.15">
      <c r="A664" s="191">
        <v>33935</v>
      </c>
      <c r="B664" s="193">
        <v>43.687749516440384</v>
      </c>
      <c r="C664" s="194" t="s">
        <v>99</v>
      </c>
    </row>
    <row r="665" spans="1:3" x14ac:dyDescent="0.15">
      <c r="A665" s="191">
        <v>33936</v>
      </c>
      <c r="B665" s="193">
        <v>43.687749516440384</v>
      </c>
      <c r="C665" s="194" t="s">
        <v>99</v>
      </c>
    </row>
    <row r="666" spans="1:3" x14ac:dyDescent="0.15">
      <c r="A666" s="191">
        <v>33937</v>
      </c>
      <c r="B666" s="193">
        <v>43.687749516440384</v>
      </c>
      <c r="C666" s="194" t="s">
        <v>99</v>
      </c>
    </row>
    <row r="667" spans="1:3" x14ac:dyDescent="0.15">
      <c r="A667" s="191">
        <v>33938</v>
      </c>
      <c r="B667" s="193">
        <v>44.139328813072062</v>
      </c>
      <c r="C667" s="194" t="s">
        <v>99</v>
      </c>
    </row>
    <row r="668" spans="1:3" x14ac:dyDescent="0.15">
      <c r="A668" s="191">
        <v>33939</v>
      </c>
      <c r="B668" s="193">
        <v>44.564845626022006</v>
      </c>
      <c r="C668" s="194" t="s">
        <v>99</v>
      </c>
    </row>
    <row r="669" spans="1:3" x14ac:dyDescent="0.15">
      <c r="A669" s="191">
        <v>33940</v>
      </c>
      <c r="B669" s="193">
        <v>44.994464552959002</v>
      </c>
      <c r="C669" s="194" t="s">
        <v>99</v>
      </c>
    </row>
    <row r="670" spans="1:3" x14ac:dyDescent="0.15">
      <c r="A670" s="191">
        <v>33941</v>
      </c>
      <c r="B670" s="193">
        <v>45.430063613355166</v>
      </c>
      <c r="C670" s="194" t="s">
        <v>99</v>
      </c>
    </row>
    <row r="671" spans="1:3" x14ac:dyDescent="0.15">
      <c r="A671" s="191">
        <v>33942</v>
      </c>
      <c r="B671" s="193">
        <v>45.869879782306867</v>
      </c>
      <c r="C671" s="194" t="s">
        <v>99</v>
      </c>
    </row>
    <row r="672" spans="1:3" x14ac:dyDescent="0.15">
      <c r="A672" s="191">
        <v>33943</v>
      </c>
      <c r="B672" s="193">
        <v>45.869879782306867</v>
      </c>
      <c r="C672" s="194" t="s">
        <v>99</v>
      </c>
    </row>
    <row r="673" spans="1:3" x14ac:dyDescent="0.15">
      <c r="A673" s="191">
        <v>33944</v>
      </c>
      <c r="B673" s="193">
        <v>45.869879782306867</v>
      </c>
      <c r="C673" s="194" t="s">
        <v>99</v>
      </c>
    </row>
    <row r="674" spans="1:3" x14ac:dyDescent="0.15">
      <c r="A674" s="191">
        <v>33945</v>
      </c>
      <c r="B674" s="193">
        <v>46.315896934466522</v>
      </c>
      <c r="C674" s="194" t="s">
        <v>99</v>
      </c>
    </row>
    <row r="675" spans="1:3" x14ac:dyDescent="0.15">
      <c r="A675" s="191">
        <v>33946</v>
      </c>
      <c r="B675" s="193">
        <v>46.766389895476522</v>
      </c>
      <c r="C675" s="194" t="s">
        <v>99</v>
      </c>
    </row>
    <row r="676" spans="1:3" x14ac:dyDescent="0.15">
      <c r="A676" s="191">
        <v>33947</v>
      </c>
      <c r="B676" s="193">
        <v>47.22364967567124</v>
      </c>
      <c r="C676" s="194" t="s">
        <v>99</v>
      </c>
    </row>
    <row r="677" spans="1:3" x14ac:dyDescent="0.15">
      <c r="A677" s="191">
        <v>33948</v>
      </c>
      <c r="B677" s="193">
        <v>47.685380327084609</v>
      </c>
      <c r="C677" s="194" t="s">
        <v>99</v>
      </c>
    </row>
    <row r="678" spans="1:3" x14ac:dyDescent="0.15">
      <c r="A678" s="191">
        <v>33949</v>
      </c>
      <c r="B678" s="193">
        <v>48.155790404911855</v>
      </c>
      <c r="C678" s="194" t="s">
        <v>99</v>
      </c>
    </row>
    <row r="679" spans="1:3" x14ac:dyDescent="0.15">
      <c r="A679" s="191">
        <v>33950</v>
      </c>
      <c r="B679" s="193">
        <v>48.155790404911855</v>
      </c>
      <c r="C679" s="194" t="s">
        <v>99</v>
      </c>
    </row>
    <row r="680" spans="1:3" x14ac:dyDescent="0.15">
      <c r="A680" s="191">
        <v>33951</v>
      </c>
      <c r="B680" s="193">
        <v>48.155790404911855</v>
      </c>
      <c r="C680" s="194" t="s">
        <v>99</v>
      </c>
    </row>
    <row r="681" spans="1:3" x14ac:dyDescent="0.15">
      <c r="A681" s="191">
        <v>33952</v>
      </c>
      <c r="B681" s="193">
        <v>48.630841017003554</v>
      </c>
      <c r="C681" s="194" t="s">
        <v>99</v>
      </c>
    </row>
    <row r="682" spans="1:3" x14ac:dyDescent="0.15">
      <c r="A682" s="191">
        <v>33953</v>
      </c>
      <c r="B682" s="193">
        <v>49.110577941626957</v>
      </c>
      <c r="C682" s="194" t="s">
        <v>99</v>
      </c>
    </row>
    <row r="683" spans="1:3" x14ac:dyDescent="0.15">
      <c r="A683" s="191">
        <v>33954</v>
      </c>
      <c r="B683" s="193">
        <v>49.595047408645968</v>
      </c>
      <c r="C683" s="194" t="s">
        <v>99</v>
      </c>
    </row>
    <row r="684" spans="1:3" x14ac:dyDescent="0.15">
      <c r="A684" s="191">
        <v>33955</v>
      </c>
      <c r="B684" s="193">
        <v>50.084296103976094</v>
      </c>
      <c r="C684" s="194" t="s">
        <v>99</v>
      </c>
    </row>
    <row r="685" spans="1:3" x14ac:dyDescent="0.15">
      <c r="A685" s="191">
        <v>33956</v>
      </c>
      <c r="B685" s="193">
        <v>50.578371174083323</v>
      </c>
      <c r="C685" s="194" t="s">
        <v>99</v>
      </c>
    </row>
    <row r="686" spans="1:3" x14ac:dyDescent="0.15">
      <c r="A686" s="191">
        <v>33957</v>
      </c>
      <c r="B686" s="193">
        <v>50.578371174083323</v>
      </c>
      <c r="C686" s="194" t="s">
        <v>99</v>
      </c>
    </row>
    <row r="687" spans="1:3" x14ac:dyDescent="0.15">
      <c r="A687" s="191">
        <v>33958</v>
      </c>
      <c r="B687" s="193">
        <v>50.578371174083323</v>
      </c>
      <c r="C687" s="194" t="s">
        <v>99</v>
      </c>
    </row>
    <row r="688" spans="1:3" x14ac:dyDescent="0.15">
      <c r="A688" s="191">
        <v>33959</v>
      </c>
      <c r="B688" s="193">
        <v>51.077320230527398</v>
      </c>
      <c r="C688" s="194" t="s">
        <v>99</v>
      </c>
    </row>
    <row r="689" spans="1:3" x14ac:dyDescent="0.15">
      <c r="A689" s="191">
        <v>33960</v>
      </c>
      <c r="B689" s="193">
        <v>51.581191354549915</v>
      </c>
      <c r="C689" s="194" t="s">
        <v>99</v>
      </c>
    </row>
    <row r="690" spans="1:3" x14ac:dyDescent="0.15">
      <c r="A690" s="191">
        <v>33961</v>
      </c>
      <c r="B690" s="193">
        <v>52.090033101707668</v>
      </c>
      <c r="C690" s="194" t="s">
        <v>99</v>
      </c>
    </row>
    <row r="691" spans="1:3" x14ac:dyDescent="0.15">
      <c r="A691" s="191">
        <v>33962</v>
      </c>
      <c r="B691" s="193">
        <v>52.603894506551704</v>
      </c>
      <c r="C691" s="194" t="s">
        <v>99</v>
      </c>
    </row>
    <row r="692" spans="1:3" x14ac:dyDescent="0.15">
      <c r="A692" s="191">
        <v>33963</v>
      </c>
      <c r="B692" s="193">
        <v>52.603894506551704</v>
      </c>
      <c r="C692" s="194" t="s">
        <v>99</v>
      </c>
    </row>
    <row r="693" spans="1:3" x14ac:dyDescent="0.15">
      <c r="A693" s="191">
        <v>33964</v>
      </c>
      <c r="B693" s="193">
        <v>52.603894506551704</v>
      </c>
      <c r="C693" s="194" t="s">
        <v>99</v>
      </c>
    </row>
    <row r="694" spans="1:3" x14ac:dyDescent="0.15">
      <c r="A694" s="191">
        <v>33965</v>
      </c>
      <c r="B694" s="193">
        <v>52.603894506551704</v>
      </c>
      <c r="C694" s="194" t="s">
        <v>99</v>
      </c>
    </row>
    <row r="695" spans="1:3" x14ac:dyDescent="0.15">
      <c r="A695" s="191">
        <v>33966</v>
      </c>
      <c r="B695" s="193">
        <v>53.122825087352545</v>
      </c>
      <c r="C695" s="194" t="s">
        <v>99</v>
      </c>
    </row>
    <row r="696" spans="1:3" x14ac:dyDescent="0.15">
      <c r="A696" s="191">
        <v>33967</v>
      </c>
      <c r="B696" s="193">
        <v>53.64687485087201</v>
      </c>
      <c r="C696" s="194" t="s">
        <v>99</v>
      </c>
    </row>
    <row r="697" spans="1:3" x14ac:dyDescent="0.15">
      <c r="A697" s="191">
        <v>33968</v>
      </c>
      <c r="B697" s="193">
        <v>54.176094297182125</v>
      </c>
      <c r="C697" s="194" t="s">
        <v>99</v>
      </c>
    </row>
    <row r="698" spans="1:3" x14ac:dyDescent="0.15">
      <c r="A698" s="191">
        <v>33969</v>
      </c>
      <c r="B698" s="193">
        <v>54.710534424531566</v>
      </c>
      <c r="C698" s="194" t="s">
        <v>99</v>
      </c>
    </row>
    <row r="699" spans="1:3" x14ac:dyDescent="0.15">
      <c r="A699" s="191">
        <v>33970</v>
      </c>
      <c r="B699" s="193">
        <v>54.710534424531566</v>
      </c>
      <c r="C699" s="194" t="s">
        <v>99</v>
      </c>
    </row>
    <row r="700" spans="1:3" x14ac:dyDescent="0.15">
      <c r="A700" s="191">
        <v>33971</v>
      </c>
      <c r="B700" s="193">
        <v>54.710534424531566</v>
      </c>
      <c r="C700" s="194" t="s">
        <v>99</v>
      </c>
    </row>
    <row r="701" spans="1:3" x14ac:dyDescent="0.15">
      <c r="A701" s="191">
        <v>33972</v>
      </c>
      <c r="B701" s="193">
        <v>54.710534424531566</v>
      </c>
      <c r="C701" s="194" t="s">
        <v>99</v>
      </c>
    </row>
    <row r="702" spans="1:3" x14ac:dyDescent="0.15">
      <c r="A702" s="191">
        <v>33973</v>
      </c>
      <c r="B702" s="193">
        <v>55.346413629039475</v>
      </c>
      <c r="C702" s="194" t="s">
        <v>99</v>
      </c>
    </row>
    <row r="703" spans="1:3" x14ac:dyDescent="0.15">
      <c r="A703" s="191">
        <v>33974</v>
      </c>
      <c r="B703" s="193">
        <v>55.989683409548491</v>
      </c>
      <c r="C703" s="194" t="s">
        <v>99</v>
      </c>
    </row>
    <row r="704" spans="1:3" x14ac:dyDescent="0.15">
      <c r="A704" s="191">
        <v>33975</v>
      </c>
      <c r="B704" s="193">
        <v>56.640429663841147</v>
      </c>
      <c r="C704" s="194" t="s">
        <v>99</v>
      </c>
    </row>
    <row r="705" spans="1:3" x14ac:dyDescent="0.15">
      <c r="A705" s="191">
        <v>33976</v>
      </c>
      <c r="B705" s="193">
        <v>57.29873928805641</v>
      </c>
      <c r="C705" s="194" t="s">
        <v>99</v>
      </c>
    </row>
    <row r="706" spans="1:3" x14ac:dyDescent="0.15">
      <c r="A706" s="191">
        <v>33977</v>
      </c>
      <c r="B706" s="193">
        <v>57.970446105868973</v>
      </c>
      <c r="C706" s="194" t="s">
        <v>99</v>
      </c>
    </row>
    <row r="707" spans="1:3" x14ac:dyDescent="0.15">
      <c r="A707" s="191">
        <v>33978</v>
      </c>
      <c r="B707" s="193">
        <v>57.970446105868973</v>
      </c>
      <c r="C707" s="194" t="s">
        <v>99</v>
      </c>
    </row>
    <row r="708" spans="1:3" x14ac:dyDescent="0.15">
      <c r="A708" s="191">
        <v>33979</v>
      </c>
      <c r="B708" s="193">
        <v>57.970446105868973</v>
      </c>
      <c r="C708" s="194" t="s">
        <v>99</v>
      </c>
    </row>
    <row r="709" spans="1:3" x14ac:dyDescent="0.15">
      <c r="A709" s="191">
        <v>33980</v>
      </c>
      <c r="B709" s="193">
        <v>58.650027268819002</v>
      </c>
      <c r="C709" s="194" t="s">
        <v>99</v>
      </c>
    </row>
    <row r="710" spans="1:3" x14ac:dyDescent="0.15">
      <c r="A710" s="191">
        <v>33981</v>
      </c>
      <c r="B710" s="193">
        <v>59.347640018167965</v>
      </c>
      <c r="C710" s="194" t="s">
        <v>99</v>
      </c>
    </row>
    <row r="711" spans="1:3" x14ac:dyDescent="0.15">
      <c r="A711" s="191">
        <v>33982</v>
      </c>
      <c r="B711" s="193">
        <v>60.053550522364063</v>
      </c>
      <c r="C711" s="194" t="s">
        <v>99</v>
      </c>
    </row>
    <row r="712" spans="1:3" x14ac:dyDescent="0.15">
      <c r="A712" s="191">
        <v>33983</v>
      </c>
      <c r="B712" s="193">
        <v>60.778255751325275</v>
      </c>
      <c r="C712" s="194" t="s">
        <v>99</v>
      </c>
    </row>
    <row r="713" spans="1:3" x14ac:dyDescent="0.15">
      <c r="A713" s="191">
        <v>33984</v>
      </c>
      <c r="B713" s="193">
        <v>61.511706469342762</v>
      </c>
      <c r="C713" s="194" t="s">
        <v>99</v>
      </c>
    </row>
    <row r="714" spans="1:3" x14ac:dyDescent="0.15">
      <c r="A714" s="191">
        <v>33985</v>
      </c>
      <c r="B714" s="193">
        <v>61.511706469342762</v>
      </c>
      <c r="C714" s="194" t="s">
        <v>99</v>
      </c>
    </row>
    <row r="715" spans="1:3" x14ac:dyDescent="0.15">
      <c r="A715" s="191">
        <v>33986</v>
      </c>
      <c r="B715" s="193">
        <v>61.511706469342762</v>
      </c>
      <c r="C715" s="194" t="s">
        <v>99</v>
      </c>
    </row>
    <row r="716" spans="1:3" x14ac:dyDescent="0.15">
      <c r="A716" s="191">
        <v>33987</v>
      </c>
      <c r="B716" s="193">
        <v>62.25400821391753</v>
      </c>
      <c r="C716" s="194" t="s">
        <v>99</v>
      </c>
    </row>
    <row r="717" spans="1:3" x14ac:dyDescent="0.15">
      <c r="A717" s="191">
        <v>33988</v>
      </c>
      <c r="B717" s="193">
        <v>63.005267796140217</v>
      </c>
      <c r="C717" s="194" t="s">
        <v>99</v>
      </c>
    </row>
    <row r="718" spans="1:3" x14ac:dyDescent="0.15">
      <c r="A718" s="191">
        <v>33989</v>
      </c>
      <c r="B718" s="193">
        <v>63.765593316060311</v>
      </c>
      <c r="C718" s="194" t="s">
        <v>99</v>
      </c>
    </row>
    <row r="719" spans="1:3" x14ac:dyDescent="0.15">
      <c r="A719" s="191">
        <v>33990</v>
      </c>
      <c r="B719" s="193">
        <v>64.535094178240868</v>
      </c>
      <c r="C719" s="194" t="s">
        <v>99</v>
      </c>
    </row>
    <row r="720" spans="1:3" x14ac:dyDescent="0.15">
      <c r="A720" s="191">
        <v>33991</v>
      </c>
      <c r="B720" s="193">
        <v>65.313881107500919</v>
      </c>
      <c r="C720" s="194" t="s">
        <v>99</v>
      </c>
    </row>
    <row r="721" spans="1:3" x14ac:dyDescent="0.15">
      <c r="A721" s="191">
        <v>33992</v>
      </c>
      <c r="B721" s="193">
        <v>65.313881107500919</v>
      </c>
      <c r="C721" s="194" t="s">
        <v>99</v>
      </c>
    </row>
    <row r="722" spans="1:3" x14ac:dyDescent="0.15">
      <c r="A722" s="191">
        <v>33993</v>
      </c>
      <c r="B722" s="193">
        <v>65.313881107500919</v>
      </c>
      <c r="C722" s="194" t="s">
        <v>99</v>
      </c>
    </row>
    <row r="723" spans="1:3" x14ac:dyDescent="0.15">
      <c r="A723" s="191">
        <v>33994</v>
      </c>
      <c r="B723" s="193">
        <v>66.102066164847855</v>
      </c>
      <c r="C723" s="194" t="s">
        <v>99</v>
      </c>
    </row>
    <row r="724" spans="1:3" x14ac:dyDescent="0.15">
      <c r="A724" s="191">
        <v>33995</v>
      </c>
      <c r="B724" s="193">
        <v>66.899762763602084</v>
      </c>
      <c r="C724" s="194" t="s">
        <v>99</v>
      </c>
    </row>
    <row r="725" spans="1:3" x14ac:dyDescent="0.15">
      <c r="A725" s="191">
        <v>33996</v>
      </c>
      <c r="B725" s="193">
        <v>67.707085685716279</v>
      </c>
      <c r="C725" s="194" t="s">
        <v>99</v>
      </c>
    </row>
    <row r="726" spans="1:3" x14ac:dyDescent="0.15">
      <c r="A726" s="191">
        <v>33997</v>
      </c>
      <c r="B726" s="193">
        <v>68.524151098291526</v>
      </c>
      <c r="C726" s="194" t="s">
        <v>99</v>
      </c>
    </row>
    <row r="727" spans="1:3" x14ac:dyDescent="0.15">
      <c r="A727" s="191">
        <v>33998</v>
      </c>
      <c r="B727" s="193">
        <v>69.351076570292832</v>
      </c>
      <c r="C727" s="194" t="s">
        <v>99</v>
      </c>
    </row>
    <row r="728" spans="1:3" x14ac:dyDescent="0.15">
      <c r="A728" s="191">
        <v>33999</v>
      </c>
      <c r="B728" s="193">
        <v>69.351076570292832</v>
      </c>
      <c r="C728" s="194" t="s">
        <v>99</v>
      </c>
    </row>
    <row r="729" spans="1:3" x14ac:dyDescent="0.15">
      <c r="A729" s="191">
        <v>34000</v>
      </c>
      <c r="B729" s="193">
        <v>69.351076570292832</v>
      </c>
      <c r="C729" s="194" t="s">
        <v>99</v>
      </c>
    </row>
    <row r="730" spans="1:3" x14ac:dyDescent="0.15">
      <c r="A730" s="191">
        <v>34001</v>
      </c>
      <c r="B730" s="193">
        <v>70.284254947471979</v>
      </c>
      <c r="C730" s="194" t="s">
        <v>99</v>
      </c>
    </row>
    <row r="731" spans="1:3" x14ac:dyDescent="0.15">
      <c r="A731" s="191">
        <v>34002</v>
      </c>
      <c r="B731" s="193">
        <v>71.229990042249483</v>
      </c>
      <c r="C731" s="194" t="s">
        <v>99</v>
      </c>
    </row>
    <row r="732" spans="1:3" x14ac:dyDescent="0.15">
      <c r="A732" s="191">
        <v>34003</v>
      </c>
      <c r="B732" s="193">
        <v>72.181352035251777</v>
      </c>
      <c r="C732" s="194" t="s">
        <v>99</v>
      </c>
    </row>
    <row r="733" spans="1:3" x14ac:dyDescent="0.15">
      <c r="A733" s="191">
        <v>34004</v>
      </c>
      <c r="B733" s="193">
        <v>73.145420609305006</v>
      </c>
      <c r="C733" s="194" t="s">
        <v>99</v>
      </c>
    </row>
    <row r="734" spans="1:3" x14ac:dyDescent="0.15">
      <c r="A734" s="191">
        <v>34005</v>
      </c>
      <c r="B734" s="193">
        <v>74.114021777918111</v>
      </c>
      <c r="C734" s="194" t="s">
        <v>99</v>
      </c>
    </row>
    <row r="735" spans="1:3" x14ac:dyDescent="0.15">
      <c r="A735" s="191">
        <v>34006</v>
      </c>
      <c r="B735" s="193">
        <v>74.114021777918111</v>
      </c>
      <c r="C735" s="194" t="s">
        <v>99</v>
      </c>
    </row>
    <row r="736" spans="1:3" x14ac:dyDescent="0.15">
      <c r="A736" s="191">
        <v>34007</v>
      </c>
      <c r="B736" s="193">
        <v>74.114021777918111</v>
      </c>
      <c r="C736" s="194" t="s">
        <v>99</v>
      </c>
    </row>
    <row r="737" spans="1:3" x14ac:dyDescent="0.15">
      <c r="A737" s="191">
        <v>34008</v>
      </c>
      <c r="B737" s="193">
        <v>75.090891276784788</v>
      </c>
      <c r="C737" s="194" t="s">
        <v>99</v>
      </c>
    </row>
    <row r="738" spans="1:3" x14ac:dyDescent="0.15">
      <c r="A738" s="191">
        <v>34009</v>
      </c>
      <c r="B738" s="193">
        <v>76.070621658904727</v>
      </c>
      <c r="C738" s="194" t="s">
        <v>99</v>
      </c>
    </row>
    <row r="739" spans="1:3" x14ac:dyDescent="0.15">
      <c r="A739" s="191">
        <v>34010</v>
      </c>
      <c r="B739" s="193">
        <v>77.057594614674684</v>
      </c>
      <c r="C739" s="194" t="s">
        <v>99</v>
      </c>
    </row>
    <row r="740" spans="1:3" x14ac:dyDescent="0.15">
      <c r="A740" s="191">
        <v>34011</v>
      </c>
      <c r="B740" s="193">
        <v>78.05737298197117</v>
      </c>
      <c r="C740" s="194" t="s">
        <v>99</v>
      </c>
    </row>
    <row r="741" spans="1:3" x14ac:dyDescent="0.15">
      <c r="A741" s="191">
        <v>34012</v>
      </c>
      <c r="B741" s="193">
        <v>79.07012290370966</v>
      </c>
      <c r="C741" s="194" t="s">
        <v>99</v>
      </c>
    </row>
    <row r="742" spans="1:3" x14ac:dyDescent="0.15">
      <c r="A742" s="191">
        <v>34013</v>
      </c>
      <c r="B742" s="193">
        <v>79.07012290370966</v>
      </c>
      <c r="C742" s="194" t="s">
        <v>99</v>
      </c>
    </row>
    <row r="743" spans="1:3" x14ac:dyDescent="0.15">
      <c r="A743" s="191">
        <v>34014</v>
      </c>
      <c r="B743" s="193">
        <v>79.07012290370966</v>
      </c>
      <c r="C743" s="194" t="s">
        <v>99</v>
      </c>
    </row>
    <row r="744" spans="1:3" x14ac:dyDescent="0.15">
      <c r="A744" s="191">
        <v>34015</v>
      </c>
      <c r="B744" s="193">
        <v>80.096012678415249</v>
      </c>
      <c r="C744" s="194" t="s">
        <v>99</v>
      </c>
    </row>
    <row r="745" spans="1:3" x14ac:dyDescent="0.15">
      <c r="A745" s="191">
        <v>34016</v>
      </c>
      <c r="B745" s="193">
        <v>81.135212788190472</v>
      </c>
      <c r="C745" s="194" t="s">
        <v>99</v>
      </c>
    </row>
    <row r="746" spans="1:3" x14ac:dyDescent="0.15">
      <c r="A746" s="191">
        <v>34017</v>
      </c>
      <c r="B746" s="193">
        <v>82.187895927045957</v>
      </c>
      <c r="C746" s="194" t="s">
        <v>99</v>
      </c>
    </row>
    <row r="747" spans="1:3" x14ac:dyDescent="0.15">
      <c r="A747" s="191">
        <v>34018</v>
      </c>
      <c r="B747" s="193">
        <v>83.254237029598713</v>
      </c>
      <c r="C747" s="194" t="s">
        <v>99</v>
      </c>
    </row>
    <row r="748" spans="1:3" x14ac:dyDescent="0.15">
      <c r="A748" s="191">
        <v>34019</v>
      </c>
      <c r="B748" s="193">
        <v>84.334413300142657</v>
      </c>
      <c r="C748" s="194" t="s">
        <v>99</v>
      </c>
    </row>
    <row r="749" spans="1:3" x14ac:dyDescent="0.15">
      <c r="A749" s="191">
        <v>34020</v>
      </c>
      <c r="B749" s="193">
        <v>84.334413300142657</v>
      </c>
      <c r="C749" s="194" t="s">
        <v>99</v>
      </c>
    </row>
    <row r="750" spans="1:3" x14ac:dyDescent="0.15">
      <c r="A750" s="191">
        <v>34021</v>
      </c>
      <c r="B750" s="193">
        <v>84.334413300142657</v>
      </c>
      <c r="C750" s="194" t="s">
        <v>99</v>
      </c>
    </row>
    <row r="751" spans="1:3" x14ac:dyDescent="0.15">
      <c r="A751" s="191">
        <v>34022</v>
      </c>
      <c r="B751" s="193">
        <v>84.334413300142657</v>
      </c>
      <c r="C751" s="194" t="s">
        <v>99</v>
      </c>
    </row>
    <row r="752" spans="1:3" x14ac:dyDescent="0.15">
      <c r="A752" s="191">
        <v>34023</v>
      </c>
      <c r="B752" s="193">
        <v>84.334413300142657</v>
      </c>
      <c r="C752" s="194" t="s">
        <v>99</v>
      </c>
    </row>
    <row r="753" spans="1:3" x14ac:dyDescent="0.15">
      <c r="A753" s="191">
        <v>34024</v>
      </c>
      <c r="B753" s="193">
        <v>85.428604242096441</v>
      </c>
      <c r="C753" s="194" t="s">
        <v>99</v>
      </c>
    </row>
    <row r="754" spans="1:3" x14ac:dyDescent="0.15">
      <c r="A754" s="191">
        <v>34025</v>
      </c>
      <c r="B754" s="193">
        <v>86.536991687833236</v>
      </c>
      <c r="C754" s="194" t="s">
        <v>99</v>
      </c>
    </row>
    <row r="755" spans="1:3" x14ac:dyDescent="0.15">
      <c r="A755" s="191">
        <v>34026</v>
      </c>
      <c r="B755" s="193">
        <v>87.65975982889762</v>
      </c>
      <c r="C755" s="194" t="s">
        <v>99</v>
      </c>
    </row>
    <row r="756" spans="1:3" x14ac:dyDescent="0.15">
      <c r="A756" s="191">
        <v>34027</v>
      </c>
      <c r="B756" s="193">
        <v>87.65975982889762</v>
      </c>
      <c r="C756" s="194" t="s">
        <v>99</v>
      </c>
    </row>
    <row r="757" spans="1:3" x14ac:dyDescent="0.15">
      <c r="A757" s="191">
        <v>34028</v>
      </c>
      <c r="B757" s="193">
        <v>87.65975982889762</v>
      </c>
      <c r="C757" s="194" t="s">
        <v>99</v>
      </c>
    </row>
    <row r="758" spans="1:3" x14ac:dyDescent="0.15">
      <c r="A758" s="191">
        <v>34029</v>
      </c>
      <c r="B758" s="193">
        <v>88.546561899828276</v>
      </c>
      <c r="C758" s="194" t="s">
        <v>99</v>
      </c>
    </row>
    <row r="759" spans="1:3" x14ac:dyDescent="0.15">
      <c r="A759" s="191">
        <f t="shared" ref="A759:A822" si="0">A758+1</f>
        <v>34030</v>
      </c>
      <c r="B759" s="193">
        <v>89.44233522409732</v>
      </c>
      <c r="C759" s="194" t="s">
        <v>99</v>
      </c>
    </row>
    <row r="760" spans="1:3" x14ac:dyDescent="0.15">
      <c r="A760" s="191">
        <f t="shared" si="0"/>
        <v>34031</v>
      </c>
      <c r="B760" s="193">
        <v>90.347170558581723</v>
      </c>
      <c r="C760" s="194" t="s">
        <v>99</v>
      </c>
    </row>
    <row r="761" spans="1:3" x14ac:dyDescent="0.15">
      <c r="A761" s="191">
        <f t="shared" si="0"/>
        <v>34032</v>
      </c>
      <c r="B761" s="193">
        <v>91.261159578292265</v>
      </c>
      <c r="C761" s="194" t="s">
        <v>99</v>
      </c>
    </row>
    <row r="762" spans="1:3" x14ac:dyDescent="0.15">
      <c r="A762" s="191">
        <f t="shared" si="0"/>
        <v>34033</v>
      </c>
      <c r="B762" s="193">
        <v>91.261159578292265</v>
      </c>
      <c r="C762" s="194" t="s">
        <v>99</v>
      </c>
    </row>
    <row r="763" spans="1:3" x14ac:dyDescent="0.15">
      <c r="A763" s="191">
        <f t="shared" si="0"/>
        <v>34034</v>
      </c>
      <c r="B763" s="193">
        <v>91.261159578292265</v>
      </c>
      <c r="C763" s="194" t="s">
        <v>99</v>
      </c>
    </row>
    <row r="764" spans="1:3" x14ac:dyDescent="0.15">
      <c r="A764" s="191">
        <f t="shared" si="0"/>
        <v>34035</v>
      </c>
      <c r="B764" s="193">
        <v>91.261159578292265</v>
      </c>
      <c r="C764" s="194" t="s">
        <v>99</v>
      </c>
    </row>
    <row r="765" spans="1:3" x14ac:dyDescent="0.15">
      <c r="A765" s="191">
        <f t="shared" si="0"/>
        <v>34036</v>
      </c>
      <c r="B765" s="193">
        <v>92.184394885661689</v>
      </c>
      <c r="C765" s="194" t="s">
        <v>99</v>
      </c>
    </row>
    <row r="766" spans="1:3" x14ac:dyDescent="0.15">
      <c r="A766" s="191">
        <f t="shared" si="0"/>
        <v>34037</v>
      </c>
      <c r="B766" s="193">
        <v>93.116970019926939</v>
      </c>
      <c r="C766" s="194" t="s">
        <v>99</v>
      </c>
    </row>
    <row r="767" spans="1:3" x14ac:dyDescent="0.15">
      <c r="A767" s="191">
        <f t="shared" si="0"/>
        <v>34038</v>
      </c>
      <c r="B767" s="193">
        <v>94.058979466606218</v>
      </c>
      <c r="C767" s="194" t="s">
        <v>99</v>
      </c>
    </row>
    <row r="768" spans="1:3" x14ac:dyDescent="0.15">
      <c r="A768" s="191">
        <f t="shared" si="0"/>
        <v>34039</v>
      </c>
      <c r="B768" s="193">
        <v>94.998448078237047</v>
      </c>
      <c r="C768" s="194" t="s">
        <v>99</v>
      </c>
    </row>
    <row r="769" spans="1:3" x14ac:dyDescent="0.15">
      <c r="A769" s="191">
        <f t="shared" si="0"/>
        <v>34040</v>
      </c>
      <c r="B769" s="193">
        <v>95.947300177518329</v>
      </c>
      <c r="C769" s="194" t="s">
        <v>99</v>
      </c>
    </row>
    <row r="770" spans="1:3" x14ac:dyDescent="0.15">
      <c r="A770" s="191">
        <f t="shared" si="0"/>
        <v>34041</v>
      </c>
      <c r="B770" s="193">
        <v>95.947300177518329</v>
      </c>
      <c r="C770" s="194" t="s">
        <v>99</v>
      </c>
    </row>
    <row r="771" spans="1:3" x14ac:dyDescent="0.15">
      <c r="A771" s="191">
        <f t="shared" si="0"/>
        <v>34042</v>
      </c>
      <c r="B771" s="193">
        <v>95.947300177518329</v>
      </c>
      <c r="C771" s="194" t="s">
        <v>99</v>
      </c>
    </row>
    <row r="772" spans="1:3" x14ac:dyDescent="0.15">
      <c r="A772" s="191">
        <f t="shared" si="0"/>
        <v>34043</v>
      </c>
      <c r="B772" s="193">
        <v>96.905629487475409</v>
      </c>
      <c r="C772" s="194" t="s">
        <v>99</v>
      </c>
    </row>
    <row r="773" spans="1:3" x14ac:dyDescent="0.15">
      <c r="A773" s="191">
        <f t="shared" si="0"/>
        <v>34044</v>
      </c>
      <c r="B773" s="193">
        <v>97.873530667246683</v>
      </c>
      <c r="C773" s="194" t="s">
        <v>99</v>
      </c>
    </row>
    <row r="774" spans="1:3" x14ac:dyDescent="0.15">
      <c r="A774" s="191">
        <f t="shared" si="0"/>
        <v>34045</v>
      </c>
      <c r="B774" s="193">
        <v>98.851099321433608</v>
      </c>
      <c r="C774" s="194" t="s">
        <v>99</v>
      </c>
    </row>
    <row r="775" spans="1:3" x14ac:dyDescent="0.15">
      <c r="A775" s="191">
        <f t="shared" si="0"/>
        <v>34046</v>
      </c>
      <c r="B775" s="193">
        <v>99.838432009544036</v>
      </c>
      <c r="C775" s="194" t="s">
        <v>99</v>
      </c>
    </row>
    <row r="776" spans="1:3" x14ac:dyDescent="0.15">
      <c r="A776" s="191">
        <f t="shared" si="0"/>
        <v>34047</v>
      </c>
      <c r="B776" s="193">
        <v>100.83562625552993</v>
      </c>
      <c r="C776" s="194" t="s">
        <v>99</v>
      </c>
    </row>
    <row r="777" spans="1:3" x14ac:dyDescent="0.15">
      <c r="A777" s="191">
        <f t="shared" si="0"/>
        <v>34048</v>
      </c>
      <c r="B777" s="193">
        <v>100.83562625552993</v>
      </c>
      <c r="C777" s="194" t="s">
        <v>99</v>
      </c>
    </row>
    <row r="778" spans="1:3" x14ac:dyDescent="0.15">
      <c r="A778" s="191">
        <f t="shared" si="0"/>
        <v>34049</v>
      </c>
      <c r="B778" s="193">
        <v>100.83562625552993</v>
      </c>
      <c r="C778" s="194" t="s">
        <v>99</v>
      </c>
    </row>
    <row r="779" spans="1:3" x14ac:dyDescent="0.15">
      <c r="A779" s="191">
        <f t="shared" si="0"/>
        <v>34050</v>
      </c>
      <c r="B779" s="193">
        <v>101.84278055742027</v>
      </c>
      <c r="C779" s="194" t="s">
        <v>99</v>
      </c>
    </row>
    <row r="780" spans="1:3" x14ac:dyDescent="0.15">
      <c r="A780" s="191">
        <f t="shared" si="0"/>
        <v>34051</v>
      </c>
      <c r="B780" s="193">
        <v>102.85999439705023</v>
      </c>
      <c r="C780" s="194" t="s">
        <v>99</v>
      </c>
    </row>
    <row r="781" spans="1:3" x14ac:dyDescent="0.15">
      <c r="A781" s="191">
        <f t="shared" si="0"/>
        <v>34052</v>
      </c>
      <c r="B781" s="193">
        <v>103.88736824988753</v>
      </c>
      <c r="C781" s="194" t="s">
        <v>99</v>
      </c>
    </row>
    <row r="782" spans="1:3" x14ac:dyDescent="0.15">
      <c r="A782" s="191">
        <f t="shared" si="0"/>
        <v>34053</v>
      </c>
      <c r="B782" s="193">
        <v>104.92500359495688</v>
      </c>
      <c r="C782" s="194" t="s">
        <v>99</v>
      </c>
    </row>
    <row r="783" spans="1:3" x14ac:dyDescent="0.15">
      <c r="A783" s="191">
        <f t="shared" si="0"/>
        <v>34054</v>
      </c>
      <c r="B783" s="193">
        <v>105.97300292486361</v>
      </c>
      <c r="C783" s="194" t="s">
        <v>99</v>
      </c>
    </row>
    <row r="784" spans="1:3" x14ac:dyDescent="0.15">
      <c r="A784" s="191">
        <f t="shared" si="0"/>
        <v>34055</v>
      </c>
      <c r="B784" s="193">
        <v>105.97300292486361</v>
      </c>
      <c r="C784" s="194" t="s">
        <v>99</v>
      </c>
    </row>
    <row r="785" spans="1:3" x14ac:dyDescent="0.15">
      <c r="A785" s="191">
        <f t="shared" si="0"/>
        <v>34056</v>
      </c>
      <c r="B785" s="193">
        <v>105.97300292486361</v>
      </c>
      <c r="C785" s="194" t="s">
        <v>99</v>
      </c>
    </row>
    <row r="786" spans="1:3" x14ac:dyDescent="0.15">
      <c r="A786" s="191">
        <f t="shared" si="0"/>
        <v>34057</v>
      </c>
      <c r="B786" s="193">
        <v>107.03146975591739</v>
      </c>
      <c r="C786" s="194" t="s">
        <v>99</v>
      </c>
    </row>
    <row r="787" spans="1:3" x14ac:dyDescent="0.15">
      <c r="A787" s="191">
        <f t="shared" si="0"/>
        <v>34058</v>
      </c>
      <c r="B787" s="193">
        <v>108.10050863835707</v>
      </c>
      <c r="C787" s="194" t="s">
        <v>99</v>
      </c>
    </row>
    <row r="788" spans="1:3" x14ac:dyDescent="0.15">
      <c r="A788" s="191">
        <f t="shared" si="0"/>
        <v>34059</v>
      </c>
      <c r="B788" s="193">
        <v>109.18022516667767</v>
      </c>
      <c r="C788" s="194" t="s">
        <v>99</v>
      </c>
    </row>
    <row r="789" spans="1:3" x14ac:dyDescent="0.15">
      <c r="A789" s="191">
        <f t="shared" si="0"/>
        <v>34060</v>
      </c>
      <c r="B789" s="193">
        <v>110.58523709748911</v>
      </c>
      <c r="C789" s="194" t="s">
        <v>99</v>
      </c>
    </row>
    <row r="790" spans="1:3" x14ac:dyDescent="0.15">
      <c r="A790" s="191">
        <f t="shared" si="0"/>
        <v>34061</v>
      </c>
      <c r="B790" s="193">
        <v>112.00832976153507</v>
      </c>
      <c r="C790" s="194" t="s">
        <v>99</v>
      </c>
    </row>
    <row r="791" spans="1:3" x14ac:dyDescent="0.15">
      <c r="A791" s="191">
        <f t="shared" si="0"/>
        <v>34062</v>
      </c>
      <c r="B791" s="193">
        <v>112.00832976153507</v>
      </c>
      <c r="C791" s="194" t="s">
        <v>99</v>
      </c>
    </row>
    <row r="792" spans="1:3" x14ac:dyDescent="0.15">
      <c r="A792" s="191">
        <f t="shared" si="0"/>
        <v>34063</v>
      </c>
      <c r="B792" s="193">
        <v>112.00832976153507</v>
      </c>
      <c r="C792" s="194" t="s">
        <v>99</v>
      </c>
    </row>
    <row r="793" spans="1:3" x14ac:dyDescent="0.15">
      <c r="A793" s="191">
        <f t="shared" si="0"/>
        <v>34064</v>
      </c>
      <c r="B793" s="193">
        <v>113.44973583507053</v>
      </c>
      <c r="C793" s="194" t="s">
        <v>99</v>
      </c>
    </row>
    <row r="794" spans="1:3" x14ac:dyDescent="0.15">
      <c r="A794" s="191">
        <f t="shared" si="0"/>
        <v>34065</v>
      </c>
      <c r="B794" s="193">
        <v>114.90969098860074</v>
      </c>
      <c r="C794" s="194" t="s">
        <v>99</v>
      </c>
    </row>
    <row r="795" spans="1:3" x14ac:dyDescent="0.15">
      <c r="A795" s="191">
        <f t="shared" si="0"/>
        <v>34066</v>
      </c>
      <c r="B795" s="193">
        <v>116.38843392541339</v>
      </c>
      <c r="C795" s="194" t="s">
        <v>99</v>
      </c>
    </row>
    <row r="796" spans="1:3" x14ac:dyDescent="0.15">
      <c r="A796" s="191">
        <f t="shared" si="0"/>
        <v>34067</v>
      </c>
      <c r="B796" s="193">
        <v>116.38843392541339</v>
      </c>
      <c r="C796" s="194" t="s">
        <v>99</v>
      </c>
    </row>
    <row r="797" spans="1:3" x14ac:dyDescent="0.15">
      <c r="A797" s="191">
        <f t="shared" si="0"/>
        <v>34068</v>
      </c>
      <c r="B797" s="193">
        <v>116.38843392541339</v>
      </c>
      <c r="C797" s="194" t="s">
        <v>99</v>
      </c>
    </row>
    <row r="798" spans="1:3" x14ac:dyDescent="0.15">
      <c r="A798" s="191">
        <f t="shared" si="0"/>
        <v>34069</v>
      </c>
      <c r="B798" s="193">
        <v>116.38843392541339</v>
      </c>
      <c r="C798" s="194" t="s">
        <v>99</v>
      </c>
    </row>
    <row r="799" spans="1:3" x14ac:dyDescent="0.15">
      <c r="A799" s="191">
        <f t="shared" si="0"/>
        <v>34070</v>
      </c>
      <c r="B799" s="193">
        <v>116.38843392541339</v>
      </c>
      <c r="C799" s="194" t="s">
        <v>99</v>
      </c>
    </row>
    <row r="800" spans="1:3" x14ac:dyDescent="0.15">
      <c r="A800" s="191">
        <f t="shared" si="0"/>
        <v>34071</v>
      </c>
      <c r="B800" s="193">
        <v>117.88620642060673</v>
      </c>
      <c r="C800" s="194" t="s">
        <v>99</v>
      </c>
    </row>
    <row r="801" spans="1:3" x14ac:dyDescent="0.15">
      <c r="A801" s="191">
        <f t="shared" si="0"/>
        <v>34072</v>
      </c>
      <c r="B801" s="193">
        <v>119.40325336061986</v>
      </c>
      <c r="C801" s="194" t="s">
        <v>99</v>
      </c>
    </row>
    <row r="802" spans="1:3" x14ac:dyDescent="0.15">
      <c r="A802" s="191">
        <f t="shared" si="0"/>
        <v>34073</v>
      </c>
      <c r="B802" s="193">
        <v>120.93982278327181</v>
      </c>
      <c r="C802" s="194" t="s">
        <v>99</v>
      </c>
    </row>
    <row r="803" spans="1:3" x14ac:dyDescent="0.15">
      <c r="A803" s="191">
        <f t="shared" si="0"/>
        <v>34074</v>
      </c>
      <c r="B803" s="193">
        <v>122.55889014800412</v>
      </c>
      <c r="C803" s="194" t="s">
        <v>99</v>
      </c>
    </row>
    <row r="804" spans="1:3" x14ac:dyDescent="0.15">
      <c r="A804" s="191">
        <f t="shared" si="0"/>
        <v>34075</v>
      </c>
      <c r="B804" s="193">
        <v>124.19963258279371</v>
      </c>
      <c r="C804" s="194" t="s">
        <v>99</v>
      </c>
    </row>
    <row r="805" spans="1:3" x14ac:dyDescent="0.15">
      <c r="A805" s="191">
        <f t="shared" si="0"/>
        <v>34076</v>
      </c>
      <c r="B805" s="193">
        <v>124.19963258279371</v>
      </c>
      <c r="C805" s="194" t="s">
        <v>99</v>
      </c>
    </row>
    <row r="806" spans="1:3" x14ac:dyDescent="0.15">
      <c r="A806" s="191">
        <f t="shared" si="0"/>
        <v>34077</v>
      </c>
      <c r="B806" s="193">
        <v>124.19963258279371</v>
      </c>
      <c r="C806" s="194" t="s">
        <v>99</v>
      </c>
    </row>
    <row r="807" spans="1:3" x14ac:dyDescent="0.15">
      <c r="A807" s="191">
        <f t="shared" si="0"/>
        <v>34078</v>
      </c>
      <c r="B807" s="193">
        <v>125.86234026003994</v>
      </c>
      <c r="C807" s="194" t="s">
        <v>99</v>
      </c>
    </row>
    <row r="808" spans="1:3" x14ac:dyDescent="0.15">
      <c r="A808" s="191">
        <f t="shared" si="0"/>
        <v>34079</v>
      </c>
      <c r="B808" s="193">
        <v>127.54730723679039</v>
      </c>
      <c r="C808" s="194" t="s">
        <v>99</v>
      </c>
    </row>
    <row r="809" spans="1:3" x14ac:dyDescent="0.15">
      <c r="A809" s="191">
        <f t="shared" si="0"/>
        <v>34080</v>
      </c>
      <c r="B809" s="193">
        <v>127.54730723679039</v>
      </c>
      <c r="C809" s="194" t="s">
        <v>99</v>
      </c>
    </row>
    <row r="810" spans="1:3" x14ac:dyDescent="0.15">
      <c r="A810" s="191">
        <f t="shared" si="0"/>
        <v>34081</v>
      </c>
      <c r="B810" s="193">
        <v>129.25483150674606</v>
      </c>
      <c r="C810" s="194" t="s">
        <v>99</v>
      </c>
    </row>
    <row r="811" spans="1:3" x14ac:dyDescent="0.15">
      <c r="A811" s="191">
        <f t="shared" si="0"/>
        <v>34082</v>
      </c>
      <c r="B811" s="193">
        <v>130.98521505296284</v>
      </c>
      <c r="C811" s="194" t="s">
        <v>99</v>
      </c>
    </row>
    <row r="812" spans="1:3" x14ac:dyDescent="0.15">
      <c r="A812" s="191">
        <f t="shared" si="0"/>
        <v>34083</v>
      </c>
      <c r="B812" s="193">
        <v>130.98521505296284</v>
      </c>
      <c r="C812" s="194" t="s">
        <v>99</v>
      </c>
    </row>
    <row r="813" spans="1:3" x14ac:dyDescent="0.15">
      <c r="A813" s="191">
        <f t="shared" si="0"/>
        <v>34084</v>
      </c>
      <c r="B813" s="193">
        <v>130.98521505296284</v>
      </c>
      <c r="C813" s="194" t="s">
        <v>99</v>
      </c>
    </row>
    <row r="814" spans="1:3" x14ac:dyDescent="0.15">
      <c r="A814" s="191">
        <f t="shared" si="0"/>
        <v>34085</v>
      </c>
      <c r="B814" s="193">
        <v>132.73876390125858</v>
      </c>
      <c r="C814" s="194" t="s">
        <v>99</v>
      </c>
    </row>
    <row r="815" spans="1:3" x14ac:dyDescent="0.15">
      <c r="A815" s="191">
        <f t="shared" si="0"/>
        <v>34086</v>
      </c>
      <c r="B815" s="193">
        <v>134.515788174335</v>
      </c>
      <c r="C815" s="194" t="s">
        <v>99</v>
      </c>
    </row>
    <row r="816" spans="1:3" x14ac:dyDescent="0.15">
      <c r="A816" s="191">
        <f t="shared" si="0"/>
        <v>34087</v>
      </c>
      <c r="B816" s="193">
        <v>136.31660214662432</v>
      </c>
      <c r="C816" s="194" t="s">
        <v>99</v>
      </c>
    </row>
    <row r="817" spans="1:3" x14ac:dyDescent="0.15">
      <c r="A817" s="191">
        <f t="shared" si="0"/>
        <v>34088</v>
      </c>
      <c r="B817" s="193">
        <v>138.14152429986999</v>
      </c>
      <c r="C817" s="194" t="s">
        <v>99</v>
      </c>
    </row>
    <row r="818" spans="1:3" x14ac:dyDescent="0.15">
      <c r="A818" s="191">
        <f t="shared" si="0"/>
        <v>34089</v>
      </c>
      <c r="B818" s="193">
        <v>139.99087737945158</v>
      </c>
      <c r="C818" s="194" t="s">
        <v>99</v>
      </c>
    </row>
    <row r="819" spans="1:3" x14ac:dyDescent="0.15">
      <c r="A819" s="191">
        <f t="shared" si="0"/>
        <v>34090</v>
      </c>
      <c r="B819" s="193">
        <v>139.99087737945158</v>
      </c>
      <c r="C819" s="194" t="s">
        <v>99</v>
      </c>
    </row>
    <row r="820" spans="1:3" x14ac:dyDescent="0.15">
      <c r="A820" s="191">
        <f t="shared" si="0"/>
        <v>34091</v>
      </c>
      <c r="B820" s="193">
        <v>139.99087737945158</v>
      </c>
      <c r="C820" s="194" t="s">
        <v>99</v>
      </c>
    </row>
    <row r="821" spans="1:3" x14ac:dyDescent="0.15">
      <c r="A821" s="191">
        <f t="shared" si="0"/>
        <v>34092</v>
      </c>
      <c r="B821" s="193">
        <v>141.68195737883394</v>
      </c>
      <c r="C821" s="194" t="s">
        <v>99</v>
      </c>
    </row>
    <row r="822" spans="1:3" x14ac:dyDescent="0.15">
      <c r="A822" s="191">
        <f t="shared" si="0"/>
        <v>34093</v>
      </c>
      <c r="B822" s="193">
        <v>143.39346550623324</v>
      </c>
      <c r="C822" s="194" t="s">
        <v>99</v>
      </c>
    </row>
    <row r="823" spans="1:3" x14ac:dyDescent="0.15">
      <c r="A823" s="191">
        <f t="shared" ref="A823:A886" si="1">A822+1</f>
        <v>34094</v>
      </c>
      <c r="B823" s="193">
        <v>145.12564853200595</v>
      </c>
      <c r="C823" s="194" t="s">
        <v>99</v>
      </c>
    </row>
    <row r="824" spans="1:3" x14ac:dyDescent="0.15">
      <c r="A824" s="191">
        <f t="shared" si="1"/>
        <v>34095</v>
      </c>
      <c r="B824" s="193">
        <v>146.87875620747721</v>
      </c>
      <c r="C824" s="194" t="s">
        <v>99</v>
      </c>
    </row>
    <row r="825" spans="1:3" x14ac:dyDescent="0.15">
      <c r="A825" s="191">
        <f t="shared" si="1"/>
        <v>34096</v>
      </c>
      <c r="B825" s="193">
        <v>148.6530413009506</v>
      </c>
      <c r="C825" s="194" t="s">
        <v>99</v>
      </c>
    </row>
    <row r="826" spans="1:3" x14ac:dyDescent="0.15">
      <c r="A826" s="191">
        <f t="shared" si="1"/>
        <v>34097</v>
      </c>
      <c r="B826" s="193">
        <v>148.6530413009506</v>
      </c>
      <c r="C826" s="194" t="s">
        <v>99</v>
      </c>
    </row>
    <row r="827" spans="1:3" x14ac:dyDescent="0.15">
      <c r="A827" s="191">
        <f t="shared" si="1"/>
        <v>34098</v>
      </c>
      <c r="B827" s="193">
        <v>148.6530413009506</v>
      </c>
      <c r="C827" s="194" t="s">
        <v>99</v>
      </c>
    </row>
    <row r="828" spans="1:3" x14ac:dyDescent="0.15">
      <c r="A828" s="191">
        <f t="shared" si="1"/>
        <v>34099</v>
      </c>
      <c r="B828" s="193">
        <v>150.44875963415322</v>
      </c>
      <c r="C828" s="194" t="s">
        <v>99</v>
      </c>
    </row>
    <row r="829" spans="1:3" x14ac:dyDescent="0.15">
      <c r="A829" s="191">
        <f t="shared" si="1"/>
        <v>34100</v>
      </c>
      <c r="B829" s="193">
        <v>152.26617011912063</v>
      </c>
      <c r="C829" s="194" t="s">
        <v>99</v>
      </c>
    </row>
    <row r="830" spans="1:3" x14ac:dyDescent="0.15">
      <c r="A830" s="191">
        <f t="shared" si="1"/>
        <v>34101</v>
      </c>
      <c r="B830" s="193">
        <v>154.10553479552772</v>
      </c>
      <c r="C830" s="194" t="s">
        <v>99</v>
      </c>
    </row>
    <row r="831" spans="1:3" x14ac:dyDescent="0.15">
      <c r="A831" s="191">
        <f t="shared" si="1"/>
        <v>34102</v>
      </c>
      <c r="B831" s="193">
        <v>155.96711886847027</v>
      </c>
      <c r="C831" s="194" t="s">
        <v>99</v>
      </c>
    </row>
    <row r="832" spans="1:3" x14ac:dyDescent="0.15">
      <c r="A832" s="191">
        <f t="shared" si="1"/>
        <v>34103</v>
      </c>
      <c r="B832" s="193">
        <v>157.85119074670308</v>
      </c>
      <c r="C832" s="194" t="s">
        <v>99</v>
      </c>
    </row>
    <row r="833" spans="1:3" x14ac:dyDescent="0.15">
      <c r="A833" s="191">
        <f t="shared" si="1"/>
        <v>34104</v>
      </c>
      <c r="B833" s="193">
        <v>157.85119074670308</v>
      </c>
      <c r="C833" s="194" t="s">
        <v>99</v>
      </c>
    </row>
    <row r="834" spans="1:3" x14ac:dyDescent="0.15">
      <c r="A834" s="191">
        <f t="shared" si="1"/>
        <v>34105</v>
      </c>
      <c r="B834" s="193">
        <v>157.85119074670308</v>
      </c>
      <c r="C834" s="194" t="s">
        <v>99</v>
      </c>
    </row>
    <row r="835" spans="1:3" x14ac:dyDescent="0.15">
      <c r="A835" s="191">
        <f t="shared" si="1"/>
        <v>34106</v>
      </c>
      <c r="B835" s="193">
        <v>159.7580220813399</v>
      </c>
      <c r="C835" s="194" t="s">
        <v>99</v>
      </c>
    </row>
    <row r="836" spans="1:3" x14ac:dyDescent="0.15">
      <c r="A836" s="191">
        <f t="shared" si="1"/>
        <v>34107</v>
      </c>
      <c r="B836" s="193">
        <v>161.68788780502095</v>
      </c>
      <c r="C836" s="194" t="s">
        <v>99</v>
      </c>
    </row>
    <row r="837" spans="1:3" x14ac:dyDescent="0.15">
      <c r="A837" s="191">
        <f t="shared" si="1"/>
        <v>34108</v>
      </c>
      <c r="B837" s="193">
        <v>163.64106617155346</v>
      </c>
      <c r="C837" s="194" t="s">
        <v>99</v>
      </c>
    </row>
    <row r="838" spans="1:3" x14ac:dyDescent="0.15">
      <c r="A838" s="191">
        <f t="shared" si="1"/>
        <v>34109</v>
      </c>
      <c r="B838" s="193">
        <v>165.61783879603121</v>
      </c>
      <c r="C838" s="194" t="s">
        <v>99</v>
      </c>
    </row>
    <row r="839" spans="1:3" x14ac:dyDescent="0.15">
      <c r="A839" s="191">
        <f t="shared" si="1"/>
        <v>34110</v>
      </c>
      <c r="B839" s="193">
        <v>167.61849069543857</v>
      </c>
      <c r="C839" s="194" t="s">
        <v>99</v>
      </c>
    </row>
    <row r="840" spans="1:3" x14ac:dyDescent="0.15">
      <c r="A840" s="191">
        <f t="shared" si="1"/>
        <v>34111</v>
      </c>
      <c r="B840" s="193">
        <v>167.61849069543857</v>
      </c>
      <c r="C840" s="194" t="s">
        <v>99</v>
      </c>
    </row>
    <row r="841" spans="1:3" x14ac:dyDescent="0.15">
      <c r="A841" s="191">
        <f t="shared" si="1"/>
        <v>34112</v>
      </c>
      <c r="B841" s="193">
        <v>167.61849069543857</v>
      </c>
      <c r="C841" s="194" t="s">
        <v>99</v>
      </c>
    </row>
    <row r="842" spans="1:3" x14ac:dyDescent="0.15">
      <c r="A842" s="191">
        <f t="shared" si="1"/>
        <v>34113</v>
      </c>
      <c r="B842" s="193">
        <v>169.64331032974513</v>
      </c>
      <c r="C842" s="194" t="s">
        <v>99</v>
      </c>
    </row>
    <row r="843" spans="1:3" x14ac:dyDescent="0.15">
      <c r="A843" s="191">
        <f t="shared" si="1"/>
        <v>34114</v>
      </c>
      <c r="B843" s="193">
        <v>171.69258964349675</v>
      </c>
      <c r="C843" s="194" t="s">
        <v>99</v>
      </c>
    </row>
    <row r="844" spans="1:3" x14ac:dyDescent="0.15">
      <c r="A844" s="191">
        <f t="shared" si="1"/>
        <v>34115</v>
      </c>
      <c r="B844" s="193">
        <v>173.76662410790891</v>
      </c>
      <c r="C844" s="194" t="s">
        <v>99</v>
      </c>
    </row>
    <row r="845" spans="1:3" x14ac:dyDescent="0.15">
      <c r="A845" s="191">
        <f t="shared" si="1"/>
        <v>34116</v>
      </c>
      <c r="B845" s="193">
        <v>175.86571276346876</v>
      </c>
      <c r="C845" s="194" t="s">
        <v>99</v>
      </c>
    </row>
    <row r="846" spans="1:3" x14ac:dyDescent="0.15">
      <c r="A846" s="191">
        <f t="shared" si="1"/>
        <v>34117</v>
      </c>
      <c r="B846" s="193">
        <v>177.9901582630516</v>
      </c>
      <c r="C846" s="194" t="s">
        <v>99</v>
      </c>
    </row>
    <row r="847" spans="1:3" x14ac:dyDescent="0.15">
      <c r="A847" s="191">
        <f t="shared" si="1"/>
        <v>34118</v>
      </c>
      <c r="B847" s="193">
        <v>177.9901582630516</v>
      </c>
      <c r="C847" s="194" t="s">
        <v>99</v>
      </c>
    </row>
    <row r="848" spans="1:3" x14ac:dyDescent="0.15">
      <c r="A848" s="191">
        <f t="shared" si="1"/>
        <v>34119</v>
      </c>
      <c r="B848" s="193">
        <v>177.9901582630516</v>
      </c>
      <c r="C848" s="194" t="s">
        <v>99</v>
      </c>
    </row>
    <row r="849" spans="1:3" x14ac:dyDescent="0.15">
      <c r="A849" s="191">
        <f t="shared" si="1"/>
        <v>34120</v>
      </c>
      <c r="B849" s="193">
        <v>180.14026691555819</v>
      </c>
      <c r="C849" s="194" t="s">
        <v>99</v>
      </c>
    </row>
    <row r="850" spans="1:3" x14ac:dyDescent="0.15">
      <c r="A850" s="191">
        <f t="shared" si="1"/>
        <v>34121</v>
      </c>
      <c r="B850" s="193">
        <v>182.41031717241907</v>
      </c>
      <c r="C850" s="194" t="s">
        <v>99</v>
      </c>
    </row>
    <row r="851" spans="1:3" x14ac:dyDescent="0.15">
      <c r="A851" s="191">
        <f t="shared" si="1"/>
        <v>34122</v>
      </c>
      <c r="B851" s="193">
        <v>184.70897362742159</v>
      </c>
      <c r="C851" s="194" t="s">
        <v>99</v>
      </c>
    </row>
    <row r="852" spans="1:3" x14ac:dyDescent="0.15">
      <c r="A852" s="191">
        <f t="shared" si="1"/>
        <v>34123</v>
      </c>
      <c r="B852" s="193">
        <v>187.03659676358575</v>
      </c>
      <c r="C852" s="194" t="s">
        <v>99</v>
      </c>
    </row>
    <row r="853" spans="1:3" x14ac:dyDescent="0.15">
      <c r="A853" s="191">
        <f t="shared" si="1"/>
        <v>34124</v>
      </c>
      <c r="B853" s="193">
        <v>189.39355160658369</v>
      </c>
      <c r="C853" s="194" t="s">
        <v>99</v>
      </c>
    </row>
    <row r="854" spans="1:3" x14ac:dyDescent="0.15">
      <c r="A854" s="191">
        <f t="shared" si="1"/>
        <v>34125</v>
      </c>
      <c r="B854" s="193">
        <v>189.39355160658369</v>
      </c>
      <c r="C854" s="194" t="s">
        <v>99</v>
      </c>
    </row>
    <row r="855" spans="1:3" x14ac:dyDescent="0.15">
      <c r="A855" s="191">
        <f t="shared" si="1"/>
        <v>34126</v>
      </c>
      <c r="B855" s="193">
        <v>189.39355160658369</v>
      </c>
      <c r="C855" s="194" t="s">
        <v>99</v>
      </c>
    </row>
    <row r="856" spans="1:3" x14ac:dyDescent="0.15">
      <c r="A856" s="191">
        <f t="shared" si="1"/>
        <v>34127</v>
      </c>
      <c r="B856" s="193">
        <v>191.78020778198425</v>
      </c>
      <c r="C856" s="194" t="s">
        <v>99</v>
      </c>
    </row>
    <row r="857" spans="1:3" x14ac:dyDescent="0.15">
      <c r="A857" s="191">
        <f t="shared" si="1"/>
        <v>34128</v>
      </c>
      <c r="B857" s="193">
        <v>194.19693957321891</v>
      </c>
      <c r="C857" s="194" t="s">
        <v>99</v>
      </c>
    </row>
    <row r="858" spans="1:3" x14ac:dyDescent="0.15">
      <c r="A858" s="191">
        <f t="shared" si="1"/>
        <v>34129</v>
      </c>
      <c r="B858" s="193">
        <v>196.64412598027818</v>
      </c>
      <c r="C858" s="194" t="s">
        <v>99</v>
      </c>
    </row>
    <row r="859" spans="1:3" x14ac:dyDescent="0.15">
      <c r="A859" s="191">
        <f t="shared" si="1"/>
        <v>34130</v>
      </c>
      <c r="B859" s="193">
        <v>196.64412598027818</v>
      </c>
      <c r="C859" s="194" t="s">
        <v>99</v>
      </c>
    </row>
    <row r="860" spans="1:3" x14ac:dyDescent="0.15">
      <c r="A860" s="191">
        <f t="shared" si="1"/>
        <v>34131</v>
      </c>
      <c r="B860" s="193">
        <v>199.12215077914763</v>
      </c>
      <c r="C860" s="194" t="s">
        <v>99</v>
      </c>
    </row>
    <row r="861" spans="1:3" x14ac:dyDescent="0.15">
      <c r="A861" s="191">
        <f t="shared" si="1"/>
        <v>34132</v>
      </c>
      <c r="B861" s="193">
        <v>199.12215077914763</v>
      </c>
      <c r="C861" s="194" t="s">
        <v>99</v>
      </c>
    </row>
    <row r="862" spans="1:3" x14ac:dyDescent="0.15">
      <c r="A862" s="191">
        <f t="shared" si="1"/>
        <v>34133</v>
      </c>
      <c r="B862" s="193">
        <v>199.12215077914763</v>
      </c>
      <c r="C862" s="194" t="s">
        <v>99</v>
      </c>
    </row>
    <row r="863" spans="1:3" x14ac:dyDescent="0.15">
      <c r="A863" s="191">
        <f t="shared" si="1"/>
        <v>34134</v>
      </c>
      <c r="B863" s="193">
        <v>201.63140258199292</v>
      </c>
      <c r="C863" s="194" t="s">
        <v>99</v>
      </c>
    </row>
    <row r="864" spans="1:3" x14ac:dyDescent="0.15">
      <c r="A864" s="191">
        <f t="shared" si="1"/>
        <v>34135</v>
      </c>
      <c r="B864" s="193">
        <v>204.17227489810327</v>
      </c>
      <c r="C864" s="194" t="s">
        <v>99</v>
      </c>
    </row>
    <row r="865" spans="1:3" x14ac:dyDescent="0.15">
      <c r="A865" s="191">
        <f t="shared" si="1"/>
        <v>34136</v>
      </c>
      <c r="B865" s="193">
        <v>206.74516619560296</v>
      </c>
      <c r="C865" s="194" t="s">
        <v>99</v>
      </c>
    </row>
    <row r="866" spans="1:3" x14ac:dyDescent="0.15">
      <c r="A866" s="191">
        <f t="shared" si="1"/>
        <v>34137</v>
      </c>
      <c r="B866" s="193">
        <v>209.35047996394036</v>
      </c>
      <c r="C866" s="194" t="s">
        <v>99</v>
      </c>
    </row>
    <row r="867" spans="1:3" x14ac:dyDescent="0.15">
      <c r="A867" s="191">
        <f t="shared" si="1"/>
        <v>34138</v>
      </c>
      <c r="B867" s="193">
        <v>211.98862477716449</v>
      </c>
      <c r="C867" s="194" t="s">
        <v>99</v>
      </c>
    </row>
    <row r="868" spans="1:3" x14ac:dyDescent="0.15">
      <c r="A868" s="191">
        <f t="shared" si="1"/>
        <v>34139</v>
      </c>
      <c r="B868" s="193">
        <v>211.98862477716449</v>
      </c>
      <c r="C868" s="194" t="s">
        <v>99</v>
      </c>
    </row>
    <row r="869" spans="1:3" x14ac:dyDescent="0.15">
      <c r="A869" s="191">
        <f t="shared" si="1"/>
        <v>34140</v>
      </c>
      <c r="B869" s="193">
        <v>211.98862477716449</v>
      </c>
      <c r="C869" s="194" t="s">
        <v>99</v>
      </c>
    </row>
    <row r="870" spans="1:3" x14ac:dyDescent="0.15">
      <c r="A870" s="191">
        <f t="shared" si="1"/>
        <v>34141</v>
      </c>
      <c r="B870" s="193">
        <v>214.6600143579991</v>
      </c>
      <c r="C870" s="194" t="s">
        <v>99</v>
      </c>
    </row>
    <row r="871" spans="1:3" x14ac:dyDescent="0.15">
      <c r="A871" s="191">
        <f t="shared" si="1"/>
        <v>34142</v>
      </c>
      <c r="B871" s="193">
        <v>217.36506764272391</v>
      </c>
      <c r="C871" s="194" t="s">
        <v>99</v>
      </c>
    </row>
    <row r="872" spans="1:3" x14ac:dyDescent="0.15">
      <c r="A872" s="191">
        <f t="shared" si="1"/>
        <v>34143</v>
      </c>
      <c r="B872" s="193">
        <v>220.10420884687372</v>
      </c>
      <c r="C872" s="194" t="s">
        <v>99</v>
      </c>
    </row>
    <row r="873" spans="1:3" x14ac:dyDescent="0.15">
      <c r="A873" s="191">
        <f t="shared" si="1"/>
        <v>34144</v>
      </c>
      <c r="B873" s="193">
        <v>222.87786753176519</v>
      </c>
      <c r="C873" s="194" t="s">
        <v>99</v>
      </c>
    </row>
    <row r="874" spans="1:3" x14ac:dyDescent="0.15">
      <c r="A874" s="191">
        <f t="shared" si="1"/>
        <v>34145</v>
      </c>
      <c r="B874" s="193">
        <v>225.68647867186223</v>
      </c>
      <c r="C874" s="194" t="s">
        <v>99</v>
      </c>
    </row>
    <row r="875" spans="1:3" x14ac:dyDescent="0.15">
      <c r="A875" s="191">
        <f t="shared" si="1"/>
        <v>34146</v>
      </c>
      <c r="B875" s="193">
        <v>225.68647867186223</v>
      </c>
      <c r="C875" s="194" t="s">
        <v>99</v>
      </c>
    </row>
    <row r="876" spans="1:3" x14ac:dyDescent="0.15">
      <c r="A876" s="191">
        <f t="shared" si="1"/>
        <v>34147</v>
      </c>
      <c r="B876" s="193">
        <v>225.68647867186223</v>
      </c>
      <c r="C876" s="194" t="s">
        <v>99</v>
      </c>
    </row>
    <row r="877" spans="1:3" x14ac:dyDescent="0.15">
      <c r="A877" s="191">
        <f t="shared" si="1"/>
        <v>34148</v>
      </c>
      <c r="B877" s="193">
        <v>228.53048272299003</v>
      </c>
      <c r="C877" s="194" t="s">
        <v>99</v>
      </c>
    </row>
    <row r="878" spans="1:3" x14ac:dyDescent="0.15">
      <c r="A878" s="191">
        <f t="shared" si="1"/>
        <v>34149</v>
      </c>
      <c r="B878" s="193">
        <v>231.41032569140887</v>
      </c>
      <c r="C878" s="194" t="s">
        <v>99</v>
      </c>
    </row>
    <row r="879" spans="1:3" x14ac:dyDescent="0.15">
      <c r="A879" s="191">
        <f t="shared" si="1"/>
        <v>34150</v>
      </c>
      <c r="B879" s="193">
        <v>234.32645920375836</v>
      </c>
      <c r="C879" s="194" t="s">
        <v>99</v>
      </c>
    </row>
    <row r="880" spans="1:3" x14ac:dyDescent="0.15">
      <c r="A880" s="191">
        <f t="shared" si="1"/>
        <v>34151</v>
      </c>
      <c r="B880" s="193">
        <v>237.279340577883</v>
      </c>
      <c r="C880" s="194" t="s">
        <v>99</v>
      </c>
    </row>
    <row r="881" spans="1:3" x14ac:dyDescent="0.15">
      <c r="A881" s="191">
        <f t="shared" si="1"/>
        <v>34152</v>
      </c>
      <c r="B881" s="193">
        <v>240.2949132843253</v>
      </c>
      <c r="C881" s="194" t="s">
        <v>99</v>
      </c>
    </row>
    <row r="882" spans="1:3" x14ac:dyDescent="0.15">
      <c r="A882" s="191">
        <f t="shared" si="1"/>
        <v>34153</v>
      </c>
      <c r="B882" s="193">
        <v>240.2949132843253</v>
      </c>
      <c r="C882" s="194" t="s">
        <v>99</v>
      </c>
    </row>
    <row r="883" spans="1:3" x14ac:dyDescent="0.15">
      <c r="A883" s="191">
        <f t="shared" si="1"/>
        <v>34154</v>
      </c>
      <c r="B883" s="193">
        <v>240.2949132843253</v>
      </c>
      <c r="C883" s="194" t="s">
        <v>99</v>
      </c>
    </row>
    <row r="884" spans="1:3" x14ac:dyDescent="0.15">
      <c r="A884" s="191">
        <f t="shared" si="1"/>
        <v>34155</v>
      </c>
      <c r="B884" s="193">
        <v>243.34881077170172</v>
      </c>
      <c r="C884" s="194" t="s">
        <v>99</v>
      </c>
    </row>
    <row r="885" spans="1:3" x14ac:dyDescent="0.15">
      <c r="A885" s="191">
        <f t="shared" si="1"/>
        <v>34156</v>
      </c>
      <c r="B885" s="193">
        <v>246.44152010796805</v>
      </c>
      <c r="C885" s="194" t="s">
        <v>99</v>
      </c>
    </row>
    <row r="886" spans="1:3" x14ac:dyDescent="0.15">
      <c r="A886" s="191">
        <f t="shared" si="1"/>
        <v>34157</v>
      </c>
      <c r="B886" s="193">
        <v>249.57353455120528</v>
      </c>
      <c r="C886" s="194" t="s">
        <v>99</v>
      </c>
    </row>
    <row r="887" spans="1:3" x14ac:dyDescent="0.15">
      <c r="A887" s="191">
        <f t="shared" ref="A887:A950" si="2">A886+1</f>
        <v>34158</v>
      </c>
      <c r="B887" s="193">
        <v>252.74535362828973</v>
      </c>
      <c r="C887" s="194" t="s">
        <v>99</v>
      </c>
    </row>
    <row r="888" spans="1:3" x14ac:dyDescent="0.15">
      <c r="A888" s="191">
        <f t="shared" si="2"/>
        <v>34159</v>
      </c>
      <c r="B888" s="193">
        <v>255.95748321456279</v>
      </c>
      <c r="C888" s="194" t="s">
        <v>99</v>
      </c>
    </row>
    <row r="889" spans="1:3" x14ac:dyDescent="0.15">
      <c r="A889" s="191">
        <f t="shared" si="2"/>
        <v>34160</v>
      </c>
      <c r="B889" s="193">
        <v>255.95748321456279</v>
      </c>
      <c r="C889" s="194" t="s">
        <v>99</v>
      </c>
    </row>
    <row r="890" spans="1:3" x14ac:dyDescent="0.15">
      <c r="A890" s="191">
        <f t="shared" si="2"/>
        <v>34161</v>
      </c>
      <c r="B890" s="193">
        <v>255.95748321456279</v>
      </c>
      <c r="C890" s="194" t="s">
        <v>99</v>
      </c>
    </row>
    <row r="891" spans="1:3" x14ac:dyDescent="0.15">
      <c r="A891" s="191">
        <f t="shared" si="2"/>
        <v>34162</v>
      </c>
      <c r="B891" s="193">
        <v>259.2104356145133</v>
      </c>
      <c r="C891" s="194" t="s">
        <v>99</v>
      </c>
    </row>
    <row r="892" spans="1:3" x14ac:dyDescent="0.15">
      <c r="A892" s="191">
        <f t="shared" si="2"/>
        <v>34163</v>
      </c>
      <c r="B892" s="193">
        <v>262.50472964348535</v>
      </c>
      <c r="C892" s="194" t="s">
        <v>99</v>
      </c>
    </row>
    <row r="893" spans="1:3" x14ac:dyDescent="0.15">
      <c r="A893" s="191">
        <f t="shared" si="2"/>
        <v>34164</v>
      </c>
      <c r="B893" s="193">
        <v>265.84089071042439</v>
      </c>
      <c r="C893" s="194" t="s">
        <v>99</v>
      </c>
    </row>
    <row r="894" spans="1:3" x14ac:dyDescent="0.15">
      <c r="A894" s="191">
        <f t="shared" si="2"/>
        <v>34165</v>
      </c>
      <c r="B894" s="193">
        <v>269.21945090167515</v>
      </c>
      <c r="C894" s="194" t="s">
        <v>99</v>
      </c>
    </row>
    <row r="895" spans="1:3" x14ac:dyDescent="0.15">
      <c r="A895" s="191">
        <f t="shared" si="2"/>
        <v>34166</v>
      </c>
      <c r="B895" s="193">
        <v>272.64094906584421</v>
      </c>
      <c r="C895" s="194" t="s">
        <v>99</v>
      </c>
    </row>
    <row r="896" spans="1:3" x14ac:dyDescent="0.15">
      <c r="A896" s="191">
        <f t="shared" si="2"/>
        <v>34167</v>
      </c>
      <c r="B896" s="193">
        <v>272.64094906584421</v>
      </c>
      <c r="C896" s="194" t="s">
        <v>99</v>
      </c>
    </row>
    <row r="897" spans="1:3" x14ac:dyDescent="0.15">
      <c r="A897" s="191">
        <f t="shared" si="2"/>
        <v>34168</v>
      </c>
      <c r="B897" s="193">
        <v>272.64094906584421</v>
      </c>
      <c r="C897" s="194" t="s">
        <v>99</v>
      </c>
    </row>
    <row r="898" spans="1:3" x14ac:dyDescent="0.15">
      <c r="A898" s="191">
        <f t="shared" si="2"/>
        <v>34169</v>
      </c>
      <c r="B898" s="193">
        <v>276.10593089974145</v>
      </c>
      <c r="C898" s="194" t="s">
        <v>99</v>
      </c>
    </row>
    <row r="899" spans="1:3" x14ac:dyDescent="0.15">
      <c r="A899" s="191">
        <f t="shared" si="2"/>
        <v>34170</v>
      </c>
      <c r="B899" s="193">
        <v>279.61494903541353</v>
      </c>
      <c r="C899" s="194" t="s">
        <v>99</v>
      </c>
    </row>
    <row r="900" spans="1:3" x14ac:dyDescent="0.15">
      <c r="A900" s="191">
        <f t="shared" si="2"/>
        <v>34171</v>
      </c>
      <c r="B900" s="193">
        <v>283.16856312828344</v>
      </c>
      <c r="C900" s="194" t="s">
        <v>99</v>
      </c>
    </row>
    <row r="901" spans="1:3" x14ac:dyDescent="0.15">
      <c r="A901" s="191">
        <f t="shared" si="2"/>
        <v>34172</v>
      </c>
      <c r="B901" s="193">
        <v>286.7673399464104</v>
      </c>
      <c r="C901" s="194" t="s">
        <v>99</v>
      </c>
    </row>
    <row r="902" spans="1:3" x14ac:dyDescent="0.15">
      <c r="A902" s="191">
        <f t="shared" si="2"/>
        <v>34173</v>
      </c>
      <c r="B902" s="193">
        <v>290.41185346088389</v>
      </c>
      <c r="C902" s="194" t="s">
        <v>99</v>
      </c>
    </row>
    <row r="903" spans="1:3" x14ac:dyDescent="0.15">
      <c r="A903" s="191">
        <f t="shared" si="2"/>
        <v>34174</v>
      </c>
      <c r="B903" s="193">
        <v>290.41185346088389</v>
      </c>
      <c r="C903" s="194" t="s">
        <v>99</v>
      </c>
    </row>
    <row r="904" spans="1:3" x14ac:dyDescent="0.15">
      <c r="A904" s="191">
        <f t="shared" si="2"/>
        <v>34175</v>
      </c>
      <c r="B904" s="193">
        <v>290.41185346088389</v>
      </c>
      <c r="C904" s="194" t="s">
        <v>99</v>
      </c>
    </row>
    <row r="905" spans="1:3" x14ac:dyDescent="0.15">
      <c r="A905" s="191">
        <f t="shared" si="2"/>
        <v>34176</v>
      </c>
      <c r="B905" s="193">
        <v>294.1026849373668</v>
      </c>
      <c r="C905" s="194" t="s">
        <v>99</v>
      </c>
    </row>
    <row r="906" spans="1:3" x14ac:dyDescent="0.15">
      <c r="A906" s="191">
        <f t="shared" si="2"/>
        <v>34177</v>
      </c>
      <c r="B906" s="193">
        <v>297.84042302880175</v>
      </c>
      <c r="C906" s="194" t="s">
        <v>99</v>
      </c>
    </row>
    <row r="907" spans="1:3" x14ac:dyDescent="0.15">
      <c r="A907" s="191">
        <f t="shared" si="2"/>
        <v>34178</v>
      </c>
      <c r="B907" s="193">
        <v>301.62566386929575</v>
      </c>
      <c r="C907" s="194" t="s">
        <v>99</v>
      </c>
    </row>
    <row r="908" spans="1:3" x14ac:dyDescent="0.15">
      <c r="A908" s="191">
        <f t="shared" si="2"/>
        <v>34179</v>
      </c>
      <c r="B908" s="193">
        <v>305.45901116919788</v>
      </c>
      <c r="C908" s="194" t="s">
        <v>99</v>
      </c>
    </row>
    <row r="909" spans="1:3" x14ac:dyDescent="0.15">
      <c r="A909" s="191">
        <f t="shared" si="2"/>
        <v>34180</v>
      </c>
      <c r="B909" s="193">
        <v>309.34107631138556</v>
      </c>
      <c r="C909" s="194" t="s">
        <v>99</v>
      </c>
    </row>
    <row r="910" spans="1:3" x14ac:dyDescent="0.15">
      <c r="A910" s="191">
        <f t="shared" si="2"/>
        <v>34181</v>
      </c>
      <c r="B910" s="193">
        <v>309.34107631138556</v>
      </c>
      <c r="C910" s="194" t="s">
        <v>99</v>
      </c>
    </row>
    <row r="911" spans="1:3" x14ac:dyDescent="0.15">
      <c r="A911" s="191">
        <f t="shared" si="2"/>
        <v>34182</v>
      </c>
      <c r="B911" s="193">
        <v>0.30934107631138558</v>
      </c>
      <c r="C911" s="194" t="s">
        <v>100</v>
      </c>
    </row>
    <row r="912" spans="1:3" x14ac:dyDescent="0.15">
      <c r="A912" s="191">
        <f t="shared" si="2"/>
        <v>34183</v>
      </c>
      <c r="B912" s="193">
        <v>0.31323526859357853</v>
      </c>
      <c r="C912" s="194" t="s">
        <v>100</v>
      </c>
    </row>
    <row r="913" spans="1:3" x14ac:dyDescent="0.15">
      <c r="A913" s="191">
        <f t="shared" si="2"/>
        <v>34184</v>
      </c>
      <c r="B913" s="193">
        <v>0.31717848357172745</v>
      </c>
      <c r="C913" s="194" t="s">
        <v>100</v>
      </c>
    </row>
    <row r="914" spans="1:3" x14ac:dyDescent="0.15">
      <c r="A914" s="191">
        <f t="shared" si="2"/>
        <v>34185</v>
      </c>
      <c r="B914" s="193">
        <v>0.32117133837630368</v>
      </c>
      <c r="C914" s="194" t="s">
        <v>100</v>
      </c>
    </row>
    <row r="915" spans="1:3" x14ac:dyDescent="0.15">
      <c r="A915" s="191">
        <f t="shared" si="2"/>
        <v>34186</v>
      </c>
      <c r="B915" s="193">
        <v>0.32521445790662962</v>
      </c>
      <c r="C915" s="194" t="s">
        <v>100</v>
      </c>
    </row>
    <row r="916" spans="1:3" x14ac:dyDescent="0.15">
      <c r="A916" s="191">
        <f t="shared" si="2"/>
        <v>34187</v>
      </c>
      <c r="B916" s="193">
        <v>0.32930847492867799</v>
      </c>
      <c r="C916" s="194" t="s">
        <v>100</v>
      </c>
    </row>
    <row r="917" spans="1:3" x14ac:dyDescent="0.15">
      <c r="A917" s="191">
        <f t="shared" si="2"/>
        <v>34188</v>
      </c>
      <c r="B917" s="193">
        <v>0.32930847492867799</v>
      </c>
      <c r="C917" s="194" t="s">
        <v>100</v>
      </c>
    </row>
    <row r="918" spans="1:3" x14ac:dyDescent="0.15">
      <c r="A918" s="191">
        <f t="shared" si="2"/>
        <v>34189</v>
      </c>
      <c r="B918" s="193">
        <v>0.32930847492867799</v>
      </c>
      <c r="C918" s="194" t="s">
        <v>100</v>
      </c>
    </row>
    <row r="919" spans="1:3" x14ac:dyDescent="0.15">
      <c r="A919" s="191">
        <f t="shared" si="2"/>
        <v>34190</v>
      </c>
      <c r="B919" s="193">
        <v>0.33345403017410274</v>
      </c>
      <c r="C919" s="194" t="s">
        <v>100</v>
      </c>
    </row>
    <row r="920" spans="1:3" x14ac:dyDescent="0.15">
      <c r="A920" s="191">
        <f t="shared" si="2"/>
        <v>34191</v>
      </c>
      <c r="B920" s="193">
        <v>0.33765177244051625</v>
      </c>
      <c r="C920" s="194" t="s">
        <v>100</v>
      </c>
    </row>
    <row r="921" spans="1:3" x14ac:dyDescent="0.15">
      <c r="A921" s="191">
        <f t="shared" si="2"/>
        <v>34192</v>
      </c>
      <c r="B921" s="193">
        <v>0.34190235869302893</v>
      </c>
      <c r="C921" s="194" t="s">
        <v>100</v>
      </c>
    </row>
    <row r="922" spans="1:3" x14ac:dyDescent="0.15">
      <c r="A922" s="191">
        <f t="shared" si="2"/>
        <v>34193</v>
      </c>
      <c r="B922" s="193">
        <v>0.34620645416706725</v>
      </c>
      <c r="C922" s="194" t="s">
        <v>100</v>
      </c>
    </row>
    <row r="923" spans="1:3" x14ac:dyDescent="0.15">
      <c r="A923" s="191">
        <f t="shared" si="2"/>
        <v>34194</v>
      </c>
      <c r="B923" s="193">
        <v>0.35056473247248604</v>
      </c>
      <c r="C923" s="194" t="s">
        <v>100</v>
      </c>
    </row>
    <row r="924" spans="1:3" x14ac:dyDescent="0.15">
      <c r="A924" s="191">
        <f t="shared" si="2"/>
        <v>34195</v>
      </c>
      <c r="B924" s="193">
        <v>0.35056473247248604</v>
      </c>
      <c r="C924" s="194" t="s">
        <v>100</v>
      </c>
    </row>
    <row r="925" spans="1:3" x14ac:dyDescent="0.15">
      <c r="A925" s="191">
        <f t="shared" si="2"/>
        <v>34196</v>
      </c>
      <c r="B925" s="193">
        <v>0.35056473247248604</v>
      </c>
      <c r="C925" s="194" t="s">
        <v>100</v>
      </c>
    </row>
    <row r="926" spans="1:3" x14ac:dyDescent="0.15">
      <c r="A926" s="191">
        <f t="shared" si="2"/>
        <v>34197</v>
      </c>
      <c r="B926" s="193">
        <v>0.35497787569899125</v>
      </c>
      <c r="C926" s="194" t="s">
        <v>100</v>
      </c>
    </row>
    <row r="927" spans="1:3" x14ac:dyDescent="0.15">
      <c r="A927" s="191">
        <f t="shared" si="2"/>
        <v>34198</v>
      </c>
      <c r="B927" s="193">
        <v>0.35944657452289008</v>
      </c>
      <c r="C927" s="194" t="s">
        <v>100</v>
      </c>
    </row>
    <row r="928" spans="1:3" x14ac:dyDescent="0.15">
      <c r="A928" s="191">
        <f t="shared" si="2"/>
        <v>34199</v>
      </c>
      <c r="B928" s="193">
        <v>0.36397152831518487</v>
      </c>
      <c r="C928" s="194" t="s">
        <v>100</v>
      </c>
    </row>
    <row r="929" spans="1:3" x14ac:dyDescent="0.15">
      <c r="A929" s="191">
        <f t="shared" si="2"/>
        <v>34200</v>
      </c>
      <c r="B929" s="193">
        <v>0.36855344525102773</v>
      </c>
      <c r="C929" s="194" t="s">
        <v>100</v>
      </c>
    </row>
    <row r="930" spans="1:3" x14ac:dyDescent="0.15">
      <c r="A930" s="191">
        <f t="shared" si="2"/>
        <v>34201</v>
      </c>
      <c r="B930" s="193">
        <v>0.37319304242055296</v>
      </c>
      <c r="C930" s="194" t="s">
        <v>100</v>
      </c>
    </row>
    <row r="931" spans="1:3" x14ac:dyDescent="0.15">
      <c r="A931" s="191">
        <f t="shared" si="2"/>
        <v>34202</v>
      </c>
      <c r="B931" s="193">
        <v>0.37319304242055296</v>
      </c>
      <c r="C931" s="194" t="s">
        <v>100</v>
      </c>
    </row>
    <row r="932" spans="1:3" x14ac:dyDescent="0.15">
      <c r="A932" s="191">
        <f t="shared" si="2"/>
        <v>34203</v>
      </c>
      <c r="B932" s="193">
        <v>0.37319304242055296</v>
      </c>
      <c r="C932" s="194" t="s">
        <v>100</v>
      </c>
    </row>
    <row r="933" spans="1:3" x14ac:dyDescent="0.15">
      <c r="A933" s="191">
        <f t="shared" si="2"/>
        <v>34204</v>
      </c>
      <c r="B933" s="193">
        <v>0.37789104594110501</v>
      </c>
      <c r="C933" s="194" t="s">
        <v>100</v>
      </c>
    </row>
    <row r="934" spans="1:3" x14ac:dyDescent="0.15">
      <c r="A934" s="191">
        <f t="shared" si="2"/>
        <v>34205</v>
      </c>
      <c r="B934" s="193">
        <v>0.38264819107087883</v>
      </c>
      <c r="C934" s="194" t="s">
        <v>100</v>
      </c>
    </row>
    <row r="935" spans="1:3" x14ac:dyDescent="0.15">
      <c r="A935" s="191">
        <f t="shared" si="2"/>
        <v>34206</v>
      </c>
      <c r="B935" s="193">
        <v>0.38746522232399111</v>
      </c>
      <c r="C935" s="194" t="s">
        <v>100</v>
      </c>
    </row>
    <row r="936" spans="1:3" x14ac:dyDescent="0.15">
      <c r="A936" s="191">
        <f t="shared" si="2"/>
        <v>34207</v>
      </c>
      <c r="B936" s="193">
        <v>0.39234289358700003</v>
      </c>
      <c r="C936" s="194" t="s">
        <v>100</v>
      </c>
    </row>
    <row r="937" spans="1:3" x14ac:dyDescent="0.15">
      <c r="A937" s="191">
        <f t="shared" si="2"/>
        <v>34208</v>
      </c>
      <c r="B937" s="193">
        <v>0.39728196823689171</v>
      </c>
      <c r="C937" s="194" t="s">
        <v>100</v>
      </c>
    </row>
    <row r="938" spans="1:3" x14ac:dyDescent="0.15">
      <c r="A938" s="191">
        <f t="shared" si="2"/>
        <v>34209</v>
      </c>
      <c r="B938" s="193">
        <v>0.39728196823689171</v>
      </c>
      <c r="C938" s="194" t="s">
        <v>100</v>
      </c>
    </row>
    <row r="939" spans="1:3" x14ac:dyDescent="0.15">
      <c r="A939" s="191">
        <f t="shared" si="2"/>
        <v>34210</v>
      </c>
      <c r="B939" s="193">
        <v>0.39728196823689171</v>
      </c>
      <c r="C939" s="194" t="s">
        <v>100</v>
      </c>
    </row>
    <row r="940" spans="1:3" x14ac:dyDescent="0.15">
      <c r="A940" s="191">
        <f t="shared" si="2"/>
        <v>34211</v>
      </c>
      <c r="B940" s="193">
        <v>0.40228321926055222</v>
      </c>
      <c r="C940" s="194" t="s">
        <v>100</v>
      </c>
    </row>
    <row r="941" spans="1:3" x14ac:dyDescent="0.15">
      <c r="A941" s="191">
        <f t="shared" si="2"/>
        <v>34212</v>
      </c>
      <c r="B941" s="193">
        <v>0.40734742937574325</v>
      </c>
      <c r="C941" s="194" t="s">
        <v>100</v>
      </c>
    </row>
    <row r="942" spans="1:3" x14ac:dyDescent="0.15">
      <c r="A942" s="191">
        <f t="shared" si="2"/>
        <v>34213</v>
      </c>
      <c r="B942" s="193">
        <v>0.41247539115360105</v>
      </c>
      <c r="C942" s="194" t="s">
        <v>100</v>
      </c>
    </row>
    <row r="943" spans="1:3" x14ac:dyDescent="0.15">
      <c r="A943" s="191">
        <f t="shared" si="2"/>
        <v>34214</v>
      </c>
      <c r="B943" s="193">
        <v>0.41835611235569653</v>
      </c>
      <c r="C943" s="194" t="s">
        <v>100</v>
      </c>
    </row>
    <row r="944" spans="1:3" x14ac:dyDescent="0.15">
      <c r="A944" s="191">
        <f t="shared" si="2"/>
        <v>34215</v>
      </c>
      <c r="B944" s="193">
        <v>0.42432067584898925</v>
      </c>
      <c r="C944" s="194" t="s">
        <v>100</v>
      </c>
    </row>
    <row r="945" spans="1:3" x14ac:dyDescent="0.15">
      <c r="A945" s="191">
        <f t="shared" si="2"/>
        <v>34216</v>
      </c>
      <c r="B945" s="193">
        <v>0.42432067584898925</v>
      </c>
      <c r="C945" s="194" t="s">
        <v>100</v>
      </c>
    </row>
    <row r="946" spans="1:3" x14ac:dyDescent="0.15">
      <c r="A946" s="191">
        <f t="shared" si="2"/>
        <v>34217</v>
      </c>
      <c r="B946" s="193">
        <v>0.42432067584898925</v>
      </c>
      <c r="C946" s="194" t="s">
        <v>100</v>
      </c>
    </row>
    <row r="947" spans="1:3" x14ac:dyDescent="0.15">
      <c r="A947" s="191">
        <f t="shared" si="2"/>
        <v>34218</v>
      </c>
      <c r="B947" s="193">
        <v>0.43037027698512931</v>
      </c>
      <c r="C947" s="194" t="s">
        <v>100</v>
      </c>
    </row>
    <row r="948" spans="1:3" x14ac:dyDescent="0.15">
      <c r="A948" s="191">
        <f t="shared" si="2"/>
        <v>34219</v>
      </c>
      <c r="B948" s="193">
        <v>0.43037027698512931</v>
      </c>
      <c r="C948" s="194" t="s">
        <v>100</v>
      </c>
    </row>
    <row r="949" spans="1:3" x14ac:dyDescent="0.15">
      <c r="A949" s="191">
        <f t="shared" si="2"/>
        <v>34220</v>
      </c>
      <c r="B949" s="193">
        <v>0.436506128158068</v>
      </c>
      <c r="C949" s="194" t="s">
        <v>100</v>
      </c>
    </row>
    <row r="950" spans="1:3" x14ac:dyDescent="0.15">
      <c r="A950" s="191">
        <f t="shared" si="2"/>
        <v>34221</v>
      </c>
      <c r="B950" s="193">
        <v>0.44272945904703215</v>
      </c>
      <c r="C950" s="194" t="s">
        <v>100</v>
      </c>
    </row>
    <row r="951" spans="1:3" x14ac:dyDescent="0.15">
      <c r="A951" s="191">
        <f t="shared" ref="A951:A1014" si="3">A950+1</f>
        <v>34222</v>
      </c>
      <c r="B951" s="193">
        <v>0.44904151686296284</v>
      </c>
      <c r="C951" s="194" t="s">
        <v>100</v>
      </c>
    </row>
    <row r="952" spans="1:3" x14ac:dyDescent="0.15">
      <c r="A952" s="191">
        <f t="shared" si="3"/>
        <v>34223</v>
      </c>
      <c r="B952" s="193">
        <v>0.44904151686296284</v>
      </c>
      <c r="C952" s="194" t="s">
        <v>100</v>
      </c>
    </row>
    <row r="953" spans="1:3" x14ac:dyDescent="0.15">
      <c r="A953" s="191">
        <f t="shared" si="3"/>
        <v>34224</v>
      </c>
      <c r="B953" s="193">
        <v>0.44904151686296284</v>
      </c>
      <c r="C953" s="194" t="s">
        <v>100</v>
      </c>
    </row>
    <row r="954" spans="1:3" x14ac:dyDescent="0.15">
      <c r="A954" s="191">
        <f t="shared" si="3"/>
        <v>34225</v>
      </c>
      <c r="B954" s="193">
        <v>0.45544356659846763</v>
      </c>
      <c r="C954" s="194" t="s">
        <v>100</v>
      </c>
    </row>
    <row r="955" spans="1:3" x14ac:dyDescent="0.15">
      <c r="A955" s="191">
        <f t="shared" si="3"/>
        <v>34226</v>
      </c>
      <c r="B955" s="193">
        <v>0.46193689128133636</v>
      </c>
      <c r="C955" s="194" t="s">
        <v>100</v>
      </c>
    </row>
    <row r="956" spans="1:3" x14ac:dyDescent="0.15">
      <c r="A956" s="191">
        <f t="shared" si="3"/>
        <v>34227</v>
      </c>
      <c r="B956" s="193">
        <v>0.4685227922316712</v>
      </c>
      <c r="C956" s="194" t="s">
        <v>100</v>
      </c>
    </row>
    <row r="957" spans="1:3" x14ac:dyDescent="0.15">
      <c r="A957" s="191">
        <f t="shared" si="3"/>
        <v>34228</v>
      </c>
      <c r="B957" s="193">
        <v>0.475202589322683</v>
      </c>
      <c r="C957" s="194" t="s">
        <v>100</v>
      </c>
    </row>
    <row r="958" spans="1:3" x14ac:dyDescent="0.15">
      <c r="A958" s="191">
        <f t="shared" si="3"/>
        <v>34229</v>
      </c>
      <c r="B958" s="193">
        <v>0.48197762124520549</v>
      </c>
      <c r="C958" s="194" t="s">
        <v>100</v>
      </c>
    </row>
    <row r="959" spans="1:3" x14ac:dyDescent="0.15">
      <c r="A959" s="191">
        <f t="shared" si="3"/>
        <v>34230</v>
      </c>
      <c r="B959" s="193">
        <v>0.48197762124520549</v>
      </c>
      <c r="C959" s="194" t="s">
        <v>100</v>
      </c>
    </row>
    <row r="960" spans="1:3" x14ac:dyDescent="0.15">
      <c r="A960" s="191">
        <f t="shared" si="3"/>
        <v>34231</v>
      </c>
      <c r="B960" s="193">
        <v>0.48197762124520549</v>
      </c>
      <c r="C960" s="194" t="s">
        <v>100</v>
      </c>
    </row>
    <row r="961" spans="1:3" x14ac:dyDescent="0.15">
      <c r="A961" s="191">
        <f t="shared" si="3"/>
        <v>34232</v>
      </c>
      <c r="B961" s="193">
        <v>0.48884924577598082</v>
      </c>
      <c r="C961" s="194" t="s">
        <v>100</v>
      </c>
    </row>
    <row r="962" spans="1:3" x14ac:dyDescent="0.15">
      <c r="A962" s="191">
        <f t="shared" si="3"/>
        <v>34233</v>
      </c>
      <c r="B962" s="193">
        <v>0.49581884004977028</v>
      </c>
      <c r="C962" s="194" t="s">
        <v>100</v>
      </c>
    </row>
    <row r="963" spans="1:3" x14ac:dyDescent="0.15">
      <c r="A963" s="191">
        <f t="shared" si="3"/>
        <v>34234</v>
      </c>
      <c r="B963" s="193">
        <v>0.50288780083534423</v>
      </c>
      <c r="C963" s="194" t="s">
        <v>100</v>
      </c>
    </row>
    <row r="964" spans="1:3" x14ac:dyDescent="0.15">
      <c r="A964" s="191">
        <f t="shared" si="3"/>
        <v>34235</v>
      </c>
      <c r="B964" s="193">
        <v>0.5100575448154071</v>
      </c>
      <c r="C964" s="194" t="s">
        <v>100</v>
      </c>
    </row>
    <row r="965" spans="1:3" x14ac:dyDescent="0.15">
      <c r="A965" s="191">
        <f t="shared" si="3"/>
        <v>34236</v>
      </c>
      <c r="B965" s="193">
        <v>0.51732950887051299</v>
      </c>
      <c r="C965" s="194" t="s">
        <v>100</v>
      </c>
    </row>
    <row r="966" spans="1:3" x14ac:dyDescent="0.15">
      <c r="A966" s="191">
        <f t="shared" si="3"/>
        <v>34237</v>
      </c>
      <c r="B966" s="193">
        <v>0.51732950887051299</v>
      </c>
      <c r="C966" s="194" t="s">
        <v>100</v>
      </c>
    </row>
    <row r="967" spans="1:3" x14ac:dyDescent="0.15">
      <c r="A967" s="191">
        <f t="shared" si="3"/>
        <v>34238</v>
      </c>
      <c r="B967" s="193">
        <v>0.51732950887051299</v>
      </c>
      <c r="C967" s="194" t="s">
        <v>100</v>
      </c>
    </row>
    <row r="968" spans="1:3" x14ac:dyDescent="0.15">
      <c r="A968" s="191">
        <f t="shared" si="3"/>
        <v>34239</v>
      </c>
      <c r="B968" s="193">
        <v>0.5247051503670298</v>
      </c>
      <c r="C968" s="194" t="s">
        <v>100</v>
      </c>
    </row>
    <row r="969" spans="1:3" x14ac:dyDescent="0.15">
      <c r="A969" s="191">
        <f t="shared" si="3"/>
        <v>34240</v>
      </c>
      <c r="B969" s="193">
        <v>0.53218594744920789</v>
      </c>
      <c r="C969" s="194" t="s">
        <v>100</v>
      </c>
    </row>
    <row r="970" spans="1:3" x14ac:dyDescent="0.15">
      <c r="A970" s="191">
        <f t="shared" si="3"/>
        <v>34241</v>
      </c>
      <c r="B970" s="193">
        <v>0.53977339933541368</v>
      </c>
      <c r="C970" s="194" t="s">
        <v>100</v>
      </c>
    </row>
    <row r="971" spans="1:3" x14ac:dyDescent="0.15">
      <c r="A971" s="191">
        <f t="shared" si="3"/>
        <v>34242</v>
      </c>
      <c r="B971" s="193">
        <v>0.54746902661858632</v>
      </c>
      <c r="C971" s="194" t="s">
        <v>100</v>
      </c>
    </row>
    <row r="972" spans="1:3" x14ac:dyDescent="0.15">
      <c r="A972" s="191">
        <f t="shared" si="3"/>
        <v>34243</v>
      </c>
      <c r="B972" s="193">
        <v>0.55527437157097792</v>
      </c>
      <c r="C972" s="194" t="s">
        <v>100</v>
      </c>
    </row>
    <row r="973" spans="1:3" x14ac:dyDescent="0.15">
      <c r="A973" s="191">
        <f t="shared" si="3"/>
        <v>34244</v>
      </c>
      <c r="B973" s="193">
        <v>0.55527437157097792</v>
      </c>
      <c r="C973" s="194" t="s">
        <v>100</v>
      </c>
    </row>
    <row r="974" spans="1:3" x14ac:dyDescent="0.15">
      <c r="A974" s="191">
        <f t="shared" si="3"/>
        <v>34245</v>
      </c>
      <c r="B974" s="193">
        <v>0.55527437157097792</v>
      </c>
      <c r="C974" s="194" t="s">
        <v>100</v>
      </c>
    </row>
    <row r="975" spans="1:3" x14ac:dyDescent="0.15">
      <c r="A975" s="191">
        <f t="shared" si="3"/>
        <v>34246</v>
      </c>
      <c r="B975" s="193">
        <v>0.56398692241150639</v>
      </c>
      <c r="C975" s="194" t="s">
        <v>100</v>
      </c>
    </row>
    <row r="976" spans="1:3" x14ac:dyDescent="0.15">
      <c r="A976" s="191">
        <f t="shared" si="3"/>
        <v>34247</v>
      </c>
      <c r="B976" s="193">
        <v>0.57283617781834506</v>
      </c>
      <c r="C976" s="194" t="s">
        <v>100</v>
      </c>
    </row>
    <row r="977" spans="1:3" x14ac:dyDescent="0.15">
      <c r="A977" s="191">
        <f t="shared" si="3"/>
        <v>34248</v>
      </c>
      <c r="B977" s="193">
        <v>0.58182428275900033</v>
      </c>
      <c r="C977" s="194" t="s">
        <v>100</v>
      </c>
    </row>
    <row r="978" spans="1:3" x14ac:dyDescent="0.15">
      <c r="A978" s="191">
        <f t="shared" si="3"/>
        <v>34249</v>
      </c>
      <c r="B978" s="193">
        <v>0.59095341585666183</v>
      </c>
      <c r="C978" s="194" t="s">
        <v>100</v>
      </c>
    </row>
    <row r="979" spans="1:3" x14ac:dyDescent="0.15">
      <c r="A979" s="191">
        <f t="shared" si="3"/>
        <v>34250</v>
      </c>
      <c r="B979" s="193">
        <v>0.60022578991827835</v>
      </c>
      <c r="C979" s="194" t="s">
        <v>100</v>
      </c>
    </row>
    <row r="980" spans="1:3" x14ac:dyDescent="0.15">
      <c r="A980" s="191">
        <f t="shared" si="3"/>
        <v>34251</v>
      </c>
      <c r="B980" s="193">
        <v>0.60022578991827835</v>
      </c>
      <c r="C980" s="194" t="s">
        <v>100</v>
      </c>
    </row>
    <row r="981" spans="1:3" x14ac:dyDescent="0.15">
      <c r="A981" s="191">
        <f t="shared" si="3"/>
        <v>34252</v>
      </c>
      <c r="B981" s="193">
        <v>0.60022578991827835</v>
      </c>
      <c r="C981" s="194" t="s">
        <v>100</v>
      </c>
    </row>
    <row r="982" spans="1:3" x14ac:dyDescent="0.15">
      <c r="A982" s="191">
        <f t="shared" si="3"/>
        <v>34253</v>
      </c>
      <c r="B982" s="193">
        <v>0.60964365247091901</v>
      </c>
      <c r="C982" s="194" t="s">
        <v>100</v>
      </c>
    </row>
    <row r="983" spans="1:3" x14ac:dyDescent="0.15">
      <c r="A983" s="191">
        <f t="shared" si="3"/>
        <v>34254</v>
      </c>
      <c r="B983" s="193">
        <v>0.60964365247091901</v>
      </c>
      <c r="C983" s="194" t="s">
        <v>100</v>
      </c>
    </row>
    <row r="984" spans="1:3" x14ac:dyDescent="0.15">
      <c r="A984" s="191">
        <f t="shared" si="3"/>
        <v>34255</v>
      </c>
      <c r="B984" s="193">
        <v>0.61920928630655048</v>
      </c>
      <c r="C984" s="194" t="s">
        <v>100</v>
      </c>
    </row>
    <row r="985" spans="1:3" x14ac:dyDescent="0.15">
      <c r="A985" s="191">
        <f t="shared" si="3"/>
        <v>34256</v>
      </c>
      <c r="B985" s="193">
        <v>0.62892501003536228</v>
      </c>
      <c r="C985" s="194" t="s">
        <v>100</v>
      </c>
    </row>
    <row r="986" spans="1:3" x14ac:dyDescent="0.15">
      <c r="A986" s="191">
        <f t="shared" si="3"/>
        <v>34257</v>
      </c>
      <c r="B986" s="193">
        <v>0.6387931786477733</v>
      </c>
      <c r="C986" s="194" t="s">
        <v>100</v>
      </c>
    </row>
    <row r="987" spans="1:3" x14ac:dyDescent="0.15">
      <c r="A987" s="191">
        <f t="shared" si="3"/>
        <v>34258</v>
      </c>
      <c r="B987" s="193">
        <v>0.6387931786477733</v>
      </c>
      <c r="C987" s="194" t="s">
        <v>100</v>
      </c>
    </row>
    <row r="988" spans="1:3" x14ac:dyDescent="0.15">
      <c r="A988" s="191">
        <f t="shared" si="3"/>
        <v>34259</v>
      </c>
      <c r="B988" s="193">
        <v>0.6387931786477733</v>
      </c>
      <c r="C988" s="194" t="s">
        <v>100</v>
      </c>
    </row>
    <row r="989" spans="1:3" x14ac:dyDescent="0.15">
      <c r="A989" s="191">
        <f t="shared" si="3"/>
        <v>34260</v>
      </c>
      <c r="B989" s="193">
        <v>0.64881618408525743</v>
      </c>
      <c r="C989" s="194" t="s">
        <v>100</v>
      </c>
    </row>
    <row r="990" spans="1:3" x14ac:dyDescent="0.15">
      <c r="A990" s="191">
        <f t="shared" si="3"/>
        <v>34261</v>
      </c>
      <c r="B990" s="193">
        <v>0.65899645582012523</v>
      </c>
      <c r="C990" s="194" t="s">
        <v>100</v>
      </c>
    </row>
    <row r="991" spans="1:3" x14ac:dyDescent="0.15">
      <c r="A991" s="191">
        <f t="shared" si="3"/>
        <v>34262</v>
      </c>
      <c r="B991" s="193">
        <v>0.66933646144440251</v>
      </c>
      <c r="C991" s="194" t="s">
        <v>100</v>
      </c>
    </row>
    <row r="992" spans="1:3" x14ac:dyDescent="0.15">
      <c r="A992" s="191">
        <f t="shared" si="3"/>
        <v>34263</v>
      </c>
      <c r="B992" s="193">
        <v>0.67983870726794915</v>
      </c>
      <c r="C992" s="194" t="s">
        <v>100</v>
      </c>
    </row>
    <row r="993" spans="1:3" x14ac:dyDescent="0.15">
      <c r="A993" s="191">
        <f t="shared" si="3"/>
        <v>34264</v>
      </c>
      <c r="B993" s="193">
        <v>0.69050573892596268</v>
      </c>
      <c r="C993" s="194" t="s">
        <v>100</v>
      </c>
    </row>
    <row r="994" spans="1:3" x14ac:dyDescent="0.15">
      <c r="A994" s="191">
        <f t="shared" si="3"/>
        <v>34265</v>
      </c>
      <c r="B994" s="193">
        <v>0.69050573892596268</v>
      </c>
      <c r="C994" s="194" t="s">
        <v>100</v>
      </c>
    </row>
    <row r="995" spans="1:3" x14ac:dyDescent="0.15">
      <c r="A995" s="191">
        <f t="shared" si="3"/>
        <v>34266</v>
      </c>
      <c r="B995" s="193">
        <v>0.69050573892596268</v>
      </c>
      <c r="C995" s="194" t="s">
        <v>100</v>
      </c>
    </row>
    <row r="996" spans="1:3" x14ac:dyDescent="0.15">
      <c r="A996" s="191">
        <f t="shared" si="3"/>
        <v>34267</v>
      </c>
      <c r="B996" s="193">
        <v>0.70134014199601347</v>
      </c>
      <c r="C996" s="194" t="s">
        <v>100</v>
      </c>
    </row>
    <row r="997" spans="1:3" x14ac:dyDescent="0.15">
      <c r="A997" s="191">
        <f t="shared" si="3"/>
        <v>34268</v>
      </c>
      <c r="B997" s="193">
        <v>0.71234454262476221</v>
      </c>
      <c r="C997" s="194" t="s">
        <v>100</v>
      </c>
    </row>
    <row r="998" spans="1:3" x14ac:dyDescent="0.15">
      <c r="A998" s="191">
        <f t="shared" si="3"/>
        <v>34269</v>
      </c>
      <c r="B998" s="193">
        <v>0.72352160816451028</v>
      </c>
      <c r="C998" s="194" t="s">
        <v>100</v>
      </c>
    </row>
    <row r="999" spans="1:3" x14ac:dyDescent="0.15">
      <c r="A999" s="191">
        <f t="shared" si="3"/>
        <v>34270</v>
      </c>
      <c r="B999" s="193">
        <v>0.73487404781973842</v>
      </c>
      <c r="C999" s="194" t="s">
        <v>100</v>
      </c>
    </row>
    <row r="1000" spans="1:3" x14ac:dyDescent="0.15">
      <c r="A1000" s="191">
        <f t="shared" si="3"/>
        <v>34271</v>
      </c>
      <c r="B1000" s="193">
        <v>0.74640461330378938</v>
      </c>
      <c r="C1000" s="194" t="s">
        <v>100</v>
      </c>
    </row>
    <row r="1001" spans="1:3" x14ac:dyDescent="0.15">
      <c r="A1001" s="191">
        <f t="shared" si="3"/>
        <v>34272</v>
      </c>
      <c r="B1001" s="193">
        <v>0.74640461330378938</v>
      </c>
      <c r="C1001" s="194" t="s">
        <v>100</v>
      </c>
    </row>
    <row r="1002" spans="1:3" x14ac:dyDescent="0.15">
      <c r="A1002" s="191">
        <f t="shared" si="3"/>
        <v>34273</v>
      </c>
      <c r="B1002" s="193">
        <v>0.74640461330378938</v>
      </c>
      <c r="C1002" s="194" t="s">
        <v>100</v>
      </c>
    </row>
    <row r="1003" spans="1:3" x14ac:dyDescent="0.15">
      <c r="A1003" s="191">
        <f t="shared" si="3"/>
        <v>34274</v>
      </c>
      <c r="B1003" s="193">
        <v>0.75811609950585523</v>
      </c>
      <c r="C1003" s="194" t="s">
        <v>100</v>
      </c>
    </row>
    <row r="1004" spans="1:3" x14ac:dyDescent="0.15">
      <c r="A1004" s="191">
        <f t="shared" si="3"/>
        <v>34275</v>
      </c>
      <c r="B1004" s="193">
        <v>0.75811609950585523</v>
      </c>
      <c r="C1004" s="194" t="s">
        <v>100</v>
      </c>
    </row>
    <row r="1005" spans="1:3" x14ac:dyDescent="0.15">
      <c r="A1005" s="191">
        <f t="shared" si="3"/>
        <v>34276</v>
      </c>
      <c r="B1005" s="193">
        <v>0.76990687304082583</v>
      </c>
      <c r="C1005" s="194" t="s">
        <v>100</v>
      </c>
    </row>
    <row r="1006" spans="1:3" x14ac:dyDescent="0.15">
      <c r="A1006" s="191">
        <f t="shared" si="3"/>
        <v>34277</v>
      </c>
      <c r="B1006" s="193">
        <v>0.78188102527022529</v>
      </c>
      <c r="C1006" s="194" t="s">
        <v>100</v>
      </c>
    </row>
    <row r="1007" spans="1:3" x14ac:dyDescent="0.15">
      <c r="A1007" s="191">
        <f t="shared" si="3"/>
        <v>34278</v>
      </c>
      <c r="B1007" s="193">
        <v>0.79404140823302061</v>
      </c>
      <c r="C1007" s="194" t="s">
        <v>100</v>
      </c>
    </row>
    <row r="1008" spans="1:3" x14ac:dyDescent="0.15">
      <c r="A1008" s="191">
        <f t="shared" si="3"/>
        <v>34279</v>
      </c>
      <c r="B1008" s="193">
        <v>0.79404140823302061</v>
      </c>
      <c r="C1008" s="194" t="s">
        <v>100</v>
      </c>
    </row>
    <row r="1009" spans="1:3" x14ac:dyDescent="0.15">
      <c r="A1009" s="191">
        <f t="shared" si="3"/>
        <v>34280</v>
      </c>
      <c r="B1009" s="193">
        <v>0.79404140823302061</v>
      </c>
      <c r="C1009" s="194" t="s">
        <v>100</v>
      </c>
    </row>
    <row r="1010" spans="1:3" x14ac:dyDescent="0.15">
      <c r="A1010" s="191">
        <f t="shared" si="3"/>
        <v>34281</v>
      </c>
      <c r="B1010" s="193">
        <v>0.80639091832516496</v>
      </c>
      <c r="C1010" s="194" t="s">
        <v>100</v>
      </c>
    </row>
    <row r="1011" spans="1:3" x14ac:dyDescent="0.15">
      <c r="A1011" s="191">
        <f t="shared" si="3"/>
        <v>34282</v>
      </c>
      <c r="B1011" s="193">
        <v>0.81893249698947024</v>
      </c>
      <c r="C1011" s="194" t="s">
        <v>100</v>
      </c>
    </row>
    <row r="1012" spans="1:3" x14ac:dyDescent="0.15">
      <c r="A1012" s="191">
        <f t="shared" si="3"/>
        <v>34283</v>
      </c>
      <c r="B1012" s="193">
        <v>0.83166913141620846</v>
      </c>
      <c r="C1012" s="194" t="s">
        <v>100</v>
      </c>
    </row>
    <row r="1013" spans="1:3" x14ac:dyDescent="0.15">
      <c r="A1013" s="191">
        <f t="shared" si="3"/>
        <v>34284</v>
      </c>
      <c r="B1013" s="193">
        <v>0.84460385525460968</v>
      </c>
      <c r="C1013" s="194" t="s">
        <v>100</v>
      </c>
    </row>
    <row r="1014" spans="1:3" x14ac:dyDescent="0.15">
      <c r="A1014" s="191">
        <f t="shared" si="3"/>
        <v>34285</v>
      </c>
      <c r="B1014" s="193">
        <v>0.85773974933542552</v>
      </c>
      <c r="C1014" s="194" t="s">
        <v>100</v>
      </c>
    </row>
    <row r="1015" spans="1:3" x14ac:dyDescent="0.15">
      <c r="A1015" s="191">
        <f t="shared" ref="A1015:A1078" si="4">A1014+1</f>
        <v>34286</v>
      </c>
      <c r="B1015" s="193">
        <v>0.85773974933542552</v>
      </c>
      <c r="C1015" s="194" t="s">
        <v>100</v>
      </c>
    </row>
    <row r="1016" spans="1:3" x14ac:dyDescent="0.15">
      <c r="A1016" s="191">
        <f t="shared" si="4"/>
        <v>34287</v>
      </c>
      <c r="B1016" s="193">
        <v>0.85773974933542552</v>
      </c>
      <c r="C1016" s="194" t="s">
        <v>100</v>
      </c>
    </row>
    <row r="1017" spans="1:3" x14ac:dyDescent="0.15">
      <c r="A1017" s="191">
        <f t="shared" si="4"/>
        <v>34288</v>
      </c>
      <c r="B1017" s="193">
        <v>0.85773974933542552</v>
      </c>
      <c r="C1017" s="194" t="s">
        <v>100</v>
      </c>
    </row>
    <row r="1018" spans="1:3" x14ac:dyDescent="0.15">
      <c r="A1018" s="191">
        <f t="shared" si="4"/>
        <v>34289</v>
      </c>
      <c r="B1018" s="193">
        <v>0.8710799424047303</v>
      </c>
      <c r="C1018" s="194" t="s">
        <v>100</v>
      </c>
    </row>
    <row r="1019" spans="1:3" x14ac:dyDescent="0.15">
      <c r="A1019" s="191">
        <f t="shared" si="4"/>
        <v>34290</v>
      </c>
      <c r="B1019" s="193">
        <v>0.88462761186913541</v>
      </c>
      <c r="C1019" s="194" t="s">
        <v>100</v>
      </c>
    </row>
    <row r="1020" spans="1:3" x14ac:dyDescent="0.15">
      <c r="A1020" s="191">
        <f t="shared" si="4"/>
        <v>34291</v>
      </c>
      <c r="B1020" s="193">
        <v>0.898385984552593</v>
      </c>
      <c r="C1020" s="194" t="s">
        <v>100</v>
      </c>
    </row>
    <row r="1021" spans="1:3" x14ac:dyDescent="0.15">
      <c r="A1021" s="191">
        <f t="shared" si="4"/>
        <v>34292</v>
      </c>
      <c r="B1021" s="193">
        <v>0.91235833746497086</v>
      </c>
      <c r="C1021" s="194" t="s">
        <v>100</v>
      </c>
    </row>
    <row r="1022" spans="1:3" x14ac:dyDescent="0.15">
      <c r="A1022" s="191">
        <f t="shared" si="4"/>
        <v>34293</v>
      </c>
      <c r="B1022" s="193">
        <v>0.91235833746497086</v>
      </c>
      <c r="C1022" s="194" t="s">
        <v>100</v>
      </c>
    </row>
    <row r="1023" spans="1:3" x14ac:dyDescent="0.15">
      <c r="A1023" s="191">
        <f t="shared" si="4"/>
        <v>34294</v>
      </c>
      <c r="B1023" s="193">
        <v>0.91235833746497086</v>
      </c>
      <c r="C1023" s="194" t="s">
        <v>100</v>
      </c>
    </row>
    <row r="1024" spans="1:3" x14ac:dyDescent="0.15">
      <c r="A1024" s="191">
        <f t="shared" si="4"/>
        <v>34295</v>
      </c>
      <c r="B1024" s="193">
        <v>0.92654799858257997</v>
      </c>
      <c r="C1024" s="194" t="s">
        <v>100</v>
      </c>
    </row>
    <row r="1025" spans="1:3" x14ac:dyDescent="0.15">
      <c r="A1025" s="191">
        <f t="shared" si="4"/>
        <v>34296</v>
      </c>
      <c r="B1025" s="193">
        <v>0.94095834764084185</v>
      </c>
      <c r="C1025" s="194" t="s">
        <v>100</v>
      </c>
    </row>
    <row r="1026" spans="1:3" x14ac:dyDescent="0.15">
      <c r="A1026" s="191">
        <f t="shared" si="4"/>
        <v>34297</v>
      </c>
      <c r="B1026" s="193">
        <v>0.95559281693928411</v>
      </c>
      <c r="C1026" s="194" t="s">
        <v>100</v>
      </c>
    </row>
    <row r="1027" spans="1:3" x14ac:dyDescent="0.15">
      <c r="A1027" s="191">
        <f t="shared" si="4"/>
        <v>34298</v>
      </c>
      <c r="B1027" s="193">
        <v>0.97045489215905545</v>
      </c>
      <c r="C1027" s="194" t="s">
        <v>100</v>
      </c>
    </row>
    <row r="1028" spans="1:3" x14ac:dyDescent="0.15">
      <c r="A1028" s="191">
        <f t="shared" si="4"/>
        <v>34299</v>
      </c>
      <c r="B1028" s="193">
        <v>0.9855481131931555</v>
      </c>
      <c r="C1028" s="194" t="s">
        <v>100</v>
      </c>
    </row>
    <row r="1029" spans="1:3" x14ac:dyDescent="0.15">
      <c r="A1029" s="191">
        <f t="shared" si="4"/>
        <v>34300</v>
      </c>
      <c r="B1029" s="193">
        <v>0.9855481131931555</v>
      </c>
      <c r="C1029" s="194" t="s">
        <v>100</v>
      </c>
    </row>
    <row r="1030" spans="1:3" x14ac:dyDescent="0.15">
      <c r="A1030" s="191">
        <f t="shared" si="4"/>
        <v>34301</v>
      </c>
      <c r="B1030" s="193">
        <v>0.9855481131931555</v>
      </c>
      <c r="C1030" s="194" t="s">
        <v>100</v>
      </c>
    </row>
    <row r="1031" spans="1:3" x14ac:dyDescent="0.15">
      <c r="A1031" s="191">
        <f t="shared" si="4"/>
        <v>34302</v>
      </c>
      <c r="B1031" s="193">
        <v>1.0008760749895773</v>
      </c>
      <c r="C1031" s="194" t="s">
        <v>100</v>
      </c>
    </row>
    <row r="1032" spans="1:3" x14ac:dyDescent="0.15">
      <c r="A1032" s="191">
        <f t="shared" si="4"/>
        <v>34303</v>
      </c>
      <c r="B1032" s="193">
        <v>1.0164424284075622</v>
      </c>
      <c r="C1032" s="194" t="s">
        <v>100</v>
      </c>
    </row>
    <row r="1033" spans="1:3" x14ac:dyDescent="0.15">
      <c r="A1033" s="191">
        <f t="shared" si="4"/>
        <v>34304</v>
      </c>
      <c r="B1033" s="193">
        <v>1.0322508810871724</v>
      </c>
      <c r="C1033" s="194" t="s">
        <v>100</v>
      </c>
    </row>
    <row r="1034" spans="1:3" x14ac:dyDescent="0.15">
      <c r="A1034" s="191">
        <f t="shared" si="4"/>
        <v>34305</v>
      </c>
      <c r="B1034" s="193">
        <v>1.0485510201438</v>
      </c>
      <c r="C1034" s="194" t="s">
        <v>100</v>
      </c>
    </row>
    <row r="1035" spans="1:3" x14ac:dyDescent="0.15">
      <c r="A1035" s="191">
        <f t="shared" si="4"/>
        <v>34306</v>
      </c>
      <c r="B1035" s="193">
        <v>1.0651085525707151</v>
      </c>
      <c r="C1035" s="194" t="s">
        <v>100</v>
      </c>
    </row>
    <row r="1036" spans="1:3" x14ac:dyDescent="0.15">
      <c r="A1036" s="191">
        <f t="shared" si="4"/>
        <v>34307</v>
      </c>
      <c r="B1036" s="193">
        <v>1.0651085525707151</v>
      </c>
      <c r="C1036" s="194" t="s">
        <v>100</v>
      </c>
    </row>
    <row r="1037" spans="1:3" x14ac:dyDescent="0.15">
      <c r="A1037" s="191">
        <f t="shared" si="4"/>
        <v>34308</v>
      </c>
      <c r="B1037" s="193">
        <v>1.0651085525707151</v>
      </c>
      <c r="C1037" s="194" t="s">
        <v>100</v>
      </c>
    </row>
    <row r="1038" spans="1:3" x14ac:dyDescent="0.15">
      <c r="A1038" s="191">
        <f t="shared" si="4"/>
        <v>34309</v>
      </c>
      <c r="B1038" s="193">
        <v>1.0819275428330639</v>
      </c>
      <c r="C1038" s="194" t="s">
        <v>100</v>
      </c>
    </row>
    <row r="1039" spans="1:3" x14ac:dyDescent="0.15">
      <c r="A1039" s="191">
        <f t="shared" si="4"/>
        <v>34310</v>
      </c>
      <c r="B1039" s="193">
        <v>1.0990121195774309</v>
      </c>
      <c r="C1039" s="194" t="s">
        <v>100</v>
      </c>
    </row>
    <row r="1040" spans="1:3" x14ac:dyDescent="0.15">
      <c r="A1040" s="191">
        <f t="shared" si="4"/>
        <v>34311</v>
      </c>
      <c r="B1040" s="193">
        <v>1.0990121195774309</v>
      </c>
      <c r="C1040" s="194" t="s">
        <v>100</v>
      </c>
    </row>
    <row r="1041" spans="1:3" x14ac:dyDescent="0.15">
      <c r="A1041" s="191">
        <f t="shared" si="4"/>
        <v>34312</v>
      </c>
      <c r="B1041" s="193">
        <v>1.1163664766453212</v>
      </c>
      <c r="C1041" s="194" t="s">
        <v>100</v>
      </c>
    </row>
    <row r="1042" spans="1:3" x14ac:dyDescent="0.15">
      <c r="A1042" s="191">
        <f t="shared" si="4"/>
        <v>34313</v>
      </c>
      <c r="B1042" s="193">
        <v>1.1339948741026438</v>
      </c>
      <c r="C1042" s="194" t="s">
        <v>100</v>
      </c>
    </row>
    <row r="1043" spans="1:3" x14ac:dyDescent="0.15">
      <c r="A1043" s="191">
        <f t="shared" si="4"/>
        <v>34314</v>
      </c>
      <c r="B1043" s="193">
        <v>1.1339948741026438</v>
      </c>
      <c r="C1043" s="194" t="s">
        <v>100</v>
      </c>
    </row>
    <row r="1044" spans="1:3" x14ac:dyDescent="0.15">
      <c r="A1044" s="191">
        <f t="shared" si="4"/>
        <v>34315</v>
      </c>
      <c r="B1044" s="193">
        <v>1.1339948741026438</v>
      </c>
      <c r="C1044" s="194" t="s">
        <v>100</v>
      </c>
    </row>
    <row r="1045" spans="1:3" x14ac:dyDescent="0.15">
      <c r="A1045" s="191">
        <f t="shared" si="4"/>
        <v>34316</v>
      </c>
      <c r="B1045" s="193">
        <v>1.1519016392854531</v>
      </c>
      <c r="C1045" s="194" t="s">
        <v>100</v>
      </c>
    </row>
    <row r="1046" spans="1:3" x14ac:dyDescent="0.15">
      <c r="A1046" s="191">
        <f t="shared" si="4"/>
        <v>34317</v>
      </c>
      <c r="B1046" s="193">
        <v>1.1700911678622028</v>
      </c>
      <c r="C1046" s="194" t="s">
        <v>100</v>
      </c>
    </row>
    <row r="1047" spans="1:3" x14ac:dyDescent="0.15">
      <c r="A1047" s="191">
        <f t="shared" si="4"/>
        <v>34318</v>
      </c>
      <c r="B1047" s="193">
        <v>1.1885679249127741</v>
      </c>
      <c r="C1047" s="194" t="s">
        <v>100</v>
      </c>
    </row>
    <row r="1048" spans="1:3" x14ac:dyDescent="0.15">
      <c r="A1048" s="191">
        <f t="shared" si="4"/>
        <v>34319</v>
      </c>
      <c r="B1048" s="193">
        <v>1.2073364460245419</v>
      </c>
      <c r="C1048" s="194" t="s">
        <v>100</v>
      </c>
    </row>
    <row r="1049" spans="1:3" x14ac:dyDescent="0.15">
      <c r="A1049" s="191">
        <f t="shared" si="4"/>
        <v>34320</v>
      </c>
      <c r="B1049" s="193">
        <v>1.2264013384057504</v>
      </c>
      <c r="C1049" s="194" t="s">
        <v>100</v>
      </c>
    </row>
    <row r="1050" spans="1:3" x14ac:dyDescent="0.15">
      <c r="A1050" s="191">
        <f t="shared" si="4"/>
        <v>34321</v>
      </c>
      <c r="B1050" s="193">
        <v>1.2264013384057504</v>
      </c>
      <c r="C1050" s="194" t="s">
        <v>100</v>
      </c>
    </row>
    <row r="1051" spans="1:3" x14ac:dyDescent="0.15">
      <c r="A1051" s="191">
        <f t="shared" si="4"/>
        <v>34322</v>
      </c>
      <c r="B1051" s="193">
        <v>1.2264013384057504</v>
      </c>
      <c r="C1051" s="194" t="s">
        <v>100</v>
      </c>
    </row>
    <row r="1052" spans="1:3" x14ac:dyDescent="0.15">
      <c r="A1052" s="191">
        <f t="shared" si="4"/>
        <v>34323</v>
      </c>
      <c r="B1052" s="193">
        <v>1.2457672820164682</v>
      </c>
      <c r="C1052" s="194" t="s">
        <v>100</v>
      </c>
    </row>
    <row r="1053" spans="1:3" x14ac:dyDescent="0.15">
      <c r="A1053" s="191">
        <f t="shared" si="4"/>
        <v>34324</v>
      </c>
      <c r="B1053" s="193">
        <v>1.265439030717403</v>
      </c>
      <c r="C1053" s="194" t="s">
        <v>100</v>
      </c>
    </row>
    <row r="1054" spans="1:3" x14ac:dyDescent="0.15">
      <c r="A1054" s="191">
        <f t="shared" si="4"/>
        <v>34325</v>
      </c>
      <c r="B1054" s="193">
        <v>1.2854214134368573</v>
      </c>
      <c r="C1054" s="194" t="s">
        <v>100</v>
      </c>
    </row>
    <row r="1055" spans="1:3" x14ac:dyDescent="0.15">
      <c r="A1055" s="191">
        <f t="shared" si="4"/>
        <v>34326</v>
      </c>
      <c r="B1055" s="193">
        <v>1.3057193353561105</v>
      </c>
      <c r="C1055" s="194" t="s">
        <v>100</v>
      </c>
    </row>
    <row r="1056" spans="1:3" x14ac:dyDescent="0.15">
      <c r="A1056" s="191">
        <f t="shared" si="4"/>
        <v>34327</v>
      </c>
      <c r="B1056" s="193">
        <v>1.3263377791135198</v>
      </c>
      <c r="C1056" s="194" t="s">
        <v>100</v>
      </c>
    </row>
    <row r="1057" spans="1:3" x14ac:dyDescent="0.15">
      <c r="A1057" s="191">
        <f t="shared" si="4"/>
        <v>34328</v>
      </c>
      <c r="B1057" s="193">
        <v>1.3263377791135198</v>
      </c>
      <c r="C1057" s="194" t="s">
        <v>100</v>
      </c>
    </row>
    <row r="1058" spans="1:3" x14ac:dyDescent="0.15">
      <c r="A1058" s="191">
        <f t="shared" si="4"/>
        <v>34329</v>
      </c>
      <c r="B1058" s="193">
        <v>1.3263377791135198</v>
      </c>
      <c r="C1058" s="194" t="s">
        <v>100</v>
      </c>
    </row>
    <row r="1059" spans="1:3" x14ac:dyDescent="0.15">
      <c r="A1059" s="191">
        <f t="shared" si="4"/>
        <v>34330</v>
      </c>
      <c r="B1059" s="193">
        <v>1.3472818060276353</v>
      </c>
      <c r="C1059" s="194" t="s">
        <v>100</v>
      </c>
    </row>
    <row r="1060" spans="1:3" x14ac:dyDescent="0.15">
      <c r="A1060" s="191">
        <f t="shared" si="4"/>
        <v>34331</v>
      </c>
      <c r="B1060" s="193">
        <v>1.3685565573396279</v>
      </c>
      <c r="C1060" s="194" t="s">
        <v>100</v>
      </c>
    </row>
    <row r="1061" spans="1:3" x14ac:dyDescent="0.15">
      <c r="A1061" s="191">
        <f t="shared" si="4"/>
        <v>34332</v>
      </c>
      <c r="B1061" s="193">
        <v>1.3901672554753379</v>
      </c>
      <c r="C1061" s="194" t="s">
        <v>100</v>
      </c>
    </row>
    <row r="1062" spans="1:3" x14ac:dyDescent="0.15">
      <c r="A1062" s="191">
        <f t="shared" si="4"/>
        <v>34333</v>
      </c>
      <c r="B1062" s="193">
        <v>1.4121192053272507</v>
      </c>
      <c r="C1062" s="194" t="s">
        <v>100</v>
      </c>
    </row>
    <row r="1063" spans="1:3" x14ac:dyDescent="0.15">
      <c r="A1063" s="191">
        <f t="shared" si="4"/>
        <v>34334</v>
      </c>
      <c r="B1063" s="193">
        <v>1.4121192053272507</v>
      </c>
      <c r="C1063" s="194" t="s">
        <v>100</v>
      </c>
    </row>
    <row r="1064" spans="1:3" x14ac:dyDescent="0.15">
      <c r="A1064" s="191">
        <f t="shared" si="4"/>
        <v>34335</v>
      </c>
      <c r="B1064" s="193">
        <v>1.4121192053272507</v>
      </c>
      <c r="C1064" s="194" t="s">
        <v>100</v>
      </c>
    </row>
    <row r="1065" spans="1:3" x14ac:dyDescent="0.15">
      <c r="A1065" s="191">
        <f t="shared" si="4"/>
        <v>34336</v>
      </c>
      <c r="B1065" s="193">
        <v>1.4121192053272507</v>
      </c>
      <c r="C1065" s="194" t="s">
        <v>100</v>
      </c>
    </row>
    <row r="1066" spans="1:3" x14ac:dyDescent="0.15">
      <c r="A1066" s="191">
        <f t="shared" si="4"/>
        <v>34337</v>
      </c>
      <c r="B1066" s="193">
        <v>1.4345495471296132</v>
      </c>
      <c r="C1066" s="194" t="s">
        <v>100</v>
      </c>
    </row>
    <row r="1067" spans="1:3" x14ac:dyDescent="0.15">
      <c r="A1067" s="191">
        <f t="shared" si="4"/>
        <v>34338</v>
      </c>
      <c r="B1067" s="193">
        <v>1.4573361762988446</v>
      </c>
      <c r="C1067" s="194" t="s">
        <v>100</v>
      </c>
    </row>
    <row r="1068" spans="1:3" x14ac:dyDescent="0.15">
      <c r="A1068" s="191">
        <f t="shared" si="4"/>
        <v>34339</v>
      </c>
      <c r="B1068" s="193">
        <v>1.4804847521641207</v>
      </c>
      <c r="C1068" s="194" t="s">
        <v>100</v>
      </c>
    </row>
    <row r="1069" spans="1:3" x14ac:dyDescent="0.15">
      <c r="A1069" s="191">
        <f t="shared" si="4"/>
        <v>34340</v>
      </c>
      <c r="B1069" s="193">
        <v>1.5040010239483654</v>
      </c>
      <c r="C1069" s="194" t="s">
        <v>100</v>
      </c>
    </row>
    <row r="1070" spans="1:3" x14ac:dyDescent="0.15">
      <c r="A1070" s="191">
        <f t="shared" si="4"/>
        <v>34341</v>
      </c>
      <c r="B1070" s="193">
        <v>1.5278908321961382</v>
      </c>
      <c r="C1070" s="194" t="s">
        <v>100</v>
      </c>
    </row>
    <row r="1071" spans="1:3" x14ac:dyDescent="0.15">
      <c r="A1071" s="191">
        <f t="shared" si="4"/>
        <v>34342</v>
      </c>
      <c r="B1071" s="193">
        <v>1.5278908321961382</v>
      </c>
      <c r="C1071" s="194" t="s">
        <v>100</v>
      </c>
    </row>
    <row r="1072" spans="1:3" x14ac:dyDescent="0.15">
      <c r="A1072" s="191">
        <f t="shared" si="4"/>
        <v>34343</v>
      </c>
      <c r="B1072" s="193">
        <v>1.5278908321961382</v>
      </c>
      <c r="C1072" s="194" t="s">
        <v>100</v>
      </c>
    </row>
    <row r="1073" spans="1:3" x14ac:dyDescent="0.15">
      <c r="A1073" s="191">
        <f t="shared" si="4"/>
        <v>34344</v>
      </c>
      <c r="B1073" s="193">
        <v>1.5521601102242022</v>
      </c>
      <c r="C1073" s="194" t="s">
        <v>100</v>
      </c>
    </row>
    <row r="1074" spans="1:3" x14ac:dyDescent="0.15">
      <c r="A1074" s="191">
        <f t="shared" si="4"/>
        <v>34345</v>
      </c>
      <c r="B1074" s="193">
        <v>1.5768148855951338</v>
      </c>
      <c r="C1074" s="194" t="s">
        <v>100</v>
      </c>
    </row>
    <row r="1075" spans="1:3" x14ac:dyDescent="0.15">
      <c r="A1075" s="191">
        <f t="shared" si="4"/>
        <v>34346</v>
      </c>
      <c r="B1075" s="193">
        <v>1.6018612816143394</v>
      </c>
      <c r="C1075" s="194" t="s">
        <v>100</v>
      </c>
    </row>
    <row r="1076" spans="1:3" x14ac:dyDescent="0.15">
      <c r="A1076" s="191">
        <f t="shared" si="4"/>
        <v>34347</v>
      </c>
      <c r="B1076" s="193">
        <v>1.6273055188508507</v>
      </c>
      <c r="C1076" s="194" t="s">
        <v>100</v>
      </c>
    </row>
    <row r="1077" spans="1:3" x14ac:dyDescent="0.15">
      <c r="A1077" s="191">
        <f t="shared" si="4"/>
        <v>34348</v>
      </c>
      <c r="B1077" s="193">
        <v>1.6531539166822766</v>
      </c>
      <c r="C1077" s="194" t="s">
        <v>100</v>
      </c>
    </row>
    <row r="1078" spans="1:3" x14ac:dyDescent="0.15">
      <c r="A1078" s="191">
        <f t="shared" si="4"/>
        <v>34349</v>
      </c>
      <c r="B1078" s="193">
        <v>1.6531539166822766</v>
      </c>
      <c r="C1078" s="194" t="s">
        <v>100</v>
      </c>
    </row>
    <row r="1079" spans="1:3" x14ac:dyDescent="0.15">
      <c r="A1079" s="191">
        <f t="shared" ref="A1079:A1142" si="5">A1078+1</f>
        <v>34350</v>
      </c>
      <c r="B1079" s="193">
        <v>1.6531539166822766</v>
      </c>
      <c r="C1079" s="194" t="s">
        <v>100</v>
      </c>
    </row>
    <row r="1080" spans="1:3" x14ac:dyDescent="0.15">
      <c r="A1080" s="191">
        <f t="shared" si="5"/>
        <v>34351</v>
      </c>
      <c r="B1080" s="193">
        <v>1.6794128948642955</v>
      </c>
      <c r="C1080" s="194" t="s">
        <v>100</v>
      </c>
    </row>
    <row r="1081" spans="1:3" x14ac:dyDescent="0.15">
      <c r="A1081" s="191">
        <f t="shared" si="5"/>
        <v>34352</v>
      </c>
      <c r="B1081" s="193">
        <v>1.7060889751250774</v>
      </c>
      <c r="C1081" s="194" t="s">
        <v>100</v>
      </c>
    </row>
    <row r="1082" spans="1:3" x14ac:dyDescent="0.15">
      <c r="A1082" s="191">
        <f t="shared" si="5"/>
        <v>34353</v>
      </c>
      <c r="B1082" s="193">
        <v>1.7331887827850332</v>
      </c>
      <c r="C1082" s="194" t="s">
        <v>100</v>
      </c>
    </row>
    <row r="1083" spans="1:3" x14ac:dyDescent="0.15">
      <c r="A1083" s="191">
        <f t="shared" si="5"/>
        <v>34354</v>
      </c>
      <c r="B1083" s="193">
        <v>1.7607190484022903</v>
      </c>
      <c r="C1083" s="194" t="s">
        <v>100</v>
      </c>
    </row>
    <row r="1084" spans="1:3" x14ac:dyDescent="0.15">
      <c r="A1084" s="191">
        <f t="shared" si="5"/>
        <v>34355</v>
      </c>
      <c r="B1084" s="193">
        <v>1.788686609444307</v>
      </c>
      <c r="C1084" s="194" t="s">
        <v>100</v>
      </c>
    </row>
    <row r="1085" spans="1:3" x14ac:dyDescent="0.15">
      <c r="A1085" s="191">
        <f t="shared" si="5"/>
        <v>34356</v>
      </c>
      <c r="B1085" s="193">
        <v>1.788686609444307</v>
      </c>
      <c r="C1085" s="194" t="s">
        <v>100</v>
      </c>
    </row>
    <row r="1086" spans="1:3" x14ac:dyDescent="0.15">
      <c r="A1086" s="191">
        <f t="shared" si="5"/>
        <v>34357</v>
      </c>
      <c r="B1086" s="193">
        <v>1.788686609444307</v>
      </c>
      <c r="C1086" s="194" t="s">
        <v>100</v>
      </c>
    </row>
    <row r="1087" spans="1:3" x14ac:dyDescent="0.15">
      <c r="A1087" s="191">
        <f t="shared" si="5"/>
        <v>34358</v>
      </c>
      <c r="B1087" s="193">
        <v>1.8170984119860387</v>
      </c>
      <c r="C1087" s="194" t="s">
        <v>100</v>
      </c>
    </row>
    <row r="1088" spans="1:3" x14ac:dyDescent="0.15">
      <c r="A1088" s="191">
        <f t="shared" si="5"/>
        <v>34359</v>
      </c>
      <c r="B1088" s="193">
        <v>1.8459615124350774</v>
      </c>
      <c r="C1088" s="194" t="s">
        <v>100</v>
      </c>
    </row>
    <row r="1089" spans="1:3" x14ac:dyDescent="0.15">
      <c r="A1089" s="191">
        <f t="shared" si="5"/>
        <v>34360</v>
      </c>
      <c r="B1089" s="193">
        <v>1.8752830792841946</v>
      </c>
      <c r="C1089" s="194" t="s">
        <v>100</v>
      </c>
    </row>
    <row r="1090" spans="1:3" x14ac:dyDescent="0.15">
      <c r="A1090" s="191">
        <f t="shared" si="5"/>
        <v>34361</v>
      </c>
      <c r="B1090" s="193">
        <v>1.9050703948917205</v>
      </c>
      <c r="C1090" s="194" t="s">
        <v>100</v>
      </c>
    </row>
    <row r="1091" spans="1:3" x14ac:dyDescent="0.15">
      <c r="A1091" s="191">
        <f t="shared" si="5"/>
        <v>34362</v>
      </c>
      <c r="B1091" s="193">
        <v>1.935330857290205</v>
      </c>
      <c r="C1091" s="194" t="s">
        <v>100</v>
      </c>
    </row>
    <row r="1092" spans="1:3" x14ac:dyDescent="0.15">
      <c r="A1092" s="191">
        <f t="shared" si="5"/>
        <v>34363</v>
      </c>
      <c r="B1092" s="193">
        <v>1.935330857290205</v>
      </c>
      <c r="C1092" s="194" t="s">
        <v>100</v>
      </c>
    </row>
    <row r="1093" spans="1:3" x14ac:dyDescent="0.15">
      <c r="A1093" s="191">
        <f t="shared" si="5"/>
        <v>34364</v>
      </c>
      <c r="B1093" s="193">
        <v>1.935330857290205</v>
      </c>
      <c r="C1093" s="194" t="s">
        <v>100</v>
      </c>
    </row>
    <row r="1094" spans="1:3" x14ac:dyDescent="0.15">
      <c r="A1094" s="191">
        <f t="shared" si="5"/>
        <v>34365</v>
      </c>
      <c r="B1094" s="193">
        <v>1.9660719820238062</v>
      </c>
      <c r="C1094" s="194" t="s">
        <v>100</v>
      </c>
    </row>
    <row r="1095" spans="1:3" x14ac:dyDescent="0.15">
      <c r="A1095" s="191">
        <f t="shared" si="5"/>
        <v>34366</v>
      </c>
      <c r="B1095" s="193">
        <v>1.9973014040148644</v>
      </c>
      <c r="C1095" s="194" t="s">
        <v>100</v>
      </c>
    </row>
    <row r="1096" spans="1:3" x14ac:dyDescent="0.15">
      <c r="A1096" s="191">
        <f t="shared" si="5"/>
        <v>34367</v>
      </c>
      <c r="B1096" s="193">
        <v>2.0328797393521598</v>
      </c>
      <c r="C1096" s="194" t="s">
        <v>100</v>
      </c>
    </row>
    <row r="1097" spans="1:3" x14ac:dyDescent="0.15">
      <c r="A1097" s="191">
        <f t="shared" si="5"/>
        <v>34368</v>
      </c>
      <c r="B1097" s="193">
        <v>2.0690918387987822</v>
      </c>
      <c r="C1097" s="194" t="s">
        <v>100</v>
      </c>
    </row>
    <row r="1098" spans="1:3" x14ac:dyDescent="0.15">
      <c r="A1098" s="191">
        <f t="shared" si="5"/>
        <v>34369</v>
      </c>
      <c r="B1098" s="193">
        <v>2.1059489917234573</v>
      </c>
      <c r="C1098" s="194" t="s">
        <v>100</v>
      </c>
    </row>
    <row r="1099" spans="1:3" x14ac:dyDescent="0.15">
      <c r="A1099" s="191">
        <f t="shared" si="5"/>
        <v>34370</v>
      </c>
      <c r="B1099" s="193">
        <v>2.1059489917234573</v>
      </c>
      <c r="C1099" s="194" t="s">
        <v>100</v>
      </c>
    </row>
    <row r="1100" spans="1:3" x14ac:dyDescent="0.15">
      <c r="A1100" s="191">
        <f t="shared" si="5"/>
        <v>34371</v>
      </c>
      <c r="B1100" s="193">
        <v>2.1059489917234573</v>
      </c>
      <c r="C1100" s="194" t="s">
        <v>100</v>
      </c>
    </row>
    <row r="1101" spans="1:3" x14ac:dyDescent="0.15">
      <c r="A1101" s="191">
        <f t="shared" si="5"/>
        <v>34372</v>
      </c>
      <c r="B1101" s="193">
        <v>2.1434626885947274</v>
      </c>
      <c r="C1101" s="194" t="s">
        <v>100</v>
      </c>
    </row>
    <row r="1102" spans="1:3" x14ac:dyDescent="0.15">
      <c r="A1102" s="191">
        <f t="shared" si="5"/>
        <v>34373</v>
      </c>
      <c r="B1102" s="193">
        <v>2.1816446245631838</v>
      </c>
      <c r="C1102" s="194" t="s">
        <v>100</v>
      </c>
    </row>
    <row r="1103" spans="1:3" x14ac:dyDescent="0.15">
      <c r="A1103" s="191">
        <f t="shared" si="5"/>
        <v>34374</v>
      </c>
      <c r="B1103" s="193">
        <v>2.220506703107509</v>
      </c>
      <c r="C1103" s="194" t="s">
        <v>100</v>
      </c>
    </row>
    <row r="1104" spans="1:3" x14ac:dyDescent="0.15">
      <c r="A1104" s="191">
        <f t="shared" si="5"/>
        <v>34375</v>
      </c>
      <c r="B1104" s="193">
        <v>2.2600610397454672</v>
      </c>
      <c r="C1104" s="194" t="s">
        <v>100</v>
      </c>
    </row>
    <row r="1105" spans="1:3" x14ac:dyDescent="0.15">
      <c r="A1105" s="191">
        <f t="shared" si="5"/>
        <v>34376</v>
      </c>
      <c r="B1105" s="193">
        <v>2.3003199658110005</v>
      </c>
      <c r="C1105" s="194" t="s">
        <v>100</v>
      </c>
    </row>
    <row r="1106" spans="1:3" x14ac:dyDescent="0.15">
      <c r="A1106" s="191">
        <f t="shared" si="5"/>
        <v>34377</v>
      </c>
      <c r="B1106" s="193">
        <v>2.3003199658110005</v>
      </c>
      <c r="C1106" s="194" t="s">
        <v>100</v>
      </c>
    </row>
    <row r="1107" spans="1:3" x14ac:dyDescent="0.15">
      <c r="A1107" s="191">
        <f t="shared" si="5"/>
        <v>34378</v>
      </c>
      <c r="B1107" s="193">
        <v>2.3003199658110005</v>
      </c>
      <c r="C1107" s="194" t="s">
        <v>100</v>
      </c>
    </row>
    <row r="1108" spans="1:3" x14ac:dyDescent="0.15">
      <c r="A1108" s="191">
        <f t="shared" si="5"/>
        <v>34379</v>
      </c>
      <c r="B1108" s="193">
        <v>2.3412960322986049</v>
      </c>
      <c r="C1108" s="194" t="s">
        <v>100</v>
      </c>
    </row>
    <row r="1109" spans="1:3" x14ac:dyDescent="0.15">
      <c r="A1109" s="191">
        <f t="shared" si="5"/>
        <v>34380</v>
      </c>
      <c r="B1109" s="193">
        <v>2.3412960322986049</v>
      </c>
      <c r="C1109" s="194" t="s">
        <v>100</v>
      </c>
    </row>
    <row r="1110" spans="1:3" x14ac:dyDescent="0.15">
      <c r="A1110" s="191">
        <f t="shared" si="5"/>
        <v>34381</v>
      </c>
      <c r="B1110" s="193">
        <v>2.3830020137761898</v>
      </c>
      <c r="C1110" s="194" t="s">
        <v>100</v>
      </c>
    </row>
    <row r="1111" spans="1:3" x14ac:dyDescent="0.15">
      <c r="A1111" s="191">
        <f t="shared" si="5"/>
        <v>34382</v>
      </c>
      <c r="B1111" s="193">
        <v>2.4254509123676353</v>
      </c>
      <c r="C1111" s="194" t="s">
        <v>100</v>
      </c>
    </row>
    <row r="1112" spans="1:3" x14ac:dyDescent="0.15">
      <c r="A1112" s="191">
        <f t="shared" si="5"/>
        <v>34383</v>
      </c>
      <c r="B1112" s="193">
        <v>2.4686559618062938</v>
      </c>
      <c r="C1112" s="194" t="s">
        <v>100</v>
      </c>
    </row>
    <row r="1113" spans="1:3" x14ac:dyDescent="0.15">
      <c r="A1113" s="191">
        <f t="shared" si="5"/>
        <v>34384</v>
      </c>
      <c r="B1113" s="193">
        <v>2.4686559618062938</v>
      </c>
      <c r="C1113" s="194" t="s">
        <v>100</v>
      </c>
    </row>
    <row r="1114" spans="1:3" x14ac:dyDescent="0.15">
      <c r="A1114" s="191">
        <f t="shared" si="5"/>
        <v>34385</v>
      </c>
      <c r="B1114" s="193">
        <v>2.4686559618062938</v>
      </c>
      <c r="C1114" s="194" t="s">
        <v>100</v>
      </c>
    </row>
    <row r="1115" spans="1:3" x14ac:dyDescent="0.15">
      <c r="A1115" s="191">
        <f t="shared" si="5"/>
        <v>34386</v>
      </c>
      <c r="B1115" s="193">
        <v>2.5126306315606959</v>
      </c>
      <c r="C1115" s="194" t="s">
        <v>100</v>
      </c>
    </row>
    <row r="1116" spans="1:3" x14ac:dyDescent="0.15">
      <c r="A1116" s="191">
        <f t="shared" si="5"/>
        <v>34387</v>
      </c>
      <c r="B1116" s="193">
        <v>2.5573886310337492</v>
      </c>
      <c r="C1116" s="194" t="s">
        <v>100</v>
      </c>
    </row>
    <row r="1117" spans="1:3" x14ac:dyDescent="0.15">
      <c r="A1117" s="191">
        <f t="shared" si="5"/>
        <v>34388</v>
      </c>
      <c r="B1117" s="193">
        <v>2.6029439138367385</v>
      </c>
      <c r="C1117" s="194" t="s">
        <v>100</v>
      </c>
    </row>
    <row r="1118" spans="1:3" x14ac:dyDescent="0.15">
      <c r="A1118" s="191">
        <f t="shared" si="5"/>
        <v>34389</v>
      </c>
      <c r="B1118" s="193">
        <v>2.649310682139459</v>
      </c>
      <c r="C1118" s="194" t="s">
        <v>100</v>
      </c>
    </row>
    <row r="1119" spans="1:3" x14ac:dyDescent="0.15">
      <c r="A1119" s="191">
        <f t="shared" si="5"/>
        <v>34390</v>
      </c>
      <c r="B1119" s="193">
        <v>2.6965033910978384</v>
      </c>
      <c r="C1119" s="194" t="s">
        <v>100</v>
      </c>
    </row>
    <row r="1120" spans="1:3" x14ac:dyDescent="0.15">
      <c r="A1120" s="191">
        <f t="shared" si="5"/>
        <v>34391</v>
      </c>
      <c r="B1120" s="193">
        <v>2.6965033910978384</v>
      </c>
      <c r="C1120" s="194" t="s">
        <v>100</v>
      </c>
    </row>
    <row r="1121" spans="1:3" x14ac:dyDescent="0.15">
      <c r="A1121" s="191">
        <f t="shared" si="5"/>
        <v>34392</v>
      </c>
      <c r="B1121" s="193">
        <v>2.6965033910978384</v>
      </c>
      <c r="C1121" s="194" t="s">
        <v>100</v>
      </c>
    </row>
    <row r="1122" spans="1:3" x14ac:dyDescent="0.15">
      <c r="A1122" s="191">
        <f t="shared" si="5"/>
        <v>34393</v>
      </c>
      <c r="B1122" s="193">
        <v>2.7445367533604319</v>
      </c>
      <c r="C1122" s="194" t="s">
        <v>100</v>
      </c>
    </row>
    <row r="1123" spans="1:3" x14ac:dyDescent="0.15">
      <c r="A1123" s="191">
        <f t="shared" si="5"/>
        <v>34394</v>
      </c>
      <c r="B1123" s="193">
        <v>2.7934257436551899</v>
      </c>
      <c r="C1123" s="194" t="s">
        <v>100</v>
      </c>
    </row>
    <row r="1124" spans="1:3" x14ac:dyDescent="0.15">
      <c r="A1124" s="191">
        <f t="shared" si="5"/>
        <v>34395</v>
      </c>
      <c r="B1124" s="193">
        <v>2.8381703900118627</v>
      </c>
      <c r="C1124" s="194" t="s">
        <v>100</v>
      </c>
    </row>
    <row r="1125" spans="1:3" x14ac:dyDescent="0.15">
      <c r="A1125" s="191">
        <f t="shared" si="5"/>
        <v>34396</v>
      </c>
      <c r="B1125" s="193">
        <v>2.8836317489506156</v>
      </c>
      <c r="C1125" s="194" t="s">
        <v>100</v>
      </c>
    </row>
    <row r="1126" spans="1:3" x14ac:dyDescent="0.15">
      <c r="A1126" s="191">
        <f t="shared" si="5"/>
        <v>34397</v>
      </c>
      <c r="B1126" s="193">
        <v>2.929821300658848</v>
      </c>
      <c r="C1126" s="194" t="s">
        <v>100</v>
      </c>
    </row>
    <row r="1127" spans="1:3" x14ac:dyDescent="0.15">
      <c r="A1127" s="191">
        <f t="shared" si="5"/>
        <v>34398</v>
      </c>
      <c r="B1127" s="193">
        <v>2.929821300658848</v>
      </c>
      <c r="C1127" s="194" t="s">
        <v>100</v>
      </c>
    </row>
    <row r="1128" spans="1:3" x14ac:dyDescent="0.15">
      <c r="A1128" s="191">
        <f t="shared" si="5"/>
        <v>34399</v>
      </c>
      <c r="B1128" s="193">
        <v>2.929821300658848</v>
      </c>
      <c r="C1128" s="194" t="s">
        <v>100</v>
      </c>
    </row>
    <row r="1129" spans="1:3" x14ac:dyDescent="0.15">
      <c r="A1129" s="191">
        <f t="shared" si="5"/>
        <v>34400</v>
      </c>
      <c r="B1129" s="193">
        <v>2.976750709211764</v>
      </c>
      <c r="C1129" s="194" t="s">
        <v>100</v>
      </c>
    </row>
    <row r="1130" spans="1:3" x14ac:dyDescent="0.15">
      <c r="A1130" s="191">
        <f t="shared" si="5"/>
        <v>34401</v>
      </c>
      <c r="B1130" s="193">
        <v>3.0244318255178562</v>
      </c>
      <c r="C1130" s="194" t="s">
        <v>100</v>
      </c>
    </row>
    <row r="1131" spans="1:3" x14ac:dyDescent="0.15">
      <c r="A1131" s="191">
        <f t="shared" si="5"/>
        <v>34402</v>
      </c>
      <c r="B1131" s="193">
        <v>3.0728766903115727</v>
      </c>
      <c r="C1131" s="194" t="s">
        <v>100</v>
      </c>
    </row>
    <row r="1132" spans="1:3" x14ac:dyDescent="0.15">
      <c r="A1132" s="191">
        <f t="shared" si="5"/>
        <v>34403</v>
      </c>
      <c r="B1132" s="193">
        <v>3.1220975371939184</v>
      </c>
      <c r="C1132" s="194" t="s">
        <v>100</v>
      </c>
    </row>
    <row r="1133" spans="1:3" x14ac:dyDescent="0.15">
      <c r="A1133" s="191">
        <f t="shared" si="5"/>
        <v>34404</v>
      </c>
      <c r="B1133" s="193">
        <v>3.1721067957217599</v>
      </c>
      <c r="C1133" s="194" t="s">
        <v>100</v>
      </c>
    </row>
    <row r="1134" spans="1:3" x14ac:dyDescent="0.15">
      <c r="A1134" s="191">
        <f t="shared" si="5"/>
        <v>34405</v>
      </c>
      <c r="B1134" s="193">
        <v>3.1721067957217599</v>
      </c>
      <c r="C1134" s="194" t="s">
        <v>100</v>
      </c>
    </row>
    <row r="1135" spans="1:3" x14ac:dyDescent="0.15">
      <c r="A1135" s="191">
        <f t="shared" si="5"/>
        <v>34406</v>
      </c>
      <c r="B1135" s="193">
        <v>3.1721067957217599</v>
      </c>
      <c r="C1135" s="194" t="s">
        <v>100</v>
      </c>
    </row>
    <row r="1136" spans="1:3" x14ac:dyDescent="0.15">
      <c r="A1136" s="191">
        <f t="shared" si="5"/>
        <v>34407</v>
      </c>
      <c r="B1136" s="193">
        <v>3.222917094546617</v>
      </c>
      <c r="C1136" s="194" t="s">
        <v>100</v>
      </c>
    </row>
    <row r="1137" spans="1:3" x14ac:dyDescent="0.15">
      <c r="A1137" s="191">
        <f t="shared" si="5"/>
        <v>34408</v>
      </c>
      <c r="B1137" s="193">
        <v>3.2745412646037266</v>
      </c>
      <c r="C1137" s="194" t="s">
        <v>100</v>
      </c>
    </row>
    <row r="1138" spans="1:3" x14ac:dyDescent="0.15">
      <c r="A1138" s="191">
        <f t="shared" si="5"/>
        <v>34409</v>
      </c>
      <c r="B1138" s="193">
        <v>3.326992342352193</v>
      </c>
      <c r="C1138" s="194" t="s">
        <v>100</v>
      </c>
    </row>
    <row r="1139" spans="1:3" x14ac:dyDescent="0.15">
      <c r="A1139" s="191">
        <f t="shared" si="5"/>
        <v>34410</v>
      </c>
      <c r="B1139" s="193">
        <v>3.3802835730670346</v>
      </c>
      <c r="C1139" s="194" t="s">
        <v>100</v>
      </c>
    </row>
    <row r="1140" spans="1:3" x14ac:dyDescent="0.15">
      <c r="A1140" s="191">
        <f t="shared" si="5"/>
        <v>34411</v>
      </c>
      <c r="B1140" s="193">
        <v>3.4344284141839654</v>
      </c>
      <c r="C1140" s="194" t="s">
        <v>100</v>
      </c>
    </row>
    <row r="1141" spans="1:3" x14ac:dyDescent="0.15">
      <c r="A1141" s="191">
        <f t="shared" si="5"/>
        <v>34412</v>
      </c>
      <c r="B1141" s="193">
        <v>3.4344284141839654</v>
      </c>
      <c r="C1141" s="194" t="s">
        <v>100</v>
      </c>
    </row>
    <row r="1142" spans="1:3" x14ac:dyDescent="0.15">
      <c r="A1142" s="191">
        <f t="shared" si="5"/>
        <v>34413</v>
      </c>
      <c r="B1142" s="193">
        <v>3.4344284141839654</v>
      </c>
      <c r="C1142" s="194" t="s">
        <v>100</v>
      </c>
    </row>
    <row r="1143" spans="1:3" x14ac:dyDescent="0.15">
      <c r="A1143" s="191">
        <f t="shared" ref="A1143:A1206" si="6">A1142+1</f>
        <v>34414</v>
      </c>
      <c r="B1143" s="193">
        <v>3.4894405386977496</v>
      </c>
      <c r="C1143" s="194" t="s">
        <v>100</v>
      </c>
    </row>
    <row r="1144" spans="1:3" x14ac:dyDescent="0.15">
      <c r="A1144" s="191">
        <f t="shared" si="6"/>
        <v>34415</v>
      </c>
      <c r="B1144" s="193">
        <v>3.5453338386149933</v>
      </c>
      <c r="C1144" s="194" t="s">
        <v>100</v>
      </c>
    </row>
    <row r="1145" spans="1:3" x14ac:dyDescent="0.15">
      <c r="A1145" s="191">
        <f t="shared" si="6"/>
        <v>34416</v>
      </c>
      <c r="B1145" s="193">
        <v>3.6021224284622395</v>
      </c>
      <c r="C1145" s="194" t="s">
        <v>100</v>
      </c>
    </row>
    <row r="1146" spans="1:3" x14ac:dyDescent="0.15">
      <c r="A1146" s="191">
        <f t="shared" si="6"/>
        <v>34417</v>
      </c>
      <c r="B1146" s="193">
        <v>3.6598206488502583</v>
      </c>
      <c r="C1146" s="194" t="s">
        <v>100</v>
      </c>
    </row>
    <row r="1147" spans="1:3" x14ac:dyDescent="0.15">
      <c r="A1147" s="191">
        <f t="shared" si="6"/>
        <v>34418</v>
      </c>
      <c r="B1147" s="193">
        <v>3.718443070095427</v>
      </c>
      <c r="C1147" s="194" t="s">
        <v>100</v>
      </c>
    </row>
    <row r="1148" spans="1:3" x14ac:dyDescent="0.15">
      <c r="A1148" s="191">
        <f t="shared" si="6"/>
        <v>34419</v>
      </c>
      <c r="B1148" s="193">
        <v>3.718443070095427</v>
      </c>
      <c r="C1148" s="194" t="s">
        <v>100</v>
      </c>
    </row>
    <row r="1149" spans="1:3" x14ac:dyDescent="0.15">
      <c r="A1149" s="191">
        <f t="shared" si="6"/>
        <v>34420</v>
      </c>
      <c r="B1149" s="193">
        <v>3.718443070095427</v>
      </c>
      <c r="C1149" s="194" t="s">
        <v>100</v>
      </c>
    </row>
    <row r="1150" spans="1:3" x14ac:dyDescent="0.15">
      <c r="A1150" s="191">
        <f t="shared" si="6"/>
        <v>34421</v>
      </c>
      <c r="B1150" s="193">
        <v>3.7780044958991184</v>
      </c>
      <c r="C1150" s="194" t="s">
        <v>100</v>
      </c>
    </row>
    <row r="1151" spans="1:3" x14ac:dyDescent="0.15">
      <c r="A1151" s="191">
        <f t="shared" si="6"/>
        <v>34422</v>
      </c>
      <c r="B1151" s="193">
        <v>3.8385199670860239</v>
      </c>
      <c r="C1151" s="194" t="s">
        <v>100</v>
      </c>
    </row>
    <row r="1152" spans="1:3" x14ac:dyDescent="0.15">
      <c r="A1152" s="191">
        <f t="shared" si="6"/>
        <v>34423</v>
      </c>
      <c r="B1152" s="193">
        <v>3.9000047654023566</v>
      </c>
      <c r="C1152" s="194" t="s">
        <v>100</v>
      </c>
    </row>
    <row r="1153" spans="1:3" x14ac:dyDescent="0.15">
      <c r="A1153" s="191">
        <f t="shared" si="6"/>
        <v>34424</v>
      </c>
      <c r="B1153" s="193">
        <v>3.9624744173748945</v>
      </c>
      <c r="C1153" s="194" t="s">
        <v>100</v>
      </c>
    </row>
    <row r="1154" spans="1:3" x14ac:dyDescent="0.15">
      <c r="A1154" s="191">
        <f t="shared" si="6"/>
        <v>34425</v>
      </c>
      <c r="B1154" s="193">
        <v>3.9624744173748945</v>
      </c>
      <c r="C1154" s="194" t="s">
        <v>100</v>
      </c>
    </row>
    <row r="1155" spans="1:3" x14ac:dyDescent="0.15">
      <c r="A1155" s="191">
        <f t="shared" si="6"/>
        <v>34426</v>
      </c>
      <c r="B1155" s="193">
        <v>3.9624744173748945</v>
      </c>
      <c r="C1155" s="194" t="s">
        <v>100</v>
      </c>
    </row>
    <row r="1156" spans="1:3" x14ac:dyDescent="0.15">
      <c r="A1156" s="191">
        <f t="shared" si="6"/>
        <v>34427</v>
      </c>
      <c r="B1156" s="193">
        <v>3.9624744173748945</v>
      </c>
      <c r="C1156" s="194" t="s">
        <v>100</v>
      </c>
    </row>
    <row r="1157" spans="1:3" x14ac:dyDescent="0.15">
      <c r="A1157" s="191">
        <f t="shared" si="6"/>
        <v>34428</v>
      </c>
      <c r="B1157" s="193">
        <v>4.0421453341053271</v>
      </c>
      <c r="C1157" s="194" t="s">
        <v>100</v>
      </c>
    </row>
    <row r="1158" spans="1:3" x14ac:dyDescent="0.15">
      <c r="A1158" s="191">
        <f t="shared" si="6"/>
        <v>34429</v>
      </c>
      <c r="B1158" s="193">
        <v>4.1234181425589806</v>
      </c>
      <c r="C1158" s="194" t="s">
        <v>100</v>
      </c>
    </row>
    <row r="1159" spans="1:3" x14ac:dyDescent="0.15">
      <c r="A1159" s="191">
        <f t="shared" si="6"/>
        <v>34430</v>
      </c>
      <c r="B1159" s="193">
        <v>4.2063250509392782</v>
      </c>
      <c r="C1159" s="194" t="s">
        <v>100</v>
      </c>
    </row>
    <row r="1160" spans="1:3" x14ac:dyDescent="0.15">
      <c r="A1160" s="191">
        <f t="shared" si="6"/>
        <v>34431</v>
      </c>
      <c r="B1160" s="193">
        <v>4.2908989150392092</v>
      </c>
      <c r="C1160" s="194" t="s">
        <v>100</v>
      </c>
    </row>
    <row r="1161" spans="1:3" x14ac:dyDescent="0.15">
      <c r="A1161" s="191">
        <f t="shared" si="6"/>
        <v>34432</v>
      </c>
      <c r="B1161" s="193">
        <v>4.3771732512619961</v>
      </c>
      <c r="C1161" s="194" t="s">
        <v>100</v>
      </c>
    </row>
    <row r="1162" spans="1:3" x14ac:dyDescent="0.15">
      <c r="A1162" s="191">
        <f t="shared" si="6"/>
        <v>34433</v>
      </c>
      <c r="B1162" s="193">
        <v>4.3771732512619961</v>
      </c>
      <c r="C1162" s="194" t="s">
        <v>100</v>
      </c>
    </row>
    <row r="1163" spans="1:3" x14ac:dyDescent="0.15">
      <c r="A1163" s="191">
        <f t="shared" si="6"/>
        <v>34434</v>
      </c>
      <c r="B1163" s="193">
        <v>4.3771732512619961</v>
      </c>
      <c r="C1163" s="194" t="s">
        <v>100</v>
      </c>
    </row>
    <row r="1164" spans="1:3" x14ac:dyDescent="0.15">
      <c r="A1164" s="191">
        <f t="shared" si="6"/>
        <v>34435</v>
      </c>
      <c r="B1164" s="193">
        <v>4.4651822499035587</v>
      </c>
      <c r="C1164" s="194" t="s">
        <v>100</v>
      </c>
    </row>
    <row r="1165" spans="1:3" x14ac:dyDescent="0.15">
      <c r="A1165" s="191">
        <f t="shared" si="6"/>
        <v>34436</v>
      </c>
      <c r="B1165" s="193">
        <v>4.5549607887020382</v>
      </c>
      <c r="C1165" s="194" t="s">
        <v>100</v>
      </c>
    </row>
    <row r="1166" spans="1:3" x14ac:dyDescent="0.15">
      <c r="A1166" s="191">
        <f t="shared" si="6"/>
        <v>34437</v>
      </c>
      <c r="B1166" s="193">
        <v>4.646544446659755</v>
      </c>
      <c r="C1166" s="194" t="s">
        <v>100</v>
      </c>
    </row>
    <row r="1167" spans="1:3" x14ac:dyDescent="0.15">
      <c r="A1167" s="191">
        <f t="shared" si="6"/>
        <v>34438</v>
      </c>
      <c r="B1167" s="193">
        <v>4.7399695181430772</v>
      </c>
      <c r="C1167" s="194" t="s">
        <v>100</v>
      </c>
    </row>
    <row r="1168" spans="1:3" x14ac:dyDescent="0.15">
      <c r="A1168" s="191">
        <f t="shared" si="6"/>
        <v>34439</v>
      </c>
      <c r="B1168" s="193">
        <v>4.8352730272657807</v>
      </c>
      <c r="C1168" s="194" t="s">
        <v>100</v>
      </c>
    </row>
    <row r="1169" spans="1:3" x14ac:dyDescent="0.15">
      <c r="A1169" s="191">
        <f t="shared" si="6"/>
        <v>34440</v>
      </c>
      <c r="B1169" s="193">
        <v>4.8352730272657807</v>
      </c>
      <c r="C1169" s="194" t="s">
        <v>100</v>
      </c>
    </row>
    <row r="1170" spans="1:3" x14ac:dyDescent="0.15">
      <c r="A1170" s="191">
        <f t="shared" si="6"/>
        <v>34441</v>
      </c>
      <c r="B1170" s="193">
        <v>4.8352730272657807</v>
      </c>
      <c r="C1170" s="194" t="s">
        <v>100</v>
      </c>
    </row>
    <row r="1171" spans="1:3" x14ac:dyDescent="0.15">
      <c r="A1171" s="191">
        <f t="shared" si="6"/>
        <v>34442</v>
      </c>
      <c r="B1171" s="193">
        <v>4.9324927425616112</v>
      </c>
      <c r="C1171" s="194" t="s">
        <v>100</v>
      </c>
    </row>
    <row r="1172" spans="1:3" x14ac:dyDescent="0.15">
      <c r="A1172" s="191">
        <f t="shared" si="6"/>
        <v>34443</v>
      </c>
      <c r="B1172" s="193">
        <v>5.0316671919518567</v>
      </c>
      <c r="C1172" s="194" t="s">
        <v>100</v>
      </c>
    </row>
    <row r="1173" spans="1:3" x14ac:dyDescent="0.15">
      <c r="A1173" s="191">
        <f t="shared" si="6"/>
        <v>34444</v>
      </c>
      <c r="B1173" s="193">
        <v>5.1328356780138629</v>
      </c>
      <c r="C1173" s="194" t="s">
        <v>100</v>
      </c>
    </row>
    <row r="1174" spans="1:3" x14ac:dyDescent="0.15">
      <c r="A1174" s="191">
        <f t="shared" si="6"/>
        <v>34445</v>
      </c>
      <c r="B1174" s="193">
        <v>5.1328356780138629</v>
      </c>
      <c r="C1174" s="194" t="s">
        <v>100</v>
      </c>
    </row>
    <row r="1175" spans="1:3" x14ac:dyDescent="0.15">
      <c r="A1175" s="191">
        <f t="shared" si="6"/>
        <v>34446</v>
      </c>
      <c r="B1175" s="193">
        <v>5.2360382935565406</v>
      </c>
      <c r="C1175" s="194" t="s">
        <v>100</v>
      </c>
    </row>
    <row r="1176" spans="1:3" x14ac:dyDescent="0.15">
      <c r="A1176" s="191">
        <f t="shared" si="6"/>
        <v>34447</v>
      </c>
      <c r="B1176" s="193">
        <v>5.2360382935565406</v>
      </c>
      <c r="C1176" s="194" t="s">
        <v>100</v>
      </c>
    </row>
    <row r="1177" spans="1:3" x14ac:dyDescent="0.15">
      <c r="A1177" s="191">
        <f t="shared" si="6"/>
        <v>34448</v>
      </c>
      <c r="B1177" s="193">
        <v>5.2360382935565406</v>
      </c>
      <c r="C1177" s="194" t="s">
        <v>100</v>
      </c>
    </row>
    <row r="1178" spans="1:3" x14ac:dyDescent="0.15">
      <c r="A1178" s="191">
        <f t="shared" si="6"/>
        <v>34449</v>
      </c>
      <c r="B1178" s="193">
        <v>5.3413159375090444</v>
      </c>
      <c r="C1178" s="194" t="s">
        <v>100</v>
      </c>
    </row>
    <row r="1179" spans="1:3" x14ac:dyDescent="0.15">
      <c r="A1179" s="191">
        <f t="shared" si="6"/>
        <v>34450</v>
      </c>
      <c r="B1179" s="193">
        <v>5.4487103311289129</v>
      </c>
      <c r="C1179" s="194" t="s">
        <v>100</v>
      </c>
    </row>
    <row r="1180" spans="1:3" x14ac:dyDescent="0.15">
      <c r="A1180" s="191">
        <f t="shared" si="6"/>
        <v>34451</v>
      </c>
      <c r="B1180" s="193">
        <v>5.5582640345360907</v>
      </c>
      <c r="C1180" s="194" t="s">
        <v>100</v>
      </c>
    </row>
    <row r="1181" spans="1:3" x14ac:dyDescent="0.15">
      <c r="A1181" s="191">
        <f t="shared" si="6"/>
        <v>34452</v>
      </c>
      <c r="B1181" s="193">
        <v>5.6700204635793998</v>
      </c>
      <c r="C1181" s="194" t="s">
        <v>100</v>
      </c>
    </row>
    <row r="1182" spans="1:3" x14ac:dyDescent="0.15">
      <c r="A1182" s="191">
        <f t="shared" si="6"/>
        <v>34453</v>
      </c>
      <c r="B1182" s="193">
        <v>5.7840239070421227</v>
      </c>
      <c r="C1182" s="194" t="s">
        <v>100</v>
      </c>
    </row>
    <row r="1183" spans="1:3" x14ac:dyDescent="0.15">
      <c r="A1183" s="191">
        <f t="shared" si="6"/>
        <v>34454</v>
      </c>
      <c r="B1183" s="193">
        <v>5.7840239070421227</v>
      </c>
      <c r="C1183" s="194" t="s">
        <v>100</v>
      </c>
    </row>
    <row r="1184" spans="1:3" x14ac:dyDescent="0.15">
      <c r="A1184" s="191">
        <f t="shared" si="6"/>
        <v>34455</v>
      </c>
      <c r="B1184" s="193">
        <v>5.7840239070421227</v>
      </c>
      <c r="C1184" s="194" t="s">
        <v>100</v>
      </c>
    </row>
    <row r="1185" spans="1:3" x14ac:dyDescent="0.15">
      <c r="A1185" s="191">
        <f t="shared" si="6"/>
        <v>34456</v>
      </c>
      <c r="B1185" s="193">
        <v>5.8807494399158413</v>
      </c>
      <c r="C1185" s="194" t="s">
        <v>100</v>
      </c>
    </row>
    <row r="1186" spans="1:3" x14ac:dyDescent="0.15">
      <c r="A1186" s="191">
        <f t="shared" si="6"/>
        <v>34457</v>
      </c>
      <c r="B1186" s="193">
        <v>5.9790925021877896</v>
      </c>
      <c r="C1186" s="194" t="s">
        <v>100</v>
      </c>
    </row>
    <row r="1187" spans="1:3" x14ac:dyDescent="0.15">
      <c r="A1187" s="191">
        <f t="shared" si="6"/>
        <v>34458</v>
      </c>
      <c r="B1187" s="193">
        <v>6.0790801436066371</v>
      </c>
      <c r="C1187" s="194" t="s">
        <v>100</v>
      </c>
    </row>
    <row r="1188" spans="1:3" x14ac:dyDescent="0.15">
      <c r="A1188" s="191">
        <f t="shared" si="6"/>
        <v>34459</v>
      </c>
      <c r="B1188" s="193">
        <v>6.1807398662707316</v>
      </c>
      <c r="C1188" s="194" t="s">
        <v>100</v>
      </c>
    </row>
    <row r="1189" spans="1:3" x14ac:dyDescent="0.15">
      <c r="A1189" s="191">
        <f t="shared" si="6"/>
        <v>34460</v>
      </c>
      <c r="B1189" s="193">
        <v>6.2840996321926879</v>
      </c>
      <c r="C1189" s="194" t="s">
        <v>100</v>
      </c>
    </row>
    <row r="1190" spans="1:3" x14ac:dyDescent="0.15">
      <c r="A1190" s="191">
        <f t="shared" si="6"/>
        <v>34461</v>
      </c>
      <c r="B1190" s="193">
        <v>6.2840996321926879</v>
      </c>
      <c r="C1190" s="194" t="s">
        <v>100</v>
      </c>
    </row>
    <row r="1191" spans="1:3" x14ac:dyDescent="0.15">
      <c r="A1191" s="191">
        <f t="shared" si="6"/>
        <v>34462</v>
      </c>
      <c r="B1191" s="193">
        <v>6.2840996321926879</v>
      </c>
      <c r="C1191" s="194" t="s">
        <v>100</v>
      </c>
    </row>
    <row r="1192" spans="1:3" x14ac:dyDescent="0.15">
      <c r="A1192" s="191">
        <f t="shared" si="6"/>
        <v>34463</v>
      </c>
      <c r="B1192" s="193">
        <v>6.3891878709904786</v>
      </c>
      <c r="C1192" s="194" t="s">
        <v>100</v>
      </c>
    </row>
    <row r="1193" spans="1:3" x14ac:dyDescent="0.15">
      <c r="A1193" s="191">
        <f t="shared" si="6"/>
        <v>34464</v>
      </c>
      <c r="B1193" s="193">
        <v>6.4960334877071437</v>
      </c>
      <c r="C1193" s="194" t="s">
        <v>100</v>
      </c>
    </row>
    <row r="1194" spans="1:3" x14ac:dyDescent="0.15">
      <c r="A1194" s="191">
        <f t="shared" si="6"/>
        <v>34465</v>
      </c>
      <c r="B1194" s="193">
        <v>6.6046658707612647</v>
      </c>
      <c r="C1194" s="194" t="s">
        <v>100</v>
      </c>
    </row>
    <row r="1195" spans="1:3" x14ac:dyDescent="0.15">
      <c r="A1195" s="191">
        <f t="shared" si="6"/>
        <v>34466</v>
      </c>
      <c r="B1195" s="193">
        <v>6.7151149000303949</v>
      </c>
      <c r="C1195" s="194" t="s">
        <v>100</v>
      </c>
    </row>
    <row r="1196" spans="1:3" x14ac:dyDescent="0.15">
      <c r="A1196" s="191">
        <f t="shared" si="6"/>
        <v>34467</v>
      </c>
      <c r="B1196" s="193">
        <v>6.82741095506967</v>
      </c>
      <c r="C1196" s="194" t="s">
        <v>100</v>
      </c>
    </row>
    <row r="1197" spans="1:3" x14ac:dyDescent="0.15">
      <c r="A1197" s="191">
        <f t="shared" si="6"/>
        <v>34468</v>
      </c>
      <c r="B1197" s="193">
        <v>6.82741095506967</v>
      </c>
      <c r="C1197" s="194" t="s">
        <v>100</v>
      </c>
    </row>
    <row r="1198" spans="1:3" x14ac:dyDescent="0.15">
      <c r="A1198" s="191">
        <f t="shared" si="6"/>
        <v>34469</v>
      </c>
      <c r="B1198" s="193">
        <v>6.82741095506967</v>
      </c>
      <c r="C1198" s="194" t="s">
        <v>100</v>
      </c>
    </row>
    <row r="1199" spans="1:3" x14ac:dyDescent="0.15">
      <c r="A1199" s="191">
        <f t="shared" si="6"/>
        <v>34470</v>
      </c>
      <c r="B1199" s="193">
        <v>6.9415849234678557</v>
      </c>
      <c r="C1199" s="194" t="s">
        <v>100</v>
      </c>
    </row>
    <row r="1200" spans="1:3" x14ac:dyDescent="0.15">
      <c r="A1200" s="191">
        <f t="shared" si="6"/>
        <v>34471</v>
      </c>
      <c r="B1200" s="193">
        <v>7.0576682093431309</v>
      </c>
      <c r="C1200" s="194" t="s">
        <v>100</v>
      </c>
    </row>
    <row r="1201" spans="1:3" x14ac:dyDescent="0.15">
      <c r="A1201" s="191">
        <f t="shared" si="6"/>
        <v>34472</v>
      </c>
      <c r="B1201" s="193">
        <v>7.1756927419809493</v>
      </c>
      <c r="C1201" s="194" t="s">
        <v>100</v>
      </c>
    </row>
    <row r="1202" spans="1:3" x14ac:dyDescent="0.15">
      <c r="A1202" s="191">
        <f t="shared" si="6"/>
        <v>34473</v>
      </c>
      <c r="B1202" s="193">
        <v>7.2956909846163471</v>
      </c>
      <c r="C1202" s="194" t="s">
        <v>100</v>
      </c>
    </row>
    <row r="1203" spans="1:3" x14ac:dyDescent="0.15">
      <c r="A1203" s="191">
        <f t="shared" si="6"/>
        <v>34474</v>
      </c>
      <c r="B1203" s="193">
        <v>7.4176959433631158</v>
      </c>
      <c r="C1203" s="194" t="s">
        <v>100</v>
      </c>
    </row>
    <row r="1204" spans="1:3" x14ac:dyDescent="0.15">
      <c r="A1204" s="191">
        <f t="shared" si="6"/>
        <v>34475</v>
      </c>
      <c r="B1204" s="193">
        <v>7.4176959433631158</v>
      </c>
      <c r="C1204" s="194" t="s">
        <v>100</v>
      </c>
    </row>
    <row r="1205" spans="1:3" x14ac:dyDescent="0.15">
      <c r="A1205" s="191">
        <f t="shared" si="6"/>
        <v>34476</v>
      </c>
      <c r="B1205" s="193">
        <v>7.4176959433631158</v>
      </c>
      <c r="C1205" s="194" t="s">
        <v>100</v>
      </c>
    </row>
    <row r="1206" spans="1:3" x14ac:dyDescent="0.15">
      <c r="A1206" s="191">
        <f t="shared" si="6"/>
        <v>34477</v>
      </c>
      <c r="B1206" s="193">
        <v>7.5417411762923008</v>
      </c>
      <c r="C1206" s="194" t="s">
        <v>100</v>
      </c>
    </row>
    <row r="1207" spans="1:3" x14ac:dyDescent="0.15">
      <c r="A1207" s="191">
        <f t="shared" ref="A1207:A1270" si="7">A1206+1</f>
        <v>34478</v>
      </c>
      <c r="B1207" s="193">
        <v>7.6678608026625144</v>
      </c>
      <c r="C1207" s="194" t="s">
        <v>100</v>
      </c>
    </row>
    <row r="1208" spans="1:3" x14ac:dyDescent="0.15">
      <c r="A1208" s="191">
        <f t="shared" si="7"/>
        <v>34479</v>
      </c>
      <c r="B1208" s="193">
        <v>7.7960895123046079</v>
      </c>
      <c r="C1208" s="194" t="s">
        <v>100</v>
      </c>
    </row>
    <row r="1209" spans="1:3" x14ac:dyDescent="0.15">
      <c r="A1209" s="191">
        <f t="shared" si="7"/>
        <v>34480</v>
      </c>
      <c r="B1209" s="193">
        <v>7.9264625751632813</v>
      </c>
      <c r="C1209" s="194" t="s">
        <v>100</v>
      </c>
    </row>
    <row r="1210" spans="1:3" x14ac:dyDescent="0.15">
      <c r="A1210" s="191">
        <f t="shared" si="7"/>
        <v>34481</v>
      </c>
      <c r="B1210" s="193">
        <v>8.0590158509982572</v>
      </c>
      <c r="C1210" s="194" t="s">
        <v>100</v>
      </c>
    </row>
    <row r="1211" spans="1:3" x14ac:dyDescent="0.15">
      <c r="A1211" s="191">
        <f t="shared" si="7"/>
        <v>34482</v>
      </c>
      <c r="B1211" s="193">
        <v>8.0590158509982572</v>
      </c>
      <c r="C1211" s="194" t="s">
        <v>100</v>
      </c>
    </row>
    <row r="1212" spans="1:3" x14ac:dyDescent="0.15">
      <c r="A1212" s="191">
        <f t="shared" si="7"/>
        <v>34483</v>
      </c>
      <c r="B1212" s="193">
        <v>8.0590158509982572</v>
      </c>
      <c r="C1212" s="194" t="s">
        <v>100</v>
      </c>
    </row>
    <row r="1213" spans="1:3" x14ac:dyDescent="0.15">
      <c r="A1213" s="191">
        <f t="shared" si="7"/>
        <v>34484</v>
      </c>
      <c r="B1213" s="193">
        <v>8.1937857992476903</v>
      </c>
      <c r="C1213" s="194" t="s">
        <v>100</v>
      </c>
    </row>
    <row r="1214" spans="1:3" x14ac:dyDescent="0.15">
      <c r="A1214" s="191">
        <f t="shared" si="7"/>
        <v>34485</v>
      </c>
      <c r="B1214" s="193">
        <v>8.3308094890565112</v>
      </c>
      <c r="C1214" s="194" t="s">
        <v>100</v>
      </c>
    </row>
    <row r="1215" spans="1:3" x14ac:dyDescent="0.15">
      <c r="A1215" s="191">
        <f t="shared" si="7"/>
        <v>34486</v>
      </c>
      <c r="B1215" s="193">
        <v>8.4701246094724816</v>
      </c>
      <c r="C1215" s="194" t="s">
        <v>100</v>
      </c>
    </row>
    <row r="1216" spans="1:3" x14ac:dyDescent="0.15">
      <c r="A1216" s="191">
        <f t="shared" si="7"/>
        <v>34487</v>
      </c>
      <c r="B1216" s="193">
        <v>8.6194268211213263</v>
      </c>
      <c r="C1216" s="194" t="s">
        <v>100</v>
      </c>
    </row>
    <row r="1217" spans="1:3" x14ac:dyDescent="0.15">
      <c r="A1217" s="191">
        <f t="shared" si="7"/>
        <v>34488</v>
      </c>
      <c r="B1217" s="193">
        <v>8.7713607709595127</v>
      </c>
      <c r="C1217" s="194" t="s">
        <v>100</v>
      </c>
    </row>
    <row r="1218" spans="1:3" x14ac:dyDescent="0.15">
      <c r="A1218" s="191">
        <f t="shared" si="7"/>
        <v>34489</v>
      </c>
      <c r="B1218" s="193">
        <v>8.7713607709595127</v>
      </c>
      <c r="C1218" s="194" t="s">
        <v>100</v>
      </c>
    </row>
    <row r="1219" spans="1:3" x14ac:dyDescent="0.15">
      <c r="A1219" s="191">
        <f t="shared" si="7"/>
        <v>34490</v>
      </c>
      <c r="B1219" s="193">
        <v>8.7713607709595127</v>
      </c>
      <c r="C1219" s="194" t="s">
        <v>100</v>
      </c>
    </row>
    <row r="1220" spans="1:3" x14ac:dyDescent="0.15">
      <c r="A1220" s="191">
        <f t="shared" si="7"/>
        <v>34491</v>
      </c>
      <c r="B1220" s="193">
        <v>8.9259728484264258</v>
      </c>
      <c r="C1220" s="194" t="s">
        <v>100</v>
      </c>
    </row>
    <row r="1221" spans="1:3" x14ac:dyDescent="0.15">
      <c r="A1221" s="191">
        <f t="shared" si="7"/>
        <v>34492</v>
      </c>
      <c r="B1221" s="193">
        <v>9.0833102606644029</v>
      </c>
      <c r="C1221" s="194" t="s">
        <v>100</v>
      </c>
    </row>
    <row r="1222" spans="1:3" x14ac:dyDescent="0.15">
      <c r="A1222" s="191">
        <f t="shared" si="7"/>
        <v>34493</v>
      </c>
      <c r="B1222" s="193">
        <v>9.2434210469323155</v>
      </c>
      <c r="C1222" s="194" t="s">
        <v>100</v>
      </c>
    </row>
    <row r="1223" spans="1:3" x14ac:dyDescent="0.15">
      <c r="A1223" s="191">
        <f t="shared" si="7"/>
        <v>34494</v>
      </c>
      <c r="B1223" s="193">
        <v>9.4063540932732277</v>
      </c>
      <c r="C1223" s="194" t="s">
        <v>100</v>
      </c>
    </row>
    <row r="1224" spans="1:3" x14ac:dyDescent="0.15">
      <c r="A1224" s="191">
        <f t="shared" si="7"/>
        <v>34495</v>
      </c>
      <c r="B1224" s="193">
        <v>9.5721591474405852</v>
      </c>
      <c r="C1224" s="194" t="s">
        <v>100</v>
      </c>
    </row>
    <row r="1225" spans="1:3" x14ac:dyDescent="0.15">
      <c r="A1225" s="191">
        <f t="shared" si="7"/>
        <v>34496</v>
      </c>
      <c r="B1225" s="193">
        <v>9.5721591474405852</v>
      </c>
      <c r="C1225" s="194" t="s">
        <v>100</v>
      </c>
    </row>
    <row r="1226" spans="1:3" x14ac:dyDescent="0.15">
      <c r="A1226" s="191">
        <f t="shared" si="7"/>
        <v>34497</v>
      </c>
      <c r="B1226" s="193">
        <v>9.5721591474405852</v>
      </c>
      <c r="C1226" s="194" t="s">
        <v>100</v>
      </c>
    </row>
    <row r="1227" spans="1:3" x14ac:dyDescent="0.15">
      <c r="A1227" s="191">
        <f t="shared" si="7"/>
        <v>34498</v>
      </c>
      <c r="B1227" s="193">
        <v>9.7408868340875241</v>
      </c>
      <c r="C1227" s="194" t="s">
        <v>100</v>
      </c>
    </row>
    <row r="1228" spans="1:3" x14ac:dyDescent="0.15">
      <c r="A1228" s="191">
        <f t="shared" si="7"/>
        <v>34499</v>
      </c>
      <c r="B1228" s="193">
        <v>9.9125886702239061</v>
      </c>
      <c r="C1228" s="194" t="s">
        <v>100</v>
      </c>
    </row>
    <row r="1229" spans="1:3" x14ac:dyDescent="0.15">
      <c r="A1229" s="191">
        <f t="shared" si="7"/>
        <v>34500</v>
      </c>
      <c r="B1229" s="193">
        <v>10.087317080945821</v>
      </c>
      <c r="C1229" s="194" t="s">
        <v>100</v>
      </c>
    </row>
    <row r="1230" spans="1:3" x14ac:dyDescent="0.15">
      <c r="A1230" s="191">
        <f t="shared" si="7"/>
        <v>34501</v>
      </c>
      <c r="B1230" s="193">
        <v>10.265125415442352</v>
      </c>
      <c r="C1230" s="194" t="s">
        <v>100</v>
      </c>
    </row>
    <row r="1231" spans="1:3" x14ac:dyDescent="0.15">
      <c r="A1231" s="191">
        <f t="shared" si="7"/>
        <v>34502</v>
      </c>
      <c r="B1231" s="193">
        <v>10.446067963284486</v>
      </c>
      <c r="C1231" s="194" t="s">
        <v>100</v>
      </c>
    </row>
    <row r="1232" spans="1:3" x14ac:dyDescent="0.15">
      <c r="A1232" s="191">
        <f t="shared" si="7"/>
        <v>34503</v>
      </c>
      <c r="B1232" s="193">
        <v>10.446067963284486</v>
      </c>
      <c r="C1232" s="194" t="s">
        <v>100</v>
      </c>
    </row>
    <row r="1233" spans="1:3" x14ac:dyDescent="0.15">
      <c r="A1233" s="191">
        <f t="shared" si="7"/>
        <v>34504</v>
      </c>
      <c r="B1233" s="193">
        <v>10.446067963284486</v>
      </c>
      <c r="C1233" s="194" t="s">
        <v>100</v>
      </c>
    </row>
    <row r="1234" spans="1:3" x14ac:dyDescent="0.15">
      <c r="A1234" s="191">
        <f t="shared" si="7"/>
        <v>34505</v>
      </c>
      <c r="B1234" s="193">
        <v>10.630199971001153</v>
      </c>
      <c r="C1234" s="194" t="s">
        <v>100</v>
      </c>
    </row>
    <row r="1235" spans="1:3" x14ac:dyDescent="0.15">
      <c r="A1235" s="191">
        <f t="shared" si="7"/>
        <v>34506</v>
      </c>
      <c r="B1235" s="193">
        <v>10.817577658947446</v>
      </c>
      <c r="C1235" s="194" t="s">
        <v>100</v>
      </c>
    </row>
    <row r="1236" spans="1:3" x14ac:dyDescent="0.15">
      <c r="A1236" s="191">
        <f t="shared" si="7"/>
        <v>34507</v>
      </c>
      <c r="B1236" s="193">
        <v>11.00825823847018</v>
      </c>
      <c r="C1236" s="194" t="s">
        <v>100</v>
      </c>
    </row>
    <row r="1237" spans="1:3" x14ac:dyDescent="0.15">
      <c r="A1237" s="191">
        <f t="shared" si="7"/>
        <v>34508</v>
      </c>
      <c r="B1237" s="193">
        <v>11.202299929376021</v>
      </c>
      <c r="C1237" s="194" t="s">
        <v>100</v>
      </c>
    </row>
    <row r="1238" spans="1:3" x14ac:dyDescent="0.15">
      <c r="A1238" s="191">
        <f t="shared" si="7"/>
        <v>34509</v>
      </c>
      <c r="B1238" s="193">
        <v>11.399761977707527</v>
      </c>
      <c r="C1238" s="194" t="s">
        <v>100</v>
      </c>
    </row>
    <row r="1239" spans="1:3" x14ac:dyDescent="0.15">
      <c r="A1239" s="191">
        <f t="shared" si="7"/>
        <v>34510</v>
      </c>
      <c r="B1239" s="193">
        <v>11.399761977707527</v>
      </c>
      <c r="C1239" s="194" t="s">
        <v>100</v>
      </c>
    </row>
    <row r="1240" spans="1:3" x14ac:dyDescent="0.15">
      <c r="A1240" s="191">
        <f t="shared" si="7"/>
        <v>34511</v>
      </c>
      <c r="B1240" s="193">
        <v>11.399761977707527</v>
      </c>
      <c r="C1240" s="194" t="s">
        <v>100</v>
      </c>
    </row>
    <row r="1241" spans="1:3" x14ac:dyDescent="0.15">
      <c r="A1241" s="191">
        <f t="shared" si="7"/>
        <v>34512</v>
      </c>
      <c r="B1241" s="193">
        <v>11.60070467383253</v>
      </c>
      <c r="C1241" s="194" t="s">
        <v>100</v>
      </c>
    </row>
    <row r="1242" spans="1:3" x14ac:dyDescent="0.15">
      <c r="A1242" s="191">
        <f t="shared" si="7"/>
        <v>34513</v>
      </c>
      <c r="B1242" s="193">
        <v>11.805189370852371</v>
      </c>
      <c r="C1242" s="194" t="s">
        <v>100</v>
      </c>
    </row>
    <row r="1243" spans="1:3" x14ac:dyDescent="0.15">
      <c r="A1243" s="191">
        <f t="shared" si="7"/>
        <v>34514</v>
      </c>
      <c r="B1243" s="193">
        <v>12.013278503334622</v>
      </c>
      <c r="C1243" s="194" t="s">
        <v>100</v>
      </c>
    </row>
    <row r="1244" spans="1:3" x14ac:dyDescent="0.15">
      <c r="A1244" s="191">
        <f t="shared" si="7"/>
        <v>34515</v>
      </c>
      <c r="B1244" s="193">
        <v>12.225035606376</v>
      </c>
      <c r="C1244" s="194" t="s">
        <v>100</v>
      </c>
    </row>
    <row r="1245" spans="1:3" x14ac:dyDescent="0.15">
      <c r="A1245" s="191">
        <f t="shared" si="7"/>
        <v>34516</v>
      </c>
      <c r="B1245" s="193">
        <v>4.5238273945459317E-3</v>
      </c>
      <c r="C1245" s="194" t="s">
        <v>1</v>
      </c>
    </row>
    <row r="1246" spans="1:3" x14ac:dyDescent="0.15">
      <c r="A1246" s="191">
        <f t="shared" si="7"/>
        <v>34517</v>
      </c>
      <c r="B1246" s="193">
        <v>4.5238273945459317E-3</v>
      </c>
      <c r="C1246" s="194" t="s">
        <v>1</v>
      </c>
    </row>
    <row r="1247" spans="1:3" x14ac:dyDescent="0.15">
      <c r="A1247" s="191">
        <f t="shared" si="7"/>
        <v>34518</v>
      </c>
      <c r="B1247" s="193">
        <v>4.5238273945459317E-3</v>
      </c>
      <c r="C1247" s="194" t="s">
        <v>1</v>
      </c>
    </row>
    <row r="1248" spans="1:3" x14ac:dyDescent="0.15">
      <c r="A1248" s="191">
        <f t="shared" si="7"/>
        <v>34519</v>
      </c>
      <c r="B1248" s="193">
        <v>4.5344037804216719E-3</v>
      </c>
      <c r="C1248" s="194" t="s">
        <v>1</v>
      </c>
    </row>
    <row r="1249" spans="1:3" x14ac:dyDescent="0.15">
      <c r="A1249" s="191">
        <f t="shared" si="7"/>
        <v>34520</v>
      </c>
      <c r="B1249" s="193">
        <v>4.5450048931334371E-3</v>
      </c>
      <c r="C1249" s="194" t="s">
        <v>1</v>
      </c>
    </row>
    <row r="1250" spans="1:3" x14ac:dyDescent="0.15">
      <c r="A1250" s="191">
        <f t="shared" si="7"/>
        <v>34521</v>
      </c>
      <c r="B1250" s="193">
        <v>4.5556307904908071E-3</v>
      </c>
      <c r="C1250" s="194" t="s">
        <v>1</v>
      </c>
    </row>
    <row r="1251" spans="1:3" x14ac:dyDescent="0.15">
      <c r="A1251" s="191">
        <f t="shared" si="7"/>
        <v>34522</v>
      </c>
      <c r="B1251" s="193">
        <v>4.5662815304385162E-3</v>
      </c>
      <c r="C1251" s="194" t="s">
        <v>1</v>
      </c>
    </row>
    <row r="1252" spans="1:3" x14ac:dyDescent="0.15">
      <c r="A1252" s="191">
        <f t="shared" si="7"/>
        <v>34523</v>
      </c>
      <c r="B1252" s="193">
        <v>4.5769571710567699E-3</v>
      </c>
      <c r="C1252" s="194" t="s">
        <v>1</v>
      </c>
    </row>
    <row r="1253" spans="1:3" x14ac:dyDescent="0.15">
      <c r="A1253" s="191">
        <f t="shared" si="7"/>
        <v>34524</v>
      </c>
      <c r="B1253" s="193">
        <v>4.5769571710567699E-3</v>
      </c>
      <c r="C1253" s="194" t="s">
        <v>1</v>
      </c>
    </row>
    <row r="1254" spans="1:3" x14ac:dyDescent="0.15">
      <c r="A1254" s="191">
        <f t="shared" si="7"/>
        <v>34525</v>
      </c>
      <c r="B1254" s="193">
        <v>4.5769571710567699E-3</v>
      </c>
      <c r="C1254" s="194" t="s">
        <v>1</v>
      </c>
    </row>
    <row r="1255" spans="1:3" x14ac:dyDescent="0.15">
      <c r="A1255" s="191">
        <f t="shared" si="7"/>
        <v>34526</v>
      </c>
      <c r="B1255" s="193">
        <v>4.5876577705615592E-3</v>
      </c>
      <c r="C1255" s="194" t="s">
        <v>1</v>
      </c>
    </row>
    <row r="1256" spans="1:3" x14ac:dyDescent="0.15">
      <c r="A1256" s="191">
        <f t="shared" si="7"/>
        <v>34527</v>
      </c>
      <c r="B1256" s="193">
        <v>4.5983833873049816E-3</v>
      </c>
      <c r="C1256" s="194" t="s">
        <v>1</v>
      </c>
    </row>
    <row r="1257" spans="1:3" x14ac:dyDescent="0.15">
      <c r="A1257" s="191">
        <f t="shared" si="7"/>
        <v>34528</v>
      </c>
      <c r="B1257" s="193">
        <v>4.6091340797755577E-3</v>
      </c>
      <c r="C1257" s="194" t="s">
        <v>1</v>
      </c>
    </row>
    <row r="1258" spans="1:3" x14ac:dyDescent="0.15">
      <c r="A1258" s="191">
        <f t="shared" si="7"/>
        <v>34529</v>
      </c>
      <c r="B1258" s="193">
        <v>4.619909906598549E-3</v>
      </c>
      <c r="C1258" s="194" t="s">
        <v>1</v>
      </c>
    </row>
    <row r="1259" spans="1:3" x14ac:dyDescent="0.15">
      <c r="A1259" s="191">
        <f t="shared" si="7"/>
        <v>34530</v>
      </c>
      <c r="B1259" s="193">
        <v>4.6307109265362788E-3</v>
      </c>
      <c r="C1259" s="194" t="s">
        <v>1</v>
      </c>
    </row>
    <row r="1260" spans="1:3" x14ac:dyDescent="0.15">
      <c r="A1260" s="191">
        <f t="shared" si="7"/>
        <v>34531</v>
      </c>
      <c r="B1260" s="193">
        <v>4.6307109265362788E-3</v>
      </c>
      <c r="C1260" s="194" t="s">
        <v>1</v>
      </c>
    </row>
    <row r="1261" spans="1:3" x14ac:dyDescent="0.15">
      <c r="A1261" s="191">
        <f t="shared" si="7"/>
        <v>34532</v>
      </c>
      <c r="B1261" s="193">
        <v>4.6307109265362788E-3</v>
      </c>
      <c r="C1261" s="194" t="s">
        <v>1</v>
      </c>
    </row>
    <row r="1262" spans="1:3" x14ac:dyDescent="0.15">
      <c r="A1262" s="191">
        <f t="shared" si="7"/>
        <v>34533</v>
      </c>
      <c r="B1262" s="193">
        <v>4.6415371984884534E-3</v>
      </c>
      <c r="C1262" s="194" t="s">
        <v>1</v>
      </c>
    </row>
    <row r="1263" spans="1:3" x14ac:dyDescent="0.15">
      <c r="A1263" s="191">
        <f t="shared" si="7"/>
        <v>34534</v>
      </c>
      <c r="B1263" s="193">
        <v>4.6523887814924822E-3</v>
      </c>
      <c r="C1263" s="194" t="s">
        <v>1</v>
      </c>
    </row>
    <row r="1264" spans="1:3" x14ac:dyDescent="0.15">
      <c r="A1264" s="191">
        <f t="shared" si="7"/>
        <v>34535</v>
      </c>
      <c r="B1264" s="193">
        <v>4.6632657347237998E-3</v>
      </c>
      <c r="C1264" s="194" t="s">
        <v>1</v>
      </c>
    </row>
    <row r="1265" spans="1:3" x14ac:dyDescent="0.15">
      <c r="A1265" s="191">
        <f t="shared" si="7"/>
        <v>34536</v>
      </c>
      <c r="B1265" s="193">
        <v>4.6741681174961875E-3</v>
      </c>
      <c r="C1265" s="194" t="s">
        <v>1</v>
      </c>
    </row>
    <row r="1266" spans="1:3" x14ac:dyDescent="0.15">
      <c r="A1266" s="191">
        <f t="shared" si="7"/>
        <v>34537</v>
      </c>
      <c r="B1266" s="193">
        <v>4.6850959892621004E-3</v>
      </c>
      <c r="C1266" s="194" t="s">
        <v>1</v>
      </c>
    </row>
    <row r="1267" spans="1:3" x14ac:dyDescent="0.15">
      <c r="A1267" s="191">
        <f t="shared" si="7"/>
        <v>34538</v>
      </c>
      <c r="B1267" s="193">
        <v>4.6850959892621004E-3</v>
      </c>
      <c r="C1267" s="194" t="s">
        <v>1</v>
      </c>
    </row>
    <row r="1268" spans="1:3" x14ac:dyDescent="0.15">
      <c r="A1268" s="191">
        <f t="shared" si="7"/>
        <v>34539</v>
      </c>
      <c r="B1268" s="193">
        <v>4.6850959892621004E-3</v>
      </c>
      <c r="C1268" s="194" t="s">
        <v>1</v>
      </c>
    </row>
    <row r="1269" spans="1:3" x14ac:dyDescent="0.15">
      <c r="A1269" s="191">
        <f t="shared" si="7"/>
        <v>34540</v>
      </c>
      <c r="B1269" s="193">
        <v>4.6960494096129866E-3</v>
      </c>
      <c r="C1269" s="194" t="s">
        <v>1</v>
      </c>
    </row>
    <row r="1270" spans="1:3" x14ac:dyDescent="0.15">
      <c r="A1270" s="191">
        <f t="shared" si="7"/>
        <v>34541</v>
      </c>
      <c r="B1270" s="193">
        <v>4.7070284382796168E-3</v>
      </c>
      <c r="C1270" s="194" t="s">
        <v>1</v>
      </c>
    </row>
    <row r="1271" spans="1:3" x14ac:dyDescent="0.15">
      <c r="A1271" s="191">
        <f t="shared" ref="A1271:A1334" si="8">A1270+1</f>
        <v>34542</v>
      </c>
      <c r="B1271" s="193">
        <v>4.7180331351324069E-3</v>
      </c>
      <c r="C1271" s="194" t="s">
        <v>1</v>
      </c>
    </row>
    <row r="1272" spans="1:3" x14ac:dyDescent="0.15">
      <c r="A1272" s="191">
        <f t="shared" si="8"/>
        <v>34543</v>
      </c>
      <c r="B1272" s="193">
        <v>4.729063560181746E-3</v>
      </c>
      <c r="C1272" s="194" t="s">
        <v>1</v>
      </c>
    </row>
    <row r="1273" spans="1:3" x14ac:dyDescent="0.15">
      <c r="A1273" s="191">
        <f t="shared" si="8"/>
        <v>34544</v>
      </c>
      <c r="B1273" s="193">
        <v>4.740119773578323E-3</v>
      </c>
      <c r="C1273" s="194" t="s">
        <v>1</v>
      </c>
    </row>
    <row r="1274" spans="1:3" x14ac:dyDescent="0.15">
      <c r="A1274" s="191">
        <f t="shared" si="8"/>
        <v>34545</v>
      </c>
      <c r="B1274" s="193">
        <v>4.740119773578323E-3</v>
      </c>
      <c r="C1274" s="194" t="s">
        <v>1</v>
      </c>
    </row>
    <row r="1275" spans="1:3" x14ac:dyDescent="0.15">
      <c r="A1275" s="191">
        <f t="shared" si="8"/>
        <v>34546</v>
      </c>
      <c r="B1275" s="193">
        <v>4.740119773578323E-3</v>
      </c>
      <c r="C1275" s="194" t="s">
        <v>1</v>
      </c>
    </row>
    <row r="1276" spans="1:3" x14ac:dyDescent="0.15">
      <c r="A1276" s="191">
        <f t="shared" si="8"/>
        <v>34547</v>
      </c>
      <c r="B1276" s="193">
        <v>4.7512018356134552E-3</v>
      </c>
      <c r="C1276" s="194" t="s">
        <v>1</v>
      </c>
    </row>
    <row r="1277" spans="1:3" x14ac:dyDescent="0.15">
      <c r="A1277" s="191">
        <f t="shared" si="8"/>
        <v>34548</v>
      </c>
      <c r="B1277" s="193">
        <v>4.7555600811954226E-3</v>
      </c>
      <c r="C1277" s="194" t="s">
        <v>1</v>
      </c>
    </row>
    <row r="1278" spans="1:3" x14ac:dyDescent="0.15">
      <c r="A1278" s="191">
        <f t="shared" si="8"/>
        <v>34549</v>
      </c>
      <c r="B1278" s="193">
        <v>4.7599223245668358E-3</v>
      </c>
      <c r="C1278" s="194" t="s">
        <v>1</v>
      </c>
    </row>
    <row r="1279" spans="1:3" x14ac:dyDescent="0.15">
      <c r="A1279" s="191">
        <f t="shared" si="8"/>
        <v>34550</v>
      </c>
      <c r="B1279" s="193">
        <v>4.7642885693948396E-3</v>
      </c>
      <c r="C1279" s="194" t="s">
        <v>1</v>
      </c>
    </row>
    <row r="1280" spans="1:3" x14ac:dyDescent="0.15">
      <c r="A1280" s="191">
        <f t="shared" si="8"/>
        <v>34551</v>
      </c>
      <c r="B1280" s="193">
        <v>4.7686588193499441E-3</v>
      </c>
      <c r="C1280" s="194" t="s">
        <v>1</v>
      </c>
    </row>
    <row r="1281" spans="1:3" x14ac:dyDescent="0.15">
      <c r="A1281" s="191">
        <f t="shared" si="8"/>
        <v>34552</v>
      </c>
      <c r="B1281" s="193">
        <v>4.7686588193499441E-3</v>
      </c>
      <c r="C1281" s="194" t="s">
        <v>1</v>
      </c>
    </row>
    <row r="1282" spans="1:3" x14ac:dyDescent="0.15">
      <c r="A1282" s="191">
        <f t="shared" si="8"/>
        <v>34553</v>
      </c>
      <c r="B1282" s="193">
        <v>4.7686588193499441E-3</v>
      </c>
      <c r="C1282" s="194" t="s">
        <v>1</v>
      </c>
    </row>
    <row r="1283" spans="1:3" x14ac:dyDescent="0.15">
      <c r="A1283" s="191">
        <f t="shared" si="8"/>
        <v>34554</v>
      </c>
      <c r="B1283" s="193">
        <v>4.7730330781060254E-3</v>
      </c>
      <c r="C1283" s="194" t="s">
        <v>1</v>
      </c>
    </row>
    <row r="1284" spans="1:3" x14ac:dyDescent="0.15">
      <c r="A1284" s="191">
        <f t="shared" si="8"/>
        <v>34555</v>
      </c>
      <c r="B1284" s="193">
        <v>4.7774113493403297E-3</v>
      </c>
      <c r="C1284" s="194" t="s">
        <v>1</v>
      </c>
    </row>
    <row r="1285" spans="1:3" x14ac:dyDescent="0.15">
      <c r="A1285" s="191">
        <f t="shared" si="8"/>
        <v>34556</v>
      </c>
      <c r="B1285" s="193">
        <v>4.7817936367334762E-3</v>
      </c>
      <c r="C1285" s="194" t="s">
        <v>1</v>
      </c>
    </row>
    <row r="1286" spans="1:3" x14ac:dyDescent="0.15">
      <c r="A1286" s="191">
        <f t="shared" si="8"/>
        <v>34557</v>
      </c>
      <c r="B1286" s="193">
        <v>4.7861799439694605E-3</v>
      </c>
      <c r="C1286" s="194" t="s">
        <v>1</v>
      </c>
    </row>
    <row r="1287" spans="1:3" x14ac:dyDescent="0.15">
      <c r="A1287" s="191">
        <f t="shared" si="8"/>
        <v>34558</v>
      </c>
      <c r="B1287" s="193">
        <v>4.790570274735657E-3</v>
      </c>
      <c r="C1287" s="194" t="s">
        <v>1</v>
      </c>
    </row>
    <row r="1288" spans="1:3" x14ac:dyDescent="0.15">
      <c r="A1288" s="191">
        <f t="shared" si="8"/>
        <v>34559</v>
      </c>
      <c r="B1288" s="193">
        <v>4.790570274735657E-3</v>
      </c>
      <c r="C1288" s="194" t="s">
        <v>1</v>
      </c>
    </row>
    <row r="1289" spans="1:3" x14ac:dyDescent="0.15">
      <c r="A1289" s="191">
        <f t="shared" si="8"/>
        <v>34560</v>
      </c>
      <c r="B1289" s="193">
        <v>4.790570274735657E-3</v>
      </c>
      <c r="C1289" s="194" t="s">
        <v>1</v>
      </c>
    </row>
    <row r="1290" spans="1:3" x14ac:dyDescent="0.15">
      <c r="A1290" s="191">
        <f t="shared" si="8"/>
        <v>34561</v>
      </c>
      <c r="B1290" s="193">
        <v>4.7949646327228243E-3</v>
      </c>
      <c r="C1290" s="194" t="s">
        <v>1</v>
      </c>
    </row>
    <row r="1291" spans="1:3" x14ac:dyDescent="0.15">
      <c r="A1291" s="191">
        <f t="shared" si="8"/>
        <v>34562</v>
      </c>
      <c r="B1291" s="193">
        <v>4.7993630216251037E-3</v>
      </c>
      <c r="C1291" s="194" t="s">
        <v>1</v>
      </c>
    </row>
    <row r="1292" spans="1:3" x14ac:dyDescent="0.15">
      <c r="A1292" s="191">
        <f t="shared" si="8"/>
        <v>34563</v>
      </c>
      <c r="B1292" s="193">
        <v>4.8037654451400279E-3</v>
      </c>
      <c r="C1292" s="194" t="s">
        <v>1</v>
      </c>
    </row>
    <row r="1293" spans="1:3" x14ac:dyDescent="0.15">
      <c r="A1293" s="191">
        <f t="shared" si="8"/>
        <v>34564</v>
      </c>
      <c r="B1293" s="193">
        <v>4.8081719069685194E-3</v>
      </c>
      <c r="C1293" s="194" t="s">
        <v>1</v>
      </c>
    </row>
    <row r="1294" spans="1:3" x14ac:dyDescent="0.15">
      <c r="A1294" s="191">
        <f t="shared" si="8"/>
        <v>34565</v>
      </c>
      <c r="B1294" s="193">
        <v>4.8125824108148961E-3</v>
      </c>
      <c r="C1294" s="194" t="s">
        <v>1</v>
      </c>
    </row>
    <row r="1295" spans="1:3" x14ac:dyDescent="0.15">
      <c r="A1295" s="191">
        <f t="shared" si="8"/>
        <v>34566</v>
      </c>
      <c r="B1295" s="193">
        <v>4.8125824108148961E-3</v>
      </c>
      <c r="C1295" s="194" t="s">
        <v>1</v>
      </c>
    </row>
    <row r="1296" spans="1:3" x14ac:dyDescent="0.15">
      <c r="A1296" s="191">
        <f t="shared" si="8"/>
        <v>34567</v>
      </c>
      <c r="B1296" s="193">
        <v>4.8125824108148961E-3</v>
      </c>
      <c r="C1296" s="194" t="s">
        <v>1</v>
      </c>
    </row>
    <row r="1297" spans="1:3" x14ac:dyDescent="0.15">
      <c r="A1297" s="191">
        <f t="shared" si="8"/>
        <v>34568</v>
      </c>
      <c r="B1297" s="193">
        <v>4.8169969603868738E-3</v>
      </c>
      <c r="C1297" s="194" t="s">
        <v>1</v>
      </c>
    </row>
    <row r="1298" spans="1:3" x14ac:dyDescent="0.15">
      <c r="A1298" s="191">
        <f t="shared" si="8"/>
        <v>34569</v>
      </c>
      <c r="B1298" s="193">
        <v>4.8214155593955697E-3</v>
      </c>
      <c r="C1298" s="194" t="s">
        <v>1</v>
      </c>
    </row>
    <row r="1299" spans="1:3" x14ac:dyDescent="0.15">
      <c r="A1299" s="191">
        <f t="shared" si="8"/>
        <v>34570</v>
      </c>
      <c r="B1299" s="193">
        <v>4.8258382115555047E-3</v>
      </c>
      <c r="C1299" s="194" t="s">
        <v>1</v>
      </c>
    </row>
    <row r="1300" spans="1:3" x14ac:dyDescent="0.15">
      <c r="A1300" s="191">
        <f t="shared" si="8"/>
        <v>34571</v>
      </c>
      <c r="B1300" s="193">
        <v>4.8302649205846076E-3</v>
      </c>
      <c r="C1300" s="194" t="s">
        <v>1</v>
      </c>
    </row>
    <row r="1301" spans="1:3" x14ac:dyDescent="0.15">
      <c r="A1301" s="191">
        <f t="shared" si="8"/>
        <v>34572</v>
      </c>
      <c r="B1301" s="193">
        <v>4.8346956902042167E-3</v>
      </c>
      <c r="C1301" s="194" t="s">
        <v>1</v>
      </c>
    </row>
    <row r="1302" spans="1:3" x14ac:dyDescent="0.15">
      <c r="A1302" s="191">
        <f t="shared" si="8"/>
        <v>34573</v>
      </c>
      <c r="B1302" s="193">
        <v>4.8346956902042167E-3</v>
      </c>
      <c r="C1302" s="194" t="s">
        <v>1</v>
      </c>
    </row>
    <row r="1303" spans="1:3" x14ac:dyDescent="0.15">
      <c r="A1303" s="191">
        <f t="shared" si="8"/>
        <v>34574</v>
      </c>
      <c r="B1303" s="193">
        <v>4.8346956902042167E-3</v>
      </c>
      <c r="C1303" s="194" t="s">
        <v>1</v>
      </c>
    </row>
    <row r="1304" spans="1:3" x14ac:dyDescent="0.15">
      <c r="A1304" s="191">
        <f t="shared" si="8"/>
        <v>34575</v>
      </c>
      <c r="B1304" s="193">
        <v>4.8391305241390851E-3</v>
      </c>
      <c r="C1304" s="194" t="s">
        <v>1</v>
      </c>
    </row>
    <row r="1305" spans="1:3" x14ac:dyDescent="0.15">
      <c r="A1305" s="191">
        <f t="shared" si="8"/>
        <v>34576</v>
      </c>
      <c r="B1305" s="193">
        <v>4.8435694261173817E-3</v>
      </c>
      <c r="C1305" s="194" t="s">
        <v>1</v>
      </c>
    </row>
    <row r="1306" spans="1:3" x14ac:dyDescent="0.15">
      <c r="A1306" s="191">
        <f t="shared" si="8"/>
        <v>34577</v>
      </c>
      <c r="B1306" s="193">
        <v>4.8480123998706952E-3</v>
      </c>
      <c r="C1306" s="194" t="s">
        <v>1</v>
      </c>
    </row>
    <row r="1307" spans="1:3" x14ac:dyDescent="0.15">
      <c r="A1307" s="191">
        <f t="shared" si="8"/>
        <v>34578</v>
      </c>
      <c r="B1307" s="193">
        <v>4.8524594491340381E-3</v>
      </c>
      <c r="C1307" s="194" t="s">
        <v>1</v>
      </c>
    </row>
    <row r="1308" spans="1:3" x14ac:dyDescent="0.15">
      <c r="A1308" s="191">
        <f t="shared" si="8"/>
        <v>34579</v>
      </c>
      <c r="B1308" s="193">
        <v>4.85830977166725E-3</v>
      </c>
      <c r="C1308" s="194" t="s">
        <v>1</v>
      </c>
    </row>
    <row r="1309" spans="1:3" x14ac:dyDescent="0.15">
      <c r="A1309" s="191">
        <f t="shared" si="8"/>
        <v>34580</v>
      </c>
      <c r="B1309" s="193">
        <v>4.85830977166725E-3</v>
      </c>
      <c r="C1309" s="194" t="s">
        <v>1</v>
      </c>
    </row>
    <row r="1310" spans="1:3" x14ac:dyDescent="0.15">
      <c r="A1310" s="191">
        <f t="shared" si="8"/>
        <v>34581</v>
      </c>
      <c r="B1310" s="193">
        <v>4.85830977166725E-3</v>
      </c>
      <c r="C1310" s="194" t="s">
        <v>1</v>
      </c>
    </row>
    <row r="1311" spans="1:3" x14ac:dyDescent="0.15">
      <c r="A1311" s="191">
        <f t="shared" si="8"/>
        <v>34582</v>
      </c>
      <c r="B1311" s="193">
        <v>4.8641671475873269E-3</v>
      </c>
      <c r="C1311" s="194" t="s">
        <v>1</v>
      </c>
    </row>
    <row r="1312" spans="1:3" x14ac:dyDescent="0.15">
      <c r="A1312" s="191">
        <f t="shared" si="8"/>
        <v>34583</v>
      </c>
      <c r="B1312" s="193">
        <v>4.8700315853981192E-3</v>
      </c>
      <c r="C1312" s="194" t="s">
        <v>1</v>
      </c>
    </row>
    <row r="1313" spans="1:3" x14ac:dyDescent="0.15">
      <c r="A1313" s="191">
        <f t="shared" si="8"/>
        <v>34584</v>
      </c>
      <c r="B1313" s="193">
        <v>4.8700315853981192E-3</v>
      </c>
      <c r="C1313" s="194" t="s">
        <v>1</v>
      </c>
    </row>
    <row r="1314" spans="1:3" x14ac:dyDescent="0.15">
      <c r="A1314" s="191">
        <f t="shared" si="8"/>
        <v>34585</v>
      </c>
      <c r="B1314" s="193">
        <v>4.8759030936137296E-3</v>
      </c>
      <c r="C1314" s="194" t="s">
        <v>1</v>
      </c>
    </row>
    <row r="1315" spans="1:3" x14ac:dyDescent="0.15">
      <c r="A1315" s="191">
        <f t="shared" si="8"/>
        <v>34586</v>
      </c>
      <c r="B1315" s="193">
        <v>4.8817816807585259E-3</v>
      </c>
      <c r="C1315" s="194" t="s">
        <v>1</v>
      </c>
    </row>
    <row r="1316" spans="1:3" x14ac:dyDescent="0.15">
      <c r="A1316" s="191">
        <f t="shared" si="8"/>
        <v>34587</v>
      </c>
      <c r="B1316" s="193">
        <v>4.8817816807585259E-3</v>
      </c>
      <c r="C1316" s="194" t="s">
        <v>1</v>
      </c>
    </row>
    <row r="1317" spans="1:3" x14ac:dyDescent="0.15">
      <c r="A1317" s="191">
        <f t="shared" si="8"/>
        <v>34588</v>
      </c>
      <c r="B1317" s="193">
        <v>4.8817816807585259E-3</v>
      </c>
      <c r="C1317" s="194" t="s">
        <v>1</v>
      </c>
    </row>
    <row r="1318" spans="1:3" x14ac:dyDescent="0.15">
      <c r="A1318" s="191">
        <f t="shared" si="8"/>
        <v>34589</v>
      </c>
      <c r="B1318" s="193">
        <v>4.8876673553671533E-3</v>
      </c>
      <c r="C1318" s="194" t="s">
        <v>1</v>
      </c>
    </row>
    <row r="1319" spans="1:3" x14ac:dyDescent="0.15">
      <c r="A1319" s="191">
        <f t="shared" si="8"/>
        <v>34590</v>
      </c>
      <c r="B1319" s="193">
        <v>4.8935601259845465E-3</v>
      </c>
      <c r="C1319" s="194" t="s">
        <v>1</v>
      </c>
    </row>
    <row r="1320" spans="1:3" x14ac:dyDescent="0.15">
      <c r="A1320" s="191">
        <f t="shared" si="8"/>
        <v>34591</v>
      </c>
      <c r="B1320" s="193">
        <v>4.8994600011659419E-3</v>
      </c>
      <c r="C1320" s="194" t="s">
        <v>1</v>
      </c>
    </row>
    <row r="1321" spans="1:3" x14ac:dyDescent="0.15">
      <c r="A1321" s="191">
        <f t="shared" si="8"/>
        <v>34592</v>
      </c>
      <c r="B1321" s="193">
        <v>4.9053669894768915E-3</v>
      </c>
      <c r="C1321" s="194" t="s">
        <v>1</v>
      </c>
    </row>
    <row r="1322" spans="1:3" x14ac:dyDescent="0.15">
      <c r="A1322" s="191">
        <f t="shared" si="8"/>
        <v>34593</v>
      </c>
      <c r="B1322" s="193">
        <v>4.911281099493273E-3</v>
      </c>
      <c r="C1322" s="194" t="s">
        <v>1</v>
      </c>
    </row>
    <row r="1323" spans="1:3" x14ac:dyDescent="0.15">
      <c r="A1323" s="191">
        <f t="shared" si="8"/>
        <v>34594</v>
      </c>
      <c r="B1323" s="193">
        <v>4.911281099493273E-3</v>
      </c>
      <c r="C1323" s="194" t="s">
        <v>1</v>
      </c>
    </row>
    <row r="1324" spans="1:3" x14ac:dyDescent="0.15">
      <c r="A1324" s="191">
        <f t="shared" si="8"/>
        <v>34595</v>
      </c>
      <c r="B1324" s="193">
        <v>4.911281099493273E-3</v>
      </c>
      <c r="C1324" s="194" t="s">
        <v>1</v>
      </c>
    </row>
    <row r="1325" spans="1:3" x14ac:dyDescent="0.15">
      <c r="A1325" s="191">
        <f t="shared" si="8"/>
        <v>34596</v>
      </c>
      <c r="B1325" s="193">
        <v>4.917202339801305E-3</v>
      </c>
      <c r="C1325" s="194" t="s">
        <v>1</v>
      </c>
    </row>
    <row r="1326" spans="1:3" x14ac:dyDescent="0.15">
      <c r="A1326" s="191">
        <f t="shared" si="8"/>
        <v>34597</v>
      </c>
      <c r="B1326" s="193">
        <v>4.9231307189975563E-3</v>
      </c>
      <c r="C1326" s="194" t="s">
        <v>1</v>
      </c>
    </row>
    <row r="1327" spans="1:3" x14ac:dyDescent="0.15">
      <c r="A1327" s="191">
        <f t="shared" si="8"/>
        <v>34598</v>
      </c>
      <c r="B1327" s="193">
        <v>4.9290662456889615E-3</v>
      </c>
      <c r="C1327" s="194" t="s">
        <v>1</v>
      </c>
    </row>
    <row r="1328" spans="1:3" x14ac:dyDescent="0.15">
      <c r="A1328" s="191">
        <f t="shared" si="8"/>
        <v>34599</v>
      </c>
      <c r="B1328" s="193">
        <v>4.9350089284928324E-3</v>
      </c>
      <c r="C1328" s="194" t="s">
        <v>1</v>
      </c>
    </row>
    <row r="1329" spans="1:3" x14ac:dyDescent="0.15">
      <c r="A1329" s="191">
        <f t="shared" si="8"/>
        <v>34600</v>
      </c>
      <c r="B1329" s="193">
        <v>4.9409587760368681E-3</v>
      </c>
      <c r="C1329" s="194" t="s">
        <v>1</v>
      </c>
    </row>
    <row r="1330" spans="1:3" x14ac:dyDescent="0.15">
      <c r="A1330" s="191">
        <f t="shared" si="8"/>
        <v>34601</v>
      </c>
      <c r="B1330" s="193">
        <v>4.9409587760368681E-3</v>
      </c>
      <c r="C1330" s="194" t="s">
        <v>1</v>
      </c>
    </row>
    <row r="1331" spans="1:3" x14ac:dyDescent="0.15">
      <c r="A1331" s="191">
        <f t="shared" si="8"/>
        <v>34602</v>
      </c>
      <c r="B1331" s="193">
        <v>4.9409587760368681E-3</v>
      </c>
      <c r="C1331" s="194" t="s">
        <v>1</v>
      </c>
    </row>
    <row r="1332" spans="1:3" x14ac:dyDescent="0.15">
      <c r="A1332" s="191">
        <f t="shared" si="8"/>
        <v>34603</v>
      </c>
      <c r="B1332" s="193">
        <v>4.946915796959171E-3</v>
      </c>
      <c r="C1332" s="194" t="s">
        <v>1</v>
      </c>
    </row>
    <row r="1333" spans="1:3" x14ac:dyDescent="0.15">
      <c r="A1333" s="191">
        <f t="shared" si="8"/>
        <v>34604</v>
      </c>
      <c r="B1333" s="193">
        <v>4.9528799999082581E-3</v>
      </c>
      <c r="C1333" s="194" t="s">
        <v>1</v>
      </c>
    </row>
    <row r="1334" spans="1:3" x14ac:dyDescent="0.15">
      <c r="A1334" s="191">
        <f t="shared" si="8"/>
        <v>34605</v>
      </c>
      <c r="B1334" s="193">
        <v>4.9588513935430734E-3</v>
      </c>
      <c r="C1334" s="194" t="s">
        <v>1</v>
      </c>
    </row>
    <row r="1335" spans="1:3" x14ac:dyDescent="0.15">
      <c r="A1335" s="191">
        <f t="shared" ref="A1335:A1398" si="9">A1334+1</f>
        <v>34606</v>
      </c>
      <c r="B1335" s="193">
        <v>4.9648299865329999E-3</v>
      </c>
      <c r="C1335" s="194" t="s">
        <v>1</v>
      </c>
    </row>
    <row r="1336" spans="1:3" x14ac:dyDescent="0.15">
      <c r="A1336" s="191">
        <f t="shared" si="9"/>
        <v>34607</v>
      </c>
      <c r="B1336" s="193">
        <v>4.9708157875578722E-3</v>
      </c>
      <c r="C1336" s="194" t="s">
        <v>1</v>
      </c>
    </row>
    <row r="1337" spans="1:3" x14ac:dyDescent="0.15">
      <c r="A1337" s="191">
        <f t="shared" si="9"/>
        <v>34608</v>
      </c>
      <c r="B1337" s="193">
        <v>4.9708157875578722E-3</v>
      </c>
      <c r="C1337" s="194" t="s">
        <v>1</v>
      </c>
    </row>
    <row r="1338" spans="1:3" x14ac:dyDescent="0.15">
      <c r="A1338" s="191">
        <f t="shared" si="9"/>
        <v>34609</v>
      </c>
      <c r="B1338" s="193">
        <v>4.9708157875578722E-3</v>
      </c>
      <c r="C1338" s="194" t="s">
        <v>1</v>
      </c>
    </row>
    <row r="1339" spans="1:3" x14ac:dyDescent="0.15">
      <c r="A1339" s="191">
        <f t="shared" si="9"/>
        <v>34610</v>
      </c>
      <c r="B1339" s="193">
        <v>4.9708157875578722E-3</v>
      </c>
      <c r="C1339" s="194" t="s">
        <v>1</v>
      </c>
    </row>
    <row r="1340" spans="1:3" x14ac:dyDescent="0.15">
      <c r="A1340" s="191">
        <f t="shared" si="9"/>
        <v>34611</v>
      </c>
      <c r="B1340" s="193">
        <v>4.9770904358211734E-3</v>
      </c>
      <c r="C1340" s="194" t="s">
        <v>1</v>
      </c>
    </row>
    <row r="1341" spans="1:3" x14ac:dyDescent="0.15">
      <c r="A1341" s="191">
        <f t="shared" si="9"/>
        <v>34612</v>
      </c>
      <c r="B1341" s="193">
        <v>4.9833730045571916E-3</v>
      </c>
      <c r="C1341" s="194" t="s">
        <v>1</v>
      </c>
    </row>
    <row r="1342" spans="1:3" x14ac:dyDescent="0.15">
      <c r="A1342" s="191">
        <f t="shared" si="9"/>
        <v>34613</v>
      </c>
      <c r="B1342" s="193">
        <v>4.9896635037639204E-3</v>
      </c>
      <c r="C1342" s="194" t="s">
        <v>1</v>
      </c>
    </row>
    <row r="1343" spans="1:3" x14ac:dyDescent="0.15">
      <c r="A1343" s="191">
        <f t="shared" si="9"/>
        <v>34614</v>
      </c>
      <c r="B1343" s="193">
        <v>4.9959619434519721E-3</v>
      </c>
      <c r="C1343" s="194" t="s">
        <v>1</v>
      </c>
    </row>
    <row r="1344" spans="1:3" x14ac:dyDescent="0.15">
      <c r="A1344" s="191">
        <f t="shared" si="9"/>
        <v>34615</v>
      </c>
      <c r="B1344" s="193">
        <v>4.9959619434519721E-3</v>
      </c>
      <c r="C1344" s="194" t="s">
        <v>1</v>
      </c>
    </row>
    <row r="1345" spans="1:3" x14ac:dyDescent="0.15">
      <c r="A1345" s="191">
        <f t="shared" si="9"/>
        <v>34616</v>
      </c>
      <c r="B1345" s="193">
        <v>4.9959619434519721E-3</v>
      </c>
      <c r="C1345" s="194" t="s">
        <v>1</v>
      </c>
    </row>
    <row r="1346" spans="1:3" x14ac:dyDescent="0.15">
      <c r="A1346" s="191">
        <f t="shared" si="9"/>
        <v>34617</v>
      </c>
      <c r="B1346" s="193">
        <v>5.002268333644597E-3</v>
      </c>
      <c r="C1346" s="194" t="s">
        <v>1</v>
      </c>
    </row>
    <row r="1347" spans="1:3" x14ac:dyDescent="0.15">
      <c r="A1347" s="191">
        <f t="shared" si="9"/>
        <v>34618</v>
      </c>
      <c r="B1347" s="193">
        <v>5.008582684377697E-3</v>
      </c>
      <c r="C1347" s="194" t="s">
        <v>1</v>
      </c>
    </row>
    <row r="1348" spans="1:3" x14ac:dyDescent="0.15">
      <c r="A1348" s="191">
        <f t="shared" si="9"/>
        <v>34619</v>
      </c>
      <c r="B1348" s="193">
        <v>5.008582684377697E-3</v>
      </c>
      <c r="C1348" s="194" t="s">
        <v>1</v>
      </c>
    </row>
    <row r="1349" spans="1:3" x14ac:dyDescent="0.15">
      <c r="A1349" s="191">
        <f t="shared" si="9"/>
        <v>34620</v>
      </c>
      <c r="B1349" s="193">
        <v>5.0149050056998417E-3</v>
      </c>
      <c r="C1349" s="194" t="s">
        <v>1</v>
      </c>
    </row>
    <row r="1350" spans="1:3" x14ac:dyDescent="0.15">
      <c r="A1350" s="191">
        <f t="shared" si="9"/>
        <v>34621</v>
      </c>
      <c r="B1350" s="193">
        <v>5.0212353076722858E-3</v>
      </c>
      <c r="C1350" s="194" t="s">
        <v>1</v>
      </c>
    </row>
    <row r="1351" spans="1:3" x14ac:dyDescent="0.15">
      <c r="A1351" s="191">
        <f t="shared" si="9"/>
        <v>34622</v>
      </c>
      <c r="B1351" s="193">
        <v>5.0212353076722858E-3</v>
      </c>
      <c r="C1351" s="194" t="s">
        <v>1</v>
      </c>
    </row>
    <row r="1352" spans="1:3" x14ac:dyDescent="0.15">
      <c r="A1352" s="191">
        <f t="shared" si="9"/>
        <v>34623</v>
      </c>
      <c r="B1352" s="193">
        <v>5.0212353076722858E-3</v>
      </c>
      <c r="C1352" s="194" t="s">
        <v>1</v>
      </c>
    </row>
    <row r="1353" spans="1:3" x14ac:dyDescent="0.15">
      <c r="A1353" s="191">
        <f t="shared" si="9"/>
        <v>34624</v>
      </c>
      <c r="B1353" s="193">
        <v>5.0275736003689842E-3</v>
      </c>
      <c r="C1353" s="194" t="s">
        <v>1</v>
      </c>
    </row>
    <row r="1354" spans="1:3" x14ac:dyDescent="0.15">
      <c r="A1354" s="191">
        <f t="shared" si="9"/>
        <v>34625</v>
      </c>
      <c r="B1354" s="193">
        <v>5.0339198938766086E-3</v>
      </c>
      <c r="C1354" s="194" t="s">
        <v>1</v>
      </c>
    </row>
    <row r="1355" spans="1:3" x14ac:dyDescent="0.15">
      <c r="A1355" s="191">
        <f t="shared" si="9"/>
        <v>34626</v>
      </c>
      <c r="B1355" s="193">
        <v>5.0402741982945613E-3</v>
      </c>
      <c r="C1355" s="194" t="s">
        <v>1</v>
      </c>
    </row>
    <row r="1356" spans="1:3" x14ac:dyDescent="0.15">
      <c r="A1356" s="191">
        <f t="shared" si="9"/>
        <v>34627</v>
      </c>
      <c r="B1356" s="193">
        <v>5.0466365237349957E-3</v>
      </c>
      <c r="C1356" s="194" t="s">
        <v>1</v>
      </c>
    </row>
    <row r="1357" spans="1:3" x14ac:dyDescent="0.15">
      <c r="A1357" s="191">
        <f t="shared" si="9"/>
        <v>34628</v>
      </c>
      <c r="B1357" s="193">
        <v>5.0530068803228273E-3</v>
      </c>
      <c r="C1357" s="194" t="s">
        <v>1</v>
      </c>
    </row>
    <row r="1358" spans="1:3" x14ac:dyDescent="0.15">
      <c r="A1358" s="191">
        <f t="shared" si="9"/>
        <v>34629</v>
      </c>
      <c r="B1358" s="193">
        <v>5.0530068803228273E-3</v>
      </c>
      <c r="C1358" s="194" t="s">
        <v>1</v>
      </c>
    </row>
    <row r="1359" spans="1:3" x14ac:dyDescent="0.15">
      <c r="A1359" s="191">
        <f t="shared" si="9"/>
        <v>34630</v>
      </c>
      <c r="B1359" s="193">
        <v>5.0530068803228273E-3</v>
      </c>
      <c r="C1359" s="194" t="s">
        <v>1</v>
      </c>
    </row>
    <row r="1360" spans="1:3" x14ac:dyDescent="0.15">
      <c r="A1360" s="191">
        <f t="shared" si="9"/>
        <v>34631</v>
      </c>
      <c r="B1360" s="193">
        <v>5.0593852781957533E-3</v>
      </c>
      <c r="C1360" s="194" t="s">
        <v>1</v>
      </c>
    </row>
    <row r="1361" spans="1:3" x14ac:dyDescent="0.15">
      <c r="A1361" s="191">
        <f t="shared" si="9"/>
        <v>34632</v>
      </c>
      <c r="B1361" s="193">
        <v>5.0657717275042679E-3</v>
      </c>
      <c r="C1361" s="194" t="s">
        <v>1</v>
      </c>
    </row>
    <row r="1362" spans="1:3" x14ac:dyDescent="0.15">
      <c r="A1362" s="191">
        <f t="shared" si="9"/>
        <v>34633</v>
      </c>
      <c r="B1362" s="193">
        <v>5.0721662384116779E-3</v>
      </c>
      <c r="C1362" s="194" t="s">
        <v>1</v>
      </c>
    </row>
    <row r="1363" spans="1:3" x14ac:dyDescent="0.15">
      <c r="A1363" s="191">
        <f t="shared" si="9"/>
        <v>34634</v>
      </c>
      <c r="B1363" s="193">
        <v>5.0785688210941192E-3</v>
      </c>
      <c r="C1363" s="194" t="s">
        <v>1</v>
      </c>
    </row>
    <row r="1364" spans="1:3" x14ac:dyDescent="0.15">
      <c r="A1364" s="191">
        <f t="shared" si="9"/>
        <v>34635</v>
      </c>
      <c r="B1364" s="193">
        <v>5.0849794857405735E-3</v>
      </c>
      <c r="C1364" s="194" t="s">
        <v>1</v>
      </c>
    </row>
    <row r="1365" spans="1:3" x14ac:dyDescent="0.15">
      <c r="A1365" s="191">
        <f t="shared" si="9"/>
        <v>34636</v>
      </c>
      <c r="B1365" s="193">
        <v>5.0849794857405735E-3</v>
      </c>
      <c r="C1365" s="194" t="s">
        <v>1</v>
      </c>
    </row>
    <row r="1366" spans="1:3" x14ac:dyDescent="0.15">
      <c r="A1366" s="191">
        <f t="shared" si="9"/>
        <v>34637</v>
      </c>
      <c r="B1366" s="193">
        <v>5.0849794857405735E-3</v>
      </c>
      <c r="C1366" s="194" t="s">
        <v>1</v>
      </c>
    </row>
    <row r="1367" spans="1:3" x14ac:dyDescent="0.15">
      <c r="A1367" s="191">
        <f t="shared" si="9"/>
        <v>34638</v>
      </c>
      <c r="B1367" s="193">
        <v>5.0913982425528836E-3</v>
      </c>
      <c r="C1367" s="194" t="s">
        <v>1</v>
      </c>
    </row>
    <row r="1368" spans="1:3" x14ac:dyDescent="0.15">
      <c r="A1368" s="191">
        <f t="shared" si="9"/>
        <v>34639</v>
      </c>
      <c r="B1368" s="193">
        <v>5.0978251017457692E-3</v>
      </c>
      <c r="C1368" s="194" t="s">
        <v>1</v>
      </c>
    </row>
    <row r="1369" spans="1:3" x14ac:dyDescent="0.15">
      <c r="A1369" s="191">
        <f t="shared" si="9"/>
        <v>34640</v>
      </c>
      <c r="B1369" s="193">
        <v>5.0978251017457692E-3</v>
      </c>
      <c r="C1369" s="194" t="s">
        <v>1</v>
      </c>
    </row>
    <row r="1370" spans="1:3" x14ac:dyDescent="0.15">
      <c r="A1370" s="191">
        <f t="shared" si="9"/>
        <v>34641</v>
      </c>
      <c r="B1370" s="193">
        <v>5.105169092666507E-3</v>
      </c>
      <c r="C1370" s="194" t="s">
        <v>1</v>
      </c>
    </row>
    <row r="1371" spans="1:3" x14ac:dyDescent="0.15">
      <c r="A1371" s="191">
        <f t="shared" si="9"/>
        <v>34642</v>
      </c>
      <c r="B1371" s="193">
        <v>5.1125236634328788E-3</v>
      </c>
      <c r="C1371" s="194" t="s">
        <v>1</v>
      </c>
    </row>
    <row r="1372" spans="1:3" x14ac:dyDescent="0.15">
      <c r="A1372" s="191">
        <f t="shared" si="9"/>
        <v>34643</v>
      </c>
      <c r="B1372" s="193">
        <v>5.1125236634328788E-3</v>
      </c>
      <c r="C1372" s="194" t="s">
        <v>1</v>
      </c>
    </row>
    <row r="1373" spans="1:3" x14ac:dyDescent="0.15">
      <c r="A1373" s="191">
        <f t="shared" si="9"/>
        <v>34644</v>
      </c>
      <c r="B1373" s="193">
        <v>5.1125236634328788E-3</v>
      </c>
      <c r="C1373" s="194" t="s">
        <v>1</v>
      </c>
    </row>
    <row r="1374" spans="1:3" x14ac:dyDescent="0.15">
      <c r="A1374" s="191">
        <f t="shared" si="9"/>
        <v>34645</v>
      </c>
      <c r="B1374" s="193">
        <v>5.1198888292863431E-3</v>
      </c>
      <c r="C1374" s="194" t="s">
        <v>1</v>
      </c>
    </row>
    <row r="1375" spans="1:3" x14ac:dyDescent="0.15">
      <c r="A1375" s="191">
        <f t="shared" si="9"/>
        <v>34646</v>
      </c>
      <c r="B1375" s="193">
        <v>5.1272646054903153E-3</v>
      </c>
      <c r="C1375" s="194" t="s">
        <v>1</v>
      </c>
    </row>
    <row r="1376" spans="1:3" x14ac:dyDescent="0.15">
      <c r="A1376" s="191">
        <f t="shared" si="9"/>
        <v>34647</v>
      </c>
      <c r="B1376" s="193">
        <v>5.1346510073301994E-3</v>
      </c>
      <c r="C1376" s="194" t="s">
        <v>1</v>
      </c>
    </row>
    <row r="1377" spans="1:3" x14ac:dyDescent="0.15">
      <c r="A1377" s="191">
        <f t="shared" si="9"/>
        <v>34648</v>
      </c>
      <c r="B1377" s="193">
        <v>5.1420480501134201E-3</v>
      </c>
      <c r="C1377" s="194" t="s">
        <v>1</v>
      </c>
    </row>
    <row r="1378" spans="1:3" x14ac:dyDescent="0.15">
      <c r="A1378" s="191">
        <f t="shared" si="9"/>
        <v>34649</v>
      </c>
      <c r="B1378" s="193">
        <v>5.1494557491694546E-3</v>
      </c>
      <c r="C1378" s="194" t="s">
        <v>1</v>
      </c>
    </row>
    <row r="1379" spans="1:3" x14ac:dyDescent="0.15">
      <c r="A1379" s="191">
        <f t="shared" si="9"/>
        <v>34650</v>
      </c>
      <c r="B1379" s="193">
        <v>5.1494557491694546E-3</v>
      </c>
      <c r="C1379" s="194" t="s">
        <v>1</v>
      </c>
    </row>
    <row r="1380" spans="1:3" x14ac:dyDescent="0.15">
      <c r="A1380" s="191">
        <f t="shared" si="9"/>
        <v>34651</v>
      </c>
      <c r="B1380" s="193">
        <v>5.1494557491694546E-3</v>
      </c>
      <c r="C1380" s="194" t="s">
        <v>1</v>
      </c>
    </row>
    <row r="1381" spans="1:3" x14ac:dyDescent="0.15">
      <c r="A1381" s="191">
        <f t="shared" si="9"/>
        <v>34652</v>
      </c>
      <c r="B1381" s="193">
        <v>5.1568741198498632E-3</v>
      </c>
      <c r="C1381" s="194" t="s">
        <v>1</v>
      </c>
    </row>
    <row r="1382" spans="1:3" x14ac:dyDescent="0.15">
      <c r="A1382" s="191">
        <f t="shared" si="9"/>
        <v>34653</v>
      </c>
      <c r="B1382" s="193">
        <v>5.1568741198498632E-3</v>
      </c>
      <c r="C1382" s="194" t="s">
        <v>1</v>
      </c>
    </row>
    <row r="1383" spans="1:3" x14ac:dyDescent="0.15">
      <c r="A1383" s="191">
        <f t="shared" si="9"/>
        <v>34654</v>
      </c>
      <c r="B1383" s="193">
        <v>5.1643031775283222E-3</v>
      </c>
      <c r="C1383" s="194" t="s">
        <v>1</v>
      </c>
    </row>
    <row r="1384" spans="1:3" x14ac:dyDescent="0.15">
      <c r="A1384" s="191">
        <f t="shared" si="9"/>
        <v>34655</v>
      </c>
      <c r="B1384" s="193">
        <v>5.171742937600656E-3</v>
      </c>
      <c r="C1384" s="194" t="s">
        <v>1</v>
      </c>
    </row>
    <row r="1385" spans="1:3" x14ac:dyDescent="0.15">
      <c r="A1385" s="191">
        <f t="shared" si="9"/>
        <v>34656</v>
      </c>
      <c r="B1385" s="193">
        <v>5.1791934154848665E-3</v>
      </c>
      <c r="C1385" s="194" t="s">
        <v>1</v>
      </c>
    </row>
    <row r="1386" spans="1:3" x14ac:dyDescent="0.15">
      <c r="A1386" s="191">
        <f t="shared" si="9"/>
        <v>34657</v>
      </c>
      <c r="B1386" s="193">
        <v>5.1791934154848665E-3</v>
      </c>
      <c r="C1386" s="194" t="s">
        <v>1</v>
      </c>
    </row>
    <row r="1387" spans="1:3" x14ac:dyDescent="0.15">
      <c r="A1387" s="191">
        <f t="shared" si="9"/>
        <v>34658</v>
      </c>
      <c r="B1387" s="193">
        <v>5.1791934154848665E-3</v>
      </c>
      <c r="C1387" s="194" t="s">
        <v>1</v>
      </c>
    </row>
    <row r="1388" spans="1:3" x14ac:dyDescent="0.15">
      <c r="A1388" s="191">
        <f t="shared" si="9"/>
        <v>34659</v>
      </c>
      <c r="B1388" s="193">
        <v>5.1866546266211688E-3</v>
      </c>
      <c r="C1388" s="194" t="s">
        <v>1</v>
      </c>
    </row>
    <row r="1389" spans="1:3" x14ac:dyDescent="0.15">
      <c r="A1389" s="191">
        <f t="shared" si="9"/>
        <v>34660</v>
      </c>
      <c r="B1389" s="193">
        <v>5.1941265864720206E-3</v>
      </c>
      <c r="C1389" s="194" t="s">
        <v>1</v>
      </c>
    </row>
    <row r="1390" spans="1:3" x14ac:dyDescent="0.15">
      <c r="A1390" s="191">
        <f t="shared" si="9"/>
        <v>34661</v>
      </c>
      <c r="B1390" s="193">
        <v>5.201609310522156E-3</v>
      </c>
      <c r="C1390" s="194" t="s">
        <v>1</v>
      </c>
    </row>
    <row r="1391" spans="1:3" x14ac:dyDescent="0.15">
      <c r="A1391" s="191">
        <f t="shared" si="9"/>
        <v>34662</v>
      </c>
      <c r="B1391" s="193">
        <v>5.2091028142786143E-3</v>
      </c>
      <c r="C1391" s="194" t="s">
        <v>1</v>
      </c>
    </row>
    <row r="1392" spans="1:3" x14ac:dyDescent="0.15">
      <c r="A1392" s="191">
        <f t="shared" si="9"/>
        <v>34663</v>
      </c>
      <c r="B1392" s="193">
        <v>5.2166071132707771E-3</v>
      </c>
      <c r="C1392" s="194" t="s">
        <v>1</v>
      </c>
    </row>
    <row r="1393" spans="1:3" x14ac:dyDescent="0.15">
      <c r="A1393" s="191">
        <f t="shared" si="9"/>
        <v>34664</v>
      </c>
      <c r="B1393" s="193">
        <v>5.2166071132707771E-3</v>
      </c>
      <c r="C1393" s="194" t="s">
        <v>1</v>
      </c>
    </row>
    <row r="1394" spans="1:3" x14ac:dyDescent="0.15">
      <c r="A1394" s="191">
        <f t="shared" si="9"/>
        <v>34665</v>
      </c>
      <c r="B1394" s="193">
        <v>5.2166071132707771E-3</v>
      </c>
      <c r="C1394" s="194" t="s">
        <v>1</v>
      </c>
    </row>
    <row r="1395" spans="1:3" x14ac:dyDescent="0.15">
      <c r="A1395" s="191">
        <f t="shared" si="9"/>
        <v>34666</v>
      </c>
      <c r="B1395" s="193">
        <v>5.2241222230503962E-3</v>
      </c>
      <c r="C1395" s="194" t="s">
        <v>1</v>
      </c>
    </row>
    <row r="1396" spans="1:3" x14ac:dyDescent="0.15">
      <c r="A1396" s="191">
        <f t="shared" si="9"/>
        <v>34667</v>
      </c>
      <c r="B1396" s="193">
        <v>5.231648159191628E-3</v>
      </c>
      <c r="C1396" s="194" t="s">
        <v>1</v>
      </c>
    </row>
    <row r="1397" spans="1:3" x14ac:dyDescent="0.15">
      <c r="A1397" s="191">
        <f t="shared" si="9"/>
        <v>34668</v>
      </c>
      <c r="B1397" s="193">
        <v>5.2391849372910651E-3</v>
      </c>
      <c r="C1397" s="194" t="s">
        <v>1</v>
      </c>
    </row>
    <row r="1398" spans="1:3" x14ac:dyDescent="0.15">
      <c r="A1398" s="191">
        <f t="shared" si="9"/>
        <v>34669</v>
      </c>
      <c r="B1398" s="193">
        <v>5.2467325729677692E-3</v>
      </c>
      <c r="C1398" s="194" t="s">
        <v>1</v>
      </c>
    </row>
    <row r="1399" spans="1:3" x14ac:dyDescent="0.15">
      <c r="A1399" s="191">
        <f t="shared" ref="A1399:A1462" si="10">A1398+1</f>
        <v>34670</v>
      </c>
      <c r="B1399" s="193">
        <v>5.2541687860256803E-3</v>
      </c>
      <c r="C1399" s="194" t="s">
        <v>1</v>
      </c>
    </row>
    <row r="1400" spans="1:3" x14ac:dyDescent="0.15">
      <c r="A1400" s="191">
        <f t="shared" si="10"/>
        <v>34671</v>
      </c>
      <c r="B1400" s="193">
        <v>5.2541687860256803E-3</v>
      </c>
      <c r="C1400" s="194" t="s">
        <v>1</v>
      </c>
    </row>
    <row r="1401" spans="1:3" x14ac:dyDescent="0.15">
      <c r="A1401" s="191">
        <f t="shared" si="10"/>
        <v>34672</v>
      </c>
      <c r="B1401" s="193">
        <v>5.2541687860256803E-3</v>
      </c>
      <c r="C1401" s="194" t="s">
        <v>1</v>
      </c>
    </row>
    <row r="1402" spans="1:3" x14ac:dyDescent="0.15">
      <c r="A1402" s="191">
        <f t="shared" si="10"/>
        <v>34673</v>
      </c>
      <c r="B1402" s="193">
        <v>5.261615538455262E-3</v>
      </c>
      <c r="C1402" s="194" t="s">
        <v>1</v>
      </c>
    </row>
    <row r="1403" spans="1:3" x14ac:dyDescent="0.15">
      <c r="A1403" s="191">
        <f t="shared" si="10"/>
        <v>34674</v>
      </c>
      <c r="B1403" s="193">
        <v>5.2690728451940047E-3</v>
      </c>
      <c r="C1403" s="194" t="s">
        <v>1</v>
      </c>
    </row>
    <row r="1404" spans="1:3" x14ac:dyDescent="0.15">
      <c r="A1404" s="191">
        <f t="shared" si="10"/>
        <v>34675</v>
      </c>
      <c r="B1404" s="193">
        <v>5.2765407212005677E-3</v>
      </c>
      <c r="C1404" s="194" t="s">
        <v>1</v>
      </c>
    </row>
    <row r="1405" spans="1:3" x14ac:dyDescent="0.15">
      <c r="A1405" s="191">
        <f t="shared" si="10"/>
        <v>34676</v>
      </c>
      <c r="B1405" s="193">
        <v>5.2765407212005677E-3</v>
      </c>
      <c r="C1405" s="194" t="s">
        <v>1</v>
      </c>
    </row>
    <row r="1406" spans="1:3" x14ac:dyDescent="0.15">
      <c r="A1406" s="191">
        <f t="shared" si="10"/>
        <v>34677</v>
      </c>
      <c r="B1406" s="193">
        <v>5.284019181454813E-3</v>
      </c>
      <c r="C1406" s="194" t="s">
        <v>1</v>
      </c>
    </row>
    <row r="1407" spans="1:3" x14ac:dyDescent="0.15">
      <c r="A1407" s="191">
        <f t="shared" si="10"/>
        <v>34678</v>
      </c>
      <c r="B1407" s="193">
        <v>5.284019181454813E-3</v>
      </c>
      <c r="C1407" s="194" t="s">
        <v>1</v>
      </c>
    </row>
    <row r="1408" spans="1:3" x14ac:dyDescent="0.15">
      <c r="A1408" s="191">
        <f t="shared" si="10"/>
        <v>34679</v>
      </c>
      <c r="B1408" s="193">
        <v>5.284019181454813E-3</v>
      </c>
      <c r="C1408" s="194" t="s">
        <v>1</v>
      </c>
    </row>
    <row r="1409" spans="1:3" x14ac:dyDescent="0.15">
      <c r="A1409" s="191">
        <f t="shared" si="10"/>
        <v>34680</v>
      </c>
      <c r="B1409" s="193">
        <v>5.291508240957833E-3</v>
      </c>
      <c r="C1409" s="194" t="s">
        <v>1</v>
      </c>
    </row>
    <row r="1410" spans="1:3" x14ac:dyDescent="0.15">
      <c r="A1410" s="191">
        <f t="shared" si="10"/>
        <v>34681</v>
      </c>
      <c r="B1410" s="193">
        <v>5.2990079147319817E-3</v>
      </c>
      <c r="C1410" s="194" t="s">
        <v>1</v>
      </c>
    </row>
    <row r="1411" spans="1:3" x14ac:dyDescent="0.15">
      <c r="A1411" s="191">
        <f t="shared" si="10"/>
        <v>34682</v>
      </c>
      <c r="B1411" s="195">
        <v>5.3065182178209033E-3</v>
      </c>
      <c r="C1411" s="194" t="s">
        <v>1</v>
      </c>
    </row>
    <row r="1412" spans="1:3" x14ac:dyDescent="0.15">
      <c r="A1412" s="191">
        <f t="shared" si="10"/>
        <v>34683</v>
      </c>
      <c r="B1412" s="193">
        <v>5.3140391652895646E-3</v>
      </c>
      <c r="C1412" s="194" t="s">
        <v>1</v>
      </c>
    </row>
    <row r="1413" spans="1:3" x14ac:dyDescent="0.15">
      <c r="A1413" s="191">
        <f t="shared" si="10"/>
        <v>34684</v>
      </c>
      <c r="B1413" s="193">
        <v>5.3215707722242831E-3</v>
      </c>
      <c r="C1413" s="194" t="s">
        <v>1</v>
      </c>
    </row>
    <row r="1414" spans="1:3" x14ac:dyDescent="0.15">
      <c r="A1414" s="191">
        <f t="shared" si="10"/>
        <v>34685</v>
      </c>
      <c r="B1414" s="193">
        <v>5.3215707722242831E-3</v>
      </c>
      <c r="C1414" s="194" t="s">
        <v>1</v>
      </c>
    </row>
    <row r="1415" spans="1:3" x14ac:dyDescent="0.15">
      <c r="A1415" s="191">
        <f t="shared" si="10"/>
        <v>34686</v>
      </c>
      <c r="B1415" s="193">
        <v>5.3215707722242831E-3</v>
      </c>
      <c r="C1415" s="194" t="s">
        <v>1</v>
      </c>
    </row>
    <row r="1416" spans="1:3" x14ac:dyDescent="0.15">
      <c r="A1416" s="191">
        <f t="shared" si="10"/>
        <v>34687</v>
      </c>
      <c r="B1416" s="193">
        <v>5.3291130537327595E-3</v>
      </c>
      <c r="C1416" s="194" t="s">
        <v>1</v>
      </c>
    </row>
    <row r="1417" spans="1:3" x14ac:dyDescent="0.15">
      <c r="A1417" s="191">
        <f t="shared" si="10"/>
        <v>34688</v>
      </c>
      <c r="B1417" s="193">
        <v>5.3366660249441053E-3</v>
      </c>
      <c r="C1417" s="194" t="s">
        <v>1</v>
      </c>
    </row>
    <row r="1418" spans="1:3" x14ac:dyDescent="0.15">
      <c r="A1418" s="191">
        <f t="shared" si="10"/>
        <v>34689</v>
      </c>
      <c r="B1418" s="193">
        <v>5.3442297010088749E-3</v>
      </c>
      <c r="C1418" s="194" t="s">
        <v>1</v>
      </c>
    </row>
    <row r="1419" spans="1:3" x14ac:dyDescent="0.15">
      <c r="A1419" s="191">
        <f t="shared" si="10"/>
        <v>34690</v>
      </c>
      <c r="B1419" s="193">
        <v>5.3518040970990952E-3</v>
      </c>
      <c r="C1419" s="194" t="s">
        <v>1</v>
      </c>
    </row>
    <row r="1420" spans="1:3" x14ac:dyDescent="0.15">
      <c r="A1420" s="191">
        <f t="shared" si="10"/>
        <v>34691</v>
      </c>
      <c r="B1420" s="193">
        <v>5.3593892284082983E-3</v>
      </c>
      <c r="C1420" s="194" t="s">
        <v>1</v>
      </c>
    </row>
    <row r="1421" spans="1:3" x14ac:dyDescent="0.15">
      <c r="A1421" s="191">
        <f t="shared" si="10"/>
        <v>34692</v>
      </c>
      <c r="B1421" s="193">
        <v>5.3593892284082983E-3</v>
      </c>
      <c r="C1421" s="194" t="s">
        <v>1</v>
      </c>
    </row>
    <row r="1422" spans="1:3" x14ac:dyDescent="0.15">
      <c r="A1422" s="191">
        <f t="shared" si="10"/>
        <v>34693</v>
      </c>
      <c r="B1422" s="193">
        <v>5.3593892284082983E-3</v>
      </c>
      <c r="C1422" s="194" t="s">
        <v>1</v>
      </c>
    </row>
    <row r="1423" spans="1:3" x14ac:dyDescent="0.15">
      <c r="A1423" s="191">
        <f t="shared" si="10"/>
        <v>34694</v>
      </c>
      <c r="B1423" s="193">
        <v>5.3669851101515479E-3</v>
      </c>
      <c r="C1423" s="194" t="s">
        <v>1</v>
      </c>
    </row>
    <row r="1424" spans="1:3" x14ac:dyDescent="0.15">
      <c r="A1424" s="191">
        <f t="shared" si="10"/>
        <v>34695</v>
      </c>
      <c r="B1424" s="193">
        <v>5.3745917575654736E-3</v>
      </c>
      <c r="C1424" s="194" t="s">
        <v>1</v>
      </c>
    </row>
    <row r="1425" spans="1:3" x14ac:dyDescent="0.15">
      <c r="A1425" s="191">
        <f t="shared" si="10"/>
        <v>34696</v>
      </c>
      <c r="B1425" s="193">
        <v>5.3822091859082998E-3</v>
      </c>
      <c r="C1425" s="194" t="s">
        <v>1</v>
      </c>
    </row>
    <row r="1426" spans="1:3" x14ac:dyDescent="0.15">
      <c r="A1426" s="191">
        <f t="shared" si="10"/>
        <v>34697</v>
      </c>
      <c r="B1426" s="193">
        <v>5.389837410459875E-3</v>
      </c>
      <c r="C1426" s="194" t="s">
        <v>1</v>
      </c>
    </row>
    <row r="1427" spans="1:3" x14ac:dyDescent="0.15">
      <c r="A1427" s="191">
        <f t="shared" si="10"/>
        <v>34698</v>
      </c>
      <c r="B1427" s="193">
        <v>5.3974764465217059E-3</v>
      </c>
      <c r="C1427" s="194" t="s">
        <v>1</v>
      </c>
    </row>
    <row r="1428" spans="1:3" x14ac:dyDescent="0.15">
      <c r="A1428" s="191">
        <f t="shared" si="10"/>
        <v>34699</v>
      </c>
      <c r="B1428" s="193">
        <v>5.3974764465217059E-3</v>
      </c>
      <c r="C1428" s="194" t="s">
        <v>1</v>
      </c>
    </row>
    <row r="1429" spans="1:3" x14ac:dyDescent="0.15">
      <c r="A1429" s="191">
        <f t="shared" si="10"/>
        <v>34700</v>
      </c>
      <c r="B1429" s="193">
        <v>5.3974764465217059E-3</v>
      </c>
      <c r="C1429" s="194" t="s">
        <v>1</v>
      </c>
    </row>
    <row r="1430" spans="1:3" x14ac:dyDescent="0.15">
      <c r="A1430" s="191">
        <f t="shared" si="10"/>
        <v>34701</v>
      </c>
      <c r="B1430" s="193">
        <v>5.4023587398237642E-3</v>
      </c>
      <c r="C1430" s="194" t="s">
        <v>1</v>
      </c>
    </row>
    <row r="1431" spans="1:3" x14ac:dyDescent="0.15">
      <c r="A1431" s="191">
        <f t="shared" si="10"/>
        <v>34702</v>
      </c>
      <c r="B1431" s="193">
        <v>5.4072454494096403E-3</v>
      </c>
      <c r="C1431" s="194" t="s">
        <v>1</v>
      </c>
    </row>
    <row r="1432" spans="1:3" x14ac:dyDescent="0.15">
      <c r="A1432" s="191">
        <f t="shared" si="10"/>
        <v>34703</v>
      </c>
      <c r="B1432" s="193">
        <v>5.4121365792740884E-3</v>
      </c>
      <c r="C1432" s="194" t="s">
        <v>1</v>
      </c>
    </row>
    <row r="1433" spans="1:3" x14ac:dyDescent="0.15">
      <c r="A1433" s="191">
        <f t="shared" si="10"/>
        <v>34704</v>
      </c>
      <c r="B1433" s="193">
        <v>5.4170321334154762E-3</v>
      </c>
      <c r="C1433" s="194" t="s">
        <v>1</v>
      </c>
    </row>
    <row r="1434" spans="1:3" x14ac:dyDescent="0.15">
      <c r="A1434" s="191">
        <f t="shared" si="10"/>
        <v>34705</v>
      </c>
      <c r="B1434" s="193">
        <v>5.4219321158357888E-3</v>
      </c>
      <c r="C1434" s="194" t="s">
        <v>1</v>
      </c>
    </row>
    <row r="1435" spans="1:3" x14ac:dyDescent="0.15">
      <c r="A1435" s="191">
        <f t="shared" si="10"/>
        <v>34706</v>
      </c>
      <c r="B1435" s="193">
        <v>5.4219321158357888E-3</v>
      </c>
      <c r="C1435" s="194" t="s">
        <v>1</v>
      </c>
    </row>
    <row r="1436" spans="1:3" x14ac:dyDescent="0.15">
      <c r="A1436" s="191">
        <f t="shared" si="10"/>
        <v>34707</v>
      </c>
      <c r="B1436" s="193">
        <v>5.4219321158357888E-3</v>
      </c>
      <c r="C1436" s="194" t="s">
        <v>1</v>
      </c>
    </row>
    <row r="1437" spans="1:3" x14ac:dyDescent="0.15">
      <c r="A1437" s="191">
        <f t="shared" si="10"/>
        <v>34708</v>
      </c>
      <c r="B1437" s="193">
        <v>5.4268365305406305E-3</v>
      </c>
      <c r="C1437" s="194" t="s">
        <v>1</v>
      </c>
    </row>
    <row r="1438" spans="1:3" x14ac:dyDescent="0.15">
      <c r="A1438" s="191">
        <f t="shared" si="10"/>
        <v>34709</v>
      </c>
      <c r="B1438" s="193">
        <v>5.4317453815392299E-3</v>
      </c>
      <c r="C1438" s="194" t="s">
        <v>1</v>
      </c>
    </row>
    <row r="1439" spans="1:3" x14ac:dyDescent="0.15">
      <c r="A1439" s="191">
        <f t="shared" si="10"/>
        <v>34710</v>
      </c>
      <c r="B1439" s="193">
        <v>5.4366586728444403E-3</v>
      </c>
      <c r="C1439" s="194" t="s">
        <v>1</v>
      </c>
    </row>
    <row r="1440" spans="1:3" x14ac:dyDescent="0.15">
      <c r="A1440" s="191">
        <f t="shared" si="10"/>
        <v>34711</v>
      </c>
      <c r="B1440" s="193">
        <v>5.441576408472747E-3</v>
      </c>
      <c r="C1440" s="194" t="s">
        <v>1</v>
      </c>
    </row>
    <row r="1441" spans="1:3" x14ac:dyDescent="0.15">
      <c r="A1441" s="191">
        <f t="shared" si="10"/>
        <v>34712</v>
      </c>
      <c r="B1441" s="193">
        <v>5.4464985924442665E-3</v>
      </c>
      <c r="C1441" s="194" t="s">
        <v>1</v>
      </c>
    </row>
    <row r="1442" spans="1:3" x14ac:dyDescent="0.15">
      <c r="A1442" s="191">
        <f t="shared" si="10"/>
        <v>34713</v>
      </c>
      <c r="B1442" s="193">
        <v>5.4464985924442665E-3</v>
      </c>
      <c r="C1442" s="194" t="s">
        <v>1</v>
      </c>
    </row>
    <row r="1443" spans="1:3" x14ac:dyDescent="0.15">
      <c r="A1443" s="191">
        <f t="shared" si="10"/>
        <v>34714</v>
      </c>
      <c r="B1443" s="193">
        <v>5.4464985924442665E-3</v>
      </c>
      <c r="C1443" s="194" t="s">
        <v>1</v>
      </c>
    </row>
    <row r="1444" spans="1:3" x14ac:dyDescent="0.15">
      <c r="A1444" s="191">
        <f t="shared" si="10"/>
        <v>34715</v>
      </c>
      <c r="B1444" s="193">
        <v>5.4514252287827534E-3</v>
      </c>
      <c r="C1444" s="194" t="s">
        <v>1</v>
      </c>
    </row>
    <row r="1445" spans="1:3" x14ac:dyDescent="0.15">
      <c r="A1445" s="191">
        <f t="shared" si="10"/>
        <v>34716</v>
      </c>
      <c r="B1445" s="193">
        <v>5.4563563215156005E-3</v>
      </c>
      <c r="C1445" s="194" t="s">
        <v>1</v>
      </c>
    </row>
    <row r="1446" spans="1:3" x14ac:dyDescent="0.15">
      <c r="A1446" s="191">
        <f t="shared" si="10"/>
        <v>34717</v>
      </c>
      <c r="B1446" s="193">
        <v>5.4612918746738447E-3</v>
      </c>
      <c r="C1446" s="194" t="s">
        <v>1</v>
      </c>
    </row>
    <row r="1447" spans="1:3" x14ac:dyDescent="0.15">
      <c r="A1447" s="191">
        <f t="shared" si="10"/>
        <v>34718</v>
      </c>
      <c r="B1447" s="193">
        <v>5.4662318922921683E-3</v>
      </c>
      <c r="C1447" s="194" t="s">
        <v>1</v>
      </c>
    </row>
    <row r="1448" spans="1:3" x14ac:dyDescent="0.15">
      <c r="A1448" s="191">
        <f t="shared" si="10"/>
        <v>34719</v>
      </c>
      <c r="B1448" s="193">
        <v>5.4711763784089044E-3</v>
      </c>
      <c r="C1448" s="194" t="s">
        <v>1</v>
      </c>
    </row>
    <row r="1449" spans="1:3" x14ac:dyDescent="0.15">
      <c r="A1449" s="191">
        <f t="shared" si="10"/>
        <v>34720</v>
      </c>
      <c r="B1449" s="193">
        <v>5.4711763784089044E-3</v>
      </c>
      <c r="C1449" s="194" t="s">
        <v>1</v>
      </c>
    </row>
    <row r="1450" spans="1:3" x14ac:dyDescent="0.15">
      <c r="A1450" s="191">
        <f t="shared" si="10"/>
        <v>34721</v>
      </c>
      <c r="B1450" s="193">
        <v>5.4711763784089044E-3</v>
      </c>
      <c r="C1450" s="194" t="s">
        <v>1</v>
      </c>
    </row>
    <row r="1451" spans="1:3" x14ac:dyDescent="0.15">
      <c r="A1451" s="191">
        <f t="shared" si="10"/>
        <v>34722</v>
      </c>
      <c r="B1451" s="193">
        <v>5.4761253370660375E-3</v>
      </c>
      <c r="C1451" s="194" t="s">
        <v>1</v>
      </c>
    </row>
    <row r="1452" spans="1:3" x14ac:dyDescent="0.15">
      <c r="A1452" s="191">
        <f t="shared" si="10"/>
        <v>34723</v>
      </c>
      <c r="B1452" s="193">
        <v>5.4810787723092091E-3</v>
      </c>
      <c r="C1452" s="194" t="s">
        <v>1</v>
      </c>
    </row>
    <row r="1453" spans="1:3" x14ac:dyDescent="0.15">
      <c r="A1453" s="191">
        <f t="shared" si="10"/>
        <v>34724</v>
      </c>
      <c r="B1453" s="193">
        <v>5.48603668818772E-3</v>
      </c>
      <c r="C1453" s="194" t="s">
        <v>1</v>
      </c>
    </row>
    <row r="1454" spans="1:3" x14ac:dyDescent="0.15">
      <c r="A1454" s="191">
        <f t="shared" si="10"/>
        <v>34725</v>
      </c>
      <c r="B1454" s="193">
        <v>5.490999088754534E-3</v>
      </c>
      <c r="C1454" s="194" t="s">
        <v>1</v>
      </c>
    </row>
    <row r="1455" spans="1:3" x14ac:dyDescent="0.15">
      <c r="A1455" s="191">
        <f t="shared" si="10"/>
        <v>34726</v>
      </c>
      <c r="B1455" s="193">
        <v>5.495965978066281E-3</v>
      </c>
      <c r="C1455" s="194" t="s">
        <v>1</v>
      </c>
    </row>
    <row r="1456" spans="1:3" x14ac:dyDescent="0.15">
      <c r="A1456" s="191">
        <f t="shared" si="10"/>
        <v>34727</v>
      </c>
      <c r="B1456" s="193">
        <v>5.495965978066281E-3</v>
      </c>
      <c r="C1456" s="194" t="s">
        <v>1</v>
      </c>
    </row>
    <row r="1457" spans="1:3" x14ac:dyDescent="0.15">
      <c r="A1457" s="191">
        <f t="shared" si="10"/>
        <v>34728</v>
      </c>
      <c r="B1457" s="193">
        <v>5.495965978066281E-3</v>
      </c>
      <c r="C1457" s="194" t="s">
        <v>1</v>
      </c>
    </row>
    <row r="1458" spans="1:3" x14ac:dyDescent="0.15">
      <c r="A1458" s="191">
        <f t="shared" si="10"/>
        <v>34729</v>
      </c>
      <c r="B1458" s="193">
        <v>5.50093736018326E-3</v>
      </c>
      <c r="C1458" s="194" t="s">
        <v>1</v>
      </c>
    </row>
    <row r="1459" spans="1:3" x14ac:dyDescent="0.15">
      <c r="A1459" s="191">
        <f t="shared" si="10"/>
        <v>34730</v>
      </c>
      <c r="B1459" s="193">
        <v>5.5059132391694432E-3</v>
      </c>
      <c r="C1459" s="194" t="s">
        <v>1</v>
      </c>
    </row>
    <row r="1460" spans="1:3" x14ac:dyDescent="0.15">
      <c r="A1460" s="191">
        <f t="shared" si="10"/>
        <v>34731</v>
      </c>
      <c r="B1460" s="193">
        <v>5.510893619092478E-3</v>
      </c>
      <c r="C1460" s="194" t="s">
        <v>1</v>
      </c>
    </row>
    <row r="1461" spans="1:3" x14ac:dyDescent="0.15">
      <c r="A1461" s="191">
        <f t="shared" si="10"/>
        <v>34732</v>
      </c>
      <c r="B1461" s="193">
        <v>5.5162218608491602E-3</v>
      </c>
      <c r="C1461" s="194" t="s">
        <v>1</v>
      </c>
    </row>
    <row r="1462" spans="1:3" x14ac:dyDescent="0.15">
      <c r="A1462" s="191">
        <f t="shared" si="10"/>
        <v>34733</v>
      </c>
      <c r="B1462" s="193">
        <v>5.5215552542495104E-3</v>
      </c>
      <c r="C1462" s="194" t="s">
        <v>1</v>
      </c>
    </row>
    <row r="1463" spans="1:3" x14ac:dyDescent="0.15">
      <c r="A1463" s="191">
        <f t="shared" ref="A1463:A1476" si="11">A1462+1</f>
        <v>34734</v>
      </c>
      <c r="B1463" s="193">
        <v>5.5215552542495104E-3</v>
      </c>
      <c r="C1463" s="194" t="s">
        <v>1</v>
      </c>
    </row>
    <row r="1464" spans="1:3" x14ac:dyDescent="0.15">
      <c r="A1464" s="191">
        <f t="shared" si="11"/>
        <v>34735</v>
      </c>
      <c r="B1464" s="193">
        <v>5.5215552542495104E-3</v>
      </c>
      <c r="C1464" s="194" t="s">
        <v>1</v>
      </c>
    </row>
    <row r="1465" spans="1:3" x14ac:dyDescent="0.15">
      <c r="A1465" s="191">
        <f t="shared" si="11"/>
        <v>34736</v>
      </c>
      <c r="B1465" s="193">
        <v>5.5268938042744272E-3</v>
      </c>
      <c r="C1465" s="194" t="s">
        <v>1</v>
      </c>
    </row>
    <row r="1466" spans="1:3" x14ac:dyDescent="0.15">
      <c r="A1466" s="191">
        <f t="shared" si="11"/>
        <v>34737</v>
      </c>
      <c r="B1466" s="193">
        <v>5.5322375159096255E-3</v>
      </c>
      <c r="C1466" s="194" t="s">
        <v>1</v>
      </c>
    </row>
    <row r="1467" spans="1:3" x14ac:dyDescent="0.15">
      <c r="A1467" s="191">
        <f t="shared" si="11"/>
        <v>34738</v>
      </c>
      <c r="B1467" s="193">
        <v>5.5375863941456403E-3</v>
      </c>
      <c r="C1467" s="194" t="s">
        <v>1</v>
      </c>
    </row>
    <row r="1468" spans="1:3" x14ac:dyDescent="0.15">
      <c r="A1468" s="191">
        <f t="shared" si="11"/>
        <v>34739</v>
      </c>
      <c r="B1468" s="193">
        <v>5.5429404439778307E-3</v>
      </c>
      <c r="C1468" s="194" t="s">
        <v>1</v>
      </c>
    </row>
    <row r="1469" spans="1:3" x14ac:dyDescent="0.15">
      <c r="A1469" s="191">
        <f t="shared" si="11"/>
        <v>34740</v>
      </c>
      <c r="B1469" s="193">
        <v>5.548299670406388E-3</v>
      </c>
      <c r="C1469" s="194" t="s">
        <v>1</v>
      </c>
    </row>
    <row r="1470" spans="1:3" x14ac:dyDescent="0.15">
      <c r="A1470" s="191">
        <f t="shared" si="11"/>
        <v>34741</v>
      </c>
      <c r="B1470" s="193">
        <v>5.548299670406388E-3</v>
      </c>
      <c r="C1470" s="194" t="s">
        <v>1</v>
      </c>
    </row>
    <row r="1471" spans="1:3" x14ac:dyDescent="0.15">
      <c r="A1471" s="191">
        <f t="shared" si="11"/>
        <v>34742</v>
      </c>
      <c r="B1471" s="193">
        <v>5.548299670406388E-3</v>
      </c>
      <c r="C1471" s="194" t="s">
        <v>1</v>
      </c>
    </row>
    <row r="1472" spans="1:3" x14ac:dyDescent="0.15">
      <c r="A1472" s="191">
        <f t="shared" si="11"/>
        <v>34743</v>
      </c>
      <c r="B1472" s="193">
        <v>5.5536640784363354E-3</v>
      </c>
      <c r="C1472" s="194" t="s">
        <v>1</v>
      </c>
    </row>
    <row r="1473" spans="1:3" x14ac:dyDescent="0.15">
      <c r="A1473" s="191">
        <f t="shared" si="11"/>
        <v>34744</v>
      </c>
      <c r="B1473" s="193">
        <v>5.559033673077537E-3</v>
      </c>
      <c r="C1473" s="194" t="s">
        <v>1</v>
      </c>
    </row>
    <row r="1474" spans="1:3" x14ac:dyDescent="0.15">
      <c r="A1474" s="191">
        <f t="shared" si="11"/>
        <v>34745</v>
      </c>
      <c r="B1474" s="193">
        <v>5.5644084593447002E-3</v>
      </c>
      <c r="C1474" s="194" t="s">
        <v>1</v>
      </c>
    </row>
    <row r="1475" spans="1:3" x14ac:dyDescent="0.15">
      <c r="A1475" s="191">
        <f t="shared" si="11"/>
        <v>34746</v>
      </c>
      <c r="B1475" s="193">
        <v>5.5697884422573809E-3</v>
      </c>
      <c r="C1475" s="194" t="s">
        <v>1</v>
      </c>
    </row>
    <row r="1476" spans="1:3" x14ac:dyDescent="0.15">
      <c r="A1476" s="191">
        <f t="shared" si="11"/>
        <v>34747</v>
      </c>
      <c r="B1476" s="193">
        <v>5.575173626839988E-3</v>
      </c>
      <c r="C1476" s="194" t="s">
        <v>1</v>
      </c>
    </row>
    <row r="1477" spans="1:3" x14ac:dyDescent="0.15">
      <c r="A1477" s="191">
        <f>A1476+1</f>
        <v>34748</v>
      </c>
      <c r="B1477" s="193">
        <v>5.575173626839988E-3</v>
      </c>
      <c r="C1477" s="194" t="s">
        <v>1</v>
      </c>
    </row>
    <row r="1478" spans="1:3" x14ac:dyDescent="0.15">
      <c r="A1478" s="191">
        <f t="shared" ref="A1478:A1541" si="12">A1477+1</f>
        <v>34749</v>
      </c>
      <c r="B1478" s="193">
        <v>5.575173626839988E-3</v>
      </c>
      <c r="C1478" s="194" t="s">
        <v>1</v>
      </c>
    </row>
    <row r="1479" spans="1:3" x14ac:dyDescent="0.15">
      <c r="A1479" s="191">
        <f t="shared" si="12"/>
        <v>34750</v>
      </c>
      <c r="B1479" s="193">
        <v>5.5805640181217876E-3</v>
      </c>
      <c r="C1479" s="194" t="s">
        <v>1</v>
      </c>
    </row>
    <row r="1480" spans="1:3" x14ac:dyDescent="0.15">
      <c r="A1480" s="191">
        <f t="shared" si="12"/>
        <v>34751</v>
      </c>
      <c r="B1480" s="193">
        <v>5.5859596211369099E-3</v>
      </c>
      <c r="C1480" s="194" t="s">
        <v>1</v>
      </c>
    </row>
    <row r="1481" spans="1:3" x14ac:dyDescent="0.15">
      <c r="A1481" s="191">
        <f t="shared" si="12"/>
        <v>34752</v>
      </c>
      <c r="B1481" s="193">
        <v>5.5913604409243518E-3</v>
      </c>
      <c r="C1481" s="194" t="s">
        <v>1</v>
      </c>
    </row>
    <row r="1482" spans="1:3" x14ac:dyDescent="0.15">
      <c r="A1482" s="191">
        <f t="shared" si="12"/>
        <v>34753</v>
      </c>
      <c r="B1482" s="193">
        <v>5.5967664825279824E-3</v>
      </c>
      <c r="C1482" s="194" t="s">
        <v>1</v>
      </c>
    </row>
    <row r="1483" spans="1:3" x14ac:dyDescent="0.15">
      <c r="A1483" s="191">
        <f t="shared" si="12"/>
        <v>34754</v>
      </c>
      <c r="B1483" s="193">
        <v>5.6021777509965461E-3</v>
      </c>
      <c r="C1483" s="194" t="s">
        <v>1</v>
      </c>
    </row>
    <row r="1484" spans="1:3" x14ac:dyDescent="0.15">
      <c r="A1484" s="191">
        <f t="shared" si="12"/>
        <v>34755</v>
      </c>
      <c r="B1484" s="193">
        <v>5.6021777509965461E-3</v>
      </c>
      <c r="C1484" s="194" t="s">
        <v>1</v>
      </c>
    </row>
    <row r="1485" spans="1:3" x14ac:dyDescent="0.15">
      <c r="A1485" s="191">
        <f t="shared" si="12"/>
        <v>34756</v>
      </c>
      <c r="B1485" s="193">
        <v>5.6021777509965461E-3</v>
      </c>
      <c r="C1485" s="194" t="s">
        <v>1</v>
      </c>
    </row>
    <row r="1486" spans="1:3" x14ac:dyDescent="0.15">
      <c r="A1486" s="191">
        <f t="shared" si="12"/>
        <v>34757</v>
      </c>
      <c r="B1486" s="193">
        <v>5.6075942513836704E-3</v>
      </c>
      <c r="C1486" s="194" t="s">
        <v>1</v>
      </c>
    </row>
    <row r="1487" spans="1:3" x14ac:dyDescent="0.15">
      <c r="A1487" s="191">
        <f t="shared" si="12"/>
        <v>34758</v>
      </c>
      <c r="B1487" s="193">
        <v>5.6130159887478681E-3</v>
      </c>
      <c r="C1487" s="194" t="s">
        <v>1</v>
      </c>
    </row>
    <row r="1488" spans="1:3" x14ac:dyDescent="0.15">
      <c r="A1488" s="191">
        <f t="shared" si="12"/>
        <v>34759</v>
      </c>
      <c r="B1488" s="193">
        <v>5.6130159887478681E-3</v>
      </c>
      <c r="C1488" s="194" t="s">
        <v>1</v>
      </c>
    </row>
    <row r="1489" spans="1:3" x14ac:dyDescent="0.15">
      <c r="A1489" s="191">
        <f t="shared" si="12"/>
        <v>34760</v>
      </c>
      <c r="B1489" s="193">
        <v>5.6188201753551124E-3</v>
      </c>
      <c r="C1489" s="194" t="s">
        <v>1</v>
      </c>
    </row>
    <row r="1490" spans="1:3" x14ac:dyDescent="0.15">
      <c r="A1490" s="191">
        <f t="shared" si="12"/>
        <v>34761</v>
      </c>
      <c r="B1490" s="193">
        <v>5.6246303638305571E-3</v>
      </c>
      <c r="C1490" s="194" t="s">
        <v>1</v>
      </c>
    </row>
    <row r="1491" spans="1:3" x14ac:dyDescent="0.15">
      <c r="A1491" s="191">
        <f t="shared" si="12"/>
        <v>34762</v>
      </c>
      <c r="B1491" s="193">
        <v>5.6246303638305571E-3</v>
      </c>
      <c r="C1491" s="194" t="s">
        <v>1</v>
      </c>
    </row>
    <row r="1492" spans="1:3" x14ac:dyDescent="0.15">
      <c r="A1492" s="191">
        <f t="shared" si="12"/>
        <v>34763</v>
      </c>
      <c r="B1492" s="193">
        <v>5.6246303638305571E-3</v>
      </c>
      <c r="C1492" s="194" t="s">
        <v>1</v>
      </c>
    </row>
    <row r="1493" spans="1:3" x14ac:dyDescent="0.15">
      <c r="A1493" s="191">
        <f t="shared" si="12"/>
        <v>34764</v>
      </c>
      <c r="B1493" s="193">
        <v>5.630446560380485E-3</v>
      </c>
      <c r="C1493" s="194" t="s">
        <v>1</v>
      </c>
    </row>
    <row r="1494" spans="1:3" x14ac:dyDescent="0.15">
      <c r="A1494" s="191">
        <f t="shared" si="12"/>
        <v>34765</v>
      </c>
      <c r="B1494" s="193">
        <v>5.6362687712175957E-3</v>
      </c>
      <c r="C1494" s="194" t="s">
        <v>1</v>
      </c>
    </row>
    <row r="1495" spans="1:3" x14ac:dyDescent="0.15">
      <c r="A1495" s="191">
        <f t="shared" si="12"/>
        <v>34766</v>
      </c>
      <c r="B1495" s="193">
        <v>5.6420970025610143E-3</v>
      </c>
      <c r="C1495" s="194" t="s">
        <v>1</v>
      </c>
    </row>
    <row r="1496" spans="1:3" x14ac:dyDescent="0.15">
      <c r="A1496" s="191">
        <f t="shared" si="12"/>
        <v>34767</v>
      </c>
      <c r="B1496" s="193">
        <v>5.6479312606362957E-3</v>
      </c>
      <c r="C1496" s="194" t="s">
        <v>1</v>
      </c>
    </row>
    <row r="1497" spans="1:3" x14ac:dyDescent="0.15">
      <c r="A1497" s="191">
        <f t="shared" si="12"/>
        <v>34768</v>
      </c>
      <c r="B1497" s="193">
        <v>5.6537715516754338E-3</v>
      </c>
      <c r="C1497" s="194" t="s">
        <v>1</v>
      </c>
    </row>
    <row r="1498" spans="1:3" x14ac:dyDescent="0.15">
      <c r="A1498" s="191">
        <f t="shared" si="12"/>
        <v>34769</v>
      </c>
      <c r="B1498" s="193">
        <v>5.6537715516754338E-3</v>
      </c>
      <c r="C1498" s="194" t="s">
        <v>1</v>
      </c>
    </row>
    <row r="1499" spans="1:3" x14ac:dyDescent="0.15">
      <c r="A1499" s="191">
        <f t="shared" si="12"/>
        <v>34770</v>
      </c>
      <c r="B1499" s="193">
        <v>5.6537715516754338E-3</v>
      </c>
      <c r="C1499" s="194" t="s">
        <v>1</v>
      </c>
    </row>
    <row r="1500" spans="1:3" x14ac:dyDescent="0.15">
      <c r="A1500" s="191">
        <f t="shared" si="12"/>
        <v>34771</v>
      </c>
      <c r="B1500" s="193">
        <v>5.6596178819168647E-3</v>
      </c>
      <c r="C1500" s="194" t="s">
        <v>1</v>
      </c>
    </row>
    <row r="1501" spans="1:3" x14ac:dyDescent="0.15">
      <c r="A1501" s="191">
        <f t="shared" si="12"/>
        <v>34772</v>
      </c>
      <c r="B1501" s="193">
        <v>5.6654702576054775E-3</v>
      </c>
      <c r="C1501" s="194" t="s">
        <v>1</v>
      </c>
    </row>
    <row r="1502" spans="1:3" x14ac:dyDescent="0.15">
      <c r="A1502" s="191">
        <f t="shared" si="12"/>
        <v>34773</v>
      </c>
      <c r="B1502" s="193">
        <v>5.6713286849926171E-3</v>
      </c>
      <c r="C1502" s="194" t="s">
        <v>1</v>
      </c>
    </row>
    <row r="1503" spans="1:3" x14ac:dyDescent="0.15">
      <c r="A1503" s="191">
        <f t="shared" si="12"/>
        <v>34774</v>
      </c>
      <c r="B1503" s="193">
        <v>5.6771931703360938E-3</v>
      </c>
      <c r="C1503" s="194" t="s">
        <v>1</v>
      </c>
    </row>
    <row r="1504" spans="1:3" x14ac:dyDescent="0.15">
      <c r="A1504" s="191">
        <f t="shared" si="12"/>
        <v>34775</v>
      </c>
      <c r="B1504" s="193">
        <v>5.6830637199001893E-3</v>
      </c>
      <c r="C1504" s="194" t="s">
        <v>1</v>
      </c>
    </row>
    <row r="1505" spans="1:3" x14ac:dyDescent="0.15">
      <c r="A1505" s="191">
        <f t="shared" si="12"/>
        <v>34776</v>
      </c>
      <c r="B1505" s="193">
        <v>5.6830637199001893E-3</v>
      </c>
      <c r="C1505" s="194" t="s">
        <v>1</v>
      </c>
    </row>
    <row r="1506" spans="1:3" x14ac:dyDescent="0.15">
      <c r="A1506" s="191">
        <f t="shared" si="12"/>
        <v>34777</v>
      </c>
      <c r="B1506" s="193">
        <v>5.6830637199001893E-3</v>
      </c>
      <c r="C1506" s="194" t="s">
        <v>1</v>
      </c>
    </row>
    <row r="1507" spans="1:3" x14ac:dyDescent="0.15">
      <c r="A1507" s="191">
        <f t="shared" si="12"/>
        <v>34778</v>
      </c>
      <c r="B1507" s="193">
        <v>5.6889403399556617E-3</v>
      </c>
      <c r="C1507" s="194" t="s">
        <v>1</v>
      </c>
    </row>
    <row r="1508" spans="1:3" x14ac:dyDescent="0.15">
      <c r="A1508" s="191">
        <f t="shared" si="12"/>
        <v>34779</v>
      </c>
      <c r="B1508" s="193">
        <v>5.6948230367797536E-3</v>
      </c>
      <c r="C1508" s="194" t="s">
        <v>1</v>
      </c>
    </row>
    <row r="1509" spans="1:3" x14ac:dyDescent="0.15">
      <c r="A1509" s="191">
        <f t="shared" si="12"/>
        <v>34780</v>
      </c>
      <c r="B1509" s="193">
        <v>5.7007118166561991E-3</v>
      </c>
      <c r="C1509" s="194" t="s">
        <v>1</v>
      </c>
    </row>
    <row r="1510" spans="1:3" x14ac:dyDescent="0.15">
      <c r="A1510" s="191">
        <f t="shared" si="12"/>
        <v>34781</v>
      </c>
      <c r="B1510" s="193">
        <v>5.7066066858752294E-3</v>
      </c>
      <c r="C1510" s="194" t="s">
        <v>1</v>
      </c>
    </row>
    <row r="1511" spans="1:3" x14ac:dyDescent="0.15">
      <c r="A1511" s="191">
        <f t="shared" si="12"/>
        <v>34782</v>
      </c>
      <c r="B1511" s="193">
        <v>5.7125076507335811E-3</v>
      </c>
      <c r="C1511" s="194" t="s">
        <v>1</v>
      </c>
    </row>
    <row r="1512" spans="1:3" x14ac:dyDescent="0.15">
      <c r="A1512" s="191">
        <f t="shared" si="12"/>
        <v>34783</v>
      </c>
      <c r="B1512" s="193">
        <v>5.7125076507335811E-3</v>
      </c>
      <c r="C1512" s="194" t="s">
        <v>1</v>
      </c>
    </row>
    <row r="1513" spans="1:3" x14ac:dyDescent="0.15">
      <c r="A1513" s="191">
        <f t="shared" si="12"/>
        <v>34784</v>
      </c>
      <c r="B1513" s="193">
        <v>5.7125076507335811E-3</v>
      </c>
      <c r="C1513" s="194" t="s">
        <v>1</v>
      </c>
    </row>
    <row r="1514" spans="1:3" x14ac:dyDescent="0.15">
      <c r="A1514" s="191">
        <f t="shared" si="12"/>
        <v>34785</v>
      </c>
      <c r="B1514" s="193">
        <v>5.7184147175345012E-3</v>
      </c>
      <c r="C1514" s="194" t="s">
        <v>1</v>
      </c>
    </row>
    <row r="1515" spans="1:3" x14ac:dyDescent="0.15">
      <c r="A1515" s="191">
        <f t="shared" si="12"/>
        <v>34786</v>
      </c>
      <c r="B1515" s="193">
        <v>5.7243278925877559E-3</v>
      </c>
      <c r="C1515" s="194" t="s">
        <v>1</v>
      </c>
    </row>
    <row r="1516" spans="1:3" x14ac:dyDescent="0.15">
      <c r="A1516" s="191">
        <f t="shared" si="12"/>
        <v>34787</v>
      </c>
      <c r="B1516" s="193">
        <v>5.7302471822096345E-3</v>
      </c>
      <c r="C1516" s="194" t="s">
        <v>1</v>
      </c>
    </row>
    <row r="1517" spans="1:3" x14ac:dyDescent="0.15">
      <c r="A1517" s="191">
        <f t="shared" si="12"/>
        <v>34788</v>
      </c>
      <c r="B1517" s="193">
        <v>5.7361725927229578E-3</v>
      </c>
      <c r="C1517" s="194" t="s">
        <v>1</v>
      </c>
    </row>
    <row r="1518" spans="1:3" x14ac:dyDescent="0.15">
      <c r="A1518" s="191">
        <f t="shared" si="12"/>
        <v>34789</v>
      </c>
      <c r="B1518" s="193">
        <v>5.7421041304570866E-3</v>
      </c>
      <c r="C1518" s="194" t="s">
        <v>1</v>
      </c>
    </row>
    <row r="1519" spans="1:3" x14ac:dyDescent="0.15">
      <c r="A1519" s="191">
        <f t="shared" si="12"/>
        <v>34790</v>
      </c>
      <c r="B1519" s="193">
        <v>5.7421041304570866E-3</v>
      </c>
      <c r="C1519" s="194" t="s">
        <v>1</v>
      </c>
    </row>
    <row r="1520" spans="1:3" x14ac:dyDescent="0.15">
      <c r="A1520" s="191">
        <f t="shared" si="12"/>
        <v>34791</v>
      </c>
      <c r="B1520" s="193">
        <v>5.7421041304570866E-3</v>
      </c>
      <c r="C1520" s="194" t="s">
        <v>1</v>
      </c>
    </row>
    <row r="1521" spans="1:3" x14ac:dyDescent="0.15">
      <c r="A1521" s="191">
        <f t="shared" si="12"/>
        <v>34792</v>
      </c>
      <c r="B1521" s="193">
        <v>5.752986029604985E-3</v>
      </c>
      <c r="C1521" s="194" t="s">
        <v>1</v>
      </c>
    </row>
    <row r="1522" spans="1:3" x14ac:dyDescent="0.15">
      <c r="A1522" s="191">
        <f t="shared" si="12"/>
        <v>34793</v>
      </c>
      <c r="B1522" s="193">
        <v>5.7638885511112339E-3</v>
      </c>
      <c r="C1522" s="194" t="s">
        <v>1</v>
      </c>
    </row>
    <row r="1523" spans="1:3" x14ac:dyDescent="0.15">
      <c r="A1523" s="191">
        <f t="shared" si="12"/>
        <v>34794</v>
      </c>
      <c r="B1523" s="193">
        <v>5.7748117340573994E-3</v>
      </c>
      <c r="C1523" s="194" t="s">
        <v>1</v>
      </c>
    </row>
    <row r="1524" spans="1:3" x14ac:dyDescent="0.15">
      <c r="A1524" s="191">
        <f t="shared" si="12"/>
        <v>34795</v>
      </c>
      <c r="B1524" s="193">
        <v>5.7857556175991125E-3</v>
      </c>
      <c r="C1524" s="194" t="s">
        <v>1</v>
      </c>
    </row>
    <row r="1525" spans="1:3" x14ac:dyDescent="0.15">
      <c r="A1525" s="191">
        <f t="shared" si="12"/>
        <v>34796</v>
      </c>
      <c r="B1525" s="193">
        <v>5.7967202409662071E-3</v>
      </c>
      <c r="C1525" s="194" t="s">
        <v>1</v>
      </c>
    </row>
    <row r="1526" spans="1:3" x14ac:dyDescent="0.15">
      <c r="A1526" s="191">
        <f t="shared" si="12"/>
        <v>34797</v>
      </c>
      <c r="B1526" s="193">
        <v>5.7967202409662071E-3</v>
      </c>
      <c r="C1526" s="194" t="s">
        <v>1</v>
      </c>
    </row>
    <row r="1527" spans="1:3" x14ac:dyDescent="0.15">
      <c r="A1527" s="191">
        <f t="shared" si="12"/>
        <v>34798</v>
      </c>
      <c r="B1527" s="193">
        <v>5.7967202409662071E-3</v>
      </c>
      <c r="C1527" s="194" t="s">
        <v>1</v>
      </c>
    </row>
    <row r="1528" spans="1:3" x14ac:dyDescent="0.15">
      <c r="A1528" s="191">
        <f t="shared" si="12"/>
        <v>34799</v>
      </c>
      <c r="B1528" s="193">
        <v>5.8077056434628618E-3</v>
      </c>
      <c r="C1528" s="194" t="s">
        <v>1</v>
      </c>
    </row>
    <row r="1529" spans="1:3" x14ac:dyDescent="0.15">
      <c r="A1529" s="191">
        <f t="shared" si="12"/>
        <v>34800</v>
      </c>
      <c r="B1529" s="193">
        <v>5.8187118644677412E-3</v>
      </c>
      <c r="C1529" s="194" t="s">
        <v>1</v>
      </c>
    </row>
    <row r="1530" spans="1:3" x14ac:dyDescent="0.15">
      <c r="A1530" s="191">
        <f t="shared" si="12"/>
        <v>34801</v>
      </c>
      <c r="B1530" s="193">
        <v>5.8297389434341365E-3</v>
      </c>
      <c r="C1530" s="194" t="s">
        <v>1</v>
      </c>
    </row>
    <row r="1531" spans="1:3" x14ac:dyDescent="0.15">
      <c r="A1531" s="191">
        <f t="shared" si="12"/>
        <v>34802</v>
      </c>
      <c r="B1531" s="193">
        <v>5.8407869198901074E-3</v>
      </c>
      <c r="C1531" s="194" t="s">
        <v>1</v>
      </c>
    </row>
    <row r="1532" spans="1:3" x14ac:dyDescent="0.15">
      <c r="A1532" s="191">
        <f t="shared" si="12"/>
        <v>34803</v>
      </c>
      <c r="B1532" s="193">
        <v>5.8407869198901074E-3</v>
      </c>
      <c r="C1532" s="194" t="s">
        <v>1</v>
      </c>
    </row>
    <row r="1533" spans="1:3" x14ac:dyDescent="0.15">
      <c r="A1533" s="191">
        <f t="shared" si="12"/>
        <v>34804</v>
      </c>
      <c r="B1533" s="193">
        <v>5.8407869198901074E-3</v>
      </c>
      <c r="C1533" s="194" t="s">
        <v>1</v>
      </c>
    </row>
    <row r="1534" spans="1:3" x14ac:dyDescent="0.15">
      <c r="A1534" s="191">
        <f t="shared" si="12"/>
        <v>34805</v>
      </c>
      <c r="B1534" s="193">
        <v>5.8407869198901074E-3</v>
      </c>
      <c r="C1534" s="194" t="s">
        <v>1</v>
      </c>
    </row>
    <row r="1535" spans="1:3" x14ac:dyDescent="0.15">
      <c r="A1535" s="191">
        <f t="shared" si="12"/>
        <v>34806</v>
      </c>
      <c r="B1535" s="193">
        <v>5.8518558334386232E-3</v>
      </c>
      <c r="C1535" s="194" t="s">
        <v>1</v>
      </c>
    </row>
    <row r="1536" spans="1:3" x14ac:dyDescent="0.15">
      <c r="A1536" s="191">
        <f t="shared" si="12"/>
        <v>34807</v>
      </c>
      <c r="B1536" s="193">
        <v>5.8629457237577053E-3</v>
      </c>
      <c r="C1536" s="194" t="s">
        <v>1</v>
      </c>
    </row>
    <row r="1537" spans="1:3" x14ac:dyDescent="0.15">
      <c r="A1537" s="191">
        <f t="shared" si="12"/>
        <v>34808</v>
      </c>
      <c r="B1537" s="193">
        <v>5.8740566306005691E-3</v>
      </c>
      <c r="C1537" s="194" t="s">
        <v>1</v>
      </c>
    </row>
    <row r="1538" spans="1:3" x14ac:dyDescent="0.15">
      <c r="A1538" s="191">
        <f t="shared" si="12"/>
        <v>34809</v>
      </c>
      <c r="B1538" s="193">
        <v>5.8851885937957664E-3</v>
      </c>
      <c r="C1538" s="194" t="s">
        <v>1</v>
      </c>
    </row>
    <row r="1539" spans="1:3" x14ac:dyDescent="0.15">
      <c r="A1539" s="191">
        <f t="shared" si="12"/>
        <v>34810</v>
      </c>
      <c r="B1539" s="193">
        <v>5.8851885937957664E-3</v>
      </c>
      <c r="C1539" s="194" t="s">
        <v>1</v>
      </c>
    </row>
    <row r="1540" spans="1:3" x14ac:dyDescent="0.15">
      <c r="A1540" s="191">
        <f t="shared" si="12"/>
        <v>34811</v>
      </c>
      <c r="B1540" s="193">
        <v>5.8851885937957664E-3</v>
      </c>
      <c r="C1540" s="194" t="s">
        <v>1</v>
      </c>
    </row>
    <row r="1541" spans="1:3" x14ac:dyDescent="0.15">
      <c r="A1541" s="191">
        <f t="shared" si="12"/>
        <v>34812</v>
      </c>
      <c r="B1541" s="193">
        <v>5.8851885937957664E-3</v>
      </c>
      <c r="C1541" s="194" t="s">
        <v>1</v>
      </c>
    </row>
    <row r="1542" spans="1:3" x14ac:dyDescent="0.15">
      <c r="A1542" s="191">
        <f t="shared" ref="A1542:A1605" si="13">A1541+1</f>
        <v>34813</v>
      </c>
      <c r="B1542" s="193">
        <v>5.896341653247328E-3</v>
      </c>
      <c r="C1542" s="194" t="s">
        <v>1</v>
      </c>
    </row>
    <row r="1543" spans="1:3" x14ac:dyDescent="0.15">
      <c r="A1543" s="191">
        <f t="shared" si="13"/>
        <v>34814</v>
      </c>
      <c r="B1543" s="193">
        <v>5.9075158489349079E-3</v>
      </c>
      <c r="C1543" s="194" t="s">
        <v>1</v>
      </c>
    </row>
    <row r="1544" spans="1:3" x14ac:dyDescent="0.15">
      <c r="A1544" s="191">
        <f t="shared" si="13"/>
        <v>34815</v>
      </c>
      <c r="B1544" s="193">
        <v>5.9187112209139253E-3</v>
      </c>
      <c r="C1544" s="194" t="s">
        <v>1</v>
      </c>
    </row>
    <row r="1545" spans="1:3" x14ac:dyDescent="0.15">
      <c r="A1545" s="191">
        <f t="shared" si="13"/>
        <v>34816</v>
      </c>
      <c r="B1545" s="193">
        <v>5.9299278093157088E-3</v>
      </c>
      <c r="C1545" s="194" t="s">
        <v>1</v>
      </c>
    </row>
    <row r="1546" spans="1:3" x14ac:dyDescent="0.15">
      <c r="A1546" s="191">
        <f t="shared" si="13"/>
        <v>34817</v>
      </c>
      <c r="B1546" s="193">
        <v>5.9411656543476403E-3</v>
      </c>
      <c r="C1546" s="194" t="s">
        <v>1</v>
      </c>
    </row>
    <row r="1547" spans="1:3" x14ac:dyDescent="0.15">
      <c r="A1547" s="191">
        <f t="shared" si="13"/>
        <v>34818</v>
      </c>
      <c r="B1547" s="193">
        <v>5.9411656543476403E-3</v>
      </c>
      <c r="C1547" s="194" t="s">
        <v>1</v>
      </c>
    </row>
    <row r="1548" spans="1:3" x14ac:dyDescent="0.15">
      <c r="A1548" s="191">
        <f t="shared" si="13"/>
        <v>34819</v>
      </c>
      <c r="B1548" s="193">
        <v>5.9411656543476403E-3</v>
      </c>
      <c r="C1548" s="194" t="s">
        <v>1</v>
      </c>
    </row>
    <row r="1549" spans="1:3" x14ac:dyDescent="0.15">
      <c r="A1549" s="191">
        <f t="shared" si="13"/>
        <v>34820</v>
      </c>
      <c r="B1549" s="193">
        <v>5.9411656543476403E-3</v>
      </c>
      <c r="C1549" s="194" t="s">
        <v>1</v>
      </c>
    </row>
    <row r="1550" spans="1:3" x14ac:dyDescent="0.15">
      <c r="A1550" s="191">
        <f t="shared" si="13"/>
        <v>34821</v>
      </c>
      <c r="B1550" s="193">
        <v>5.949801456421871E-3</v>
      </c>
      <c r="C1550" s="194" t="s">
        <v>1</v>
      </c>
    </row>
    <row r="1551" spans="1:3" x14ac:dyDescent="0.15">
      <c r="A1551" s="191">
        <f t="shared" si="13"/>
        <v>34822</v>
      </c>
      <c r="B1551" s="193">
        <v>5.95844981109635E-3</v>
      </c>
      <c r="C1551" s="194" t="s">
        <v>1</v>
      </c>
    </row>
    <row r="1552" spans="1:3" x14ac:dyDescent="0.15">
      <c r="A1552" s="191">
        <f t="shared" si="13"/>
        <v>34823</v>
      </c>
      <c r="B1552" s="193">
        <v>5.9671107366169526E-3</v>
      </c>
      <c r="C1552" s="194" t="s">
        <v>1</v>
      </c>
    </row>
    <row r="1553" spans="1:3" x14ac:dyDescent="0.15">
      <c r="A1553" s="191">
        <f t="shared" si="13"/>
        <v>34824</v>
      </c>
      <c r="B1553" s="193">
        <v>5.9671107366169526E-3</v>
      </c>
      <c r="C1553" s="194" t="s">
        <v>1</v>
      </c>
    </row>
    <row r="1554" spans="1:3" x14ac:dyDescent="0.15">
      <c r="A1554" s="191">
        <f t="shared" si="13"/>
        <v>34825</v>
      </c>
      <c r="B1554" s="193">
        <v>5.9671107366169526E-3</v>
      </c>
      <c r="C1554" s="194" t="s">
        <v>1</v>
      </c>
    </row>
    <row r="1555" spans="1:3" x14ac:dyDescent="0.15">
      <c r="A1555" s="191">
        <f t="shared" si="13"/>
        <v>34826</v>
      </c>
      <c r="B1555" s="193">
        <v>5.9671107366169526E-3</v>
      </c>
      <c r="C1555" s="194" t="s">
        <v>1</v>
      </c>
    </row>
    <row r="1556" spans="1:3" x14ac:dyDescent="0.15">
      <c r="A1556" s="191">
        <f t="shared" si="13"/>
        <v>34827</v>
      </c>
      <c r="B1556" s="193">
        <v>5.9757842512560763E-3</v>
      </c>
      <c r="C1556" s="194" t="s">
        <v>1</v>
      </c>
    </row>
    <row r="1557" spans="1:3" x14ac:dyDescent="0.15">
      <c r="A1557" s="191">
        <f t="shared" si="13"/>
        <v>34828</v>
      </c>
      <c r="B1557" s="193">
        <v>5.9844703733126781E-3</v>
      </c>
      <c r="C1557" s="194" t="s">
        <v>1</v>
      </c>
    </row>
    <row r="1558" spans="1:3" x14ac:dyDescent="0.15">
      <c r="A1558" s="191">
        <f t="shared" si="13"/>
        <v>34829</v>
      </c>
      <c r="B1558" s="193">
        <v>5.9931691211123133E-3</v>
      </c>
      <c r="C1558" s="194" t="s">
        <v>1</v>
      </c>
    </row>
    <row r="1559" spans="1:3" x14ac:dyDescent="0.15">
      <c r="A1559" s="191">
        <f t="shared" si="13"/>
        <v>34830</v>
      </c>
      <c r="B1559" s="193">
        <v>6.001880513007176E-3</v>
      </c>
      <c r="C1559" s="194" t="s">
        <v>1</v>
      </c>
    </row>
    <row r="1560" spans="1:3" x14ac:dyDescent="0.15">
      <c r="A1560" s="191">
        <f t="shared" si="13"/>
        <v>34831</v>
      </c>
      <c r="B1560" s="193">
        <v>6.010604567376134E-3</v>
      </c>
      <c r="C1560" s="194" t="s">
        <v>1</v>
      </c>
    </row>
    <row r="1561" spans="1:3" x14ac:dyDescent="0.15">
      <c r="A1561" s="191">
        <f t="shared" si="13"/>
        <v>34832</v>
      </c>
      <c r="B1561" s="193">
        <v>6.010604567376134E-3</v>
      </c>
      <c r="C1561" s="194" t="s">
        <v>1</v>
      </c>
    </row>
    <row r="1562" spans="1:3" x14ac:dyDescent="0.15">
      <c r="A1562" s="191">
        <f t="shared" si="13"/>
        <v>34833</v>
      </c>
      <c r="B1562" s="193">
        <v>6.010604567376134E-3</v>
      </c>
      <c r="C1562" s="194" t="s">
        <v>1</v>
      </c>
    </row>
    <row r="1563" spans="1:3" x14ac:dyDescent="0.15">
      <c r="A1563" s="191">
        <f t="shared" si="13"/>
        <v>34834</v>
      </c>
      <c r="B1563" s="193">
        <v>6.0193413026247708E-3</v>
      </c>
      <c r="C1563" s="194" t="s">
        <v>1</v>
      </c>
    </row>
    <row r="1564" spans="1:3" x14ac:dyDescent="0.15">
      <c r="A1564" s="191">
        <f t="shared" si="13"/>
        <v>34835</v>
      </c>
      <c r="B1564" s="193">
        <v>6.0280907371854237E-3</v>
      </c>
      <c r="C1564" s="194" t="s">
        <v>1</v>
      </c>
    </row>
    <row r="1565" spans="1:3" x14ac:dyDescent="0.15">
      <c r="A1565" s="191">
        <f t="shared" si="13"/>
        <v>34836</v>
      </c>
      <c r="B1565" s="193">
        <v>6.0368528895172217E-3</v>
      </c>
      <c r="C1565" s="194" t="s">
        <v>1</v>
      </c>
    </row>
    <row r="1566" spans="1:3" x14ac:dyDescent="0.15">
      <c r="A1566" s="191">
        <f t="shared" si="13"/>
        <v>34837</v>
      </c>
      <c r="B1566" s="193">
        <v>6.0456277781061251E-3</v>
      </c>
      <c r="C1566" s="194" t="s">
        <v>1</v>
      </c>
    </row>
    <row r="1567" spans="1:3" x14ac:dyDescent="0.15">
      <c r="A1567" s="191">
        <f t="shared" si="13"/>
        <v>34838</v>
      </c>
      <c r="B1567" s="193">
        <v>6.054415421464965E-3</v>
      </c>
      <c r="C1567" s="194" t="s">
        <v>1</v>
      </c>
    </row>
    <row r="1568" spans="1:3" x14ac:dyDescent="0.15">
      <c r="A1568" s="191">
        <f t="shared" si="13"/>
        <v>34839</v>
      </c>
      <c r="B1568" s="193">
        <v>6.054415421464965E-3</v>
      </c>
      <c r="C1568" s="194" t="s">
        <v>1</v>
      </c>
    </row>
    <row r="1569" spans="1:3" x14ac:dyDescent="0.15">
      <c r="A1569" s="191">
        <f t="shared" si="13"/>
        <v>34840</v>
      </c>
      <c r="B1569" s="193">
        <v>6.054415421464965E-3</v>
      </c>
      <c r="C1569" s="194" t="s">
        <v>1</v>
      </c>
    </row>
    <row r="1570" spans="1:3" x14ac:dyDescent="0.15">
      <c r="A1570" s="191">
        <f t="shared" si="13"/>
        <v>34841</v>
      </c>
      <c r="B1570" s="193">
        <v>6.0632158381334822E-3</v>
      </c>
      <c r="C1570" s="194" t="s">
        <v>1</v>
      </c>
    </row>
    <row r="1571" spans="1:3" x14ac:dyDescent="0.15">
      <c r="A1571" s="191">
        <f t="shared" si="13"/>
        <v>34842</v>
      </c>
      <c r="B1571" s="193">
        <v>6.0720290466783657E-3</v>
      </c>
      <c r="C1571" s="194" t="s">
        <v>1</v>
      </c>
    </row>
    <row r="1572" spans="1:3" x14ac:dyDescent="0.15">
      <c r="A1572" s="191">
        <f t="shared" si="13"/>
        <v>34843</v>
      </c>
      <c r="B1572" s="193">
        <v>6.0808550656932915E-3</v>
      </c>
      <c r="C1572" s="194" t="s">
        <v>1</v>
      </c>
    </row>
    <row r="1573" spans="1:3" x14ac:dyDescent="0.15">
      <c r="A1573" s="191">
        <f t="shared" si="13"/>
        <v>34844</v>
      </c>
      <c r="B1573" s="193">
        <v>6.0896939137989629E-3</v>
      </c>
      <c r="C1573" s="194" t="s">
        <v>1</v>
      </c>
    </row>
    <row r="1574" spans="1:3" x14ac:dyDescent="0.15">
      <c r="A1574" s="191">
        <f t="shared" si="13"/>
        <v>34845</v>
      </c>
      <c r="B1574" s="193">
        <v>6.0985456096431497E-3</v>
      </c>
      <c r="C1574" s="194" t="s">
        <v>1</v>
      </c>
    </row>
    <row r="1575" spans="1:3" x14ac:dyDescent="0.15">
      <c r="A1575" s="191">
        <f t="shared" si="13"/>
        <v>34846</v>
      </c>
      <c r="B1575" s="193">
        <v>6.0985456096431497E-3</v>
      </c>
      <c r="C1575" s="194" t="s">
        <v>1</v>
      </c>
    </row>
    <row r="1576" spans="1:3" x14ac:dyDescent="0.15">
      <c r="A1576" s="191">
        <f t="shared" si="13"/>
        <v>34847</v>
      </c>
      <c r="B1576" s="193">
        <v>6.0985456096431497E-3</v>
      </c>
      <c r="C1576" s="194" t="s">
        <v>1</v>
      </c>
    </row>
    <row r="1577" spans="1:3" x14ac:dyDescent="0.15">
      <c r="A1577" s="191">
        <f t="shared" si="13"/>
        <v>34848</v>
      </c>
      <c r="B1577" s="193">
        <v>6.1074101719007278E-3</v>
      </c>
      <c r="C1577" s="194" t="s">
        <v>1</v>
      </c>
    </row>
    <row r="1578" spans="1:3" x14ac:dyDescent="0.15">
      <c r="A1578" s="191">
        <f t="shared" si="13"/>
        <v>34849</v>
      </c>
      <c r="B1578" s="193">
        <v>6.1162876192737163E-3</v>
      </c>
      <c r="C1578" s="194" t="s">
        <v>1</v>
      </c>
    </row>
    <row r="1579" spans="1:3" x14ac:dyDescent="0.15">
      <c r="A1579" s="191">
        <f t="shared" si="13"/>
        <v>34850</v>
      </c>
      <c r="B1579" s="193">
        <v>6.12517797049132E-3</v>
      </c>
      <c r="C1579" s="194" t="s">
        <v>1</v>
      </c>
    </row>
    <row r="1580" spans="1:3" x14ac:dyDescent="0.15">
      <c r="A1580" s="191">
        <f t="shared" si="13"/>
        <v>34851</v>
      </c>
      <c r="B1580" s="193">
        <v>6.1340812443099677E-3</v>
      </c>
      <c r="C1580" s="194" t="s">
        <v>1</v>
      </c>
    </row>
    <row r="1581" spans="1:3" x14ac:dyDescent="0.15">
      <c r="A1581" s="191">
        <f t="shared" si="13"/>
        <v>34852</v>
      </c>
      <c r="B1581" s="193">
        <v>6.1428145074745267E-3</v>
      </c>
      <c r="C1581" s="194" t="s">
        <v>1</v>
      </c>
    </row>
    <row r="1582" spans="1:3" x14ac:dyDescent="0.15">
      <c r="A1582" s="191">
        <f t="shared" si="13"/>
        <v>34853</v>
      </c>
      <c r="B1582" s="193">
        <v>6.1428145074745267E-3</v>
      </c>
      <c r="C1582" s="194" t="s">
        <v>1</v>
      </c>
    </row>
    <row r="1583" spans="1:3" x14ac:dyDescent="0.15">
      <c r="A1583" s="191">
        <f t="shared" si="13"/>
        <v>34854</v>
      </c>
      <c r="B1583" s="193">
        <v>6.1428145074745267E-3</v>
      </c>
      <c r="C1583" s="194" t="s">
        <v>1</v>
      </c>
    </row>
    <row r="1584" spans="1:3" x14ac:dyDescent="0.15">
      <c r="A1584" s="191">
        <f t="shared" si="13"/>
        <v>34855</v>
      </c>
      <c r="B1584" s="193">
        <v>6.1515602044303029E-3</v>
      </c>
      <c r="C1584" s="194" t="s">
        <v>1</v>
      </c>
    </row>
    <row r="1585" spans="1:3" x14ac:dyDescent="0.15">
      <c r="A1585" s="191">
        <f t="shared" si="13"/>
        <v>34856</v>
      </c>
      <c r="B1585" s="193">
        <v>6.1603183528796332E-3</v>
      </c>
      <c r="C1585" s="194" t="s">
        <v>1</v>
      </c>
    </row>
    <row r="1586" spans="1:3" x14ac:dyDescent="0.15">
      <c r="A1586" s="191">
        <f t="shared" si="13"/>
        <v>34857</v>
      </c>
      <c r="B1586" s="193">
        <v>6.1690889705500575E-3</v>
      </c>
      <c r="C1586" s="194" t="s">
        <v>1</v>
      </c>
    </row>
    <row r="1587" spans="1:3" x14ac:dyDescent="0.15">
      <c r="A1587" s="191">
        <f t="shared" si="13"/>
        <v>34858</v>
      </c>
      <c r="B1587" s="193">
        <v>6.1778720751943543E-3</v>
      </c>
      <c r="C1587" s="194" t="s">
        <v>1</v>
      </c>
    </row>
    <row r="1588" spans="1:3" x14ac:dyDescent="0.15">
      <c r="A1588" s="191">
        <f t="shared" si="13"/>
        <v>34859</v>
      </c>
      <c r="B1588" s="193">
        <v>6.1866676845905785E-3</v>
      </c>
      <c r="C1588" s="194" t="s">
        <v>1</v>
      </c>
    </row>
    <row r="1589" spans="1:3" x14ac:dyDescent="0.15">
      <c r="A1589" s="191">
        <f t="shared" si="13"/>
        <v>34860</v>
      </c>
      <c r="B1589" s="193">
        <v>6.1866676845905785E-3</v>
      </c>
      <c r="C1589" s="194" t="s">
        <v>1</v>
      </c>
    </row>
    <row r="1590" spans="1:3" x14ac:dyDescent="0.15">
      <c r="A1590" s="191">
        <f t="shared" si="13"/>
        <v>34861</v>
      </c>
      <c r="B1590" s="193">
        <v>6.1866676845905785E-3</v>
      </c>
      <c r="C1590" s="194" t="s">
        <v>1</v>
      </c>
    </row>
    <row r="1591" spans="1:3" x14ac:dyDescent="0.15">
      <c r="A1591" s="191">
        <f t="shared" si="13"/>
        <v>34862</v>
      </c>
      <c r="B1591" s="193">
        <v>6.195475816542095E-3</v>
      </c>
      <c r="C1591" s="194" t="s">
        <v>1</v>
      </c>
    </row>
    <row r="1592" spans="1:3" x14ac:dyDescent="0.15">
      <c r="A1592" s="191">
        <f t="shared" si="13"/>
        <v>34863</v>
      </c>
      <c r="B1592" s="193">
        <v>6.2042964888776161E-3</v>
      </c>
      <c r="C1592" s="194" t="s">
        <v>1</v>
      </c>
    </row>
    <row r="1593" spans="1:3" x14ac:dyDescent="0.15">
      <c r="A1593" s="191">
        <f t="shared" si="13"/>
        <v>34864</v>
      </c>
      <c r="B1593" s="193">
        <v>6.2131297194512377E-3</v>
      </c>
      <c r="C1593" s="194" t="s">
        <v>1</v>
      </c>
    </row>
    <row r="1594" spans="1:3" x14ac:dyDescent="0.15">
      <c r="A1594" s="191">
        <f t="shared" si="13"/>
        <v>34865</v>
      </c>
      <c r="B1594" s="193">
        <v>6.2131297194512377E-3</v>
      </c>
      <c r="C1594" s="194" t="s">
        <v>1</v>
      </c>
    </row>
    <row r="1595" spans="1:3" x14ac:dyDescent="0.15">
      <c r="A1595" s="191">
        <f t="shared" si="13"/>
        <v>34866</v>
      </c>
      <c r="B1595" s="193">
        <v>6.2219755261424753E-3</v>
      </c>
      <c r="C1595" s="194" t="s">
        <v>1</v>
      </c>
    </row>
    <row r="1596" spans="1:3" x14ac:dyDescent="0.15">
      <c r="A1596" s="191">
        <f t="shared" si="13"/>
        <v>34867</v>
      </c>
      <c r="B1596" s="193">
        <v>6.2219755261424753E-3</v>
      </c>
      <c r="C1596" s="194" t="s">
        <v>1</v>
      </c>
    </row>
    <row r="1597" spans="1:3" x14ac:dyDescent="0.15">
      <c r="A1597" s="191">
        <f t="shared" si="13"/>
        <v>34868</v>
      </c>
      <c r="B1597" s="193">
        <v>6.2219755261424753E-3</v>
      </c>
      <c r="C1597" s="194" t="s">
        <v>1</v>
      </c>
    </row>
    <row r="1598" spans="1:3" x14ac:dyDescent="0.15">
      <c r="A1598" s="191">
        <f t="shared" si="13"/>
        <v>34869</v>
      </c>
      <c r="B1598" s="193">
        <v>6.230833926856299E-3</v>
      </c>
      <c r="C1598" s="194" t="s">
        <v>1</v>
      </c>
    </row>
    <row r="1599" spans="1:3" x14ac:dyDescent="0.15">
      <c r="A1599" s="191">
        <f t="shared" si="13"/>
        <v>34870</v>
      </c>
      <c r="B1599" s="193">
        <v>6.2397049395231715E-3</v>
      </c>
      <c r="C1599" s="194" t="s">
        <v>1</v>
      </c>
    </row>
    <row r="1600" spans="1:3" x14ac:dyDescent="0.15">
      <c r="A1600" s="191">
        <f t="shared" si="13"/>
        <v>34871</v>
      </c>
      <c r="B1600" s="193">
        <v>6.2485885820990836E-3</v>
      </c>
      <c r="C1600" s="194" t="s">
        <v>1</v>
      </c>
    </row>
    <row r="1601" spans="1:3" x14ac:dyDescent="0.15">
      <c r="A1601" s="191">
        <f t="shared" si="13"/>
        <v>34872</v>
      </c>
      <c r="B1601" s="193">
        <v>6.2574848725655899E-3</v>
      </c>
      <c r="C1601" s="194" t="s">
        <v>1</v>
      </c>
    </row>
    <row r="1602" spans="1:3" x14ac:dyDescent="0.15">
      <c r="A1602" s="191">
        <f t="shared" si="13"/>
        <v>34873</v>
      </c>
      <c r="B1602" s="193">
        <v>6.2663938289298469E-3</v>
      </c>
      <c r="C1602" s="194" t="s">
        <v>1</v>
      </c>
    </row>
    <row r="1603" spans="1:3" x14ac:dyDescent="0.15">
      <c r="A1603" s="191">
        <f t="shared" si="13"/>
        <v>34874</v>
      </c>
      <c r="B1603" s="193">
        <v>6.2663938289298469E-3</v>
      </c>
      <c r="C1603" s="194" t="s">
        <v>1</v>
      </c>
    </row>
    <row r="1604" spans="1:3" x14ac:dyDescent="0.15">
      <c r="A1604" s="191">
        <f t="shared" si="13"/>
        <v>34875</v>
      </c>
      <c r="B1604" s="193">
        <v>6.2663938289298469E-3</v>
      </c>
      <c r="C1604" s="194" t="s">
        <v>1</v>
      </c>
    </row>
    <row r="1605" spans="1:3" x14ac:dyDescent="0.15">
      <c r="A1605" s="191">
        <f t="shared" si="13"/>
        <v>34876</v>
      </c>
      <c r="B1605" s="193">
        <v>6.275315469224647E-3</v>
      </c>
      <c r="C1605" s="194" t="s">
        <v>1</v>
      </c>
    </row>
    <row r="1606" spans="1:3" x14ac:dyDescent="0.15">
      <c r="A1606" s="191">
        <f t="shared" ref="A1606:A1637" si="14">A1605+1</f>
        <v>34877</v>
      </c>
      <c r="B1606" s="193">
        <v>6.2842498115084581E-3</v>
      </c>
      <c r="C1606" s="194" t="s">
        <v>1</v>
      </c>
    </row>
    <row r="1607" spans="1:3" x14ac:dyDescent="0.15">
      <c r="A1607" s="191">
        <f t="shared" si="14"/>
        <v>34878</v>
      </c>
      <c r="B1607" s="193">
        <v>6.2931968738654566E-3</v>
      </c>
      <c r="C1607" s="194" t="s">
        <v>1</v>
      </c>
    </row>
    <row r="1608" spans="1:3" x14ac:dyDescent="0.15">
      <c r="A1608" s="191">
        <f t="shared" si="14"/>
        <v>34879</v>
      </c>
      <c r="B1608" s="193">
        <v>6.3021566744055667E-3</v>
      </c>
      <c r="C1608" s="194" t="s">
        <v>1</v>
      </c>
    </row>
    <row r="1609" spans="1:3" x14ac:dyDescent="0.15">
      <c r="A1609" s="191">
        <f t="shared" si="14"/>
        <v>34880</v>
      </c>
      <c r="B1609" s="193">
        <v>6.3111292312644967E-3</v>
      </c>
      <c r="C1609" s="194" t="s">
        <v>1</v>
      </c>
    </row>
    <row r="1610" spans="1:3" x14ac:dyDescent="0.15">
      <c r="A1610" s="191">
        <f t="shared" si="14"/>
        <v>34881</v>
      </c>
      <c r="B1610" s="193">
        <v>6.3111292312644967E-3</v>
      </c>
      <c r="C1610" s="194" t="s">
        <v>1</v>
      </c>
    </row>
    <row r="1611" spans="1:3" x14ac:dyDescent="0.15">
      <c r="A1611" s="191">
        <f t="shared" si="14"/>
        <v>34882</v>
      </c>
      <c r="B1611" s="193">
        <v>6.3111292312644967E-3</v>
      </c>
      <c r="C1611" s="194" t="s">
        <v>1</v>
      </c>
    </row>
    <row r="1612" spans="1:3" x14ac:dyDescent="0.15">
      <c r="A1612" s="191">
        <f t="shared" si="14"/>
        <v>34883</v>
      </c>
      <c r="B1612" s="193">
        <v>6.3195879538330063E-3</v>
      </c>
      <c r="C1612" s="194" t="s">
        <v>1</v>
      </c>
    </row>
    <row r="1613" spans="1:3" x14ac:dyDescent="0.15">
      <c r="A1613" s="191">
        <f t="shared" si="14"/>
        <v>34884</v>
      </c>
      <c r="B1613" s="193">
        <v>6.3280580135148708E-3</v>
      </c>
      <c r="C1613" s="194" t="s">
        <v>1</v>
      </c>
    </row>
    <row r="1614" spans="1:3" x14ac:dyDescent="0.15">
      <c r="A1614" s="191">
        <f t="shared" si="14"/>
        <v>34885</v>
      </c>
      <c r="B1614" s="193">
        <v>6.3365394255050726E-3</v>
      </c>
      <c r="C1614" s="194" t="s">
        <v>1</v>
      </c>
    </row>
    <row r="1615" spans="1:3" x14ac:dyDescent="0.15">
      <c r="A1615" s="191">
        <f t="shared" si="14"/>
        <v>34886</v>
      </c>
      <c r="B1615" s="193">
        <v>6.3450322050189589E-3</v>
      </c>
      <c r="C1615" s="194" t="s">
        <v>1</v>
      </c>
    </row>
    <row r="1616" spans="1:3" x14ac:dyDescent="0.15">
      <c r="A1616" s="191">
        <f t="shared" si="14"/>
        <v>34887</v>
      </c>
      <c r="B1616" s="193">
        <v>6.3535363672922712E-3</v>
      </c>
      <c r="C1616" s="194" t="s">
        <v>1</v>
      </c>
    </row>
    <row r="1617" spans="1:3" x14ac:dyDescent="0.15">
      <c r="A1617" s="191">
        <f t="shared" si="14"/>
        <v>34888</v>
      </c>
      <c r="B1617" s="193">
        <v>6.3535363672922712E-3</v>
      </c>
      <c r="C1617" s="194" t="s">
        <v>1</v>
      </c>
    </row>
    <row r="1618" spans="1:3" x14ac:dyDescent="0.15">
      <c r="A1618" s="191">
        <f t="shared" si="14"/>
        <v>34889</v>
      </c>
      <c r="B1618" s="193">
        <v>6.3535363672922712E-3</v>
      </c>
      <c r="C1618" s="194" t="s">
        <v>1</v>
      </c>
    </row>
    <row r="1619" spans="1:3" x14ac:dyDescent="0.15">
      <c r="A1619" s="191">
        <f t="shared" si="14"/>
        <v>34890</v>
      </c>
      <c r="B1619" s="193">
        <v>6.3620519275811695E-3</v>
      </c>
      <c r="C1619" s="194" t="s">
        <v>1</v>
      </c>
    </row>
    <row r="1620" spans="1:3" x14ac:dyDescent="0.15">
      <c r="A1620" s="191">
        <f t="shared" si="14"/>
        <v>34891</v>
      </c>
      <c r="B1620" s="193">
        <v>6.3705789011622637E-3</v>
      </c>
      <c r="C1620" s="194" t="s">
        <v>1</v>
      </c>
    </row>
    <row r="1621" spans="1:3" x14ac:dyDescent="0.15">
      <c r="A1621" s="191">
        <f t="shared" si="14"/>
        <v>34892</v>
      </c>
      <c r="B1621" s="193">
        <v>6.3791173033326369E-3</v>
      </c>
      <c r="C1621" s="194" t="s">
        <v>1</v>
      </c>
    </row>
    <row r="1622" spans="1:3" x14ac:dyDescent="0.15">
      <c r="A1622" s="191">
        <f t="shared" si="14"/>
        <v>34893</v>
      </c>
      <c r="B1622" s="193">
        <v>6.3876671494098756E-3</v>
      </c>
      <c r="C1622" s="194" t="s">
        <v>1</v>
      </c>
    </row>
    <row r="1623" spans="1:3" x14ac:dyDescent="0.15">
      <c r="A1623" s="191">
        <f t="shared" si="14"/>
        <v>34894</v>
      </c>
      <c r="B1623" s="193">
        <v>6.3962284547320952E-3</v>
      </c>
      <c r="C1623" s="194" t="s">
        <v>1</v>
      </c>
    </row>
    <row r="1624" spans="1:3" x14ac:dyDescent="0.15">
      <c r="A1624" s="191">
        <f t="shared" si="14"/>
        <v>34895</v>
      </c>
      <c r="B1624" s="193">
        <v>6.3962284547320952E-3</v>
      </c>
      <c r="C1624" s="194" t="s">
        <v>1</v>
      </c>
    </row>
    <row r="1625" spans="1:3" x14ac:dyDescent="0.15">
      <c r="A1625" s="191">
        <f t="shared" si="14"/>
        <v>34896</v>
      </c>
      <c r="B1625" s="193">
        <v>6.3962284547320952E-3</v>
      </c>
      <c r="C1625" s="194" t="s">
        <v>1</v>
      </c>
    </row>
    <row r="1626" spans="1:3" x14ac:dyDescent="0.15">
      <c r="A1626" s="191">
        <f t="shared" si="14"/>
        <v>34897</v>
      </c>
      <c r="B1626" s="193">
        <v>6.40480123465797E-3</v>
      </c>
      <c r="C1626" s="194" t="s">
        <v>1</v>
      </c>
    </row>
    <row r="1627" spans="1:3" x14ac:dyDescent="0.15">
      <c r="A1627" s="191">
        <f t="shared" si="14"/>
        <v>34898</v>
      </c>
      <c r="B1627" s="193">
        <v>6.4133855045667588E-3</v>
      </c>
      <c r="C1627" s="194" t="s">
        <v>1</v>
      </c>
    </row>
    <row r="1628" spans="1:3" x14ac:dyDescent="0.15">
      <c r="A1628" s="191">
        <f t="shared" si="14"/>
        <v>34899</v>
      </c>
      <c r="B1628" s="193">
        <v>6.4219812798583329E-3</v>
      </c>
      <c r="C1628" s="194" t="s">
        <v>1</v>
      </c>
    </row>
    <row r="1629" spans="1:3" x14ac:dyDescent="0.15">
      <c r="A1629" s="191">
        <f t="shared" si="14"/>
        <v>34900</v>
      </c>
      <c r="B1629" s="193">
        <v>6.4305885759532036E-3</v>
      </c>
      <c r="C1629" s="194" t="s">
        <v>1</v>
      </c>
    </row>
    <row r="1630" spans="1:3" x14ac:dyDescent="0.15">
      <c r="A1630" s="191">
        <f t="shared" si="14"/>
        <v>34901</v>
      </c>
      <c r="B1630" s="193">
        <v>6.4392074082925497E-3</v>
      </c>
      <c r="C1630" s="194" t="s">
        <v>1</v>
      </c>
    </row>
    <row r="1631" spans="1:3" x14ac:dyDescent="0.15">
      <c r="A1631" s="191">
        <f t="shared" si="14"/>
        <v>34902</v>
      </c>
      <c r="B1631" s="193">
        <v>6.4392074082925497E-3</v>
      </c>
      <c r="C1631" s="194" t="s">
        <v>1</v>
      </c>
    </row>
    <row r="1632" spans="1:3" x14ac:dyDescent="0.15">
      <c r="A1632" s="191">
        <f t="shared" si="14"/>
        <v>34903</v>
      </c>
      <c r="B1632" s="193">
        <v>6.4392074082925497E-3</v>
      </c>
      <c r="C1632" s="194" t="s">
        <v>1</v>
      </c>
    </row>
    <row r="1633" spans="1:3" x14ac:dyDescent="0.15">
      <c r="A1633" s="191">
        <f t="shared" si="14"/>
        <v>34904</v>
      </c>
      <c r="B1633" s="193">
        <v>6.4478377923382468E-3</v>
      </c>
      <c r="C1633" s="194" t="s">
        <v>1</v>
      </c>
    </row>
    <row r="1634" spans="1:3" x14ac:dyDescent="0.15">
      <c r="A1634" s="191">
        <f t="shared" si="14"/>
        <v>34905</v>
      </c>
      <c r="B1634" s="193">
        <v>6.4564797435728936E-3</v>
      </c>
      <c r="C1634" s="194" t="s">
        <v>1</v>
      </c>
    </row>
    <row r="1635" spans="1:3" x14ac:dyDescent="0.15">
      <c r="A1635" s="191">
        <f t="shared" si="14"/>
        <v>34906</v>
      </c>
      <c r="B1635" s="193">
        <v>6.4651332774998396E-3</v>
      </c>
      <c r="C1635" s="194" t="s">
        <v>1</v>
      </c>
    </row>
    <row r="1636" spans="1:3" x14ac:dyDescent="0.15">
      <c r="A1636" s="191">
        <f t="shared" si="14"/>
        <v>34907</v>
      </c>
      <c r="B1636" s="193">
        <v>6.4737984096432128E-3</v>
      </c>
      <c r="C1636" s="194" t="s">
        <v>1</v>
      </c>
    </row>
    <row r="1637" spans="1:3" x14ac:dyDescent="0.15">
      <c r="A1637" s="191">
        <f t="shared" si="14"/>
        <v>34908</v>
      </c>
      <c r="B1637" s="193">
        <v>6.4824751555479483E-3</v>
      </c>
      <c r="C1637" s="194" t="s">
        <v>1</v>
      </c>
    </row>
    <row r="1638" spans="1:3" x14ac:dyDescent="0.15">
      <c r="A1638" s="191">
        <f>A1637+1</f>
        <v>34909</v>
      </c>
      <c r="B1638" s="193">
        <v>6.4824751555479483E-3</v>
      </c>
      <c r="C1638" s="194" t="s">
        <v>1</v>
      </c>
    </row>
    <row r="1639" spans="1:3" x14ac:dyDescent="0.15">
      <c r="A1639" s="191">
        <f>A1638+1</f>
        <v>34910</v>
      </c>
      <c r="B1639" s="193">
        <v>6.4824751555479483E-3</v>
      </c>
      <c r="C1639" s="194" t="s">
        <v>1</v>
      </c>
    </row>
    <row r="1640" spans="1:3" x14ac:dyDescent="0.15">
      <c r="A1640" s="191">
        <f>A1639+1</f>
        <v>34911</v>
      </c>
      <c r="B1640" s="193">
        <v>6.4911635307798162E-3</v>
      </c>
      <c r="C1640" s="194" t="s">
        <v>1</v>
      </c>
    </row>
    <row r="1641" spans="1:3" x14ac:dyDescent="0.15">
      <c r="A1641" s="191">
        <v>34912</v>
      </c>
      <c r="B1641" s="193">
        <v>6.4998635509254492E-3</v>
      </c>
      <c r="C1641" s="194" t="s">
        <v>1</v>
      </c>
    </row>
    <row r="1642" spans="1:3" x14ac:dyDescent="0.15">
      <c r="A1642" s="191">
        <v>34913</v>
      </c>
      <c r="B1642" s="193">
        <v>6.5071337845899824E-3</v>
      </c>
      <c r="C1642" s="194" t="s">
        <v>1</v>
      </c>
    </row>
    <row r="1643" spans="1:3" x14ac:dyDescent="0.15">
      <c r="A1643" s="191">
        <v>34914</v>
      </c>
      <c r="B1643" s="193">
        <v>6.5144121501633052E-3</v>
      </c>
      <c r="C1643" s="194" t="s">
        <v>1</v>
      </c>
    </row>
    <row r="1644" spans="1:3" x14ac:dyDescent="0.15">
      <c r="A1644" s="191">
        <v>34915</v>
      </c>
      <c r="B1644" s="193">
        <v>6.521698656741127E-3</v>
      </c>
      <c r="C1644" s="194" t="s">
        <v>1</v>
      </c>
    </row>
    <row r="1645" spans="1:3" x14ac:dyDescent="0.15">
      <c r="A1645" s="191">
        <v>34916</v>
      </c>
      <c r="B1645" s="193">
        <v>6.521698656741127E-3</v>
      </c>
      <c r="C1645" s="194" t="s">
        <v>1</v>
      </c>
    </row>
    <row r="1646" spans="1:3" x14ac:dyDescent="0.15">
      <c r="A1646" s="191">
        <v>34917</v>
      </c>
      <c r="B1646" s="193">
        <v>6.521698656741127E-3</v>
      </c>
      <c r="C1646" s="194" t="s">
        <v>1</v>
      </c>
    </row>
    <row r="1647" spans="1:3" x14ac:dyDescent="0.15">
      <c r="A1647" s="191">
        <v>34918</v>
      </c>
      <c r="B1647" s="193">
        <v>6.5289933134293323E-3</v>
      </c>
      <c r="C1647" s="194" t="s">
        <v>1</v>
      </c>
    </row>
    <row r="1648" spans="1:3" x14ac:dyDescent="0.15">
      <c r="A1648" s="191">
        <v>34919</v>
      </c>
      <c r="B1648" s="193">
        <v>6.5362961293439908E-3</v>
      </c>
      <c r="C1648" s="194" t="s">
        <v>1</v>
      </c>
    </row>
    <row r="1649" spans="1:3" x14ac:dyDescent="0.15">
      <c r="A1649" s="191">
        <v>34920</v>
      </c>
      <c r="B1649" s="193">
        <v>6.5436071136113685E-3</v>
      </c>
      <c r="C1649" s="194" t="s">
        <v>1</v>
      </c>
    </row>
    <row r="1650" spans="1:3" x14ac:dyDescent="0.15">
      <c r="A1650" s="191">
        <v>34921</v>
      </c>
      <c r="B1650" s="193">
        <v>6.5509262753679388E-3</v>
      </c>
      <c r="C1650" s="194" t="s">
        <v>1</v>
      </c>
    </row>
    <row r="1651" spans="1:3" x14ac:dyDescent="0.15">
      <c r="A1651" s="191">
        <v>34922</v>
      </c>
      <c r="B1651" s="193">
        <v>6.5582536237603949E-3</v>
      </c>
      <c r="C1651" s="194" t="s">
        <v>1</v>
      </c>
    </row>
    <row r="1652" spans="1:3" x14ac:dyDescent="0.15">
      <c r="A1652" s="191">
        <v>34923</v>
      </c>
      <c r="B1652" s="193">
        <v>6.5582536237603949E-3</v>
      </c>
      <c r="C1652" s="194" t="s">
        <v>1</v>
      </c>
    </row>
    <row r="1653" spans="1:3" x14ac:dyDescent="0.15">
      <c r="A1653" s="191">
        <v>34924</v>
      </c>
      <c r="B1653" s="193">
        <v>6.5582536237603949E-3</v>
      </c>
      <c r="C1653" s="194" t="s">
        <v>1</v>
      </c>
    </row>
    <row r="1654" spans="1:3" x14ac:dyDescent="0.15">
      <c r="A1654" s="191">
        <v>34925</v>
      </c>
      <c r="B1654" s="193">
        <v>6.565589167945661E-3</v>
      </c>
      <c r="C1654" s="194" t="s">
        <v>1</v>
      </c>
    </row>
    <row r="1655" spans="1:3" x14ac:dyDescent="0.15">
      <c r="A1655" s="191">
        <v>34926</v>
      </c>
      <c r="B1655" s="193">
        <v>6.5729329170909024E-3</v>
      </c>
      <c r="C1655" s="194" t="s">
        <v>1</v>
      </c>
    </row>
    <row r="1656" spans="1:3" x14ac:dyDescent="0.15">
      <c r="A1656" s="191">
        <v>34927</v>
      </c>
      <c r="B1656" s="193">
        <v>6.5802848803735393E-3</v>
      </c>
      <c r="C1656" s="194" t="s">
        <v>1</v>
      </c>
    </row>
    <row r="1657" spans="1:3" x14ac:dyDescent="0.15">
      <c r="A1657" s="191">
        <v>34928</v>
      </c>
      <c r="B1657" s="193">
        <v>6.587645066981257E-3</v>
      </c>
      <c r="C1657" s="194" t="s">
        <v>1</v>
      </c>
    </row>
    <row r="1658" spans="1:3" x14ac:dyDescent="0.15">
      <c r="A1658" s="191">
        <v>34929</v>
      </c>
      <c r="B1658" s="193">
        <v>6.5950134861120164E-3</v>
      </c>
      <c r="C1658" s="194" t="s">
        <v>1</v>
      </c>
    </row>
    <row r="1659" spans="1:3" x14ac:dyDescent="0.15">
      <c r="A1659" s="191">
        <v>34930</v>
      </c>
      <c r="B1659" s="193">
        <v>6.5950134861120164E-3</v>
      </c>
      <c r="C1659" s="194" t="s">
        <v>1</v>
      </c>
    </row>
    <row r="1660" spans="1:3" x14ac:dyDescent="0.15">
      <c r="A1660" s="191">
        <v>34931</v>
      </c>
      <c r="B1660" s="193">
        <v>6.5950134861120164E-3</v>
      </c>
      <c r="C1660" s="194" t="s">
        <v>1</v>
      </c>
    </row>
    <row r="1661" spans="1:3" x14ac:dyDescent="0.15">
      <c r="A1661" s="191">
        <v>34932</v>
      </c>
      <c r="B1661" s="193">
        <v>6.6023901469740671E-3</v>
      </c>
      <c r="C1661" s="194" t="s">
        <v>1</v>
      </c>
    </row>
    <row r="1662" spans="1:3" x14ac:dyDescent="0.15">
      <c r="A1662" s="191">
        <v>34933</v>
      </c>
      <c r="B1662" s="193">
        <v>6.6097750587859588E-3</v>
      </c>
      <c r="C1662" s="194" t="s">
        <v>1</v>
      </c>
    </row>
    <row r="1663" spans="1:3" x14ac:dyDescent="0.15">
      <c r="A1663" s="191">
        <v>34934</v>
      </c>
      <c r="B1663" s="193">
        <v>6.617168230776552E-3</v>
      </c>
      <c r="C1663" s="194" t="s">
        <v>1</v>
      </c>
    </row>
    <row r="1664" spans="1:3" x14ac:dyDescent="0.15">
      <c r="A1664" s="191">
        <v>34935</v>
      </c>
      <c r="B1664" s="193">
        <v>6.6245696721850293E-3</v>
      </c>
      <c r="C1664" s="194" t="s">
        <v>1</v>
      </c>
    </row>
    <row r="1665" spans="1:3" x14ac:dyDescent="0.15">
      <c r="A1665" s="191">
        <v>34936</v>
      </c>
      <c r="B1665" s="193">
        <v>6.6319793922609083E-3</v>
      </c>
      <c r="C1665" s="194" t="s">
        <v>1</v>
      </c>
    </row>
    <row r="1666" spans="1:3" x14ac:dyDescent="0.15">
      <c r="A1666" s="191">
        <v>34937</v>
      </c>
      <c r="B1666" s="193">
        <v>6.6319793922609083E-3</v>
      </c>
      <c r="C1666" s="194" t="s">
        <v>1</v>
      </c>
    </row>
    <row r="1667" spans="1:3" x14ac:dyDescent="0.15">
      <c r="A1667" s="191">
        <v>34938</v>
      </c>
      <c r="B1667" s="193">
        <v>6.6319793922609083E-3</v>
      </c>
      <c r="C1667" s="194" t="s">
        <v>1</v>
      </c>
    </row>
    <row r="1668" spans="1:3" x14ac:dyDescent="0.15">
      <c r="A1668" s="191">
        <v>34939</v>
      </c>
      <c r="B1668" s="193">
        <v>6.6393974002640519E-3</v>
      </c>
      <c r="C1668" s="194" t="s">
        <v>1</v>
      </c>
    </row>
    <row r="1669" spans="1:3" x14ac:dyDescent="0.15">
      <c r="A1669" s="191">
        <v>34940</v>
      </c>
      <c r="B1669" s="193">
        <v>6.6468237054646811E-3</v>
      </c>
      <c r="C1669" s="194" t="s">
        <v>1</v>
      </c>
    </row>
    <row r="1670" spans="1:3" x14ac:dyDescent="0.15">
      <c r="A1670" s="191">
        <v>34941</v>
      </c>
      <c r="B1670" s="193">
        <v>6.6542583171433842E-3</v>
      </c>
      <c r="C1670" s="194" t="s">
        <v>1</v>
      </c>
    </row>
    <row r="1671" spans="1:3" x14ac:dyDescent="0.15">
      <c r="A1671" s="191">
        <v>34942</v>
      </c>
      <c r="B1671" s="193">
        <v>6.661701244591132E-3</v>
      </c>
      <c r="C1671" s="194" t="s">
        <v>1</v>
      </c>
    </row>
    <row r="1672" spans="1:3" x14ac:dyDescent="0.15">
      <c r="A1672" s="191">
        <v>34943</v>
      </c>
      <c r="B1672" s="193">
        <v>6.6691524971092863E-3</v>
      </c>
      <c r="C1672" s="194" t="s">
        <v>1</v>
      </c>
    </row>
    <row r="1673" spans="1:3" x14ac:dyDescent="0.15">
      <c r="A1673" s="191">
        <v>34944</v>
      </c>
      <c r="B1673" s="193">
        <v>6.6691524971092863E-3</v>
      </c>
      <c r="C1673" s="194" t="s">
        <v>1</v>
      </c>
    </row>
    <row r="1674" spans="1:3" x14ac:dyDescent="0.15">
      <c r="A1674" s="191">
        <v>34945</v>
      </c>
      <c r="B1674" s="193">
        <v>6.6691524971092863E-3</v>
      </c>
      <c r="C1674" s="194" t="s">
        <v>1</v>
      </c>
    </row>
    <row r="1675" spans="1:3" x14ac:dyDescent="0.15">
      <c r="A1675" s="191">
        <v>34946</v>
      </c>
      <c r="B1675" s="193">
        <v>6.6758978407675555E-3</v>
      </c>
      <c r="C1675" s="194" t="s">
        <v>1</v>
      </c>
    </row>
    <row r="1676" spans="1:3" x14ac:dyDescent="0.15">
      <c r="A1676" s="191">
        <v>34947</v>
      </c>
      <c r="B1676" s="193">
        <v>6.6826500068310835E-3</v>
      </c>
      <c r="C1676" s="194" t="s">
        <v>1</v>
      </c>
    </row>
    <row r="1677" spans="1:3" x14ac:dyDescent="0.15">
      <c r="A1677" s="191">
        <v>34948</v>
      </c>
      <c r="B1677" s="193">
        <v>6.6894090022002178E-3</v>
      </c>
      <c r="C1677" s="194" t="s">
        <v>1</v>
      </c>
    </row>
    <row r="1678" spans="1:3" x14ac:dyDescent="0.15">
      <c r="A1678" s="191">
        <v>34949</v>
      </c>
      <c r="B1678" s="193">
        <v>6.6894090022002178E-3</v>
      </c>
      <c r="C1678" s="194" t="s">
        <v>1</v>
      </c>
    </row>
    <row r="1679" spans="1:3" x14ac:dyDescent="0.15">
      <c r="A1679" s="191">
        <v>34950</v>
      </c>
      <c r="B1679" s="193">
        <v>6.6961748337822846E-3</v>
      </c>
      <c r="C1679" s="194" t="s">
        <v>1</v>
      </c>
    </row>
    <row r="1680" spans="1:3" x14ac:dyDescent="0.15">
      <c r="A1680" s="191">
        <v>34951</v>
      </c>
      <c r="B1680" s="193">
        <v>6.6961748337822846E-3</v>
      </c>
      <c r="C1680" s="194" t="s">
        <v>1</v>
      </c>
    </row>
    <row r="1681" spans="1:3" x14ac:dyDescent="0.15">
      <c r="A1681" s="191">
        <v>34952</v>
      </c>
      <c r="B1681" s="193">
        <v>6.6961748337822846E-3</v>
      </c>
      <c r="C1681" s="194" t="s">
        <v>1</v>
      </c>
    </row>
    <row r="1682" spans="1:3" x14ac:dyDescent="0.15">
      <c r="A1682" s="191">
        <v>34953</v>
      </c>
      <c r="B1682" s="193">
        <v>6.702947508491596E-3</v>
      </c>
      <c r="C1682" s="194" t="s">
        <v>1</v>
      </c>
    </row>
    <row r="1683" spans="1:3" x14ac:dyDescent="0.15">
      <c r="A1683" s="191">
        <v>34954</v>
      </c>
      <c r="B1683" s="193">
        <v>6.7097270332494591E-3</v>
      </c>
      <c r="C1683" s="194" t="s">
        <v>1</v>
      </c>
    </row>
    <row r="1684" spans="1:3" x14ac:dyDescent="0.15">
      <c r="A1684" s="191">
        <v>34955</v>
      </c>
      <c r="B1684" s="193">
        <v>6.7165134149841793E-3</v>
      </c>
      <c r="C1684" s="194" t="s">
        <v>1</v>
      </c>
    </row>
    <row r="1685" spans="1:3" x14ac:dyDescent="0.15">
      <c r="A1685" s="191">
        <v>34956</v>
      </c>
      <c r="B1685" s="193">
        <v>6.7233066606310708E-3</v>
      </c>
      <c r="C1685" s="194" t="s">
        <v>1</v>
      </c>
    </row>
    <row r="1686" spans="1:3" x14ac:dyDescent="0.15">
      <c r="A1686" s="191">
        <v>34957</v>
      </c>
      <c r="B1686" s="193">
        <v>6.7301067771324621E-3</v>
      </c>
      <c r="C1686" s="194" t="s">
        <v>1</v>
      </c>
    </row>
    <row r="1687" spans="1:3" x14ac:dyDescent="0.15">
      <c r="A1687" s="191">
        <v>34958</v>
      </c>
      <c r="B1687" s="193">
        <v>6.7301067771324621E-3</v>
      </c>
      <c r="C1687" s="194" t="s">
        <v>1</v>
      </c>
    </row>
    <row r="1688" spans="1:3" x14ac:dyDescent="0.15">
      <c r="A1688" s="191">
        <v>34959</v>
      </c>
      <c r="B1688" s="193">
        <v>6.7301067771324621E-3</v>
      </c>
      <c r="C1688" s="194" t="s">
        <v>1</v>
      </c>
    </row>
    <row r="1689" spans="1:3" x14ac:dyDescent="0.15">
      <c r="A1689" s="191">
        <v>34960</v>
      </c>
      <c r="B1689" s="193">
        <v>6.7369137714377025E-3</v>
      </c>
      <c r="C1689" s="194" t="s">
        <v>1</v>
      </c>
    </row>
    <row r="1690" spans="1:3" x14ac:dyDescent="0.15">
      <c r="A1690" s="191">
        <v>34961</v>
      </c>
      <c r="B1690" s="193">
        <v>6.7437276505031719E-3</v>
      </c>
      <c r="C1690" s="194" t="s">
        <v>1</v>
      </c>
    </row>
    <row r="1691" spans="1:3" x14ac:dyDescent="0.15">
      <c r="A1691" s="191">
        <v>34962</v>
      </c>
      <c r="B1691" s="193">
        <v>6.7505484212922835E-3</v>
      </c>
      <c r="C1691" s="194" t="s">
        <v>1</v>
      </c>
    </row>
    <row r="1692" spans="1:3" x14ac:dyDescent="0.15">
      <c r="A1692" s="191">
        <v>34963</v>
      </c>
      <c r="B1692" s="193">
        <v>6.7573760907754963E-3</v>
      </c>
      <c r="C1692" s="194" t="s">
        <v>1</v>
      </c>
    </row>
    <row r="1693" spans="1:3" x14ac:dyDescent="0.15">
      <c r="A1693" s="191">
        <v>34964</v>
      </c>
      <c r="B1693" s="193">
        <v>6.7642106659303166E-3</v>
      </c>
      <c r="C1693" s="194" t="s">
        <v>1</v>
      </c>
    </row>
    <row r="1694" spans="1:3" x14ac:dyDescent="0.15">
      <c r="A1694" s="191">
        <v>34965</v>
      </c>
      <c r="B1694" s="193">
        <v>6.7642106659303166E-3</v>
      </c>
      <c r="C1694" s="194" t="s">
        <v>1</v>
      </c>
    </row>
    <row r="1695" spans="1:3" x14ac:dyDescent="0.15">
      <c r="A1695" s="191">
        <v>34966</v>
      </c>
      <c r="B1695" s="193">
        <v>6.7642106659303166E-3</v>
      </c>
      <c r="C1695" s="194" t="s">
        <v>1</v>
      </c>
    </row>
    <row r="1696" spans="1:3" x14ac:dyDescent="0.15">
      <c r="A1696" s="191">
        <v>34967</v>
      </c>
      <c r="B1696" s="193">
        <v>6.7710521537413101E-3</v>
      </c>
      <c r="C1696" s="194" t="s">
        <v>1</v>
      </c>
    </row>
    <row r="1697" spans="1:3" x14ac:dyDescent="0.15">
      <c r="A1697" s="191">
        <v>34968</v>
      </c>
      <c r="B1697" s="193">
        <v>6.7779005612001062E-3</v>
      </c>
      <c r="C1697" s="194" t="s">
        <v>1</v>
      </c>
    </row>
    <row r="1698" spans="1:3" x14ac:dyDescent="0.15">
      <c r="A1698" s="191">
        <v>34969</v>
      </c>
      <c r="B1698" s="193">
        <v>6.7847558953054053E-3</v>
      </c>
      <c r="C1698" s="194" t="s">
        <v>1</v>
      </c>
    </row>
    <row r="1699" spans="1:3" x14ac:dyDescent="0.15">
      <c r="A1699" s="191">
        <v>34970</v>
      </c>
      <c r="B1699" s="193">
        <v>6.791618163062986E-3</v>
      </c>
      <c r="C1699" s="194" t="s">
        <v>1</v>
      </c>
    </row>
    <row r="1700" spans="1:3" x14ac:dyDescent="0.15">
      <c r="A1700" s="191">
        <v>34971</v>
      </c>
      <c r="B1700" s="193">
        <v>6.7984873714857143E-3</v>
      </c>
      <c r="C1700" s="194" t="s">
        <v>1</v>
      </c>
    </row>
    <row r="1701" spans="1:3" x14ac:dyDescent="0.15">
      <c r="A1701" s="191">
        <v>34972</v>
      </c>
      <c r="B1701" s="193">
        <v>6.7984873714857143E-3</v>
      </c>
      <c r="C1701" s="194" t="s">
        <v>1</v>
      </c>
    </row>
    <row r="1702" spans="1:3" x14ac:dyDescent="0.15">
      <c r="A1702" s="191">
        <v>34973</v>
      </c>
      <c r="B1702" s="193">
        <v>6.7984873714857143E-3</v>
      </c>
      <c r="C1702" s="194" t="s">
        <v>1</v>
      </c>
    </row>
    <row r="1703" spans="1:3" x14ac:dyDescent="0.15">
      <c r="A1703" s="191">
        <v>34974</v>
      </c>
      <c r="B1703" s="193">
        <v>6.8035586789688225E-3</v>
      </c>
      <c r="C1703" s="194" t="s">
        <v>1</v>
      </c>
    </row>
    <row r="1704" spans="1:3" x14ac:dyDescent="0.15">
      <c r="A1704" s="191">
        <v>34975</v>
      </c>
      <c r="B1704" s="193">
        <v>6.8086337693757173E-3</v>
      </c>
      <c r="C1704" s="194" t="s">
        <v>1</v>
      </c>
    </row>
    <row r="1705" spans="1:3" x14ac:dyDescent="0.15">
      <c r="A1705" s="191">
        <v>34976</v>
      </c>
      <c r="B1705" s="193">
        <v>6.8137126455282571E-3</v>
      </c>
      <c r="C1705" s="194" t="s">
        <v>1</v>
      </c>
    </row>
    <row r="1706" spans="1:3" x14ac:dyDescent="0.15">
      <c r="A1706" s="191">
        <v>34977</v>
      </c>
      <c r="B1706" s="193">
        <v>6.8187953102504051E-3</v>
      </c>
      <c r="C1706" s="194" t="s">
        <v>1</v>
      </c>
    </row>
    <row r="1707" spans="1:3" x14ac:dyDescent="0.15">
      <c r="A1707" s="191">
        <v>34978</v>
      </c>
      <c r="B1707" s="193">
        <v>6.8238817663682314E-3</v>
      </c>
      <c r="C1707" s="194" t="s">
        <v>1</v>
      </c>
    </row>
    <row r="1708" spans="1:3" x14ac:dyDescent="0.15">
      <c r="A1708" s="191">
        <v>34979</v>
      </c>
      <c r="B1708" s="193">
        <v>6.8238817663682314E-3</v>
      </c>
      <c r="C1708" s="194" t="s">
        <v>1</v>
      </c>
    </row>
    <row r="1709" spans="1:3" x14ac:dyDescent="0.15">
      <c r="A1709" s="191">
        <v>34980</v>
      </c>
      <c r="B1709" s="193">
        <v>6.8238817663682314E-3</v>
      </c>
      <c r="C1709" s="194" t="s">
        <v>1</v>
      </c>
    </row>
    <row r="1710" spans="1:3" x14ac:dyDescent="0.15">
      <c r="A1710" s="191">
        <v>34981</v>
      </c>
      <c r="B1710" s="193">
        <v>6.8289720167099138E-3</v>
      </c>
      <c r="C1710" s="194" t="s">
        <v>1</v>
      </c>
    </row>
    <row r="1711" spans="1:3" x14ac:dyDescent="0.15">
      <c r="A1711" s="191">
        <v>34982</v>
      </c>
      <c r="B1711" s="193">
        <v>6.8340660641057404E-3</v>
      </c>
      <c r="C1711" s="194" t="s">
        <v>1</v>
      </c>
    </row>
    <row r="1712" spans="1:3" x14ac:dyDescent="0.15">
      <c r="A1712" s="191">
        <v>34983</v>
      </c>
      <c r="B1712" s="193">
        <v>6.8391639113881105E-3</v>
      </c>
      <c r="C1712" s="194" t="s">
        <v>1</v>
      </c>
    </row>
    <row r="1713" spans="1:3" x14ac:dyDescent="0.15">
      <c r="A1713" s="191">
        <v>34984</v>
      </c>
      <c r="B1713" s="193">
        <v>6.8391639113881105E-3</v>
      </c>
      <c r="C1713" s="194" t="s">
        <v>1</v>
      </c>
    </row>
    <row r="1714" spans="1:3" x14ac:dyDescent="0.15">
      <c r="A1714" s="191">
        <v>34985</v>
      </c>
      <c r="B1714" s="193">
        <v>6.8442655613915361E-3</v>
      </c>
      <c r="C1714" s="194" t="s">
        <v>1</v>
      </c>
    </row>
    <row r="1715" spans="1:3" x14ac:dyDescent="0.15">
      <c r="A1715" s="191">
        <v>34986</v>
      </c>
      <c r="B1715" s="193">
        <v>6.8442655613915361E-3</v>
      </c>
      <c r="C1715" s="194" t="s">
        <v>1</v>
      </c>
    </row>
    <row r="1716" spans="1:3" x14ac:dyDescent="0.15">
      <c r="A1716" s="191">
        <v>34987</v>
      </c>
      <c r="B1716" s="193">
        <v>6.8442655613915361E-3</v>
      </c>
      <c r="C1716" s="194" t="s">
        <v>1</v>
      </c>
    </row>
    <row r="1717" spans="1:3" x14ac:dyDescent="0.15">
      <c r="A1717" s="191">
        <v>34988</v>
      </c>
      <c r="B1717" s="193">
        <v>6.8493710169526432E-3</v>
      </c>
      <c r="C1717" s="194" t="s">
        <v>1</v>
      </c>
    </row>
    <row r="1718" spans="1:3" x14ac:dyDescent="0.15">
      <c r="A1718" s="191">
        <v>34989</v>
      </c>
      <c r="B1718" s="193">
        <v>6.8544802809101741E-3</v>
      </c>
      <c r="C1718" s="194" t="s">
        <v>1</v>
      </c>
    </row>
    <row r="1719" spans="1:3" x14ac:dyDescent="0.15">
      <c r="A1719" s="191">
        <v>34990</v>
      </c>
      <c r="B1719" s="193">
        <v>6.8595933561049881E-3</v>
      </c>
      <c r="C1719" s="194" t="s">
        <v>1</v>
      </c>
    </row>
    <row r="1720" spans="1:3" x14ac:dyDescent="0.15">
      <c r="A1720" s="191">
        <v>34991</v>
      </c>
      <c r="B1720" s="193">
        <v>6.8647102453800639E-3</v>
      </c>
      <c r="C1720" s="194" t="s">
        <v>1</v>
      </c>
    </row>
    <row r="1721" spans="1:3" x14ac:dyDescent="0.15">
      <c r="A1721" s="191">
        <v>34992</v>
      </c>
      <c r="B1721" s="193">
        <v>6.8698309515805023E-3</v>
      </c>
      <c r="C1721" s="194" t="s">
        <v>1</v>
      </c>
    </row>
    <row r="1722" spans="1:3" x14ac:dyDescent="0.15">
      <c r="A1722" s="191">
        <v>34993</v>
      </c>
      <c r="B1722" s="193">
        <v>6.8698309515805023E-3</v>
      </c>
      <c r="C1722" s="194" t="s">
        <v>1</v>
      </c>
    </row>
    <row r="1723" spans="1:3" x14ac:dyDescent="0.15">
      <c r="A1723" s="191">
        <v>34994</v>
      </c>
      <c r="B1723" s="193">
        <v>6.8698309515805023E-3</v>
      </c>
      <c r="C1723" s="194" t="s">
        <v>1</v>
      </c>
    </row>
    <row r="1724" spans="1:3" x14ac:dyDescent="0.15">
      <c r="A1724" s="191">
        <v>34995</v>
      </c>
      <c r="B1724" s="193">
        <v>6.8749554775535239E-3</v>
      </c>
      <c r="C1724" s="194" t="s">
        <v>1</v>
      </c>
    </row>
    <row r="1725" spans="1:3" x14ac:dyDescent="0.15">
      <c r="A1725" s="191">
        <v>34996</v>
      </c>
      <c r="B1725" s="193">
        <v>6.8800838261484755E-3</v>
      </c>
      <c r="C1725" s="194" t="s">
        <v>1</v>
      </c>
    </row>
    <row r="1726" spans="1:3" x14ac:dyDescent="0.15">
      <c r="A1726" s="191">
        <v>34997</v>
      </c>
      <c r="B1726" s="193">
        <v>6.8852160002168279E-3</v>
      </c>
      <c r="C1726" s="194" t="s">
        <v>1</v>
      </c>
    </row>
    <row r="1727" spans="1:3" x14ac:dyDescent="0.15">
      <c r="A1727" s="191">
        <v>34998</v>
      </c>
      <c r="B1727" s="193">
        <v>6.8903520026121793E-3</v>
      </c>
      <c r="C1727" s="194" t="s">
        <v>1</v>
      </c>
    </row>
    <row r="1728" spans="1:3" x14ac:dyDescent="0.15">
      <c r="A1728" s="191">
        <v>34999</v>
      </c>
      <c r="B1728" s="193">
        <v>6.8954918361902569E-3</v>
      </c>
      <c r="C1728" s="194" t="s">
        <v>1</v>
      </c>
    </row>
    <row r="1729" spans="1:3" x14ac:dyDescent="0.15">
      <c r="A1729" s="191">
        <v>35000</v>
      </c>
      <c r="B1729" s="193">
        <v>6.8954918361902569E-3</v>
      </c>
      <c r="C1729" s="194" t="s">
        <v>1</v>
      </c>
    </row>
    <row r="1730" spans="1:3" x14ac:dyDescent="0.15">
      <c r="A1730" s="191">
        <v>35001</v>
      </c>
      <c r="B1730" s="193">
        <v>6.8954918361902569E-3</v>
      </c>
      <c r="C1730" s="194" t="s">
        <v>1</v>
      </c>
    </row>
    <row r="1731" spans="1:3" x14ac:dyDescent="0.15">
      <c r="A1731" s="191">
        <v>35002</v>
      </c>
      <c r="B1731" s="193">
        <v>6.9006355038089178E-3</v>
      </c>
      <c r="C1731" s="194" t="s">
        <v>1</v>
      </c>
    </row>
    <row r="1732" spans="1:3" x14ac:dyDescent="0.15">
      <c r="A1732" s="191">
        <v>35003</v>
      </c>
      <c r="B1732" s="193">
        <v>6.9057830083281502E-3</v>
      </c>
      <c r="C1732" s="194" t="s">
        <v>1</v>
      </c>
    </row>
    <row r="1733" spans="1:3" x14ac:dyDescent="0.15">
      <c r="A1733" s="191">
        <v>35004</v>
      </c>
      <c r="B1733" s="193">
        <v>6.9109343526100771E-3</v>
      </c>
      <c r="C1733" s="194" t="s">
        <v>1</v>
      </c>
    </row>
    <row r="1734" spans="1:3" x14ac:dyDescent="0.15">
      <c r="A1734" s="191">
        <v>35005</v>
      </c>
      <c r="B1734" s="193">
        <v>6.9109343526100771E-3</v>
      </c>
      <c r="C1734" s="194" t="s">
        <v>1</v>
      </c>
    </row>
    <row r="1735" spans="1:3" x14ac:dyDescent="0.15">
      <c r="A1735" s="191">
        <v>35006</v>
      </c>
      <c r="B1735" s="193">
        <v>6.9158720740636033E-3</v>
      </c>
      <c r="C1735" s="194" t="s">
        <v>1</v>
      </c>
    </row>
    <row r="1736" spans="1:3" x14ac:dyDescent="0.15">
      <c r="A1736" s="191">
        <v>35007</v>
      </c>
      <c r="B1736" s="193">
        <v>6.9158720740636033E-3</v>
      </c>
      <c r="C1736" s="194" t="s">
        <v>1</v>
      </c>
    </row>
    <row r="1737" spans="1:3" x14ac:dyDescent="0.15">
      <c r="A1737" s="191">
        <v>35008</v>
      </c>
      <c r="B1737" s="193">
        <v>6.9158720740636033E-3</v>
      </c>
      <c r="C1737" s="194" t="s">
        <v>1</v>
      </c>
    </row>
    <row r="1738" spans="1:3" x14ac:dyDescent="0.15">
      <c r="A1738" s="191">
        <v>35009</v>
      </c>
      <c r="B1738" s="193">
        <v>6.9208133234182649E-3</v>
      </c>
      <c r="C1738" s="194" t="s">
        <v>1</v>
      </c>
    </row>
    <row r="1739" spans="1:3" x14ac:dyDescent="0.15">
      <c r="A1739" s="191">
        <v>35010</v>
      </c>
      <c r="B1739" s="193">
        <v>6.9257581031946756E-3</v>
      </c>
      <c r="C1739" s="194" t="s">
        <v>1</v>
      </c>
    </row>
    <row r="1740" spans="1:3" x14ac:dyDescent="0.15">
      <c r="A1740" s="191">
        <v>35011</v>
      </c>
      <c r="B1740" s="193">
        <v>6.9307064159152502E-3</v>
      </c>
      <c r="C1740" s="194" t="s">
        <v>1</v>
      </c>
    </row>
    <row r="1741" spans="1:3" x14ac:dyDescent="0.15">
      <c r="A1741" s="191">
        <v>35012</v>
      </c>
      <c r="B1741" s="193">
        <v>6.9356582641042046E-3</v>
      </c>
      <c r="C1741" s="194" t="s">
        <v>1</v>
      </c>
    </row>
    <row r="1742" spans="1:3" x14ac:dyDescent="0.15">
      <c r="A1742" s="191">
        <v>35013</v>
      </c>
      <c r="B1742" s="193">
        <v>6.940613650287559E-3</v>
      </c>
      <c r="C1742" s="194" t="s">
        <v>1</v>
      </c>
    </row>
    <row r="1743" spans="1:3" x14ac:dyDescent="0.15">
      <c r="A1743" s="191">
        <v>35014</v>
      </c>
      <c r="B1743" s="193">
        <v>6.940613650287559E-3</v>
      </c>
      <c r="C1743" s="194" t="s">
        <v>1</v>
      </c>
    </row>
    <row r="1744" spans="1:3" x14ac:dyDescent="0.15">
      <c r="A1744" s="191">
        <v>35015</v>
      </c>
      <c r="B1744" s="193">
        <v>6.940613650287559E-3</v>
      </c>
      <c r="C1744" s="194" t="s">
        <v>1</v>
      </c>
    </row>
    <row r="1745" spans="1:3" x14ac:dyDescent="0.15">
      <c r="A1745" s="191">
        <v>35016</v>
      </c>
      <c r="B1745" s="193">
        <v>6.9455725769931378E-3</v>
      </c>
      <c r="C1745" s="194" t="s">
        <v>1</v>
      </c>
    </row>
    <row r="1746" spans="1:3" x14ac:dyDescent="0.15">
      <c r="A1746" s="191">
        <v>35017</v>
      </c>
      <c r="B1746" s="193">
        <v>6.950535046750572E-3</v>
      </c>
      <c r="C1746" s="194" t="s">
        <v>1</v>
      </c>
    </row>
    <row r="1747" spans="1:3" x14ac:dyDescent="0.15">
      <c r="A1747" s="191">
        <v>35018</v>
      </c>
      <c r="B1747" s="193">
        <v>6.950535046750572E-3</v>
      </c>
      <c r="C1747" s="194" t="s">
        <v>1</v>
      </c>
    </row>
    <row r="1748" spans="1:3" x14ac:dyDescent="0.15">
      <c r="A1748" s="191">
        <v>35019</v>
      </c>
      <c r="B1748" s="193">
        <v>6.9555010620913002E-3</v>
      </c>
      <c r="C1748" s="194" t="s">
        <v>1</v>
      </c>
    </row>
    <row r="1749" spans="1:3" x14ac:dyDescent="0.15">
      <c r="A1749" s="191">
        <v>35020</v>
      </c>
      <c r="B1749" s="193">
        <v>6.9604706255485685E-3</v>
      </c>
      <c r="C1749" s="194" t="s">
        <v>1</v>
      </c>
    </row>
    <row r="1750" spans="1:3" x14ac:dyDescent="0.15">
      <c r="A1750" s="191">
        <v>35021</v>
      </c>
      <c r="B1750" s="193">
        <v>6.9604706255485685E-3</v>
      </c>
      <c r="C1750" s="194" t="s">
        <v>1</v>
      </c>
    </row>
    <row r="1751" spans="1:3" x14ac:dyDescent="0.15">
      <c r="A1751" s="191">
        <v>35022</v>
      </c>
      <c r="B1751" s="193">
        <v>6.9604706255485685E-3</v>
      </c>
      <c r="C1751" s="194" t="s">
        <v>1</v>
      </c>
    </row>
    <row r="1752" spans="1:3" x14ac:dyDescent="0.15">
      <c r="A1752" s="191">
        <v>35023</v>
      </c>
      <c r="B1752" s="193">
        <v>6.9654437396574342E-3</v>
      </c>
      <c r="C1752" s="194" t="s">
        <v>1</v>
      </c>
    </row>
    <row r="1753" spans="1:3" x14ac:dyDescent="0.15">
      <c r="A1753" s="191">
        <v>35024</v>
      </c>
      <c r="B1753" s="193">
        <v>6.9704204069547648E-3</v>
      </c>
      <c r="C1753" s="194" t="s">
        <v>1</v>
      </c>
    </row>
    <row r="1754" spans="1:3" x14ac:dyDescent="0.15">
      <c r="A1754" s="191">
        <v>35025</v>
      </c>
      <c r="B1754" s="193">
        <v>6.9754006299792412E-3</v>
      </c>
      <c r="C1754" s="194" t="s">
        <v>1</v>
      </c>
    </row>
    <row r="1755" spans="1:3" x14ac:dyDescent="0.15">
      <c r="A1755" s="191">
        <v>35026</v>
      </c>
      <c r="B1755" s="193">
        <v>6.9803844112713582E-3</v>
      </c>
      <c r="C1755" s="194" t="s">
        <v>1</v>
      </c>
    </row>
    <row r="1756" spans="1:3" x14ac:dyDescent="0.15">
      <c r="A1756" s="191">
        <v>35027</v>
      </c>
      <c r="B1756" s="193">
        <v>6.985371753373425E-3</v>
      </c>
      <c r="C1756" s="194" t="s">
        <v>1</v>
      </c>
    </row>
    <row r="1757" spans="1:3" x14ac:dyDescent="0.15">
      <c r="A1757" s="191">
        <v>35028</v>
      </c>
      <c r="B1757" s="193">
        <v>6.985371753373425E-3</v>
      </c>
      <c r="C1757" s="194" t="s">
        <v>1</v>
      </c>
    </row>
    <row r="1758" spans="1:3" x14ac:dyDescent="0.15">
      <c r="A1758" s="191">
        <v>35029</v>
      </c>
      <c r="B1758" s="193">
        <v>6.985371753373425E-3</v>
      </c>
      <c r="C1758" s="194" t="s">
        <v>1</v>
      </c>
    </row>
    <row r="1759" spans="1:3" x14ac:dyDescent="0.15">
      <c r="A1759" s="191">
        <v>35030</v>
      </c>
      <c r="B1759" s="193">
        <v>6.9903626588295681E-3</v>
      </c>
      <c r="C1759" s="194" t="s">
        <v>1</v>
      </c>
    </row>
    <row r="1760" spans="1:3" x14ac:dyDescent="0.15">
      <c r="A1760" s="191">
        <v>35031</v>
      </c>
      <c r="B1760" s="193">
        <v>6.9953571301857309E-3</v>
      </c>
      <c r="C1760" s="194" t="s">
        <v>1</v>
      </c>
    </row>
    <row r="1761" spans="1:3" x14ac:dyDescent="0.15">
      <c r="A1761" s="191">
        <v>35032</v>
      </c>
      <c r="B1761" s="193">
        <v>7.0003551699896758E-3</v>
      </c>
      <c r="C1761" s="194" t="s">
        <v>1</v>
      </c>
    </row>
    <row r="1762" spans="1:3" x14ac:dyDescent="0.15">
      <c r="A1762" s="191">
        <v>35033</v>
      </c>
      <c r="B1762" s="193">
        <v>7.0053567807909856E-3</v>
      </c>
      <c r="C1762" s="194" t="s">
        <v>1</v>
      </c>
    </row>
    <row r="1763" spans="1:3" x14ac:dyDescent="0.15">
      <c r="A1763" s="191">
        <v>35034</v>
      </c>
      <c r="B1763" s="196">
        <v>7.0103619651410657E-3</v>
      </c>
      <c r="C1763" s="194" t="s">
        <v>1</v>
      </c>
    </row>
    <row r="1764" spans="1:3" x14ac:dyDescent="0.15">
      <c r="A1764" s="191">
        <v>35035</v>
      </c>
      <c r="B1764" s="196">
        <v>7.0103619651410657E-3</v>
      </c>
      <c r="C1764" s="194" t="s">
        <v>1</v>
      </c>
    </row>
    <row r="1765" spans="1:3" x14ac:dyDescent="0.15">
      <c r="A1765" s="191">
        <v>35036</v>
      </c>
      <c r="B1765" s="196">
        <v>7.0103619651410657E-3</v>
      </c>
      <c r="C1765" s="194" t="s">
        <v>1</v>
      </c>
    </row>
    <row r="1766" spans="1:3" x14ac:dyDescent="0.15">
      <c r="A1766" s="191">
        <v>35037</v>
      </c>
      <c r="B1766" s="196">
        <v>7.015548050610821E-3</v>
      </c>
      <c r="C1766" s="194" t="s">
        <v>1</v>
      </c>
    </row>
    <row r="1767" spans="1:3" x14ac:dyDescent="0.15">
      <c r="A1767" s="191">
        <v>35038</v>
      </c>
      <c r="B1767" s="196">
        <v>7.0207379726132165E-3</v>
      </c>
      <c r="C1767" s="194" t="s">
        <v>1</v>
      </c>
    </row>
    <row r="1768" spans="1:3" x14ac:dyDescent="0.15">
      <c r="A1768" s="191">
        <v>35039</v>
      </c>
      <c r="B1768" s="196">
        <v>7.0259317339864203E-3</v>
      </c>
      <c r="C1768" s="194" t="s">
        <v>1</v>
      </c>
    </row>
    <row r="1769" spans="1:3" x14ac:dyDescent="0.15">
      <c r="A1769" s="191">
        <v>35040</v>
      </c>
      <c r="B1769" s="196">
        <v>7.0311293375707002E-3</v>
      </c>
      <c r="C1769" s="194" t="s">
        <v>1</v>
      </c>
    </row>
    <row r="1770" spans="1:3" x14ac:dyDescent="0.15">
      <c r="A1770" s="191">
        <v>35041</v>
      </c>
      <c r="B1770" s="196">
        <v>7.0311293375707002E-3</v>
      </c>
      <c r="C1770" s="194" t="s">
        <v>1</v>
      </c>
    </row>
    <row r="1771" spans="1:3" x14ac:dyDescent="0.15">
      <c r="A1771" s="191">
        <v>35042</v>
      </c>
      <c r="B1771" s="196">
        <v>7.0311293375707002E-3</v>
      </c>
      <c r="C1771" s="194" t="s">
        <v>1</v>
      </c>
    </row>
    <row r="1772" spans="1:3" x14ac:dyDescent="0.15">
      <c r="A1772" s="191">
        <v>35043</v>
      </c>
      <c r="B1772" s="196">
        <v>7.0311293375707002E-3</v>
      </c>
      <c r="C1772" s="194" t="s">
        <v>1</v>
      </c>
    </row>
    <row r="1773" spans="1:3" x14ac:dyDescent="0.15">
      <c r="A1773" s="191">
        <v>35044</v>
      </c>
      <c r="B1773" s="196">
        <v>7.0363307862084251E-3</v>
      </c>
      <c r="C1773" s="194" t="s">
        <v>1</v>
      </c>
    </row>
    <row r="1774" spans="1:3" x14ac:dyDescent="0.15">
      <c r="A1774" s="191">
        <v>35045</v>
      </c>
      <c r="B1774" s="196">
        <v>7.041536082744067E-3</v>
      </c>
      <c r="C1774" s="194" t="s">
        <v>1</v>
      </c>
    </row>
    <row r="1775" spans="1:3" x14ac:dyDescent="0.15">
      <c r="A1775" s="191">
        <v>35046</v>
      </c>
      <c r="B1775" s="196">
        <v>7.046745230024202E-3</v>
      </c>
      <c r="C1775" s="194" t="s">
        <v>1</v>
      </c>
    </row>
    <row r="1776" spans="1:3" x14ac:dyDescent="0.15">
      <c r="A1776" s="191">
        <v>35047</v>
      </c>
      <c r="B1776" s="196">
        <v>7.0519582308975108E-3</v>
      </c>
      <c r="C1776" s="194" t="s">
        <v>1</v>
      </c>
    </row>
    <row r="1777" spans="1:3" x14ac:dyDescent="0.15">
      <c r="A1777" s="191">
        <v>35048</v>
      </c>
      <c r="B1777" s="196">
        <v>7.0571750882147833E-3</v>
      </c>
      <c r="C1777" s="194" t="s">
        <v>1</v>
      </c>
    </row>
    <row r="1778" spans="1:3" x14ac:dyDescent="0.15">
      <c r="A1778" s="191">
        <v>35049</v>
      </c>
      <c r="B1778" s="196">
        <v>7.0571750882147833E-3</v>
      </c>
      <c r="C1778" s="194" t="s">
        <v>1</v>
      </c>
    </row>
    <row r="1779" spans="1:3" x14ac:dyDescent="0.15">
      <c r="A1779" s="191">
        <v>35050</v>
      </c>
      <c r="B1779" s="196">
        <v>7.0571750882147833E-3</v>
      </c>
      <c r="C1779" s="194" t="s">
        <v>1</v>
      </c>
    </row>
    <row r="1780" spans="1:3" x14ac:dyDescent="0.15">
      <c r="A1780" s="191">
        <v>35051</v>
      </c>
      <c r="B1780" s="196">
        <v>7.0623958048289179E-3</v>
      </c>
      <c r="C1780" s="194" t="s">
        <v>1</v>
      </c>
    </row>
    <row r="1781" spans="1:3" x14ac:dyDescent="0.15">
      <c r="A1781" s="191">
        <v>35052</v>
      </c>
      <c r="B1781" s="196">
        <v>7.0676203835949225E-3</v>
      </c>
      <c r="C1781" s="194" t="s">
        <v>1</v>
      </c>
    </row>
    <row r="1782" spans="1:3" x14ac:dyDescent="0.15">
      <c r="A1782" s="191">
        <v>35053</v>
      </c>
      <c r="B1782" s="196">
        <v>7.0728488273699179E-3</v>
      </c>
      <c r="C1782" s="194" t="s">
        <v>1</v>
      </c>
    </row>
    <row r="1783" spans="1:3" x14ac:dyDescent="0.15">
      <c r="A1783" s="191">
        <v>35054</v>
      </c>
      <c r="B1783" s="196">
        <v>7.0780811390131386E-3</v>
      </c>
      <c r="C1783" s="194" t="s">
        <v>1</v>
      </c>
    </row>
    <row r="1784" spans="1:3" x14ac:dyDescent="0.15">
      <c r="A1784" s="191">
        <v>35055</v>
      </c>
      <c r="B1784" s="196">
        <v>7.0833173213859331E-3</v>
      </c>
      <c r="C1784" s="194" t="s">
        <v>1</v>
      </c>
    </row>
    <row r="1785" spans="1:3" x14ac:dyDescent="0.15">
      <c r="A1785" s="191">
        <v>35056</v>
      </c>
      <c r="B1785" s="196">
        <v>7.0833173213859331E-3</v>
      </c>
      <c r="C1785" s="194" t="s">
        <v>1</v>
      </c>
    </row>
    <row r="1786" spans="1:3" x14ac:dyDescent="0.15">
      <c r="A1786" s="191">
        <v>35057</v>
      </c>
      <c r="B1786" s="196">
        <v>7.0833173213859331E-3</v>
      </c>
      <c r="C1786" s="194" t="s">
        <v>1</v>
      </c>
    </row>
    <row r="1787" spans="1:3" x14ac:dyDescent="0.15">
      <c r="A1787" s="191">
        <v>35058</v>
      </c>
      <c r="B1787" s="196">
        <v>7.0833173213859331E-3</v>
      </c>
      <c r="C1787" s="194" t="s">
        <v>1</v>
      </c>
    </row>
    <row r="1788" spans="1:3" x14ac:dyDescent="0.15">
      <c r="A1788" s="191">
        <v>35059</v>
      </c>
      <c r="B1788" s="196">
        <v>7.0885573773517684E-3</v>
      </c>
      <c r="C1788" s="194" t="s">
        <v>1</v>
      </c>
    </row>
    <row r="1789" spans="1:3" x14ac:dyDescent="0.15">
      <c r="A1789" s="191">
        <v>35060</v>
      </c>
      <c r="B1789" s="196">
        <v>7.0938013097762292E-3</v>
      </c>
      <c r="C1789" s="194" t="s">
        <v>1</v>
      </c>
    </row>
    <row r="1790" spans="1:3" x14ac:dyDescent="0.15">
      <c r="A1790" s="191">
        <v>35061</v>
      </c>
      <c r="B1790" s="196">
        <v>7.099049121527019E-3</v>
      </c>
      <c r="C1790" s="194" t="s">
        <v>1</v>
      </c>
    </row>
    <row r="1791" spans="1:3" x14ac:dyDescent="0.15">
      <c r="A1791" s="191">
        <v>35062</v>
      </c>
      <c r="B1791" s="196">
        <v>7.1043008154739644E-3</v>
      </c>
      <c r="C1791" s="194" t="s">
        <v>1</v>
      </c>
    </row>
    <row r="1792" spans="1:3" x14ac:dyDescent="0.15">
      <c r="A1792" s="191">
        <v>35063</v>
      </c>
      <c r="B1792" s="196">
        <v>7.1043008154739644E-3</v>
      </c>
      <c r="C1792" s="194" t="s">
        <v>1</v>
      </c>
    </row>
    <row r="1793" spans="1:3" x14ac:dyDescent="0.15">
      <c r="A1793" s="191">
        <v>35064</v>
      </c>
      <c r="B1793" s="196">
        <v>7.1043008154739644E-3</v>
      </c>
      <c r="C1793" s="194" t="s">
        <v>1</v>
      </c>
    </row>
    <row r="1794" spans="1:3" x14ac:dyDescent="0.15">
      <c r="A1794" s="191">
        <v>35065</v>
      </c>
      <c r="B1794" s="196">
        <v>7.1043008154739644E-3</v>
      </c>
      <c r="C1794" s="194" t="s">
        <v>1</v>
      </c>
    </row>
    <row r="1795" spans="1:3" x14ac:dyDescent="0.15">
      <c r="A1795" s="191">
        <v>35066</v>
      </c>
      <c r="B1795" s="196">
        <v>7.1081468887011189E-3</v>
      </c>
      <c r="C1795" s="194" t="s">
        <v>1</v>
      </c>
    </row>
    <row r="1796" spans="1:3" x14ac:dyDescent="0.15">
      <c r="A1796" s="191">
        <v>35067</v>
      </c>
      <c r="B1796" s="196">
        <v>7.1119950440866244E-3</v>
      </c>
      <c r="C1796" s="194" t="s">
        <v>1</v>
      </c>
    </row>
    <row r="1797" spans="1:3" x14ac:dyDescent="0.15">
      <c r="A1797" s="191">
        <v>35068</v>
      </c>
      <c r="B1797" s="196">
        <v>7.1158452827577035E-3</v>
      </c>
      <c r="C1797" s="194" t="s">
        <v>1</v>
      </c>
    </row>
    <row r="1798" spans="1:3" x14ac:dyDescent="0.15">
      <c r="A1798" s="191">
        <v>35069</v>
      </c>
      <c r="B1798" s="196">
        <v>7.1196976058421901E-3</v>
      </c>
      <c r="C1798" s="194" t="s">
        <v>1</v>
      </c>
    </row>
    <row r="1799" spans="1:3" x14ac:dyDescent="0.15">
      <c r="A1799" s="191">
        <v>35070</v>
      </c>
      <c r="B1799" s="196">
        <v>7.1196976058421901E-3</v>
      </c>
      <c r="C1799" s="194" t="s">
        <v>1</v>
      </c>
    </row>
    <row r="1800" spans="1:3" x14ac:dyDescent="0.15">
      <c r="A1800" s="191">
        <v>35071</v>
      </c>
      <c r="B1800" s="196">
        <v>7.1196976058421901E-3</v>
      </c>
      <c r="C1800" s="194" t="s">
        <v>1</v>
      </c>
    </row>
    <row r="1801" spans="1:3" x14ac:dyDescent="0.15">
      <c r="A1801" s="191">
        <v>35072</v>
      </c>
      <c r="B1801" s="196">
        <v>7.1235520144685288E-3</v>
      </c>
      <c r="C1801" s="194" t="s">
        <v>1</v>
      </c>
    </row>
    <row r="1802" spans="1:3" x14ac:dyDescent="0.15">
      <c r="A1802" s="191">
        <v>35073</v>
      </c>
      <c r="B1802" s="196">
        <v>7.1274085097657739E-3</v>
      </c>
      <c r="C1802" s="194" t="s">
        <v>1</v>
      </c>
    </row>
    <row r="1803" spans="1:3" x14ac:dyDescent="0.15">
      <c r="A1803" s="191">
        <v>35074</v>
      </c>
      <c r="B1803" s="196">
        <v>7.131267092863592E-3</v>
      </c>
      <c r="C1803" s="194" t="s">
        <v>1</v>
      </c>
    </row>
    <row r="1804" spans="1:3" x14ac:dyDescent="0.15">
      <c r="A1804" s="191">
        <v>35075</v>
      </c>
      <c r="B1804" s="196">
        <v>7.1351277648922613E-3</v>
      </c>
      <c r="C1804" s="194" t="s">
        <v>1</v>
      </c>
    </row>
    <row r="1805" spans="1:3" x14ac:dyDescent="0.15">
      <c r="A1805" s="191">
        <v>35076</v>
      </c>
      <c r="B1805" s="196">
        <v>7.1389905269826715E-3</v>
      </c>
      <c r="C1805" s="194" t="s">
        <v>1</v>
      </c>
    </row>
    <row r="1806" spans="1:3" x14ac:dyDescent="0.15">
      <c r="A1806" s="191">
        <v>35077</v>
      </c>
      <c r="B1806" s="196">
        <v>7.1389905269826715E-3</v>
      </c>
      <c r="C1806" s="194" t="s">
        <v>1</v>
      </c>
    </row>
    <row r="1807" spans="1:3" x14ac:dyDescent="0.15">
      <c r="A1807" s="191">
        <v>35078</v>
      </c>
      <c r="B1807" s="196">
        <v>7.1389905269826715E-3</v>
      </c>
      <c r="C1807" s="194" t="s">
        <v>1</v>
      </c>
    </row>
    <row r="1808" spans="1:3" x14ac:dyDescent="0.15">
      <c r="A1808" s="191">
        <v>35079</v>
      </c>
      <c r="B1808" s="196">
        <v>7.1428553802663237E-3</v>
      </c>
      <c r="C1808" s="194" t="s">
        <v>1</v>
      </c>
    </row>
    <row r="1809" spans="1:3" x14ac:dyDescent="0.15">
      <c r="A1809" s="191">
        <v>35080</v>
      </c>
      <c r="B1809" s="196">
        <v>7.1467223258753331E-3</v>
      </c>
      <c r="C1809" s="194" t="s">
        <v>1</v>
      </c>
    </row>
    <row r="1810" spans="1:3" x14ac:dyDescent="0.15">
      <c r="A1810" s="191">
        <v>35081</v>
      </c>
      <c r="B1810" s="196">
        <v>7.1505913649424274E-3</v>
      </c>
      <c r="C1810" s="194" t="s">
        <v>1</v>
      </c>
    </row>
    <row r="1811" spans="1:3" x14ac:dyDescent="0.15">
      <c r="A1811" s="191">
        <v>35082</v>
      </c>
      <c r="B1811" s="196">
        <v>7.1544624986009464E-3</v>
      </c>
      <c r="C1811" s="194" t="s">
        <v>1</v>
      </c>
    </row>
    <row r="1812" spans="1:3" x14ac:dyDescent="0.15">
      <c r="A1812" s="191">
        <v>35083</v>
      </c>
      <c r="B1812" s="196">
        <v>7.1583357279848452E-3</v>
      </c>
      <c r="C1812" s="194" t="s">
        <v>1</v>
      </c>
    </row>
    <row r="1813" spans="1:3" x14ac:dyDescent="0.15">
      <c r="A1813" s="191">
        <v>35084</v>
      </c>
      <c r="B1813" s="196">
        <v>7.1583357279848452E-3</v>
      </c>
      <c r="C1813" s="194" t="s">
        <v>1</v>
      </c>
    </row>
    <row r="1814" spans="1:3" x14ac:dyDescent="0.15">
      <c r="A1814" s="191">
        <v>35085</v>
      </c>
      <c r="B1814" s="196">
        <v>7.1583357279848452E-3</v>
      </c>
      <c r="C1814" s="194" t="s">
        <v>1</v>
      </c>
    </row>
    <row r="1815" spans="1:3" x14ac:dyDescent="0.15">
      <c r="A1815" s="191">
        <v>35086</v>
      </c>
      <c r="B1815" s="196">
        <v>7.1622110542286918E-3</v>
      </c>
      <c r="C1815" s="194" t="s">
        <v>1</v>
      </c>
    </row>
    <row r="1816" spans="1:3" x14ac:dyDescent="0.15">
      <c r="A1816" s="191">
        <v>35087</v>
      </c>
      <c r="B1816" s="196">
        <v>7.1660884784676684E-3</v>
      </c>
      <c r="C1816" s="194" t="s">
        <v>1</v>
      </c>
    </row>
    <row r="1817" spans="1:3" x14ac:dyDescent="0.15">
      <c r="A1817" s="191">
        <v>35088</v>
      </c>
      <c r="B1817" s="196">
        <v>7.1699680018375723E-3</v>
      </c>
      <c r="C1817" s="194" t="s">
        <v>1</v>
      </c>
    </row>
    <row r="1818" spans="1:3" x14ac:dyDescent="0.15">
      <c r="A1818" s="191">
        <v>35089</v>
      </c>
      <c r="B1818" s="196">
        <v>7.1738496254748147E-3</v>
      </c>
      <c r="C1818" s="194" t="s">
        <v>1</v>
      </c>
    </row>
    <row r="1819" spans="1:3" x14ac:dyDescent="0.15">
      <c r="A1819" s="191">
        <v>35090</v>
      </c>
      <c r="B1819" s="196">
        <v>7.1777333505164227E-3</v>
      </c>
      <c r="C1819" s="194" t="s">
        <v>1</v>
      </c>
    </row>
    <row r="1820" spans="1:3" x14ac:dyDescent="0.15">
      <c r="A1820" s="191">
        <v>35091</v>
      </c>
      <c r="B1820" s="196">
        <v>7.1777333505164227E-3</v>
      </c>
      <c r="C1820" s="194" t="s">
        <v>1</v>
      </c>
    </row>
    <row r="1821" spans="1:3" x14ac:dyDescent="0.15">
      <c r="A1821" s="191">
        <v>35092</v>
      </c>
      <c r="B1821" s="196">
        <v>7.1777333505164227E-3</v>
      </c>
      <c r="C1821" s="194" t="s">
        <v>1</v>
      </c>
    </row>
    <row r="1822" spans="1:3" x14ac:dyDescent="0.15">
      <c r="A1822" s="191">
        <v>35093</v>
      </c>
      <c r="B1822" s="196">
        <v>7.1816191781000393E-3</v>
      </c>
      <c r="C1822" s="194" t="s">
        <v>1</v>
      </c>
    </row>
    <row r="1823" spans="1:3" x14ac:dyDescent="0.15">
      <c r="A1823" s="191">
        <v>35094</v>
      </c>
      <c r="B1823" s="196">
        <v>7.1855071093639223E-3</v>
      </c>
      <c r="C1823" s="194" t="s">
        <v>1</v>
      </c>
    </row>
    <row r="1824" spans="1:3" x14ac:dyDescent="0.15">
      <c r="A1824" s="191">
        <v>35095</v>
      </c>
      <c r="B1824" s="196">
        <v>7.1893971454469472E-3</v>
      </c>
      <c r="C1824" s="194" t="s">
        <v>1</v>
      </c>
    </row>
    <row r="1825" spans="1:3" x14ac:dyDescent="0.15">
      <c r="A1825" s="191">
        <v>35096</v>
      </c>
      <c r="B1825" s="196">
        <v>7.1932892874886044E-3</v>
      </c>
      <c r="C1825" s="194" t="s">
        <v>1</v>
      </c>
    </row>
    <row r="1826" spans="1:3" x14ac:dyDescent="0.15">
      <c r="A1826" s="191">
        <v>35097</v>
      </c>
      <c r="B1826" s="196">
        <v>7.196571194828188E-3</v>
      </c>
      <c r="C1826" s="194" t="s">
        <v>1</v>
      </c>
    </row>
    <row r="1827" spans="1:3" x14ac:dyDescent="0.15">
      <c r="A1827" s="191">
        <v>35098</v>
      </c>
      <c r="B1827" s="196">
        <v>7.196571194828188E-3</v>
      </c>
      <c r="C1827" s="194" t="s">
        <v>1</v>
      </c>
    </row>
    <row r="1828" spans="1:3" x14ac:dyDescent="0.15">
      <c r="A1828" s="191">
        <v>35099</v>
      </c>
      <c r="B1828" s="196">
        <v>7.196571194828188E-3</v>
      </c>
      <c r="C1828" s="194" t="s">
        <v>1</v>
      </c>
    </row>
    <row r="1829" spans="1:3" x14ac:dyDescent="0.15">
      <c r="A1829" s="191">
        <v>35100</v>
      </c>
      <c r="B1829" s="196">
        <v>7.1998545995238987E-3</v>
      </c>
      <c r="C1829" s="194" t="s">
        <v>1</v>
      </c>
    </row>
    <row r="1830" spans="1:3" x14ac:dyDescent="0.15">
      <c r="A1830" s="191">
        <v>35101</v>
      </c>
      <c r="B1830" s="196">
        <v>7.2031395022588984E-3</v>
      </c>
      <c r="C1830" s="194" t="s">
        <v>1</v>
      </c>
    </row>
    <row r="1831" spans="1:3" x14ac:dyDescent="0.15">
      <c r="A1831" s="191">
        <v>35102</v>
      </c>
      <c r="B1831" s="196">
        <v>7.2064259037166612E-3</v>
      </c>
      <c r="C1831" s="194" t="s">
        <v>1</v>
      </c>
    </row>
    <row r="1832" spans="1:3" x14ac:dyDescent="0.15">
      <c r="A1832" s="191">
        <v>35103</v>
      </c>
      <c r="B1832" s="196">
        <v>7.2097138045809726E-3</v>
      </c>
      <c r="C1832" s="194" t="s">
        <v>1</v>
      </c>
    </row>
    <row r="1833" spans="1:3" x14ac:dyDescent="0.15">
      <c r="A1833" s="191">
        <v>35104</v>
      </c>
      <c r="B1833" s="196">
        <v>7.2130032055359302E-3</v>
      </c>
      <c r="C1833" s="194" t="s">
        <v>1</v>
      </c>
    </row>
    <row r="1834" spans="1:3" x14ac:dyDescent="0.15">
      <c r="A1834" s="191">
        <v>35105</v>
      </c>
      <c r="B1834" s="196">
        <v>7.2130032055359302E-3</v>
      </c>
      <c r="C1834" s="194" t="s">
        <v>1</v>
      </c>
    </row>
    <row r="1835" spans="1:3" x14ac:dyDescent="0.15">
      <c r="A1835" s="191">
        <v>35106</v>
      </c>
      <c r="B1835" s="196">
        <v>7.2130032055359302E-3</v>
      </c>
      <c r="C1835" s="194" t="s">
        <v>1</v>
      </c>
    </row>
    <row r="1836" spans="1:3" x14ac:dyDescent="0.15">
      <c r="A1836" s="191">
        <v>35107</v>
      </c>
      <c r="B1836" s="196">
        <v>7.2162941072659451E-3</v>
      </c>
      <c r="C1836" s="194" t="s">
        <v>1</v>
      </c>
    </row>
    <row r="1837" spans="1:3" x14ac:dyDescent="0.15">
      <c r="A1837" s="191">
        <v>35108</v>
      </c>
      <c r="B1837" s="196">
        <v>7.2195865104557385E-3</v>
      </c>
      <c r="C1837" s="194" t="s">
        <v>1</v>
      </c>
    </row>
    <row r="1838" spans="1:3" x14ac:dyDescent="0.15">
      <c r="A1838" s="191">
        <v>35109</v>
      </c>
      <c r="B1838" s="196">
        <v>7.222880415790345E-3</v>
      </c>
      <c r="C1838" s="194" t="s">
        <v>1</v>
      </c>
    </row>
    <row r="1839" spans="1:3" x14ac:dyDescent="0.15">
      <c r="A1839" s="191">
        <v>35110</v>
      </c>
      <c r="B1839" s="196">
        <v>7.2261758239551121E-3</v>
      </c>
      <c r="C1839" s="194" t="s">
        <v>1</v>
      </c>
    </row>
    <row r="1840" spans="1:3" x14ac:dyDescent="0.15">
      <c r="A1840" s="191">
        <v>35111</v>
      </c>
      <c r="B1840" s="196">
        <v>7.2294727356356989E-3</v>
      </c>
      <c r="C1840" s="194" t="s">
        <v>1</v>
      </c>
    </row>
    <row r="1841" spans="1:3" x14ac:dyDescent="0.15">
      <c r="A1841" s="191">
        <v>35112</v>
      </c>
      <c r="B1841" s="196">
        <v>7.2294727356356989E-3</v>
      </c>
      <c r="C1841" s="194" t="s">
        <v>1</v>
      </c>
    </row>
    <row r="1842" spans="1:3" x14ac:dyDescent="0.15">
      <c r="A1842" s="191">
        <v>35113</v>
      </c>
      <c r="B1842" s="196">
        <v>7.2294727356356989E-3</v>
      </c>
      <c r="C1842" s="194" t="s">
        <v>1</v>
      </c>
    </row>
    <row r="1843" spans="1:3" x14ac:dyDescent="0.15">
      <c r="A1843" s="191">
        <v>35114</v>
      </c>
      <c r="B1843" s="196">
        <v>7.2327711515180783E-3</v>
      </c>
      <c r="C1843" s="194" t="s">
        <v>1</v>
      </c>
    </row>
    <row r="1844" spans="1:3" x14ac:dyDescent="0.15">
      <c r="A1844" s="191">
        <v>35115</v>
      </c>
      <c r="B1844" s="196">
        <v>7.2360710722885364E-3</v>
      </c>
      <c r="C1844" s="194" t="s">
        <v>1</v>
      </c>
    </row>
    <row r="1845" spans="1:3" x14ac:dyDescent="0.15">
      <c r="A1845" s="191">
        <v>35116</v>
      </c>
      <c r="B1845" s="196">
        <v>7.2393724986336717E-3</v>
      </c>
      <c r="C1845" s="194" t="s">
        <v>1</v>
      </c>
    </row>
    <row r="1846" spans="1:3" x14ac:dyDescent="0.15">
      <c r="A1846" s="191">
        <v>35117</v>
      </c>
      <c r="B1846" s="196">
        <v>7.2426754312403963E-3</v>
      </c>
      <c r="C1846" s="194" t="s">
        <v>1</v>
      </c>
    </row>
    <row r="1847" spans="1:3" x14ac:dyDescent="0.15">
      <c r="A1847" s="191">
        <v>35118</v>
      </c>
      <c r="B1847" s="196">
        <v>7.245979870795935E-3</v>
      </c>
      <c r="C1847" s="194" t="s">
        <v>1</v>
      </c>
    </row>
    <row r="1848" spans="1:3" x14ac:dyDescent="0.15">
      <c r="A1848" s="191">
        <v>35119</v>
      </c>
      <c r="B1848" s="196">
        <v>7.245979870795935E-3</v>
      </c>
      <c r="C1848" s="194" t="s">
        <v>1</v>
      </c>
    </row>
    <row r="1849" spans="1:3" x14ac:dyDescent="0.15">
      <c r="A1849" s="191">
        <v>35120</v>
      </c>
      <c r="B1849" s="196">
        <v>7.245979870795935E-3</v>
      </c>
      <c r="C1849" s="194" t="s">
        <v>1</v>
      </c>
    </row>
    <row r="1850" spans="1:3" x14ac:dyDescent="0.15">
      <c r="A1850" s="191">
        <v>35121</v>
      </c>
      <c r="B1850" s="196">
        <v>7.2492858179878271E-3</v>
      </c>
      <c r="C1850" s="194" t="s">
        <v>1</v>
      </c>
    </row>
    <row r="1851" spans="1:3" x14ac:dyDescent="0.15">
      <c r="A1851" s="191">
        <v>35122</v>
      </c>
      <c r="B1851" s="196">
        <v>7.2525932735039251E-3</v>
      </c>
      <c r="C1851" s="194" t="s">
        <v>1</v>
      </c>
    </row>
    <row r="1852" spans="1:3" x14ac:dyDescent="0.15">
      <c r="A1852" s="191">
        <v>35123</v>
      </c>
      <c r="B1852" s="196">
        <v>7.2559022380323957E-3</v>
      </c>
      <c r="C1852" s="194" t="s">
        <v>1</v>
      </c>
    </row>
    <row r="1853" spans="1:3" x14ac:dyDescent="0.15">
      <c r="A1853" s="191">
        <v>35124</v>
      </c>
      <c r="B1853" s="196">
        <v>7.2592127122617194E-3</v>
      </c>
      <c r="C1853" s="194" t="s">
        <v>1</v>
      </c>
    </row>
    <row r="1854" spans="1:3" x14ac:dyDescent="0.15">
      <c r="A1854" s="191">
        <v>35125</v>
      </c>
      <c r="B1854" s="196">
        <v>7.2625246968806905E-3</v>
      </c>
      <c r="C1854" s="194" t="s">
        <v>1</v>
      </c>
    </row>
    <row r="1855" spans="1:3" x14ac:dyDescent="0.15">
      <c r="A1855" s="191">
        <v>35126</v>
      </c>
      <c r="B1855" s="196">
        <v>7.2625246968806905E-3</v>
      </c>
      <c r="C1855" s="194" t="s">
        <v>1</v>
      </c>
    </row>
    <row r="1856" spans="1:3" x14ac:dyDescent="0.15">
      <c r="A1856" s="191">
        <v>35127</v>
      </c>
      <c r="B1856" s="196">
        <v>7.2625246968806905E-3</v>
      </c>
      <c r="C1856" s="194" t="s">
        <v>1</v>
      </c>
    </row>
    <row r="1857" spans="1:3" x14ac:dyDescent="0.15">
      <c r="A1857" s="191">
        <v>35128</v>
      </c>
      <c r="B1857" s="196">
        <v>7.2653285922358686E-3</v>
      </c>
      <c r="C1857" s="194" t="s">
        <v>1</v>
      </c>
    </row>
    <row r="1858" spans="1:3" x14ac:dyDescent="0.15">
      <c r="A1858" s="191">
        <v>35129</v>
      </c>
      <c r="B1858" s="196">
        <v>7.2681335701111748E-3</v>
      </c>
      <c r="C1858" s="194" t="s">
        <v>1</v>
      </c>
    </row>
    <row r="1859" spans="1:3" x14ac:dyDescent="0.15">
      <c r="A1859" s="191">
        <v>35130</v>
      </c>
      <c r="B1859" s="196">
        <v>7.2709396309245449E-3</v>
      </c>
      <c r="C1859" s="194" t="s">
        <v>1</v>
      </c>
    </row>
    <row r="1860" spans="1:3" x14ac:dyDescent="0.15">
      <c r="A1860" s="191">
        <v>35131</v>
      </c>
      <c r="B1860" s="196">
        <v>7.2737467750940768E-3</v>
      </c>
      <c r="C1860" s="194" t="s">
        <v>1</v>
      </c>
    </row>
    <row r="1861" spans="1:3" x14ac:dyDescent="0.15">
      <c r="A1861" s="191">
        <v>35132</v>
      </c>
      <c r="B1861" s="196">
        <v>7.2765550030380296E-3</v>
      </c>
      <c r="C1861" s="194" t="s">
        <v>1</v>
      </c>
    </row>
    <row r="1862" spans="1:3" x14ac:dyDescent="0.15">
      <c r="A1862" s="191">
        <v>35133</v>
      </c>
      <c r="B1862" s="196">
        <v>7.2765550030380296E-3</v>
      </c>
      <c r="C1862" s="194" t="s">
        <v>1</v>
      </c>
    </row>
    <row r="1863" spans="1:3" x14ac:dyDescent="0.15">
      <c r="A1863" s="191">
        <v>35134</v>
      </c>
      <c r="B1863" s="196">
        <v>7.2765550030380296E-3</v>
      </c>
      <c r="C1863" s="194" t="s">
        <v>1</v>
      </c>
    </row>
    <row r="1864" spans="1:3" x14ac:dyDescent="0.15">
      <c r="A1864" s="191">
        <v>35135</v>
      </c>
      <c r="B1864" s="196">
        <v>7.2793643151748237E-3</v>
      </c>
      <c r="C1864" s="194" t="s">
        <v>1</v>
      </c>
    </row>
    <row r="1865" spans="1:3" x14ac:dyDescent="0.15">
      <c r="A1865" s="191">
        <v>35136</v>
      </c>
      <c r="B1865" s="196">
        <v>7.282174711923042E-3</v>
      </c>
      <c r="C1865" s="194" t="s">
        <v>1</v>
      </c>
    </row>
    <row r="1866" spans="1:3" x14ac:dyDescent="0.15">
      <c r="A1866" s="191">
        <v>35137</v>
      </c>
      <c r="B1866" s="196">
        <v>7.2849861937014275E-3</v>
      </c>
      <c r="C1866" s="194" t="s">
        <v>1</v>
      </c>
    </row>
    <row r="1867" spans="1:3" x14ac:dyDescent="0.15">
      <c r="A1867" s="191">
        <v>35138</v>
      </c>
      <c r="B1867" s="196">
        <v>7.2877987609288866E-3</v>
      </c>
      <c r="C1867" s="194" t="s">
        <v>1</v>
      </c>
    </row>
    <row r="1868" spans="1:3" x14ac:dyDescent="0.15">
      <c r="A1868" s="191">
        <v>35139</v>
      </c>
      <c r="B1868" s="196">
        <v>7.2906124140244858E-3</v>
      </c>
      <c r="C1868" s="194" t="s">
        <v>1</v>
      </c>
    </row>
    <row r="1869" spans="1:3" x14ac:dyDescent="0.15">
      <c r="A1869" s="191">
        <v>35140</v>
      </c>
      <c r="B1869" s="196">
        <v>7.2906124140244858E-3</v>
      </c>
      <c r="C1869" s="194" t="s">
        <v>1</v>
      </c>
    </row>
    <row r="1870" spans="1:3" x14ac:dyDescent="0.15">
      <c r="A1870" s="191">
        <v>35141</v>
      </c>
      <c r="B1870" s="196">
        <v>7.2906124140244858E-3</v>
      </c>
      <c r="C1870" s="194" t="s">
        <v>1</v>
      </c>
    </row>
    <row r="1871" spans="1:3" x14ac:dyDescent="0.15">
      <c r="A1871" s="191">
        <v>35142</v>
      </c>
      <c r="B1871" s="196">
        <v>7.2934271534074542E-3</v>
      </c>
      <c r="C1871" s="194" t="s">
        <v>1</v>
      </c>
    </row>
    <row r="1872" spans="1:3" x14ac:dyDescent="0.15">
      <c r="A1872" s="191">
        <v>35143</v>
      </c>
      <c r="B1872" s="196">
        <v>7.2962429794971818E-3</v>
      </c>
      <c r="C1872" s="194" t="s">
        <v>1</v>
      </c>
    </row>
    <row r="1873" spans="1:3" x14ac:dyDescent="0.15">
      <c r="A1873" s="191">
        <v>35144</v>
      </c>
      <c r="B1873" s="196">
        <v>7.299059892713222E-3</v>
      </c>
      <c r="C1873" s="194" t="s">
        <v>1</v>
      </c>
    </row>
    <row r="1874" spans="1:3" x14ac:dyDescent="0.15">
      <c r="A1874" s="191">
        <v>35145</v>
      </c>
      <c r="B1874" s="196">
        <v>7.3018778934752894E-3</v>
      </c>
      <c r="C1874" s="194" t="s">
        <v>1</v>
      </c>
    </row>
    <row r="1875" spans="1:3" x14ac:dyDescent="0.15">
      <c r="A1875" s="191">
        <v>35146</v>
      </c>
      <c r="B1875" s="196">
        <v>7.3046969822032617E-3</v>
      </c>
      <c r="C1875" s="194" t="s">
        <v>1</v>
      </c>
    </row>
    <row r="1876" spans="1:3" x14ac:dyDescent="0.15">
      <c r="A1876" s="191">
        <v>35147</v>
      </c>
      <c r="B1876" s="196">
        <v>7.3046969822032617E-3</v>
      </c>
      <c r="C1876" s="194" t="s">
        <v>1</v>
      </c>
    </row>
    <row r="1877" spans="1:3" x14ac:dyDescent="0.15">
      <c r="A1877" s="191">
        <v>35148</v>
      </c>
      <c r="B1877" s="196">
        <v>7.3046969822032617E-3</v>
      </c>
      <c r="C1877" s="194" t="s">
        <v>1</v>
      </c>
    </row>
    <row r="1878" spans="1:3" x14ac:dyDescent="0.15">
      <c r="A1878" s="191">
        <v>35149</v>
      </c>
      <c r="B1878" s="196">
        <v>7.3075171593171761E-3</v>
      </c>
      <c r="C1878" s="194" t="s">
        <v>1</v>
      </c>
    </row>
    <row r="1879" spans="1:3" x14ac:dyDescent="0.15">
      <c r="A1879" s="191">
        <v>35150</v>
      </c>
      <c r="B1879" s="196">
        <v>7.3103384252372347E-3</v>
      </c>
      <c r="C1879" s="194" t="s">
        <v>1</v>
      </c>
    </row>
    <row r="1880" spans="1:3" x14ac:dyDescent="0.15">
      <c r="A1880" s="191">
        <v>35151</v>
      </c>
      <c r="B1880" s="196">
        <v>7.313160780383801E-3</v>
      </c>
      <c r="C1880" s="194" t="s">
        <v>1</v>
      </c>
    </row>
    <row r="1881" spans="1:3" x14ac:dyDescent="0.15">
      <c r="A1881" s="191">
        <v>35152</v>
      </c>
      <c r="B1881" s="196">
        <v>7.3159842251773995E-3</v>
      </c>
      <c r="C1881" s="194" t="s">
        <v>1</v>
      </c>
    </row>
    <row r="1882" spans="1:3" x14ac:dyDescent="0.15">
      <c r="A1882" s="191">
        <v>35153</v>
      </c>
      <c r="B1882" s="196">
        <v>7.318808760038719E-3</v>
      </c>
      <c r="C1882" s="194" t="s">
        <v>1</v>
      </c>
    </row>
    <row r="1883" spans="1:3" x14ac:dyDescent="0.15">
      <c r="A1883" s="191">
        <v>35154</v>
      </c>
      <c r="B1883" s="196">
        <v>7.318808760038719E-3</v>
      </c>
      <c r="C1883" s="194" t="s">
        <v>1</v>
      </c>
    </row>
    <row r="1884" spans="1:3" x14ac:dyDescent="0.15">
      <c r="A1884" s="191">
        <v>35155</v>
      </c>
      <c r="B1884" s="196">
        <v>7.318808760038719E-3</v>
      </c>
      <c r="C1884" s="194" t="s">
        <v>1</v>
      </c>
    </row>
    <row r="1885" spans="1:3" x14ac:dyDescent="0.15">
      <c r="A1885" s="191">
        <v>35156</v>
      </c>
      <c r="B1885" s="196">
        <v>7.3216343853886095E-3</v>
      </c>
      <c r="C1885" s="194" t="s">
        <v>1</v>
      </c>
    </row>
    <row r="1886" spans="1:3" x14ac:dyDescent="0.15">
      <c r="A1886" s="191">
        <v>35157</v>
      </c>
      <c r="B1886" s="196">
        <v>7.3240418910718742E-3</v>
      </c>
      <c r="C1886" s="194" t="s">
        <v>1</v>
      </c>
    </row>
    <row r="1887" spans="1:3" x14ac:dyDescent="0.15">
      <c r="A1887" s="191">
        <v>35158</v>
      </c>
      <c r="B1887" s="196">
        <v>7.3264501883930858E-3</v>
      </c>
      <c r="C1887" s="194" t="s">
        <v>1</v>
      </c>
    </row>
    <row r="1888" spans="1:3" x14ac:dyDescent="0.15">
      <c r="A1888" s="191">
        <v>35159</v>
      </c>
      <c r="B1888" s="196">
        <v>7.3288592776125519E-3</v>
      </c>
      <c r="C1888" s="194" t="s">
        <v>1</v>
      </c>
    </row>
    <row r="1889" spans="1:3" x14ac:dyDescent="0.15">
      <c r="A1889" s="191">
        <v>35160</v>
      </c>
      <c r="B1889" s="196">
        <v>7.3288592776125519E-3</v>
      </c>
      <c r="C1889" s="194" t="s">
        <v>1</v>
      </c>
    </row>
    <row r="1890" spans="1:3" x14ac:dyDescent="0.15">
      <c r="A1890" s="191">
        <v>35161</v>
      </c>
      <c r="B1890" s="196">
        <v>7.3288592776125519E-3</v>
      </c>
      <c r="C1890" s="194" t="s">
        <v>1</v>
      </c>
    </row>
    <row r="1891" spans="1:3" x14ac:dyDescent="0.15">
      <c r="A1891" s="191">
        <v>35162</v>
      </c>
      <c r="B1891" s="196">
        <v>7.3288592776125519E-3</v>
      </c>
      <c r="C1891" s="194" t="s">
        <v>1</v>
      </c>
    </row>
    <row r="1892" spans="1:3" x14ac:dyDescent="0.15">
      <c r="A1892" s="191">
        <v>35163</v>
      </c>
      <c r="B1892" s="196">
        <v>7.3312691589906649E-3</v>
      </c>
      <c r="C1892" s="194" t="s">
        <v>1</v>
      </c>
    </row>
    <row r="1893" spans="1:3" x14ac:dyDescent="0.15">
      <c r="A1893" s="191">
        <v>35164</v>
      </c>
      <c r="B1893" s="196">
        <v>7.3336798327879029E-3</v>
      </c>
      <c r="C1893" s="194" t="s">
        <v>1</v>
      </c>
    </row>
    <row r="1894" spans="1:3" x14ac:dyDescent="0.15">
      <c r="A1894" s="191">
        <v>35165</v>
      </c>
      <c r="B1894" s="196">
        <v>7.3360912992648302E-3</v>
      </c>
      <c r="C1894" s="194" t="s">
        <v>1</v>
      </c>
    </row>
    <row r="1895" spans="1:3" x14ac:dyDescent="0.15">
      <c r="A1895" s="191">
        <v>35166</v>
      </c>
      <c r="B1895" s="196">
        <v>7.3385035586820959E-3</v>
      </c>
      <c r="C1895" s="194" t="s">
        <v>1</v>
      </c>
    </row>
    <row r="1896" spans="1:3" x14ac:dyDescent="0.15">
      <c r="A1896" s="191">
        <v>35167</v>
      </c>
      <c r="B1896" s="196">
        <v>7.340916611300435E-3</v>
      </c>
      <c r="C1896" s="194" t="s">
        <v>1</v>
      </c>
    </row>
    <row r="1897" spans="1:3" x14ac:dyDescent="0.15">
      <c r="A1897" s="191">
        <v>35168</v>
      </c>
      <c r="B1897" s="196">
        <v>7.340916611300435E-3</v>
      </c>
      <c r="C1897" s="194" t="s">
        <v>1</v>
      </c>
    </row>
    <row r="1898" spans="1:3" x14ac:dyDescent="0.15">
      <c r="A1898" s="191">
        <v>35169</v>
      </c>
      <c r="B1898" s="196">
        <v>7.340916611300435E-3</v>
      </c>
      <c r="C1898" s="194" t="s">
        <v>1</v>
      </c>
    </row>
    <row r="1899" spans="1:3" x14ac:dyDescent="0.15">
      <c r="A1899" s="191">
        <v>35170</v>
      </c>
      <c r="B1899" s="196">
        <v>7.3433304573806693E-3</v>
      </c>
      <c r="C1899" s="194" t="s">
        <v>1</v>
      </c>
    </row>
    <row r="1900" spans="1:3" x14ac:dyDescent="0.15">
      <c r="A1900" s="191">
        <v>35171</v>
      </c>
      <c r="B1900" s="196">
        <v>7.3457450971837054E-3</v>
      </c>
      <c r="C1900" s="194" t="s">
        <v>1</v>
      </c>
    </row>
    <row r="1901" spans="1:3" x14ac:dyDescent="0.15">
      <c r="A1901" s="191">
        <v>35172</v>
      </c>
      <c r="B1901" s="196">
        <v>7.3481605309705352E-3</v>
      </c>
      <c r="C1901" s="194" t="s">
        <v>1</v>
      </c>
    </row>
    <row r="1902" spans="1:3" x14ac:dyDescent="0.15">
      <c r="A1902" s="191">
        <v>35173</v>
      </c>
      <c r="B1902" s="196">
        <v>7.350576759002238E-3</v>
      </c>
      <c r="C1902" s="194" t="s">
        <v>1</v>
      </c>
    </row>
    <row r="1903" spans="1:3" x14ac:dyDescent="0.15">
      <c r="A1903" s="191">
        <v>35174</v>
      </c>
      <c r="B1903" s="196">
        <v>7.3529937815399772E-3</v>
      </c>
      <c r="C1903" s="194" t="s">
        <v>1</v>
      </c>
    </row>
    <row r="1904" spans="1:3" x14ac:dyDescent="0.15">
      <c r="A1904" s="191">
        <v>35175</v>
      </c>
      <c r="B1904" s="196">
        <v>7.3529937815399772E-3</v>
      </c>
      <c r="C1904" s="194" t="s">
        <v>1</v>
      </c>
    </row>
    <row r="1905" spans="1:3" x14ac:dyDescent="0.15">
      <c r="A1905" s="191">
        <v>35176</v>
      </c>
      <c r="B1905" s="196">
        <v>7.3529937815399772E-3</v>
      </c>
      <c r="C1905" s="194" t="s">
        <v>1</v>
      </c>
    </row>
    <row r="1906" spans="1:3" x14ac:dyDescent="0.15">
      <c r="A1906" s="191">
        <v>35177</v>
      </c>
      <c r="B1906" s="196">
        <v>7.3554115988450032E-3</v>
      </c>
      <c r="C1906" s="194" t="s">
        <v>1</v>
      </c>
    </row>
    <row r="1907" spans="1:3" x14ac:dyDescent="0.15">
      <c r="A1907" s="191">
        <v>35178</v>
      </c>
      <c r="B1907" s="196">
        <v>7.3578302111786519E-3</v>
      </c>
      <c r="C1907" s="194" t="s">
        <v>1</v>
      </c>
    </row>
    <row r="1908" spans="1:3" x14ac:dyDescent="0.15">
      <c r="A1908" s="191">
        <v>35179</v>
      </c>
      <c r="B1908" s="196">
        <v>7.3602496188023463E-3</v>
      </c>
      <c r="C1908" s="194" t="s">
        <v>1</v>
      </c>
    </row>
    <row r="1909" spans="1:3" x14ac:dyDescent="0.15">
      <c r="A1909" s="191">
        <v>35180</v>
      </c>
      <c r="B1909" s="196">
        <v>7.3626698219775933E-3</v>
      </c>
      <c r="C1909" s="194" t="s">
        <v>1</v>
      </c>
    </row>
    <row r="1910" spans="1:3" x14ac:dyDescent="0.15">
      <c r="A1910" s="191">
        <v>35181</v>
      </c>
      <c r="B1910" s="196">
        <v>7.3650908209659865E-3</v>
      </c>
      <c r="C1910" s="194" t="s">
        <v>1</v>
      </c>
    </row>
    <row r="1911" spans="1:3" x14ac:dyDescent="0.15">
      <c r="A1911" s="191">
        <v>35182</v>
      </c>
      <c r="B1911" s="196">
        <v>7.3650908209659865E-3</v>
      </c>
      <c r="C1911" s="194" t="s">
        <v>1</v>
      </c>
    </row>
    <row r="1912" spans="1:3" x14ac:dyDescent="0.15">
      <c r="A1912" s="191">
        <v>35183</v>
      </c>
      <c r="B1912" s="196">
        <v>7.3650908209659865E-3</v>
      </c>
      <c r="C1912" s="194" t="s">
        <v>1</v>
      </c>
    </row>
    <row r="1913" spans="1:3" x14ac:dyDescent="0.15">
      <c r="A1913" s="191">
        <v>35184</v>
      </c>
      <c r="B1913" s="196">
        <v>7.3675126160292065E-3</v>
      </c>
      <c r="C1913" s="194" t="s">
        <v>1</v>
      </c>
    </row>
    <row r="1914" spans="1:3" x14ac:dyDescent="0.15">
      <c r="A1914" s="191">
        <v>35185</v>
      </c>
      <c r="B1914" s="196">
        <v>7.3699352074290195E-3</v>
      </c>
      <c r="C1914" s="194" t="s">
        <v>1</v>
      </c>
    </row>
    <row r="1915" spans="1:3" x14ac:dyDescent="0.15">
      <c r="A1915" s="191">
        <v>35186</v>
      </c>
      <c r="B1915" s="196">
        <v>7.3699352074290195E-3</v>
      </c>
      <c r="C1915" s="194" t="s">
        <v>1</v>
      </c>
    </row>
    <row r="1916" spans="1:3" x14ac:dyDescent="0.15">
      <c r="A1916" s="191">
        <v>35187</v>
      </c>
      <c r="B1916" s="196">
        <v>7.3719021482809592E-3</v>
      </c>
      <c r="C1916" s="194" t="s">
        <v>1</v>
      </c>
    </row>
    <row r="1917" spans="1:3" x14ac:dyDescent="0.15">
      <c r="A1917" s="191">
        <v>35188</v>
      </c>
      <c r="B1917" s="196">
        <v>7.3738696140840969E-3</v>
      </c>
      <c r="C1917" s="194" t="s">
        <v>1</v>
      </c>
    </row>
    <row r="1918" spans="1:3" x14ac:dyDescent="0.15">
      <c r="A1918" s="191">
        <v>35189</v>
      </c>
      <c r="B1918" s="196">
        <v>7.3738696140840969E-3</v>
      </c>
      <c r="C1918" s="194" t="s">
        <v>1</v>
      </c>
    </row>
    <row r="1919" spans="1:3" x14ac:dyDescent="0.15">
      <c r="A1919" s="191">
        <v>35190</v>
      </c>
      <c r="B1919" s="196">
        <v>7.3738696140840969E-3</v>
      </c>
      <c r="C1919" s="194" t="s">
        <v>1</v>
      </c>
    </row>
    <row r="1920" spans="1:3" x14ac:dyDescent="0.15">
      <c r="A1920" s="191">
        <v>35191</v>
      </c>
      <c r="B1920" s="196">
        <v>7.3758376049785348E-3</v>
      </c>
      <c r="C1920" s="194" t="s">
        <v>1</v>
      </c>
    </row>
    <row r="1921" spans="1:3" x14ac:dyDescent="0.15">
      <c r="A1921" s="191">
        <v>35192</v>
      </c>
      <c r="B1921" s="196">
        <v>7.3778061211044136E-3</v>
      </c>
      <c r="C1921" s="194" t="s">
        <v>1</v>
      </c>
    </row>
    <row r="1922" spans="1:3" x14ac:dyDescent="0.15">
      <c r="A1922" s="191">
        <v>35193</v>
      </c>
      <c r="B1922" s="196">
        <v>7.3797751626019101E-3</v>
      </c>
      <c r="C1922" s="194" t="s">
        <v>1</v>
      </c>
    </row>
    <row r="1923" spans="1:3" x14ac:dyDescent="0.15">
      <c r="A1923" s="191">
        <v>35194</v>
      </c>
      <c r="B1923" s="196">
        <v>7.3817447296112403E-3</v>
      </c>
      <c r="C1923" s="194" t="s">
        <v>1</v>
      </c>
    </row>
    <row r="1924" spans="1:3" x14ac:dyDescent="0.15">
      <c r="A1924" s="191">
        <v>35195</v>
      </c>
      <c r="B1924" s="196">
        <v>7.3837148222726558E-3</v>
      </c>
      <c r="C1924" s="194" t="s">
        <v>1</v>
      </c>
    </row>
    <row r="1925" spans="1:3" x14ac:dyDescent="0.15">
      <c r="A1925" s="191">
        <v>35196</v>
      </c>
      <c r="B1925" s="196">
        <v>7.3837148222726558E-3</v>
      </c>
      <c r="C1925" s="194" t="s">
        <v>1</v>
      </c>
    </row>
    <row r="1926" spans="1:3" x14ac:dyDescent="0.15">
      <c r="A1926" s="191">
        <v>35197</v>
      </c>
      <c r="B1926" s="196">
        <v>7.3837148222726558E-3</v>
      </c>
      <c r="C1926" s="194" t="s">
        <v>1</v>
      </c>
    </row>
    <row r="1927" spans="1:3" x14ac:dyDescent="0.15">
      <c r="A1927" s="191">
        <v>35198</v>
      </c>
      <c r="B1927" s="196">
        <v>7.3856854407264461E-3</v>
      </c>
      <c r="C1927" s="194" t="s">
        <v>1</v>
      </c>
    </row>
    <row r="1928" spans="1:3" x14ac:dyDescent="0.15">
      <c r="A1928" s="191">
        <v>35199</v>
      </c>
      <c r="B1928" s="196">
        <v>7.3876565851129393E-3</v>
      </c>
      <c r="C1928" s="194" t="s">
        <v>1</v>
      </c>
    </row>
    <row r="1929" spans="1:3" x14ac:dyDescent="0.15">
      <c r="A1929" s="191">
        <v>35200</v>
      </c>
      <c r="B1929" s="196">
        <v>7.3896282555724994E-3</v>
      </c>
      <c r="C1929" s="194" t="s">
        <v>1</v>
      </c>
    </row>
    <row r="1930" spans="1:3" x14ac:dyDescent="0.15">
      <c r="A1930" s="191">
        <v>35201</v>
      </c>
      <c r="B1930" s="196">
        <v>7.3916004522455291E-3</v>
      </c>
      <c r="C1930" s="194" t="s">
        <v>1</v>
      </c>
    </row>
    <row r="1931" spans="1:3" x14ac:dyDescent="0.15">
      <c r="A1931" s="191">
        <v>35202</v>
      </c>
      <c r="B1931" s="196">
        <v>7.3935731752724672E-3</v>
      </c>
      <c r="C1931" s="194" t="s">
        <v>1</v>
      </c>
    </row>
    <row r="1932" spans="1:3" x14ac:dyDescent="0.15">
      <c r="A1932" s="191">
        <v>35203</v>
      </c>
      <c r="B1932" s="196">
        <v>7.3935731752724672E-3</v>
      </c>
      <c r="C1932" s="194" t="s">
        <v>1</v>
      </c>
    </row>
    <row r="1933" spans="1:3" x14ac:dyDescent="0.15">
      <c r="A1933" s="191">
        <v>35204</v>
      </c>
      <c r="B1933" s="196">
        <v>7.3935731752724672E-3</v>
      </c>
      <c r="C1933" s="194" t="s">
        <v>1</v>
      </c>
    </row>
    <row r="1934" spans="1:3" x14ac:dyDescent="0.15">
      <c r="A1934" s="191">
        <v>35205</v>
      </c>
      <c r="B1934" s="196">
        <v>7.3955464247937915E-3</v>
      </c>
      <c r="C1934" s="194" t="s">
        <v>1</v>
      </c>
    </row>
    <row r="1935" spans="1:3" x14ac:dyDescent="0.15">
      <c r="A1935" s="191">
        <v>35206</v>
      </c>
      <c r="B1935" s="196">
        <v>7.3975202009500156E-3</v>
      </c>
      <c r="C1935" s="194" t="s">
        <v>1</v>
      </c>
    </row>
    <row r="1936" spans="1:3" x14ac:dyDescent="0.15">
      <c r="A1936" s="191">
        <v>35207</v>
      </c>
      <c r="B1936" s="196">
        <v>7.3994945038816928E-3</v>
      </c>
      <c r="C1936" s="194" t="s">
        <v>1</v>
      </c>
    </row>
    <row r="1937" spans="1:3" x14ac:dyDescent="0.15">
      <c r="A1937" s="191">
        <v>35208</v>
      </c>
      <c r="B1937" s="196">
        <v>7.4014693337294121E-3</v>
      </c>
      <c r="C1937" s="194" t="s">
        <v>1</v>
      </c>
    </row>
    <row r="1938" spans="1:3" x14ac:dyDescent="0.15">
      <c r="A1938" s="191">
        <v>35209</v>
      </c>
      <c r="B1938" s="196">
        <v>7.4034446906338005E-3</v>
      </c>
      <c r="C1938" s="194" t="s">
        <v>1</v>
      </c>
    </row>
    <row r="1939" spans="1:3" x14ac:dyDescent="0.15">
      <c r="A1939" s="191">
        <v>35210</v>
      </c>
      <c r="B1939" s="196">
        <v>7.4034446906338005E-3</v>
      </c>
      <c r="C1939" s="194" t="s">
        <v>1</v>
      </c>
    </row>
    <row r="1940" spans="1:3" x14ac:dyDescent="0.15">
      <c r="A1940" s="191">
        <v>35211</v>
      </c>
      <c r="B1940" s="196">
        <v>7.4034446906338005E-3</v>
      </c>
      <c r="C1940" s="194" t="s">
        <v>1</v>
      </c>
    </row>
    <row r="1941" spans="1:3" x14ac:dyDescent="0.15">
      <c r="A1941" s="191">
        <v>35212</v>
      </c>
      <c r="B1941" s="196">
        <v>7.4054205747355224E-3</v>
      </c>
      <c r="C1941" s="194" t="s">
        <v>1</v>
      </c>
    </row>
    <row r="1942" spans="1:3" x14ac:dyDescent="0.15">
      <c r="A1942" s="191">
        <v>35213</v>
      </c>
      <c r="B1942" s="196">
        <v>7.4073969861752804E-3</v>
      </c>
      <c r="C1942" s="194" t="s">
        <v>1</v>
      </c>
    </row>
    <row r="1943" spans="1:3" x14ac:dyDescent="0.15">
      <c r="A1943" s="191">
        <v>35214</v>
      </c>
      <c r="B1943" s="196">
        <v>7.4093739250938144E-3</v>
      </c>
      <c r="C1943" s="194" t="s">
        <v>1</v>
      </c>
    </row>
    <row r="1944" spans="1:3" x14ac:dyDescent="0.15">
      <c r="A1944" s="191">
        <v>35215</v>
      </c>
      <c r="B1944" s="196">
        <v>7.4113513916319014E-3</v>
      </c>
      <c r="C1944" s="194" t="s">
        <v>1</v>
      </c>
    </row>
    <row r="1945" spans="1:3" x14ac:dyDescent="0.15">
      <c r="A1945" s="191">
        <v>35216</v>
      </c>
      <c r="B1945" s="196">
        <v>7.4133293859303569E-3</v>
      </c>
      <c r="C1945" s="194" t="s">
        <v>1</v>
      </c>
    </row>
    <row r="1946" spans="1:3" x14ac:dyDescent="0.15">
      <c r="A1946" s="191">
        <v>35217</v>
      </c>
      <c r="B1946" s="196">
        <v>7.4133293859303569E-3</v>
      </c>
      <c r="C1946" s="194" t="s">
        <v>1</v>
      </c>
    </row>
    <row r="1947" spans="1:3" x14ac:dyDescent="0.15">
      <c r="A1947" s="191">
        <v>35218</v>
      </c>
      <c r="B1947" s="196">
        <v>7.4133293859303569E-3</v>
      </c>
      <c r="C1947" s="194" t="s">
        <v>1</v>
      </c>
    </row>
    <row r="1948" spans="1:3" x14ac:dyDescent="0.15">
      <c r="A1948" s="191">
        <v>35219</v>
      </c>
      <c r="B1948" s="196">
        <v>7.4155835572847044E-3</v>
      </c>
      <c r="C1948" s="194" t="s">
        <v>1</v>
      </c>
    </row>
    <row r="1949" spans="1:3" x14ac:dyDescent="0.15">
      <c r="A1949" s="191">
        <v>35220</v>
      </c>
      <c r="B1949" s="196">
        <v>7.4178384140650231E-3</v>
      </c>
      <c r="C1949" s="194" t="s">
        <v>1</v>
      </c>
    </row>
    <row r="1950" spans="1:3" x14ac:dyDescent="0.15">
      <c r="A1950" s="191">
        <v>35221</v>
      </c>
      <c r="B1950" s="196">
        <v>7.4200939564797305E-3</v>
      </c>
      <c r="C1950" s="194" t="s">
        <v>1</v>
      </c>
    </row>
    <row r="1951" spans="1:3" x14ac:dyDescent="0.15">
      <c r="A1951" s="191">
        <v>35222</v>
      </c>
      <c r="B1951" s="196">
        <v>7.4200939564797305E-3</v>
      </c>
      <c r="C1951" s="194" t="s">
        <v>1</v>
      </c>
    </row>
    <row r="1952" spans="1:3" x14ac:dyDescent="0.15">
      <c r="A1952" s="191">
        <v>35223</v>
      </c>
      <c r="B1952" s="196">
        <v>7.4223501847373074E-3</v>
      </c>
      <c r="C1952" s="194" t="s">
        <v>1</v>
      </c>
    </row>
    <row r="1953" spans="1:3" x14ac:dyDescent="0.15">
      <c r="A1953" s="191">
        <v>35224</v>
      </c>
      <c r="B1953" s="196">
        <v>7.4223501847373074E-3</v>
      </c>
      <c r="C1953" s="194" t="s">
        <v>1</v>
      </c>
    </row>
    <row r="1954" spans="1:3" x14ac:dyDescent="0.15">
      <c r="A1954" s="191">
        <v>35225</v>
      </c>
      <c r="B1954" s="196">
        <v>7.4223501847373074E-3</v>
      </c>
      <c r="C1954" s="194" t="s">
        <v>1</v>
      </c>
    </row>
    <row r="1955" spans="1:3" x14ac:dyDescent="0.15">
      <c r="A1955" s="191">
        <v>35226</v>
      </c>
      <c r="B1955" s="196">
        <v>7.4246070990462987E-3</v>
      </c>
      <c r="C1955" s="194" t="s">
        <v>1</v>
      </c>
    </row>
    <row r="1956" spans="1:3" x14ac:dyDescent="0.15">
      <c r="A1956" s="191">
        <v>35227</v>
      </c>
      <c r="B1956" s="196">
        <v>7.426864699615311E-3</v>
      </c>
      <c r="C1956" s="194" t="s">
        <v>1</v>
      </c>
    </row>
    <row r="1957" spans="1:3" x14ac:dyDescent="0.15">
      <c r="A1957" s="191">
        <v>35228</v>
      </c>
      <c r="B1957" s="196">
        <v>7.4291229866530169E-3</v>
      </c>
      <c r="C1957" s="194" t="s">
        <v>1</v>
      </c>
    </row>
    <row r="1958" spans="1:3" x14ac:dyDescent="0.15">
      <c r="A1958" s="191">
        <v>35229</v>
      </c>
      <c r="B1958" s="196">
        <v>7.4313819603681495E-3</v>
      </c>
      <c r="C1958" s="194" t="s">
        <v>1</v>
      </c>
    </row>
    <row r="1959" spans="1:3" x14ac:dyDescent="0.15">
      <c r="A1959" s="191">
        <v>35230</v>
      </c>
      <c r="B1959" s="196">
        <v>7.433641620969508E-3</v>
      </c>
      <c r="C1959" s="194" t="s">
        <v>1</v>
      </c>
    </row>
    <row r="1960" spans="1:3" x14ac:dyDescent="0.15">
      <c r="A1960" s="191">
        <v>35231</v>
      </c>
      <c r="B1960" s="196">
        <v>7.433641620969508E-3</v>
      </c>
      <c r="C1960" s="194" t="s">
        <v>1</v>
      </c>
    </row>
    <row r="1961" spans="1:3" x14ac:dyDescent="0.15">
      <c r="A1961" s="191">
        <v>35232</v>
      </c>
      <c r="B1961" s="196">
        <v>7.433641620969508E-3</v>
      </c>
      <c r="C1961" s="194" t="s">
        <v>1</v>
      </c>
    </row>
    <row r="1962" spans="1:3" x14ac:dyDescent="0.15">
      <c r="A1962" s="191">
        <v>35233</v>
      </c>
      <c r="B1962" s="196">
        <v>7.435901968665953E-3</v>
      </c>
      <c r="C1962" s="194" t="s">
        <v>1</v>
      </c>
    </row>
    <row r="1963" spans="1:3" x14ac:dyDescent="0.15">
      <c r="A1963" s="191">
        <v>35234</v>
      </c>
      <c r="B1963" s="196">
        <v>7.4381630036664094E-3</v>
      </c>
      <c r="C1963" s="194" t="s">
        <v>1</v>
      </c>
    </row>
    <row r="1964" spans="1:3" x14ac:dyDescent="0.15">
      <c r="A1964" s="191">
        <v>35235</v>
      </c>
      <c r="B1964" s="196">
        <v>7.4404247261798664E-3</v>
      </c>
      <c r="C1964" s="194" t="s">
        <v>1</v>
      </c>
    </row>
    <row r="1965" spans="1:3" x14ac:dyDescent="0.15">
      <c r="A1965" s="191">
        <v>35236</v>
      </c>
      <c r="B1965" s="196">
        <v>7.4426871364153763E-3</v>
      </c>
      <c r="C1965" s="194" t="s">
        <v>1</v>
      </c>
    </row>
    <row r="1966" spans="1:3" x14ac:dyDescent="0.15">
      <c r="A1966" s="191">
        <v>35237</v>
      </c>
      <c r="B1966" s="196">
        <v>7.444950234582054E-3</v>
      </c>
      <c r="C1966" s="194" t="s">
        <v>1</v>
      </c>
    </row>
    <row r="1967" spans="1:3" x14ac:dyDescent="0.15">
      <c r="A1967" s="191">
        <v>35238</v>
      </c>
      <c r="B1967" s="196">
        <v>7.444950234582054E-3</v>
      </c>
      <c r="C1967" s="194" t="s">
        <v>1</v>
      </c>
    </row>
    <row r="1968" spans="1:3" x14ac:dyDescent="0.15">
      <c r="A1968" s="191">
        <v>35239</v>
      </c>
      <c r="B1968" s="196">
        <v>7.444950234582054E-3</v>
      </c>
      <c r="C1968" s="194" t="s">
        <v>1</v>
      </c>
    </row>
    <row r="1969" spans="1:3" x14ac:dyDescent="0.15">
      <c r="A1969" s="191">
        <v>35240</v>
      </c>
      <c r="B1969" s="196">
        <v>7.4472140208890793E-3</v>
      </c>
      <c r="C1969" s="194" t="s">
        <v>1</v>
      </c>
    </row>
    <row r="1970" spans="1:3" x14ac:dyDescent="0.15">
      <c r="A1970" s="191">
        <v>35241</v>
      </c>
      <c r="B1970" s="196">
        <v>7.4494784955456946E-3</v>
      </c>
      <c r="C1970" s="194" t="s">
        <v>1</v>
      </c>
    </row>
    <row r="1971" spans="1:3" x14ac:dyDescent="0.15">
      <c r="A1971" s="191">
        <v>35242</v>
      </c>
      <c r="B1971" s="196">
        <v>7.4517436587612073E-3</v>
      </c>
      <c r="C1971" s="194" t="s">
        <v>1</v>
      </c>
    </row>
    <row r="1972" spans="1:3" x14ac:dyDescent="0.15">
      <c r="A1972" s="191">
        <v>35243</v>
      </c>
      <c r="B1972" s="196">
        <v>7.4540095107449864E-3</v>
      </c>
      <c r="C1972" s="194" t="s">
        <v>1</v>
      </c>
    </row>
    <row r="1973" spans="1:3" x14ac:dyDescent="0.15">
      <c r="A1973" s="191">
        <v>35244</v>
      </c>
      <c r="B1973" s="196">
        <v>7.4562760517064668E-3</v>
      </c>
      <c r="C1973" s="194" t="s">
        <v>1</v>
      </c>
    </row>
    <row r="1974" spans="1:3" x14ac:dyDescent="0.15">
      <c r="A1974" s="191">
        <v>35245</v>
      </c>
      <c r="B1974" s="196">
        <v>7.4562760517064668E-3</v>
      </c>
      <c r="C1974" s="194" t="s">
        <v>1</v>
      </c>
    </row>
    <row r="1975" spans="1:3" x14ac:dyDescent="0.15">
      <c r="A1975" s="191">
        <v>35246</v>
      </c>
      <c r="B1975" s="196">
        <v>7.4562760517064668E-3</v>
      </c>
      <c r="C1975" s="194" t="s">
        <v>1</v>
      </c>
    </row>
    <row r="1976" spans="1:3" x14ac:dyDescent="0.15">
      <c r="A1976" s="191">
        <v>35247</v>
      </c>
      <c r="B1976" s="196">
        <v>7.4585432818551449E-3</v>
      </c>
      <c r="C1976" s="194" t="s">
        <v>1</v>
      </c>
    </row>
    <row r="1977" spans="1:3" x14ac:dyDescent="0.15">
      <c r="A1977" s="191">
        <v>35248</v>
      </c>
      <c r="B1977" s="196">
        <v>7.4604353811115421E-3</v>
      </c>
      <c r="C1977" s="194" t="s">
        <v>1</v>
      </c>
    </row>
    <row r="1978" spans="1:3" x14ac:dyDescent="0.15">
      <c r="A1978" s="191">
        <v>35249</v>
      </c>
      <c r="B1978" s="196">
        <v>7.4623279603597374E-3</v>
      </c>
      <c r="C1978" s="194" t="s">
        <v>1</v>
      </c>
    </row>
    <row r="1979" spans="1:3" x14ac:dyDescent="0.15">
      <c r="A1979" s="191">
        <v>35250</v>
      </c>
      <c r="B1979" s="196">
        <v>7.4642210197214953E-3</v>
      </c>
      <c r="C1979" s="194" t="s">
        <v>1</v>
      </c>
    </row>
    <row r="1980" spans="1:3" x14ac:dyDescent="0.15">
      <c r="A1980" s="191">
        <v>35251</v>
      </c>
      <c r="B1980" s="196">
        <v>7.4661145593186125E-3</v>
      </c>
      <c r="C1980" s="194" t="s">
        <v>1</v>
      </c>
    </row>
    <row r="1981" spans="1:3" x14ac:dyDescent="0.15">
      <c r="A1981" s="191">
        <v>35252</v>
      </c>
      <c r="B1981" s="196">
        <v>7.4661145593186125E-3</v>
      </c>
      <c r="C1981" s="194" t="s">
        <v>1</v>
      </c>
    </row>
    <row r="1982" spans="1:3" x14ac:dyDescent="0.15">
      <c r="A1982" s="191">
        <v>35253</v>
      </c>
      <c r="B1982" s="196">
        <v>7.4661145593186125E-3</v>
      </c>
      <c r="C1982" s="194" t="s">
        <v>1</v>
      </c>
    </row>
    <row r="1983" spans="1:3" x14ac:dyDescent="0.15">
      <c r="A1983" s="191">
        <v>35254</v>
      </c>
      <c r="B1983" s="196">
        <v>7.4680085792729152E-3</v>
      </c>
      <c r="C1983" s="194" t="s">
        <v>1</v>
      </c>
    </row>
    <row r="1984" spans="1:3" x14ac:dyDescent="0.15">
      <c r="A1984" s="191">
        <v>35255</v>
      </c>
      <c r="B1984" s="196">
        <v>7.4699030797062624E-3</v>
      </c>
      <c r="C1984" s="194" t="s">
        <v>1</v>
      </c>
    </row>
    <row r="1985" spans="1:3" x14ac:dyDescent="0.15">
      <c r="A1985" s="191">
        <v>35256</v>
      </c>
      <c r="B1985" s="196">
        <v>7.4717980607405428E-3</v>
      </c>
      <c r="C1985" s="194" t="s">
        <v>1</v>
      </c>
    </row>
    <row r="1986" spans="1:3" x14ac:dyDescent="0.15">
      <c r="A1986" s="191">
        <v>35257</v>
      </c>
      <c r="B1986" s="196">
        <v>7.4736935224976762E-3</v>
      </c>
      <c r="C1986" s="194" t="s">
        <v>1</v>
      </c>
    </row>
    <row r="1987" spans="1:3" x14ac:dyDescent="0.15">
      <c r="A1987" s="191">
        <v>35258</v>
      </c>
      <c r="B1987" s="196">
        <v>7.4755894650996137E-3</v>
      </c>
      <c r="C1987" s="194" t="s">
        <v>1</v>
      </c>
    </row>
    <row r="1988" spans="1:3" x14ac:dyDescent="0.15">
      <c r="A1988" s="191">
        <v>35259</v>
      </c>
      <c r="B1988" s="196">
        <v>7.4755894650996137E-3</v>
      </c>
      <c r="C1988" s="194" t="s">
        <v>1</v>
      </c>
    </row>
    <row r="1989" spans="1:3" x14ac:dyDescent="0.15">
      <c r="A1989" s="191">
        <v>35260</v>
      </c>
      <c r="B1989" s="196">
        <v>7.4755894650996137E-3</v>
      </c>
      <c r="C1989" s="194" t="s">
        <v>1</v>
      </c>
    </row>
    <row r="1990" spans="1:3" x14ac:dyDescent="0.15">
      <c r="A1990" s="191">
        <v>35261</v>
      </c>
      <c r="B1990" s="196">
        <v>7.4774858886683367E-3</v>
      </c>
      <c r="C1990" s="194" t="s">
        <v>1</v>
      </c>
    </row>
    <row r="1991" spans="1:3" x14ac:dyDescent="0.15">
      <c r="A1991" s="191">
        <v>35262</v>
      </c>
      <c r="B1991" s="196">
        <v>7.4793827933258578E-3</v>
      </c>
      <c r="C1991" s="194" t="s">
        <v>1</v>
      </c>
    </row>
    <row r="1992" spans="1:3" x14ac:dyDescent="0.15">
      <c r="A1992" s="191">
        <v>35263</v>
      </c>
      <c r="B1992" s="196">
        <v>7.481280179194221E-3</v>
      </c>
      <c r="C1992" s="194" t="s">
        <v>1</v>
      </c>
    </row>
    <row r="1993" spans="1:3" x14ac:dyDescent="0.15">
      <c r="A1993" s="191">
        <v>35264</v>
      </c>
      <c r="B1993" s="196">
        <v>7.4831780463955003E-3</v>
      </c>
      <c r="C1993" s="194" t="s">
        <v>1</v>
      </c>
    </row>
    <row r="1994" spans="1:3" x14ac:dyDescent="0.15">
      <c r="A1994" s="191">
        <v>35265</v>
      </c>
      <c r="B1994" s="196">
        <v>7.4850763950518014E-3</v>
      </c>
      <c r="C1994" s="194" t="s">
        <v>1</v>
      </c>
    </row>
    <row r="1995" spans="1:3" x14ac:dyDescent="0.15">
      <c r="A1995" s="191">
        <v>35266</v>
      </c>
      <c r="B1995" s="196">
        <v>7.4850763950518014E-3</v>
      </c>
      <c r="C1995" s="194" t="s">
        <v>1</v>
      </c>
    </row>
    <row r="1996" spans="1:3" x14ac:dyDescent="0.15">
      <c r="A1996" s="191">
        <v>35267</v>
      </c>
      <c r="B1996" s="196">
        <v>7.4850763950518014E-3</v>
      </c>
      <c r="C1996" s="194" t="s">
        <v>1</v>
      </c>
    </row>
    <row r="1997" spans="1:3" x14ac:dyDescent="0.15">
      <c r="A1997" s="191">
        <v>35268</v>
      </c>
      <c r="B1997" s="196">
        <v>7.4869752252852617E-3</v>
      </c>
      <c r="C1997" s="194" t="s">
        <v>1</v>
      </c>
    </row>
    <row r="1998" spans="1:3" x14ac:dyDescent="0.15">
      <c r="A1998" s="191">
        <v>35269</v>
      </c>
      <c r="B1998" s="193">
        <v>7.4888745372180482E-3</v>
      </c>
      <c r="C1998" s="194" t="s">
        <v>1</v>
      </c>
    </row>
    <row r="1999" spans="1:3" x14ac:dyDescent="0.15">
      <c r="A1999" s="191">
        <v>35270</v>
      </c>
      <c r="B1999" s="193">
        <v>7.4907743309723593E-3</v>
      </c>
      <c r="C1999" s="194" t="s">
        <v>1</v>
      </c>
    </row>
    <row r="2000" spans="1:3" x14ac:dyDescent="0.15">
      <c r="A2000" s="191">
        <v>35271</v>
      </c>
      <c r="B2000" s="193">
        <v>7.4926746066704243E-3</v>
      </c>
      <c r="C2000" s="194" t="s">
        <v>1</v>
      </c>
    </row>
    <row r="2001" spans="1:3" x14ac:dyDescent="0.15">
      <c r="A2001" s="191">
        <v>35272</v>
      </c>
      <c r="B2001" s="193">
        <v>7.4945753644345041E-3</v>
      </c>
      <c r="C2001" s="194" t="s">
        <v>1</v>
      </c>
    </row>
    <row r="2002" spans="1:3" x14ac:dyDescent="0.15">
      <c r="A2002" s="191">
        <v>35273</v>
      </c>
      <c r="B2002" s="193">
        <v>7.4945753644345041E-3</v>
      </c>
      <c r="C2002" s="194" t="s">
        <v>1</v>
      </c>
    </row>
    <row r="2003" spans="1:3" x14ac:dyDescent="0.15">
      <c r="A2003" s="191">
        <v>35274</v>
      </c>
      <c r="B2003" s="193">
        <v>7.4945753644345041E-3</v>
      </c>
      <c r="C2003" s="194" t="s">
        <v>1</v>
      </c>
    </row>
    <row r="2004" spans="1:3" x14ac:dyDescent="0.15">
      <c r="A2004" s="191">
        <v>35275</v>
      </c>
      <c r="B2004" s="193">
        <v>7.4964766043868897E-3</v>
      </c>
      <c r="C2004" s="194" t="s">
        <v>1</v>
      </c>
    </row>
    <row r="2005" spans="1:3" x14ac:dyDescent="0.15">
      <c r="A2005" s="191">
        <v>35276</v>
      </c>
      <c r="B2005" s="193">
        <v>7.4983783266499042E-3</v>
      </c>
      <c r="C2005" s="194" t="s">
        <v>1</v>
      </c>
    </row>
    <row r="2006" spans="1:3" x14ac:dyDescent="0.15">
      <c r="A2006" s="191">
        <v>35277</v>
      </c>
      <c r="B2006" s="193">
        <v>7.5002805313459011E-3</v>
      </c>
      <c r="C2006" s="194" t="s">
        <v>1</v>
      </c>
    </row>
    <row r="2007" spans="1:3" x14ac:dyDescent="0.15">
      <c r="A2007" s="191">
        <v>35278</v>
      </c>
      <c r="B2007" s="193">
        <v>7.5021832185972652E-3</v>
      </c>
      <c r="C2007" s="194" t="s">
        <v>1</v>
      </c>
    </row>
    <row r="2008" spans="1:3" x14ac:dyDescent="0.15">
      <c r="A2008" s="191">
        <v>35279</v>
      </c>
      <c r="B2008" s="193">
        <v>7.50441827113688E-3</v>
      </c>
      <c r="C2008" s="194" t="s">
        <v>1</v>
      </c>
    </row>
    <row r="2009" spans="1:3" x14ac:dyDescent="0.15">
      <c r="A2009" s="191">
        <v>35280</v>
      </c>
      <c r="B2009" s="193">
        <v>7.50441827113688E-3</v>
      </c>
      <c r="C2009" s="194" t="s">
        <v>1</v>
      </c>
    </row>
    <row r="2010" spans="1:3" x14ac:dyDescent="0.15">
      <c r="A2010" s="191">
        <v>35281</v>
      </c>
      <c r="B2010" s="193">
        <v>7.50441827113688E-3</v>
      </c>
      <c r="C2010" s="194" t="s">
        <v>1</v>
      </c>
    </row>
    <row r="2011" spans="1:3" x14ac:dyDescent="0.15">
      <c r="A2011" s="191">
        <v>35282</v>
      </c>
      <c r="B2011" s="193">
        <v>7.5066539895439774E-3</v>
      </c>
      <c r="C2011" s="194" t="s">
        <v>1</v>
      </c>
    </row>
    <row r="2012" spans="1:3" x14ac:dyDescent="0.15">
      <c r="A2012" s="191">
        <v>35283</v>
      </c>
      <c r="B2012" s="193">
        <v>7.5088903740169336E-3</v>
      </c>
      <c r="C2012" s="194" t="s">
        <v>1</v>
      </c>
    </row>
    <row r="2013" spans="1:3" x14ac:dyDescent="0.15">
      <c r="A2013" s="191">
        <v>35284</v>
      </c>
      <c r="B2013" s="193">
        <v>7.5111274247541817E-3</v>
      </c>
      <c r="C2013" s="194" t="s">
        <v>1</v>
      </c>
    </row>
    <row r="2014" spans="1:3" x14ac:dyDescent="0.15">
      <c r="A2014" s="191">
        <v>35285</v>
      </c>
      <c r="B2014" s="193">
        <v>7.5133651419542168E-3</v>
      </c>
      <c r="C2014" s="194" t="s">
        <v>1</v>
      </c>
    </row>
    <row r="2015" spans="1:3" x14ac:dyDescent="0.15">
      <c r="A2015" s="191">
        <v>35286</v>
      </c>
      <c r="B2015" s="193">
        <v>7.5156035258155908E-3</v>
      </c>
      <c r="C2015" s="194" t="s">
        <v>1</v>
      </c>
    </row>
    <row r="2016" spans="1:3" x14ac:dyDescent="0.15">
      <c r="A2016" s="191">
        <v>35287</v>
      </c>
      <c r="B2016" s="193">
        <v>7.5156035258155908E-3</v>
      </c>
      <c r="C2016" s="194" t="s">
        <v>1</v>
      </c>
    </row>
    <row r="2017" spans="1:3" x14ac:dyDescent="0.15">
      <c r="A2017" s="191">
        <v>35288</v>
      </c>
      <c r="B2017" s="193">
        <v>7.5156035258155908E-3</v>
      </c>
      <c r="C2017" s="194" t="s">
        <v>1</v>
      </c>
    </row>
    <row r="2018" spans="1:3" x14ac:dyDescent="0.15">
      <c r="A2018" s="191">
        <v>35289</v>
      </c>
      <c r="B2018" s="193">
        <v>7.5178425765369157E-3</v>
      </c>
      <c r="C2018" s="194" t="s">
        <v>1</v>
      </c>
    </row>
    <row r="2019" spans="1:3" x14ac:dyDescent="0.15">
      <c r="A2019" s="191">
        <v>35290</v>
      </c>
      <c r="B2019" s="193">
        <v>7.5200822943168625E-3</v>
      </c>
      <c r="C2019" s="194" t="s">
        <v>1</v>
      </c>
    </row>
    <row r="2020" spans="1:3" x14ac:dyDescent="0.15">
      <c r="A2020" s="191">
        <v>35291</v>
      </c>
      <c r="B2020" s="193">
        <v>7.522322679354162E-3</v>
      </c>
      <c r="C2020" s="194" t="s">
        <v>1</v>
      </c>
    </row>
    <row r="2021" spans="1:3" x14ac:dyDescent="0.15">
      <c r="A2021" s="191">
        <v>35292</v>
      </c>
      <c r="B2021" s="193">
        <v>7.524563731847604E-3</v>
      </c>
      <c r="C2021" s="194" t="s">
        <v>1</v>
      </c>
    </row>
    <row r="2022" spans="1:3" x14ac:dyDescent="0.15">
      <c r="A2022" s="191">
        <v>35293</v>
      </c>
      <c r="B2022" s="193">
        <v>7.5268054519960362E-3</v>
      </c>
      <c r="C2022" s="194" t="s">
        <v>1</v>
      </c>
    </row>
    <row r="2023" spans="1:3" x14ac:dyDescent="0.15">
      <c r="A2023" s="191">
        <v>35294</v>
      </c>
      <c r="B2023" s="193">
        <v>7.5268054519960362E-3</v>
      </c>
      <c r="C2023" s="194" t="s">
        <v>1</v>
      </c>
    </row>
    <row r="2024" spans="1:3" x14ac:dyDescent="0.15">
      <c r="A2024" s="191">
        <v>35295</v>
      </c>
      <c r="B2024" s="193">
        <v>7.5268054519960362E-3</v>
      </c>
      <c r="C2024" s="194" t="s">
        <v>1</v>
      </c>
    </row>
    <row r="2025" spans="1:3" x14ac:dyDescent="0.15">
      <c r="A2025" s="191">
        <v>35296</v>
      </c>
      <c r="B2025" s="193">
        <v>7.5290478399983674E-3</v>
      </c>
      <c r="C2025" s="194" t="s">
        <v>1</v>
      </c>
    </row>
    <row r="2026" spans="1:3" x14ac:dyDescent="0.15">
      <c r="A2026" s="191">
        <v>35297</v>
      </c>
      <c r="B2026" s="193">
        <v>7.5312908960535642E-3</v>
      </c>
      <c r="C2026" s="194" t="s">
        <v>1</v>
      </c>
    </row>
    <row r="2027" spans="1:3" x14ac:dyDescent="0.15">
      <c r="A2027" s="191">
        <v>35298</v>
      </c>
      <c r="B2027" s="193">
        <v>7.5335346203606532E-3</v>
      </c>
      <c r="C2027" s="194" t="s">
        <v>1</v>
      </c>
    </row>
    <row r="2028" spans="1:3" x14ac:dyDescent="0.15">
      <c r="A2028" s="191">
        <v>35299</v>
      </c>
      <c r="B2028" s="193">
        <v>7.5357790131187208E-3</v>
      </c>
      <c r="C2028" s="194" t="s">
        <v>1</v>
      </c>
    </row>
    <row r="2029" spans="1:3" x14ac:dyDescent="0.15">
      <c r="A2029" s="191">
        <v>35300</v>
      </c>
      <c r="B2029" s="196">
        <v>7.5380240745269115E-3</v>
      </c>
      <c r="C2029" s="194" t="s">
        <v>1</v>
      </c>
    </row>
    <row r="2030" spans="1:3" x14ac:dyDescent="0.15">
      <c r="A2030" s="191">
        <v>35301</v>
      </c>
      <c r="B2030" s="196">
        <v>7.5380240745269115E-3</v>
      </c>
      <c r="C2030" s="194" t="s">
        <v>1</v>
      </c>
    </row>
    <row r="2031" spans="1:3" x14ac:dyDescent="0.15">
      <c r="A2031" s="191">
        <v>35302</v>
      </c>
      <c r="B2031" s="196">
        <v>7.5380240745269115E-3</v>
      </c>
      <c r="C2031" s="194" t="s">
        <v>1</v>
      </c>
    </row>
    <row r="2032" spans="1:3" x14ac:dyDescent="0.15">
      <c r="A2032" s="191">
        <v>35303</v>
      </c>
      <c r="B2032" s="196">
        <v>7.5402698047844297E-3</v>
      </c>
      <c r="C2032" s="194" t="s">
        <v>1</v>
      </c>
    </row>
    <row r="2033" spans="1:3" x14ac:dyDescent="0.15">
      <c r="A2033" s="191">
        <v>35304</v>
      </c>
      <c r="B2033" s="196">
        <v>7.5425162040905396E-3</v>
      </c>
      <c r="C2033" s="194" t="s">
        <v>1</v>
      </c>
    </row>
    <row r="2034" spans="1:3" x14ac:dyDescent="0.15">
      <c r="A2034" s="191">
        <v>35305</v>
      </c>
      <c r="B2034" s="196">
        <v>7.5447632726445635E-3</v>
      </c>
      <c r="C2034" s="194" t="s">
        <v>1</v>
      </c>
    </row>
    <row r="2035" spans="1:3" x14ac:dyDescent="0.15">
      <c r="A2035" s="191">
        <v>35306</v>
      </c>
      <c r="B2035" s="196">
        <v>7.5470110106458854E-3</v>
      </c>
      <c r="C2035" s="194" t="s">
        <v>1</v>
      </c>
    </row>
    <row r="2036" spans="1:3" x14ac:dyDescent="0.15">
      <c r="A2036" s="191">
        <v>35307</v>
      </c>
      <c r="B2036" s="196">
        <v>7.5492594182939464E-3</v>
      </c>
      <c r="C2036" s="194" t="s">
        <v>1</v>
      </c>
    </row>
    <row r="2037" spans="1:3" x14ac:dyDescent="0.15">
      <c r="A2037" s="191">
        <v>35308</v>
      </c>
      <c r="B2037" s="196">
        <v>7.5492594182939464E-3</v>
      </c>
      <c r="C2037" s="194" t="s">
        <v>1</v>
      </c>
    </row>
    <row r="2038" spans="1:3" x14ac:dyDescent="0.15">
      <c r="A2038" s="191">
        <v>35309</v>
      </c>
      <c r="B2038" s="196">
        <v>7.5492594182939464E-3</v>
      </c>
      <c r="C2038" s="194" t="s">
        <v>1</v>
      </c>
    </row>
    <row r="2039" spans="1:3" x14ac:dyDescent="0.15">
      <c r="A2039" s="191">
        <v>35310</v>
      </c>
      <c r="B2039" s="196">
        <v>7.5515239125357719E-3</v>
      </c>
      <c r="C2039" s="194" t="s">
        <v>1</v>
      </c>
    </row>
    <row r="2040" spans="1:3" x14ac:dyDescent="0.15">
      <c r="A2040" s="191">
        <v>35311</v>
      </c>
      <c r="B2040" s="196">
        <v>7.5537890860408055E-3</v>
      </c>
      <c r="C2040" s="194" t="s">
        <v>1</v>
      </c>
    </row>
    <row r="2041" spans="1:3" x14ac:dyDescent="0.15">
      <c r="A2041" s="191">
        <v>35312</v>
      </c>
      <c r="B2041" s="196">
        <v>7.5560549390128011E-3</v>
      </c>
      <c r="C2041" s="194" t="s">
        <v>1</v>
      </c>
    </row>
    <row r="2042" spans="1:3" x14ac:dyDescent="0.15">
      <c r="A2042" s="191">
        <v>35313</v>
      </c>
      <c r="B2042" s="196">
        <v>7.5583214716555729E-3</v>
      </c>
      <c r="C2042" s="194" t="s">
        <v>1</v>
      </c>
    </row>
    <row r="2043" spans="1:3" x14ac:dyDescent="0.15">
      <c r="A2043" s="191">
        <v>35314</v>
      </c>
      <c r="B2043" s="196">
        <v>7.5605886841729961E-3</v>
      </c>
      <c r="C2043" s="194" t="s">
        <v>1</v>
      </c>
    </row>
    <row r="2044" spans="1:3" x14ac:dyDescent="0.15">
      <c r="A2044" s="191">
        <v>35315</v>
      </c>
      <c r="B2044" s="196">
        <v>7.5605886841729961E-3</v>
      </c>
      <c r="C2044" s="194" t="s">
        <v>1</v>
      </c>
    </row>
    <row r="2045" spans="1:3" x14ac:dyDescent="0.15">
      <c r="A2045" s="191">
        <v>35316</v>
      </c>
      <c r="B2045" s="196">
        <v>7.5605886841729961E-3</v>
      </c>
      <c r="C2045" s="194" t="s">
        <v>1</v>
      </c>
    </row>
    <row r="2046" spans="1:3" x14ac:dyDescent="0.15">
      <c r="A2046" s="191">
        <v>35317</v>
      </c>
      <c r="B2046" s="196">
        <v>7.5628565767690082E-3</v>
      </c>
      <c r="C2046" s="194" t="s">
        <v>1</v>
      </c>
    </row>
    <row r="2047" spans="1:3" x14ac:dyDescent="0.15">
      <c r="A2047" s="191">
        <v>35318</v>
      </c>
      <c r="B2047" s="196">
        <v>7.5651251496476066E-3</v>
      </c>
      <c r="C2047" s="194" t="s">
        <v>1</v>
      </c>
    </row>
    <row r="2048" spans="1:3" x14ac:dyDescent="0.15">
      <c r="A2048" s="191">
        <v>35319</v>
      </c>
      <c r="B2048" s="196">
        <v>7.5673944030128512E-3</v>
      </c>
      <c r="C2048" s="194" t="s">
        <v>1</v>
      </c>
    </row>
    <row r="2049" spans="1:3" x14ac:dyDescent="0.15">
      <c r="A2049" s="191">
        <v>35320</v>
      </c>
      <c r="B2049" s="196">
        <v>7.5696643370688618E-3</v>
      </c>
      <c r="C2049" s="194" t="s">
        <v>1</v>
      </c>
    </row>
    <row r="2050" spans="1:3" x14ac:dyDescent="0.15">
      <c r="A2050" s="191">
        <v>35321</v>
      </c>
      <c r="B2050" s="196">
        <v>7.5719349520198204E-3</v>
      </c>
      <c r="C2050" s="194" t="s">
        <v>1</v>
      </c>
    </row>
    <row r="2051" spans="1:3" x14ac:dyDescent="0.15">
      <c r="A2051" s="191">
        <v>35322</v>
      </c>
      <c r="B2051" s="196">
        <v>7.5719349520198204E-3</v>
      </c>
      <c r="C2051" s="194" t="s">
        <v>1</v>
      </c>
    </row>
    <row r="2052" spans="1:3" x14ac:dyDescent="0.15">
      <c r="A2052" s="191">
        <v>35323</v>
      </c>
      <c r="B2052" s="196">
        <v>7.5719349520198204E-3</v>
      </c>
      <c r="C2052" s="194" t="s">
        <v>1</v>
      </c>
    </row>
    <row r="2053" spans="1:3" x14ac:dyDescent="0.15">
      <c r="A2053" s="191">
        <v>35324</v>
      </c>
      <c r="B2053" s="196">
        <v>7.5742062480699699E-3</v>
      </c>
      <c r="C2053" s="194" t="s">
        <v>1</v>
      </c>
    </row>
    <row r="2054" spans="1:3" x14ac:dyDescent="0.15">
      <c r="A2054" s="191">
        <v>35325</v>
      </c>
      <c r="B2054" s="196">
        <v>7.5764782254236149E-3</v>
      </c>
      <c r="C2054" s="194" t="s">
        <v>1</v>
      </c>
    </row>
    <row r="2055" spans="1:3" x14ac:dyDescent="0.15">
      <c r="A2055" s="191">
        <v>35326</v>
      </c>
      <c r="B2055" s="196">
        <v>7.5787508842851204E-3</v>
      </c>
      <c r="C2055" s="194" t="s">
        <v>1</v>
      </c>
    </row>
    <row r="2056" spans="1:3" x14ac:dyDescent="0.15">
      <c r="A2056" s="191">
        <v>35327</v>
      </c>
      <c r="B2056" s="196">
        <v>7.5810242248589132E-3</v>
      </c>
      <c r="C2056" s="194" t="s">
        <v>1</v>
      </c>
    </row>
    <row r="2057" spans="1:3" x14ac:dyDescent="0.15">
      <c r="A2057" s="191">
        <v>35328</v>
      </c>
      <c r="B2057" s="196">
        <v>7.5832982473494816E-3</v>
      </c>
      <c r="C2057" s="194" t="s">
        <v>1</v>
      </c>
    </row>
    <row r="2058" spans="1:3" x14ac:dyDescent="0.15">
      <c r="A2058" s="191">
        <v>35329</v>
      </c>
      <c r="B2058" s="196">
        <v>7.5832982473494816E-3</v>
      </c>
      <c r="C2058" s="194" t="s">
        <v>1</v>
      </c>
    </row>
    <row r="2059" spans="1:3" x14ac:dyDescent="0.15">
      <c r="A2059" s="191">
        <v>35330</v>
      </c>
      <c r="B2059" s="196">
        <v>7.5832982473494816E-3</v>
      </c>
      <c r="C2059" s="194" t="s">
        <v>1</v>
      </c>
    </row>
    <row r="2060" spans="1:3" x14ac:dyDescent="0.15">
      <c r="A2060" s="191">
        <v>35331</v>
      </c>
      <c r="B2060" s="196">
        <v>7.5855729519613748E-3</v>
      </c>
      <c r="C2060" s="194" t="s">
        <v>1</v>
      </c>
    </row>
    <row r="2061" spans="1:3" x14ac:dyDescent="0.15">
      <c r="A2061" s="191">
        <v>35332</v>
      </c>
      <c r="B2061" s="196">
        <v>7.5878483388992033E-3</v>
      </c>
      <c r="C2061" s="194" t="s">
        <v>1</v>
      </c>
    </row>
    <row r="2062" spans="1:3" x14ac:dyDescent="0.15">
      <c r="A2062" s="191">
        <v>35333</v>
      </c>
      <c r="B2062" s="196">
        <v>7.5901244083676394E-3</v>
      </c>
      <c r="C2062" s="194" t="s">
        <v>1</v>
      </c>
    </row>
    <row r="2063" spans="1:3" x14ac:dyDescent="0.15">
      <c r="A2063" s="191">
        <v>35334</v>
      </c>
      <c r="B2063" s="196">
        <v>7.5924011605714168E-3</v>
      </c>
      <c r="C2063" s="194" t="s">
        <v>1</v>
      </c>
    </row>
    <row r="2064" spans="1:3" x14ac:dyDescent="0.15">
      <c r="A2064" s="191">
        <v>35335</v>
      </c>
      <c r="B2064" s="196">
        <v>7.5946785957153309E-3</v>
      </c>
      <c r="C2064" s="194" t="s">
        <v>1</v>
      </c>
    </row>
    <row r="2065" spans="1:3" x14ac:dyDescent="0.15">
      <c r="A2065" s="191">
        <v>35336</v>
      </c>
      <c r="B2065" s="196">
        <v>7.5946785957153309E-3</v>
      </c>
      <c r="C2065" s="194" t="s">
        <v>1</v>
      </c>
    </row>
    <row r="2066" spans="1:3" x14ac:dyDescent="0.15">
      <c r="A2066" s="191">
        <v>35337</v>
      </c>
      <c r="B2066" s="196">
        <v>7.5946785957153309E-3</v>
      </c>
      <c r="C2066" s="194" t="s">
        <v>1</v>
      </c>
    </row>
    <row r="2067" spans="1:3" x14ac:dyDescent="0.15">
      <c r="A2067" s="191">
        <v>35338</v>
      </c>
      <c r="B2067" s="196">
        <v>7.596956714004237E-3</v>
      </c>
      <c r="C2067" s="194" t="s">
        <v>1</v>
      </c>
    </row>
    <row r="2068" spans="1:3" x14ac:dyDescent="0.15">
      <c r="A2068" s="191">
        <v>35339</v>
      </c>
      <c r="B2068" s="196">
        <v>7.5992355156430536E-3</v>
      </c>
      <c r="C2068" s="194" t="s">
        <v>1</v>
      </c>
    </row>
    <row r="2069" spans="1:3" x14ac:dyDescent="0.15">
      <c r="A2069" s="191">
        <v>35340</v>
      </c>
      <c r="B2069" s="196">
        <v>7.6016781089881906E-3</v>
      </c>
      <c r="C2069" s="194" t="s">
        <v>1</v>
      </c>
    </row>
    <row r="2070" spans="1:3" x14ac:dyDescent="0.15">
      <c r="A2070" s="191">
        <v>35341</v>
      </c>
      <c r="B2070" s="196">
        <v>7.6041214874468088E-3</v>
      </c>
      <c r="C2070" s="194" t="s">
        <v>1</v>
      </c>
    </row>
    <row r="2071" spans="1:3" x14ac:dyDescent="0.15">
      <c r="A2071" s="191">
        <v>35342</v>
      </c>
      <c r="B2071" s="196">
        <v>7.6065656512712635E-3</v>
      </c>
      <c r="C2071" s="194" t="s">
        <v>1</v>
      </c>
    </row>
    <row r="2072" spans="1:3" x14ac:dyDescent="0.15">
      <c r="A2072" s="191">
        <v>35343</v>
      </c>
      <c r="B2072" s="196">
        <v>7.6065656512712635E-3</v>
      </c>
      <c r="C2072" s="194" t="s">
        <v>1</v>
      </c>
    </row>
    <row r="2073" spans="1:3" x14ac:dyDescent="0.15">
      <c r="A2073" s="191">
        <v>35344</v>
      </c>
      <c r="B2073" s="196">
        <v>7.6065656512712635E-3</v>
      </c>
      <c r="C2073" s="194" t="s">
        <v>1</v>
      </c>
    </row>
    <row r="2074" spans="1:3" x14ac:dyDescent="0.15">
      <c r="A2074" s="191">
        <v>35345</v>
      </c>
      <c r="B2074" s="196">
        <v>7.6090106007139927E-3</v>
      </c>
      <c r="C2074" s="194" t="s">
        <v>1</v>
      </c>
    </row>
    <row r="2075" spans="1:3" x14ac:dyDescent="0.15">
      <c r="A2075" s="191">
        <v>35346</v>
      </c>
      <c r="B2075" s="196">
        <v>7.6114563360275148E-3</v>
      </c>
      <c r="C2075" s="194" t="s">
        <v>1</v>
      </c>
    </row>
    <row r="2076" spans="1:3" x14ac:dyDescent="0.15">
      <c r="A2076" s="191">
        <v>35347</v>
      </c>
      <c r="B2076" s="196">
        <v>7.613902857464429E-3</v>
      </c>
      <c r="C2076" s="194" t="s">
        <v>1</v>
      </c>
    </row>
    <row r="2077" spans="1:3" x14ac:dyDescent="0.15">
      <c r="A2077" s="191">
        <v>35348</v>
      </c>
      <c r="B2077" s="196">
        <v>7.6163501652774159E-3</v>
      </c>
      <c r="C2077" s="194" t="s">
        <v>1</v>
      </c>
    </row>
    <row r="2078" spans="1:3" x14ac:dyDescent="0.15">
      <c r="A2078" s="191">
        <v>35349</v>
      </c>
      <c r="B2078" s="196">
        <v>7.618798259719237E-3</v>
      </c>
      <c r="C2078" s="194" t="s">
        <v>1</v>
      </c>
    </row>
    <row r="2079" spans="1:3" x14ac:dyDescent="0.15">
      <c r="A2079" s="191">
        <v>35350</v>
      </c>
      <c r="B2079" s="196">
        <v>7.618798259719237E-3</v>
      </c>
      <c r="C2079" s="194" t="s">
        <v>1</v>
      </c>
    </row>
    <row r="2080" spans="1:3" x14ac:dyDescent="0.15">
      <c r="A2080" s="191">
        <v>35351</v>
      </c>
      <c r="B2080" s="196">
        <v>7.618798259719237E-3</v>
      </c>
      <c r="C2080" s="194" t="s">
        <v>1</v>
      </c>
    </row>
    <row r="2081" spans="1:3" x14ac:dyDescent="0.15">
      <c r="A2081" s="191">
        <v>35352</v>
      </c>
      <c r="B2081" s="196">
        <v>7.6212471410427359E-3</v>
      </c>
      <c r="C2081" s="194" t="s">
        <v>1</v>
      </c>
    </row>
    <row r="2082" spans="1:3" x14ac:dyDescent="0.15">
      <c r="A2082" s="191">
        <v>35353</v>
      </c>
      <c r="B2082" s="196">
        <v>7.6236968095008371E-3</v>
      </c>
      <c r="C2082" s="194" t="s">
        <v>1</v>
      </c>
    </row>
    <row r="2083" spans="1:3" x14ac:dyDescent="0.15">
      <c r="A2083" s="191">
        <v>35354</v>
      </c>
      <c r="B2083" s="196">
        <v>7.6261472653465457E-3</v>
      </c>
      <c r="C2083" s="194" t="s">
        <v>1</v>
      </c>
    </row>
    <row r="2084" spans="1:3" x14ac:dyDescent="0.15">
      <c r="A2084" s="191">
        <v>35355</v>
      </c>
      <c r="B2084" s="196">
        <v>7.6285985088329492E-3</v>
      </c>
      <c r="C2084" s="194" t="s">
        <v>1</v>
      </c>
    </row>
    <row r="2085" spans="1:3" x14ac:dyDescent="0.15">
      <c r="A2085" s="191">
        <v>35356</v>
      </c>
      <c r="B2085" s="196">
        <v>7.6310505402132156E-3</v>
      </c>
      <c r="C2085" s="194" t="s">
        <v>1</v>
      </c>
    </row>
    <row r="2086" spans="1:3" x14ac:dyDescent="0.15">
      <c r="A2086" s="191">
        <v>35357</v>
      </c>
      <c r="B2086" s="196">
        <v>7.6310505402132156E-3</v>
      </c>
      <c r="C2086" s="194" t="s">
        <v>1</v>
      </c>
    </row>
    <row r="2087" spans="1:3" x14ac:dyDescent="0.15">
      <c r="A2087" s="191">
        <v>35358</v>
      </c>
      <c r="B2087" s="196">
        <v>7.6310505402132156E-3</v>
      </c>
      <c r="C2087" s="194" t="s">
        <v>1</v>
      </c>
    </row>
    <row r="2088" spans="1:3" x14ac:dyDescent="0.15">
      <c r="A2088" s="191">
        <v>35359</v>
      </c>
      <c r="B2088" s="196">
        <v>7.6335033597405956E-3</v>
      </c>
      <c r="C2088" s="194" t="s">
        <v>1</v>
      </c>
    </row>
    <row r="2089" spans="1:3" x14ac:dyDescent="0.15">
      <c r="A2089" s="191">
        <v>35360</v>
      </c>
      <c r="B2089" s="196">
        <v>7.6359569676684195E-3</v>
      </c>
      <c r="C2089" s="194" t="s">
        <v>1</v>
      </c>
    </row>
    <row r="2090" spans="1:3" x14ac:dyDescent="0.15">
      <c r="A2090" s="191">
        <v>35361</v>
      </c>
      <c r="B2090" s="196">
        <v>7.6384113642501E-3</v>
      </c>
      <c r="C2090" s="194" t="s">
        <v>1</v>
      </c>
    </row>
    <row r="2091" spans="1:3" x14ac:dyDescent="0.15">
      <c r="A2091" s="191">
        <v>35362</v>
      </c>
      <c r="B2091" s="196">
        <v>7.6408665497391306E-3</v>
      </c>
      <c r="C2091" s="194" t="s">
        <v>1</v>
      </c>
    </row>
    <row r="2092" spans="1:3" x14ac:dyDescent="0.15">
      <c r="A2092" s="191">
        <v>35363</v>
      </c>
      <c r="B2092" s="196">
        <v>7.643322524389087E-3</v>
      </c>
      <c r="C2092" s="194" t="s">
        <v>1</v>
      </c>
    </row>
    <row r="2093" spans="1:3" x14ac:dyDescent="0.15">
      <c r="A2093" s="191">
        <v>35364</v>
      </c>
      <c r="B2093" s="196">
        <v>7.643322524389087E-3</v>
      </c>
      <c r="C2093" s="194" t="s">
        <v>1</v>
      </c>
    </row>
    <row r="2094" spans="1:3" x14ac:dyDescent="0.15">
      <c r="A2094" s="191">
        <v>35365</v>
      </c>
      <c r="B2094" s="196">
        <v>7.643322524389087E-3</v>
      </c>
      <c r="C2094" s="194" t="s">
        <v>1</v>
      </c>
    </row>
    <row r="2095" spans="1:3" x14ac:dyDescent="0.15">
      <c r="A2095" s="191">
        <v>35366</v>
      </c>
      <c r="B2095" s="196">
        <v>7.6457792884536266E-3</v>
      </c>
      <c r="C2095" s="194" t="s">
        <v>1</v>
      </c>
    </row>
    <row r="2096" spans="1:3" x14ac:dyDescent="0.15">
      <c r="A2096" s="191">
        <v>35367</v>
      </c>
      <c r="B2096" s="196">
        <v>7.6482368421864882E-3</v>
      </c>
      <c r="C2096" s="194" t="s">
        <v>1</v>
      </c>
    </row>
    <row r="2097" spans="1:3" x14ac:dyDescent="0.15">
      <c r="A2097" s="191">
        <v>35368</v>
      </c>
      <c r="B2097" s="196">
        <v>7.6506951858414914E-3</v>
      </c>
      <c r="C2097" s="194" t="s">
        <v>1</v>
      </c>
    </row>
    <row r="2098" spans="1:3" x14ac:dyDescent="0.15">
      <c r="A2098" s="191">
        <v>35369</v>
      </c>
      <c r="B2098" s="196">
        <v>7.6531543196725373E-3</v>
      </c>
      <c r="C2098" s="194" t="s">
        <v>1</v>
      </c>
    </row>
    <row r="2099" spans="1:3" x14ac:dyDescent="0.15">
      <c r="A2099" s="191">
        <v>35370</v>
      </c>
      <c r="B2099" s="196">
        <v>7.6556142439336101E-3</v>
      </c>
      <c r="C2099" s="194" t="s">
        <v>1</v>
      </c>
    </row>
    <row r="2100" spans="1:3" x14ac:dyDescent="0.15">
      <c r="A2100" s="191">
        <v>35371</v>
      </c>
      <c r="B2100" s="196">
        <v>7.6556142439336101E-3</v>
      </c>
      <c r="C2100" s="194" t="s">
        <v>1</v>
      </c>
    </row>
    <row r="2101" spans="1:3" x14ac:dyDescent="0.15">
      <c r="A2101" s="191">
        <v>35372</v>
      </c>
      <c r="B2101" s="196">
        <v>7.6556142439336101E-3</v>
      </c>
      <c r="C2101" s="194" t="s">
        <v>1</v>
      </c>
    </row>
    <row r="2102" spans="1:3" x14ac:dyDescent="0.15">
      <c r="A2102" s="191">
        <v>35373</v>
      </c>
      <c r="B2102" s="196">
        <v>7.6588838894089102E-3</v>
      </c>
      <c r="C2102" s="194" t="s">
        <v>1</v>
      </c>
    </row>
    <row r="2103" spans="1:3" x14ac:dyDescent="0.15">
      <c r="A2103" s="191">
        <v>35374</v>
      </c>
      <c r="B2103" s="196">
        <v>7.6621549313210203E-3</v>
      </c>
      <c r="C2103" s="194" t="s">
        <v>1</v>
      </c>
    </row>
    <row r="2104" spans="1:3" x14ac:dyDescent="0.15">
      <c r="A2104" s="191">
        <v>35375</v>
      </c>
      <c r="B2104" s="196">
        <v>7.6654273702663469E-3</v>
      </c>
      <c r="C2104" s="194" t="s">
        <v>1</v>
      </c>
    </row>
    <row r="2105" spans="1:3" x14ac:dyDescent="0.15">
      <c r="A2105" s="191">
        <v>35376</v>
      </c>
      <c r="B2105" s="196">
        <v>7.66870120684155E-3</v>
      </c>
      <c r="C2105" s="194" t="s">
        <v>1</v>
      </c>
    </row>
    <row r="2106" spans="1:3" x14ac:dyDescent="0.15">
      <c r="A2106" s="191">
        <v>35377</v>
      </c>
      <c r="B2106" s="196">
        <v>7.6719764416435451E-3</v>
      </c>
      <c r="C2106" s="194" t="s">
        <v>1</v>
      </c>
    </row>
    <row r="2107" spans="1:3" x14ac:dyDescent="0.15">
      <c r="A2107" s="191">
        <v>35378</v>
      </c>
      <c r="B2107" s="196">
        <v>7.6719764416435451E-3</v>
      </c>
      <c r="C2107" s="194" t="s">
        <v>1</v>
      </c>
    </row>
    <row r="2108" spans="1:3" x14ac:dyDescent="0.15">
      <c r="A2108" s="191">
        <v>35379</v>
      </c>
      <c r="B2108" s="196">
        <v>7.6719764416435451E-3</v>
      </c>
      <c r="C2108" s="194" t="s">
        <v>1</v>
      </c>
    </row>
    <row r="2109" spans="1:3" x14ac:dyDescent="0.15">
      <c r="A2109" s="191">
        <v>35380</v>
      </c>
      <c r="B2109" s="196">
        <v>7.6752530752695024E-3</v>
      </c>
      <c r="C2109" s="194" t="s">
        <v>1</v>
      </c>
    </row>
    <row r="2110" spans="1:3" x14ac:dyDescent="0.15">
      <c r="A2110" s="191">
        <v>35381</v>
      </c>
      <c r="B2110" s="196">
        <v>7.6785311083168474E-3</v>
      </c>
      <c r="C2110" s="194" t="s">
        <v>1</v>
      </c>
    </row>
    <row r="2111" spans="1:3" x14ac:dyDescent="0.15">
      <c r="A2111" s="191">
        <v>35382</v>
      </c>
      <c r="B2111" s="196">
        <v>7.681810541383261E-3</v>
      </c>
      <c r="C2111" s="194" t="s">
        <v>1</v>
      </c>
    </row>
    <row r="2112" spans="1:3" x14ac:dyDescent="0.15">
      <c r="A2112" s="191">
        <v>35383</v>
      </c>
      <c r="B2112" s="196">
        <v>7.685091375066678E-3</v>
      </c>
      <c r="C2112" s="194" t="s">
        <v>1</v>
      </c>
    </row>
    <row r="2113" spans="1:3" x14ac:dyDescent="0.15">
      <c r="A2113" s="191">
        <v>35384</v>
      </c>
      <c r="B2113" s="196">
        <v>7.685091375066678E-3</v>
      </c>
      <c r="C2113" s="194" t="s">
        <v>1</v>
      </c>
    </row>
    <row r="2114" spans="1:3" x14ac:dyDescent="0.15">
      <c r="A2114" s="191">
        <v>35385</v>
      </c>
      <c r="B2114" s="196">
        <v>7.685091375066678E-3</v>
      </c>
      <c r="C2114" s="194" t="s">
        <v>1</v>
      </c>
    </row>
    <row r="2115" spans="1:3" x14ac:dyDescent="0.15">
      <c r="A2115" s="191">
        <v>35386</v>
      </c>
      <c r="B2115" s="196">
        <v>7.685091375066678E-3</v>
      </c>
      <c r="C2115" s="194" t="s">
        <v>1</v>
      </c>
    </row>
    <row r="2116" spans="1:3" x14ac:dyDescent="0.15">
      <c r="A2116" s="191">
        <v>35387</v>
      </c>
      <c r="B2116" s="196">
        <v>7.688373609965291E-3</v>
      </c>
      <c r="C2116" s="194" t="s">
        <v>1</v>
      </c>
    </row>
    <row r="2117" spans="1:3" x14ac:dyDescent="0.15">
      <c r="A2117" s="191">
        <v>35388</v>
      </c>
      <c r="B2117" s="196">
        <v>7.6916572466775458E-3</v>
      </c>
      <c r="C2117" s="194" t="s">
        <v>1</v>
      </c>
    </row>
    <row r="2118" spans="1:3" x14ac:dyDescent="0.15">
      <c r="A2118" s="191">
        <v>35389</v>
      </c>
      <c r="B2118" s="196">
        <v>7.6949422858021447E-3</v>
      </c>
      <c r="C2118" s="194" t="s">
        <v>1</v>
      </c>
    </row>
    <row r="2119" spans="1:3" x14ac:dyDescent="0.15">
      <c r="A2119" s="191">
        <v>35390</v>
      </c>
      <c r="B2119" s="196">
        <v>7.6982287279380463E-3</v>
      </c>
      <c r="C2119" s="194" t="s">
        <v>1</v>
      </c>
    </row>
    <row r="2120" spans="1:3" x14ac:dyDescent="0.15">
      <c r="A2120" s="191">
        <v>35391</v>
      </c>
      <c r="B2120" s="196">
        <v>7.7015165736844639E-3</v>
      </c>
      <c r="C2120" s="194" t="s">
        <v>1</v>
      </c>
    </row>
    <row r="2121" spans="1:3" x14ac:dyDescent="0.15">
      <c r="A2121" s="191">
        <v>35392</v>
      </c>
      <c r="B2121" s="196">
        <v>7.7015165736844639E-3</v>
      </c>
      <c r="C2121" s="194" t="s">
        <v>1</v>
      </c>
    </row>
    <row r="2122" spans="1:3" x14ac:dyDescent="0.15">
      <c r="A2122" s="191">
        <v>35393</v>
      </c>
      <c r="B2122" s="196">
        <v>7.7015165736844639E-3</v>
      </c>
      <c r="C2122" s="194" t="s">
        <v>1</v>
      </c>
    </row>
    <row r="2123" spans="1:3" x14ac:dyDescent="0.15">
      <c r="A2123" s="191">
        <v>35394</v>
      </c>
      <c r="B2123" s="196">
        <v>7.7048058236408668E-3</v>
      </c>
      <c r="C2123" s="194" t="s">
        <v>1</v>
      </c>
    </row>
    <row r="2124" spans="1:3" x14ac:dyDescent="0.15">
      <c r="A2124" s="191">
        <v>35395</v>
      </c>
      <c r="B2124" s="196">
        <v>7.7080964784069809E-3</v>
      </c>
      <c r="C2124" s="194" t="s">
        <v>1</v>
      </c>
    </row>
    <row r="2125" spans="1:3" x14ac:dyDescent="0.15">
      <c r="A2125" s="191">
        <v>35396</v>
      </c>
      <c r="B2125" s="196">
        <v>7.7113885385827891E-3</v>
      </c>
      <c r="C2125" s="194" t="s">
        <v>1</v>
      </c>
    </row>
    <row r="2126" spans="1:3" x14ac:dyDescent="0.15">
      <c r="A2126" s="191">
        <v>35397</v>
      </c>
      <c r="B2126" s="196">
        <v>7.7146820047685281E-3</v>
      </c>
      <c r="C2126" s="194" t="s">
        <v>1</v>
      </c>
    </row>
    <row r="2127" spans="1:3" x14ac:dyDescent="0.15">
      <c r="A2127" s="191">
        <v>35398</v>
      </c>
      <c r="B2127" s="196">
        <v>7.7179768775646933E-3</v>
      </c>
      <c r="C2127" s="194" t="s">
        <v>1</v>
      </c>
    </row>
    <row r="2128" spans="1:3" x14ac:dyDescent="0.15">
      <c r="A2128" s="191">
        <v>35399</v>
      </c>
      <c r="B2128" s="196">
        <v>7.7179768775646933E-3</v>
      </c>
      <c r="C2128" s="194" t="s">
        <v>1</v>
      </c>
    </row>
    <row r="2129" spans="1:3" x14ac:dyDescent="0.15">
      <c r="A2129" s="191">
        <v>35400</v>
      </c>
      <c r="B2129" s="196">
        <v>7.7179768775646933E-3</v>
      </c>
      <c r="C2129" s="194" t="s">
        <v>1</v>
      </c>
    </row>
    <row r="2130" spans="1:3" x14ac:dyDescent="0.15">
      <c r="A2130" s="191">
        <v>35401</v>
      </c>
      <c r="B2130" s="196">
        <v>7.7211673495863062E-3</v>
      </c>
      <c r="C2130" s="194" t="s">
        <v>1</v>
      </c>
    </row>
    <row r="2131" spans="1:3" x14ac:dyDescent="0.15">
      <c r="A2131" s="191">
        <v>35402</v>
      </c>
      <c r="B2131" s="196">
        <v>7.7243591404913365E-3</v>
      </c>
      <c r="C2131" s="194" t="s">
        <v>1</v>
      </c>
    </row>
    <row r="2132" spans="1:3" x14ac:dyDescent="0.15">
      <c r="A2132" s="191">
        <v>35403</v>
      </c>
      <c r="B2132" s="196">
        <v>7.727552250824987E-3</v>
      </c>
      <c r="C2132" s="194" t="s">
        <v>1</v>
      </c>
    </row>
    <row r="2133" spans="1:3" x14ac:dyDescent="0.15">
      <c r="A2133" s="191">
        <v>35404</v>
      </c>
      <c r="B2133" s="196">
        <v>7.730746681132686E-3</v>
      </c>
      <c r="C2133" s="194" t="s">
        <v>1</v>
      </c>
    </row>
    <row r="2134" spans="1:3" x14ac:dyDescent="0.15">
      <c r="A2134" s="191">
        <v>35405</v>
      </c>
      <c r="B2134" s="196">
        <v>7.7339424319600863E-3</v>
      </c>
      <c r="C2134" s="194" t="s">
        <v>1</v>
      </c>
    </row>
    <row r="2135" spans="1:3" x14ac:dyDescent="0.15">
      <c r="A2135" s="191">
        <v>35406</v>
      </c>
      <c r="B2135" s="196">
        <v>7.7339424319600863E-3</v>
      </c>
      <c r="C2135" s="194" t="s">
        <v>1</v>
      </c>
    </row>
    <row r="2136" spans="1:3" x14ac:dyDescent="0.15">
      <c r="A2136" s="191">
        <v>35407</v>
      </c>
      <c r="B2136" s="196">
        <v>7.7339424319600863E-3</v>
      </c>
      <c r="C2136" s="194" t="s">
        <v>1</v>
      </c>
    </row>
    <row r="2137" spans="1:3" x14ac:dyDescent="0.15">
      <c r="A2137" s="191">
        <v>35408</v>
      </c>
      <c r="B2137" s="196">
        <v>7.7371395038530666E-3</v>
      </c>
      <c r="C2137" s="194" t="s">
        <v>1</v>
      </c>
    </row>
    <row r="2138" spans="1:3" x14ac:dyDescent="0.15">
      <c r="A2138" s="191">
        <v>35409</v>
      </c>
      <c r="B2138" s="196">
        <v>7.7403378973577323E-3</v>
      </c>
      <c r="C2138" s="194" t="s">
        <v>1</v>
      </c>
    </row>
    <row r="2139" spans="1:3" x14ac:dyDescent="0.15">
      <c r="A2139" s="191">
        <v>35410</v>
      </c>
      <c r="B2139" s="196">
        <v>7.7435376130204131E-3</v>
      </c>
      <c r="C2139" s="194" t="s">
        <v>1</v>
      </c>
    </row>
    <row r="2140" spans="1:3" x14ac:dyDescent="0.15">
      <c r="A2140" s="191">
        <v>35411</v>
      </c>
      <c r="B2140" s="196">
        <v>7.7467386513876656E-3</v>
      </c>
      <c r="C2140" s="194" t="s">
        <v>1</v>
      </c>
    </row>
    <row r="2141" spans="1:3" x14ac:dyDescent="0.15">
      <c r="A2141" s="191">
        <v>35412</v>
      </c>
      <c r="B2141" s="196">
        <v>7.7499410130062712E-3</v>
      </c>
      <c r="C2141" s="194" t="s">
        <v>1</v>
      </c>
    </row>
    <row r="2142" spans="1:3" x14ac:dyDescent="0.15">
      <c r="A2142" s="191">
        <v>35413</v>
      </c>
      <c r="B2142" s="196">
        <v>7.7499410130062712E-3</v>
      </c>
      <c r="C2142" s="194" t="s">
        <v>1</v>
      </c>
    </row>
    <row r="2143" spans="1:3" x14ac:dyDescent="0.15">
      <c r="A2143" s="191">
        <v>35414</v>
      </c>
      <c r="B2143" s="196">
        <v>7.7499410130062712E-3</v>
      </c>
      <c r="C2143" s="194" t="s">
        <v>1</v>
      </c>
    </row>
    <row r="2144" spans="1:3" x14ac:dyDescent="0.15">
      <c r="A2144" s="191">
        <v>35415</v>
      </c>
      <c r="B2144" s="196">
        <v>7.7531446984232385E-3</v>
      </c>
      <c r="C2144" s="194" t="s">
        <v>1</v>
      </c>
    </row>
    <row r="2145" spans="1:3" x14ac:dyDescent="0.15">
      <c r="A2145" s="191">
        <v>35416</v>
      </c>
      <c r="B2145" s="196">
        <v>7.7563497081858026E-3</v>
      </c>
      <c r="C2145" s="194" t="s">
        <v>1</v>
      </c>
    </row>
    <row r="2146" spans="1:3" x14ac:dyDescent="0.15">
      <c r="A2146" s="191">
        <v>35417</v>
      </c>
      <c r="B2146" s="196">
        <v>7.759556042841423E-3</v>
      </c>
      <c r="C2146" s="194" t="s">
        <v>1</v>
      </c>
    </row>
    <row r="2147" spans="1:3" x14ac:dyDescent="0.15">
      <c r="A2147" s="191">
        <v>35418</v>
      </c>
      <c r="B2147" s="196">
        <v>7.7627637029377868E-3</v>
      </c>
      <c r="C2147" s="194" t="s">
        <v>1</v>
      </c>
    </row>
    <row r="2148" spans="1:3" x14ac:dyDescent="0.15">
      <c r="A2148" s="191">
        <v>35419</v>
      </c>
      <c r="B2148" s="196">
        <v>7.765972689022807E-3</v>
      </c>
      <c r="C2148" s="194" t="s">
        <v>1</v>
      </c>
    </row>
    <row r="2149" spans="1:3" x14ac:dyDescent="0.15">
      <c r="A2149" s="191">
        <v>35420</v>
      </c>
      <c r="B2149" s="196">
        <v>7.765972689022807E-3</v>
      </c>
      <c r="C2149" s="194" t="s">
        <v>1</v>
      </c>
    </row>
    <row r="2150" spans="1:3" x14ac:dyDescent="0.15">
      <c r="A2150" s="191">
        <v>35421</v>
      </c>
      <c r="B2150" s="196">
        <v>7.765972689022807E-3</v>
      </c>
      <c r="C2150" s="194" t="s">
        <v>1</v>
      </c>
    </row>
    <row r="2151" spans="1:3" x14ac:dyDescent="0.15">
      <c r="A2151" s="191">
        <v>35422</v>
      </c>
      <c r="B2151" s="196">
        <v>7.7691830016446244E-3</v>
      </c>
      <c r="C2151" s="194" t="s">
        <v>1</v>
      </c>
    </row>
    <row r="2152" spans="1:3" x14ac:dyDescent="0.15">
      <c r="A2152" s="191">
        <v>35423</v>
      </c>
      <c r="B2152" s="196">
        <v>7.7723946413516039E-3</v>
      </c>
      <c r="C2152" s="194" t="s">
        <v>1</v>
      </c>
    </row>
    <row r="2153" spans="1:3" x14ac:dyDescent="0.15">
      <c r="A2153" s="191">
        <v>35424</v>
      </c>
      <c r="B2153" s="196">
        <v>7.7723946413516039E-3</v>
      </c>
      <c r="C2153" s="194" t="s">
        <v>1</v>
      </c>
    </row>
    <row r="2154" spans="1:3" x14ac:dyDescent="0.15">
      <c r="A2154" s="191">
        <v>35425</v>
      </c>
      <c r="B2154" s="196">
        <v>7.7756076086923391E-3</v>
      </c>
      <c r="C2154" s="194" t="s">
        <v>1</v>
      </c>
    </row>
    <row r="2155" spans="1:3" x14ac:dyDescent="0.15">
      <c r="A2155" s="191">
        <v>35426</v>
      </c>
      <c r="B2155" s="196">
        <v>7.7788219042156503E-3</v>
      </c>
      <c r="C2155" s="194" t="s">
        <v>1</v>
      </c>
    </row>
    <row r="2156" spans="1:3" x14ac:dyDescent="0.15">
      <c r="A2156" s="191">
        <v>35427</v>
      </c>
      <c r="B2156" s="196">
        <v>7.7788219042156503E-3</v>
      </c>
      <c r="C2156" s="194" t="s">
        <v>1</v>
      </c>
    </row>
    <row r="2157" spans="1:3" x14ac:dyDescent="0.15">
      <c r="A2157" s="191">
        <v>35428</v>
      </c>
      <c r="B2157" s="196">
        <v>7.7788219042156503E-3</v>
      </c>
      <c r="C2157" s="194" t="s">
        <v>1</v>
      </c>
    </row>
    <row r="2158" spans="1:3" x14ac:dyDescent="0.15">
      <c r="A2158" s="191">
        <v>35429</v>
      </c>
      <c r="B2158" s="196">
        <v>7.7820375284705836E-3</v>
      </c>
      <c r="C2158" s="194" t="s">
        <v>1</v>
      </c>
    </row>
    <row r="2159" spans="1:3" x14ac:dyDescent="0.15">
      <c r="A2159" s="191">
        <v>35430</v>
      </c>
      <c r="B2159" s="196">
        <v>7.7852544820064123E-3</v>
      </c>
      <c r="C2159" s="194" t="s">
        <v>1</v>
      </c>
    </row>
    <row r="2160" spans="1:3" x14ac:dyDescent="0.15">
      <c r="A2160" s="191">
        <v>35431</v>
      </c>
      <c r="B2160" s="196">
        <v>7.7852544820064123E-3</v>
      </c>
      <c r="C2160" s="194" t="s">
        <v>1</v>
      </c>
    </row>
    <row r="2161" spans="1:3" x14ac:dyDescent="0.15">
      <c r="A2161" s="191">
        <v>35432</v>
      </c>
      <c r="B2161" s="196">
        <v>7.7880029615835667E-3</v>
      </c>
      <c r="C2161" s="194" t="s">
        <v>1</v>
      </c>
    </row>
    <row r="2162" spans="1:3" x14ac:dyDescent="0.15">
      <c r="A2162" s="191">
        <v>35433</v>
      </c>
      <c r="B2162" s="196">
        <v>7.7907524114745373E-3</v>
      </c>
      <c r="C2162" s="194" t="s">
        <v>1</v>
      </c>
    </row>
    <row r="2163" spans="1:3" x14ac:dyDescent="0.15">
      <c r="A2163" s="191">
        <v>35434</v>
      </c>
      <c r="B2163" s="196">
        <v>7.7907524114745373E-3</v>
      </c>
      <c r="C2163" s="194" t="s">
        <v>1</v>
      </c>
    </row>
    <row r="2164" spans="1:3" x14ac:dyDescent="0.15">
      <c r="A2164" s="191">
        <v>35435</v>
      </c>
      <c r="B2164" s="196">
        <v>7.7907524114745373E-3</v>
      </c>
      <c r="C2164" s="194" t="s">
        <v>1</v>
      </c>
    </row>
    <row r="2165" spans="1:3" x14ac:dyDescent="0.15">
      <c r="A2165" s="191">
        <v>35436</v>
      </c>
      <c r="B2165" s="196">
        <v>7.793502832021881E-3</v>
      </c>
      <c r="C2165" s="194" t="s">
        <v>1</v>
      </c>
    </row>
    <row r="2166" spans="1:3" x14ac:dyDescent="0.15">
      <c r="A2166" s="191">
        <v>35437</v>
      </c>
      <c r="B2166" s="196">
        <v>7.796254223568274E-3</v>
      </c>
      <c r="C2166" s="194" t="s">
        <v>1</v>
      </c>
    </row>
    <row r="2167" spans="1:3" x14ac:dyDescent="0.15">
      <c r="A2167" s="191">
        <v>35438</v>
      </c>
      <c r="B2167" s="196">
        <v>7.7990065864565151E-3</v>
      </c>
      <c r="C2167" s="194" t="s">
        <v>1</v>
      </c>
    </row>
    <row r="2168" spans="1:3" x14ac:dyDescent="0.15">
      <c r="A2168" s="191">
        <v>35439</v>
      </c>
      <c r="B2168" s="196">
        <v>7.8017599210295227E-3</v>
      </c>
      <c r="C2168" s="194" t="s">
        <v>1</v>
      </c>
    </row>
    <row r="2169" spans="1:3" x14ac:dyDescent="0.15">
      <c r="A2169" s="191">
        <v>35440</v>
      </c>
      <c r="B2169" s="196">
        <v>7.8045142276303376E-3</v>
      </c>
      <c r="C2169" s="194" t="s">
        <v>1</v>
      </c>
    </row>
    <row r="2170" spans="1:3" x14ac:dyDescent="0.15">
      <c r="A2170" s="191">
        <v>35441</v>
      </c>
      <c r="B2170" s="196">
        <v>7.8045142276303376E-3</v>
      </c>
      <c r="C2170" s="194" t="s">
        <v>1</v>
      </c>
    </row>
    <row r="2171" spans="1:3" x14ac:dyDescent="0.15">
      <c r="A2171" s="191">
        <v>35442</v>
      </c>
      <c r="B2171" s="196">
        <v>7.8045142276303376E-3</v>
      </c>
      <c r="C2171" s="194" t="s">
        <v>1</v>
      </c>
    </row>
    <row r="2172" spans="1:3" x14ac:dyDescent="0.15">
      <c r="A2172" s="191">
        <v>35443</v>
      </c>
      <c r="B2172" s="196">
        <v>7.8072695066021209E-3</v>
      </c>
      <c r="C2172" s="194" t="s">
        <v>1</v>
      </c>
    </row>
    <row r="2173" spans="1:3" x14ac:dyDescent="0.15">
      <c r="A2173" s="191">
        <v>35444</v>
      </c>
      <c r="B2173" s="196">
        <v>7.8100257582881553E-3</v>
      </c>
      <c r="C2173" s="194" t="s">
        <v>1</v>
      </c>
    </row>
    <row r="2174" spans="1:3" x14ac:dyDescent="0.15">
      <c r="A2174" s="191">
        <v>35445</v>
      </c>
      <c r="B2174" s="196">
        <v>7.8127829830318442E-3</v>
      </c>
      <c r="C2174" s="194" t="s">
        <v>1</v>
      </c>
    </row>
    <row r="2175" spans="1:3" x14ac:dyDescent="0.15">
      <c r="A2175" s="191">
        <v>35446</v>
      </c>
      <c r="B2175" s="196">
        <v>7.815541181176713E-3</v>
      </c>
      <c r="C2175" s="194" t="s">
        <v>1</v>
      </c>
    </row>
    <row r="2176" spans="1:3" x14ac:dyDescent="0.15">
      <c r="A2176" s="191">
        <v>35447</v>
      </c>
      <c r="B2176" s="196">
        <v>7.818300353066408E-3</v>
      </c>
      <c r="C2176" s="194" t="s">
        <v>1</v>
      </c>
    </row>
    <row r="2177" spans="1:3" x14ac:dyDescent="0.15">
      <c r="A2177" s="191">
        <v>35448</v>
      </c>
      <c r="B2177" s="196">
        <v>7.818300353066408E-3</v>
      </c>
      <c r="C2177" s="194" t="s">
        <v>1</v>
      </c>
    </row>
    <row r="2178" spans="1:3" x14ac:dyDescent="0.15">
      <c r="A2178" s="191">
        <v>35449</v>
      </c>
      <c r="B2178" s="196">
        <v>7.818300353066408E-3</v>
      </c>
      <c r="C2178" s="194" t="s">
        <v>1</v>
      </c>
    </row>
    <row r="2179" spans="1:3" x14ac:dyDescent="0.15">
      <c r="A2179" s="191">
        <v>35450</v>
      </c>
      <c r="B2179" s="196">
        <v>7.8210604990446974E-3</v>
      </c>
      <c r="C2179" s="194" t="s">
        <v>1</v>
      </c>
    </row>
    <row r="2180" spans="1:3" x14ac:dyDescent="0.15">
      <c r="A2180" s="191">
        <v>35451</v>
      </c>
      <c r="B2180" s="196">
        <v>7.8238216194554695E-3</v>
      </c>
      <c r="C2180" s="194" t="s">
        <v>1</v>
      </c>
    </row>
    <row r="2181" spans="1:3" x14ac:dyDescent="0.15">
      <c r="A2181" s="191">
        <v>35452</v>
      </c>
      <c r="B2181" s="196">
        <v>7.8265837146427337E-3</v>
      </c>
      <c r="C2181" s="194" t="s">
        <v>1</v>
      </c>
    </row>
    <row r="2182" spans="1:3" x14ac:dyDescent="0.15">
      <c r="A2182" s="191">
        <v>35453</v>
      </c>
      <c r="B2182" s="196">
        <v>7.8293467849506228E-3</v>
      </c>
      <c r="C2182" s="194" t="s">
        <v>1</v>
      </c>
    </row>
    <row r="2183" spans="1:3" x14ac:dyDescent="0.15">
      <c r="A2183" s="191">
        <v>35454</v>
      </c>
      <c r="B2183" s="196">
        <v>7.8321108307233891E-3</v>
      </c>
      <c r="C2183" s="194" t="s">
        <v>1</v>
      </c>
    </row>
    <row r="2184" spans="1:3" x14ac:dyDescent="0.15">
      <c r="A2184" s="191">
        <v>35455</v>
      </c>
      <c r="B2184" s="196">
        <v>7.8321108307233891E-3</v>
      </c>
      <c r="C2184" s="194" t="s">
        <v>1</v>
      </c>
    </row>
    <row r="2185" spans="1:3" x14ac:dyDescent="0.15">
      <c r="A2185" s="191">
        <v>35456</v>
      </c>
      <c r="B2185" s="196">
        <v>7.8321108307233891E-3</v>
      </c>
      <c r="C2185" s="194" t="s">
        <v>1</v>
      </c>
    </row>
    <row r="2186" spans="1:3" x14ac:dyDescent="0.15">
      <c r="A2186" s="191">
        <v>35457</v>
      </c>
      <c r="B2186" s="196">
        <v>7.8348758523054084E-3</v>
      </c>
      <c r="C2186" s="194" t="s">
        <v>1</v>
      </c>
    </row>
    <row r="2187" spans="1:3" x14ac:dyDescent="0.15">
      <c r="A2187" s="191">
        <v>35458</v>
      </c>
      <c r="B2187" s="196">
        <v>7.8376418500411757E-3</v>
      </c>
      <c r="C2187" s="194" t="s">
        <v>1</v>
      </c>
    </row>
    <row r="2188" spans="1:3" x14ac:dyDescent="0.15">
      <c r="A2188" s="191">
        <v>35459</v>
      </c>
      <c r="B2188" s="196">
        <v>7.8404088242753096E-3</v>
      </c>
      <c r="C2188" s="194" t="s">
        <v>1</v>
      </c>
    </row>
    <row r="2189" spans="1:3" x14ac:dyDescent="0.15">
      <c r="A2189" s="191">
        <v>35460</v>
      </c>
      <c r="B2189" s="196">
        <v>7.8431767753525498E-3</v>
      </c>
      <c r="C2189" s="194" t="s">
        <v>1</v>
      </c>
    </row>
    <row r="2190" spans="1:3" x14ac:dyDescent="0.15">
      <c r="A2190" s="191">
        <v>35461</v>
      </c>
      <c r="B2190" s="196">
        <v>7.8431767753525498E-3</v>
      </c>
      <c r="C2190" s="194" t="s">
        <v>1</v>
      </c>
    </row>
    <row r="2191" spans="1:3" x14ac:dyDescent="0.15">
      <c r="A2191" s="191">
        <v>35462</v>
      </c>
      <c r="B2191" s="196">
        <v>7.8431767753525498E-3</v>
      </c>
      <c r="C2191" s="194" t="s">
        <v>1</v>
      </c>
    </row>
    <row r="2192" spans="1:3" x14ac:dyDescent="0.15">
      <c r="A2192" s="191">
        <v>35463</v>
      </c>
      <c r="B2192" s="196">
        <v>7.8431767753525498E-3</v>
      </c>
      <c r="C2192" s="194" t="s">
        <v>1</v>
      </c>
    </row>
    <row r="2193" spans="1:3" x14ac:dyDescent="0.15">
      <c r="A2193" s="191">
        <v>35464</v>
      </c>
      <c r="B2193" s="196">
        <v>7.8460506104658934E-3</v>
      </c>
      <c r="C2193" s="194" t="s">
        <v>1</v>
      </c>
    </row>
    <row r="2194" spans="1:3" x14ac:dyDescent="0.15">
      <c r="A2194" s="191">
        <v>35465</v>
      </c>
      <c r="B2194" s="196">
        <v>7.848925498587284E-3</v>
      </c>
      <c r="C2194" s="194" t="s">
        <v>1</v>
      </c>
    </row>
    <row r="2195" spans="1:3" x14ac:dyDescent="0.15">
      <c r="A2195" s="191">
        <v>35466</v>
      </c>
      <c r="B2195" s="196">
        <v>7.8518014401025571E-3</v>
      </c>
      <c r="C2195" s="194" t="s">
        <v>1</v>
      </c>
    </row>
    <row r="2196" spans="1:3" x14ac:dyDescent="0.15">
      <c r="A2196" s="191">
        <v>35467</v>
      </c>
      <c r="B2196" s="196">
        <v>7.854678435397687E-3</v>
      </c>
      <c r="C2196" s="194" t="s">
        <v>1</v>
      </c>
    </row>
    <row r="2197" spans="1:3" x14ac:dyDescent="0.15">
      <c r="A2197" s="191">
        <v>35468</v>
      </c>
      <c r="B2197" s="196">
        <v>7.8575564848587937E-3</v>
      </c>
      <c r="C2197" s="194" t="s">
        <v>1</v>
      </c>
    </row>
    <row r="2198" spans="1:3" x14ac:dyDescent="0.15">
      <c r="A2198" s="191">
        <v>35469</v>
      </c>
      <c r="B2198" s="196">
        <v>7.8575564848587937E-3</v>
      </c>
      <c r="C2198" s="194" t="s">
        <v>1</v>
      </c>
    </row>
    <row r="2199" spans="1:3" x14ac:dyDescent="0.15">
      <c r="A2199" s="191">
        <v>35470</v>
      </c>
      <c r="B2199" s="196">
        <v>7.8575564848587937E-3</v>
      </c>
      <c r="C2199" s="194" t="s">
        <v>1</v>
      </c>
    </row>
    <row r="2200" spans="1:3" x14ac:dyDescent="0.15">
      <c r="A2200" s="191">
        <v>35471</v>
      </c>
      <c r="B2200" s="196">
        <v>7.8604355888721358E-3</v>
      </c>
      <c r="C2200" s="194" t="s">
        <v>1</v>
      </c>
    </row>
    <row r="2201" spans="1:3" x14ac:dyDescent="0.15">
      <c r="A2201" s="191">
        <v>35472</v>
      </c>
      <c r="B2201" s="196">
        <v>7.8604355888721358E-3</v>
      </c>
      <c r="C2201" s="194" t="s">
        <v>1</v>
      </c>
    </row>
    <row r="2202" spans="1:3" x14ac:dyDescent="0.15">
      <c r="A2202" s="191">
        <v>35473</v>
      </c>
      <c r="B2202" s="196">
        <v>7.8633157478241143E-3</v>
      </c>
      <c r="C2202" s="194" t="s">
        <v>1</v>
      </c>
    </row>
    <row r="2203" spans="1:3" x14ac:dyDescent="0.15">
      <c r="A2203" s="191">
        <v>35474</v>
      </c>
      <c r="B2203" s="196">
        <v>7.8661969621012708E-3</v>
      </c>
      <c r="C2203" s="194" t="s">
        <v>1</v>
      </c>
    </row>
    <row r="2204" spans="1:3" x14ac:dyDescent="0.15">
      <c r="A2204" s="191">
        <v>35475</v>
      </c>
      <c r="B2204" s="196">
        <v>7.869079232090289E-3</v>
      </c>
      <c r="C2204" s="194" t="s">
        <v>1</v>
      </c>
    </row>
    <row r="2205" spans="1:3" x14ac:dyDescent="0.15">
      <c r="A2205" s="191">
        <v>35476</v>
      </c>
      <c r="B2205" s="196">
        <v>7.869079232090289E-3</v>
      </c>
      <c r="C2205" s="194" t="s">
        <v>1</v>
      </c>
    </row>
    <row r="2206" spans="1:3" x14ac:dyDescent="0.15">
      <c r="A2206" s="191">
        <v>35477</v>
      </c>
      <c r="B2206" s="196">
        <v>7.869079232090289E-3</v>
      </c>
      <c r="C2206" s="194" t="s">
        <v>1</v>
      </c>
    </row>
    <row r="2207" spans="1:3" x14ac:dyDescent="0.15">
      <c r="A2207" s="191">
        <v>35478</v>
      </c>
      <c r="B2207" s="196">
        <v>7.8719625581779949E-3</v>
      </c>
      <c r="C2207" s="194" t="s">
        <v>1</v>
      </c>
    </row>
    <row r="2208" spans="1:3" x14ac:dyDescent="0.15">
      <c r="A2208" s="191">
        <v>35479</v>
      </c>
      <c r="B2208" s="196">
        <v>7.8748469407513566E-3</v>
      </c>
      <c r="C2208" s="194" t="s">
        <v>1</v>
      </c>
    </row>
    <row r="2209" spans="1:3" x14ac:dyDescent="0.15">
      <c r="A2209" s="191">
        <v>35480</v>
      </c>
      <c r="B2209" s="196">
        <v>7.8777323801974813E-3</v>
      </c>
      <c r="C2209" s="194" t="s">
        <v>1</v>
      </c>
    </row>
    <row r="2210" spans="1:3" x14ac:dyDescent="0.15">
      <c r="A2210" s="191">
        <v>35481</v>
      </c>
      <c r="B2210" s="196">
        <v>7.8806188769036216E-3</v>
      </c>
      <c r="C2210" s="194" t="s">
        <v>1</v>
      </c>
    </row>
    <row r="2211" spans="1:3" x14ac:dyDescent="0.15">
      <c r="A2211" s="191">
        <v>35482</v>
      </c>
      <c r="B2211" s="196">
        <v>7.8835064312571708E-3</v>
      </c>
      <c r="C2211" s="194" t="s">
        <v>1</v>
      </c>
    </row>
    <row r="2212" spans="1:3" x14ac:dyDescent="0.15">
      <c r="A2212" s="191">
        <v>35483</v>
      </c>
      <c r="B2212" s="196">
        <v>7.8835064312571708E-3</v>
      </c>
      <c r="C2212" s="194" t="s">
        <v>1</v>
      </c>
    </row>
    <row r="2213" spans="1:3" x14ac:dyDescent="0.15">
      <c r="A2213" s="191">
        <v>35484</v>
      </c>
      <c r="B2213" s="196">
        <v>7.8835064312571708E-3</v>
      </c>
      <c r="C2213" s="194" t="s">
        <v>1</v>
      </c>
    </row>
    <row r="2214" spans="1:3" x14ac:dyDescent="0.15">
      <c r="A2214" s="191">
        <v>35485</v>
      </c>
      <c r="B2214" s="196">
        <v>7.8863950436456626E-3</v>
      </c>
      <c r="C2214" s="194" t="s">
        <v>1</v>
      </c>
    </row>
    <row r="2215" spans="1:3" x14ac:dyDescent="0.15">
      <c r="A2215" s="191">
        <v>35486</v>
      </c>
      <c r="B2215" s="196">
        <v>7.8892847144567749E-3</v>
      </c>
      <c r="C2215" s="194" t="s">
        <v>1</v>
      </c>
    </row>
    <row r="2216" spans="1:3" x14ac:dyDescent="0.15">
      <c r="A2216" s="191">
        <v>35487</v>
      </c>
      <c r="B2216" s="196">
        <v>7.8921754440783257E-3</v>
      </c>
      <c r="C2216" s="194" t="s">
        <v>1</v>
      </c>
    </row>
    <row r="2217" spans="1:3" x14ac:dyDescent="0.15">
      <c r="A2217" s="191">
        <v>35488</v>
      </c>
      <c r="B2217" s="196">
        <v>7.8950672328982757E-3</v>
      </c>
      <c r="C2217" s="194" t="s">
        <v>1</v>
      </c>
    </row>
    <row r="2218" spans="1:3" x14ac:dyDescent="0.15">
      <c r="A2218" s="191">
        <v>35489</v>
      </c>
      <c r="B2218" s="196">
        <v>7.8950672328982757E-3</v>
      </c>
      <c r="C2218" s="194" t="s">
        <v>1</v>
      </c>
    </row>
    <row r="2219" spans="1:3" x14ac:dyDescent="0.15">
      <c r="A2219" s="191">
        <v>35490</v>
      </c>
      <c r="B2219" s="196">
        <v>7.8950672328982757E-3</v>
      </c>
      <c r="C2219" s="194" t="s">
        <v>1</v>
      </c>
    </row>
    <row r="2220" spans="1:3" x14ac:dyDescent="0.15">
      <c r="A2220" s="191">
        <v>35491</v>
      </c>
      <c r="B2220" s="196">
        <v>7.8950672328982757E-3</v>
      </c>
      <c r="C2220" s="194" t="s">
        <v>1</v>
      </c>
    </row>
    <row r="2221" spans="1:3" x14ac:dyDescent="0.15">
      <c r="A2221" s="191">
        <v>35492</v>
      </c>
      <c r="B2221" s="196">
        <v>7.8974346558785477E-3</v>
      </c>
      <c r="C2221" s="194" t="s">
        <v>1</v>
      </c>
    </row>
    <row r="2222" spans="1:3" x14ac:dyDescent="0.15">
      <c r="A2222" s="191">
        <v>35493</v>
      </c>
      <c r="B2222" s="196">
        <v>7.8998027887567084E-3</v>
      </c>
      <c r="C2222" s="194" t="s">
        <v>1</v>
      </c>
    </row>
    <row r="2223" spans="1:3" x14ac:dyDescent="0.15">
      <c r="A2223" s="191">
        <v>35494</v>
      </c>
      <c r="B2223" s="196">
        <v>7.9021716317456293E-3</v>
      </c>
      <c r="C2223" s="194" t="s">
        <v>1</v>
      </c>
    </row>
    <row r="2224" spans="1:3" x14ac:dyDescent="0.15">
      <c r="A2224" s="191">
        <v>35495</v>
      </c>
      <c r="B2224" s="196">
        <v>7.9045411850582458E-3</v>
      </c>
      <c r="C2224" s="194" t="s">
        <v>1</v>
      </c>
    </row>
    <row r="2225" spans="1:3" x14ac:dyDescent="0.15">
      <c r="A2225" s="191">
        <v>35496</v>
      </c>
      <c r="B2225" s="196">
        <v>7.9069114489075561E-3</v>
      </c>
      <c r="C2225" s="194" t="s">
        <v>1</v>
      </c>
    </row>
    <row r="2226" spans="1:3" x14ac:dyDescent="0.15">
      <c r="A2226" s="191">
        <v>35497</v>
      </c>
      <c r="B2226" s="196">
        <v>7.9069114489075561E-3</v>
      </c>
      <c r="C2226" s="194" t="s">
        <v>1</v>
      </c>
    </row>
    <row r="2227" spans="1:3" x14ac:dyDescent="0.15">
      <c r="A2227" s="191">
        <v>35498</v>
      </c>
      <c r="B2227" s="196">
        <v>7.9069114489075561E-3</v>
      </c>
      <c r="C2227" s="194" t="s">
        <v>1</v>
      </c>
    </row>
    <row r="2228" spans="1:3" x14ac:dyDescent="0.15">
      <c r="A2228" s="191">
        <v>35499</v>
      </c>
      <c r="B2228" s="196">
        <v>7.9092824235066205E-3</v>
      </c>
      <c r="C2228" s="194" t="s">
        <v>1</v>
      </c>
    </row>
    <row r="2229" spans="1:3" x14ac:dyDescent="0.15">
      <c r="A2229" s="191">
        <v>35500</v>
      </c>
      <c r="B2229" s="196">
        <v>7.9116541090685673E-3</v>
      </c>
      <c r="C2229" s="194" t="s">
        <v>1</v>
      </c>
    </row>
    <row r="2230" spans="1:3" x14ac:dyDescent="0.15">
      <c r="A2230" s="191">
        <v>35501</v>
      </c>
      <c r="B2230" s="196">
        <v>7.9140265058065869E-3</v>
      </c>
      <c r="C2230" s="194" t="s">
        <v>1</v>
      </c>
    </row>
    <row r="2231" spans="1:3" x14ac:dyDescent="0.15">
      <c r="A2231" s="191">
        <v>35502</v>
      </c>
      <c r="B2231" s="196">
        <v>7.9163996139339308E-3</v>
      </c>
      <c r="C2231" s="194" t="s">
        <v>1</v>
      </c>
    </row>
    <row r="2232" spans="1:3" x14ac:dyDescent="0.15">
      <c r="A2232" s="191">
        <v>35503</v>
      </c>
      <c r="B2232" s="196">
        <v>7.9187734336639195E-3</v>
      </c>
      <c r="C2232" s="194" t="s">
        <v>1</v>
      </c>
    </row>
    <row r="2233" spans="1:3" x14ac:dyDescent="0.15">
      <c r="A2233" s="191">
        <v>35504</v>
      </c>
      <c r="B2233" s="196">
        <v>7.9187734336639195E-3</v>
      </c>
      <c r="C2233" s="194" t="s">
        <v>1</v>
      </c>
    </row>
    <row r="2234" spans="1:3" x14ac:dyDescent="0.15">
      <c r="A2234" s="191">
        <v>35505</v>
      </c>
      <c r="B2234" s="196">
        <v>7.9187734336639195E-3</v>
      </c>
      <c r="C2234" s="194" t="s">
        <v>1</v>
      </c>
    </row>
    <row r="2235" spans="1:3" x14ac:dyDescent="0.15">
      <c r="A2235" s="191">
        <v>35506</v>
      </c>
      <c r="B2235" s="196">
        <v>7.9211479652099327E-3</v>
      </c>
      <c r="C2235" s="194" t="s">
        <v>1</v>
      </c>
    </row>
    <row r="2236" spans="1:3" x14ac:dyDescent="0.15">
      <c r="A2236" s="191">
        <v>35507</v>
      </c>
      <c r="B2236" s="196">
        <v>7.9235232087854178E-3</v>
      </c>
      <c r="C2236" s="194" t="s">
        <v>1</v>
      </c>
    </row>
    <row r="2237" spans="1:3" x14ac:dyDescent="0.15">
      <c r="A2237" s="191">
        <v>35508</v>
      </c>
      <c r="B2237" s="196">
        <v>7.9258991646038845E-3</v>
      </c>
      <c r="C2237" s="194" t="s">
        <v>1</v>
      </c>
    </row>
    <row r="2238" spans="1:3" x14ac:dyDescent="0.15">
      <c r="A2238" s="191">
        <v>35509</v>
      </c>
      <c r="B2238" s="196">
        <v>7.9282758328789067E-3</v>
      </c>
      <c r="C2238" s="194" t="s">
        <v>1</v>
      </c>
    </row>
    <row r="2239" spans="1:3" x14ac:dyDescent="0.15">
      <c r="A2239" s="191">
        <v>35510</v>
      </c>
      <c r="B2239" s="196">
        <v>7.9306532138241227E-3</v>
      </c>
      <c r="C2239" s="194" t="s">
        <v>1</v>
      </c>
    </row>
    <row r="2240" spans="1:3" x14ac:dyDescent="0.15">
      <c r="A2240" s="191">
        <v>35511</v>
      </c>
      <c r="B2240" s="196">
        <v>7.9306532138241227E-3</v>
      </c>
      <c r="C2240" s="194" t="s">
        <v>1</v>
      </c>
    </row>
    <row r="2241" spans="1:3" x14ac:dyDescent="0.15">
      <c r="A2241" s="191">
        <v>35512</v>
      </c>
      <c r="B2241" s="196">
        <v>7.9306532138241227E-3</v>
      </c>
      <c r="C2241" s="194" t="s">
        <v>1</v>
      </c>
    </row>
    <row r="2242" spans="1:3" x14ac:dyDescent="0.15">
      <c r="A2242" s="191">
        <v>35513</v>
      </c>
      <c r="B2242" s="196">
        <v>7.9330313076532329E-3</v>
      </c>
      <c r="C2242" s="194" t="s">
        <v>1</v>
      </c>
    </row>
    <row r="2243" spans="1:3" x14ac:dyDescent="0.15">
      <c r="A2243" s="191">
        <v>35514</v>
      </c>
      <c r="B2243" s="196">
        <v>7.9354101145800056E-3</v>
      </c>
      <c r="C2243" s="194" t="s">
        <v>1</v>
      </c>
    </row>
    <row r="2244" spans="1:3" x14ac:dyDescent="0.15">
      <c r="A2244" s="191">
        <v>35515</v>
      </c>
      <c r="B2244" s="196">
        <v>7.9377896348182698E-3</v>
      </c>
      <c r="C2244" s="194" t="s">
        <v>1</v>
      </c>
    </row>
    <row r="2245" spans="1:3" x14ac:dyDescent="0.15">
      <c r="A2245" s="191">
        <v>35516</v>
      </c>
      <c r="B2245" s="196">
        <v>7.9401698685819203E-3</v>
      </c>
      <c r="C2245" s="194" t="s">
        <v>1</v>
      </c>
    </row>
    <row r="2246" spans="1:3" x14ac:dyDescent="0.15">
      <c r="A2246" s="191">
        <v>35517</v>
      </c>
      <c r="B2246" s="196">
        <v>7.9401698685819203E-3</v>
      </c>
      <c r="C2246" s="194" t="s">
        <v>1</v>
      </c>
    </row>
    <row r="2247" spans="1:3" x14ac:dyDescent="0.15">
      <c r="A2247" s="191">
        <v>35518</v>
      </c>
      <c r="B2247" s="196">
        <v>7.9401698685819203E-3</v>
      </c>
      <c r="C2247" s="194" t="s">
        <v>1</v>
      </c>
    </row>
    <row r="2248" spans="1:3" x14ac:dyDescent="0.15">
      <c r="A2248" s="191">
        <v>35519</v>
      </c>
      <c r="B2248" s="196">
        <v>7.9401698685819203E-3</v>
      </c>
      <c r="C2248" s="194" t="s">
        <v>1</v>
      </c>
    </row>
    <row r="2249" spans="1:3" x14ac:dyDescent="0.15">
      <c r="A2249" s="191">
        <v>35520</v>
      </c>
      <c r="B2249" s="196">
        <v>7.9425508160849145E-3</v>
      </c>
      <c r="C2249" s="194" t="s">
        <v>1</v>
      </c>
    </row>
    <row r="2250" spans="1:3" x14ac:dyDescent="0.15">
      <c r="A2250" s="191">
        <v>35521</v>
      </c>
      <c r="B2250" s="196">
        <v>7.9449324775412757E-3</v>
      </c>
      <c r="C2250" s="194" t="s">
        <v>1</v>
      </c>
    </row>
    <row r="2251" spans="1:3" x14ac:dyDescent="0.15">
      <c r="A2251" s="191">
        <v>35522</v>
      </c>
      <c r="B2251" s="196">
        <v>7.9473925264884424E-3</v>
      </c>
      <c r="C2251" s="194" t="s">
        <v>1</v>
      </c>
    </row>
    <row r="2252" spans="1:3" x14ac:dyDescent="0.15">
      <c r="A2252" s="191">
        <v>35523</v>
      </c>
      <c r="B2252" s="196">
        <v>7.949853337158988E-3</v>
      </c>
      <c r="C2252" s="194" t="s">
        <v>1</v>
      </c>
    </row>
    <row r="2253" spans="1:3" x14ac:dyDescent="0.15">
      <c r="A2253" s="191">
        <v>35524</v>
      </c>
      <c r="B2253" s="196">
        <v>7.9523149097887724E-3</v>
      </c>
      <c r="C2253" s="194" t="s">
        <v>1</v>
      </c>
    </row>
    <row r="2254" spans="1:3" x14ac:dyDescent="0.15">
      <c r="A2254" s="191">
        <v>35525</v>
      </c>
      <c r="B2254" s="196">
        <v>7.9523149097887724E-3</v>
      </c>
      <c r="C2254" s="194" t="s">
        <v>1</v>
      </c>
    </row>
    <row r="2255" spans="1:3" x14ac:dyDescent="0.15">
      <c r="A2255" s="191">
        <v>35526</v>
      </c>
      <c r="B2255" s="196">
        <v>7.9523149097887724E-3</v>
      </c>
      <c r="C2255" s="194" t="s">
        <v>1</v>
      </c>
    </row>
    <row r="2256" spans="1:3" x14ac:dyDescent="0.15">
      <c r="A2256" s="191">
        <v>35527</v>
      </c>
      <c r="B2256" s="196">
        <v>7.9547772446137265E-3</v>
      </c>
      <c r="C2256" s="194" t="s">
        <v>1</v>
      </c>
    </row>
    <row r="2257" spans="1:3" x14ac:dyDescent="0.15">
      <c r="A2257" s="191">
        <v>35528</v>
      </c>
      <c r="B2257" s="196">
        <v>7.9572403418698544E-3</v>
      </c>
      <c r="C2257" s="194" t="s">
        <v>1</v>
      </c>
    </row>
    <row r="2258" spans="1:3" x14ac:dyDescent="0.15">
      <c r="A2258" s="191">
        <v>35529</v>
      </c>
      <c r="B2258" s="196">
        <v>7.9597042017932329E-3</v>
      </c>
      <c r="C2258" s="194" t="s">
        <v>1</v>
      </c>
    </row>
    <row r="2259" spans="1:3" x14ac:dyDescent="0.15">
      <c r="A2259" s="191">
        <v>35530</v>
      </c>
      <c r="B2259" s="196">
        <v>7.9621688246200133E-3</v>
      </c>
      <c r="C2259" s="194" t="s">
        <v>1</v>
      </c>
    </row>
    <row r="2260" spans="1:3" x14ac:dyDescent="0.15">
      <c r="A2260" s="191">
        <v>35531</v>
      </c>
      <c r="B2260" s="196">
        <v>7.964634210586418E-3</v>
      </c>
      <c r="C2260" s="194" t="s">
        <v>1</v>
      </c>
    </row>
    <row r="2261" spans="1:3" x14ac:dyDescent="0.15">
      <c r="A2261" s="191">
        <v>35532</v>
      </c>
      <c r="B2261" s="196">
        <v>7.964634210586418E-3</v>
      </c>
      <c r="C2261" s="194" t="s">
        <v>1</v>
      </c>
    </row>
    <row r="2262" spans="1:3" x14ac:dyDescent="0.15">
      <c r="A2262" s="191">
        <v>35533</v>
      </c>
      <c r="B2262" s="196">
        <v>7.964634210586418E-3</v>
      </c>
      <c r="C2262" s="194" t="s">
        <v>1</v>
      </c>
    </row>
    <row r="2263" spans="1:3" x14ac:dyDescent="0.15">
      <c r="A2263" s="191">
        <v>35534</v>
      </c>
      <c r="B2263" s="196">
        <v>7.9671003599287443E-3</v>
      </c>
      <c r="C2263" s="194" t="s">
        <v>1</v>
      </c>
    </row>
    <row r="2264" spans="1:3" x14ac:dyDescent="0.15">
      <c r="A2264" s="191">
        <v>35535</v>
      </c>
      <c r="B2264" s="196">
        <v>7.9695672728833621E-3</v>
      </c>
      <c r="C2264" s="194" t="s">
        <v>1</v>
      </c>
    </row>
    <row r="2265" spans="1:3" x14ac:dyDescent="0.15">
      <c r="A2265" s="191">
        <v>35536</v>
      </c>
      <c r="B2265" s="196">
        <v>7.9720349496867141E-3</v>
      </c>
      <c r="C2265" s="194" t="s">
        <v>1</v>
      </c>
    </row>
    <row r="2266" spans="1:3" x14ac:dyDescent="0.15">
      <c r="A2266" s="191">
        <v>35537</v>
      </c>
      <c r="B2266" s="196">
        <v>7.974503390575316E-3</v>
      </c>
      <c r="C2266" s="194" t="s">
        <v>1</v>
      </c>
    </row>
    <row r="2267" spans="1:3" x14ac:dyDescent="0.15">
      <c r="A2267" s="191">
        <v>35538</v>
      </c>
      <c r="B2267" s="196">
        <v>7.9769725957857581E-3</v>
      </c>
      <c r="C2267" s="194" t="s">
        <v>1</v>
      </c>
    </row>
    <row r="2268" spans="1:3" x14ac:dyDescent="0.15">
      <c r="A2268" s="191">
        <v>35539</v>
      </c>
      <c r="B2268" s="196">
        <v>7.9769725957857581E-3</v>
      </c>
      <c r="C2268" s="194" t="s">
        <v>1</v>
      </c>
    </row>
    <row r="2269" spans="1:3" x14ac:dyDescent="0.15">
      <c r="A2269" s="191">
        <v>35540</v>
      </c>
      <c r="B2269" s="196">
        <v>7.9769725957857581E-3</v>
      </c>
      <c r="C2269" s="194" t="s">
        <v>1</v>
      </c>
    </row>
    <row r="2270" spans="1:3" x14ac:dyDescent="0.15">
      <c r="A2270" s="191">
        <v>35541</v>
      </c>
      <c r="B2270" s="196">
        <v>7.9769725957857581E-3</v>
      </c>
      <c r="C2270" s="194" t="s">
        <v>1</v>
      </c>
    </row>
    <row r="2271" spans="1:3" x14ac:dyDescent="0.15">
      <c r="A2271" s="191">
        <v>35542</v>
      </c>
      <c r="B2271" s="196">
        <v>7.9794425655547035E-3</v>
      </c>
      <c r="C2271" s="194" t="s">
        <v>1</v>
      </c>
    </row>
    <row r="2272" spans="1:3" x14ac:dyDescent="0.15">
      <c r="A2272" s="191">
        <v>35543</v>
      </c>
      <c r="B2272" s="196">
        <v>7.9819133001188865E-3</v>
      </c>
      <c r="C2272" s="194" t="s">
        <v>1</v>
      </c>
    </row>
    <row r="2273" spans="1:3" x14ac:dyDescent="0.15">
      <c r="A2273" s="191">
        <v>35544</v>
      </c>
      <c r="B2273" s="196">
        <v>7.9843847997151177E-3</v>
      </c>
      <c r="C2273" s="194" t="s">
        <v>1</v>
      </c>
    </row>
    <row r="2274" spans="1:3" x14ac:dyDescent="0.15">
      <c r="A2274" s="191">
        <v>35545</v>
      </c>
      <c r="B2274" s="196">
        <v>7.9868570645802786E-3</v>
      </c>
      <c r="C2274" s="194" t="s">
        <v>1</v>
      </c>
    </row>
    <row r="2275" spans="1:3" x14ac:dyDescent="0.15">
      <c r="A2275" s="191">
        <v>35546</v>
      </c>
      <c r="B2275" s="196">
        <v>7.9868570645802786E-3</v>
      </c>
      <c r="C2275" s="194" t="s">
        <v>1</v>
      </c>
    </row>
    <row r="2276" spans="1:3" x14ac:dyDescent="0.15">
      <c r="A2276" s="191">
        <v>35547</v>
      </c>
      <c r="B2276" s="196">
        <v>7.9868570645802786E-3</v>
      </c>
      <c r="C2276" s="194" t="s">
        <v>1</v>
      </c>
    </row>
    <row r="2277" spans="1:3" x14ac:dyDescent="0.15">
      <c r="A2277" s="191">
        <v>35548</v>
      </c>
      <c r="B2277" s="196">
        <v>7.9893300949513274E-3</v>
      </c>
      <c r="C2277" s="194" t="s">
        <v>1</v>
      </c>
    </row>
    <row r="2278" spans="1:3" x14ac:dyDescent="0.15">
      <c r="A2278" s="191">
        <v>35549</v>
      </c>
      <c r="B2278" s="196">
        <v>7.9918038910652914E-3</v>
      </c>
      <c r="C2278" s="194" t="s">
        <v>1</v>
      </c>
    </row>
    <row r="2279" spans="1:3" x14ac:dyDescent="0.15">
      <c r="A2279" s="191">
        <v>35550</v>
      </c>
      <c r="B2279" s="196">
        <v>7.9942784531592745E-3</v>
      </c>
      <c r="C2279" s="194" t="s">
        <v>1</v>
      </c>
    </row>
    <row r="2280" spans="1:3" x14ac:dyDescent="0.15">
      <c r="A2280" s="191">
        <v>35551</v>
      </c>
      <c r="B2280" s="196">
        <v>7.9942784531592745E-3</v>
      </c>
      <c r="C2280" s="194" t="s">
        <v>1</v>
      </c>
    </row>
    <row r="2281" spans="1:3" x14ac:dyDescent="0.15">
      <c r="A2281" s="191">
        <v>35552</v>
      </c>
      <c r="B2281" s="196">
        <v>7.9968106014914348E-3</v>
      </c>
      <c r="C2281" s="194" t="s">
        <v>1</v>
      </c>
    </row>
    <row r="2282" spans="1:3" x14ac:dyDescent="0.15">
      <c r="A2282" s="191">
        <v>35553</v>
      </c>
      <c r="B2282" s="196">
        <v>7.9968106014914348E-3</v>
      </c>
      <c r="C2282" s="194" t="s">
        <v>1</v>
      </c>
    </row>
    <row r="2283" spans="1:3" x14ac:dyDescent="0.15">
      <c r="A2283" s="191">
        <v>35554</v>
      </c>
      <c r="B2283" s="196">
        <v>7.9968106014914348E-3</v>
      </c>
      <c r="C2283" s="194" t="s">
        <v>1</v>
      </c>
    </row>
    <row r="2284" spans="1:3" x14ac:dyDescent="0.15">
      <c r="A2284" s="191">
        <v>35555</v>
      </c>
      <c r="B2284" s="196">
        <v>7.9993435518691102E-3</v>
      </c>
      <c r="C2284" s="194" t="s">
        <v>1</v>
      </c>
    </row>
    <row r="2285" spans="1:3" x14ac:dyDescent="0.15">
      <c r="A2285" s="191">
        <v>35556</v>
      </c>
      <c r="B2285" s="196">
        <v>8.001877304546344E-3</v>
      </c>
      <c r="C2285" s="194" t="s">
        <v>1</v>
      </c>
    </row>
    <row r="2286" spans="1:3" x14ac:dyDescent="0.15">
      <c r="A2286" s="191">
        <v>35557</v>
      </c>
      <c r="B2286" s="196">
        <v>8.004411859777261E-3</v>
      </c>
      <c r="C2286" s="194" t="s">
        <v>1</v>
      </c>
    </row>
    <row r="2287" spans="1:3" x14ac:dyDescent="0.15">
      <c r="A2287" s="191">
        <v>35558</v>
      </c>
      <c r="B2287" s="196">
        <v>8.0069472178160659E-3</v>
      </c>
      <c r="C2287" s="194" t="s">
        <v>1</v>
      </c>
    </row>
    <row r="2288" spans="1:3" x14ac:dyDescent="0.15">
      <c r="A2288" s="191">
        <v>35559</v>
      </c>
      <c r="B2288" s="196">
        <v>8.0094833789170431E-3</v>
      </c>
      <c r="C2288" s="194" t="s">
        <v>1</v>
      </c>
    </row>
    <row r="2289" spans="1:3" x14ac:dyDescent="0.15">
      <c r="A2289" s="191">
        <v>35560</v>
      </c>
      <c r="B2289" s="196">
        <v>8.0094833789170431E-3</v>
      </c>
      <c r="C2289" s="194" t="s">
        <v>1</v>
      </c>
    </row>
    <row r="2290" spans="1:3" x14ac:dyDescent="0.15">
      <c r="A2290" s="191">
        <v>35561</v>
      </c>
      <c r="B2290" s="196">
        <v>8.0094833789170431E-3</v>
      </c>
      <c r="C2290" s="194" t="s">
        <v>1</v>
      </c>
    </row>
    <row r="2291" spans="1:3" x14ac:dyDescent="0.15">
      <c r="A2291" s="191">
        <v>35562</v>
      </c>
      <c r="B2291" s="196">
        <v>8.0120203433345603E-3</v>
      </c>
      <c r="C2291" s="194" t="s">
        <v>1</v>
      </c>
    </row>
    <row r="2292" spans="1:3" x14ac:dyDescent="0.15">
      <c r="A2292" s="191">
        <v>35563</v>
      </c>
      <c r="B2292" s="196">
        <v>8.0145581113230634E-3</v>
      </c>
      <c r="C2292" s="194" t="s">
        <v>1</v>
      </c>
    </row>
    <row r="2293" spans="1:3" x14ac:dyDescent="0.15">
      <c r="A2293" s="191">
        <v>35564</v>
      </c>
      <c r="B2293" s="196">
        <v>8.0170966831370795E-3</v>
      </c>
      <c r="C2293" s="194" t="s">
        <v>1</v>
      </c>
    </row>
    <row r="2294" spans="1:3" x14ac:dyDescent="0.15">
      <c r="A2294" s="191">
        <v>35565</v>
      </c>
      <c r="B2294" s="196">
        <v>8.0196360590312175E-3</v>
      </c>
      <c r="C2294" s="194" t="s">
        <v>1</v>
      </c>
    </row>
    <row r="2295" spans="1:3" x14ac:dyDescent="0.15">
      <c r="A2295" s="191">
        <v>35566</v>
      </c>
      <c r="B2295" s="196">
        <v>8.0221762392601644E-3</v>
      </c>
      <c r="C2295" s="194" t="s">
        <v>1</v>
      </c>
    </row>
    <row r="2296" spans="1:3" x14ac:dyDescent="0.15">
      <c r="A2296" s="191">
        <v>35567</v>
      </c>
      <c r="B2296" s="196">
        <v>8.0221762392601644E-3</v>
      </c>
      <c r="C2296" s="194" t="s">
        <v>1</v>
      </c>
    </row>
    <row r="2297" spans="1:3" x14ac:dyDescent="0.15">
      <c r="A2297" s="191">
        <v>35568</v>
      </c>
      <c r="B2297" s="196">
        <v>8.0221762392601644E-3</v>
      </c>
      <c r="C2297" s="194" t="s">
        <v>1</v>
      </c>
    </row>
    <row r="2298" spans="1:3" x14ac:dyDescent="0.15">
      <c r="A2298" s="191">
        <v>35569</v>
      </c>
      <c r="B2298" s="196">
        <v>8.0247172240786886E-3</v>
      </c>
      <c r="C2298" s="194" t="s">
        <v>1</v>
      </c>
    </row>
    <row r="2299" spans="1:3" x14ac:dyDescent="0.15">
      <c r="A2299" s="191">
        <v>35570</v>
      </c>
      <c r="B2299" s="196">
        <v>8.0272590137416416E-3</v>
      </c>
      <c r="C2299" s="194" t="s">
        <v>1</v>
      </c>
    </row>
    <row r="2300" spans="1:3" x14ac:dyDescent="0.15">
      <c r="A2300" s="191">
        <v>35571</v>
      </c>
      <c r="B2300" s="196">
        <v>8.0298016085039534E-3</v>
      </c>
      <c r="C2300" s="194" t="s">
        <v>1</v>
      </c>
    </row>
    <row r="2301" spans="1:3" x14ac:dyDescent="0.15">
      <c r="A2301" s="191">
        <v>35572</v>
      </c>
      <c r="B2301" s="196">
        <v>8.0323450086206352E-3</v>
      </c>
      <c r="C2301" s="194" t="s">
        <v>1</v>
      </c>
    </row>
    <row r="2302" spans="1:3" x14ac:dyDescent="0.15">
      <c r="A2302" s="191">
        <v>35573</v>
      </c>
      <c r="B2302" s="196">
        <v>8.0348892143467781E-3</v>
      </c>
      <c r="C2302" s="194" t="s">
        <v>1</v>
      </c>
    </row>
    <row r="2303" spans="1:3" x14ac:dyDescent="0.15">
      <c r="A2303" s="191">
        <v>35574</v>
      </c>
      <c r="B2303" s="196">
        <v>8.0348892143467781E-3</v>
      </c>
      <c r="C2303" s="194" t="s">
        <v>1</v>
      </c>
    </row>
    <row r="2304" spans="1:3" x14ac:dyDescent="0.15">
      <c r="A2304" s="191">
        <v>35575</v>
      </c>
      <c r="B2304" s="196">
        <v>8.0348892143467781E-3</v>
      </c>
      <c r="C2304" s="194" t="s">
        <v>1</v>
      </c>
    </row>
    <row r="2305" spans="1:3" x14ac:dyDescent="0.15">
      <c r="A2305" s="191">
        <v>35576</v>
      </c>
      <c r="B2305" s="196">
        <v>8.0374342259375564E-3</v>
      </c>
      <c r="C2305" s="194" t="s">
        <v>1</v>
      </c>
    </row>
    <row r="2306" spans="1:3" x14ac:dyDescent="0.15">
      <c r="A2306" s="191">
        <v>35577</v>
      </c>
      <c r="B2306" s="196">
        <v>8.0399800436482226E-3</v>
      </c>
      <c r="C2306" s="194" t="s">
        <v>1</v>
      </c>
    </row>
    <row r="2307" spans="1:3" x14ac:dyDescent="0.15">
      <c r="A2307" s="191">
        <v>35578</v>
      </c>
      <c r="B2307" s="196">
        <v>8.0425266677341123E-3</v>
      </c>
      <c r="C2307" s="194" t="s">
        <v>1</v>
      </c>
    </row>
    <row r="2308" spans="1:3" x14ac:dyDescent="0.15">
      <c r="A2308" s="191">
        <v>35579</v>
      </c>
      <c r="B2308" s="196">
        <v>8.0425266677341123E-3</v>
      </c>
      <c r="C2308" s="194" t="s">
        <v>1</v>
      </c>
    </row>
    <row r="2309" spans="1:3" x14ac:dyDescent="0.15">
      <c r="A2309" s="191">
        <v>35580</v>
      </c>
      <c r="B2309" s="196">
        <v>8.045074098450641E-3</v>
      </c>
      <c r="C2309" s="194" t="s">
        <v>1</v>
      </c>
    </row>
    <row r="2310" spans="1:3" x14ac:dyDescent="0.15">
      <c r="A2310" s="191">
        <v>35581</v>
      </c>
      <c r="B2310" s="196">
        <v>8.045074098450641E-3</v>
      </c>
      <c r="C2310" s="194" t="s">
        <v>1</v>
      </c>
    </row>
    <row r="2311" spans="1:3" x14ac:dyDescent="0.15">
      <c r="A2311" s="191">
        <v>35582</v>
      </c>
      <c r="B2311" s="196">
        <v>8.045074098450641E-3</v>
      </c>
      <c r="C2311" s="194" t="s">
        <v>1</v>
      </c>
    </row>
    <row r="2312" spans="1:3" x14ac:dyDescent="0.15">
      <c r="A2312" s="191">
        <v>35583</v>
      </c>
      <c r="B2312" s="196">
        <v>8.0474564291411008E-3</v>
      </c>
      <c r="C2312" s="194" t="s">
        <v>1</v>
      </c>
    </row>
    <row r="2313" spans="1:3" x14ac:dyDescent="0.15">
      <c r="A2313" s="191">
        <v>35584</v>
      </c>
      <c r="B2313" s="196">
        <v>8.0498394652942385E-3</v>
      </c>
      <c r="C2313" s="194" t="s">
        <v>1</v>
      </c>
    </row>
    <row r="2314" spans="1:3" x14ac:dyDescent="0.15">
      <c r="A2314" s="191">
        <v>35585</v>
      </c>
      <c r="B2314" s="196">
        <v>8.0522232071189581E-3</v>
      </c>
      <c r="C2314" s="194" t="s">
        <v>1</v>
      </c>
    </row>
    <row r="2315" spans="1:3" x14ac:dyDescent="0.15">
      <c r="A2315" s="191">
        <v>35586</v>
      </c>
      <c r="B2315" s="196">
        <v>8.0546076548242244E-3</v>
      </c>
      <c r="C2315" s="194" t="s">
        <v>1</v>
      </c>
    </row>
    <row r="2316" spans="1:3" x14ac:dyDescent="0.15">
      <c r="A2316" s="191">
        <v>35587</v>
      </c>
      <c r="B2316" s="196">
        <v>8.0569928086190665E-3</v>
      </c>
      <c r="C2316" s="194" t="s">
        <v>1</v>
      </c>
    </row>
    <row r="2317" spans="1:3" x14ac:dyDescent="0.15">
      <c r="A2317" s="191">
        <v>35588</v>
      </c>
      <c r="B2317" s="196">
        <v>8.0569928086190665E-3</v>
      </c>
      <c r="C2317" s="194" t="s">
        <v>1</v>
      </c>
    </row>
    <row r="2318" spans="1:3" x14ac:dyDescent="0.15">
      <c r="A2318" s="191">
        <v>35589</v>
      </c>
      <c r="B2318" s="196">
        <v>8.0569928086190665E-3</v>
      </c>
      <c r="C2318" s="194" t="s">
        <v>1</v>
      </c>
    </row>
    <row r="2319" spans="1:3" x14ac:dyDescent="0.15">
      <c r="A2319" s="191">
        <v>35590</v>
      </c>
      <c r="B2319" s="196">
        <v>8.0593786687125721E-3</v>
      </c>
      <c r="C2319" s="194" t="s">
        <v>1</v>
      </c>
    </row>
    <row r="2320" spans="1:3" x14ac:dyDescent="0.15">
      <c r="A2320" s="191">
        <v>35591</v>
      </c>
      <c r="B2320" s="196">
        <v>8.0617652353138936E-3</v>
      </c>
      <c r="C2320" s="194" t="s">
        <v>1</v>
      </c>
    </row>
    <row r="2321" spans="1:3" x14ac:dyDescent="0.15">
      <c r="A2321" s="191">
        <v>35592</v>
      </c>
      <c r="B2321" s="196">
        <v>8.064152508632242E-3</v>
      </c>
      <c r="C2321" s="194" t="s">
        <v>1</v>
      </c>
    </row>
    <row r="2322" spans="1:3" x14ac:dyDescent="0.15">
      <c r="A2322" s="191">
        <v>35593</v>
      </c>
      <c r="B2322" s="196">
        <v>8.0665404888768943E-3</v>
      </c>
      <c r="C2322" s="194" t="s">
        <v>1</v>
      </c>
    </row>
    <row r="2323" spans="1:3" x14ac:dyDescent="0.15">
      <c r="A2323" s="191">
        <v>35594</v>
      </c>
      <c r="B2323" s="196">
        <v>8.0689291762571867E-3</v>
      </c>
      <c r="C2323" s="194" t="s">
        <v>1</v>
      </c>
    </row>
    <row r="2324" spans="1:3" x14ac:dyDescent="0.15">
      <c r="A2324" s="191">
        <v>35595</v>
      </c>
      <c r="B2324" s="196">
        <v>8.0689291762571867E-3</v>
      </c>
      <c r="C2324" s="194" t="s">
        <v>1</v>
      </c>
    </row>
    <row r="2325" spans="1:3" x14ac:dyDescent="0.15">
      <c r="A2325" s="191">
        <v>35596</v>
      </c>
      <c r="B2325" s="196">
        <v>8.0689291762571867E-3</v>
      </c>
      <c r="C2325" s="194" t="s">
        <v>1</v>
      </c>
    </row>
    <row r="2326" spans="1:3" x14ac:dyDescent="0.15">
      <c r="A2326" s="191">
        <v>35597</v>
      </c>
      <c r="B2326" s="196">
        <v>8.0713185709825191E-3</v>
      </c>
      <c r="C2326" s="194" t="s">
        <v>1</v>
      </c>
    </row>
    <row r="2327" spans="1:3" x14ac:dyDescent="0.15">
      <c r="A2327" s="191">
        <v>35598</v>
      </c>
      <c r="B2327" s="196">
        <v>8.0737086732623527E-3</v>
      </c>
      <c r="C2327" s="194" t="s">
        <v>1</v>
      </c>
    </row>
    <row r="2328" spans="1:3" x14ac:dyDescent="0.15">
      <c r="A2328" s="191">
        <v>35599</v>
      </c>
      <c r="B2328" s="196">
        <v>8.0760994833062091E-3</v>
      </c>
      <c r="C2328" s="194" t="s">
        <v>1</v>
      </c>
    </row>
    <row r="2329" spans="1:3" x14ac:dyDescent="0.15">
      <c r="A2329" s="191">
        <v>35600</v>
      </c>
      <c r="B2329" s="196">
        <v>8.078491001323674E-3</v>
      </c>
      <c r="C2329" s="194" t="s">
        <v>1</v>
      </c>
    </row>
    <row r="2330" spans="1:3" x14ac:dyDescent="0.15">
      <c r="A2330" s="191">
        <v>35601</v>
      </c>
      <c r="B2330" s="196">
        <v>8.0808832275243957E-3</v>
      </c>
      <c r="C2330" s="194" t="s">
        <v>1</v>
      </c>
    </row>
    <row r="2331" spans="1:3" x14ac:dyDescent="0.15">
      <c r="A2331" s="191">
        <v>35602</v>
      </c>
      <c r="B2331" s="196">
        <v>8.0808832275243957E-3</v>
      </c>
      <c r="C2331" s="194" t="s">
        <v>1</v>
      </c>
    </row>
    <row r="2332" spans="1:3" x14ac:dyDescent="0.15">
      <c r="A2332" s="191">
        <v>35603</v>
      </c>
      <c r="B2332" s="196">
        <v>8.0808832275243957E-3</v>
      </c>
      <c r="C2332" s="194" t="s">
        <v>1</v>
      </c>
    </row>
    <row r="2333" spans="1:3" x14ac:dyDescent="0.15">
      <c r="A2333" s="191">
        <v>35604</v>
      </c>
      <c r="B2333" s="196">
        <v>8.0832761621180832E-3</v>
      </c>
      <c r="C2333" s="194" t="s">
        <v>1</v>
      </c>
    </row>
    <row r="2334" spans="1:3" x14ac:dyDescent="0.15">
      <c r="A2334" s="191">
        <v>35605</v>
      </c>
      <c r="B2334" s="196">
        <v>8.0856698053145062E-3</v>
      </c>
      <c r="C2334" s="194" t="s">
        <v>1</v>
      </c>
    </row>
    <row r="2335" spans="1:3" x14ac:dyDescent="0.15">
      <c r="A2335" s="191">
        <v>35606</v>
      </c>
      <c r="B2335" s="196">
        <v>8.0880641573235004E-3</v>
      </c>
      <c r="C2335" s="194" t="s">
        <v>1</v>
      </c>
    </row>
    <row r="2336" spans="1:3" x14ac:dyDescent="0.15">
      <c r="A2336" s="191">
        <v>35607</v>
      </c>
      <c r="B2336" s="196">
        <v>8.0904592183549603E-3</v>
      </c>
      <c r="C2336" s="194" t="s">
        <v>1</v>
      </c>
    </row>
    <row r="2337" spans="1:3" x14ac:dyDescent="0.15">
      <c r="A2337" s="191">
        <v>35608</v>
      </c>
      <c r="B2337" s="196">
        <v>8.0928549886188431E-3</v>
      </c>
      <c r="C2337" s="194" t="s">
        <v>1</v>
      </c>
    </row>
    <row r="2338" spans="1:3" x14ac:dyDescent="0.15">
      <c r="A2338" s="191">
        <v>35609</v>
      </c>
      <c r="B2338" s="196">
        <v>8.0928549886188431E-3</v>
      </c>
      <c r="C2338" s="194" t="s">
        <v>1</v>
      </c>
    </row>
    <row r="2339" spans="1:3" x14ac:dyDescent="0.15">
      <c r="A2339" s="191">
        <v>35610</v>
      </c>
      <c r="B2339" s="196">
        <v>8.0928549886188431E-3</v>
      </c>
      <c r="C2339" s="194" t="s">
        <v>1</v>
      </c>
    </row>
    <row r="2340" spans="1:3" x14ac:dyDescent="0.15">
      <c r="A2340" s="191">
        <v>35611</v>
      </c>
      <c r="B2340" s="196">
        <v>8.0952514683251698E-3</v>
      </c>
      <c r="C2340" s="194" t="s">
        <v>1</v>
      </c>
    </row>
    <row r="2341" spans="1:3" x14ac:dyDescent="0.15">
      <c r="A2341" s="191">
        <v>35612</v>
      </c>
      <c r="B2341" s="196">
        <v>8.0976486576840225E-3</v>
      </c>
      <c r="C2341" s="194" t="s">
        <v>1</v>
      </c>
    </row>
    <row r="2342" spans="1:3" x14ac:dyDescent="0.15">
      <c r="A2342" s="191">
        <v>35613</v>
      </c>
      <c r="B2342" s="196">
        <v>8.09995803013807E-3</v>
      </c>
      <c r="C2342" s="194" t="s">
        <v>1</v>
      </c>
    </row>
    <row r="2343" spans="1:3" x14ac:dyDescent="0.15">
      <c r="A2343" s="191">
        <v>35614</v>
      </c>
      <c r="B2343" s="196">
        <v>8.102268061203198E-3</v>
      </c>
      <c r="C2343" s="194" t="s">
        <v>1</v>
      </c>
    </row>
    <row r="2344" spans="1:3" x14ac:dyDescent="0.15">
      <c r="A2344" s="191">
        <v>35615</v>
      </c>
      <c r="B2344" s="196">
        <v>8.1045787510672356E-3</v>
      </c>
      <c r="C2344" s="194" t="s">
        <v>1</v>
      </c>
    </row>
    <row r="2345" spans="1:3" x14ac:dyDescent="0.15">
      <c r="A2345" s="191">
        <v>35616</v>
      </c>
      <c r="B2345" s="196">
        <v>8.1045787510672356E-3</v>
      </c>
      <c r="C2345" s="194" t="s">
        <v>1</v>
      </c>
    </row>
    <row r="2346" spans="1:3" x14ac:dyDescent="0.15">
      <c r="A2346" s="191">
        <v>35617</v>
      </c>
      <c r="B2346" s="196">
        <v>8.1045787510672356E-3</v>
      </c>
      <c r="C2346" s="194" t="s">
        <v>1</v>
      </c>
    </row>
    <row r="2347" spans="1:3" x14ac:dyDescent="0.15">
      <c r="A2347" s="191">
        <v>35618</v>
      </c>
      <c r="B2347" s="196">
        <v>8.1068900999180654E-3</v>
      </c>
      <c r="C2347" s="194" t="s">
        <v>1</v>
      </c>
    </row>
    <row r="2348" spans="1:3" x14ac:dyDescent="0.15">
      <c r="A2348" s="191">
        <v>35619</v>
      </c>
      <c r="B2348" s="196">
        <v>8.1092021079436256E-3</v>
      </c>
      <c r="C2348" s="194" t="s">
        <v>1</v>
      </c>
    </row>
    <row r="2349" spans="1:3" x14ac:dyDescent="0.15">
      <c r="A2349" s="191">
        <v>35620</v>
      </c>
      <c r="B2349" s="196">
        <v>8.1115147753319065E-3</v>
      </c>
      <c r="C2349" s="194" t="s">
        <v>1</v>
      </c>
    </row>
    <row r="2350" spans="1:3" x14ac:dyDescent="0.15">
      <c r="A2350" s="191">
        <v>35621</v>
      </c>
      <c r="B2350" s="196">
        <v>8.1138281022709521E-3</v>
      </c>
      <c r="C2350" s="194" t="s">
        <v>1</v>
      </c>
    </row>
    <row r="2351" spans="1:3" x14ac:dyDescent="0.15">
      <c r="A2351" s="191">
        <v>35622</v>
      </c>
      <c r="B2351" s="196">
        <v>8.1161420889488602E-3</v>
      </c>
      <c r="C2351" s="194" t="s">
        <v>1</v>
      </c>
    </row>
    <row r="2352" spans="1:3" x14ac:dyDescent="0.15">
      <c r="A2352" s="191">
        <v>35623</v>
      </c>
      <c r="B2352" s="196">
        <v>8.1161420889488602E-3</v>
      </c>
      <c r="C2352" s="194" t="s">
        <v>1</v>
      </c>
    </row>
    <row r="2353" spans="1:3" x14ac:dyDescent="0.15">
      <c r="A2353" s="191">
        <v>35624</v>
      </c>
      <c r="B2353" s="196">
        <v>8.1161420889488602E-3</v>
      </c>
      <c r="C2353" s="194" t="s">
        <v>1</v>
      </c>
    </row>
    <row r="2354" spans="1:3" x14ac:dyDescent="0.15">
      <c r="A2354" s="191">
        <v>35625</v>
      </c>
      <c r="B2354" s="196">
        <v>8.1184567355537807E-3</v>
      </c>
      <c r="C2354" s="194" t="s">
        <v>1</v>
      </c>
    </row>
    <row r="2355" spans="1:3" x14ac:dyDescent="0.15">
      <c r="A2355" s="191">
        <v>35626</v>
      </c>
      <c r="B2355" s="196">
        <v>8.1207720422739188E-3</v>
      </c>
      <c r="C2355" s="194" t="s">
        <v>1</v>
      </c>
    </row>
    <row r="2356" spans="1:3" x14ac:dyDescent="0.15">
      <c r="A2356" s="191">
        <v>35627</v>
      </c>
      <c r="B2356" s="196">
        <v>8.1230880092975338E-3</v>
      </c>
      <c r="C2356" s="194" t="s">
        <v>1</v>
      </c>
    </row>
    <row r="2357" spans="1:3" x14ac:dyDescent="0.15">
      <c r="A2357" s="191">
        <v>35628</v>
      </c>
      <c r="B2357" s="196">
        <v>8.1254046368129385E-3</v>
      </c>
      <c r="C2357" s="194" t="s">
        <v>1</v>
      </c>
    </row>
    <row r="2358" spans="1:3" x14ac:dyDescent="0.15">
      <c r="A2358" s="191">
        <v>35629</v>
      </c>
      <c r="B2358" s="196">
        <v>8.1277219250084978E-3</v>
      </c>
      <c r="C2358" s="194" t="s">
        <v>1</v>
      </c>
    </row>
    <row r="2359" spans="1:3" x14ac:dyDescent="0.15">
      <c r="A2359" s="191">
        <v>35630</v>
      </c>
      <c r="B2359" s="196">
        <v>8.1277219250084978E-3</v>
      </c>
      <c r="C2359" s="194" t="s">
        <v>1</v>
      </c>
    </row>
    <row r="2360" spans="1:3" x14ac:dyDescent="0.15">
      <c r="A2360" s="191">
        <v>35631</v>
      </c>
      <c r="B2360" s="196">
        <v>8.1277219250084978E-3</v>
      </c>
      <c r="C2360" s="194" t="s">
        <v>1</v>
      </c>
    </row>
    <row r="2361" spans="1:3" x14ac:dyDescent="0.15">
      <c r="A2361" s="191">
        <v>35632</v>
      </c>
      <c r="B2361" s="196">
        <v>8.1300398740726323E-3</v>
      </c>
      <c r="C2361" s="194" t="s">
        <v>1</v>
      </c>
    </row>
    <row r="2362" spans="1:3" x14ac:dyDescent="0.15">
      <c r="A2362" s="191">
        <v>35633</v>
      </c>
      <c r="B2362" s="196">
        <v>8.1323584841938145E-3</v>
      </c>
      <c r="C2362" s="194" t="s">
        <v>1</v>
      </c>
    </row>
    <row r="2363" spans="1:3" x14ac:dyDescent="0.15">
      <c r="A2363" s="191">
        <v>35634</v>
      </c>
      <c r="B2363" s="196">
        <v>8.1346777555605723E-3</v>
      </c>
      <c r="C2363" s="194" t="s">
        <v>1</v>
      </c>
    </row>
    <row r="2364" spans="1:3" x14ac:dyDescent="0.15">
      <c r="A2364" s="191">
        <v>35635</v>
      </c>
      <c r="B2364" s="196">
        <v>8.1369976883614858E-3</v>
      </c>
      <c r="C2364" s="194" t="s">
        <v>1</v>
      </c>
    </row>
    <row r="2365" spans="1:3" x14ac:dyDescent="0.15">
      <c r="A2365" s="191">
        <v>35636</v>
      </c>
      <c r="B2365" s="196">
        <v>8.1393182827851907E-3</v>
      </c>
      <c r="C2365" s="194" t="s">
        <v>1</v>
      </c>
    </row>
    <row r="2366" spans="1:3" x14ac:dyDescent="0.15">
      <c r="A2366" s="191">
        <v>35637</v>
      </c>
      <c r="B2366" s="196">
        <v>8.1393182827851907E-3</v>
      </c>
      <c r="C2366" s="194" t="s">
        <v>1</v>
      </c>
    </row>
    <row r="2367" spans="1:3" x14ac:dyDescent="0.15">
      <c r="A2367" s="191">
        <v>35638</v>
      </c>
      <c r="B2367" s="196">
        <v>8.1393182827851907E-3</v>
      </c>
      <c r="C2367" s="194" t="s">
        <v>1</v>
      </c>
    </row>
    <row r="2368" spans="1:3" x14ac:dyDescent="0.15">
      <c r="A2368" s="191">
        <v>35639</v>
      </c>
      <c r="B2368" s="196">
        <v>8.1416395390203761E-3</v>
      </c>
      <c r="C2368" s="194" t="s">
        <v>1</v>
      </c>
    </row>
    <row r="2369" spans="1:3" x14ac:dyDescent="0.15">
      <c r="A2369" s="191">
        <v>35640</v>
      </c>
      <c r="B2369" s="196">
        <v>8.1439614572557835E-3</v>
      </c>
      <c r="C2369" s="194" t="s">
        <v>1</v>
      </c>
    </row>
    <row r="2370" spans="1:3" x14ac:dyDescent="0.15">
      <c r="A2370" s="191">
        <v>35641</v>
      </c>
      <c r="B2370" s="196">
        <v>8.1462840376802081E-3</v>
      </c>
      <c r="C2370" s="194" t="s">
        <v>1</v>
      </c>
    </row>
    <row r="2371" spans="1:3" x14ac:dyDescent="0.15">
      <c r="A2371" s="191">
        <v>35642</v>
      </c>
      <c r="B2371" s="196">
        <v>8.1486072804825005E-3</v>
      </c>
      <c r="C2371" s="194" t="s">
        <v>1</v>
      </c>
    </row>
    <row r="2372" spans="1:3" x14ac:dyDescent="0.15">
      <c r="A2372" s="191">
        <v>35643</v>
      </c>
      <c r="B2372" s="196">
        <v>8.1509311858515652E-3</v>
      </c>
      <c r="C2372" s="194" t="s">
        <v>1</v>
      </c>
    </row>
    <row r="2373" spans="1:3" x14ac:dyDescent="0.15">
      <c r="A2373" s="191">
        <v>35644</v>
      </c>
      <c r="B2373" s="196">
        <v>8.1509311858515652E-3</v>
      </c>
      <c r="C2373" s="194" t="s">
        <v>1</v>
      </c>
    </row>
    <row r="2374" spans="1:3" x14ac:dyDescent="0.15">
      <c r="A2374" s="191">
        <v>35645</v>
      </c>
      <c r="B2374" s="196">
        <v>8.1509311858515652E-3</v>
      </c>
      <c r="C2374" s="194" t="s">
        <v>1</v>
      </c>
    </row>
    <row r="2375" spans="1:3" x14ac:dyDescent="0.15">
      <c r="A2375" s="191">
        <v>35646</v>
      </c>
      <c r="B2375" s="196">
        <v>8.1533575843933965E-3</v>
      </c>
      <c r="C2375" s="194" t="s">
        <v>1</v>
      </c>
    </row>
    <row r="2376" spans="1:3" x14ac:dyDescent="0.15">
      <c r="A2376" s="191">
        <v>35647</v>
      </c>
      <c r="B2376" s="196">
        <v>8.1557847052342817E-3</v>
      </c>
      <c r="C2376" s="194" t="s">
        <v>1</v>
      </c>
    </row>
    <row r="2377" spans="1:3" x14ac:dyDescent="0.15">
      <c r="A2377" s="191">
        <v>35648</v>
      </c>
      <c r="B2377" s="196">
        <v>8.1582125485892363E-3</v>
      </c>
      <c r="C2377" s="194" t="s">
        <v>1</v>
      </c>
    </row>
    <row r="2378" spans="1:3" x14ac:dyDescent="0.15">
      <c r="A2378" s="191">
        <v>35649</v>
      </c>
      <c r="B2378" s="196">
        <v>8.1606411146733435E-3</v>
      </c>
      <c r="C2378" s="194" t="s">
        <v>1</v>
      </c>
    </row>
    <row r="2379" spans="1:3" x14ac:dyDescent="0.15">
      <c r="A2379" s="191">
        <v>35650</v>
      </c>
      <c r="B2379" s="196">
        <v>8.1630704037017453E-3</v>
      </c>
      <c r="C2379" s="194" t="s">
        <v>1</v>
      </c>
    </row>
    <row r="2380" spans="1:3" x14ac:dyDescent="0.15">
      <c r="A2380" s="191">
        <v>35651</v>
      </c>
      <c r="B2380" s="196">
        <v>8.1630704037017453E-3</v>
      </c>
      <c r="C2380" s="194" t="s">
        <v>1</v>
      </c>
    </row>
    <row r="2381" spans="1:3" x14ac:dyDescent="0.15">
      <c r="A2381" s="191">
        <v>35652</v>
      </c>
      <c r="B2381" s="196">
        <v>8.1630704037017453E-3</v>
      </c>
      <c r="C2381" s="194" t="s">
        <v>1</v>
      </c>
    </row>
    <row r="2382" spans="1:3" x14ac:dyDescent="0.15">
      <c r="A2382" s="191">
        <v>35653</v>
      </c>
      <c r="B2382" s="196">
        <v>8.1655004158896517E-3</v>
      </c>
      <c r="C2382" s="194" t="s">
        <v>1</v>
      </c>
    </row>
    <row r="2383" spans="1:3" x14ac:dyDescent="0.15">
      <c r="A2383" s="191">
        <v>35654</v>
      </c>
      <c r="B2383" s="196">
        <v>8.1679311514523349E-3</v>
      </c>
      <c r="C2383" s="194" t="s">
        <v>1</v>
      </c>
    </row>
    <row r="2384" spans="1:3" x14ac:dyDescent="0.15">
      <c r="A2384" s="191">
        <v>35655</v>
      </c>
      <c r="B2384" s="196">
        <v>8.1703626106051329E-3</v>
      </c>
      <c r="C2384" s="194" t="s">
        <v>1</v>
      </c>
    </row>
    <row r="2385" spans="1:3" x14ac:dyDescent="0.15">
      <c r="A2385" s="191">
        <v>35656</v>
      </c>
      <c r="B2385" s="196">
        <v>8.1727947935634447E-3</v>
      </c>
      <c r="C2385" s="194" t="s">
        <v>1</v>
      </c>
    </row>
    <row r="2386" spans="1:3" x14ac:dyDescent="0.15">
      <c r="A2386" s="191">
        <v>35657</v>
      </c>
      <c r="B2386" s="196">
        <v>8.1752277005427369E-3</v>
      </c>
      <c r="C2386" s="194" t="s">
        <v>1</v>
      </c>
    </row>
    <row r="2387" spans="1:3" x14ac:dyDescent="0.15">
      <c r="A2387" s="191">
        <v>35658</v>
      </c>
      <c r="B2387" s="196">
        <v>8.1752277005427369E-3</v>
      </c>
      <c r="C2387" s="194" t="s">
        <v>1</v>
      </c>
    </row>
    <row r="2388" spans="1:3" x14ac:dyDescent="0.15">
      <c r="A2388" s="191">
        <v>35659</v>
      </c>
      <c r="B2388" s="196">
        <v>8.1752277005427369E-3</v>
      </c>
      <c r="C2388" s="194" t="s">
        <v>1</v>
      </c>
    </row>
    <row r="2389" spans="1:3" x14ac:dyDescent="0.15">
      <c r="A2389" s="191">
        <v>35660</v>
      </c>
      <c r="B2389" s="196">
        <v>8.1776613317585383E-3</v>
      </c>
      <c r="C2389" s="194" t="s">
        <v>1</v>
      </c>
    </row>
    <row r="2390" spans="1:3" x14ac:dyDescent="0.15">
      <c r="A2390" s="191">
        <v>35661</v>
      </c>
      <c r="B2390" s="196">
        <v>8.1800956874264422E-3</v>
      </c>
      <c r="C2390" s="194" t="s">
        <v>1</v>
      </c>
    </row>
    <row r="2391" spans="1:3" x14ac:dyDescent="0.15">
      <c r="A2391" s="191">
        <v>35662</v>
      </c>
      <c r="B2391" s="196">
        <v>8.182530767762106E-3</v>
      </c>
      <c r="C2391" s="194" t="s">
        <v>1</v>
      </c>
    </row>
    <row r="2392" spans="1:3" x14ac:dyDescent="0.15">
      <c r="A2392" s="191">
        <v>35663</v>
      </c>
      <c r="B2392" s="196">
        <v>8.1849665729812511E-3</v>
      </c>
      <c r="C2392" s="194" t="s">
        <v>1</v>
      </c>
    </row>
    <row r="2393" spans="1:3" x14ac:dyDescent="0.15">
      <c r="A2393" s="191">
        <v>35664</v>
      </c>
      <c r="B2393" s="196">
        <v>8.1874031032996633E-3</v>
      </c>
      <c r="C2393" s="194" t="s">
        <v>1</v>
      </c>
    </row>
    <row r="2394" spans="1:3" x14ac:dyDescent="0.15">
      <c r="A2394" s="191">
        <v>35665</v>
      </c>
      <c r="B2394" s="196">
        <v>8.1874031032996633E-3</v>
      </c>
      <c r="C2394" s="194" t="s">
        <v>1</v>
      </c>
    </row>
    <row r="2395" spans="1:3" x14ac:dyDescent="0.15">
      <c r="A2395" s="191">
        <v>35666</v>
      </c>
      <c r="B2395" s="196">
        <v>8.1874031032996633E-3</v>
      </c>
      <c r="C2395" s="194" t="s">
        <v>1</v>
      </c>
    </row>
    <row r="2396" spans="1:3" x14ac:dyDescent="0.15">
      <c r="A2396" s="191">
        <v>35667</v>
      </c>
      <c r="B2396" s="196">
        <v>8.1898403589331925E-3</v>
      </c>
      <c r="C2396" s="194" t="s">
        <v>1</v>
      </c>
    </row>
    <row r="2397" spans="1:3" x14ac:dyDescent="0.15">
      <c r="A2397" s="191">
        <v>35668</v>
      </c>
      <c r="B2397" s="196">
        <v>8.1922783400977545E-3</v>
      </c>
      <c r="C2397" s="194" t="s">
        <v>1</v>
      </c>
    </row>
    <row r="2398" spans="1:3" x14ac:dyDescent="0.15">
      <c r="A2398" s="191">
        <v>35669</v>
      </c>
      <c r="B2398" s="196">
        <v>8.1947170470093277E-3</v>
      </c>
      <c r="C2398" s="194" t="s">
        <v>1</v>
      </c>
    </row>
    <row r="2399" spans="1:3" x14ac:dyDescent="0.15">
      <c r="A2399" s="191">
        <v>35670</v>
      </c>
      <c r="B2399" s="196">
        <v>8.1971564798839543E-3</v>
      </c>
      <c r="C2399" s="194" t="s">
        <v>1</v>
      </c>
    </row>
    <row r="2400" spans="1:3" x14ac:dyDescent="0.15">
      <c r="A2400" s="191">
        <v>35671</v>
      </c>
      <c r="B2400" s="196">
        <v>8.1995966389377412E-3</v>
      </c>
      <c r="C2400" s="194" t="s">
        <v>1</v>
      </c>
    </row>
    <row r="2401" spans="1:3" x14ac:dyDescent="0.15">
      <c r="A2401" s="191">
        <v>35672</v>
      </c>
      <c r="B2401" s="196">
        <v>8.1995966389377412E-3</v>
      </c>
      <c r="C2401" s="194" t="s">
        <v>1</v>
      </c>
    </row>
    <row r="2402" spans="1:3" x14ac:dyDescent="0.15">
      <c r="A2402" s="191">
        <v>35673</v>
      </c>
      <c r="B2402" s="196">
        <v>8.1995966389377412E-3</v>
      </c>
      <c r="C2402" s="194" t="s">
        <v>1</v>
      </c>
    </row>
    <row r="2403" spans="1:3" x14ac:dyDescent="0.15">
      <c r="A2403" s="191">
        <v>35674</v>
      </c>
      <c r="B2403" s="196">
        <v>8.2020375243868609E-3</v>
      </c>
      <c r="C2403" s="194" t="s">
        <v>1</v>
      </c>
    </row>
    <row r="2404" spans="1:3" x14ac:dyDescent="0.15">
      <c r="A2404" s="191">
        <v>35675</v>
      </c>
      <c r="B2404" s="196">
        <v>8.204443733839089E-3</v>
      </c>
      <c r="C2404" s="194" t="s">
        <v>1</v>
      </c>
    </row>
    <row r="2405" spans="1:3" x14ac:dyDescent="0.15">
      <c r="A2405" s="191">
        <v>35676</v>
      </c>
      <c r="B2405" s="196">
        <v>8.2068506491944429E-3</v>
      </c>
      <c r="C2405" s="194" t="s">
        <v>1</v>
      </c>
    </row>
    <row r="2406" spans="1:3" x14ac:dyDescent="0.15">
      <c r="A2406" s="191">
        <v>35677</v>
      </c>
      <c r="B2406" s="196">
        <v>8.2092582706600123E-3</v>
      </c>
      <c r="C2406" s="194" t="s">
        <v>1</v>
      </c>
    </row>
    <row r="2407" spans="1:3" x14ac:dyDescent="0.15">
      <c r="A2407" s="191">
        <v>35678</v>
      </c>
      <c r="B2407" s="196">
        <v>8.2116665984429456E-3</v>
      </c>
      <c r="C2407" s="194" t="s">
        <v>1</v>
      </c>
    </row>
    <row r="2408" spans="1:3" x14ac:dyDescent="0.15">
      <c r="A2408" s="191">
        <v>35679</v>
      </c>
      <c r="B2408" s="196">
        <v>8.2116665984429456E-3</v>
      </c>
      <c r="C2408" s="194" t="s">
        <v>1</v>
      </c>
    </row>
    <row r="2409" spans="1:3" x14ac:dyDescent="0.15">
      <c r="A2409" s="191">
        <v>35680</v>
      </c>
      <c r="B2409" s="196">
        <v>8.2116665984429456E-3</v>
      </c>
      <c r="C2409" s="194" t="s">
        <v>1</v>
      </c>
    </row>
    <row r="2410" spans="1:3" x14ac:dyDescent="0.15">
      <c r="A2410" s="191">
        <v>35681</v>
      </c>
      <c r="B2410" s="196">
        <v>8.214075632750454E-3</v>
      </c>
      <c r="C2410" s="194" t="s">
        <v>1</v>
      </c>
    </row>
    <row r="2411" spans="1:3" x14ac:dyDescent="0.15">
      <c r="A2411" s="191">
        <v>35682</v>
      </c>
      <c r="B2411" s="196">
        <v>8.2164853737898089E-3</v>
      </c>
      <c r="C2411" s="194" t="s">
        <v>1</v>
      </c>
    </row>
    <row r="2412" spans="1:3" x14ac:dyDescent="0.15">
      <c r="A2412" s="191">
        <v>35683</v>
      </c>
      <c r="B2412" s="196">
        <v>8.2188958217683412E-3</v>
      </c>
      <c r="C2412" s="194" t="s">
        <v>1</v>
      </c>
    </row>
    <row r="2413" spans="1:3" x14ac:dyDescent="0.15">
      <c r="A2413" s="191">
        <v>35684</v>
      </c>
      <c r="B2413" s="196">
        <v>8.221306976893444E-3</v>
      </c>
      <c r="C2413" s="194" t="s">
        <v>1</v>
      </c>
    </row>
    <row r="2414" spans="1:3" x14ac:dyDescent="0.15">
      <c r="A2414" s="191">
        <v>35685</v>
      </c>
      <c r="B2414" s="196">
        <v>8.2237188393725728E-3</v>
      </c>
      <c r="C2414" s="194" t="s">
        <v>1</v>
      </c>
    </row>
    <row r="2415" spans="1:3" x14ac:dyDescent="0.15">
      <c r="A2415" s="191">
        <v>35686</v>
      </c>
      <c r="B2415" s="196">
        <v>8.2237188393725728E-3</v>
      </c>
      <c r="C2415" s="194" t="s">
        <v>1</v>
      </c>
    </row>
    <row r="2416" spans="1:3" x14ac:dyDescent="0.15">
      <c r="A2416" s="191">
        <v>35687</v>
      </c>
      <c r="B2416" s="196">
        <v>8.2237188393725728E-3</v>
      </c>
      <c r="C2416" s="194" t="s">
        <v>1</v>
      </c>
    </row>
    <row r="2417" spans="1:3" x14ac:dyDescent="0.15">
      <c r="A2417" s="191">
        <v>35688</v>
      </c>
      <c r="B2417" s="196">
        <v>8.2261314094132405E-3</v>
      </c>
      <c r="C2417" s="194" t="s">
        <v>1</v>
      </c>
    </row>
    <row r="2418" spans="1:3" x14ac:dyDescent="0.15">
      <c r="A2418" s="191">
        <v>35689</v>
      </c>
      <c r="B2418" s="196">
        <v>8.2285446872230224E-3</v>
      </c>
      <c r="C2418" s="194" t="s">
        <v>1</v>
      </c>
    </row>
    <row r="2419" spans="1:3" x14ac:dyDescent="0.15">
      <c r="A2419" s="191">
        <v>35690</v>
      </c>
      <c r="B2419" s="196">
        <v>8.2309586730095544E-3</v>
      </c>
      <c r="C2419" s="194" t="s">
        <v>1</v>
      </c>
    </row>
    <row r="2420" spans="1:3" x14ac:dyDescent="0.15">
      <c r="A2420" s="191">
        <v>35691</v>
      </c>
      <c r="B2420" s="196">
        <v>8.2333733669805349E-3</v>
      </c>
      <c r="C2420" s="194" t="s">
        <v>1</v>
      </c>
    </row>
    <row r="2421" spans="1:3" x14ac:dyDescent="0.15">
      <c r="A2421" s="191">
        <v>35692</v>
      </c>
      <c r="B2421" s="196">
        <v>8.2357887693437215E-3</v>
      </c>
      <c r="C2421" s="194" t="s">
        <v>1</v>
      </c>
    </row>
    <row r="2422" spans="1:3" x14ac:dyDescent="0.15">
      <c r="A2422" s="191">
        <v>35693</v>
      </c>
      <c r="B2422" s="196">
        <v>8.2357887693437215E-3</v>
      </c>
      <c r="C2422" s="194" t="s">
        <v>1</v>
      </c>
    </row>
    <row r="2423" spans="1:3" x14ac:dyDescent="0.15">
      <c r="A2423" s="191">
        <v>35694</v>
      </c>
      <c r="B2423" s="196">
        <v>8.2357887693437215E-3</v>
      </c>
      <c r="C2423" s="194" t="s">
        <v>1</v>
      </c>
    </row>
    <row r="2424" spans="1:3" x14ac:dyDescent="0.15">
      <c r="A2424" s="191">
        <v>35695</v>
      </c>
      <c r="B2424" s="196">
        <v>8.238204880306934E-3</v>
      </c>
      <c r="C2424" s="194" t="s">
        <v>1</v>
      </c>
    </row>
    <row r="2425" spans="1:3" x14ac:dyDescent="0.15">
      <c r="A2425" s="191">
        <v>35696</v>
      </c>
      <c r="B2425" s="196">
        <v>8.2406217000780511E-3</v>
      </c>
      <c r="C2425" s="194" t="s">
        <v>1</v>
      </c>
    </row>
    <row r="2426" spans="1:3" x14ac:dyDescent="0.15">
      <c r="A2426" s="191">
        <v>35697</v>
      </c>
      <c r="B2426" s="196">
        <v>8.2430392288650144E-3</v>
      </c>
      <c r="C2426" s="194" t="s">
        <v>1</v>
      </c>
    </row>
    <row r="2427" spans="1:3" x14ac:dyDescent="0.15">
      <c r="A2427" s="191">
        <v>35698</v>
      </c>
      <c r="B2427" s="196">
        <v>8.2454574668758274E-3</v>
      </c>
      <c r="C2427" s="194" t="s">
        <v>1</v>
      </c>
    </row>
    <row r="2428" spans="1:3" x14ac:dyDescent="0.15">
      <c r="A2428" s="191">
        <v>35699</v>
      </c>
      <c r="B2428" s="196">
        <v>8.2478764143185512E-3</v>
      </c>
      <c r="C2428" s="194" t="s">
        <v>1</v>
      </c>
    </row>
    <row r="2429" spans="1:3" x14ac:dyDescent="0.15">
      <c r="A2429" s="191">
        <v>35700</v>
      </c>
      <c r="B2429" s="196">
        <v>8.2478764143185512E-3</v>
      </c>
      <c r="C2429" s="194" t="s">
        <v>1</v>
      </c>
    </row>
    <row r="2430" spans="1:3" x14ac:dyDescent="0.15">
      <c r="A2430" s="191">
        <v>35701</v>
      </c>
      <c r="B2430" s="196">
        <v>8.2478764143185512E-3</v>
      </c>
      <c r="C2430" s="194" t="s">
        <v>1</v>
      </c>
    </row>
    <row r="2431" spans="1:3" x14ac:dyDescent="0.15">
      <c r="A2431" s="191">
        <v>35702</v>
      </c>
      <c r="B2431" s="196">
        <v>8.2502960714013109E-3</v>
      </c>
      <c r="C2431" s="194" t="s">
        <v>1</v>
      </c>
    </row>
    <row r="2432" spans="1:3" x14ac:dyDescent="0.15">
      <c r="A2432" s="191">
        <v>35703</v>
      </c>
      <c r="B2432" s="196">
        <v>8.2527164383322908E-3</v>
      </c>
      <c r="C2432" s="194" t="s">
        <v>1</v>
      </c>
    </row>
    <row r="2433" spans="1:3" x14ac:dyDescent="0.15">
      <c r="A2433" s="191">
        <v>35704</v>
      </c>
      <c r="B2433" s="196">
        <v>8.2551375153197375E-3</v>
      </c>
      <c r="C2433" s="194" t="s">
        <v>1</v>
      </c>
    </row>
    <row r="2434" spans="1:3" x14ac:dyDescent="0.15">
      <c r="A2434" s="191">
        <v>35705</v>
      </c>
      <c r="B2434" s="196">
        <v>8.2575887628799204E-3</v>
      </c>
      <c r="C2434" s="194" t="s">
        <v>1</v>
      </c>
    </row>
    <row r="2435" spans="1:3" x14ac:dyDescent="0.15">
      <c r="A2435" s="191">
        <v>35706</v>
      </c>
      <c r="B2435" s="196">
        <v>8.2600407383037634E-3</v>
      </c>
      <c r="C2435" s="194" t="s">
        <v>1</v>
      </c>
    </row>
    <row r="2436" spans="1:3" x14ac:dyDescent="0.15">
      <c r="A2436" s="191">
        <v>35707</v>
      </c>
      <c r="B2436" s="196">
        <v>8.2600407383037634E-3</v>
      </c>
      <c r="C2436" s="194" t="s">
        <v>1</v>
      </c>
    </row>
    <row r="2437" spans="1:3" x14ac:dyDescent="0.15">
      <c r="A2437" s="191">
        <v>35708</v>
      </c>
      <c r="B2437" s="196">
        <v>8.2600407383037634E-3</v>
      </c>
      <c r="C2437" s="194" t="s">
        <v>1</v>
      </c>
    </row>
    <row r="2438" spans="1:3" x14ac:dyDescent="0.15">
      <c r="A2438" s="191">
        <v>35709</v>
      </c>
      <c r="B2438" s="196">
        <v>8.2624934418073955E-3</v>
      </c>
      <c r="C2438" s="194" t="s">
        <v>1</v>
      </c>
    </row>
    <row r="2439" spans="1:3" x14ac:dyDescent="0.15">
      <c r="A2439" s="191">
        <v>35710</v>
      </c>
      <c r="B2439" s="196">
        <v>8.2649468736070084E-3</v>
      </c>
      <c r="C2439" s="194" t="s">
        <v>1</v>
      </c>
    </row>
    <row r="2440" spans="1:3" x14ac:dyDescent="0.15">
      <c r="A2440" s="191">
        <v>35711</v>
      </c>
      <c r="B2440" s="196">
        <v>8.2674010339188597E-3</v>
      </c>
      <c r="C2440" s="194" t="s">
        <v>1</v>
      </c>
    </row>
    <row r="2441" spans="1:3" x14ac:dyDescent="0.15">
      <c r="A2441" s="191">
        <v>35712</v>
      </c>
      <c r="B2441" s="196">
        <v>8.2698559229592711E-3</v>
      </c>
      <c r="C2441" s="194" t="s">
        <v>1</v>
      </c>
    </row>
    <row r="2442" spans="1:3" x14ac:dyDescent="0.15">
      <c r="A2442" s="191">
        <v>35713</v>
      </c>
      <c r="B2442" s="196">
        <v>8.2723115409446286E-3</v>
      </c>
      <c r="C2442" s="194" t="s">
        <v>1</v>
      </c>
    </row>
    <row r="2443" spans="1:3" x14ac:dyDescent="0.15">
      <c r="A2443" s="191">
        <v>35714</v>
      </c>
      <c r="B2443" s="196">
        <v>8.2723115409446286E-3</v>
      </c>
      <c r="C2443" s="194" t="s">
        <v>1</v>
      </c>
    </row>
    <row r="2444" spans="1:3" x14ac:dyDescent="0.15">
      <c r="A2444" s="191">
        <v>35715</v>
      </c>
      <c r="B2444" s="196">
        <v>8.2723115409446286E-3</v>
      </c>
      <c r="C2444" s="194" t="s">
        <v>1</v>
      </c>
    </row>
    <row r="2445" spans="1:3" x14ac:dyDescent="0.15">
      <c r="A2445" s="191">
        <v>35716</v>
      </c>
      <c r="B2445" s="196">
        <v>8.2747678880913823E-3</v>
      </c>
      <c r="C2445" s="194" t="s">
        <v>1</v>
      </c>
    </row>
    <row r="2446" spans="1:3" x14ac:dyDescent="0.15">
      <c r="A2446" s="191">
        <v>35717</v>
      </c>
      <c r="B2446" s="196">
        <v>8.2772249646160465E-3</v>
      </c>
      <c r="C2446" s="194" t="s">
        <v>1</v>
      </c>
    </row>
    <row r="2447" spans="1:3" x14ac:dyDescent="0.15">
      <c r="A2447" s="191">
        <v>35718</v>
      </c>
      <c r="B2447" s="196">
        <v>8.2796827707351996E-3</v>
      </c>
      <c r="C2447" s="194" t="s">
        <v>1</v>
      </c>
    </row>
    <row r="2448" spans="1:3" x14ac:dyDescent="0.15">
      <c r="A2448" s="191">
        <v>35719</v>
      </c>
      <c r="B2448" s="196">
        <v>8.2821413066654845E-3</v>
      </c>
      <c r="C2448" s="194" t="s">
        <v>1</v>
      </c>
    </row>
    <row r="2449" spans="1:3" x14ac:dyDescent="0.15">
      <c r="A2449" s="191">
        <v>35720</v>
      </c>
      <c r="B2449" s="196">
        <v>8.2846005726236079E-3</v>
      </c>
      <c r="C2449" s="194" t="s">
        <v>1</v>
      </c>
    </row>
    <row r="2450" spans="1:3" x14ac:dyDescent="0.15">
      <c r="A2450" s="191">
        <v>35721</v>
      </c>
      <c r="B2450" s="196">
        <v>8.2846005726236079E-3</v>
      </c>
      <c r="C2450" s="194" t="s">
        <v>1</v>
      </c>
    </row>
    <row r="2451" spans="1:3" x14ac:dyDescent="0.15">
      <c r="A2451" s="191">
        <v>35722</v>
      </c>
      <c r="B2451" s="196">
        <v>8.2846005726236079E-3</v>
      </c>
      <c r="C2451" s="194" t="s">
        <v>1</v>
      </c>
    </row>
    <row r="2452" spans="1:3" x14ac:dyDescent="0.15">
      <c r="A2452" s="191">
        <v>35723</v>
      </c>
      <c r="B2452" s="196">
        <v>8.2870605688263425E-3</v>
      </c>
      <c r="C2452" s="194" t="s">
        <v>1</v>
      </c>
    </row>
    <row r="2453" spans="1:3" x14ac:dyDescent="0.15">
      <c r="A2453" s="191">
        <v>35724</v>
      </c>
      <c r="B2453" s="196">
        <v>8.2895212954905238E-3</v>
      </c>
      <c r="C2453" s="194" t="s">
        <v>1</v>
      </c>
    </row>
    <row r="2454" spans="1:3" x14ac:dyDescent="0.15">
      <c r="A2454" s="191">
        <v>35725</v>
      </c>
      <c r="B2454" s="196">
        <v>8.2919827528330509E-3</v>
      </c>
      <c r="C2454" s="194" t="s">
        <v>1</v>
      </c>
    </row>
    <row r="2455" spans="1:3" x14ac:dyDescent="0.15">
      <c r="A2455" s="191">
        <v>35726</v>
      </c>
      <c r="B2455" s="196">
        <v>8.2944449410708894E-3</v>
      </c>
      <c r="C2455" s="194" t="s">
        <v>1</v>
      </c>
    </row>
    <row r="2456" spans="1:3" x14ac:dyDescent="0.15">
      <c r="A2456" s="191">
        <v>35727</v>
      </c>
      <c r="B2456" s="196">
        <v>8.2969078604210687E-3</v>
      </c>
      <c r="C2456" s="194" t="s">
        <v>1</v>
      </c>
    </row>
    <row r="2457" spans="1:3" x14ac:dyDescent="0.15">
      <c r="A2457" s="191">
        <v>35728</v>
      </c>
      <c r="B2457" s="196">
        <v>8.2969078604210687E-3</v>
      </c>
      <c r="C2457" s="194" t="s">
        <v>1</v>
      </c>
    </row>
    <row r="2458" spans="1:3" x14ac:dyDescent="0.15">
      <c r="A2458" s="191">
        <v>35729</v>
      </c>
      <c r="B2458" s="196">
        <v>8.2969078604210687E-3</v>
      </c>
      <c r="C2458" s="194" t="s">
        <v>1</v>
      </c>
    </row>
    <row r="2459" spans="1:3" x14ac:dyDescent="0.15">
      <c r="A2459" s="191">
        <v>35730</v>
      </c>
      <c r="B2459" s="196">
        <v>8.2993715111006824E-3</v>
      </c>
      <c r="C2459" s="194" t="s">
        <v>1</v>
      </c>
    </row>
    <row r="2460" spans="1:3" x14ac:dyDescent="0.15">
      <c r="A2460" s="191">
        <v>35731</v>
      </c>
      <c r="B2460" s="196">
        <v>8.3018358933268886E-3</v>
      </c>
      <c r="C2460" s="194" t="s">
        <v>1</v>
      </c>
    </row>
    <row r="2461" spans="1:3" x14ac:dyDescent="0.15">
      <c r="A2461" s="191">
        <v>35732</v>
      </c>
      <c r="B2461" s="196">
        <v>8.3043010073169093E-3</v>
      </c>
      <c r="C2461" s="194" t="s">
        <v>1</v>
      </c>
    </row>
    <row r="2462" spans="1:3" x14ac:dyDescent="0.15">
      <c r="A2462" s="191">
        <v>35733</v>
      </c>
      <c r="B2462" s="196">
        <v>8.3067668532880324E-3</v>
      </c>
      <c r="C2462" s="194" t="s">
        <v>1</v>
      </c>
    </row>
    <row r="2463" spans="1:3" x14ac:dyDescent="0.15">
      <c r="A2463" s="191">
        <v>35734</v>
      </c>
      <c r="B2463" s="196">
        <v>8.3092334314576084E-3</v>
      </c>
      <c r="C2463" s="194" t="s">
        <v>1</v>
      </c>
    </row>
    <row r="2464" spans="1:3" x14ac:dyDescent="0.15">
      <c r="A2464" s="191">
        <v>35735</v>
      </c>
      <c r="B2464" s="196">
        <v>8.3092334314576084E-3</v>
      </c>
      <c r="C2464" s="194" t="s">
        <v>1</v>
      </c>
    </row>
    <row r="2465" spans="1:3" x14ac:dyDescent="0.15">
      <c r="A2465" s="191">
        <v>35736</v>
      </c>
      <c r="B2465" s="196">
        <v>8.3092334314576084E-3</v>
      </c>
      <c r="C2465" s="194" t="s">
        <v>1</v>
      </c>
    </row>
    <row r="2466" spans="1:3" x14ac:dyDescent="0.15">
      <c r="A2466" s="191">
        <v>35737</v>
      </c>
      <c r="B2466" s="196">
        <v>8.3152568887259904E-3</v>
      </c>
      <c r="C2466" s="194" t="s">
        <v>1</v>
      </c>
    </row>
    <row r="2467" spans="1:3" x14ac:dyDescent="0.15">
      <c r="A2467" s="191">
        <v>35738</v>
      </c>
      <c r="B2467" s="196">
        <v>8.3212847124666534E-3</v>
      </c>
      <c r="C2467" s="194" t="s">
        <v>1</v>
      </c>
    </row>
    <row r="2468" spans="1:3" x14ac:dyDescent="0.15">
      <c r="A2468" s="191">
        <v>35739</v>
      </c>
      <c r="B2468" s="196">
        <v>8.3273169058449038E-3</v>
      </c>
      <c r="C2468" s="194" t="s">
        <v>1</v>
      </c>
    </row>
    <row r="2469" spans="1:3" x14ac:dyDescent="0.15">
      <c r="A2469" s="191">
        <v>35740</v>
      </c>
      <c r="B2469" s="196">
        <v>8.3333534720283417E-3</v>
      </c>
      <c r="C2469" s="194" t="s">
        <v>1</v>
      </c>
    </row>
    <row r="2470" spans="1:3" x14ac:dyDescent="0.15">
      <c r="A2470" s="191">
        <v>35741</v>
      </c>
      <c r="B2470" s="196">
        <v>8.3393944141868619E-3</v>
      </c>
      <c r="C2470" s="194" t="s">
        <v>1</v>
      </c>
    </row>
    <row r="2471" spans="1:3" x14ac:dyDescent="0.15">
      <c r="A2471" s="191">
        <v>35742</v>
      </c>
      <c r="B2471" s="196">
        <v>8.3393944141868619E-3</v>
      </c>
      <c r="C2471" s="194" t="s">
        <v>1</v>
      </c>
    </row>
    <row r="2472" spans="1:3" x14ac:dyDescent="0.15">
      <c r="A2472" s="191">
        <v>35743</v>
      </c>
      <c r="B2472" s="196">
        <v>8.3393944141868619E-3</v>
      </c>
      <c r="C2472" s="194" t="s">
        <v>1</v>
      </c>
    </row>
    <row r="2473" spans="1:3" x14ac:dyDescent="0.15">
      <c r="A2473" s="191">
        <v>35744</v>
      </c>
      <c r="B2473" s="196">
        <v>8.3454397354926595E-3</v>
      </c>
      <c r="C2473" s="194" t="s">
        <v>1</v>
      </c>
    </row>
    <row r="2474" spans="1:3" x14ac:dyDescent="0.15">
      <c r="A2474" s="191">
        <v>35745</v>
      </c>
      <c r="B2474" s="196">
        <v>8.3514894391202264E-3</v>
      </c>
      <c r="C2474" s="194" t="s">
        <v>1</v>
      </c>
    </row>
    <row r="2475" spans="1:3" x14ac:dyDescent="0.15">
      <c r="A2475" s="191">
        <v>35746</v>
      </c>
      <c r="B2475" s="196">
        <v>8.3575435282463584E-3</v>
      </c>
      <c r="C2475" s="194" t="s">
        <v>1</v>
      </c>
    </row>
    <row r="2476" spans="1:3" x14ac:dyDescent="0.15">
      <c r="A2476" s="191">
        <v>35747</v>
      </c>
      <c r="B2476" s="196">
        <v>8.3636020060501529E-3</v>
      </c>
      <c r="C2476" s="194" t="s">
        <v>1</v>
      </c>
    </row>
    <row r="2477" spans="1:3" x14ac:dyDescent="0.15">
      <c r="A2477" s="191">
        <v>35748</v>
      </c>
      <c r="B2477" s="196">
        <v>8.3696648757130114E-3</v>
      </c>
      <c r="C2477" s="194" t="s">
        <v>1</v>
      </c>
    </row>
    <row r="2478" spans="1:3" x14ac:dyDescent="0.15">
      <c r="A2478" s="191">
        <v>35749</v>
      </c>
      <c r="B2478" s="196">
        <v>8.3696648757130114E-3</v>
      </c>
      <c r="C2478" s="194" t="s">
        <v>1</v>
      </c>
    </row>
    <row r="2479" spans="1:3" x14ac:dyDescent="0.15">
      <c r="A2479" s="191">
        <v>35750</v>
      </c>
      <c r="B2479" s="196">
        <v>8.3696648757130114E-3</v>
      </c>
      <c r="C2479" s="194" t="s">
        <v>1</v>
      </c>
    </row>
    <row r="2480" spans="1:3" x14ac:dyDescent="0.15">
      <c r="A2480" s="191">
        <v>35751</v>
      </c>
      <c r="B2480" s="196">
        <v>8.3757321404186423E-3</v>
      </c>
      <c r="C2480" s="194" t="s">
        <v>1</v>
      </c>
    </row>
    <row r="2481" spans="1:3" x14ac:dyDescent="0.15">
      <c r="A2481" s="191">
        <v>35752</v>
      </c>
      <c r="B2481" s="196">
        <v>8.3818038033530613E-3</v>
      </c>
      <c r="C2481" s="194" t="s">
        <v>1</v>
      </c>
    </row>
    <row r="2482" spans="1:3" x14ac:dyDescent="0.15">
      <c r="A2482" s="191">
        <v>35753</v>
      </c>
      <c r="B2482" s="196">
        <v>8.3878798677045948E-3</v>
      </c>
      <c r="C2482" s="194" t="s">
        <v>1</v>
      </c>
    </row>
    <row r="2483" spans="1:3" x14ac:dyDescent="0.15">
      <c r="A2483" s="191">
        <v>35754</v>
      </c>
      <c r="B2483" s="196">
        <v>8.3939603366638797E-3</v>
      </c>
      <c r="C2483" s="194" t="s">
        <v>1</v>
      </c>
    </row>
    <row r="2484" spans="1:3" x14ac:dyDescent="0.15">
      <c r="A2484" s="191">
        <v>35755</v>
      </c>
      <c r="B2484" s="196">
        <v>8.4000452134238672E-3</v>
      </c>
      <c r="C2484" s="194" t="s">
        <v>1</v>
      </c>
    </row>
    <row r="2485" spans="1:3" x14ac:dyDescent="0.15">
      <c r="A2485" s="191">
        <v>35756</v>
      </c>
      <c r="B2485" s="196">
        <v>8.4000452134238672E-3</v>
      </c>
      <c r="C2485" s="194" t="s">
        <v>1</v>
      </c>
    </row>
    <row r="2486" spans="1:3" x14ac:dyDescent="0.15">
      <c r="A2486" s="191">
        <v>35757</v>
      </c>
      <c r="B2486" s="196">
        <v>8.4000452134238672E-3</v>
      </c>
      <c r="C2486" s="194" t="s">
        <v>1</v>
      </c>
    </row>
    <row r="2487" spans="1:3" x14ac:dyDescent="0.15">
      <c r="A2487" s="191">
        <v>35758</v>
      </c>
      <c r="B2487" s="196">
        <v>8.4061345011798207E-3</v>
      </c>
      <c r="C2487" s="194" t="s">
        <v>1</v>
      </c>
    </row>
    <row r="2488" spans="1:3" x14ac:dyDescent="0.15">
      <c r="A2488" s="191">
        <v>35759</v>
      </c>
      <c r="B2488" s="196">
        <v>8.4122282031293214E-3</v>
      </c>
      <c r="C2488" s="194" t="s">
        <v>1</v>
      </c>
    </row>
    <row r="2489" spans="1:3" x14ac:dyDescent="0.15">
      <c r="A2489" s="191">
        <v>35760</v>
      </c>
      <c r="B2489" s="196">
        <v>8.4183263224722679E-3</v>
      </c>
      <c r="C2489" s="194" t="s">
        <v>1</v>
      </c>
    </row>
    <row r="2490" spans="1:3" x14ac:dyDescent="0.15">
      <c r="A2490" s="191">
        <v>35761</v>
      </c>
      <c r="B2490" s="196">
        <v>8.4244288624108783E-3</v>
      </c>
      <c r="C2490" s="194" t="s">
        <v>1</v>
      </c>
    </row>
    <row r="2491" spans="1:3" x14ac:dyDescent="0.15">
      <c r="A2491" s="191">
        <v>35762</v>
      </c>
      <c r="B2491" s="196">
        <v>8.4305358261496915E-3</v>
      </c>
      <c r="C2491" s="194" t="s">
        <v>1</v>
      </c>
    </row>
    <row r="2492" spans="1:3" x14ac:dyDescent="0.15">
      <c r="A2492" s="191">
        <v>35763</v>
      </c>
      <c r="B2492" s="196">
        <v>8.4305358261496915E-3</v>
      </c>
      <c r="C2492" s="194" t="s">
        <v>1</v>
      </c>
    </row>
    <row r="2493" spans="1:3" x14ac:dyDescent="0.15">
      <c r="A2493" s="191">
        <v>35764</v>
      </c>
      <c r="B2493" s="196">
        <v>8.4305358261496915E-3</v>
      </c>
      <c r="C2493" s="194" t="s">
        <v>1</v>
      </c>
    </row>
    <row r="2494" spans="1:3" x14ac:dyDescent="0.15">
      <c r="A2494" s="191">
        <v>35765</v>
      </c>
      <c r="B2494" s="196">
        <v>8.4366472168955712E-3</v>
      </c>
      <c r="C2494" s="194" t="s">
        <v>1</v>
      </c>
    </row>
    <row r="2495" spans="1:3" x14ac:dyDescent="0.15">
      <c r="A2495" s="191">
        <v>35766</v>
      </c>
      <c r="B2495" s="196">
        <v>8.4418715727792026E-3</v>
      </c>
      <c r="C2495" s="194" t="s">
        <v>1</v>
      </c>
    </row>
    <row r="2496" spans="1:3" x14ac:dyDescent="0.15">
      <c r="A2496" s="191">
        <v>35767</v>
      </c>
      <c r="B2496" s="196">
        <v>8.4470991638217422E-3</v>
      </c>
      <c r="C2496" s="194" t="s">
        <v>1</v>
      </c>
    </row>
    <row r="2497" spans="1:3" x14ac:dyDescent="0.15">
      <c r="A2497" s="191">
        <v>35768</v>
      </c>
      <c r="B2497" s="196">
        <v>8.4523299920265475E-3</v>
      </c>
      <c r="C2497" s="194" t="s">
        <v>1</v>
      </c>
    </row>
    <row r="2498" spans="1:3" x14ac:dyDescent="0.15">
      <c r="A2498" s="191">
        <v>35769</v>
      </c>
      <c r="B2498" s="196">
        <v>8.457564059398218E-3</v>
      </c>
      <c r="C2498" s="194" t="s">
        <v>1</v>
      </c>
    </row>
    <row r="2499" spans="1:3" x14ac:dyDescent="0.15">
      <c r="A2499" s="191">
        <v>35770</v>
      </c>
      <c r="B2499" s="196">
        <v>8.457564059398218E-3</v>
      </c>
      <c r="C2499" s="194" t="s">
        <v>1</v>
      </c>
    </row>
    <row r="2500" spans="1:3" x14ac:dyDescent="0.15">
      <c r="A2500" s="191">
        <v>35771</v>
      </c>
      <c r="B2500" s="196">
        <v>8.457564059398218E-3</v>
      </c>
      <c r="C2500" s="194" t="s">
        <v>1</v>
      </c>
    </row>
    <row r="2501" spans="1:3" x14ac:dyDescent="0.15">
      <c r="A2501" s="191">
        <v>35772</v>
      </c>
      <c r="B2501" s="196">
        <v>8.462801367942592E-3</v>
      </c>
      <c r="C2501" s="194" t="s">
        <v>1</v>
      </c>
    </row>
    <row r="2502" spans="1:3" x14ac:dyDescent="0.15">
      <c r="A2502" s="191">
        <v>35773</v>
      </c>
      <c r="B2502" s="196">
        <v>8.4680419196667498E-3</v>
      </c>
      <c r="C2502" s="194" t="s">
        <v>1</v>
      </c>
    </row>
    <row r="2503" spans="1:3" x14ac:dyDescent="0.15">
      <c r="A2503" s="191">
        <v>35774</v>
      </c>
      <c r="B2503" s="196">
        <v>8.4732857165790171E-3</v>
      </c>
      <c r="C2503" s="194" t="s">
        <v>1</v>
      </c>
    </row>
    <row r="2504" spans="1:3" x14ac:dyDescent="0.15">
      <c r="A2504" s="191">
        <v>35775</v>
      </c>
      <c r="B2504" s="196">
        <v>8.4785327606889636E-3</v>
      </c>
      <c r="C2504" s="194" t="s">
        <v>1</v>
      </c>
    </row>
    <row r="2505" spans="1:3" x14ac:dyDescent="0.15">
      <c r="A2505" s="191">
        <v>35776</v>
      </c>
      <c r="B2505" s="196">
        <v>8.4837830540073992E-3</v>
      </c>
      <c r="C2505" s="194" t="s">
        <v>1</v>
      </c>
    </row>
    <row r="2506" spans="1:3" x14ac:dyDescent="0.15">
      <c r="A2506" s="191">
        <v>35777</v>
      </c>
      <c r="B2506" s="196">
        <v>8.4837830540073992E-3</v>
      </c>
      <c r="C2506" s="194" t="s">
        <v>1</v>
      </c>
    </row>
    <row r="2507" spans="1:3" x14ac:dyDescent="0.15">
      <c r="A2507" s="191">
        <v>35778</v>
      </c>
      <c r="B2507" s="196">
        <v>8.4837830540073992E-3</v>
      </c>
      <c r="C2507" s="194" t="s">
        <v>1</v>
      </c>
    </row>
    <row r="2508" spans="1:3" x14ac:dyDescent="0.15">
      <c r="A2508" s="191">
        <v>35779</v>
      </c>
      <c r="B2508" s="196">
        <v>8.4890365985463827E-3</v>
      </c>
      <c r="C2508" s="194" t="s">
        <v>1</v>
      </c>
    </row>
    <row r="2509" spans="1:3" x14ac:dyDescent="0.15">
      <c r="A2509" s="191">
        <v>35780</v>
      </c>
      <c r="B2509" s="196">
        <v>8.4942933963192187E-3</v>
      </c>
      <c r="C2509" s="194" t="s">
        <v>1</v>
      </c>
    </row>
    <row r="2510" spans="1:3" x14ac:dyDescent="0.15">
      <c r="A2510" s="191">
        <v>35781</v>
      </c>
      <c r="B2510" s="196">
        <v>8.4995534493404572E-3</v>
      </c>
      <c r="C2510" s="194" t="s">
        <v>1</v>
      </c>
    </row>
    <row r="2511" spans="1:3" x14ac:dyDescent="0.15">
      <c r="A2511" s="191">
        <v>35782</v>
      </c>
      <c r="B2511" s="196">
        <v>8.5048167596258953E-3</v>
      </c>
      <c r="C2511" s="194" t="s">
        <v>1</v>
      </c>
    </row>
    <row r="2512" spans="1:3" x14ac:dyDescent="0.15">
      <c r="A2512" s="191">
        <v>35783</v>
      </c>
      <c r="B2512" s="196">
        <v>8.5100833291925811E-3</v>
      </c>
      <c r="C2512" s="194" t="s">
        <v>1</v>
      </c>
    </row>
    <row r="2513" spans="1:3" x14ac:dyDescent="0.15">
      <c r="A2513" s="191">
        <v>35784</v>
      </c>
      <c r="B2513" s="196">
        <v>8.5100833291925811E-3</v>
      </c>
      <c r="C2513" s="194" t="s">
        <v>1</v>
      </c>
    </row>
    <row r="2514" spans="1:3" x14ac:dyDescent="0.15">
      <c r="A2514" s="191">
        <v>35785</v>
      </c>
      <c r="B2514" s="196">
        <v>8.5100833291925811E-3</v>
      </c>
      <c r="C2514" s="194" t="s">
        <v>1</v>
      </c>
    </row>
    <row r="2515" spans="1:3" x14ac:dyDescent="0.15">
      <c r="A2515" s="191">
        <v>35786</v>
      </c>
      <c r="B2515" s="196">
        <v>8.515353160058808E-3</v>
      </c>
      <c r="C2515" s="194" t="s">
        <v>1</v>
      </c>
    </row>
    <row r="2516" spans="1:3" x14ac:dyDescent="0.15">
      <c r="A2516" s="191">
        <v>35787</v>
      </c>
      <c r="B2516" s="196">
        <v>8.5206262542441222E-3</v>
      </c>
      <c r="C2516" s="194" t="s">
        <v>1</v>
      </c>
    </row>
    <row r="2517" spans="1:3" x14ac:dyDescent="0.15">
      <c r="A2517" s="191">
        <v>35788</v>
      </c>
      <c r="B2517" s="196">
        <v>8.5259026137693185E-3</v>
      </c>
      <c r="C2517" s="194" t="s">
        <v>1</v>
      </c>
    </row>
    <row r="2518" spans="1:3" x14ac:dyDescent="0.15">
      <c r="A2518" s="191">
        <v>35789</v>
      </c>
      <c r="B2518" s="196">
        <v>8.5259026137693185E-3</v>
      </c>
      <c r="C2518" s="194" t="s">
        <v>1</v>
      </c>
    </row>
    <row r="2519" spans="1:3" x14ac:dyDescent="0.15">
      <c r="A2519" s="191">
        <v>35790</v>
      </c>
      <c r="B2519" s="196">
        <v>8.5311822406564444E-3</v>
      </c>
      <c r="C2519" s="194" t="s">
        <v>1</v>
      </c>
    </row>
    <row r="2520" spans="1:3" x14ac:dyDescent="0.15">
      <c r="A2520" s="191">
        <v>35791</v>
      </c>
      <c r="B2520" s="196">
        <v>8.5311822406564444E-3</v>
      </c>
      <c r="C2520" s="194" t="s">
        <v>1</v>
      </c>
    </row>
    <row r="2521" spans="1:3" x14ac:dyDescent="0.15">
      <c r="A2521" s="191">
        <v>35792</v>
      </c>
      <c r="B2521" s="196">
        <v>8.5311822406564444E-3</v>
      </c>
      <c r="C2521" s="194" t="s">
        <v>1</v>
      </c>
    </row>
    <row r="2522" spans="1:3" x14ac:dyDescent="0.15">
      <c r="A2522" s="191">
        <v>35793</v>
      </c>
      <c r="B2522" s="196">
        <v>8.5364651369287982E-3</v>
      </c>
      <c r="C2522" s="194" t="s">
        <v>1</v>
      </c>
    </row>
    <row r="2523" spans="1:3" x14ac:dyDescent="0.15">
      <c r="A2523" s="191">
        <v>35794</v>
      </c>
      <c r="B2523" s="196">
        <v>8.5417513046109339E-3</v>
      </c>
      <c r="C2523" s="194" t="s">
        <v>1</v>
      </c>
    </row>
    <row r="2524" spans="1:3" x14ac:dyDescent="0.15">
      <c r="A2524" s="191">
        <v>35795</v>
      </c>
      <c r="B2524" s="196">
        <v>8.5470407457286564E-3</v>
      </c>
      <c r="C2524" s="194" t="s">
        <v>1</v>
      </c>
    </row>
    <row r="2525" spans="1:3" x14ac:dyDescent="0.15">
      <c r="A2525" s="191">
        <v>35796</v>
      </c>
      <c r="B2525" s="196">
        <v>8.5470407457286564E-3</v>
      </c>
      <c r="C2525" s="194" t="s">
        <v>1</v>
      </c>
    </row>
    <row r="2526" spans="1:3" x14ac:dyDescent="0.15">
      <c r="A2526" s="191">
        <v>35797</v>
      </c>
      <c r="B2526" s="196">
        <v>8.5516793201616832E-3</v>
      </c>
      <c r="C2526" s="194" t="s">
        <v>1</v>
      </c>
    </row>
    <row r="2527" spans="1:3" x14ac:dyDescent="0.15">
      <c r="A2527" s="191">
        <v>35798</v>
      </c>
      <c r="B2527" s="196">
        <v>8.5516793201616832E-3</v>
      </c>
      <c r="C2527" s="194" t="s">
        <v>1</v>
      </c>
    </row>
    <row r="2528" spans="1:3" x14ac:dyDescent="0.15">
      <c r="A2528" s="191">
        <v>35799</v>
      </c>
      <c r="B2528" s="196">
        <v>8.5516793201616832E-3</v>
      </c>
      <c r="C2528" s="194" t="s">
        <v>1</v>
      </c>
    </row>
    <row r="2529" spans="1:3" x14ac:dyDescent="0.15">
      <c r="A2529" s="191">
        <v>35800</v>
      </c>
      <c r="B2529" s="196">
        <v>8.5563204120008406E-3</v>
      </c>
      <c r="C2529" s="194" t="s">
        <v>1</v>
      </c>
    </row>
    <row r="2530" spans="1:3" x14ac:dyDescent="0.15">
      <c r="A2530" s="191">
        <v>35801</v>
      </c>
      <c r="B2530" s="196">
        <v>8.5609640226123537E-3</v>
      </c>
      <c r="C2530" s="194" t="s">
        <v>1</v>
      </c>
    </row>
    <row r="2531" spans="1:3" x14ac:dyDescent="0.15">
      <c r="A2531" s="191">
        <v>35802</v>
      </c>
      <c r="B2531" s="196">
        <v>8.5656101533631863E-3</v>
      </c>
      <c r="C2531" s="194" t="s">
        <v>1</v>
      </c>
    </row>
    <row r="2532" spans="1:3" x14ac:dyDescent="0.15">
      <c r="A2532" s="191">
        <v>35803</v>
      </c>
      <c r="B2532" s="196">
        <v>8.570258805621048E-3</v>
      </c>
      <c r="C2532" s="194" t="s">
        <v>1</v>
      </c>
    </row>
    <row r="2533" spans="1:3" x14ac:dyDescent="0.15">
      <c r="A2533" s="191">
        <v>35804</v>
      </c>
      <c r="B2533" s="196">
        <v>8.5749099807543878E-3</v>
      </c>
      <c r="C2533" s="194" t="s">
        <v>1</v>
      </c>
    </row>
    <row r="2534" spans="1:3" x14ac:dyDescent="0.15">
      <c r="A2534" s="191">
        <v>35805</v>
      </c>
      <c r="B2534" s="196">
        <v>8.5749099807543878E-3</v>
      </c>
      <c r="C2534" s="194" t="s">
        <v>1</v>
      </c>
    </row>
    <row r="2535" spans="1:3" x14ac:dyDescent="0.15">
      <c r="A2535" s="191">
        <v>35806</v>
      </c>
      <c r="B2535" s="196">
        <v>8.5749099807543878E-3</v>
      </c>
      <c r="C2535" s="194" t="s">
        <v>1</v>
      </c>
    </row>
    <row r="2536" spans="1:3" x14ac:dyDescent="0.15">
      <c r="A2536" s="191">
        <v>35807</v>
      </c>
      <c r="B2536" s="196">
        <v>8.5795636801323984E-3</v>
      </c>
      <c r="C2536" s="194" t="s">
        <v>1</v>
      </c>
    </row>
    <row r="2537" spans="1:3" x14ac:dyDescent="0.15">
      <c r="A2537" s="191">
        <v>35808</v>
      </c>
      <c r="B2537" s="196">
        <v>8.5842199051250172E-3</v>
      </c>
      <c r="C2537" s="194" t="s">
        <v>1</v>
      </c>
    </row>
    <row r="2538" spans="1:3" x14ac:dyDescent="0.15">
      <c r="A2538" s="191">
        <v>35809</v>
      </c>
      <c r="B2538" s="196">
        <v>8.5888786571029219E-3</v>
      </c>
      <c r="C2538" s="194" t="s">
        <v>1</v>
      </c>
    </row>
    <row r="2539" spans="1:3" x14ac:dyDescent="0.15">
      <c r="A2539" s="191">
        <v>35810</v>
      </c>
      <c r="B2539" s="196">
        <v>8.5935399374375363E-3</v>
      </c>
      <c r="C2539" s="194" t="s">
        <v>1</v>
      </c>
    </row>
    <row r="2540" spans="1:3" x14ac:dyDescent="0.15">
      <c r="A2540" s="191">
        <v>35811</v>
      </c>
      <c r="B2540" s="196">
        <v>8.5982037475010268E-3</v>
      </c>
      <c r="C2540" s="194" t="s">
        <v>1</v>
      </c>
    </row>
    <row r="2541" spans="1:3" x14ac:dyDescent="0.15">
      <c r="A2541" s="191">
        <v>35812</v>
      </c>
      <c r="B2541" s="196">
        <v>8.5982037475010268E-3</v>
      </c>
      <c r="C2541" s="194" t="s">
        <v>1</v>
      </c>
    </row>
    <row r="2542" spans="1:3" x14ac:dyDescent="0.15">
      <c r="A2542" s="191">
        <v>35813</v>
      </c>
      <c r="B2542" s="196">
        <v>8.5982037475010268E-3</v>
      </c>
      <c r="C2542" s="194" t="s">
        <v>1</v>
      </c>
    </row>
    <row r="2543" spans="1:3" x14ac:dyDescent="0.15">
      <c r="A2543" s="191">
        <v>35814</v>
      </c>
      <c r="B2543" s="196">
        <v>8.6028700886663072E-3</v>
      </c>
      <c r="C2543" s="194" t="s">
        <v>1</v>
      </c>
    </row>
    <row r="2544" spans="1:3" x14ac:dyDescent="0.15">
      <c r="A2544" s="191">
        <v>35815</v>
      </c>
      <c r="B2544" s="196">
        <v>8.6075389623070323E-3</v>
      </c>
      <c r="C2544" s="194" t="s">
        <v>1</v>
      </c>
    </row>
    <row r="2545" spans="1:3" x14ac:dyDescent="0.15">
      <c r="A2545" s="191">
        <v>35816</v>
      </c>
      <c r="B2545" s="196">
        <v>8.6122103697976061E-3</v>
      </c>
      <c r="C2545" s="194" t="s">
        <v>1</v>
      </c>
    </row>
    <row r="2546" spans="1:3" x14ac:dyDescent="0.15">
      <c r="A2546" s="191">
        <v>35817</v>
      </c>
      <c r="B2546" s="196">
        <v>8.6168843125131785E-3</v>
      </c>
      <c r="C2546" s="194" t="s">
        <v>1</v>
      </c>
    </row>
    <row r="2547" spans="1:3" x14ac:dyDescent="0.15">
      <c r="A2547" s="191">
        <v>35818</v>
      </c>
      <c r="B2547" s="196">
        <v>8.6215607918296421E-3</v>
      </c>
      <c r="C2547" s="194" t="s">
        <v>1</v>
      </c>
    </row>
    <row r="2548" spans="1:3" x14ac:dyDescent="0.15">
      <c r="A2548" s="191">
        <v>35819</v>
      </c>
      <c r="B2548" s="196">
        <v>8.6215607918296421E-3</v>
      </c>
      <c r="C2548" s="194" t="s">
        <v>1</v>
      </c>
    </row>
    <row r="2549" spans="1:3" x14ac:dyDescent="0.15">
      <c r="A2549" s="191">
        <v>35820</v>
      </c>
      <c r="B2549" s="196">
        <v>8.6215607918296421E-3</v>
      </c>
      <c r="C2549" s="194" t="s">
        <v>1</v>
      </c>
    </row>
    <row r="2550" spans="1:3" x14ac:dyDescent="0.15">
      <c r="A2550" s="191">
        <v>35821</v>
      </c>
      <c r="B2550" s="196">
        <v>8.6262398091236404E-3</v>
      </c>
      <c r="C2550" s="194" t="s">
        <v>1</v>
      </c>
    </row>
    <row r="2551" spans="1:3" x14ac:dyDescent="0.15">
      <c r="A2551" s="191">
        <v>35822</v>
      </c>
      <c r="B2551" s="196">
        <v>8.6309213657725613E-3</v>
      </c>
      <c r="C2551" s="194" t="s">
        <v>1</v>
      </c>
    </row>
    <row r="2552" spans="1:3" x14ac:dyDescent="0.15">
      <c r="A2552" s="191">
        <v>35823</v>
      </c>
      <c r="B2552" s="196">
        <v>8.6356054631545401E-3</v>
      </c>
      <c r="C2552" s="194" t="s">
        <v>1</v>
      </c>
    </row>
    <row r="2553" spans="1:3" x14ac:dyDescent="0.15">
      <c r="A2553" s="191">
        <v>35824</v>
      </c>
      <c r="B2553" s="196">
        <v>8.6402921026484635E-3</v>
      </c>
      <c r="C2553" s="194" t="s">
        <v>1</v>
      </c>
    </row>
    <row r="2554" spans="1:3" x14ac:dyDescent="0.15">
      <c r="A2554" s="191">
        <v>35825</v>
      </c>
      <c r="B2554" s="196">
        <v>8.6449812856339622E-3</v>
      </c>
      <c r="C2554" s="194" t="s">
        <v>1</v>
      </c>
    </row>
    <row r="2555" spans="1:3" x14ac:dyDescent="0.15">
      <c r="A2555" s="191">
        <v>35826</v>
      </c>
      <c r="B2555" s="196">
        <v>8.6449812856339622E-3</v>
      </c>
      <c r="C2555" s="194" t="s">
        <v>1</v>
      </c>
    </row>
    <row r="2556" spans="1:3" x14ac:dyDescent="0.15">
      <c r="A2556" s="191">
        <v>35827</v>
      </c>
      <c r="B2556" s="196">
        <v>8.6449812856339622E-3</v>
      </c>
      <c r="C2556" s="194" t="s">
        <v>1</v>
      </c>
    </row>
    <row r="2557" spans="1:3" x14ac:dyDescent="0.15">
      <c r="A2557" s="191">
        <v>35828</v>
      </c>
      <c r="B2557" s="196">
        <v>8.6470067595426931E-3</v>
      </c>
      <c r="C2557" s="194" t="s">
        <v>1</v>
      </c>
    </row>
    <row r="2558" spans="1:3" x14ac:dyDescent="0.15">
      <c r="A2558" s="191">
        <v>35829</v>
      </c>
      <c r="B2558" s="196">
        <v>8.6490327080093691E-3</v>
      </c>
      <c r="C2558" s="194" t="s">
        <v>1</v>
      </c>
    </row>
    <row r="2559" spans="1:3" x14ac:dyDescent="0.15">
      <c r="A2559" s="191">
        <v>35830</v>
      </c>
      <c r="B2559" s="196">
        <v>8.6510591311451772E-3</v>
      </c>
      <c r="C2559" s="194" t="s">
        <v>1</v>
      </c>
    </row>
    <row r="2560" spans="1:3" x14ac:dyDescent="0.15">
      <c r="A2560" s="191">
        <v>35831</v>
      </c>
      <c r="B2560" s="196">
        <v>8.6530860290613288E-3</v>
      </c>
      <c r="C2560" s="194" t="s">
        <v>1</v>
      </c>
    </row>
    <row r="2561" spans="1:3" x14ac:dyDescent="0.15">
      <c r="A2561" s="191">
        <v>35832</v>
      </c>
      <c r="B2561" s="196">
        <v>8.6551134018690631E-3</v>
      </c>
      <c r="C2561" s="194" t="s">
        <v>1</v>
      </c>
    </row>
    <row r="2562" spans="1:3" x14ac:dyDescent="0.15">
      <c r="A2562" s="191">
        <v>35833</v>
      </c>
      <c r="B2562" s="196">
        <v>8.6551134018690631E-3</v>
      </c>
      <c r="C2562" s="194" t="s">
        <v>1</v>
      </c>
    </row>
    <row r="2563" spans="1:3" x14ac:dyDescent="0.15">
      <c r="A2563" s="191">
        <v>35834</v>
      </c>
      <c r="B2563" s="196">
        <v>8.6551134018690631E-3</v>
      </c>
      <c r="C2563" s="194" t="s">
        <v>1</v>
      </c>
    </row>
    <row r="2564" spans="1:3" x14ac:dyDescent="0.15">
      <c r="A2564" s="191">
        <v>35835</v>
      </c>
      <c r="B2564" s="196">
        <v>8.6571412496796452E-3</v>
      </c>
      <c r="C2564" s="194" t="s">
        <v>1</v>
      </c>
    </row>
    <row r="2565" spans="1:3" x14ac:dyDescent="0.15">
      <c r="A2565" s="191">
        <v>35836</v>
      </c>
      <c r="B2565" s="196">
        <v>8.6591695726043645E-3</v>
      </c>
      <c r="C2565" s="194" t="s">
        <v>1</v>
      </c>
    </row>
    <row r="2566" spans="1:3" x14ac:dyDescent="0.15">
      <c r="A2566" s="191">
        <v>35837</v>
      </c>
      <c r="B2566" s="196">
        <v>8.6611983707545383E-3</v>
      </c>
      <c r="C2566" s="194" t="s">
        <v>1</v>
      </c>
    </row>
    <row r="2567" spans="1:3" x14ac:dyDescent="0.15">
      <c r="A2567" s="191">
        <v>35838</v>
      </c>
      <c r="B2567" s="196">
        <v>8.6632276442415099E-3</v>
      </c>
      <c r="C2567" s="194" t="s">
        <v>1</v>
      </c>
    </row>
    <row r="2568" spans="1:3" x14ac:dyDescent="0.15">
      <c r="A2568" s="191">
        <v>35839</v>
      </c>
      <c r="B2568" s="196">
        <v>8.6652573931766484E-3</v>
      </c>
      <c r="C2568" s="194" t="s">
        <v>1</v>
      </c>
    </row>
    <row r="2569" spans="1:3" x14ac:dyDescent="0.15">
      <c r="A2569" s="191">
        <v>35840</v>
      </c>
      <c r="B2569" s="196">
        <v>8.6652573931766484E-3</v>
      </c>
      <c r="C2569" s="194" t="s">
        <v>1</v>
      </c>
    </row>
    <row r="2570" spans="1:3" x14ac:dyDescent="0.15">
      <c r="A2570" s="191">
        <v>35841</v>
      </c>
      <c r="B2570" s="196">
        <v>8.6652573931766484E-3</v>
      </c>
      <c r="C2570" s="194" t="s">
        <v>1</v>
      </c>
    </row>
    <row r="2571" spans="1:3" x14ac:dyDescent="0.15">
      <c r="A2571" s="191">
        <v>35842</v>
      </c>
      <c r="B2571" s="196">
        <v>8.667287617671349E-3</v>
      </c>
      <c r="C2571" s="194" t="s">
        <v>1</v>
      </c>
    </row>
    <row r="2572" spans="1:3" x14ac:dyDescent="0.15">
      <c r="A2572" s="191">
        <v>35843</v>
      </c>
      <c r="B2572" s="196">
        <v>8.6693183178370315E-3</v>
      </c>
      <c r="C2572" s="194" t="s">
        <v>1</v>
      </c>
    </row>
    <row r="2573" spans="1:3" x14ac:dyDescent="0.15">
      <c r="A2573" s="191">
        <v>35844</v>
      </c>
      <c r="B2573" s="196">
        <v>8.6713494937851448E-3</v>
      </c>
      <c r="C2573" s="194" t="s">
        <v>1</v>
      </c>
    </row>
    <row r="2574" spans="1:3" x14ac:dyDescent="0.15">
      <c r="A2574" s="191">
        <v>35845</v>
      </c>
      <c r="B2574" s="196">
        <v>8.6733811456271605E-3</v>
      </c>
      <c r="C2574" s="194" t="s">
        <v>1</v>
      </c>
    </row>
    <row r="2575" spans="1:3" x14ac:dyDescent="0.15">
      <c r="A2575" s="191">
        <v>35846</v>
      </c>
      <c r="B2575" s="196">
        <v>8.6754132734745797E-3</v>
      </c>
      <c r="C2575" s="194" t="s">
        <v>1</v>
      </c>
    </row>
    <row r="2576" spans="1:3" x14ac:dyDescent="0.15">
      <c r="A2576" s="191">
        <v>35847</v>
      </c>
      <c r="B2576" s="196">
        <v>8.6754132734745797E-3</v>
      </c>
      <c r="C2576" s="194" t="s">
        <v>1</v>
      </c>
    </row>
    <row r="2577" spans="1:3" x14ac:dyDescent="0.15">
      <c r="A2577" s="191">
        <v>35848</v>
      </c>
      <c r="B2577" s="196">
        <v>8.6754132734745797E-3</v>
      </c>
      <c r="C2577" s="194" t="s">
        <v>1</v>
      </c>
    </row>
    <row r="2578" spans="1:3" x14ac:dyDescent="0.15">
      <c r="A2578" s="191">
        <v>35849</v>
      </c>
      <c r="B2578" s="196">
        <v>8.677445877438926E-3</v>
      </c>
      <c r="C2578" s="194" t="s">
        <v>1</v>
      </c>
    </row>
    <row r="2579" spans="1:3" x14ac:dyDescent="0.15">
      <c r="A2579" s="191">
        <v>35850</v>
      </c>
      <c r="B2579" s="196">
        <v>8.677445877438926E-3</v>
      </c>
      <c r="C2579" s="194" t="s">
        <v>1</v>
      </c>
    </row>
    <row r="2580" spans="1:3" x14ac:dyDescent="0.15">
      <c r="A2580" s="191">
        <v>35851</v>
      </c>
      <c r="B2580" s="196">
        <v>8.6794789576317526E-3</v>
      </c>
      <c r="C2580" s="194" t="s">
        <v>1</v>
      </c>
    </row>
    <row r="2581" spans="1:3" x14ac:dyDescent="0.15">
      <c r="A2581" s="191">
        <v>35852</v>
      </c>
      <c r="B2581" s="196">
        <v>8.6815125141646368E-3</v>
      </c>
      <c r="C2581" s="194" t="s">
        <v>1</v>
      </c>
    </row>
    <row r="2582" spans="1:3" x14ac:dyDescent="0.15">
      <c r="A2582" s="191">
        <v>35853</v>
      </c>
      <c r="B2582" s="196">
        <v>8.6835465471491822E-3</v>
      </c>
      <c r="C2582" s="194" t="s">
        <v>1</v>
      </c>
    </row>
    <row r="2583" spans="1:3" x14ac:dyDescent="0.15">
      <c r="A2583" s="191">
        <v>35854</v>
      </c>
      <c r="B2583" s="196">
        <v>8.6835465471491822E-3</v>
      </c>
      <c r="C2583" s="194" t="s">
        <v>1</v>
      </c>
    </row>
    <row r="2584" spans="1:3" x14ac:dyDescent="0.15">
      <c r="A2584" s="191">
        <v>35855</v>
      </c>
      <c r="B2584" s="196">
        <v>8.6835465471491822E-3</v>
      </c>
      <c r="C2584" s="194" t="s">
        <v>1</v>
      </c>
    </row>
    <row r="2585" spans="1:3" x14ac:dyDescent="0.15">
      <c r="A2585" s="191">
        <v>35856</v>
      </c>
      <c r="B2585" s="196">
        <v>8.6869280445402517E-3</v>
      </c>
      <c r="C2585" s="194" t="s">
        <v>1</v>
      </c>
    </row>
    <row r="2586" spans="1:3" x14ac:dyDescent="0.15">
      <c r="A2586" s="191">
        <v>35857</v>
      </c>
      <c r="B2586" s="196">
        <v>8.6903108587348347E-3</v>
      </c>
      <c r="C2586" s="194" t="s">
        <v>1</v>
      </c>
    </row>
    <row r="2587" spans="1:3" x14ac:dyDescent="0.15">
      <c r="A2587" s="191">
        <v>35858</v>
      </c>
      <c r="B2587" s="196">
        <v>8.6936949902457136E-3</v>
      </c>
      <c r="C2587" s="194" t="s">
        <v>1</v>
      </c>
    </row>
    <row r="2588" spans="1:3" x14ac:dyDescent="0.15">
      <c r="A2588" s="191">
        <v>35859</v>
      </c>
      <c r="B2588" s="196">
        <v>8.6970804395858706E-3</v>
      </c>
      <c r="C2588" s="194" t="s">
        <v>1</v>
      </c>
    </row>
    <row r="2589" spans="1:3" x14ac:dyDescent="0.15">
      <c r="A2589" s="191">
        <v>35860</v>
      </c>
      <c r="B2589" s="196">
        <v>8.700467207268487E-3</v>
      </c>
      <c r="C2589" s="194" t="s">
        <v>1</v>
      </c>
    </row>
    <row r="2590" spans="1:3" x14ac:dyDescent="0.15">
      <c r="A2590" s="191">
        <v>35861</v>
      </c>
      <c r="B2590" s="196">
        <v>8.700467207268487E-3</v>
      </c>
      <c r="C2590" s="194" t="s">
        <v>1</v>
      </c>
    </row>
    <row r="2591" spans="1:3" x14ac:dyDescent="0.15">
      <c r="A2591" s="191">
        <v>35862</v>
      </c>
      <c r="B2591" s="196">
        <v>8.700467207268487E-3</v>
      </c>
      <c r="C2591" s="194" t="s">
        <v>1</v>
      </c>
    </row>
    <row r="2592" spans="1:3" x14ac:dyDescent="0.15">
      <c r="A2592" s="191">
        <v>35863</v>
      </c>
      <c r="B2592" s="196">
        <v>8.703855293806944E-3</v>
      </c>
      <c r="C2592" s="194" t="s">
        <v>1</v>
      </c>
    </row>
    <row r="2593" spans="1:3" x14ac:dyDescent="0.15">
      <c r="A2593" s="191">
        <v>35864</v>
      </c>
      <c r="B2593" s="196">
        <v>8.7072446997148237E-3</v>
      </c>
      <c r="C2593" s="194" t="s">
        <v>1</v>
      </c>
    </row>
    <row r="2594" spans="1:3" x14ac:dyDescent="0.15">
      <c r="A2594" s="191">
        <v>35865</v>
      </c>
      <c r="B2594" s="196">
        <v>8.7106354255059061E-3</v>
      </c>
      <c r="C2594" s="194" t="s">
        <v>1</v>
      </c>
    </row>
    <row r="2595" spans="1:3" x14ac:dyDescent="0.15">
      <c r="A2595" s="191">
        <v>35866</v>
      </c>
      <c r="B2595" s="196">
        <v>8.7140274716941742E-3</v>
      </c>
      <c r="C2595" s="194" t="s">
        <v>1</v>
      </c>
    </row>
    <row r="2596" spans="1:3" x14ac:dyDescent="0.15">
      <c r="A2596" s="191">
        <v>35867</v>
      </c>
      <c r="B2596" s="196">
        <v>8.7174208387938087E-3</v>
      </c>
      <c r="C2596" s="194" t="s">
        <v>1</v>
      </c>
    </row>
    <row r="2597" spans="1:3" x14ac:dyDescent="0.15">
      <c r="A2597" s="191">
        <v>35868</v>
      </c>
      <c r="B2597" s="196">
        <v>8.7174208387938087E-3</v>
      </c>
      <c r="C2597" s="194" t="s">
        <v>1</v>
      </c>
    </row>
    <row r="2598" spans="1:3" x14ac:dyDescent="0.15">
      <c r="A2598" s="191">
        <v>35869</v>
      </c>
      <c r="B2598" s="196">
        <v>8.7174208387938087E-3</v>
      </c>
      <c r="C2598" s="194" t="s">
        <v>1</v>
      </c>
    </row>
    <row r="2599" spans="1:3" x14ac:dyDescent="0.15">
      <c r="A2599" s="191">
        <v>35870</v>
      </c>
      <c r="B2599" s="196">
        <v>8.7208155273191916E-3</v>
      </c>
      <c r="C2599" s="194" t="s">
        <v>1</v>
      </c>
    </row>
    <row r="2600" spans="1:3" x14ac:dyDescent="0.15">
      <c r="A2600" s="191">
        <v>35871</v>
      </c>
      <c r="B2600" s="196">
        <v>8.7242115377849042E-3</v>
      </c>
      <c r="C2600" s="194" t="s">
        <v>1</v>
      </c>
    </row>
    <row r="2601" spans="1:3" x14ac:dyDescent="0.15">
      <c r="A2601" s="191">
        <v>35872</v>
      </c>
      <c r="B2601" s="196">
        <v>8.727608870705731E-3</v>
      </c>
      <c r="C2601" s="194" t="s">
        <v>1</v>
      </c>
    </row>
    <row r="2602" spans="1:3" x14ac:dyDescent="0.15">
      <c r="A2602" s="191">
        <v>35873</v>
      </c>
      <c r="B2602" s="196">
        <v>8.7310075265966524E-3</v>
      </c>
      <c r="C2602" s="194" t="s">
        <v>1</v>
      </c>
    </row>
    <row r="2603" spans="1:3" x14ac:dyDescent="0.15">
      <c r="A2603" s="191">
        <v>35874</v>
      </c>
      <c r="B2603" s="196">
        <v>8.7344075059728535E-3</v>
      </c>
      <c r="C2603" s="194" t="s">
        <v>1</v>
      </c>
    </row>
    <row r="2604" spans="1:3" x14ac:dyDescent="0.15">
      <c r="A2604" s="191">
        <v>35875</v>
      </c>
      <c r="B2604" s="196">
        <v>8.7344075059728535E-3</v>
      </c>
      <c r="C2604" s="194" t="s">
        <v>1</v>
      </c>
    </row>
    <row r="2605" spans="1:3" x14ac:dyDescent="0.15">
      <c r="A2605" s="191">
        <v>35876</v>
      </c>
      <c r="B2605" s="196">
        <v>8.7344075059728535E-3</v>
      </c>
      <c r="C2605" s="194" t="s">
        <v>1</v>
      </c>
    </row>
    <row r="2606" spans="1:3" x14ac:dyDescent="0.15">
      <c r="A2606" s="191">
        <v>35877</v>
      </c>
      <c r="B2606" s="196">
        <v>8.7378088093497189E-3</v>
      </c>
      <c r="C2606" s="194" t="s">
        <v>1</v>
      </c>
    </row>
    <row r="2607" spans="1:3" x14ac:dyDescent="0.15">
      <c r="A2607" s="191">
        <v>35878</v>
      </c>
      <c r="B2607" s="196">
        <v>8.7412114372428327E-3</v>
      </c>
      <c r="C2607" s="194" t="s">
        <v>1</v>
      </c>
    </row>
    <row r="2608" spans="1:3" x14ac:dyDescent="0.15">
      <c r="A2608" s="191">
        <v>35879</v>
      </c>
      <c r="B2608" s="196">
        <v>8.7446153901679802E-3</v>
      </c>
      <c r="C2608" s="194" t="s">
        <v>1</v>
      </c>
    </row>
    <row r="2609" spans="1:3" x14ac:dyDescent="0.15">
      <c r="A2609" s="191">
        <v>35880</v>
      </c>
      <c r="B2609" s="196">
        <v>8.7480206686411481E-3</v>
      </c>
      <c r="C2609" s="194" t="s">
        <v>1</v>
      </c>
    </row>
    <row r="2610" spans="1:3" x14ac:dyDescent="0.15">
      <c r="A2610" s="191">
        <v>35881</v>
      </c>
      <c r="B2610" s="196">
        <v>8.7514272731785241E-3</v>
      </c>
      <c r="C2610" s="194" t="s">
        <v>1</v>
      </c>
    </row>
    <row r="2611" spans="1:3" x14ac:dyDescent="0.15">
      <c r="A2611" s="191">
        <v>35882</v>
      </c>
      <c r="B2611" s="196">
        <v>8.7514272731785241E-3</v>
      </c>
      <c r="C2611" s="194" t="s">
        <v>1</v>
      </c>
    </row>
    <row r="2612" spans="1:3" x14ac:dyDescent="0.15">
      <c r="A2612" s="191">
        <v>35883</v>
      </c>
      <c r="B2612" s="196">
        <v>8.7514272731785241E-3</v>
      </c>
      <c r="C2612" s="194" t="s">
        <v>1</v>
      </c>
    </row>
    <row r="2613" spans="1:3" x14ac:dyDescent="0.15">
      <c r="A2613" s="191">
        <v>35884</v>
      </c>
      <c r="B2613" s="196">
        <v>8.7548352042964954E-3</v>
      </c>
      <c r="C2613" s="194" t="s">
        <v>1</v>
      </c>
    </row>
    <row r="2614" spans="1:3" x14ac:dyDescent="0.15">
      <c r="A2614" s="191">
        <v>35885</v>
      </c>
      <c r="B2614" s="196">
        <v>8.7582444625116523E-3</v>
      </c>
      <c r="C2614" s="194" t="s">
        <v>1</v>
      </c>
    </row>
    <row r="2615" spans="1:3" x14ac:dyDescent="0.15">
      <c r="A2615" s="191">
        <v>35886</v>
      </c>
      <c r="B2615" s="196">
        <v>8.7616550483407864E-3</v>
      </c>
      <c r="C2615" s="194" t="s">
        <v>1</v>
      </c>
    </row>
    <row r="2616" spans="1:3" x14ac:dyDescent="0.15">
      <c r="A2616" s="191">
        <v>35887</v>
      </c>
      <c r="B2616" s="196">
        <v>8.763826776395223E-3</v>
      </c>
      <c r="C2616" s="194" t="s">
        <v>1</v>
      </c>
    </row>
    <row r="2617" spans="1:3" x14ac:dyDescent="0.15">
      <c r="A2617" s="191">
        <v>35888</v>
      </c>
      <c r="B2617" s="196">
        <v>8.7659990427500969E-3</v>
      </c>
      <c r="C2617" s="194" t="s">
        <v>1</v>
      </c>
    </row>
    <row r="2618" spans="1:3" x14ac:dyDescent="0.15">
      <c r="A2618" s="191">
        <v>35889</v>
      </c>
      <c r="B2618" s="196">
        <v>8.7659990427500969E-3</v>
      </c>
      <c r="C2618" s="194" t="s">
        <v>1</v>
      </c>
    </row>
    <row r="2619" spans="1:3" x14ac:dyDescent="0.15">
      <c r="A2619" s="191">
        <v>35890</v>
      </c>
      <c r="B2619" s="196">
        <v>8.7659990427500969E-3</v>
      </c>
      <c r="C2619" s="194" t="s">
        <v>1</v>
      </c>
    </row>
    <row r="2620" spans="1:3" x14ac:dyDescent="0.15">
      <c r="A2620" s="191">
        <v>35891</v>
      </c>
      <c r="B2620" s="196">
        <v>8.7681718475388342E-3</v>
      </c>
      <c r="C2620" s="194" t="s">
        <v>1</v>
      </c>
    </row>
    <row r="2621" spans="1:3" x14ac:dyDescent="0.15">
      <c r="A2621" s="191">
        <v>35892</v>
      </c>
      <c r="B2621" s="196">
        <v>8.7703451908948959E-3</v>
      </c>
      <c r="C2621" s="194" t="s">
        <v>1</v>
      </c>
    </row>
    <row r="2622" spans="1:3" x14ac:dyDescent="0.15">
      <c r="A2622" s="191">
        <v>35893</v>
      </c>
      <c r="B2622" s="196">
        <v>8.772519072951776E-3</v>
      </c>
      <c r="C2622" s="194" t="s">
        <v>1</v>
      </c>
    </row>
    <row r="2623" spans="1:3" x14ac:dyDescent="0.15">
      <c r="A2623" s="191">
        <v>35894</v>
      </c>
      <c r="B2623" s="196">
        <v>8.7746934938429996E-3</v>
      </c>
      <c r="C2623" s="194" t="s">
        <v>1</v>
      </c>
    </row>
    <row r="2624" spans="1:3" x14ac:dyDescent="0.15">
      <c r="A2624" s="191">
        <v>35895</v>
      </c>
      <c r="B2624" s="196">
        <v>8.7746934938429996E-3</v>
      </c>
      <c r="C2624" s="194" t="s">
        <v>1</v>
      </c>
    </row>
    <row r="2625" spans="1:3" x14ac:dyDescent="0.15">
      <c r="A2625" s="191">
        <v>35896</v>
      </c>
      <c r="B2625" s="196">
        <v>8.7746934938429996E-3</v>
      </c>
      <c r="C2625" s="194" t="s">
        <v>1</v>
      </c>
    </row>
    <row r="2626" spans="1:3" x14ac:dyDescent="0.15">
      <c r="A2626" s="191">
        <v>35897</v>
      </c>
      <c r="B2626" s="196">
        <v>8.7746934938429996E-3</v>
      </c>
      <c r="C2626" s="194" t="s">
        <v>1</v>
      </c>
    </row>
    <row r="2627" spans="1:3" x14ac:dyDescent="0.15">
      <c r="A2627" s="191">
        <v>35898</v>
      </c>
      <c r="B2627" s="196">
        <v>8.7768684537021264E-3</v>
      </c>
      <c r="C2627" s="194" t="s">
        <v>1</v>
      </c>
    </row>
    <row r="2628" spans="1:3" x14ac:dyDescent="0.15">
      <c r="A2628" s="191">
        <v>35899</v>
      </c>
      <c r="B2628" s="196">
        <v>8.7790439526627493E-3</v>
      </c>
      <c r="C2628" s="194" t="s">
        <v>1</v>
      </c>
    </row>
    <row r="2629" spans="1:3" x14ac:dyDescent="0.15">
      <c r="A2629" s="191">
        <v>35900</v>
      </c>
      <c r="B2629" s="196">
        <v>8.781219990858494E-3</v>
      </c>
      <c r="C2629" s="194" t="s">
        <v>1</v>
      </c>
    </row>
    <row r="2630" spans="1:3" x14ac:dyDescent="0.15">
      <c r="A2630" s="191">
        <v>35901</v>
      </c>
      <c r="B2630" s="196">
        <v>8.7833965684230193E-3</v>
      </c>
      <c r="C2630" s="194" t="s">
        <v>1</v>
      </c>
    </row>
    <row r="2631" spans="1:3" x14ac:dyDescent="0.15">
      <c r="A2631" s="191">
        <v>35902</v>
      </c>
      <c r="B2631" s="196">
        <v>8.7855736854900168E-3</v>
      </c>
      <c r="C2631" s="194" t="s">
        <v>1</v>
      </c>
    </row>
    <row r="2632" spans="1:3" x14ac:dyDescent="0.15">
      <c r="A2632" s="191">
        <v>35903</v>
      </c>
      <c r="B2632" s="196">
        <v>8.7855736854900168E-3</v>
      </c>
      <c r="C2632" s="194" t="s">
        <v>1</v>
      </c>
    </row>
    <row r="2633" spans="1:3" x14ac:dyDescent="0.15">
      <c r="A2633" s="191">
        <v>35904</v>
      </c>
      <c r="B2633" s="196">
        <v>8.7855736854900168E-3</v>
      </c>
      <c r="C2633" s="194" t="s">
        <v>1</v>
      </c>
    </row>
    <row r="2634" spans="1:3" x14ac:dyDescent="0.15">
      <c r="A2634" s="191">
        <v>35905</v>
      </c>
      <c r="B2634" s="196">
        <v>8.7877513421932112E-3</v>
      </c>
      <c r="C2634" s="194" t="s">
        <v>1</v>
      </c>
    </row>
    <row r="2635" spans="1:3" x14ac:dyDescent="0.15">
      <c r="A2635" s="191">
        <v>35906</v>
      </c>
      <c r="B2635" s="196">
        <v>8.7877513421932112E-3</v>
      </c>
      <c r="C2635" s="194" t="s">
        <v>1</v>
      </c>
    </row>
    <row r="2636" spans="1:3" x14ac:dyDescent="0.15">
      <c r="A2636" s="191">
        <v>35907</v>
      </c>
      <c r="B2636" s="196">
        <v>8.7899295386663599E-3</v>
      </c>
      <c r="C2636" s="194" t="s">
        <v>1</v>
      </c>
    </row>
    <row r="2637" spans="1:3" x14ac:dyDescent="0.15">
      <c r="A2637" s="191">
        <v>35908</v>
      </c>
      <c r="B2637" s="196">
        <v>8.7921082750432571E-3</v>
      </c>
      <c r="C2637" s="194" t="s">
        <v>1</v>
      </c>
    </row>
    <row r="2638" spans="1:3" x14ac:dyDescent="0.15">
      <c r="A2638" s="191">
        <v>35909</v>
      </c>
      <c r="B2638" s="196">
        <v>8.7942875514577246E-3</v>
      </c>
      <c r="C2638" s="194" t="s">
        <v>1</v>
      </c>
    </row>
    <row r="2639" spans="1:3" x14ac:dyDescent="0.15">
      <c r="A2639" s="191">
        <v>35910</v>
      </c>
      <c r="B2639" s="196">
        <v>8.7942875514577246E-3</v>
      </c>
      <c r="C2639" s="194" t="s">
        <v>1</v>
      </c>
    </row>
    <row r="2640" spans="1:3" x14ac:dyDescent="0.15">
      <c r="A2640" s="191">
        <v>35911</v>
      </c>
      <c r="B2640" s="196">
        <v>8.7942875514577246E-3</v>
      </c>
      <c r="C2640" s="194" t="s">
        <v>1</v>
      </c>
    </row>
    <row r="2641" spans="1:3" x14ac:dyDescent="0.15">
      <c r="A2641" s="191">
        <v>35912</v>
      </c>
      <c r="B2641" s="196">
        <v>8.7964673680436204E-3</v>
      </c>
      <c r="C2641" s="194" t="s">
        <v>1</v>
      </c>
    </row>
    <row r="2642" spans="1:3" x14ac:dyDescent="0.15">
      <c r="A2642" s="191">
        <v>35913</v>
      </c>
      <c r="B2642" s="196">
        <v>8.7986477249348376E-3</v>
      </c>
      <c r="C2642" s="194" t="s">
        <v>1</v>
      </c>
    </row>
    <row r="2643" spans="1:3" x14ac:dyDescent="0.15">
      <c r="A2643" s="191">
        <v>35914</v>
      </c>
      <c r="B2643" s="196">
        <v>8.8008286222652984E-3</v>
      </c>
      <c r="C2643" s="194" t="s">
        <v>1</v>
      </c>
    </row>
    <row r="2644" spans="1:3" x14ac:dyDescent="0.15">
      <c r="A2644" s="191">
        <v>35915</v>
      </c>
      <c r="B2644" s="196">
        <v>8.8030100601689601E-3</v>
      </c>
      <c r="C2644" s="194" t="s">
        <v>1</v>
      </c>
    </row>
    <row r="2645" spans="1:3" x14ac:dyDescent="0.15">
      <c r="A2645" s="191">
        <v>35916</v>
      </c>
      <c r="B2645" s="196">
        <v>8.8030100601689601E-3</v>
      </c>
      <c r="C2645" s="194" t="s">
        <v>1</v>
      </c>
    </row>
    <row r="2646" spans="1:3" x14ac:dyDescent="0.15">
      <c r="A2646" s="191">
        <v>35917</v>
      </c>
      <c r="B2646" s="196">
        <v>8.8030100601689601E-3</v>
      </c>
      <c r="C2646" s="194" t="s">
        <v>1</v>
      </c>
    </row>
    <row r="2647" spans="1:3" x14ac:dyDescent="0.15">
      <c r="A2647" s="191">
        <v>35918</v>
      </c>
      <c r="B2647" s="196">
        <v>8.8030100601689601E-3</v>
      </c>
      <c r="C2647" s="194" t="s">
        <v>1</v>
      </c>
    </row>
    <row r="2648" spans="1:3" x14ac:dyDescent="0.15">
      <c r="A2648" s="191">
        <v>35919</v>
      </c>
      <c r="B2648" s="196">
        <v>8.8049103369999288E-3</v>
      </c>
      <c r="C2648" s="194" t="s">
        <v>1</v>
      </c>
    </row>
    <row r="2649" spans="1:3" x14ac:dyDescent="0.15">
      <c r="A2649" s="191">
        <v>35920</v>
      </c>
      <c r="B2649" s="196">
        <v>8.8068110240374069E-3</v>
      </c>
      <c r="C2649" s="194" t="s">
        <v>1</v>
      </c>
    </row>
    <row r="2650" spans="1:3" x14ac:dyDescent="0.15">
      <c r="A2650" s="191">
        <v>35921</v>
      </c>
      <c r="B2650" s="196">
        <v>8.8087121213699451E-3</v>
      </c>
      <c r="C2650" s="194" t="s">
        <v>1</v>
      </c>
    </row>
    <row r="2651" spans="1:3" x14ac:dyDescent="0.15">
      <c r="A2651" s="191">
        <v>35922</v>
      </c>
      <c r="B2651" s="196">
        <v>8.8106136290861132E-3</v>
      </c>
      <c r="C2651" s="194" t="s">
        <v>1</v>
      </c>
    </row>
    <row r="2652" spans="1:3" x14ac:dyDescent="0.15">
      <c r="A2652" s="191">
        <v>35923</v>
      </c>
      <c r="B2652" s="196">
        <v>8.8125155472744982E-3</v>
      </c>
      <c r="C2652" s="194" t="s">
        <v>1</v>
      </c>
    </row>
    <row r="2653" spans="1:3" x14ac:dyDescent="0.15">
      <c r="A2653" s="191">
        <v>35924</v>
      </c>
      <c r="B2653" s="196">
        <v>8.8125155472744982E-3</v>
      </c>
      <c r="C2653" s="194" t="s">
        <v>1</v>
      </c>
    </row>
    <row r="2654" spans="1:3" x14ac:dyDescent="0.15">
      <c r="A2654" s="191">
        <v>35925</v>
      </c>
      <c r="B2654" s="196">
        <v>8.8125155472744982E-3</v>
      </c>
      <c r="C2654" s="194" t="s">
        <v>1</v>
      </c>
    </row>
    <row r="2655" spans="1:3" x14ac:dyDescent="0.15">
      <c r="A2655" s="191">
        <v>35926</v>
      </c>
      <c r="B2655" s="196">
        <v>8.8144178760237082E-3</v>
      </c>
      <c r="C2655" s="194" t="s">
        <v>1</v>
      </c>
    </row>
    <row r="2656" spans="1:3" x14ac:dyDescent="0.15">
      <c r="A2656" s="191">
        <v>35927</v>
      </c>
      <c r="B2656" s="196">
        <v>8.8163206154223683E-3</v>
      </c>
      <c r="C2656" s="194" t="s">
        <v>1</v>
      </c>
    </row>
    <row r="2657" spans="1:3" x14ac:dyDescent="0.15">
      <c r="A2657" s="191">
        <v>35928</v>
      </c>
      <c r="B2657" s="196">
        <v>8.8182237655591248E-3</v>
      </c>
      <c r="C2657" s="194" t="s">
        <v>1</v>
      </c>
    </row>
    <row r="2658" spans="1:3" x14ac:dyDescent="0.15">
      <c r="A2658" s="191">
        <v>35929</v>
      </c>
      <c r="B2658" s="196">
        <v>8.8201273265226428E-3</v>
      </c>
      <c r="C2658" s="194" t="s">
        <v>1</v>
      </c>
    </row>
    <row r="2659" spans="1:3" x14ac:dyDescent="0.15">
      <c r="A2659" s="191">
        <v>35930</v>
      </c>
      <c r="B2659" s="196">
        <v>8.8220312984016048E-3</v>
      </c>
      <c r="C2659" s="194" t="s">
        <v>1</v>
      </c>
    </row>
    <row r="2660" spans="1:3" x14ac:dyDescent="0.15">
      <c r="A2660" s="191">
        <v>35931</v>
      </c>
      <c r="B2660" s="196">
        <v>8.8220312984016048E-3</v>
      </c>
      <c r="C2660" s="194" t="s">
        <v>1</v>
      </c>
    </row>
    <row r="2661" spans="1:3" x14ac:dyDescent="0.15">
      <c r="A2661" s="191">
        <v>35932</v>
      </c>
      <c r="B2661" s="196">
        <v>8.8220312984016048E-3</v>
      </c>
      <c r="C2661" s="194" t="s">
        <v>1</v>
      </c>
    </row>
    <row r="2662" spans="1:3" x14ac:dyDescent="0.15">
      <c r="A2662" s="191">
        <v>35933</v>
      </c>
      <c r="B2662" s="196">
        <v>8.8239356812847159E-3</v>
      </c>
      <c r="C2662" s="194" t="s">
        <v>1</v>
      </c>
    </row>
    <row r="2663" spans="1:3" x14ac:dyDescent="0.15">
      <c r="A2663" s="191">
        <v>35934</v>
      </c>
      <c r="B2663" s="196">
        <v>8.8258404752606968E-3</v>
      </c>
      <c r="C2663" s="194" t="s">
        <v>1</v>
      </c>
    </row>
    <row r="2664" spans="1:3" x14ac:dyDescent="0.15">
      <c r="A2664" s="191">
        <v>35935</v>
      </c>
      <c r="B2664" s="196">
        <v>8.8277456804182891E-3</v>
      </c>
      <c r="C2664" s="194" t="s">
        <v>1</v>
      </c>
    </row>
    <row r="2665" spans="1:3" x14ac:dyDescent="0.15">
      <c r="A2665" s="191">
        <v>35936</v>
      </c>
      <c r="B2665" s="196">
        <v>8.8296512968462516E-3</v>
      </c>
      <c r="C2665" s="194" t="s">
        <v>1</v>
      </c>
    </row>
    <row r="2666" spans="1:3" x14ac:dyDescent="0.15">
      <c r="A2666" s="191">
        <v>35937</v>
      </c>
      <c r="B2666" s="196">
        <v>8.8315573246333656E-3</v>
      </c>
      <c r="C2666" s="194" t="s">
        <v>1</v>
      </c>
    </row>
    <row r="2667" spans="1:3" x14ac:dyDescent="0.15">
      <c r="A2667" s="191">
        <v>35938</v>
      </c>
      <c r="B2667" s="196">
        <v>8.8315573246333656E-3</v>
      </c>
      <c r="C2667" s="194" t="s">
        <v>1</v>
      </c>
    </row>
    <row r="2668" spans="1:3" x14ac:dyDescent="0.15">
      <c r="A2668" s="191">
        <v>35939</v>
      </c>
      <c r="B2668" s="196">
        <v>8.8315573246333656E-3</v>
      </c>
      <c r="C2668" s="194" t="s">
        <v>1</v>
      </c>
    </row>
    <row r="2669" spans="1:3" x14ac:dyDescent="0.15">
      <c r="A2669" s="191">
        <v>35940</v>
      </c>
      <c r="B2669" s="196">
        <v>8.83346376386843E-3</v>
      </c>
      <c r="C2669" s="194" t="s">
        <v>1</v>
      </c>
    </row>
    <row r="2670" spans="1:3" x14ac:dyDescent="0.15">
      <c r="A2670" s="191">
        <v>35941</v>
      </c>
      <c r="B2670" s="196">
        <v>8.8353706146402627E-3</v>
      </c>
      <c r="C2670" s="194" t="s">
        <v>1</v>
      </c>
    </row>
    <row r="2671" spans="1:3" x14ac:dyDescent="0.15">
      <c r="A2671" s="191">
        <v>35942</v>
      </c>
      <c r="B2671" s="196">
        <v>8.8372778770377004E-3</v>
      </c>
      <c r="C2671" s="194" t="s">
        <v>1</v>
      </c>
    </row>
    <row r="2672" spans="1:3" x14ac:dyDescent="0.15">
      <c r="A2672" s="191">
        <v>35943</v>
      </c>
      <c r="B2672" s="196">
        <v>8.8391855511495993E-3</v>
      </c>
      <c r="C2672" s="194" t="s">
        <v>1</v>
      </c>
    </row>
    <row r="2673" spans="1:3" x14ac:dyDescent="0.15">
      <c r="A2673" s="191">
        <v>35944</v>
      </c>
      <c r="B2673" s="196">
        <v>8.8410936370648344E-3</v>
      </c>
      <c r="C2673" s="194" t="s">
        <v>1</v>
      </c>
    </row>
    <row r="2674" spans="1:3" x14ac:dyDescent="0.15">
      <c r="A2674" s="191">
        <v>35945</v>
      </c>
      <c r="B2674" s="196">
        <v>8.8410936370648344E-3</v>
      </c>
      <c r="C2674" s="194" t="s">
        <v>1</v>
      </c>
    </row>
    <row r="2675" spans="1:3" x14ac:dyDescent="0.15">
      <c r="A2675" s="191">
        <v>35946</v>
      </c>
      <c r="B2675" s="196">
        <v>8.8410936370648344E-3</v>
      </c>
      <c r="C2675" s="194" t="s">
        <v>1</v>
      </c>
    </row>
    <row r="2676" spans="1:3" x14ac:dyDescent="0.15">
      <c r="A2676" s="191">
        <v>35947</v>
      </c>
      <c r="B2676" s="196">
        <v>8.8430021348723017E-3</v>
      </c>
      <c r="C2676" s="194" t="s">
        <v>1</v>
      </c>
    </row>
    <row r="2677" spans="1:3" x14ac:dyDescent="0.15">
      <c r="A2677" s="191">
        <v>35948</v>
      </c>
      <c r="B2677" s="196">
        <v>8.8450661515923987E-3</v>
      </c>
      <c r="C2677" s="194" t="s">
        <v>1</v>
      </c>
    </row>
    <row r="2678" spans="1:3" x14ac:dyDescent="0.15">
      <c r="A2678" s="191">
        <v>35949</v>
      </c>
      <c r="B2678" s="196">
        <v>8.847130650068008E-3</v>
      </c>
      <c r="C2678" s="194" t="s">
        <v>1</v>
      </c>
    </row>
    <row r="2679" spans="1:3" x14ac:dyDescent="0.15">
      <c r="A2679" s="191">
        <v>35950</v>
      </c>
      <c r="B2679" s="196">
        <v>8.8491956304115743E-3</v>
      </c>
      <c r="C2679" s="194" t="s">
        <v>1</v>
      </c>
    </row>
    <row r="2680" spans="1:3" x14ac:dyDescent="0.15">
      <c r="A2680" s="191">
        <v>35951</v>
      </c>
      <c r="B2680" s="196">
        <v>8.8512610927355701E-3</v>
      </c>
      <c r="C2680" s="194" t="s">
        <v>1</v>
      </c>
    </row>
    <row r="2681" spans="1:3" x14ac:dyDescent="0.15">
      <c r="A2681" s="191">
        <v>35952</v>
      </c>
      <c r="B2681" s="196">
        <v>8.8512610927355701E-3</v>
      </c>
      <c r="C2681" s="194" t="s">
        <v>1</v>
      </c>
    </row>
    <row r="2682" spans="1:3" x14ac:dyDescent="0.15">
      <c r="A2682" s="191">
        <v>35953</v>
      </c>
      <c r="B2682" s="196">
        <v>8.8512610927355701E-3</v>
      </c>
      <c r="C2682" s="194" t="s">
        <v>1</v>
      </c>
    </row>
    <row r="2683" spans="1:3" x14ac:dyDescent="0.15">
      <c r="A2683" s="191">
        <v>35954</v>
      </c>
      <c r="B2683" s="196">
        <v>8.8533270371524905E-3</v>
      </c>
      <c r="C2683" s="194" t="s">
        <v>1</v>
      </c>
    </row>
    <row r="2684" spans="1:3" x14ac:dyDescent="0.15">
      <c r="A2684" s="191">
        <v>35955</v>
      </c>
      <c r="B2684" s="196">
        <v>8.8553934637748601E-3</v>
      </c>
      <c r="C2684" s="194" t="s">
        <v>1</v>
      </c>
    </row>
    <row r="2685" spans="1:3" x14ac:dyDescent="0.15">
      <c r="A2685" s="191">
        <v>35956</v>
      </c>
      <c r="B2685" s="196">
        <v>8.8574603727152295E-3</v>
      </c>
      <c r="C2685" s="194" t="s">
        <v>1</v>
      </c>
    </row>
    <row r="2686" spans="1:3" x14ac:dyDescent="0.15">
      <c r="A2686" s="191">
        <v>35957</v>
      </c>
      <c r="B2686" s="196">
        <v>8.8574603727152295E-3</v>
      </c>
      <c r="C2686" s="194" t="s">
        <v>1</v>
      </c>
    </row>
    <row r="2687" spans="1:3" x14ac:dyDescent="0.15">
      <c r="A2687" s="191">
        <v>35958</v>
      </c>
      <c r="B2687" s="196">
        <v>8.8595277640861753E-3</v>
      </c>
      <c r="C2687" s="194" t="s">
        <v>1</v>
      </c>
    </row>
    <row r="2688" spans="1:3" x14ac:dyDescent="0.15">
      <c r="A2688" s="191">
        <v>35959</v>
      </c>
      <c r="B2688" s="196">
        <v>8.8595277640861753E-3</v>
      </c>
      <c r="C2688" s="194" t="s">
        <v>1</v>
      </c>
    </row>
    <row r="2689" spans="1:3" x14ac:dyDescent="0.15">
      <c r="A2689" s="191">
        <v>35960</v>
      </c>
      <c r="B2689" s="196">
        <v>8.8595277640861753E-3</v>
      </c>
      <c r="C2689" s="194" t="s">
        <v>1</v>
      </c>
    </row>
    <row r="2690" spans="1:3" x14ac:dyDescent="0.15">
      <c r="A2690" s="191">
        <v>35961</v>
      </c>
      <c r="B2690" s="196">
        <v>8.8615956380002983E-3</v>
      </c>
      <c r="C2690" s="194" t="s">
        <v>1</v>
      </c>
    </row>
    <row r="2691" spans="1:3" x14ac:dyDescent="0.15">
      <c r="A2691" s="191">
        <v>35962</v>
      </c>
      <c r="B2691" s="196">
        <v>8.863663994570229E-3</v>
      </c>
      <c r="C2691" s="194" t="s">
        <v>1</v>
      </c>
    </row>
    <row r="2692" spans="1:3" x14ac:dyDescent="0.15">
      <c r="A2692" s="191">
        <v>35963</v>
      </c>
      <c r="B2692" s="196">
        <v>8.8657328339086221E-3</v>
      </c>
      <c r="C2692" s="194" t="s">
        <v>1</v>
      </c>
    </row>
    <row r="2693" spans="1:3" x14ac:dyDescent="0.15">
      <c r="A2693" s="191">
        <v>35964</v>
      </c>
      <c r="B2693" s="196">
        <v>8.86780215612816E-3</v>
      </c>
      <c r="C2693" s="194" t="s">
        <v>1</v>
      </c>
    </row>
    <row r="2694" spans="1:3" x14ac:dyDescent="0.15">
      <c r="A2694" s="191">
        <v>35965</v>
      </c>
      <c r="B2694" s="196">
        <v>8.8698719613415494E-3</v>
      </c>
      <c r="C2694" s="194" t="s">
        <v>1</v>
      </c>
    </row>
    <row r="2695" spans="1:3" x14ac:dyDescent="0.15">
      <c r="A2695" s="191">
        <v>35966</v>
      </c>
      <c r="B2695" s="196">
        <v>8.8698719613415494E-3</v>
      </c>
      <c r="C2695" s="194" t="s">
        <v>1</v>
      </c>
    </row>
    <row r="2696" spans="1:3" x14ac:dyDescent="0.15">
      <c r="A2696" s="191">
        <v>35967</v>
      </c>
      <c r="B2696" s="196">
        <v>8.8698719613415494E-3</v>
      </c>
      <c r="C2696" s="194" t="s">
        <v>1</v>
      </c>
    </row>
    <row r="2697" spans="1:3" x14ac:dyDescent="0.15">
      <c r="A2697" s="191">
        <v>35968</v>
      </c>
      <c r="B2697" s="196">
        <v>8.8719422496615231E-3</v>
      </c>
      <c r="C2697" s="194" t="s">
        <v>1</v>
      </c>
    </row>
    <row r="2698" spans="1:3" x14ac:dyDescent="0.15">
      <c r="A2698" s="191">
        <v>35969</v>
      </c>
      <c r="B2698" s="196">
        <v>8.8740130212008432E-3</v>
      </c>
      <c r="C2698" s="194" t="s">
        <v>1</v>
      </c>
    </row>
    <row r="2699" spans="1:3" x14ac:dyDescent="0.15">
      <c r="A2699" s="191">
        <v>35970</v>
      </c>
      <c r="B2699" s="196">
        <v>8.8760842760722963E-3</v>
      </c>
      <c r="C2699" s="194" t="s">
        <v>1</v>
      </c>
    </row>
    <row r="2700" spans="1:3" x14ac:dyDescent="0.15">
      <c r="A2700" s="191">
        <v>35971</v>
      </c>
      <c r="B2700" s="196">
        <v>8.878156014388695E-3</v>
      </c>
      <c r="C2700" s="194" t="s">
        <v>1</v>
      </c>
    </row>
    <row r="2701" spans="1:3" x14ac:dyDescent="0.15">
      <c r="A2701" s="191">
        <v>35972</v>
      </c>
      <c r="B2701" s="196">
        <v>8.8802282362628795E-3</v>
      </c>
      <c r="C2701" s="194" t="s">
        <v>1</v>
      </c>
    </row>
    <row r="2702" spans="1:3" x14ac:dyDescent="0.15">
      <c r="A2702" s="191">
        <v>35973</v>
      </c>
      <c r="B2702" s="196">
        <v>8.8802282362628795E-3</v>
      </c>
      <c r="C2702" s="194" t="s">
        <v>1</v>
      </c>
    </row>
    <row r="2703" spans="1:3" x14ac:dyDescent="0.15">
      <c r="A2703" s="191">
        <v>35974</v>
      </c>
      <c r="B2703" s="196">
        <v>8.8802282362628795E-3</v>
      </c>
      <c r="C2703" s="194" t="s">
        <v>1</v>
      </c>
    </row>
    <row r="2704" spans="1:3" x14ac:dyDescent="0.15">
      <c r="A2704" s="191">
        <v>35975</v>
      </c>
      <c r="B2704" s="196">
        <v>8.8823009418077144E-3</v>
      </c>
      <c r="C2704" s="194" t="s">
        <v>1</v>
      </c>
    </row>
    <row r="2705" spans="1:3" x14ac:dyDescent="0.15">
      <c r="A2705" s="191">
        <v>35976</v>
      </c>
      <c r="B2705" s="196">
        <v>8.884374131136092E-3</v>
      </c>
      <c r="C2705" s="194" t="s">
        <v>1</v>
      </c>
    </row>
    <row r="2706" spans="1:3" x14ac:dyDescent="0.15">
      <c r="A2706" s="191">
        <v>35977</v>
      </c>
      <c r="B2706" s="196">
        <v>8.8864478043609307E-3</v>
      </c>
      <c r="C2706" s="194" t="s">
        <v>1</v>
      </c>
    </row>
    <row r="2707" spans="1:3" x14ac:dyDescent="0.15">
      <c r="A2707" s="191">
        <v>35978</v>
      </c>
      <c r="B2707" s="196">
        <v>8.8886648108519022E-3</v>
      </c>
      <c r="C2707" s="194" t="s">
        <v>1</v>
      </c>
    </row>
    <row r="2708" spans="1:3" x14ac:dyDescent="0.15">
      <c r="A2708" s="191">
        <v>35979</v>
      </c>
      <c r="B2708" s="196">
        <v>8.890882370445519E-3</v>
      </c>
      <c r="C2708" s="194" t="s">
        <v>1</v>
      </c>
    </row>
    <row r="2709" spans="1:3" x14ac:dyDescent="0.15">
      <c r="A2709" s="191">
        <v>35980</v>
      </c>
      <c r="B2709" s="196">
        <v>8.890882370445519E-3</v>
      </c>
      <c r="C2709" s="194" t="s">
        <v>1</v>
      </c>
    </row>
    <row r="2710" spans="1:3" x14ac:dyDescent="0.15">
      <c r="A2710" s="191">
        <v>35981</v>
      </c>
      <c r="B2710" s="196">
        <v>8.890882370445519E-3</v>
      </c>
      <c r="C2710" s="194" t="s">
        <v>1</v>
      </c>
    </row>
    <row r="2711" spans="1:3" x14ac:dyDescent="0.15">
      <c r="A2711" s="191">
        <v>35982</v>
      </c>
      <c r="B2711" s="196">
        <v>8.8931004832797679E-3</v>
      </c>
      <c r="C2711" s="194" t="s">
        <v>1</v>
      </c>
    </row>
    <row r="2712" spans="1:3" x14ac:dyDescent="0.15">
      <c r="A2712" s="191">
        <v>35983</v>
      </c>
      <c r="B2712" s="196">
        <v>8.8953191494926739E-3</v>
      </c>
      <c r="C2712" s="194" t="s">
        <v>1</v>
      </c>
    </row>
    <row r="2713" spans="1:3" x14ac:dyDescent="0.15">
      <c r="A2713" s="191">
        <v>35984</v>
      </c>
      <c r="B2713" s="196">
        <v>8.8975383692222951E-3</v>
      </c>
      <c r="C2713" s="194" t="s">
        <v>1</v>
      </c>
    </row>
    <row r="2714" spans="1:3" x14ac:dyDescent="0.15">
      <c r="A2714" s="191">
        <v>35985</v>
      </c>
      <c r="B2714" s="196">
        <v>8.899758142606724E-3</v>
      </c>
      <c r="C2714" s="194" t="s">
        <v>1</v>
      </c>
    </row>
    <row r="2715" spans="1:3" x14ac:dyDescent="0.15">
      <c r="A2715" s="191">
        <v>35986</v>
      </c>
      <c r="B2715" s="196">
        <v>8.9019784697840863E-3</v>
      </c>
      <c r="C2715" s="194" t="s">
        <v>1</v>
      </c>
    </row>
    <row r="2716" spans="1:3" x14ac:dyDescent="0.15">
      <c r="A2716" s="191">
        <v>35987</v>
      </c>
      <c r="B2716" s="196">
        <v>8.9019784697840863E-3</v>
      </c>
      <c r="C2716" s="194" t="s">
        <v>1</v>
      </c>
    </row>
    <row r="2717" spans="1:3" x14ac:dyDescent="0.15">
      <c r="A2717" s="191">
        <v>35988</v>
      </c>
      <c r="B2717" s="196">
        <v>8.9019784697840863E-3</v>
      </c>
      <c r="C2717" s="194" t="s">
        <v>1</v>
      </c>
    </row>
    <row r="2718" spans="1:3" x14ac:dyDescent="0.15">
      <c r="A2718" s="191">
        <v>35989</v>
      </c>
      <c r="B2718" s="196">
        <v>8.904199350892544E-3</v>
      </c>
      <c r="C2718" s="194" t="s">
        <v>1</v>
      </c>
    </row>
    <row r="2719" spans="1:3" x14ac:dyDescent="0.15">
      <c r="A2719" s="191">
        <v>35990</v>
      </c>
      <c r="B2719" s="196">
        <v>8.9064207860702922E-3</v>
      </c>
      <c r="C2719" s="194" t="s">
        <v>1</v>
      </c>
    </row>
    <row r="2720" spans="1:3" x14ac:dyDescent="0.15">
      <c r="A2720" s="191">
        <v>35991</v>
      </c>
      <c r="B2720" s="196">
        <v>8.9086427754555622E-3</v>
      </c>
      <c r="C2720" s="194" t="s">
        <v>1</v>
      </c>
    </row>
    <row r="2721" spans="1:3" x14ac:dyDescent="0.15">
      <c r="A2721" s="191">
        <v>35992</v>
      </c>
      <c r="B2721" s="196">
        <v>8.9108653191866168E-3</v>
      </c>
      <c r="C2721" s="194" t="s">
        <v>1</v>
      </c>
    </row>
    <row r="2722" spans="1:3" x14ac:dyDescent="0.15">
      <c r="A2722" s="191">
        <v>35993</v>
      </c>
      <c r="B2722" s="196">
        <v>8.9130884174017568E-3</v>
      </c>
      <c r="C2722" s="194" t="s">
        <v>1</v>
      </c>
    </row>
    <row r="2723" spans="1:3" x14ac:dyDescent="0.15">
      <c r="A2723" s="191">
        <v>35994</v>
      </c>
      <c r="B2723" s="196">
        <v>8.9130884174017568E-3</v>
      </c>
      <c r="C2723" s="194" t="s">
        <v>1</v>
      </c>
    </row>
    <row r="2724" spans="1:3" x14ac:dyDescent="0.15">
      <c r="A2724" s="191">
        <v>35995</v>
      </c>
      <c r="B2724" s="196">
        <v>8.9130884174017568E-3</v>
      </c>
      <c r="C2724" s="194" t="s">
        <v>1</v>
      </c>
    </row>
    <row r="2725" spans="1:3" x14ac:dyDescent="0.15">
      <c r="A2725" s="191">
        <v>35996</v>
      </c>
      <c r="B2725" s="196">
        <v>8.915312070239316E-3</v>
      </c>
      <c r="C2725" s="194" t="s">
        <v>1</v>
      </c>
    </row>
    <row r="2726" spans="1:3" x14ac:dyDescent="0.15">
      <c r="A2726" s="191">
        <v>35997</v>
      </c>
      <c r="B2726" s="196">
        <v>8.9175362778376611E-3</v>
      </c>
      <c r="C2726" s="194" t="s">
        <v>1</v>
      </c>
    </row>
    <row r="2727" spans="1:3" x14ac:dyDescent="0.15">
      <c r="A2727" s="191">
        <v>35998</v>
      </c>
      <c r="B2727" s="196">
        <v>8.9197610403351953E-3</v>
      </c>
      <c r="C2727" s="194" t="s">
        <v>1</v>
      </c>
    </row>
    <row r="2728" spans="1:3" x14ac:dyDescent="0.15">
      <c r="A2728" s="191">
        <v>35999</v>
      </c>
      <c r="B2728" s="196">
        <v>8.9219863578703564E-3</v>
      </c>
      <c r="C2728" s="194" t="s">
        <v>1</v>
      </c>
    </row>
    <row r="2729" spans="1:3" x14ac:dyDescent="0.15">
      <c r="A2729" s="191">
        <v>36000</v>
      </c>
      <c r="B2729" s="196">
        <v>8.9242122305816154E-3</v>
      </c>
      <c r="C2729" s="194" t="s">
        <v>1</v>
      </c>
    </row>
    <row r="2730" spans="1:3" x14ac:dyDescent="0.15">
      <c r="A2730" s="191">
        <v>36001</v>
      </c>
      <c r="B2730" s="196">
        <v>8.9242122305816154E-3</v>
      </c>
      <c r="C2730" s="194" t="s">
        <v>1</v>
      </c>
    </row>
    <row r="2731" spans="1:3" x14ac:dyDescent="0.15">
      <c r="A2731" s="191">
        <v>36002</v>
      </c>
      <c r="B2731" s="196">
        <v>8.9242122305816154E-3</v>
      </c>
      <c r="C2731" s="194" t="s">
        <v>1</v>
      </c>
    </row>
    <row r="2732" spans="1:3" x14ac:dyDescent="0.15">
      <c r="A2732" s="191">
        <v>36003</v>
      </c>
      <c r="B2732" s="196">
        <v>8.9264386586074794E-3</v>
      </c>
      <c r="C2732" s="194" t="s">
        <v>1</v>
      </c>
    </row>
    <row r="2733" spans="1:3" x14ac:dyDescent="0.15">
      <c r="A2733" s="191">
        <v>36004</v>
      </c>
      <c r="B2733" s="196">
        <v>8.9286656420864887E-3</v>
      </c>
      <c r="C2733" s="194" t="s">
        <v>1</v>
      </c>
    </row>
    <row r="2734" spans="1:3" x14ac:dyDescent="0.15">
      <c r="A2734" s="191">
        <v>36005</v>
      </c>
      <c r="B2734" s="196">
        <v>8.9308931811572199E-3</v>
      </c>
      <c r="C2734" s="194" t="s">
        <v>1</v>
      </c>
    </row>
    <row r="2735" spans="1:3" x14ac:dyDescent="0.15">
      <c r="A2735" s="191">
        <v>36006</v>
      </c>
      <c r="B2735" s="196">
        <v>8.933121275958281E-3</v>
      </c>
      <c r="C2735" s="194" t="s">
        <v>1</v>
      </c>
    </row>
    <row r="2736" spans="1:3" x14ac:dyDescent="0.15">
      <c r="A2736" s="191">
        <v>36007</v>
      </c>
      <c r="B2736" s="196">
        <v>8.9353499266283179E-3</v>
      </c>
      <c r="C2736" s="194" t="s">
        <v>1</v>
      </c>
    </row>
    <row r="2737" spans="1:3" x14ac:dyDescent="0.15">
      <c r="A2737" s="191">
        <v>36008</v>
      </c>
      <c r="B2737" s="196">
        <v>8.9353499266283179E-3</v>
      </c>
      <c r="C2737" s="194" t="s">
        <v>1</v>
      </c>
    </row>
    <row r="2738" spans="1:3" x14ac:dyDescent="0.15">
      <c r="A2738" s="191">
        <v>36009</v>
      </c>
      <c r="B2738" s="196">
        <v>8.9353499266283179E-3</v>
      </c>
      <c r="C2738" s="194" t="s">
        <v>1</v>
      </c>
    </row>
    <row r="2739" spans="1:3" x14ac:dyDescent="0.15">
      <c r="A2739" s="191">
        <v>36010</v>
      </c>
      <c r="B2739" s="196">
        <v>8.9368698736252555E-3</v>
      </c>
      <c r="C2739" s="194" t="s">
        <v>1</v>
      </c>
    </row>
    <row r="2740" spans="1:3" x14ac:dyDescent="0.15">
      <c r="A2740" s="191">
        <v>36011</v>
      </c>
      <c r="B2740" s="196">
        <v>8.9383900791726572E-3</v>
      </c>
      <c r="C2740" s="194" t="s">
        <v>1</v>
      </c>
    </row>
    <row r="2741" spans="1:3" x14ac:dyDescent="0.15">
      <c r="A2741" s="191">
        <v>36012</v>
      </c>
      <c r="B2741" s="196">
        <v>8.9399105433145033E-3</v>
      </c>
      <c r="C2741" s="194" t="s">
        <v>1</v>
      </c>
    </row>
    <row r="2742" spans="1:3" x14ac:dyDescent="0.15">
      <c r="A2742" s="191">
        <v>36013</v>
      </c>
      <c r="B2742" s="196">
        <v>8.941431266094783E-3</v>
      </c>
      <c r="C2742" s="194" t="s">
        <v>1</v>
      </c>
    </row>
    <row r="2743" spans="1:3" x14ac:dyDescent="0.15">
      <c r="A2743" s="191">
        <v>36014</v>
      </c>
      <c r="B2743" s="196">
        <v>8.9429522475574924E-3</v>
      </c>
      <c r="C2743" s="194" t="s">
        <v>1</v>
      </c>
    </row>
    <row r="2744" spans="1:3" x14ac:dyDescent="0.15">
      <c r="A2744" s="191">
        <v>36015</v>
      </c>
      <c r="B2744" s="196">
        <v>8.9429522475574924E-3</v>
      </c>
      <c r="C2744" s="194" t="s">
        <v>1</v>
      </c>
    </row>
    <row r="2745" spans="1:3" x14ac:dyDescent="0.15">
      <c r="A2745" s="191">
        <v>36016</v>
      </c>
      <c r="B2745" s="196">
        <v>8.9429522475574924E-3</v>
      </c>
      <c r="C2745" s="194" t="s">
        <v>1</v>
      </c>
    </row>
    <row r="2746" spans="1:3" x14ac:dyDescent="0.15">
      <c r="A2746" s="191">
        <v>36017</v>
      </c>
      <c r="B2746" s="196">
        <v>8.9444734877466327E-3</v>
      </c>
      <c r="C2746" s="194" t="s">
        <v>1</v>
      </c>
    </row>
    <row r="2747" spans="1:3" x14ac:dyDescent="0.15">
      <c r="A2747" s="191">
        <v>36018</v>
      </c>
      <c r="B2747" s="196">
        <v>8.9459949867062172E-3</v>
      </c>
      <c r="C2747" s="194" t="s">
        <v>1</v>
      </c>
    </row>
    <row r="2748" spans="1:3" x14ac:dyDescent="0.15">
      <c r="A2748" s="191">
        <v>36019</v>
      </c>
      <c r="B2748" s="196">
        <v>8.9475167444802613E-3</v>
      </c>
      <c r="C2748" s="194" t="s">
        <v>1</v>
      </c>
    </row>
    <row r="2749" spans="1:3" x14ac:dyDescent="0.15">
      <c r="A2749" s="191">
        <v>36020</v>
      </c>
      <c r="B2749" s="196">
        <v>8.949038761112792E-3</v>
      </c>
      <c r="C2749" s="194" t="s">
        <v>1</v>
      </c>
    </row>
    <row r="2750" spans="1:3" x14ac:dyDescent="0.15">
      <c r="A2750" s="191">
        <v>36021</v>
      </c>
      <c r="B2750" s="196">
        <v>8.9505610366478437E-3</v>
      </c>
      <c r="C2750" s="194" t="s">
        <v>1</v>
      </c>
    </row>
    <row r="2751" spans="1:3" x14ac:dyDescent="0.15">
      <c r="A2751" s="191">
        <v>36022</v>
      </c>
      <c r="B2751" s="196">
        <v>8.9505610366478437E-3</v>
      </c>
      <c r="C2751" s="194" t="s">
        <v>1</v>
      </c>
    </row>
    <row r="2752" spans="1:3" x14ac:dyDescent="0.15">
      <c r="A2752" s="191">
        <v>36023</v>
      </c>
      <c r="B2752" s="196">
        <v>8.9505610366478437E-3</v>
      </c>
      <c r="C2752" s="194" t="s">
        <v>1</v>
      </c>
    </row>
    <row r="2753" spans="1:3" x14ac:dyDescent="0.15">
      <c r="A2753" s="191">
        <v>36024</v>
      </c>
      <c r="B2753" s="196">
        <v>8.9520835711294541E-3</v>
      </c>
      <c r="C2753" s="194" t="s">
        <v>1</v>
      </c>
    </row>
    <row r="2754" spans="1:3" x14ac:dyDescent="0.15">
      <c r="A2754" s="191">
        <v>36025</v>
      </c>
      <c r="B2754" s="196">
        <v>8.9536063646016729E-3</v>
      </c>
      <c r="C2754" s="194" t="s">
        <v>1</v>
      </c>
    </row>
    <row r="2755" spans="1:3" x14ac:dyDescent="0.15">
      <c r="A2755" s="191">
        <v>36026</v>
      </c>
      <c r="B2755" s="196">
        <v>8.9551294171085569E-3</v>
      </c>
      <c r="C2755" s="194" t="s">
        <v>1</v>
      </c>
    </row>
    <row r="2756" spans="1:3" x14ac:dyDescent="0.15">
      <c r="A2756" s="191">
        <v>36027</v>
      </c>
      <c r="B2756" s="196">
        <v>8.9566527286941665E-3</v>
      </c>
      <c r="C2756" s="194" t="s">
        <v>1</v>
      </c>
    </row>
    <row r="2757" spans="1:3" x14ac:dyDescent="0.15">
      <c r="A2757" s="191">
        <v>36028</v>
      </c>
      <c r="B2757" s="196">
        <v>8.9581762994025739E-3</v>
      </c>
      <c r="C2757" s="194" t="s">
        <v>1</v>
      </c>
    </row>
    <row r="2758" spans="1:3" x14ac:dyDescent="0.15">
      <c r="A2758" s="191">
        <v>36029</v>
      </c>
      <c r="B2758" s="196">
        <v>8.9581762994025739E-3</v>
      </c>
      <c r="C2758" s="194" t="s">
        <v>1</v>
      </c>
    </row>
    <row r="2759" spans="1:3" x14ac:dyDescent="0.15">
      <c r="A2759" s="191">
        <v>36030</v>
      </c>
      <c r="B2759" s="196">
        <v>8.9581762994025739E-3</v>
      </c>
      <c r="C2759" s="194" t="s">
        <v>1</v>
      </c>
    </row>
    <row r="2760" spans="1:3" x14ac:dyDescent="0.15">
      <c r="A2760" s="191">
        <v>36031</v>
      </c>
      <c r="B2760" s="196">
        <v>8.9597001292778568E-3</v>
      </c>
      <c r="C2760" s="194" t="s">
        <v>1</v>
      </c>
    </row>
    <row r="2761" spans="1:3" x14ac:dyDescent="0.15">
      <c r="A2761" s="191">
        <v>36032</v>
      </c>
      <c r="B2761" s="196">
        <v>8.9612242183641014E-3</v>
      </c>
      <c r="C2761" s="194" t="s">
        <v>1</v>
      </c>
    </row>
    <row r="2762" spans="1:3" x14ac:dyDescent="0.15">
      <c r="A2762" s="191">
        <v>36033</v>
      </c>
      <c r="B2762" s="196">
        <v>8.9627485667054009E-3</v>
      </c>
      <c r="C2762" s="194" t="s">
        <v>1</v>
      </c>
    </row>
    <row r="2763" spans="1:3" x14ac:dyDescent="0.15">
      <c r="A2763" s="191">
        <v>36034</v>
      </c>
      <c r="B2763" s="196">
        <v>8.9642731743458538E-3</v>
      </c>
      <c r="C2763" s="194" t="s">
        <v>1</v>
      </c>
    </row>
    <row r="2764" spans="1:3" x14ac:dyDescent="0.15">
      <c r="A2764" s="191">
        <v>36035</v>
      </c>
      <c r="B2764" s="196">
        <v>8.9657980413295705E-3</v>
      </c>
      <c r="C2764" s="194" t="s">
        <v>1</v>
      </c>
    </row>
    <row r="2765" spans="1:3" x14ac:dyDescent="0.15">
      <c r="A2765" s="191">
        <v>36036</v>
      </c>
      <c r="B2765" s="196">
        <v>8.9657980413295705E-3</v>
      </c>
      <c r="C2765" s="194" t="s">
        <v>1</v>
      </c>
    </row>
    <row r="2766" spans="1:3" x14ac:dyDescent="0.15">
      <c r="A2766" s="191">
        <v>36037</v>
      </c>
      <c r="B2766" s="196">
        <v>8.9657980413295705E-3</v>
      </c>
      <c r="C2766" s="194" t="s">
        <v>1</v>
      </c>
    </row>
    <row r="2767" spans="1:3" x14ac:dyDescent="0.15">
      <c r="A2767" s="191">
        <v>36038</v>
      </c>
      <c r="B2767" s="196">
        <v>8.9673231677006651E-3</v>
      </c>
      <c r="C2767" s="194" t="s">
        <v>1</v>
      </c>
    </row>
    <row r="2768" spans="1:3" x14ac:dyDescent="0.15">
      <c r="A2768" s="191">
        <v>36039</v>
      </c>
      <c r="B2768" s="196">
        <v>8.9688485535032621E-3</v>
      </c>
      <c r="C2768" s="194" t="s">
        <v>1</v>
      </c>
    </row>
    <row r="2769" spans="1:3" x14ac:dyDescent="0.15">
      <c r="A2769" s="191">
        <v>36040</v>
      </c>
      <c r="B2769" s="196">
        <v>8.970771446452825E-3</v>
      </c>
      <c r="C2769" s="194" t="s">
        <v>1</v>
      </c>
    </row>
    <row r="2770" spans="1:3" x14ac:dyDescent="0.15">
      <c r="A2770" s="191">
        <v>36041</v>
      </c>
      <c r="B2770" s="196">
        <v>8.972694751664595E-3</v>
      </c>
      <c r="C2770" s="194" t="s">
        <v>1</v>
      </c>
    </row>
    <row r="2771" spans="1:3" x14ac:dyDescent="0.15">
      <c r="A2771" s="191">
        <v>36042</v>
      </c>
      <c r="B2771" s="196">
        <v>8.9746184692269595E-3</v>
      </c>
      <c r="C2771" s="194" t="s">
        <v>1</v>
      </c>
    </row>
    <row r="2772" spans="1:3" x14ac:dyDescent="0.15">
      <c r="A2772" s="191">
        <v>36043</v>
      </c>
      <c r="B2772" s="196">
        <v>8.9746184692269595E-3</v>
      </c>
      <c r="C2772" s="194" t="s">
        <v>1</v>
      </c>
    </row>
    <row r="2773" spans="1:3" x14ac:dyDescent="0.15">
      <c r="A2773" s="191">
        <v>36044</v>
      </c>
      <c r="B2773" s="196">
        <v>8.9746184692269595E-3</v>
      </c>
      <c r="C2773" s="194" t="s">
        <v>1</v>
      </c>
    </row>
    <row r="2774" spans="1:3" x14ac:dyDescent="0.15">
      <c r="A2774" s="191">
        <v>36045</v>
      </c>
      <c r="B2774" s="196">
        <v>8.9746184692269595E-3</v>
      </c>
      <c r="C2774" s="194" t="s">
        <v>1</v>
      </c>
    </row>
    <row r="2775" spans="1:3" x14ac:dyDescent="0.15">
      <c r="A2775" s="191">
        <v>36046</v>
      </c>
      <c r="B2775" s="196">
        <v>8.9765425992283255E-3</v>
      </c>
      <c r="C2775" s="194" t="s">
        <v>1</v>
      </c>
    </row>
    <row r="2776" spans="1:3" x14ac:dyDescent="0.15">
      <c r="A2776" s="191">
        <v>36047</v>
      </c>
      <c r="B2776" s="196">
        <v>8.9784671417571169E-3</v>
      </c>
      <c r="C2776" s="194" t="s">
        <v>1</v>
      </c>
    </row>
    <row r="2777" spans="1:3" x14ac:dyDescent="0.15">
      <c r="A2777" s="191">
        <v>36048</v>
      </c>
      <c r="B2777" s="196">
        <v>8.9803920969017802E-3</v>
      </c>
      <c r="C2777" s="194" t="s">
        <v>1</v>
      </c>
    </row>
    <row r="2778" spans="1:3" x14ac:dyDescent="0.15">
      <c r="A2778" s="191">
        <v>36049</v>
      </c>
      <c r="B2778" s="196">
        <v>8.9823174647507779E-3</v>
      </c>
      <c r="C2778" s="194" t="s">
        <v>1</v>
      </c>
    </row>
    <row r="2779" spans="1:3" x14ac:dyDescent="0.15">
      <c r="A2779" s="191">
        <v>36050</v>
      </c>
      <c r="B2779" s="196">
        <v>8.9823174647507779E-3</v>
      </c>
      <c r="C2779" s="194" t="s">
        <v>1</v>
      </c>
    </row>
    <row r="2780" spans="1:3" x14ac:dyDescent="0.15">
      <c r="A2780" s="191">
        <v>36051</v>
      </c>
      <c r="B2780" s="196">
        <v>8.9823174647507779E-3</v>
      </c>
      <c r="C2780" s="194" t="s">
        <v>1</v>
      </c>
    </row>
    <row r="2781" spans="1:3" x14ac:dyDescent="0.15">
      <c r="A2781" s="191">
        <v>36052</v>
      </c>
      <c r="B2781" s="196">
        <v>8.9842432453925928E-3</v>
      </c>
      <c r="C2781" s="194" t="s">
        <v>1</v>
      </c>
    </row>
    <row r="2782" spans="1:3" x14ac:dyDescent="0.15">
      <c r="A2782" s="191">
        <v>36053</v>
      </c>
      <c r="B2782" s="196">
        <v>8.9861694389157271E-3</v>
      </c>
      <c r="C2782" s="194" t="s">
        <v>1</v>
      </c>
    </row>
    <row r="2783" spans="1:3" x14ac:dyDescent="0.15">
      <c r="A2783" s="191">
        <v>36054</v>
      </c>
      <c r="B2783" s="196">
        <v>8.9880960454087003E-3</v>
      </c>
      <c r="C2783" s="194" t="s">
        <v>1</v>
      </c>
    </row>
    <row r="2784" spans="1:3" x14ac:dyDescent="0.15">
      <c r="A2784" s="191">
        <v>36055</v>
      </c>
      <c r="B2784" s="196">
        <v>8.9900230649600527E-3</v>
      </c>
      <c r="C2784" s="194" t="s">
        <v>1</v>
      </c>
    </row>
    <row r="2785" spans="1:3" x14ac:dyDescent="0.15">
      <c r="A2785" s="191">
        <v>36056</v>
      </c>
      <c r="B2785" s="196">
        <v>8.9919504976583419E-3</v>
      </c>
      <c r="C2785" s="194" t="s">
        <v>1</v>
      </c>
    </row>
    <row r="2786" spans="1:3" x14ac:dyDescent="0.15">
      <c r="A2786" s="191">
        <v>36057</v>
      </c>
      <c r="B2786" s="196">
        <v>8.9919504976583419E-3</v>
      </c>
      <c r="C2786" s="194" t="s">
        <v>1</v>
      </c>
    </row>
    <row r="2787" spans="1:3" x14ac:dyDescent="0.15">
      <c r="A2787" s="191">
        <v>36058</v>
      </c>
      <c r="B2787" s="196">
        <v>8.9919504976583419E-3</v>
      </c>
      <c r="C2787" s="194" t="s">
        <v>1</v>
      </c>
    </row>
    <row r="2788" spans="1:3" x14ac:dyDescent="0.15">
      <c r="A2788" s="191">
        <v>36059</v>
      </c>
      <c r="B2788" s="196">
        <v>8.9938783435921446E-3</v>
      </c>
      <c r="C2788" s="194" t="s">
        <v>1</v>
      </c>
    </row>
    <row r="2789" spans="1:3" x14ac:dyDescent="0.15">
      <c r="A2789" s="191">
        <v>36060</v>
      </c>
      <c r="B2789" s="196">
        <v>8.9958066028500584E-3</v>
      </c>
      <c r="C2789" s="194" t="s">
        <v>1</v>
      </c>
    </row>
    <row r="2790" spans="1:3" x14ac:dyDescent="0.15">
      <c r="A2790" s="191">
        <v>36061</v>
      </c>
      <c r="B2790" s="196">
        <v>8.997735275520698E-3</v>
      </c>
      <c r="C2790" s="194" t="s">
        <v>1</v>
      </c>
    </row>
    <row r="2791" spans="1:3" x14ac:dyDescent="0.15">
      <c r="A2791" s="191">
        <v>36062</v>
      </c>
      <c r="B2791" s="196">
        <v>8.9996643616926993E-3</v>
      </c>
      <c r="C2791" s="194" t="s">
        <v>1</v>
      </c>
    </row>
    <row r="2792" spans="1:3" x14ac:dyDescent="0.15">
      <c r="A2792" s="191">
        <v>36063</v>
      </c>
      <c r="B2792" s="196">
        <v>9.0015938614547153E-3</v>
      </c>
      <c r="C2792" s="194" t="s">
        <v>1</v>
      </c>
    </row>
    <row r="2793" spans="1:3" x14ac:dyDescent="0.15">
      <c r="A2793" s="191">
        <v>36064</v>
      </c>
      <c r="B2793" s="196">
        <v>9.0015938614547153E-3</v>
      </c>
      <c r="C2793" s="194" t="s">
        <v>1</v>
      </c>
    </row>
    <row r="2794" spans="1:3" x14ac:dyDescent="0.15">
      <c r="A2794" s="191">
        <v>36065</v>
      </c>
      <c r="B2794" s="196">
        <v>9.0015938614547153E-3</v>
      </c>
      <c r="C2794" s="194" t="s">
        <v>1</v>
      </c>
    </row>
    <row r="2795" spans="1:3" x14ac:dyDescent="0.15">
      <c r="A2795" s="191">
        <v>36066</v>
      </c>
      <c r="B2795" s="196">
        <v>9.0035237748954163E-3</v>
      </c>
      <c r="C2795" s="194" t="s">
        <v>1</v>
      </c>
    </row>
    <row r="2796" spans="1:3" x14ac:dyDescent="0.15">
      <c r="A2796" s="191">
        <v>36067</v>
      </c>
      <c r="B2796" s="196">
        <v>9.0054541021034953E-3</v>
      </c>
      <c r="C2796" s="194" t="s">
        <v>1</v>
      </c>
    </row>
    <row r="2797" spans="1:3" x14ac:dyDescent="0.15">
      <c r="A2797" s="191">
        <v>36068</v>
      </c>
      <c r="B2797" s="196">
        <v>9.0073848431676626E-3</v>
      </c>
      <c r="C2797" s="194" t="s">
        <v>1</v>
      </c>
    </row>
    <row r="2798" spans="1:3" x14ac:dyDescent="0.15">
      <c r="A2798" s="191">
        <v>36069</v>
      </c>
      <c r="B2798" s="196">
        <v>9.0093159981766476E-3</v>
      </c>
      <c r="C2798" s="194" t="s">
        <v>1</v>
      </c>
    </row>
    <row r="2799" spans="1:3" x14ac:dyDescent="0.15">
      <c r="A2799" s="191">
        <v>36070</v>
      </c>
      <c r="B2799" s="196">
        <v>9.0133047190092182E-3</v>
      </c>
      <c r="C2799" s="194" t="s">
        <v>1</v>
      </c>
    </row>
    <row r="2800" spans="1:3" x14ac:dyDescent="0.15">
      <c r="A2800" s="191">
        <v>36071</v>
      </c>
      <c r="B2800" s="196">
        <v>9.0133047190092182E-3</v>
      </c>
      <c r="C2800" s="194" t="s">
        <v>1</v>
      </c>
    </row>
    <row r="2801" spans="1:3" x14ac:dyDescent="0.15">
      <c r="A2801" s="191">
        <v>36072</v>
      </c>
      <c r="B2801" s="196">
        <v>9.0133047190092182E-3</v>
      </c>
      <c r="C2801" s="194" t="s">
        <v>1</v>
      </c>
    </row>
    <row r="2802" spans="1:3" x14ac:dyDescent="0.15">
      <c r="A2802" s="191">
        <v>36073</v>
      </c>
      <c r="B2802" s="196">
        <v>9.017295205779834E-3</v>
      </c>
      <c r="C2802" s="194" t="s">
        <v>1</v>
      </c>
    </row>
    <row r="2803" spans="1:3" x14ac:dyDescent="0.15">
      <c r="A2803" s="191">
        <v>36074</v>
      </c>
      <c r="B2803" s="196">
        <v>9.0212874592703329E-3</v>
      </c>
      <c r="C2803" s="194" t="s">
        <v>1</v>
      </c>
    </row>
    <row r="2804" spans="1:3" x14ac:dyDescent="0.15">
      <c r="A2804" s="191">
        <v>36075</v>
      </c>
      <c r="B2804" s="196">
        <v>9.0252814802629019E-3</v>
      </c>
      <c r="C2804" s="194" t="s">
        <v>1</v>
      </c>
    </row>
    <row r="2805" spans="1:3" x14ac:dyDescent="0.15">
      <c r="A2805" s="191">
        <v>36076</v>
      </c>
      <c r="B2805" s="196">
        <v>9.0292772695400713E-3</v>
      </c>
      <c r="C2805" s="194" t="s">
        <v>1</v>
      </c>
    </row>
    <row r="2806" spans="1:3" x14ac:dyDescent="0.15">
      <c r="A2806" s="191">
        <v>36077</v>
      </c>
      <c r="B2806" s="196">
        <v>9.0332748278847182E-3</v>
      </c>
      <c r="C2806" s="194" t="s">
        <v>1</v>
      </c>
    </row>
    <row r="2807" spans="1:3" x14ac:dyDescent="0.15">
      <c r="A2807" s="191">
        <v>36078</v>
      </c>
      <c r="B2807" s="196">
        <v>9.0332748278847182E-3</v>
      </c>
      <c r="C2807" s="194" t="s">
        <v>1</v>
      </c>
    </row>
    <row r="2808" spans="1:3" x14ac:dyDescent="0.15">
      <c r="A2808" s="191">
        <v>36079</v>
      </c>
      <c r="B2808" s="196">
        <v>9.0332748278847182E-3</v>
      </c>
      <c r="C2808" s="194" t="s">
        <v>1</v>
      </c>
    </row>
    <row r="2809" spans="1:3" x14ac:dyDescent="0.15">
      <c r="A2809" s="191">
        <v>36080</v>
      </c>
      <c r="B2809" s="196">
        <v>9.0332748278847182E-3</v>
      </c>
      <c r="C2809" s="194" t="s">
        <v>1</v>
      </c>
    </row>
    <row r="2810" spans="1:3" x14ac:dyDescent="0.15">
      <c r="A2810" s="191">
        <v>36081</v>
      </c>
      <c r="B2810" s="196">
        <v>9.0372741560800669E-3</v>
      </c>
      <c r="C2810" s="194" t="s">
        <v>1</v>
      </c>
    </row>
    <row r="2811" spans="1:3" x14ac:dyDescent="0.15">
      <c r="A2811" s="191">
        <v>36082</v>
      </c>
      <c r="B2811" s="196">
        <v>9.0412752549096902E-3</v>
      </c>
      <c r="C2811" s="194" t="s">
        <v>1</v>
      </c>
    </row>
    <row r="2812" spans="1:3" x14ac:dyDescent="0.15">
      <c r="A2812" s="191">
        <v>36083</v>
      </c>
      <c r="B2812" s="196">
        <v>9.0452781251575045E-3</v>
      </c>
      <c r="C2812" s="194" t="s">
        <v>1</v>
      </c>
    </row>
    <row r="2813" spans="1:3" x14ac:dyDescent="0.15">
      <c r="A2813" s="191">
        <v>36084</v>
      </c>
      <c r="B2813" s="196">
        <v>9.0492827676077765E-3</v>
      </c>
      <c r="C2813" s="194" t="s">
        <v>1</v>
      </c>
    </row>
    <row r="2814" spans="1:3" x14ac:dyDescent="0.15">
      <c r="A2814" s="191">
        <v>36085</v>
      </c>
      <c r="B2814" s="196">
        <v>9.0492827676077765E-3</v>
      </c>
      <c r="C2814" s="194" t="s">
        <v>1</v>
      </c>
    </row>
    <row r="2815" spans="1:3" x14ac:dyDescent="0.15">
      <c r="A2815" s="191">
        <v>36086</v>
      </c>
      <c r="B2815" s="196">
        <v>9.0492827676077765E-3</v>
      </c>
      <c r="C2815" s="194" t="s">
        <v>1</v>
      </c>
    </row>
    <row r="2816" spans="1:3" x14ac:dyDescent="0.15">
      <c r="A2816" s="191">
        <v>36087</v>
      </c>
      <c r="B2816" s="196">
        <v>9.0532891830451181E-3</v>
      </c>
      <c r="C2816" s="194" t="s">
        <v>1</v>
      </c>
    </row>
    <row r="2817" spans="1:3" x14ac:dyDescent="0.15">
      <c r="A2817" s="191">
        <v>36088</v>
      </c>
      <c r="B2817" s="196">
        <v>9.0572973722544883E-3</v>
      </c>
      <c r="C2817" s="194" t="s">
        <v>1</v>
      </c>
    </row>
    <row r="2818" spans="1:3" x14ac:dyDescent="0.15">
      <c r="A2818" s="191">
        <v>36089</v>
      </c>
      <c r="B2818" s="196">
        <v>9.0613073360211946E-3</v>
      </c>
      <c r="C2818" s="194" t="s">
        <v>1</v>
      </c>
    </row>
    <row r="2819" spans="1:3" x14ac:dyDescent="0.15">
      <c r="A2819" s="191">
        <v>36090</v>
      </c>
      <c r="B2819" s="196">
        <v>9.0653190751308933E-3</v>
      </c>
      <c r="C2819" s="194" t="s">
        <v>1</v>
      </c>
    </row>
    <row r="2820" spans="1:3" x14ac:dyDescent="0.15">
      <c r="A2820" s="191">
        <v>36091</v>
      </c>
      <c r="B2820" s="196">
        <v>9.0693325903695859E-3</v>
      </c>
      <c r="C2820" s="194" t="s">
        <v>1</v>
      </c>
    </row>
    <row r="2821" spans="1:3" x14ac:dyDescent="0.15">
      <c r="A2821" s="191">
        <v>36092</v>
      </c>
      <c r="B2821" s="196">
        <v>9.0693325903695859E-3</v>
      </c>
      <c r="C2821" s="194" t="s">
        <v>1</v>
      </c>
    </row>
    <row r="2822" spans="1:3" x14ac:dyDescent="0.15">
      <c r="A2822" s="191">
        <v>36093</v>
      </c>
      <c r="B2822" s="196">
        <v>9.0693325903695859E-3</v>
      </c>
      <c r="C2822" s="194" t="s">
        <v>1</v>
      </c>
    </row>
    <row r="2823" spans="1:3" x14ac:dyDescent="0.15">
      <c r="A2823" s="191">
        <v>36094</v>
      </c>
      <c r="B2823" s="196">
        <v>9.0733478825236226E-3</v>
      </c>
      <c r="C2823" s="194" t="s">
        <v>1</v>
      </c>
    </row>
    <row r="2824" spans="1:3" x14ac:dyDescent="0.15">
      <c r="A2824" s="191">
        <v>36095</v>
      </c>
      <c r="B2824" s="196">
        <v>9.0773649523797038E-3</v>
      </c>
      <c r="C2824" s="194" t="s">
        <v>1</v>
      </c>
    </row>
    <row r="2825" spans="1:3" x14ac:dyDescent="0.15">
      <c r="A2825" s="191">
        <v>36096</v>
      </c>
      <c r="B2825" s="196">
        <v>9.0813838007248755E-3</v>
      </c>
      <c r="C2825" s="194" t="s">
        <v>1</v>
      </c>
    </row>
    <row r="2826" spans="1:3" x14ac:dyDescent="0.15">
      <c r="A2826" s="191">
        <v>36097</v>
      </c>
      <c r="B2826" s="196">
        <v>9.0854044283465336E-3</v>
      </c>
      <c r="C2826" s="194" t="s">
        <v>1</v>
      </c>
    </row>
    <row r="2827" spans="1:3" x14ac:dyDescent="0.15">
      <c r="A2827" s="191">
        <v>36098</v>
      </c>
      <c r="B2827" s="196">
        <v>9.0894268360324233E-3</v>
      </c>
      <c r="C2827" s="194" t="s">
        <v>1</v>
      </c>
    </row>
    <row r="2828" spans="1:3" x14ac:dyDescent="0.15">
      <c r="A2828" s="191">
        <v>36099</v>
      </c>
      <c r="B2828" s="196">
        <v>9.0894268360324233E-3</v>
      </c>
      <c r="C2828" s="194" t="s">
        <v>1</v>
      </c>
    </row>
    <row r="2829" spans="1:3" x14ac:dyDescent="0.15">
      <c r="A2829" s="191">
        <v>36100</v>
      </c>
      <c r="B2829" s="196">
        <v>9.0894268360324233E-3</v>
      </c>
      <c r="C2829" s="194" t="s">
        <v>1</v>
      </c>
    </row>
    <row r="2830" spans="1:3" x14ac:dyDescent="0.15">
      <c r="A2830" s="191">
        <v>36101</v>
      </c>
      <c r="B2830" s="196">
        <v>9.0894268360324233E-3</v>
      </c>
      <c r="C2830" s="194" t="s">
        <v>1</v>
      </c>
    </row>
    <row r="2831" spans="1:3" x14ac:dyDescent="0.15">
      <c r="A2831" s="191">
        <v>36102</v>
      </c>
      <c r="B2831" s="196">
        <v>9.0920749507134406E-3</v>
      </c>
      <c r="C2831" s="194" t="s">
        <v>1</v>
      </c>
    </row>
    <row r="2832" spans="1:3" x14ac:dyDescent="0.15">
      <c r="A2832" s="191">
        <v>36103</v>
      </c>
      <c r="B2832" s="196">
        <v>9.094723836896499E-3</v>
      </c>
      <c r="C2832" s="194" t="s">
        <v>1</v>
      </c>
    </row>
    <row r="2833" spans="1:3" x14ac:dyDescent="0.15">
      <c r="A2833" s="191">
        <v>36104</v>
      </c>
      <c r="B2833" s="196">
        <v>9.0973734948063684E-3</v>
      </c>
      <c r="C2833" s="194" t="s">
        <v>1</v>
      </c>
    </row>
    <row r="2834" spans="1:3" x14ac:dyDescent="0.15">
      <c r="A2834" s="191">
        <v>36105</v>
      </c>
      <c r="B2834" s="196">
        <v>9.1000239246678844E-3</v>
      </c>
      <c r="C2834" s="194" t="s">
        <v>1</v>
      </c>
    </row>
    <row r="2835" spans="1:3" x14ac:dyDescent="0.15">
      <c r="A2835" s="191">
        <v>36106</v>
      </c>
      <c r="B2835" s="196">
        <v>9.1000239246678844E-3</v>
      </c>
      <c r="C2835" s="194" t="s">
        <v>1</v>
      </c>
    </row>
    <row r="2836" spans="1:3" x14ac:dyDescent="0.15">
      <c r="A2836" s="191">
        <v>36107</v>
      </c>
      <c r="B2836" s="196">
        <v>9.1000239246678844E-3</v>
      </c>
      <c r="C2836" s="194" t="s">
        <v>1</v>
      </c>
    </row>
    <row r="2837" spans="1:3" x14ac:dyDescent="0.15">
      <c r="A2837" s="191">
        <v>36108</v>
      </c>
      <c r="B2837" s="196">
        <v>9.1026751267059471E-3</v>
      </c>
      <c r="C2837" s="194" t="s">
        <v>1</v>
      </c>
    </row>
    <row r="2838" spans="1:3" x14ac:dyDescent="0.15">
      <c r="A2838" s="191">
        <v>36109</v>
      </c>
      <c r="B2838" s="196">
        <v>9.1053271011455224E-3</v>
      </c>
      <c r="C2838" s="194" t="s">
        <v>1</v>
      </c>
    </row>
    <row r="2839" spans="1:3" x14ac:dyDescent="0.15">
      <c r="A2839" s="191">
        <v>36110</v>
      </c>
      <c r="B2839" s="196">
        <v>9.107979848211642E-3</v>
      </c>
      <c r="C2839" s="194" t="s">
        <v>1</v>
      </c>
    </row>
    <row r="2840" spans="1:3" x14ac:dyDescent="0.15">
      <c r="A2840" s="191">
        <v>36111</v>
      </c>
      <c r="B2840" s="196">
        <v>9.1106333681294036E-3</v>
      </c>
      <c r="C2840" s="194" t="s">
        <v>1</v>
      </c>
    </row>
    <row r="2841" spans="1:3" x14ac:dyDescent="0.15">
      <c r="A2841" s="191">
        <v>36112</v>
      </c>
      <c r="B2841" s="196">
        <v>9.1132876611239692E-3</v>
      </c>
      <c r="C2841" s="194" t="s">
        <v>1</v>
      </c>
    </row>
    <row r="2842" spans="1:3" x14ac:dyDescent="0.15">
      <c r="A2842" s="191">
        <v>36113</v>
      </c>
      <c r="B2842" s="196">
        <v>9.1132876611239692E-3</v>
      </c>
      <c r="C2842" s="194" t="s">
        <v>1</v>
      </c>
    </row>
    <row r="2843" spans="1:3" x14ac:dyDescent="0.15">
      <c r="A2843" s="191">
        <v>36114</v>
      </c>
      <c r="B2843" s="196">
        <v>9.1132876611239692E-3</v>
      </c>
      <c r="C2843" s="194" t="s">
        <v>1</v>
      </c>
    </row>
    <row r="2844" spans="1:3" x14ac:dyDescent="0.15">
      <c r="A2844" s="191">
        <v>36115</v>
      </c>
      <c r="B2844" s="196">
        <v>9.1159427274205684E-3</v>
      </c>
      <c r="C2844" s="194" t="s">
        <v>1</v>
      </c>
    </row>
    <row r="2845" spans="1:3" x14ac:dyDescent="0.15">
      <c r="A2845" s="191">
        <v>36116</v>
      </c>
      <c r="B2845" s="196">
        <v>9.118598567244493E-3</v>
      </c>
      <c r="C2845" s="194" t="s">
        <v>1</v>
      </c>
    </row>
    <row r="2846" spans="1:3" x14ac:dyDescent="0.15">
      <c r="A2846" s="191">
        <v>36117</v>
      </c>
      <c r="B2846" s="196">
        <v>9.1212551808211046E-3</v>
      </c>
      <c r="C2846" s="194" t="s">
        <v>1</v>
      </c>
    </row>
    <row r="2847" spans="1:3" x14ac:dyDescent="0.15">
      <c r="A2847" s="191">
        <v>36118</v>
      </c>
      <c r="B2847" s="196">
        <v>9.123912568375827E-3</v>
      </c>
      <c r="C2847" s="194" t="s">
        <v>1</v>
      </c>
    </row>
    <row r="2848" spans="1:3" x14ac:dyDescent="0.15">
      <c r="A2848" s="191">
        <v>36119</v>
      </c>
      <c r="B2848" s="196">
        <v>9.1265707301341516E-3</v>
      </c>
      <c r="C2848" s="194" t="s">
        <v>1</v>
      </c>
    </row>
    <row r="2849" spans="1:3" x14ac:dyDescent="0.15">
      <c r="A2849" s="191">
        <v>36120</v>
      </c>
      <c r="B2849" s="196">
        <v>9.1265707301341516E-3</v>
      </c>
      <c r="C2849" s="194" t="s">
        <v>1</v>
      </c>
    </row>
    <row r="2850" spans="1:3" x14ac:dyDescent="0.15">
      <c r="A2850" s="191">
        <v>36121</v>
      </c>
      <c r="B2850" s="196">
        <v>9.1265707301341516E-3</v>
      </c>
      <c r="C2850" s="194" t="s">
        <v>1</v>
      </c>
    </row>
    <row r="2851" spans="1:3" x14ac:dyDescent="0.15">
      <c r="A2851" s="191">
        <v>36122</v>
      </c>
      <c r="B2851" s="196">
        <v>9.1292296663216341E-3</v>
      </c>
      <c r="C2851" s="194" t="s">
        <v>1</v>
      </c>
    </row>
    <row r="2852" spans="1:3" x14ac:dyDescent="0.15">
      <c r="A2852" s="191">
        <v>36123</v>
      </c>
      <c r="B2852" s="196">
        <v>9.131889377163898E-3</v>
      </c>
      <c r="C2852" s="194" t="s">
        <v>1</v>
      </c>
    </row>
    <row r="2853" spans="1:3" x14ac:dyDescent="0.15">
      <c r="A2853" s="191">
        <v>36124</v>
      </c>
      <c r="B2853" s="196">
        <v>9.1345498628866307E-3</v>
      </c>
      <c r="C2853" s="194" t="s">
        <v>1</v>
      </c>
    </row>
    <row r="2854" spans="1:3" x14ac:dyDescent="0.15">
      <c r="A2854" s="191">
        <v>36125</v>
      </c>
      <c r="B2854" s="196">
        <v>9.1372111237155856E-3</v>
      </c>
      <c r="C2854" s="194" t="s">
        <v>1</v>
      </c>
    </row>
    <row r="2855" spans="1:3" x14ac:dyDescent="0.15">
      <c r="A2855" s="191">
        <v>36126</v>
      </c>
      <c r="B2855" s="196">
        <v>9.1398731598765822E-3</v>
      </c>
      <c r="C2855" s="194" t="s">
        <v>1</v>
      </c>
    </row>
    <row r="2856" spans="1:3" x14ac:dyDescent="0.15">
      <c r="A2856" s="191">
        <v>36127</v>
      </c>
      <c r="B2856" s="196">
        <v>9.1398731598765822E-3</v>
      </c>
      <c r="C2856" s="194" t="s">
        <v>1</v>
      </c>
    </row>
    <row r="2857" spans="1:3" x14ac:dyDescent="0.15">
      <c r="A2857" s="191">
        <v>36128</v>
      </c>
      <c r="B2857" s="196">
        <v>9.1398731598765822E-3</v>
      </c>
      <c r="C2857" s="194" t="s">
        <v>1</v>
      </c>
    </row>
    <row r="2858" spans="1:3" x14ac:dyDescent="0.15">
      <c r="A2858" s="191">
        <v>36129</v>
      </c>
      <c r="B2858" s="196">
        <v>9.1425359715955074E-3</v>
      </c>
      <c r="C2858" s="194" t="s">
        <v>1</v>
      </c>
    </row>
    <row r="2859" spans="1:3" x14ac:dyDescent="0.15">
      <c r="A2859" s="191">
        <v>36130</v>
      </c>
      <c r="B2859" s="196">
        <v>9.1451995590983107E-3</v>
      </c>
      <c r="C2859" s="194" t="s">
        <v>1</v>
      </c>
    </row>
    <row r="2860" spans="1:3" x14ac:dyDescent="0.15">
      <c r="A2860" s="191">
        <v>36131</v>
      </c>
      <c r="B2860" s="196">
        <v>9.1485868841249523E-3</v>
      </c>
      <c r="C2860" s="194" t="s">
        <v>1</v>
      </c>
    </row>
    <row r="2861" spans="1:3" x14ac:dyDescent="0.15">
      <c r="A2861" s="191">
        <v>36132</v>
      </c>
      <c r="B2861" s="196">
        <v>9.1519754637957116E-3</v>
      </c>
      <c r="C2861" s="194" t="s">
        <v>1</v>
      </c>
    </row>
    <row r="2862" spans="1:3" x14ac:dyDescent="0.15">
      <c r="A2862" s="191">
        <v>36133</v>
      </c>
      <c r="B2862" s="196">
        <v>9.155365298575302E-3</v>
      </c>
      <c r="C2862" s="194" t="s">
        <v>1</v>
      </c>
    </row>
    <row r="2863" spans="1:3" x14ac:dyDescent="0.15">
      <c r="A2863" s="191">
        <v>36134</v>
      </c>
      <c r="B2863" s="196">
        <v>9.155365298575302E-3</v>
      </c>
      <c r="C2863" s="194" t="s">
        <v>1</v>
      </c>
    </row>
    <row r="2864" spans="1:3" x14ac:dyDescent="0.15">
      <c r="A2864" s="191">
        <v>36135</v>
      </c>
      <c r="B2864" s="196">
        <v>9.155365298575302E-3</v>
      </c>
      <c r="C2864" s="194" t="s">
        <v>1</v>
      </c>
    </row>
    <row r="2865" spans="1:3" x14ac:dyDescent="0.15">
      <c r="A2865" s="191">
        <v>36136</v>
      </c>
      <c r="B2865" s="196">
        <v>9.1587563889286069E-3</v>
      </c>
      <c r="C2865" s="194" t="s">
        <v>1</v>
      </c>
    </row>
    <row r="2866" spans="1:3" x14ac:dyDescent="0.15">
      <c r="A2866" s="191">
        <v>36137</v>
      </c>
      <c r="B2866" s="196">
        <v>9.1621487353206847E-3</v>
      </c>
      <c r="C2866" s="194" t="s">
        <v>1</v>
      </c>
    </row>
    <row r="2867" spans="1:3" x14ac:dyDescent="0.15">
      <c r="A2867" s="191">
        <v>36138</v>
      </c>
      <c r="B2867" s="196">
        <v>9.1655423382167624E-3</v>
      </c>
      <c r="C2867" s="194" t="s">
        <v>1</v>
      </c>
    </row>
    <row r="2868" spans="1:3" x14ac:dyDescent="0.15">
      <c r="A2868" s="191">
        <v>36139</v>
      </c>
      <c r="B2868" s="196">
        <v>9.1689371980822418E-3</v>
      </c>
      <c r="C2868" s="194" t="s">
        <v>1</v>
      </c>
    </row>
    <row r="2869" spans="1:3" x14ac:dyDescent="0.15">
      <c r="A2869" s="191">
        <v>36140</v>
      </c>
      <c r="B2869" s="196">
        <v>9.1723333153826969E-3</v>
      </c>
      <c r="C2869" s="194" t="s">
        <v>1</v>
      </c>
    </row>
    <row r="2870" spans="1:3" x14ac:dyDescent="0.15">
      <c r="A2870" s="191">
        <v>36141</v>
      </c>
      <c r="B2870" s="196">
        <v>9.1723333153826969E-3</v>
      </c>
      <c r="C2870" s="194" t="s">
        <v>1</v>
      </c>
    </row>
    <row r="2871" spans="1:3" x14ac:dyDescent="0.15">
      <c r="A2871" s="191">
        <v>36142</v>
      </c>
      <c r="B2871" s="196">
        <v>9.1723333153826969E-3</v>
      </c>
      <c r="C2871" s="194" t="s">
        <v>1</v>
      </c>
    </row>
    <row r="2872" spans="1:3" x14ac:dyDescent="0.15">
      <c r="A2872" s="191">
        <v>36143</v>
      </c>
      <c r="B2872" s="196">
        <v>9.1757306905838748E-3</v>
      </c>
      <c r="C2872" s="194" t="s">
        <v>1</v>
      </c>
    </row>
    <row r="2873" spans="1:3" x14ac:dyDescent="0.15">
      <c r="A2873" s="191">
        <v>36144</v>
      </c>
      <c r="B2873" s="196">
        <v>9.1791293241516927E-3</v>
      </c>
      <c r="C2873" s="194" t="s">
        <v>1</v>
      </c>
    </row>
    <row r="2874" spans="1:3" x14ac:dyDescent="0.15">
      <c r="A2874" s="191">
        <v>36145</v>
      </c>
      <c r="B2874" s="196">
        <v>9.1825292165522415E-3</v>
      </c>
      <c r="C2874" s="194" t="s">
        <v>1</v>
      </c>
    </row>
    <row r="2875" spans="1:3" x14ac:dyDescent="0.15">
      <c r="A2875" s="191">
        <v>36146</v>
      </c>
      <c r="B2875" s="196">
        <v>9.1859303682517851E-3</v>
      </c>
      <c r="C2875" s="194" t="s">
        <v>1</v>
      </c>
    </row>
    <row r="2876" spans="1:3" x14ac:dyDescent="0.15">
      <c r="A2876" s="191">
        <v>36147</v>
      </c>
      <c r="B2876" s="196">
        <v>9.1893327797167614E-3</v>
      </c>
      <c r="C2876" s="194" t="s">
        <v>1</v>
      </c>
    </row>
    <row r="2877" spans="1:3" x14ac:dyDescent="0.15">
      <c r="A2877" s="191">
        <v>36148</v>
      </c>
      <c r="B2877" s="196">
        <v>9.1893327797167614E-3</v>
      </c>
      <c r="C2877" s="194" t="s">
        <v>1</v>
      </c>
    </row>
    <row r="2878" spans="1:3" x14ac:dyDescent="0.15">
      <c r="A2878" s="191">
        <v>36149</v>
      </c>
      <c r="B2878" s="196">
        <v>9.1893327797167614E-3</v>
      </c>
      <c r="C2878" s="194" t="s">
        <v>1</v>
      </c>
    </row>
    <row r="2879" spans="1:3" x14ac:dyDescent="0.15">
      <c r="A2879" s="191">
        <v>36150</v>
      </c>
      <c r="B2879" s="196">
        <v>9.1927364514137778E-3</v>
      </c>
      <c r="C2879" s="194" t="s">
        <v>1</v>
      </c>
    </row>
    <row r="2880" spans="1:3" x14ac:dyDescent="0.15">
      <c r="A2880" s="191">
        <v>36151</v>
      </c>
      <c r="B2880" s="196">
        <v>9.1961413838096175E-3</v>
      </c>
      <c r="C2880" s="194" t="s">
        <v>1</v>
      </c>
    </row>
    <row r="2881" spans="1:3" x14ac:dyDescent="0.15">
      <c r="A2881" s="191">
        <v>36152</v>
      </c>
      <c r="B2881" s="196">
        <v>9.1995475773712365E-3</v>
      </c>
      <c r="C2881" s="194" t="s">
        <v>1</v>
      </c>
    </row>
    <row r="2882" spans="1:3" x14ac:dyDescent="0.15">
      <c r="A2882" s="191">
        <v>36153</v>
      </c>
      <c r="B2882" s="196">
        <v>9.2029550325657614E-3</v>
      </c>
      <c r="C2882" s="194" t="s">
        <v>1</v>
      </c>
    </row>
    <row r="2883" spans="1:3" x14ac:dyDescent="0.15">
      <c r="A2883" s="191">
        <v>36154</v>
      </c>
      <c r="B2883" s="196">
        <v>9.2029550325657614E-3</v>
      </c>
      <c r="C2883" s="194" t="s">
        <v>1</v>
      </c>
    </row>
    <row r="2884" spans="1:3" x14ac:dyDescent="0.15">
      <c r="A2884" s="191">
        <v>36155</v>
      </c>
      <c r="B2884" s="196">
        <v>9.2029550325657614E-3</v>
      </c>
      <c r="C2884" s="194" t="s">
        <v>1</v>
      </c>
    </row>
    <row r="2885" spans="1:3" x14ac:dyDescent="0.15">
      <c r="A2885" s="191">
        <v>36156</v>
      </c>
      <c r="B2885" s="196">
        <v>9.2029550325657614E-3</v>
      </c>
      <c r="C2885" s="194" t="s">
        <v>1</v>
      </c>
    </row>
    <row r="2886" spans="1:3" x14ac:dyDescent="0.15">
      <c r="A2886" s="191">
        <v>36157</v>
      </c>
      <c r="B2886" s="196">
        <v>9.2063637498604935E-3</v>
      </c>
      <c r="C2886" s="194" t="s">
        <v>1</v>
      </c>
    </row>
    <row r="2887" spans="1:3" x14ac:dyDescent="0.15">
      <c r="A2887" s="191">
        <v>36158</v>
      </c>
      <c r="B2887" s="196">
        <v>9.2097737297229063E-3</v>
      </c>
      <c r="C2887" s="194" t="s">
        <v>1</v>
      </c>
    </row>
    <row r="2888" spans="1:3" x14ac:dyDescent="0.15">
      <c r="A2888" s="191">
        <v>36159</v>
      </c>
      <c r="B2888" s="196">
        <v>9.2131849726206482E-3</v>
      </c>
      <c r="C2888" s="194" t="s">
        <v>1</v>
      </c>
    </row>
    <row r="2889" spans="1:3" x14ac:dyDescent="0.15">
      <c r="A2889" s="191">
        <v>36160</v>
      </c>
      <c r="B2889" s="196">
        <v>9.2131849726206482E-3</v>
      </c>
      <c r="C2889" s="194" t="s">
        <v>1</v>
      </c>
    </row>
    <row r="2890" spans="1:3" x14ac:dyDescent="0.15">
      <c r="A2890" s="191">
        <v>36161</v>
      </c>
      <c r="B2890" s="196">
        <v>9.2131849726206482E-3</v>
      </c>
      <c r="C2890" s="194" t="s">
        <v>1</v>
      </c>
    </row>
    <row r="2891" spans="1:3" x14ac:dyDescent="0.15">
      <c r="A2891" s="191">
        <v>36162</v>
      </c>
      <c r="B2891" s="196">
        <v>9.2131849726206482E-3</v>
      </c>
      <c r="C2891" s="194" t="s">
        <v>1</v>
      </c>
    </row>
    <row r="2892" spans="1:3" x14ac:dyDescent="0.15">
      <c r="A2892" s="191">
        <v>36163</v>
      </c>
      <c r="B2892" s="196">
        <v>9.2131849726206482E-3</v>
      </c>
      <c r="C2892" s="194" t="s">
        <v>1</v>
      </c>
    </row>
    <row r="2893" spans="1:3" x14ac:dyDescent="0.15">
      <c r="A2893" s="191">
        <v>36164</v>
      </c>
      <c r="B2893" s="196">
        <v>9.2154445496182968E-3</v>
      </c>
      <c r="C2893" s="194" t="s">
        <v>1</v>
      </c>
    </row>
    <row r="2894" spans="1:3" x14ac:dyDescent="0.15">
      <c r="A2894" s="191">
        <v>36165</v>
      </c>
      <c r="B2894" s="196">
        <v>9.2177046807878447E-3</v>
      </c>
      <c r="C2894" s="194" t="s">
        <v>1</v>
      </c>
    </row>
    <row r="2895" spans="1:3" x14ac:dyDescent="0.15">
      <c r="A2895" s="191">
        <v>36166</v>
      </c>
      <c r="B2895" s="196">
        <v>9.219965366265204E-3</v>
      </c>
      <c r="C2895" s="194" t="s">
        <v>1</v>
      </c>
    </row>
    <row r="2896" spans="1:3" x14ac:dyDescent="0.15">
      <c r="A2896" s="191">
        <v>36167</v>
      </c>
      <c r="B2896" s="196">
        <v>9.2222266061863217E-3</v>
      </c>
      <c r="C2896" s="194" t="s">
        <v>1</v>
      </c>
    </row>
    <row r="2897" spans="1:3" x14ac:dyDescent="0.15">
      <c r="A2897" s="191">
        <v>36168</v>
      </c>
      <c r="B2897" s="196">
        <v>9.2244884006871773E-3</v>
      </c>
      <c r="C2897" s="194" t="s">
        <v>1</v>
      </c>
    </row>
    <row r="2898" spans="1:3" x14ac:dyDescent="0.15">
      <c r="A2898" s="191">
        <v>36169</v>
      </c>
      <c r="B2898" s="196">
        <v>9.2244884006871773E-3</v>
      </c>
      <c r="C2898" s="194" t="s">
        <v>1</v>
      </c>
    </row>
    <row r="2899" spans="1:3" x14ac:dyDescent="0.15">
      <c r="A2899" s="191">
        <v>36170</v>
      </c>
      <c r="B2899" s="196">
        <v>9.2244884006871773E-3</v>
      </c>
      <c r="C2899" s="194" t="s">
        <v>1</v>
      </c>
    </row>
    <row r="2900" spans="1:3" x14ac:dyDescent="0.15">
      <c r="A2900" s="191">
        <v>36171</v>
      </c>
      <c r="B2900" s="196">
        <v>9.2267507499037855E-3</v>
      </c>
      <c r="C2900" s="194" t="s">
        <v>1</v>
      </c>
    </row>
    <row r="2901" spans="1:3" x14ac:dyDescent="0.15">
      <c r="A2901" s="191">
        <v>36172</v>
      </c>
      <c r="B2901" s="196">
        <v>9.2290136539721918E-3</v>
      </c>
      <c r="C2901" s="194" t="s">
        <v>1</v>
      </c>
    </row>
    <row r="2902" spans="1:3" x14ac:dyDescent="0.15">
      <c r="A2902" s="191">
        <v>36173</v>
      </c>
      <c r="B2902" s="196">
        <v>9.2312771130284767E-3</v>
      </c>
      <c r="C2902" s="194" t="s">
        <v>1</v>
      </c>
    </row>
    <row r="2903" spans="1:3" x14ac:dyDescent="0.15">
      <c r="A2903" s="191">
        <v>36174</v>
      </c>
      <c r="B2903" s="196">
        <v>9.2335411272087536E-3</v>
      </c>
      <c r="C2903" s="194" t="s">
        <v>1</v>
      </c>
    </row>
    <row r="2904" spans="1:3" x14ac:dyDescent="0.15">
      <c r="A2904" s="191">
        <v>36175</v>
      </c>
      <c r="B2904" s="196">
        <v>9.2358056966491686E-3</v>
      </c>
      <c r="C2904" s="194" t="s">
        <v>1</v>
      </c>
    </row>
    <row r="2905" spans="1:3" x14ac:dyDescent="0.15">
      <c r="A2905" s="191">
        <v>36176</v>
      </c>
      <c r="B2905" s="196">
        <v>9.2358056966491686E-3</v>
      </c>
      <c r="C2905" s="194" t="s">
        <v>1</v>
      </c>
    </row>
    <row r="2906" spans="1:3" x14ac:dyDescent="0.15">
      <c r="A2906" s="191">
        <v>36177</v>
      </c>
      <c r="B2906" s="196">
        <v>9.2358056966491686E-3</v>
      </c>
      <c r="C2906" s="194" t="s">
        <v>1</v>
      </c>
    </row>
    <row r="2907" spans="1:3" x14ac:dyDescent="0.15">
      <c r="A2907" s="191">
        <v>36178</v>
      </c>
      <c r="B2907" s="196">
        <v>9.2380708214859029E-3</v>
      </c>
      <c r="C2907" s="194" t="s">
        <v>1</v>
      </c>
    </row>
    <row r="2908" spans="1:3" x14ac:dyDescent="0.15">
      <c r="A2908" s="191">
        <v>36179</v>
      </c>
      <c r="B2908" s="196">
        <v>9.2403365018551686E-3</v>
      </c>
      <c r="C2908" s="194" t="s">
        <v>1</v>
      </c>
    </row>
    <row r="2909" spans="1:3" x14ac:dyDescent="0.15">
      <c r="A2909" s="191">
        <v>36180</v>
      </c>
      <c r="B2909" s="196">
        <v>9.2426027378932143E-3</v>
      </c>
      <c r="C2909" s="194" t="s">
        <v>1</v>
      </c>
    </row>
    <row r="2910" spans="1:3" x14ac:dyDescent="0.15">
      <c r="A2910" s="191">
        <v>36181</v>
      </c>
      <c r="B2910" s="196">
        <v>9.2448695297363184E-3</v>
      </c>
      <c r="C2910" s="194" t="s">
        <v>1</v>
      </c>
    </row>
    <row r="2911" spans="1:3" x14ac:dyDescent="0.15">
      <c r="A2911" s="191">
        <v>36182</v>
      </c>
      <c r="B2911" s="196">
        <v>9.2471368775207969E-3</v>
      </c>
      <c r="C2911" s="194" t="s">
        <v>1</v>
      </c>
    </row>
    <row r="2912" spans="1:3" x14ac:dyDescent="0.15">
      <c r="A2912" s="191">
        <v>36183</v>
      </c>
      <c r="B2912" s="196">
        <v>9.2471368775207969E-3</v>
      </c>
      <c r="C2912" s="194" t="s">
        <v>1</v>
      </c>
    </row>
    <row r="2913" spans="1:3" x14ac:dyDescent="0.15">
      <c r="A2913" s="191">
        <v>36184</v>
      </c>
      <c r="B2913" s="196">
        <v>9.2471368775207969E-3</v>
      </c>
      <c r="C2913" s="194" t="s">
        <v>1</v>
      </c>
    </row>
    <row r="2914" spans="1:3" x14ac:dyDescent="0.15">
      <c r="A2914" s="191">
        <v>36185</v>
      </c>
      <c r="B2914" s="196">
        <v>9.2494047813829958E-3</v>
      </c>
      <c r="C2914" s="194" t="s">
        <v>1</v>
      </c>
    </row>
    <row r="2915" spans="1:3" x14ac:dyDescent="0.15">
      <c r="A2915" s="191">
        <v>36186</v>
      </c>
      <c r="B2915" s="196">
        <v>9.2516732414592955E-3</v>
      </c>
      <c r="C2915" s="194" t="s">
        <v>1</v>
      </c>
    </row>
    <row r="2916" spans="1:3" x14ac:dyDescent="0.15">
      <c r="A2916" s="191">
        <v>36187</v>
      </c>
      <c r="B2916" s="196">
        <v>9.2539422578861111E-3</v>
      </c>
      <c r="C2916" s="194" t="s">
        <v>1</v>
      </c>
    </row>
    <row r="2917" spans="1:3" x14ac:dyDescent="0.15">
      <c r="A2917" s="191">
        <v>36188</v>
      </c>
      <c r="B2917" s="196">
        <v>9.2562118307998893E-3</v>
      </c>
      <c r="C2917" s="194" t="s">
        <v>1</v>
      </c>
    </row>
    <row r="2918" spans="1:3" x14ac:dyDescent="0.15">
      <c r="A2918" s="191">
        <v>36189</v>
      </c>
      <c r="B2918" s="196">
        <v>9.2584819603371126E-3</v>
      </c>
      <c r="C2918" s="194" t="s">
        <v>1</v>
      </c>
    </row>
    <row r="2919" spans="1:3" x14ac:dyDescent="0.15">
      <c r="A2919" s="191">
        <v>36190</v>
      </c>
      <c r="B2919" s="196">
        <v>9.2584819603371126E-3</v>
      </c>
      <c r="C2919" s="194" t="s">
        <v>1</v>
      </c>
    </row>
    <row r="2920" spans="1:3" x14ac:dyDescent="0.15">
      <c r="A2920" s="191">
        <v>36191</v>
      </c>
      <c r="B2920" s="196">
        <v>9.2584819603371126E-3</v>
      </c>
      <c r="C2920" s="194" t="s">
        <v>1</v>
      </c>
    </row>
    <row r="2921" spans="1:3" x14ac:dyDescent="0.15">
      <c r="A2921" s="191">
        <v>36192</v>
      </c>
      <c r="B2921" s="196">
        <v>9.2607526466342936E-3</v>
      </c>
      <c r="C2921" s="194" t="s">
        <v>1</v>
      </c>
    </row>
    <row r="2922" spans="1:3" x14ac:dyDescent="0.15">
      <c r="A2922" s="191">
        <v>36193</v>
      </c>
      <c r="B2922" s="196">
        <v>9.2647813461250277E-3</v>
      </c>
      <c r="C2922" s="194" t="s">
        <v>1</v>
      </c>
    </row>
    <row r="2923" spans="1:3" x14ac:dyDescent="0.15">
      <c r="A2923" s="191">
        <v>36194</v>
      </c>
      <c r="B2923" s="196">
        <v>9.2688117982184064E-3</v>
      </c>
      <c r="C2923" s="194" t="s">
        <v>1</v>
      </c>
    </row>
    <row r="2924" spans="1:3" x14ac:dyDescent="0.15">
      <c r="A2924" s="191">
        <v>36195</v>
      </c>
      <c r="B2924" s="196">
        <v>9.2728440036768649E-3</v>
      </c>
      <c r="C2924" s="194" t="s">
        <v>1</v>
      </c>
    </row>
    <row r="2925" spans="1:3" x14ac:dyDescent="0.15">
      <c r="A2925" s="191">
        <v>36196</v>
      </c>
      <c r="B2925" s="196">
        <v>9.2768779632631682E-3</v>
      </c>
      <c r="C2925" s="194" t="s">
        <v>1</v>
      </c>
    </row>
    <row r="2926" spans="1:3" x14ac:dyDescent="0.15">
      <c r="A2926" s="191">
        <v>36197</v>
      </c>
      <c r="B2926" s="196">
        <v>9.2768779632631682E-3</v>
      </c>
      <c r="C2926" s="194" t="s">
        <v>1</v>
      </c>
    </row>
    <row r="2927" spans="1:3" x14ac:dyDescent="0.15">
      <c r="A2927" s="191">
        <v>36198</v>
      </c>
      <c r="B2927" s="196">
        <v>9.2768779632631682E-3</v>
      </c>
      <c r="C2927" s="194" t="s">
        <v>1</v>
      </c>
    </row>
    <row r="2928" spans="1:3" x14ac:dyDescent="0.15">
      <c r="A2928" s="191">
        <v>36199</v>
      </c>
      <c r="B2928" s="196">
        <v>9.2809136777404124E-3</v>
      </c>
      <c r="C2928" s="194" t="s">
        <v>1</v>
      </c>
    </row>
    <row r="2929" spans="1:3" x14ac:dyDescent="0.15">
      <c r="A2929" s="191">
        <v>36200</v>
      </c>
      <c r="B2929" s="196">
        <v>9.2849511478720267E-3</v>
      </c>
      <c r="C2929" s="194" t="s">
        <v>1</v>
      </c>
    </row>
    <row r="2930" spans="1:3" x14ac:dyDescent="0.15">
      <c r="A2930" s="191">
        <v>36201</v>
      </c>
      <c r="B2930" s="196">
        <v>9.2889903744217735E-3</v>
      </c>
      <c r="C2930" s="194" t="s">
        <v>1</v>
      </c>
    </row>
    <row r="2931" spans="1:3" x14ac:dyDescent="0.15">
      <c r="A2931" s="191">
        <v>36202</v>
      </c>
      <c r="B2931" s="196">
        <v>9.2930313581537447E-3</v>
      </c>
      <c r="C2931" s="194" t="s">
        <v>1</v>
      </c>
    </row>
    <row r="2932" spans="1:3" x14ac:dyDescent="0.15">
      <c r="A2932" s="191">
        <v>36203</v>
      </c>
      <c r="B2932" s="196">
        <v>9.2970740998323687E-3</v>
      </c>
      <c r="C2932" s="194" t="s">
        <v>1</v>
      </c>
    </row>
    <row r="2933" spans="1:3" x14ac:dyDescent="0.15">
      <c r="A2933" s="191">
        <v>36204</v>
      </c>
      <c r="B2933" s="196">
        <v>9.2970740998323687E-3</v>
      </c>
      <c r="C2933" s="194" t="s">
        <v>1</v>
      </c>
    </row>
    <row r="2934" spans="1:3" x14ac:dyDescent="0.15">
      <c r="A2934" s="191">
        <v>36205</v>
      </c>
      <c r="B2934" s="196">
        <v>9.2970740998323687E-3</v>
      </c>
      <c r="C2934" s="194" t="s">
        <v>1</v>
      </c>
    </row>
    <row r="2935" spans="1:3" x14ac:dyDescent="0.15">
      <c r="A2935" s="191">
        <v>36206</v>
      </c>
      <c r="B2935" s="196">
        <v>9.3011186002224019E-3</v>
      </c>
      <c r="C2935" s="194" t="s">
        <v>1</v>
      </c>
    </row>
    <row r="2936" spans="1:3" x14ac:dyDescent="0.15">
      <c r="A2936" s="191">
        <v>36207</v>
      </c>
      <c r="B2936" s="196">
        <v>9.3011186002224019E-3</v>
      </c>
      <c r="C2936" s="194" t="s">
        <v>1</v>
      </c>
    </row>
    <row r="2937" spans="1:3" x14ac:dyDescent="0.15">
      <c r="A2937" s="191">
        <v>36208</v>
      </c>
      <c r="B2937" s="196">
        <v>9.3051648600889353E-3</v>
      </c>
      <c r="C2937" s="194" t="s">
        <v>1</v>
      </c>
    </row>
    <row r="2938" spans="1:3" x14ac:dyDescent="0.15">
      <c r="A2938" s="191">
        <v>36209</v>
      </c>
      <c r="B2938" s="196">
        <v>9.3092128801973931E-3</v>
      </c>
      <c r="C2938" s="194" t="s">
        <v>1</v>
      </c>
    </row>
    <row r="2939" spans="1:3" x14ac:dyDescent="0.15">
      <c r="A2939" s="191">
        <v>36210</v>
      </c>
      <c r="B2939" s="196">
        <v>9.3132626613135327E-3</v>
      </c>
      <c r="C2939" s="194" t="s">
        <v>1</v>
      </c>
    </row>
    <row r="2940" spans="1:3" x14ac:dyDescent="0.15">
      <c r="A2940" s="191">
        <v>36211</v>
      </c>
      <c r="B2940" s="196">
        <v>9.3132626613135327E-3</v>
      </c>
      <c r="C2940" s="194" t="s">
        <v>1</v>
      </c>
    </row>
    <row r="2941" spans="1:3" x14ac:dyDescent="0.15">
      <c r="A2941" s="191">
        <v>36212</v>
      </c>
      <c r="B2941" s="196">
        <v>9.3132626613135327E-3</v>
      </c>
      <c r="C2941" s="194" t="s">
        <v>1</v>
      </c>
    </row>
    <row r="2942" spans="1:3" x14ac:dyDescent="0.15">
      <c r="A2942" s="191">
        <v>36213</v>
      </c>
      <c r="B2942" s="196">
        <v>9.3173142042034442E-3</v>
      </c>
      <c r="C2942" s="194" t="s">
        <v>1</v>
      </c>
    </row>
    <row r="2943" spans="1:3" x14ac:dyDescent="0.15">
      <c r="A2943" s="191">
        <v>36214</v>
      </c>
      <c r="B2943" s="196">
        <v>9.3213675096335512E-3</v>
      </c>
      <c r="C2943" s="194" t="s">
        <v>1</v>
      </c>
    </row>
    <row r="2944" spans="1:3" x14ac:dyDescent="0.15">
      <c r="A2944" s="191">
        <v>36215</v>
      </c>
      <c r="B2944" s="196">
        <v>9.32542257837061E-3</v>
      </c>
      <c r="C2944" s="194" t="s">
        <v>1</v>
      </c>
    </row>
    <row r="2945" spans="1:3" x14ac:dyDescent="0.15">
      <c r="A2945" s="191">
        <v>36216</v>
      </c>
      <c r="B2945" s="196">
        <v>9.3294794111817118E-3</v>
      </c>
      <c r="C2945" s="194" t="s">
        <v>1</v>
      </c>
    </row>
    <row r="2946" spans="1:3" x14ac:dyDescent="0.15">
      <c r="A2946" s="191">
        <v>36217</v>
      </c>
      <c r="B2946" s="196">
        <v>9.3335380088342794E-3</v>
      </c>
      <c r="C2946" s="194" t="s">
        <v>1</v>
      </c>
    </row>
    <row r="2947" spans="1:3" x14ac:dyDescent="0.15">
      <c r="A2947" s="191">
        <v>36218</v>
      </c>
      <c r="B2947" s="196">
        <v>9.3335380088342794E-3</v>
      </c>
      <c r="C2947" s="194" t="s">
        <v>1</v>
      </c>
    </row>
    <row r="2948" spans="1:3" x14ac:dyDescent="0.15">
      <c r="A2948" s="191">
        <v>36219</v>
      </c>
      <c r="B2948" s="196">
        <v>9.3335380088342794E-3</v>
      </c>
      <c r="C2948" s="194" t="s">
        <v>1</v>
      </c>
    </row>
    <row r="2949" spans="1:3" x14ac:dyDescent="0.15">
      <c r="A2949" s="191">
        <v>36220</v>
      </c>
      <c r="B2949" s="196">
        <v>9.3375983720960717E-3</v>
      </c>
      <c r="C2949" s="194" t="s">
        <v>1</v>
      </c>
    </row>
    <row r="2950" spans="1:3" x14ac:dyDescent="0.15">
      <c r="A2950" s="191">
        <v>36221</v>
      </c>
      <c r="B2950" s="196">
        <v>9.3422874599553909E-3</v>
      </c>
      <c r="C2950" s="194" t="s">
        <v>1</v>
      </c>
    </row>
    <row r="2951" spans="1:3" x14ac:dyDescent="0.15">
      <c r="A2951" s="191">
        <v>36222</v>
      </c>
      <c r="B2951" s="196">
        <v>9.3469789025470602E-3</v>
      </c>
      <c r="C2951" s="194" t="s">
        <v>1</v>
      </c>
    </row>
    <row r="2952" spans="1:3" x14ac:dyDescent="0.15">
      <c r="A2952" s="191">
        <v>36223</v>
      </c>
      <c r="B2952" s="196">
        <v>9.3516727010535608E-3</v>
      </c>
      <c r="C2952" s="194" t="s">
        <v>1</v>
      </c>
    </row>
    <row r="2953" spans="1:3" x14ac:dyDescent="0.15">
      <c r="A2953" s="191">
        <v>36224</v>
      </c>
      <c r="B2953" s="196">
        <v>9.3563688566579706E-3</v>
      </c>
      <c r="C2953" s="194" t="s">
        <v>1</v>
      </c>
    </row>
    <row r="2954" spans="1:3" x14ac:dyDescent="0.15">
      <c r="A2954" s="191">
        <v>36225</v>
      </c>
      <c r="B2954" s="196">
        <v>9.3563688566579706E-3</v>
      </c>
      <c r="C2954" s="194" t="s">
        <v>1</v>
      </c>
    </row>
    <row r="2955" spans="1:3" x14ac:dyDescent="0.15">
      <c r="A2955" s="191">
        <v>36226</v>
      </c>
      <c r="B2955" s="196">
        <v>9.3563688566579706E-3</v>
      </c>
      <c r="C2955" s="194" t="s">
        <v>1</v>
      </c>
    </row>
    <row r="2956" spans="1:3" x14ac:dyDescent="0.15">
      <c r="A2956" s="191">
        <v>36227</v>
      </c>
      <c r="B2956" s="196">
        <v>9.3610673705439591E-3</v>
      </c>
      <c r="C2956" s="194" t="s">
        <v>1</v>
      </c>
    </row>
    <row r="2957" spans="1:3" x14ac:dyDescent="0.15">
      <c r="A2957" s="191">
        <v>36228</v>
      </c>
      <c r="B2957" s="196">
        <v>9.3657682438957907E-3</v>
      </c>
      <c r="C2957" s="194" t="s">
        <v>1</v>
      </c>
    </row>
    <row r="2958" spans="1:3" x14ac:dyDescent="0.15">
      <c r="A2958" s="191">
        <v>36229</v>
      </c>
      <c r="B2958" s="196">
        <v>9.3704714778983251E-3</v>
      </c>
      <c r="C2958" s="194" t="s">
        <v>1</v>
      </c>
    </row>
    <row r="2959" spans="1:3" x14ac:dyDescent="0.15">
      <c r="A2959" s="191">
        <v>36230</v>
      </c>
      <c r="B2959" s="196">
        <v>9.3751770737370184E-3</v>
      </c>
      <c r="C2959" s="194" t="s">
        <v>1</v>
      </c>
    </row>
    <row r="2960" spans="1:3" x14ac:dyDescent="0.15">
      <c r="A2960" s="191">
        <v>36231</v>
      </c>
      <c r="B2960" s="196">
        <v>9.3798850325979184E-3</v>
      </c>
      <c r="C2960" s="194" t="s">
        <v>1</v>
      </c>
    </row>
    <row r="2961" spans="1:3" x14ac:dyDescent="0.15">
      <c r="A2961" s="191">
        <v>36232</v>
      </c>
      <c r="B2961" s="196">
        <v>9.3798850325979184E-3</v>
      </c>
      <c r="C2961" s="194" t="s">
        <v>1</v>
      </c>
    </row>
    <row r="2962" spans="1:3" x14ac:dyDescent="0.15">
      <c r="A2962" s="191">
        <v>36233</v>
      </c>
      <c r="B2962" s="196">
        <v>9.3798850325979184E-3</v>
      </c>
      <c r="C2962" s="194" t="s">
        <v>1</v>
      </c>
    </row>
    <row r="2963" spans="1:3" x14ac:dyDescent="0.15">
      <c r="A2963" s="191">
        <v>36234</v>
      </c>
      <c r="B2963" s="196">
        <v>9.3845953556676714E-3</v>
      </c>
      <c r="C2963" s="194" t="s">
        <v>1</v>
      </c>
    </row>
    <row r="2964" spans="1:3" x14ac:dyDescent="0.15">
      <c r="A2964" s="191">
        <v>36235</v>
      </c>
      <c r="B2964" s="196">
        <v>9.3893080441335187E-3</v>
      </c>
      <c r="C2964" s="194" t="s">
        <v>1</v>
      </c>
    </row>
    <row r="2965" spans="1:3" x14ac:dyDescent="0.15">
      <c r="A2965" s="191">
        <v>36236</v>
      </c>
      <c r="B2965" s="196">
        <v>9.3940230991832983E-3</v>
      </c>
      <c r="C2965" s="194" t="s">
        <v>1</v>
      </c>
    </row>
    <row r="2966" spans="1:3" x14ac:dyDescent="0.15">
      <c r="A2966" s="191">
        <v>36237</v>
      </c>
      <c r="B2966" s="196">
        <v>9.3987405220054433E-3</v>
      </c>
      <c r="C2966" s="194" t="s">
        <v>1</v>
      </c>
    </row>
    <row r="2967" spans="1:3" x14ac:dyDescent="0.15">
      <c r="A2967" s="191">
        <v>36238</v>
      </c>
      <c r="B2967" s="196">
        <v>9.403460313788985E-3</v>
      </c>
      <c r="C2967" s="194" t="s">
        <v>1</v>
      </c>
    </row>
    <row r="2968" spans="1:3" x14ac:dyDescent="0.15">
      <c r="A2968" s="191">
        <v>36239</v>
      </c>
      <c r="B2968" s="196">
        <v>9.403460313788985E-3</v>
      </c>
      <c r="C2968" s="194" t="s">
        <v>1</v>
      </c>
    </row>
    <row r="2969" spans="1:3" x14ac:dyDescent="0.15">
      <c r="A2969" s="191">
        <v>36240</v>
      </c>
      <c r="B2969" s="196">
        <v>9.403460313788985E-3</v>
      </c>
      <c r="C2969" s="194" t="s">
        <v>1</v>
      </c>
    </row>
    <row r="2970" spans="1:3" x14ac:dyDescent="0.15">
      <c r="A2970" s="191">
        <v>36241</v>
      </c>
      <c r="B2970" s="196">
        <v>9.4081824757235519E-3</v>
      </c>
      <c r="C2970" s="194" t="s">
        <v>1</v>
      </c>
    </row>
    <row r="2971" spans="1:3" x14ac:dyDescent="0.15">
      <c r="A2971" s="191">
        <v>36242</v>
      </c>
      <c r="B2971" s="196">
        <v>9.4129070089993688E-3</v>
      </c>
      <c r="C2971" s="194" t="s">
        <v>1</v>
      </c>
    </row>
    <row r="2972" spans="1:3" x14ac:dyDescent="0.15">
      <c r="A2972" s="191">
        <v>36243</v>
      </c>
      <c r="B2972" s="196">
        <v>9.4176339148072594E-3</v>
      </c>
      <c r="C2972" s="194" t="s">
        <v>1</v>
      </c>
    </row>
    <row r="2973" spans="1:3" x14ac:dyDescent="0.15">
      <c r="A2973" s="191">
        <v>36244</v>
      </c>
      <c r="B2973" s="196">
        <v>9.4223631943386437E-3</v>
      </c>
      <c r="C2973" s="194" t="s">
        <v>1</v>
      </c>
    </row>
    <row r="2974" spans="1:3" x14ac:dyDescent="0.15">
      <c r="A2974" s="191">
        <v>36245</v>
      </c>
      <c r="B2974" s="196">
        <v>9.4270948487855423E-3</v>
      </c>
      <c r="C2974" s="194" t="s">
        <v>1</v>
      </c>
    </row>
    <row r="2975" spans="1:3" x14ac:dyDescent="0.15">
      <c r="A2975" s="191">
        <v>36246</v>
      </c>
      <c r="B2975" s="196">
        <v>9.4270948487855423E-3</v>
      </c>
      <c r="C2975" s="194" t="s">
        <v>1</v>
      </c>
    </row>
    <row r="2976" spans="1:3" x14ac:dyDescent="0.15">
      <c r="A2976" s="191">
        <v>36247</v>
      </c>
      <c r="B2976" s="196">
        <v>9.4270948487855423E-3</v>
      </c>
      <c r="C2976" s="194" t="s">
        <v>1</v>
      </c>
    </row>
    <row r="2977" spans="1:3" x14ac:dyDescent="0.15">
      <c r="A2977" s="191">
        <v>36248</v>
      </c>
      <c r="B2977" s="196">
        <v>9.4318288793405723E-3</v>
      </c>
      <c r="C2977" s="194" t="s">
        <v>1</v>
      </c>
    </row>
    <row r="2978" spans="1:3" x14ac:dyDescent="0.15">
      <c r="A2978" s="191">
        <v>36249</v>
      </c>
      <c r="B2978" s="196">
        <v>9.4365652871969512E-3</v>
      </c>
      <c r="C2978" s="194" t="s">
        <v>1</v>
      </c>
    </row>
    <row r="2979" spans="1:3" x14ac:dyDescent="0.15">
      <c r="A2979" s="191">
        <v>36250</v>
      </c>
      <c r="B2979" s="196">
        <v>9.441304073548493E-3</v>
      </c>
      <c r="C2979" s="194" t="s">
        <v>1</v>
      </c>
    </row>
    <row r="2980" spans="1:3" x14ac:dyDescent="0.15">
      <c r="A2980" s="191">
        <v>36251</v>
      </c>
      <c r="B2980" s="196">
        <v>9.4460452395896156E-3</v>
      </c>
      <c r="C2980" s="194" t="s">
        <v>1</v>
      </c>
    </row>
    <row r="2981" spans="1:3" x14ac:dyDescent="0.15">
      <c r="A2981" s="191">
        <v>36252</v>
      </c>
      <c r="B2981" s="196">
        <v>9.4460452395896156E-3</v>
      </c>
      <c r="C2981" s="194" t="s">
        <v>1</v>
      </c>
    </row>
    <row r="2982" spans="1:3" x14ac:dyDescent="0.15">
      <c r="A2982" s="191">
        <v>36253</v>
      </c>
      <c r="B2982" s="196">
        <v>9.4460452395896156E-3</v>
      </c>
      <c r="C2982" s="194" t="s">
        <v>1</v>
      </c>
    </row>
    <row r="2983" spans="1:3" x14ac:dyDescent="0.15">
      <c r="A2983" s="191">
        <v>36254</v>
      </c>
      <c r="B2983" s="196">
        <v>9.4460452395896156E-3</v>
      </c>
      <c r="C2983" s="194" t="s">
        <v>1</v>
      </c>
    </row>
    <row r="2984" spans="1:3" x14ac:dyDescent="0.15">
      <c r="A2984" s="191">
        <v>36255</v>
      </c>
      <c r="B2984" s="196">
        <v>9.449065234523716E-3</v>
      </c>
      <c r="C2984" s="194" t="s">
        <v>1</v>
      </c>
    </row>
    <row r="2985" spans="1:3" x14ac:dyDescent="0.15">
      <c r="A2985" s="191">
        <v>36256</v>
      </c>
      <c r="B2985" s="196">
        <v>9.4520861949803359E-3</v>
      </c>
      <c r="C2985" s="194" t="s">
        <v>1</v>
      </c>
    </row>
    <row r="2986" spans="1:3" x14ac:dyDescent="0.15">
      <c r="A2986" s="191">
        <v>36257</v>
      </c>
      <c r="B2986" s="196">
        <v>9.4551081212681624E-3</v>
      </c>
      <c r="C2986" s="194" t="s">
        <v>1</v>
      </c>
    </row>
    <row r="2987" spans="1:3" x14ac:dyDescent="0.15">
      <c r="A2987" s="191">
        <v>36258</v>
      </c>
      <c r="B2987" s="196">
        <v>9.4581310136959834E-3</v>
      </c>
      <c r="C2987" s="194" t="s">
        <v>1</v>
      </c>
    </row>
    <row r="2988" spans="1:3" x14ac:dyDescent="0.15">
      <c r="A2988" s="191">
        <v>36259</v>
      </c>
      <c r="B2988" s="196">
        <v>9.4611548725726819E-3</v>
      </c>
      <c r="C2988" s="194" t="s">
        <v>1</v>
      </c>
    </row>
    <row r="2989" spans="1:3" x14ac:dyDescent="0.15">
      <c r="A2989" s="191">
        <v>36260</v>
      </c>
      <c r="B2989" s="196">
        <v>9.4611548725726819E-3</v>
      </c>
      <c r="C2989" s="194" t="s">
        <v>1</v>
      </c>
    </row>
    <row r="2990" spans="1:3" x14ac:dyDescent="0.15">
      <c r="A2990" s="191">
        <v>36261</v>
      </c>
      <c r="B2990" s="196">
        <v>9.4611548725726819E-3</v>
      </c>
      <c r="C2990" s="194" t="s">
        <v>1</v>
      </c>
    </row>
    <row r="2991" spans="1:3" x14ac:dyDescent="0.15">
      <c r="A2991" s="191">
        <v>36262</v>
      </c>
      <c r="B2991" s="196">
        <v>9.4641796982072399E-3</v>
      </c>
      <c r="C2991" s="194" t="s">
        <v>1</v>
      </c>
    </row>
    <row r="2992" spans="1:3" x14ac:dyDescent="0.15">
      <c r="A2992" s="191">
        <v>36263</v>
      </c>
      <c r="B2992" s="196">
        <v>9.4672054909087418E-3</v>
      </c>
      <c r="C2992" s="194" t="s">
        <v>1</v>
      </c>
    </row>
    <row r="2993" spans="1:3" x14ac:dyDescent="0.15">
      <c r="A2993" s="191">
        <v>36264</v>
      </c>
      <c r="B2993" s="196">
        <v>9.4702322509863674E-3</v>
      </c>
      <c r="C2993" s="194" t="s">
        <v>1</v>
      </c>
    </row>
    <row r="2994" spans="1:3" x14ac:dyDescent="0.15">
      <c r="A2994" s="191">
        <v>36265</v>
      </c>
      <c r="B2994" s="196">
        <v>9.473259978749397E-3</v>
      </c>
      <c r="C2994" s="194" t="s">
        <v>1</v>
      </c>
    </row>
    <row r="2995" spans="1:3" x14ac:dyDescent="0.15">
      <c r="A2995" s="191">
        <v>36266</v>
      </c>
      <c r="B2995" s="196">
        <v>9.4762886745072081E-3</v>
      </c>
      <c r="C2995" s="194" t="s">
        <v>1</v>
      </c>
    </row>
    <row r="2996" spans="1:3" x14ac:dyDescent="0.15">
      <c r="A2996" s="191">
        <v>36267</v>
      </c>
      <c r="B2996" s="196">
        <v>9.4762886745072081E-3</v>
      </c>
      <c r="C2996" s="194" t="s">
        <v>1</v>
      </c>
    </row>
    <row r="2997" spans="1:3" x14ac:dyDescent="0.15">
      <c r="A2997" s="191">
        <v>36268</v>
      </c>
      <c r="B2997" s="196">
        <v>9.4762886745072081E-3</v>
      </c>
      <c r="C2997" s="194" t="s">
        <v>1</v>
      </c>
    </row>
    <row r="2998" spans="1:3" x14ac:dyDescent="0.15">
      <c r="A2998" s="191">
        <v>36269</v>
      </c>
      <c r="B2998" s="196">
        <v>9.479318338569279E-3</v>
      </c>
      <c r="C2998" s="194" t="s">
        <v>1</v>
      </c>
    </row>
    <row r="2999" spans="1:3" x14ac:dyDescent="0.15">
      <c r="A2999" s="191">
        <v>36270</v>
      </c>
      <c r="B2999" s="196">
        <v>9.4823489712451865E-3</v>
      </c>
      <c r="C2999" s="194" t="s">
        <v>1</v>
      </c>
    </row>
    <row r="3000" spans="1:3" x14ac:dyDescent="0.15">
      <c r="A3000" s="191">
        <v>36271</v>
      </c>
      <c r="B3000" s="196">
        <v>9.4823489712451865E-3</v>
      </c>
      <c r="C3000" s="194" t="s">
        <v>1</v>
      </c>
    </row>
    <row r="3001" spans="1:3" x14ac:dyDescent="0.15">
      <c r="A3001" s="191">
        <v>36272</v>
      </c>
      <c r="B3001" s="196">
        <v>9.4853805728446067E-3</v>
      </c>
      <c r="C3001" s="194" t="s">
        <v>1</v>
      </c>
    </row>
    <row r="3002" spans="1:3" x14ac:dyDescent="0.15">
      <c r="A3002" s="191">
        <v>36273</v>
      </c>
      <c r="B3002" s="196">
        <v>9.4884131436773125E-3</v>
      </c>
      <c r="C3002" s="194" t="s">
        <v>1</v>
      </c>
    </row>
    <row r="3003" spans="1:3" x14ac:dyDescent="0.15">
      <c r="A3003" s="191">
        <v>36274</v>
      </c>
      <c r="B3003" s="196">
        <v>9.4884131436773125E-3</v>
      </c>
      <c r="C3003" s="194" t="s">
        <v>1</v>
      </c>
    </row>
    <row r="3004" spans="1:3" x14ac:dyDescent="0.15">
      <c r="A3004" s="191">
        <v>36275</v>
      </c>
      <c r="B3004" s="196">
        <v>9.4884131436773125E-3</v>
      </c>
      <c r="C3004" s="194" t="s">
        <v>1</v>
      </c>
    </row>
    <row r="3005" spans="1:3" x14ac:dyDescent="0.15">
      <c r="A3005" s="191">
        <v>36276</v>
      </c>
      <c r="B3005" s="196">
        <v>9.4914466840531793E-3</v>
      </c>
      <c r="C3005" s="194" t="s">
        <v>1</v>
      </c>
    </row>
    <row r="3006" spans="1:3" x14ac:dyDescent="0.15">
      <c r="A3006" s="191">
        <v>36277</v>
      </c>
      <c r="B3006" s="196">
        <v>9.4944811942821779E-3</v>
      </c>
      <c r="C3006" s="194" t="s">
        <v>1</v>
      </c>
    </row>
    <row r="3007" spans="1:3" x14ac:dyDescent="0.15">
      <c r="A3007" s="191">
        <v>36278</v>
      </c>
      <c r="B3007" s="196">
        <v>9.4975166746743816E-3</v>
      </c>
      <c r="C3007" s="194" t="s">
        <v>1</v>
      </c>
    </row>
    <row r="3008" spans="1:3" x14ac:dyDescent="0.15">
      <c r="A3008" s="191">
        <v>36279</v>
      </c>
      <c r="B3008" s="196">
        <v>9.5005531255399605E-3</v>
      </c>
      <c r="C3008" s="194" t="s">
        <v>1</v>
      </c>
    </row>
    <row r="3009" spans="1:3" x14ac:dyDescent="0.15">
      <c r="A3009" s="191">
        <v>36280</v>
      </c>
      <c r="B3009" s="196">
        <v>9.5035905471891856E-3</v>
      </c>
      <c r="C3009" s="194" t="s">
        <v>1</v>
      </c>
    </row>
    <row r="3010" spans="1:3" x14ac:dyDescent="0.15">
      <c r="A3010" s="191">
        <v>36281</v>
      </c>
      <c r="B3010" s="196">
        <v>9.5035905471891856E-3</v>
      </c>
      <c r="C3010" s="194" t="s">
        <v>1</v>
      </c>
    </row>
    <row r="3011" spans="1:3" x14ac:dyDescent="0.15">
      <c r="A3011" s="191">
        <v>36282</v>
      </c>
      <c r="B3011" s="196">
        <v>9.5035905471891856E-3</v>
      </c>
      <c r="C3011" s="194" t="s">
        <v>1</v>
      </c>
    </row>
    <row r="3012" spans="1:3" x14ac:dyDescent="0.15">
      <c r="A3012" s="191">
        <v>36283</v>
      </c>
      <c r="B3012" s="196">
        <v>9.5060723748443283E-3</v>
      </c>
      <c r="C3012" s="194" t="s">
        <v>1</v>
      </c>
    </row>
    <row r="3013" spans="1:3" x14ac:dyDescent="0.15">
      <c r="A3013" s="191">
        <v>36284</v>
      </c>
      <c r="B3013" s="196">
        <v>9.5085548506196188E-3</v>
      </c>
      <c r="C3013" s="194" t="s">
        <v>1</v>
      </c>
    </row>
    <row r="3014" spans="1:3" x14ac:dyDescent="0.15">
      <c r="A3014" s="191">
        <v>36285</v>
      </c>
      <c r="B3014" s="196">
        <v>9.5110379746843107E-3</v>
      </c>
      <c r="C3014" s="194" t="s">
        <v>1</v>
      </c>
    </row>
    <row r="3015" spans="1:3" x14ac:dyDescent="0.15">
      <c r="A3015" s="191">
        <v>36286</v>
      </c>
      <c r="B3015" s="196">
        <v>9.5135217472077042E-3</v>
      </c>
      <c r="C3015" s="194" t="s">
        <v>1</v>
      </c>
    </row>
    <row r="3016" spans="1:3" x14ac:dyDescent="0.15">
      <c r="A3016" s="191">
        <v>36287</v>
      </c>
      <c r="B3016" s="196">
        <v>9.5160061683591396E-3</v>
      </c>
      <c r="C3016" s="194" t="s">
        <v>1</v>
      </c>
    </row>
    <row r="3017" spans="1:3" x14ac:dyDescent="0.15">
      <c r="A3017" s="191">
        <v>36288</v>
      </c>
      <c r="B3017" s="196">
        <v>9.5160061683591396E-3</v>
      </c>
      <c r="C3017" s="194" t="s">
        <v>1</v>
      </c>
    </row>
    <row r="3018" spans="1:3" x14ac:dyDescent="0.15">
      <c r="A3018" s="191">
        <v>36289</v>
      </c>
      <c r="B3018" s="196">
        <v>9.5160061683591396E-3</v>
      </c>
      <c r="C3018" s="194" t="s">
        <v>1</v>
      </c>
    </row>
    <row r="3019" spans="1:3" x14ac:dyDescent="0.15">
      <c r="A3019" s="191">
        <v>36290</v>
      </c>
      <c r="B3019" s="196">
        <v>9.5184912383080057E-3</v>
      </c>
      <c r="C3019" s="194" t="s">
        <v>1</v>
      </c>
    </row>
    <row r="3020" spans="1:3" x14ac:dyDescent="0.15">
      <c r="A3020" s="191">
        <v>36291</v>
      </c>
      <c r="B3020" s="196">
        <v>9.5209769572237313E-3</v>
      </c>
      <c r="C3020" s="194" t="s">
        <v>1</v>
      </c>
    </row>
    <row r="3021" spans="1:3" x14ac:dyDescent="0.15">
      <c r="A3021" s="191">
        <v>36292</v>
      </c>
      <c r="B3021" s="196">
        <v>9.5234633252757935E-3</v>
      </c>
      <c r="C3021" s="194" t="s">
        <v>1</v>
      </c>
    </row>
    <row r="3022" spans="1:3" x14ac:dyDescent="0.15">
      <c r="A3022" s="191">
        <v>36293</v>
      </c>
      <c r="B3022" s="196">
        <v>9.5259503426337114E-3</v>
      </c>
      <c r="C3022" s="194" t="s">
        <v>1</v>
      </c>
    </row>
    <row r="3023" spans="1:3" x14ac:dyDescent="0.15">
      <c r="A3023" s="191">
        <v>36294</v>
      </c>
      <c r="B3023" s="196">
        <v>9.5284380094670489E-3</v>
      </c>
      <c r="C3023" s="194" t="s">
        <v>1</v>
      </c>
    </row>
    <row r="3024" spans="1:3" x14ac:dyDescent="0.15">
      <c r="A3024" s="191">
        <v>36295</v>
      </c>
      <c r="B3024" s="196">
        <v>9.5284380094670489E-3</v>
      </c>
      <c r="C3024" s="194" t="s">
        <v>1</v>
      </c>
    </row>
    <row r="3025" spans="1:3" x14ac:dyDescent="0.15">
      <c r="A3025" s="191">
        <v>36296</v>
      </c>
      <c r="B3025" s="196">
        <v>9.5284380094670489E-3</v>
      </c>
      <c r="C3025" s="194" t="s">
        <v>1</v>
      </c>
    </row>
    <row r="3026" spans="1:3" x14ac:dyDescent="0.15">
      <c r="A3026" s="191">
        <v>36297</v>
      </c>
      <c r="B3026" s="196">
        <v>9.5309263259454151E-3</v>
      </c>
      <c r="C3026" s="194" t="s">
        <v>1</v>
      </c>
    </row>
    <row r="3027" spans="1:3" x14ac:dyDescent="0.15">
      <c r="A3027" s="191">
        <v>36298</v>
      </c>
      <c r="B3027" s="196">
        <v>9.5334152922384608E-3</v>
      </c>
      <c r="C3027" s="194" t="s">
        <v>1</v>
      </c>
    </row>
    <row r="3028" spans="1:3" x14ac:dyDescent="0.15">
      <c r="A3028" s="191">
        <v>36299</v>
      </c>
      <c r="B3028" s="196">
        <v>9.5359049085158836E-3</v>
      </c>
      <c r="C3028" s="194" t="s">
        <v>1</v>
      </c>
    </row>
    <row r="3029" spans="1:3" x14ac:dyDescent="0.15">
      <c r="A3029" s="191">
        <v>36300</v>
      </c>
      <c r="B3029" s="196">
        <v>9.5383951749474227E-3</v>
      </c>
      <c r="C3029" s="194" t="s">
        <v>1</v>
      </c>
    </row>
    <row r="3030" spans="1:3" x14ac:dyDescent="0.15">
      <c r="A3030" s="191">
        <v>36301</v>
      </c>
      <c r="B3030" s="196">
        <v>9.5408860917028659E-3</v>
      </c>
      <c r="C3030" s="194" t="s">
        <v>1</v>
      </c>
    </row>
    <row r="3031" spans="1:3" x14ac:dyDescent="0.15">
      <c r="A3031" s="191">
        <v>36302</v>
      </c>
      <c r="B3031" s="196">
        <v>9.5408860917028659E-3</v>
      </c>
      <c r="C3031" s="194" t="s">
        <v>1</v>
      </c>
    </row>
    <row r="3032" spans="1:3" x14ac:dyDescent="0.15">
      <c r="A3032" s="191">
        <v>36303</v>
      </c>
      <c r="B3032" s="196">
        <v>9.5408860917028659E-3</v>
      </c>
      <c r="C3032" s="194" t="s">
        <v>1</v>
      </c>
    </row>
    <row r="3033" spans="1:3" x14ac:dyDescent="0.15">
      <c r="A3033" s="191">
        <v>36304</v>
      </c>
      <c r="B3033" s="196">
        <v>9.5433776589520427E-3</v>
      </c>
      <c r="C3033" s="194" t="s">
        <v>1</v>
      </c>
    </row>
    <row r="3034" spans="1:3" x14ac:dyDescent="0.15">
      <c r="A3034" s="191">
        <v>36305</v>
      </c>
      <c r="B3034" s="196">
        <v>9.5458698768648258E-3</v>
      </c>
      <c r="C3034" s="194" t="s">
        <v>1</v>
      </c>
    </row>
    <row r="3035" spans="1:3" x14ac:dyDescent="0.15">
      <c r="A3035" s="191">
        <v>36306</v>
      </c>
      <c r="B3035" s="196">
        <v>9.5483627456111331E-3</v>
      </c>
      <c r="C3035" s="194" t="s">
        <v>1</v>
      </c>
    </row>
    <row r="3036" spans="1:3" x14ac:dyDescent="0.15">
      <c r="A3036" s="191">
        <v>36307</v>
      </c>
      <c r="B3036" s="196">
        <v>9.5508562653609293E-3</v>
      </c>
      <c r="C3036" s="194" t="s">
        <v>1</v>
      </c>
    </row>
    <row r="3037" spans="1:3" x14ac:dyDescent="0.15">
      <c r="A3037" s="191">
        <v>36308</v>
      </c>
      <c r="B3037" s="196">
        <v>9.5533504362842209E-3</v>
      </c>
      <c r="C3037" s="194" t="s">
        <v>1</v>
      </c>
    </row>
    <row r="3038" spans="1:3" x14ac:dyDescent="0.15">
      <c r="A3038" s="191">
        <v>36309</v>
      </c>
      <c r="B3038" s="196">
        <v>9.5533504362842209E-3</v>
      </c>
      <c r="C3038" s="194" t="s">
        <v>1</v>
      </c>
    </row>
    <row r="3039" spans="1:3" x14ac:dyDescent="0.15">
      <c r="A3039" s="191">
        <v>36310</v>
      </c>
      <c r="B3039" s="196">
        <v>9.5533504362842209E-3</v>
      </c>
      <c r="C3039" s="194" t="s">
        <v>1</v>
      </c>
    </row>
    <row r="3040" spans="1:3" x14ac:dyDescent="0.15">
      <c r="A3040" s="191">
        <v>36311</v>
      </c>
      <c r="B3040" s="196">
        <v>9.5558452585510593E-3</v>
      </c>
      <c r="C3040" s="194" t="s">
        <v>1</v>
      </c>
    </row>
    <row r="3041" spans="1:3" x14ac:dyDescent="0.15">
      <c r="A3041" s="191">
        <v>36312</v>
      </c>
      <c r="B3041" s="196">
        <v>9.5583407323315394E-3</v>
      </c>
      <c r="C3041" s="194" t="s">
        <v>1</v>
      </c>
    </row>
    <row r="3042" spans="1:3" x14ac:dyDescent="0.15">
      <c r="A3042" s="191">
        <v>36313</v>
      </c>
      <c r="B3042" s="196">
        <v>9.5597532773260534E-3</v>
      </c>
      <c r="C3042" s="194" t="s">
        <v>1</v>
      </c>
    </row>
    <row r="3043" spans="1:3" x14ac:dyDescent="0.15">
      <c r="A3043" s="191">
        <v>36314</v>
      </c>
      <c r="B3043" s="196">
        <v>9.5597532773260534E-3</v>
      </c>
      <c r="C3043" s="194" t="s">
        <v>1</v>
      </c>
    </row>
    <row r="3044" spans="1:3" x14ac:dyDescent="0.15">
      <c r="A3044" s="191">
        <v>36315</v>
      </c>
      <c r="B3044" s="196">
        <v>9.5611660310684476E-3</v>
      </c>
      <c r="C3044" s="194" t="s">
        <v>1</v>
      </c>
    </row>
    <row r="3045" spans="1:3" x14ac:dyDescent="0.15">
      <c r="A3045" s="191">
        <v>36316</v>
      </c>
      <c r="B3045" s="196">
        <v>9.5611660310684476E-3</v>
      </c>
      <c r="C3045" s="194" t="s">
        <v>1</v>
      </c>
    </row>
    <row r="3046" spans="1:3" x14ac:dyDescent="0.15">
      <c r="A3046" s="191">
        <v>36317</v>
      </c>
      <c r="B3046" s="196">
        <v>9.5611660310684476E-3</v>
      </c>
      <c r="C3046" s="194" t="s">
        <v>1</v>
      </c>
    </row>
    <row r="3047" spans="1:3" x14ac:dyDescent="0.15">
      <c r="A3047" s="191">
        <v>36318</v>
      </c>
      <c r="B3047" s="196">
        <v>9.5625789935895704E-3</v>
      </c>
      <c r="C3047" s="194" t="s">
        <v>1</v>
      </c>
    </row>
    <row r="3048" spans="1:3" x14ac:dyDescent="0.15">
      <c r="A3048" s="191">
        <v>36319</v>
      </c>
      <c r="B3048" s="196">
        <v>9.5639921649202757E-3</v>
      </c>
      <c r="C3048" s="194" t="s">
        <v>1</v>
      </c>
    </row>
    <row r="3049" spans="1:3" x14ac:dyDescent="0.15">
      <c r="A3049" s="191">
        <v>36320</v>
      </c>
      <c r="B3049" s="196">
        <v>9.5654055450914207E-3</v>
      </c>
      <c r="C3049" s="194" t="s">
        <v>1</v>
      </c>
    </row>
    <row r="3050" spans="1:3" x14ac:dyDescent="0.15">
      <c r="A3050" s="191">
        <v>36321</v>
      </c>
      <c r="B3050" s="196">
        <v>9.5668191341338697E-3</v>
      </c>
      <c r="C3050" s="194" t="s">
        <v>1</v>
      </c>
    </row>
    <row r="3051" spans="1:3" x14ac:dyDescent="0.15">
      <c r="A3051" s="191">
        <v>36322</v>
      </c>
      <c r="B3051" s="196">
        <v>9.5682329320784885E-3</v>
      </c>
      <c r="C3051" s="194" t="s">
        <v>1</v>
      </c>
    </row>
    <row r="3052" spans="1:3" x14ac:dyDescent="0.15">
      <c r="A3052" s="191">
        <v>36323</v>
      </c>
      <c r="B3052" s="196">
        <v>9.5682329320784885E-3</v>
      </c>
      <c r="C3052" s="194" t="s">
        <v>1</v>
      </c>
    </row>
    <row r="3053" spans="1:3" x14ac:dyDescent="0.15">
      <c r="A3053" s="191">
        <v>36324</v>
      </c>
      <c r="B3053" s="196">
        <v>9.5682329320784885E-3</v>
      </c>
      <c r="C3053" s="194" t="s">
        <v>1</v>
      </c>
    </row>
    <row r="3054" spans="1:3" x14ac:dyDescent="0.15">
      <c r="A3054" s="191">
        <v>36325</v>
      </c>
      <c r="B3054" s="196">
        <v>9.56964693895615E-3</v>
      </c>
      <c r="C3054" s="194" t="s">
        <v>1</v>
      </c>
    </row>
    <row r="3055" spans="1:3" x14ac:dyDescent="0.15">
      <c r="A3055" s="191">
        <v>36326</v>
      </c>
      <c r="B3055" s="196">
        <v>9.5710611547977307E-3</v>
      </c>
      <c r="C3055" s="194" t="s">
        <v>1</v>
      </c>
    </row>
    <row r="3056" spans="1:3" x14ac:dyDescent="0.15">
      <c r="A3056" s="191">
        <v>36327</v>
      </c>
      <c r="B3056" s="196">
        <v>9.5724755796341102E-3</v>
      </c>
      <c r="C3056" s="194" t="s">
        <v>1</v>
      </c>
    </row>
    <row r="3057" spans="1:3" x14ac:dyDescent="0.15">
      <c r="A3057" s="191">
        <v>36328</v>
      </c>
      <c r="B3057" s="196">
        <v>9.5738902134961754E-3</v>
      </c>
      <c r="C3057" s="194" t="s">
        <v>1</v>
      </c>
    </row>
    <row r="3058" spans="1:3" x14ac:dyDescent="0.15">
      <c r="A3058" s="191">
        <v>36329</v>
      </c>
      <c r="B3058" s="196">
        <v>9.5753050564148165E-3</v>
      </c>
      <c r="C3058" s="194" t="s">
        <v>1</v>
      </c>
    </row>
    <row r="3059" spans="1:3" x14ac:dyDescent="0.15">
      <c r="A3059" s="191">
        <v>36330</v>
      </c>
      <c r="B3059" s="196">
        <v>9.5753050564148165E-3</v>
      </c>
      <c r="C3059" s="194" t="s">
        <v>1</v>
      </c>
    </row>
    <row r="3060" spans="1:3" x14ac:dyDescent="0.15">
      <c r="A3060" s="191">
        <v>36331</v>
      </c>
      <c r="B3060" s="196">
        <v>9.5753050564148165E-3</v>
      </c>
      <c r="C3060" s="194" t="s">
        <v>1</v>
      </c>
    </row>
    <row r="3061" spans="1:3" x14ac:dyDescent="0.15">
      <c r="A3061" s="191">
        <v>36332</v>
      </c>
      <c r="B3061" s="196">
        <v>9.5767201084209271E-3</v>
      </c>
      <c r="C3061" s="194" t="s">
        <v>1</v>
      </c>
    </row>
    <row r="3062" spans="1:3" x14ac:dyDescent="0.15">
      <c r="A3062" s="191">
        <v>36333</v>
      </c>
      <c r="B3062" s="196">
        <v>9.5781353695454079E-3</v>
      </c>
      <c r="C3062" s="194" t="s">
        <v>1</v>
      </c>
    </row>
    <row r="3063" spans="1:3" x14ac:dyDescent="0.15">
      <c r="A3063" s="191">
        <v>36334</v>
      </c>
      <c r="B3063" s="196">
        <v>9.5795508398191613E-3</v>
      </c>
      <c r="C3063" s="194" t="s">
        <v>1</v>
      </c>
    </row>
    <row r="3064" spans="1:3" x14ac:dyDescent="0.15">
      <c r="A3064" s="191">
        <v>36335</v>
      </c>
      <c r="B3064" s="196">
        <v>9.5809665192730965E-3</v>
      </c>
      <c r="C3064" s="194" t="s">
        <v>1</v>
      </c>
    </row>
    <row r="3065" spans="1:3" x14ac:dyDescent="0.15">
      <c r="A3065" s="191">
        <v>36336</v>
      </c>
      <c r="B3065" s="196">
        <v>9.5823824079381264E-3</v>
      </c>
      <c r="C3065" s="194" t="s">
        <v>1</v>
      </c>
    </row>
    <row r="3066" spans="1:3" x14ac:dyDescent="0.15">
      <c r="A3066" s="191">
        <v>36337</v>
      </c>
      <c r="B3066" s="196">
        <v>9.5823824079381264E-3</v>
      </c>
      <c r="C3066" s="194" t="s">
        <v>1</v>
      </c>
    </row>
    <row r="3067" spans="1:3" x14ac:dyDescent="0.15">
      <c r="A3067" s="191">
        <v>36338</v>
      </c>
      <c r="B3067" s="196">
        <v>9.5823824079381264E-3</v>
      </c>
      <c r="C3067" s="194" t="s">
        <v>1</v>
      </c>
    </row>
    <row r="3068" spans="1:3" x14ac:dyDescent="0.15">
      <c r="A3068" s="191">
        <v>36339</v>
      </c>
      <c r="B3068" s="196">
        <v>9.5837985058451688E-3</v>
      </c>
      <c r="C3068" s="194" t="s">
        <v>1</v>
      </c>
    </row>
    <row r="3069" spans="1:3" x14ac:dyDescent="0.15">
      <c r="A3069" s="191">
        <v>36340</v>
      </c>
      <c r="B3069" s="196">
        <v>9.5852148130251454E-3</v>
      </c>
      <c r="C3069" s="194" t="s">
        <v>1</v>
      </c>
    </row>
    <row r="3070" spans="1:3" x14ac:dyDescent="0.15">
      <c r="A3070" s="191">
        <v>36341</v>
      </c>
      <c r="B3070" s="196">
        <v>9.5866313295089826E-3</v>
      </c>
      <c r="C3070" s="194" t="s">
        <v>1</v>
      </c>
    </row>
    <row r="3071" spans="1:3" x14ac:dyDescent="0.15">
      <c r="A3071" s="191">
        <v>36342</v>
      </c>
      <c r="B3071" s="196">
        <v>9.5880480553276123E-3</v>
      </c>
      <c r="C3071" s="194" t="s">
        <v>1</v>
      </c>
    </row>
    <row r="3072" spans="1:3" x14ac:dyDescent="0.15">
      <c r="A3072" s="191">
        <v>36343</v>
      </c>
      <c r="B3072" s="196">
        <v>9.5893853192824258E-3</v>
      </c>
      <c r="C3072" s="194" t="s">
        <v>1</v>
      </c>
    </row>
    <row r="3073" spans="1:3" x14ac:dyDescent="0.15">
      <c r="A3073" s="191">
        <v>36344</v>
      </c>
      <c r="B3073" s="196">
        <v>9.5893853192824258E-3</v>
      </c>
      <c r="C3073" s="194" t="s">
        <v>1</v>
      </c>
    </row>
    <row r="3074" spans="1:3" x14ac:dyDescent="0.15">
      <c r="A3074" s="191">
        <v>36345</v>
      </c>
      <c r="B3074" s="196">
        <v>9.5893853192824258E-3</v>
      </c>
      <c r="C3074" s="194" t="s">
        <v>1</v>
      </c>
    </row>
    <row r="3075" spans="1:3" x14ac:dyDescent="0.15">
      <c r="A3075" s="191">
        <v>36346</v>
      </c>
      <c r="B3075" s="196">
        <v>9.5907227697480772E-3</v>
      </c>
      <c r="C3075" s="194" t="s">
        <v>1</v>
      </c>
    </row>
    <row r="3076" spans="1:3" x14ac:dyDescent="0.15">
      <c r="A3076" s="191">
        <v>36347</v>
      </c>
      <c r="B3076" s="196">
        <v>9.5920604067505806E-3</v>
      </c>
      <c r="C3076" s="194" t="s">
        <v>1</v>
      </c>
    </row>
    <row r="3077" spans="1:3" x14ac:dyDescent="0.15">
      <c r="A3077" s="191">
        <v>36348</v>
      </c>
      <c r="B3077" s="196">
        <v>9.5933982303159533E-3</v>
      </c>
      <c r="C3077" s="194" t="s">
        <v>1</v>
      </c>
    </row>
    <row r="3078" spans="1:3" x14ac:dyDescent="0.15">
      <c r="A3078" s="191">
        <v>36349</v>
      </c>
      <c r="B3078" s="196">
        <v>9.5947362404702145E-3</v>
      </c>
      <c r="C3078" s="194" t="s">
        <v>1</v>
      </c>
    </row>
    <row r="3079" spans="1:3" x14ac:dyDescent="0.15">
      <c r="A3079" s="191">
        <v>36350</v>
      </c>
      <c r="B3079" s="196">
        <v>9.5960744372393884E-3</v>
      </c>
      <c r="C3079" s="194" t="s">
        <v>1</v>
      </c>
    </row>
    <row r="3080" spans="1:3" x14ac:dyDescent="0.15">
      <c r="A3080" s="191">
        <v>36351</v>
      </c>
      <c r="B3080" s="196">
        <v>9.5960744372393884E-3</v>
      </c>
      <c r="C3080" s="194" t="s">
        <v>1</v>
      </c>
    </row>
    <row r="3081" spans="1:3" x14ac:dyDescent="0.15">
      <c r="A3081" s="191">
        <v>36352</v>
      </c>
      <c r="B3081" s="196">
        <v>9.5960744372393884E-3</v>
      </c>
      <c r="C3081" s="194" t="s">
        <v>1</v>
      </c>
    </row>
    <row r="3082" spans="1:3" x14ac:dyDescent="0.15">
      <c r="A3082" s="191">
        <v>36353</v>
      </c>
      <c r="B3082" s="196">
        <v>9.5974128206495028E-3</v>
      </c>
      <c r="C3082" s="194" t="s">
        <v>1</v>
      </c>
    </row>
    <row r="3083" spans="1:3" x14ac:dyDescent="0.15">
      <c r="A3083" s="191">
        <v>36354</v>
      </c>
      <c r="B3083" s="196">
        <v>9.5987513907265874E-3</v>
      </c>
      <c r="C3083" s="194" t="s">
        <v>1</v>
      </c>
    </row>
    <row r="3084" spans="1:3" x14ac:dyDescent="0.15">
      <c r="A3084" s="191">
        <v>36355</v>
      </c>
      <c r="B3084" s="196">
        <v>9.6000901474966784E-3</v>
      </c>
      <c r="C3084" s="194" t="s">
        <v>1</v>
      </c>
    </row>
    <row r="3085" spans="1:3" x14ac:dyDescent="0.15">
      <c r="A3085" s="191">
        <v>36356</v>
      </c>
      <c r="B3085" s="196">
        <v>9.6014290909858142E-3</v>
      </c>
      <c r="C3085" s="194" t="s">
        <v>1</v>
      </c>
    </row>
    <row r="3086" spans="1:3" x14ac:dyDescent="0.15">
      <c r="A3086" s="191">
        <v>36357</v>
      </c>
      <c r="B3086" s="196">
        <v>9.6027682212200365E-3</v>
      </c>
      <c r="C3086" s="194" t="s">
        <v>1</v>
      </c>
    </row>
    <row r="3087" spans="1:3" x14ac:dyDescent="0.15">
      <c r="A3087" s="191">
        <v>36358</v>
      </c>
      <c r="B3087" s="196">
        <v>9.6027682212200365E-3</v>
      </c>
      <c r="C3087" s="194" t="s">
        <v>1</v>
      </c>
    </row>
    <row r="3088" spans="1:3" x14ac:dyDescent="0.15">
      <c r="A3088" s="191">
        <v>36359</v>
      </c>
      <c r="B3088" s="196">
        <v>9.6027682212200365E-3</v>
      </c>
      <c r="C3088" s="194" t="s">
        <v>1</v>
      </c>
    </row>
    <row r="3089" spans="1:3" x14ac:dyDescent="0.15">
      <c r="A3089" s="191">
        <v>36360</v>
      </c>
      <c r="B3089" s="196">
        <v>9.604107538225392E-3</v>
      </c>
      <c r="C3089" s="194" t="s">
        <v>1</v>
      </c>
    </row>
    <row r="3090" spans="1:3" x14ac:dyDescent="0.15">
      <c r="A3090" s="191">
        <v>36361</v>
      </c>
      <c r="B3090" s="196">
        <v>9.6054470420279293E-3</v>
      </c>
      <c r="C3090" s="194" t="s">
        <v>1</v>
      </c>
    </row>
    <row r="3091" spans="1:3" x14ac:dyDescent="0.15">
      <c r="A3091" s="191">
        <v>36362</v>
      </c>
      <c r="B3091" s="196">
        <v>9.6067867326537007E-3</v>
      </c>
      <c r="C3091" s="194" t="s">
        <v>1</v>
      </c>
    </row>
    <row r="3092" spans="1:3" x14ac:dyDescent="0.15">
      <c r="A3092" s="191">
        <v>36363</v>
      </c>
      <c r="B3092" s="196">
        <v>9.6081266101287633E-3</v>
      </c>
      <c r="C3092" s="194" t="s">
        <v>1</v>
      </c>
    </row>
    <row r="3093" spans="1:3" x14ac:dyDescent="0.15">
      <c r="A3093" s="191">
        <v>36364</v>
      </c>
      <c r="B3093" s="196">
        <v>9.6094666744791779E-3</v>
      </c>
      <c r="C3093" s="194" t="s">
        <v>1</v>
      </c>
    </row>
    <row r="3094" spans="1:3" x14ac:dyDescent="0.15">
      <c r="A3094" s="191">
        <v>36365</v>
      </c>
      <c r="B3094" s="196">
        <v>9.6094666744791779E-3</v>
      </c>
      <c r="C3094" s="194" t="s">
        <v>1</v>
      </c>
    </row>
    <row r="3095" spans="1:3" x14ac:dyDescent="0.15">
      <c r="A3095" s="191">
        <v>36366</v>
      </c>
      <c r="B3095" s="196">
        <v>9.6094666744791779E-3</v>
      </c>
      <c r="C3095" s="194" t="s">
        <v>1</v>
      </c>
    </row>
    <row r="3096" spans="1:3" x14ac:dyDescent="0.15">
      <c r="A3096" s="191">
        <v>36367</v>
      </c>
      <c r="B3096" s="196">
        <v>9.6108069257310087E-3</v>
      </c>
      <c r="C3096" s="194" t="s">
        <v>1</v>
      </c>
    </row>
    <row r="3097" spans="1:3" x14ac:dyDescent="0.15">
      <c r="A3097" s="191">
        <v>36368</v>
      </c>
      <c r="B3097" s="196">
        <v>9.6121473639103217E-3</v>
      </c>
      <c r="C3097" s="194" t="s">
        <v>1</v>
      </c>
    </row>
    <row r="3098" spans="1:3" x14ac:dyDescent="0.15">
      <c r="A3098" s="191">
        <v>36369</v>
      </c>
      <c r="B3098" s="196">
        <v>9.613487989043188E-3</v>
      </c>
      <c r="C3098" s="194" t="s">
        <v>1</v>
      </c>
    </row>
    <row r="3099" spans="1:3" x14ac:dyDescent="0.15">
      <c r="A3099" s="191">
        <v>36370</v>
      </c>
      <c r="B3099" s="196">
        <v>9.6148288011556841E-3</v>
      </c>
      <c r="C3099" s="194" t="s">
        <v>1</v>
      </c>
    </row>
    <row r="3100" spans="1:3" x14ac:dyDescent="0.15">
      <c r="A3100" s="191">
        <v>36371</v>
      </c>
      <c r="B3100" s="196">
        <v>9.6161698002738879E-3</v>
      </c>
      <c r="C3100" s="194" t="s">
        <v>1</v>
      </c>
    </row>
    <row r="3101" spans="1:3" x14ac:dyDescent="0.15">
      <c r="A3101" s="191">
        <v>36372</v>
      </c>
      <c r="B3101" s="196">
        <v>9.6161698002738879E-3</v>
      </c>
      <c r="C3101" s="194" t="s">
        <v>1</v>
      </c>
    </row>
    <row r="3102" spans="1:3" x14ac:dyDescent="0.15">
      <c r="A3102" s="191">
        <v>36373</v>
      </c>
      <c r="B3102" s="196">
        <v>9.6161698002738879E-3</v>
      </c>
      <c r="C3102" s="194" t="s">
        <v>1</v>
      </c>
    </row>
    <row r="3103" spans="1:3" x14ac:dyDescent="0.15">
      <c r="A3103" s="191">
        <v>36374</v>
      </c>
      <c r="B3103" s="196">
        <v>9.6173993571841629E-3</v>
      </c>
      <c r="C3103" s="194" t="s">
        <v>1</v>
      </c>
    </row>
    <row r="3104" spans="1:3" x14ac:dyDescent="0.15">
      <c r="A3104" s="191">
        <v>36375</v>
      </c>
      <c r="B3104" s="196">
        <v>9.6186290713098609E-3</v>
      </c>
      <c r="C3104" s="194" t="s">
        <v>1</v>
      </c>
    </row>
    <row r="3105" spans="1:3" x14ac:dyDescent="0.15">
      <c r="A3105" s="191">
        <v>36376</v>
      </c>
      <c r="B3105" s="196">
        <v>9.6198589426710838E-3</v>
      </c>
      <c r="C3105" s="194" t="s">
        <v>1</v>
      </c>
    </row>
    <row r="3106" spans="1:3" x14ac:dyDescent="0.15">
      <c r="A3106" s="191">
        <v>36377</v>
      </c>
      <c r="B3106" s="196">
        <v>9.6210889712879354E-3</v>
      </c>
      <c r="C3106" s="194" t="s">
        <v>1</v>
      </c>
    </row>
    <row r="3107" spans="1:3" x14ac:dyDescent="0.15">
      <c r="A3107" s="191">
        <v>36378</v>
      </c>
      <c r="B3107" s="196">
        <v>9.6223191571805228E-3</v>
      </c>
      <c r="C3107" s="194" t="s">
        <v>1</v>
      </c>
    </row>
    <row r="3108" spans="1:3" x14ac:dyDescent="0.15">
      <c r="A3108" s="191">
        <v>36379</v>
      </c>
      <c r="B3108" s="196">
        <v>9.6223191571805228E-3</v>
      </c>
      <c r="C3108" s="194" t="s">
        <v>1</v>
      </c>
    </row>
    <row r="3109" spans="1:3" x14ac:dyDescent="0.15">
      <c r="A3109" s="191">
        <v>36380</v>
      </c>
      <c r="B3109" s="196">
        <v>9.6223191571805228E-3</v>
      </c>
      <c r="C3109" s="194" t="s">
        <v>1</v>
      </c>
    </row>
    <row r="3110" spans="1:3" x14ac:dyDescent="0.15">
      <c r="A3110" s="191">
        <v>36381</v>
      </c>
      <c r="B3110" s="196">
        <v>9.6235495003689567E-3</v>
      </c>
      <c r="C3110" s="194" t="s">
        <v>1</v>
      </c>
    </row>
    <row r="3111" spans="1:3" x14ac:dyDescent="0.15">
      <c r="A3111" s="191">
        <v>36382</v>
      </c>
      <c r="B3111" s="196">
        <v>9.6247800008733495E-3</v>
      </c>
      <c r="C3111" s="194" t="s">
        <v>1</v>
      </c>
    </row>
    <row r="3112" spans="1:3" x14ac:dyDescent="0.15">
      <c r="A3112" s="191">
        <v>36383</v>
      </c>
      <c r="B3112" s="196">
        <v>9.6260106587138152E-3</v>
      </c>
      <c r="C3112" s="194" t="s">
        <v>1</v>
      </c>
    </row>
    <row r="3113" spans="1:3" x14ac:dyDescent="0.15">
      <c r="A3113" s="191">
        <v>36384</v>
      </c>
      <c r="B3113" s="196">
        <v>9.6272414739104716E-3</v>
      </c>
      <c r="C3113" s="194" t="s">
        <v>1</v>
      </c>
    </row>
    <row r="3114" spans="1:3" x14ac:dyDescent="0.15">
      <c r="A3114" s="191">
        <v>36385</v>
      </c>
      <c r="B3114" s="196">
        <v>9.6284724464834395E-3</v>
      </c>
      <c r="C3114" s="194" t="s">
        <v>1</v>
      </c>
    </row>
    <row r="3115" spans="1:3" x14ac:dyDescent="0.15">
      <c r="A3115" s="191">
        <v>36386</v>
      </c>
      <c r="B3115" s="196">
        <v>9.6284724464834395E-3</v>
      </c>
      <c r="C3115" s="194" t="s">
        <v>1</v>
      </c>
    </row>
    <row r="3116" spans="1:3" x14ac:dyDescent="0.15">
      <c r="A3116" s="191">
        <v>36387</v>
      </c>
      <c r="B3116" s="196">
        <v>9.6284724464834395E-3</v>
      </c>
      <c r="C3116" s="194" t="s">
        <v>1</v>
      </c>
    </row>
    <row r="3117" spans="1:3" x14ac:dyDescent="0.15">
      <c r="A3117" s="191">
        <v>36388</v>
      </c>
      <c r="B3117" s="196">
        <v>9.6297035764528419E-3</v>
      </c>
      <c r="C3117" s="194" t="s">
        <v>1</v>
      </c>
    </row>
    <row r="3118" spans="1:3" x14ac:dyDescent="0.15">
      <c r="A3118" s="191">
        <v>36389</v>
      </c>
      <c r="B3118" s="196">
        <v>9.6309348638388033E-3</v>
      </c>
      <c r="C3118" s="194" t="s">
        <v>1</v>
      </c>
    </row>
    <row r="3119" spans="1:3" x14ac:dyDescent="0.15">
      <c r="A3119" s="191">
        <v>36390</v>
      </c>
      <c r="B3119" s="196">
        <v>9.6321663086614516E-3</v>
      </c>
      <c r="C3119" s="194" t="s">
        <v>1</v>
      </c>
    </row>
    <row r="3120" spans="1:3" x14ac:dyDescent="0.15">
      <c r="A3120" s="191">
        <v>36391</v>
      </c>
      <c r="B3120" s="196">
        <v>9.6333979109409166E-3</v>
      </c>
      <c r="C3120" s="194" t="s">
        <v>1</v>
      </c>
    </row>
    <row r="3121" spans="1:3" x14ac:dyDescent="0.15">
      <c r="A3121" s="191">
        <v>36392</v>
      </c>
      <c r="B3121" s="196">
        <v>9.6346296706973315E-3</v>
      </c>
      <c r="C3121" s="194" t="s">
        <v>1</v>
      </c>
    </row>
    <row r="3122" spans="1:3" x14ac:dyDescent="0.15">
      <c r="A3122" s="191">
        <v>36393</v>
      </c>
      <c r="B3122" s="196">
        <v>9.6346296706973315E-3</v>
      </c>
      <c r="C3122" s="194" t="s">
        <v>1</v>
      </c>
    </row>
    <row r="3123" spans="1:3" x14ac:dyDescent="0.15">
      <c r="A3123" s="191">
        <v>36394</v>
      </c>
      <c r="B3123" s="196">
        <v>9.6346296706973315E-3</v>
      </c>
      <c r="C3123" s="194" t="s">
        <v>1</v>
      </c>
    </row>
    <row r="3124" spans="1:3" x14ac:dyDescent="0.15">
      <c r="A3124" s="191">
        <v>36395</v>
      </c>
      <c r="B3124" s="196">
        <v>9.6358615879508329E-3</v>
      </c>
      <c r="C3124" s="194" t="s">
        <v>1</v>
      </c>
    </row>
    <row r="3125" spans="1:3" x14ac:dyDescent="0.15">
      <c r="A3125" s="191">
        <v>36396</v>
      </c>
      <c r="B3125" s="196">
        <v>9.6370936627215575E-3</v>
      </c>
      <c r="C3125" s="194" t="s">
        <v>1</v>
      </c>
    </row>
    <row r="3126" spans="1:3" x14ac:dyDescent="0.15">
      <c r="A3126" s="191">
        <v>36397</v>
      </c>
      <c r="B3126" s="196">
        <v>9.6383258950296473E-3</v>
      </c>
      <c r="C3126" s="194" t="s">
        <v>1</v>
      </c>
    </row>
    <row r="3127" spans="1:3" x14ac:dyDescent="0.15">
      <c r="A3127" s="191">
        <v>36398</v>
      </c>
      <c r="B3127" s="196">
        <v>9.6395582848952457E-3</v>
      </c>
      <c r="C3127" s="194" t="s">
        <v>1</v>
      </c>
    </row>
    <row r="3128" spans="1:3" x14ac:dyDescent="0.15">
      <c r="A3128" s="191">
        <v>36399</v>
      </c>
      <c r="B3128" s="196">
        <v>9.6407908323384965E-3</v>
      </c>
      <c r="C3128" s="194" t="s">
        <v>1</v>
      </c>
    </row>
    <row r="3129" spans="1:3" x14ac:dyDescent="0.15">
      <c r="A3129" s="191">
        <v>36400</v>
      </c>
      <c r="B3129" s="196">
        <v>9.6407908323384965E-3</v>
      </c>
      <c r="C3129" s="194" t="s">
        <v>1</v>
      </c>
    </row>
    <row r="3130" spans="1:3" x14ac:dyDescent="0.15">
      <c r="A3130" s="191">
        <v>36401</v>
      </c>
      <c r="B3130" s="196">
        <v>9.6407908323384965E-3</v>
      </c>
      <c r="C3130" s="194" t="s">
        <v>1</v>
      </c>
    </row>
    <row r="3131" spans="1:3" x14ac:dyDescent="0.15">
      <c r="A3131" s="191">
        <v>36402</v>
      </c>
      <c r="B3131" s="196">
        <v>9.6420235373795501E-3</v>
      </c>
      <c r="C3131" s="194" t="s">
        <v>1</v>
      </c>
    </row>
    <row r="3132" spans="1:3" x14ac:dyDescent="0.15">
      <c r="A3132" s="191">
        <v>36403</v>
      </c>
      <c r="B3132" s="196">
        <v>9.6432564000385572E-3</v>
      </c>
      <c r="C3132" s="194" t="s">
        <v>1</v>
      </c>
    </row>
    <row r="3133" spans="1:3" x14ac:dyDescent="0.15">
      <c r="A3133" s="191">
        <v>36404</v>
      </c>
      <c r="B3133" s="196">
        <v>9.6444894203356717E-3</v>
      </c>
      <c r="C3133" s="194" t="s">
        <v>1</v>
      </c>
    </row>
    <row r="3134" spans="1:3" x14ac:dyDescent="0.15">
      <c r="A3134" s="191">
        <v>36405</v>
      </c>
      <c r="B3134" s="196">
        <v>9.6457347058252329E-3</v>
      </c>
      <c r="C3134" s="194" t="s">
        <v>1</v>
      </c>
    </row>
    <row r="3135" spans="1:3" x14ac:dyDescent="0.15">
      <c r="A3135" s="191">
        <v>36406</v>
      </c>
      <c r="B3135" s="196">
        <v>9.6469801521046374E-3</v>
      </c>
      <c r="C3135" s="194" t="s">
        <v>1</v>
      </c>
    </row>
    <row r="3136" spans="1:3" x14ac:dyDescent="0.15">
      <c r="A3136" s="191">
        <v>36407</v>
      </c>
      <c r="B3136" s="196">
        <v>9.6469801521046374E-3</v>
      </c>
      <c r="C3136" s="194" t="s">
        <v>1</v>
      </c>
    </row>
    <row r="3137" spans="1:3" x14ac:dyDescent="0.15">
      <c r="A3137" s="191">
        <v>36408</v>
      </c>
      <c r="B3137" s="196">
        <v>9.6469801521046374E-3</v>
      </c>
      <c r="C3137" s="194" t="s">
        <v>1</v>
      </c>
    </row>
    <row r="3138" spans="1:3" x14ac:dyDescent="0.15">
      <c r="A3138" s="191">
        <v>36409</v>
      </c>
      <c r="B3138" s="196">
        <v>9.648225759194648E-3</v>
      </c>
      <c r="C3138" s="194" t="s">
        <v>1</v>
      </c>
    </row>
    <row r="3139" spans="1:3" x14ac:dyDescent="0.15">
      <c r="A3139" s="191">
        <v>36410</v>
      </c>
      <c r="B3139" s="196">
        <v>9.648225759194648E-3</v>
      </c>
      <c r="C3139" s="194" t="s">
        <v>1</v>
      </c>
    </row>
    <row r="3140" spans="1:3" x14ac:dyDescent="0.15">
      <c r="A3140" s="191">
        <v>36411</v>
      </c>
      <c r="B3140" s="196">
        <v>9.6494715271160277E-3</v>
      </c>
      <c r="C3140" s="194" t="s">
        <v>1</v>
      </c>
    </row>
    <row r="3141" spans="1:3" x14ac:dyDescent="0.15">
      <c r="A3141" s="191">
        <v>36412</v>
      </c>
      <c r="B3141" s="196">
        <v>9.6507174558895428E-3</v>
      </c>
      <c r="C3141" s="194" t="s">
        <v>1</v>
      </c>
    </row>
    <row r="3142" spans="1:3" x14ac:dyDescent="0.15">
      <c r="A3142" s="191">
        <v>36413</v>
      </c>
      <c r="B3142" s="196">
        <v>9.6519635455359614E-3</v>
      </c>
      <c r="C3142" s="194" t="s">
        <v>1</v>
      </c>
    </row>
    <row r="3143" spans="1:3" x14ac:dyDescent="0.15">
      <c r="A3143" s="191">
        <v>36414</v>
      </c>
      <c r="B3143" s="196">
        <v>9.6519635455359614E-3</v>
      </c>
      <c r="C3143" s="194" t="s">
        <v>1</v>
      </c>
    </row>
    <row r="3144" spans="1:3" x14ac:dyDescent="0.15">
      <c r="A3144" s="191">
        <v>36415</v>
      </c>
      <c r="B3144" s="196">
        <v>9.6519635455359614E-3</v>
      </c>
      <c r="C3144" s="194" t="s">
        <v>1</v>
      </c>
    </row>
    <row r="3145" spans="1:3" x14ac:dyDescent="0.15">
      <c r="A3145" s="191">
        <v>36416</v>
      </c>
      <c r="B3145" s="196">
        <v>9.6532097960760552E-3</v>
      </c>
      <c r="C3145" s="194" t="s">
        <v>1</v>
      </c>
    </row>
    <row r="3146" spans="1:3" x14ac:dyDescent="0.15">
      <c r="A3146" s="191">
        <v>36417</v>
      </c>
      <c r="B3146" s="196">
        <v>9.6544562075305991E-3</v>
      </c>
      <c r="C3146" s="194" t="s">
        <v>1</v>
      </c>
    </row>
    <row r="3147" spans="1:3" x14ac:dyDescent="0.15">
      <c r="A3147" s="191">
        <v>36418</v>
      </c>
      <c r="B3147" s="196">
        <v>9.6557027799203717E-3</v>
      </c>
      <c r="C3147" s="194" t="s">
        <v>1</v>
      </c>
    </row>
    <row r="3148" spans="1:3" x14ac:dyDescent="0.15">
      <c r="A3148" s="191">
        <v>36419</v>
      </c>
      <c r="B3148" s="196">
        <v>9.6569495132661515E-3</v>
      </c>
      <c r="C3148" s="194" t="s">
        <v>1</v>
      </c>
    </row>
    <row r="3149" spans="1:3" x14ac:dyDescent="0.15">
      <c r="A3149" s="191">
        <v>36420</v>
      </c>
      <c r="B3149" s="196">
        <v>9.6581964075887206E-3</v>
      </c>
      <c r="C3149" s="194" t="s">
        <v>1</v>
      </c>
    </row>
    <row r="3150" spans="1:3" x14ac:dyDescent="0.15">
      <c r="A3150" s="191">
        <v>36421</v>
      </c>
      <c r="B3150" s="196">
        <v>9.6581964075887206E-3</v>
      </c>
      <c r="C3150" s="194" t="s">
        <v>1</v>
      </c>
    </row>
    <row r="3151" spans="1:3" x14ac:dyDescent="0.15">
      <c r="A3151" s="191">
        <v>36422</v>
      </c>
      <c r="B3151" s="196">
        <v>9.6581964075887206E-3</v>
      </c>
      <c r="C3151" s="194" t="s">
        <v>1</v>
      </c>
    </row>
    <row r="3152" spans="1:3" x14ac:dyDescent="0.15">
      <c r="A3152" s="191">
        <v>36423</v>
      </c>
      <c r="B3152" s="196">
        <v>9.6594434629088642E-3</v>
      </c>
      <c r="C3152" s="194" t="s">
        <v>1</v>
      </c>
    </row>
    <row r="3153" spans="1:3" x14ac:dyDescent="0.15">
      <c r="A3153" s="191">
        <v>36424</v>
      </c>
      <c r="B3153" s="196">
        <v>9.6606906792473714E-3</v>
      </c>
      <c r="C3153" s="194" t="s">
        <v>1</v>
      </c>
    </row>
    <row r="3154" spans="1:3" x14ac:dyDescent="0.15">
      <c r="A3154" s="191">
        <v>36425</v>
      </c>
      <c r="B3154" s="196">
        <v>9.6619380566250312E-3</v>
      </c>
      <c r="C3154" s="194" t="s">
        <v>1</v>
      </c>
    </row>
    <row r="3155" spans="1:3" x14ac:dyDescent="0.15">
      <c r="A3155" s="191">
        <v>36426</v>
      </c>
      <c r="B3155" s="196">
        <v>9.6631855950626375E-3</v>
      </c>
      <c r="C3155" s="194" t="s">
        <v>1</v>
      </c>
    </row>
    <row r="3156" spans="1:3" x14ac:dyDescent="0.15">
      <c r="A3156" s="191">
        <v>36427</v>
      </c>
      <c r="B3156" s="196">
        <v>9.6644332945809864E-3</v>
      </c>
      <c r="C3156" s="194" t="s">
        <v>1</v>
      </c>
    </row>
    <row r="3157" spans="1:3" x14ac:dyDescent="0.15">
      <c r="A3157" s="191">
        <v>36428</v>
      </c>
      <c r="B3157" s="196">
        <v>9.6644332945809864E-3</v>
      </c>
      <c r="C3157" s="194" t="s">
        <v>1</v>
      </c>
    </row>
    <row r="3158" spans="1:3" x14ac:dyDescent="0.15">
      <c r="A3158" s="191">
        <v>36429</v>
      </c>
      <c r="B3158" s="196">
        <v>9.6644332945809864E-3</v>
      </c>
      <c r="C3158" s="194" t="s">
        <v>1</v>
      </c>
    </row>
    <row r="3159" spans="1:3" x14ac:dyDescent="0.15">
      <c r="A3159" s="191">
        <v>36430</v>
      </c>
      <c r="B3159" s="196">
        <v>9.6656811552008753E-3</v>
      </c>
      <c r="C3159" s="194" t="s">
        <v>1</v>
      </c>
    </row>
    <row r="3160" spans="1:3" x14ac:dyDescent="0.15">
      <c r="A3160" s="191">
        <v>36431</v>
      </c>
      <c r="B3160" s="196">
        <v>9.6669291769431055E-3</v>
      </c>
      <c r="C3160" s="194" t="s">
        <v>1</v>
      </c>
    </row>
    <row r="3161" spans="1:3" x14ac:dyDescent="0.15">
      <c r="A3161" s="191">
        <v>36432</v>
      </c>
      <c r="B3161" s="196">
        <v>9.668177359828483E-3</v>
      </c>
      <c r="C3161" s="194" t="s">
        <v>1</v>
      </c>
    </row>
    <row r="3162" spans="1:3" x14ac:dyDescent="0.15">
      <c r="A3162" s="191">
        <v>36433</v>
      </c>
      <c r="B3162" s="196">
        <v>9.6694257038778125E-3</v>
      </c>
      <c r="C3162" s="194" t="s">
        <v>1</v>
      </c>
    </row>
    <row r="3163" spans="1:3" x14ac:dyDescent="0.15">
      <c r="A3163" s="191">
        <v>36434</v>
      </c>
      <c r="B3163" s="196">
        <v>9.6706742091119038E-3</v>
      </c>
      <c r="C3163" s="194" t="s">
        <v>1</v>
      </c>
    </row>
    <row r="3164" spans="1:3" x14ac:dyDescent="0.15">
      <c r="A3164" s="191">
        <v>36435</v>
      </c>
      <c r="B3164" s="196">
        <v>9.6706742091119038E-3</v>
      </c>
      <c r="C3164" s="194" t="s">
        <v>1</v>
      </c>
    </row>
    <row r="3165" spans="1:3" x14ac:dyDescent="0.15">
      <c r="A3165" s="191">
        <v>36436</v>
      </c>
      <c r="B3165" s="196">
        <v>9.6706742091119038E-3</v>
      </c>
      <c r="C3165" s="194" t="s">
        <v>1</v>
      </c>
    </row>
    <row r="3166" spans="1:3" x14ac:dyDescent="0.15">
      <c r="A3166" s="191">
        <v>36437</v>
      </c>
      <c r="B3166" s="196">
        <v>9.6717682363955029E-3</v>
      </c>
      <c r="C3166" s="194" t="s">
        <v>1</v>
      </c>
    </row>
    <row r="3167" spans="1:3" x14ac:dyDescent="0.15">
      <c r="A3167" s="191">
        <v>36438</v>
      </c>
      <c r="B3167" s="196">
        <v>9.6728623874445877E-3</v>
      </c>
      <c r="C3167" s="194" t="s">
        <v>1</v>
      </c>
    </row>
    <row r="3168" spans="1:3" x14ac:dyDescent="0.15">
      <c r="A3168" s="191">
        <v>36439</v>
      </c>
      <c r="B3168" s="196">
        <v>9.6739566622731608E-3</v>
      </c>
      <c r="C3168" s="194" t="s">
        <v>1</v>
      </c>
    </row>
    <row r="3169" spans="1:3" x14ac:dyDescent="0.15">
      <c r="A3169" s="191">
        <v>36440</v>
      </c>
      <c r="B3169" s="196">
        <v>9.6750510608952251E-3</v>
      </c>
      <c r="C3169" s="194" t="s">
        <v>1</v>
      </c>
    </row>
    <row r="3170" spans="1:3" x14ac:dyDescent="0.15">
      <c r="A3170" s="191">
        <v>36441</v>
      </c>
      <c r="B3170" s="196">
        <v>9.6761455833247849E-3</v>
      </c>
      <c r="C3170" s="194" t="s">
        <v>1</v>
      </c>
    </row>
    <row r="3171" spans="1:3" x14ac:dyDescent="0.15">
      <c r="A3171" s="191">
        <v>36442</v>
      </c>
      <c r="B3171" s="196">
        <v>9.6761455833247849E-3</v>
      </c>
      <c r="C3171" s="194" t="s">
        <v>1</v>
      </c>
    </row>
    <row r="3172" spans="1:3" x14ac:dyDescent="0.15">
      <c r="A3172" s="191">
        <v>36443</v>
      </c>
      <c r="B3172" s="196">
        <v>9.6761455833247849E-3</v>
      </c>
      <c r="C3172" s="194" t="s">
        <v>1</v>
      </c>
    </row>
    <row r="3173" spans="1:3" x14ac:dyDescent="0.15">
      <c r="A3173" s="191">
        <v>36444</v>
      </c>
      <c r="B3173" s="196">
        <v>9.6772402295758463E-3</v>
      </c>
      <c r="C3173" s="194" t="s">
        <v>1</v>
      </c>
    </row>
    <row r="3174" spans="1:3" x14ac:dyDescent="0.15">
      <c r="A3174" s="191">
        <v>36445</v>
      </c>
      <c r="B3174" s="196">
        <v>9.6772402295758463E-3</v>
      </c>
      <c r="C3174" s="194" t="s">
        <v>1</v>
      </c>
    </row>
    <row r="3175" spans="1:3" x14ac:dyDescent="0.15">
      <c r="A3175" s="191">
        <v>36446</v>
      </c>
      <c r="B3175" s="196">
        <v>9.6783349996624156E-3</v>
      </c>
      <c r="C3175" s="194" t="s">
        <v>1</v>
      </c>
    </row>
    <row r="3176" spans="1:3" x14ac:dyDescent="0.15">
      <c r="A3176" s="191">
        <v>36447</v>
      </c>
      <c r="B3176" s="196">
        <v>9.679429893598504E-3</v>
      </c>
      <c r="C3176" s="194" t="s">
        <v>1</v>
      </c>
    </row>
    <row r="3177" spans="1:3" x14ac:dyDescent="0.15">
      <c r="A3177" s="191">
        <v>36448</v>
      </c>
      <c r="B3177" s="196">
        <v>9.6805249113981213E-3</v>
      </c>
      <c r="C3177" s="194" t="s">
        <v>1</v>
      </c>
    </row>
    <row r="3178" spans="1:3" x14ac:dyDescent="0.15">
      <c r="A3178" s="191">
        <v>36449</v>
      </c>
      <c r="B3178" s="196">
        <v>9.6805249113981213E-3</v>
      </c>
      <c r="C3178" s="194" t="s">
        <v>1</v>
      </c>
    </row>
    <row r="3179" spans="1:3" x14ac:dyDescent="0.15">
      <c r="A3179" s="191">
        <v>36450</v>
      </c>
      <c r="B3179" s="196">
        <v>9.6805249113981213E-3</v>
      </c>
      <c r="C3179" s="194" t="s">
        <v>1</v>
      </c>
    </row>
    <row r="3180" spans="1:3" x14ac:dyDescent="0.15">
      <c r="A3180" s="191">
        <v>36451</v>
      </c>
      <c r="B3180" s="196">
        <v>9.6816200530752804E-3</v>
      </c>
      <c r="C3180" s="194" t="s">
        <v>1</v>
      </c>
    </row>
    <row r="3181" spans="1:3" x14ac:dyDescent="0.15">
      <c r="A3181" s="191">
        <v>36452</v>
      </c>
      <c r="B3181" s="196">
        <v>9.6827153186439963E-3</v>
      </c>
      <c r="C3181" s="194" t="s">
        <v>1</v>
      </c>
    </row>
    <row r="3182" spans="1:3" x14ac:dyDescent="0.15">
      <c r="A3182" s="191">
        <v>36453</v>
      </c>
      <c r="B3182" s="196">
        <v>9.6838107081182838E-3</v>
      </c>
      <c r="C3182" s="194" t="s">
        <v>1</v>
      </c>
    </row>
    <row r="3183" spans="1:3" x14ac:dyDescent="0.15">
      <c r="A3183" s="191">
        <v>36454</v>
      </c>
      <c r="B3183" s="196">
        <v>9.6849062215121594E-3</v>
      </c>
      <c r="C3183" s="194" t="s">
        <v>1</v>
      </c>
    </row>
    <row r="3184" spans="1:3" x14ac:dyDescent="0.15">
      <c r="A3184" s="191">
        <v>36455</v>
      </c>
      <c r="B3184" s="196">
        <v>9.6860018588396431E-3</v>
      </c>
      <c r="C3184" s="194" t="s">
        <v>1</v>
      </c>
    </row>
    <row r="3185" spans="1:3" x14ac:dyDescent="0.15">
      <c r="A3185" s="191">
        <v>36456</v>
      </c>
      <c r="B3185" s="196">
        <v>9.6860018588396431E-3</v>
      </c>
      <c r="C3185" s="194" t="s">
        <v>1</v>
      </c>
    </row>
    <row r="3186" spans="1:3" x14ac:dyDescent="0.15">
      <c r="A3186" s="191">
        <v>36457</v>
      </c>
      <c r="B3186" s="196">
        <v>9.6860018588396431E-3</v>
      </c>
      <c r="C3186" s="194" t="s">
        <v>1</v>
      </c>
    </row>
    <row r="3187" spans="1:3" x14ac:dyDescent="0.15">
      <c r="A3187" s="191">
        <v>36458</v>
      </c>
      <c r="B3187" s="196">
        <v>9.6870976201147551E-3</v>
      </c>
      <c r="C3187" s="194" t="s">
        <v>1</v>
      </c>
    </row>
    <row r="3188" spans="1:3" x14ac:dyDescent="0.15">
      <c r="A3188" s="191">
        <v>36459</v>
      </c>
      <c r="B3188" s="196">
        <v>9.688193505351517E-3</v>
      </c>
      <c r="C3188" s="194" t="s">
        <v>1</v>
      </c>
    </row>
    <row r="3189" spans="1:3" x14ac:dyDescent="0.15">
      <c r="A3189" s="191">
        <v>36460</v>
      </c>
      <c r="B3189" s="196">
        <v>9.6892895145639524E-3</v>
      </c>
      <c r="C3189" s="194" t="s">
        <v>1</v>
      </c>
    </row>
    <row r="3190" spans="1:3" x14ac:dyDescent="0.15">
      <c r="A3190" s="191">
        <v>36461</v>
      </c>
      <c r="B3190" s="196">
        <v>9.6903856477660866E-3</v>
      </c>
      <c r="C3190" s="194" t="s">
        <v>1</v>
      </c>
    </row>
    <row r="3191" spans="1:3" x14ac:dyDescent="0.15">
      <c r="A3191" s="191">
        <v>36462</v>
      </c>
      <c r="B3191" s="196">
        <v>9.6914819049719464E-3</v>
      </c>
      <c r="C3191" s="194" t="s">
        <v>1</v>
      </c>
    </row>
    <row r="3192" spans="1:3" x14ac:dyDescent="0.15">
      <c r="A3192" s="191">
        <v>36463</v>
      </c>
      <c r="B3192" s="196">
        <v>9.6914819049719464E-3</v>
      </c>
      <c r="C3192" s="194" t="s">
        <v>1</v>
      </c>
    </row>
    <row r="3193" spans="1:3" x14ac:dyDescent="0.15">
      <c r="A3193" s="191">
        <v>36464</v>
      </c>
      <c r="B3193" s="196">
        <v>9.6914819049719464E-3</v>
      </c>
      <c r="C3193" s="194" t="s">
        <v>1</v>
      </c>
    </row>
    <row r="3194" spans="1:3" x14ac:dyDescent="0.15">
      <c r="A3194" s="191">
        <v>36465</v>
      </c>
      <c r="B3194" s="196">
        <v>9.6925782861955589E-3</v>
      </c>
      <c r="C3194" s="194" t="s">
        <v>1</v>
      </c>
    </row>
    <row r="3195" spans="1:3" x14ac:dyDescent="0.15">
      <c r="A3195" s="191">
        <v>36466</v>
      </c>
      <c r="B3195" s="196">
        <v>9.6925782861955589E-3</v>
      </c>
      <c r="C3195" s="194" t="s">
        <v>1</v>
      </c>
    </row>
    <row r="3196" spans="1:3" x14ac:dyDescent="0.15">
      <c r="A3196" s="191">
        <v>36467</v>
      </c>
      <c r="B3196" s="196">
        <v>9.6935456570037722E-3</v>
      </c>
      <c r="C3196" s="194" t="s">
        <v>1</v>
      </c>
    </row>
    <row r="3197" spans="1:3" x14ac:dyDescent="0.15">
      <c r="A3197" s="191">
        <v>36468</v>
      </c>
      <c r="B3197" s="196">
        <v>9.6945131243607319E-3</v>
      </c>
      <c r="C3197" s="194" t="s">
        <v>1</v>
      </c>
    </row>
    <row r="3198" spans="1:3" x14ac:dyDescent="0.15">
      <c r="A3198" s="191">
        <v>36469</v>
      </c>
      <c r="B3198" s="196">
        <v>9.6954806882760744E-3</v>
      </c>
      <c r="C3198" s="194" t="s">
        <v>1</v>
      </c>
    </row>
    <row r="3199" spans="1:3" x14ac:dyDescent="0.15">
      <c r="A3199" s="191">
        <v>36470</v>
      </c>
      <c r="B3199" s="196">
        <v>9.6954806882760744E-3</v>
      </c>
      <c r="C3199" s="194" t="s">
        <v>1</v>
      </c>
    </row>
    <row r="3200" spans="1:3" x14ac:dyDescent="0.15">
      <c r="A3200" s="191">
        <v>36471</v>
      </c>
      <c r="B3200" s="196">
        <v>9.6954806882760744E-3</v>
      </c>
      <c r="C3200" s="194" t="s">
        <v>1</v>
      </c>
    </row>
    <row r="3201" spans="1:3" x14ac:dyDescent="0.15">
      <c r="A3201" s="191">
        <v>36472</v>
      </c>
      <c r="B3201" s="196">
        <v>9.6964483487594361E-3</v>
      </c>
      <c r="C3201" s="194" t="s">
        <v>1</v>
      </c>
    </row>
    <row r="3202" spans="1:3" x14ac:dyDescent="0.15">
      <c r="A3202" s="191">
        <v>36473</v>
      </c>
      <c r="B3202" s="196">
        <v>9.6974161058204552E-3</v>
      </c>
      <c r="C3202" s="194" t="s">
        <v>1</v>
      </c>
    </row>
    <row r="3203" spans="1:3" x14ac:dyDescent="0.15">
      <c r="A3203" s="191">
        <v>36474</v>
      </c>
      <c r="B3203" s="196">
        <v>9.6983839594687697E-3</v>
      </c>
      <c r="C3203" s="194" t="s">
        <v>1</v>
      </c>
    </row>
    <row r="3204" spans="1:3" x14ac:dyDescent="0.15">
      <c r="A3204" s="191">
        <v>36475</v>
      </c>
      <c r="B3204" s="196">
        <v>9.6993519097140213E-3</v>
      </c>
      <c r="C3204" s="194" t="s">
        <v>1</v>
      </c>
    </row>
    <row r="3205" spans="1:3" x14ac:dyDescent="0.15">
      <c r="A3205" s="191">
        <v>36476</v>
      </c>
      <c r="B3205" s="196">
        <v>9.7003199565658497E-3</v>
      </c>
      <c r="C3205" s="194" t="s">
        <v>1</v>
      </c>
    </row>
    <row r="3206" spans="1:3" x14ac:dyDescent="0.15">
      <c r="A3206" s="191">
        <v>36477</v>
      </c>
      <c r="B3206" s="196">
        <v>9.7003199565658497E-3</v>
      </c>
      <c r="C3206" s="194" t="s">
        <v>1</v>
      </c>
    </row>
    <row r="3207" spans="1:3" x14ac:dyDescent="0.15">
      <c r="A3207" s="191">
        <v>36478</v>
      </c>
      <c r="B3207" s="196">
        <v>9.7003199565658497E-3</v>
      </c>
      <c r="C3207" s="194" t="s">
        <v>1</v>
      </c>
    </row>
    <row r="3208" spans="1:3" x14ac:dyDescent="0.15">
      <c r="A3208" s="191">
        <v>36479</v>
      </c>
      <c r="B3208" s="196">
        <v>9.7003199565658497E-3</v>
      </c>
      <c r="C3208" s="194" t="s">
        <v>1</v>
      </c>
    </row>
    <row r="3209" spans="1:3" x14ac:dyDescent="0.15">
      <c r="A3209" s="191">
        <v>36480</v>
      </c>
      <c r="B3209" s="196">
        <v>9.7012881000338967E-3</v>
      </c>
      <c r="C3209" s="194" t="s">
        <v>1</v>
      </c>
    </row>
    <row r="3210" spans="1:3" x14ac:dyDescent="0.15">
      <c r="A3210" s="191">
        <v>36481</v>
      </c>
      <c r="B3210" s="196">
        <v>9.7022563401278055E-3</v>
      </c>
      <c r="C3210" s="194" t="s">
        <v>1</v>
      </c>
    </row>
    <row r="3211" spans="1:3" x14ac:dyDescent="0.15">
      <c r="A3211" s="191">
        <v>36482</v>
      </c>
      <c r="B3211" s="196">
        <v>9.7032246768572195E-3</v>
      </c>
      <c r="C3211" s="194" t="s">
        <v>1</v>
      </c>
    </row>
    <row r="3212" spans="1:3" x14ac:dyDescent="0.15">
      <c r="A3212" s="191">
        <v>36483</v>
      </c>
      <c r="B3212" s="196">
        <v>9.7041931102317836E-3</v>
      </c>
      <c r="C3212" s="194" t="s">
        <v>1</v>
      </c>
    </row>
    <row r="3213" spans="1:3" x14ac:dyDescent="0.15">
      <c r="A3213" s="191">
        <v>36484</v>
      </c>
      <c r="B3213" s="196">
        <v>9.7041931102317836E-3</v>
      </c>
      <c r="C3213" s="194" t="s">
        <v>1</v>
      </c>
    </row>
    <row r="3214" spans="1:3" x14ac:dyDescent="0.15">
      <c r="A3214" s="191">
        <v>36485</v>
      </c>
      <c r="B3214" s="196">
        <v>9.7041931102317836E-3</v>
      </c>
      <c r="C3214" s="194" t="s">
        <v>1</v>
      </c>
    </row>
    <row r="3215" spans="1:3" x14ac:dyDescent="0.15">
      <c r="A3215" s="191">
        <v>36486</v>
      </c>
      <c r="B3215" s="196">
        <v>9.7051616402611448E-3</v>
      </c>
      <c r="C3215" s="194" t="s">
        <v>1</v>
      </c>
    </row>
    <row r="3216" spans="1:3" x14ac:dyDescent="0.15">
      <c r="A3216" s="191">
        <v>36487</v>
      </c>
      <c r="B3216" s="196">
        <v>9.706130266954948E-3</v>
      </c>
      <c r="C3216" s="194" t="s">
        <v>1</v>
      </c>
    </row>
    <row r="3217" spans="1:3" x14ac:dyDescent="0.15">
      <c r="A3217" s="191">
        <v>36488</v>
      </c>
      <c r="B3217" s="196">
        <v>9.7070989903228419E-3</v>
      </c>
      <c r="C3217" s="194" t="s">
        <v>1</v>
      </c>
    </row>
    <row r="3218" spans="1:3" x14ac:dyDescent="0.15">
      <c r="A3218" s="191">
        <v>36489</v>
      </c>
      <c r="B3218" s="196">
        <v>9.7080678103744732E-3</v>
      </c>
      <c r="C3218" s="194" t="s">
        <v>1</v>
      </c>
    </row>
    <row r="3219" spans="1:3" x14ac:dyDescent="0.15">
      <c r="A3219" s="191">
        <v>36490</v>
      </c>
      <c r="B3219" s="196">
        <v>9.7090367271194938E-3</v>
      </c>
      <c r="C3219" s="194" t="s">
        <v>1</v>
      </c>
    </row>
    <row r="3220" spans="1:3" x14ac:dyDescent="0.15">
      <c r="A3220" s="191">
        <v>36491</v>
      </c>
      <c r="B3220" s="196">
        <v>9.7090367271194938E-3</v>
      </c>
      <c r="C3220" s="194" t="s">
        <v>1</v>
      </c>
    </row>
    <row r="3221" spans="1:3" x14ac:dyDescent="0.15">
      <c r="A3221" s="191">
        <v>36492</v>
      </c>
      <c r="B3221" s="196">
        <v>9.7090367271194938E-3</v>
      </c>
      <c r="C3221" s="194" t="s">
        <v>1</v>
      </c>
    </row>
    <row r="3222" spans="1:3" x14ac:dyDescent="0.15">
      <c r="A3222" s="191">
        <v>36493</v>
      </c>
      <c r="B3222" s="196">
        <v>9.7100057405675524E-3</v>
      </c>
      <c r="C3222" s="194" t="s">
        <v>1</v>
      </c>
    </row>
    <row r="3223" spans="1:3" x14ac:dyDescent="0.15">
      <c r="A3223" s="191">
        <v>36494</v>
      </c>
      <c r="B3223" s="196">
        <v>9.7109748507283027E-3</v>
      </c>
      <c r="C3223" s="194" t="s">
        <v>1</v>
      </c>
    </row>
    <row r="3224" spans="1:3" x14ac:dyDescent="0.15">
      <c r="A3224" s="191">
        <v>36495</v>
      </c>
      <c r="B3224" s="196">
        <v>9.711944057611395E-3</v>
      </c>
      <c r="C3224" s="194" t="s">
        <v>1</v>
      </c>
    </row>
    <row r="3225" spans="1:3" x14ac:dyDescent="0.15">
      <c r="A3225" s="191">
        <v>36496</v>
      </c>
      <c r="B3225" s="196">
        <v>9.7132656406964113E-3</v>
      </c>
      <c r="C3225" s="194" t="s">
        <v>1</v>
      </c>
    </row>
    <row r="3226" spans="1:3" x14ac:dyDescent="0.15">
      <c r="A3226" s="191">
        <v>36497</v>
      </c>
      <c r="B3226" s="196">
        <v>9.7145874036199693E-3</v>
      </c>
      <c r="C3226" s="194" t="s">
        <v>1</v>
      </c>
    </row>
    <row r="3227" spans="1:3" x14ac:dyDescent="0.15">
      <c r="A3227" s="191">
        <v>36498</v>
      </c>
      <c r="B3227" s="196">
        <v>9.7145874036199693E-3</v>
      </c>
      <c r="C3227" s="194" t="s">
        <v>1</v>
      </c>
    </row>
    <row r="3228" spans="1:3" x14ac:dyDescent="0.15">
      <c r="A3228" s="191">
        <v>36499</v>
      </c>
      <c r="B3228" s="196">
        <v>9.7145874036199693E-3</v>
      </c>
      <c r="C3228" s="194" t="s">
        <v>1</v>
      </c>
    </row>
    <row r="3229" spans="1:3" x14ac:dyDescent="0.15">
      <c r="A3229" s="191">
        <v>36500</v>
      </c>
      <c r="B3229" s="196">
        <v>9.7159093464065406E-3</v>
      </c>
      <c r="C3229" s="194" t="s">
        <v>1</v>
      </c>
    </row>
    <row r="3230" spans="1:3" x14ac:dyDescent="0.15">
      <c r="A3230" s="191">
        <v>36501</v>
      </c>
      <c r="B3230" s="196">
        <v>9.7172314690806005E-3</v>
      </c>
      <c r="C3230" s="194" t="s">
        <v>1</v>
      </c>
    </row>
    <row r="3231" spans="1:3" x14ac:dyDescent="0.15">
      <c r="A3231" s="191">
        <v>36502</v>
      </c>
      <c r="B3231" s="196">
        <v>9.7185537716666277E-3</v>
      </c>
      <c r="C3231" s="194" t="s">
        <v>1</v>
      </c>
    </row>
    <row r="3232" spans="1:3" x14ac:dyDescent="0.15">
      <c r="A3232" s="191">
        <v>36503</v>
      </c>
      <c r="B3232" s="196">
        <v>9.7198762541891044E-3</v>
      </c>
      <c r="C3232" s="194" t="s">
        <v>1</v>
      </c>
    </row>
    <row r="3233" spans="1:3" x14ac:dyDescent="0.15">
      <c r="A3233" s="191">
        <v>36504</v>
      </c>
      <c r="B3233" s="196">
        <v>9.7211989166725143E-3</v>
      </c>
      <c r="C3233" s="194" t="s">
        <v>1</v>
      </c>
    </row>
    <row r="3234" spans="1:3" x14ac:dyDescent="0.15">
      <c r="A3234" s="191">
        <v>36505</v>
      </c>
      <c r="B3234" s="196">
        <v>9.7211989166725143E-3</v>
      </c>
      <c r="C3234" s="194" t="s">
        <v>1</v>
      </c>
    </row>
    <row r="3235" spans="1:3" x14ac:dyDescent="0.15">
      <c r="A3235" s="191">
        <v>36506</v>
      </c>
      <c r="B3235" s="196">
        <v>9.7211989166725143E-3</v>
      </c>
      <c r="C3235" s="194" t="s">
        <v>1</v>
      </c>
    </row>
    <row r="3236" spans="1:3" x14ac:dyDescent="0.15">
      <c r="A3236" s="191">
        <v>36507</v>
      </c>
      <c r="B3236" s="196">
        <v>9.7225217591413483E-3</v>
      </c>
      <c r="C3236" s="194" t="s">
        <v>1</v>
      </c>
    </row>
    <row r="3237" spans="1:3" x14ac:dyDescent="0.15">
      <c r="A3237" s="191">
        <v>36508</v>
      </c>
      <c r="B3237" s="196">
        <v>9.7238447816200991E-3</v>
      </c>
      <c r="C3237" s="194" t="s">
        <v>1</v>
      </c>
    </row>
    <row r="3238" spans="1:3" x14ac:dyDescent="0.15">
      <c r="A3238" s="191">
        <v>36509</v>
      </c>
      <c r="B3238" s="196">
        <v>9.7251679841332608E-3</v>
      </c>
      <c r="C3238" s="194" t="s">
        <v>1</v>
      </c>
    </row>
    <row r="3239" spans="1:3" x14ac:dyDescent="0.15">
      <c r="A3239" s="191">
        <v>36510</v>
      </c>
      <c r="B3239" s="196">
        <v>9.7264913667053313E-3</v>
      </c>
      <c r="C3239" s="194" t="s">
        <v>1</v>
      </c>
    </row>
    <row r="3240" spans="1:3" x14ac:dyDescent="0.15">
      <c r="A3240" s="191">
        <v>36511</v>
      </c>
      <c r="B3240" s="196">
        <v>9.7278149293608136E-3</v>
      </c>
      <c r="C3240" s="194" t="s">
        <v>1</v>
      </c>
    </row>
    <row r="3241" spans="1:3" x14ac:dyDescent="0.15">
      <c r="A3241" s="191">
        <v>36512</v>
      </c>
      <c r="B3241" s="196">
        <v>9.7278149293608136E-3</v>
      </c>
      <c r="C3241" s="194" t="s">
        <v>1</v>
      </c>
    </row>
    <row r="3242" spans="1:3" x14ac:dyDescent="0.15">
      <c r="A3242" s="191">
        <v>36513</v>
      </c>
      <c r="B3242" s="196">
        <v>9.7278149293608136E-3</v>
      </c>
      <c r="C3242" s="194" t="s">
        <v>1</v>
      </c>
    </row>
    <row r="3243" spans="1:3" x14ac:dyDescent="0.15">
      <c r="A3243" s="191">
        <v>36514</v>
      </c>
      <c r="B3243" s="196">
        <v>9.7291386721242139E-3</v>
      </c>
      <c r="C3243" s="194" t="s">
        <v>1</v>
      </c>
    </row>
    <row r="3244" spans="1:3" x14ac:dyDescent="0.15">
      <c r="A3244" s="191">
        <v>36515</v>
      </c>
      <c r="B3244" s="196">
        <v>9.7304625950200407E-3</v>
      </c>
      <c r="C3244" s="194" t="s">
        <v>1</v>
      </c>
    </row>
    <row r="3245" spans="1:3" x14ac:dyDescent="0.15">
      <c r="A3245" s="191">
        <v>36516</v>
      </c>
      <c r="B3245" s="196">
        <v>9.7317866980728054E-3</v>
      </c>
      <c r="C3245" s="194" t="s">
        <v>1</v>
      </c>
    </row>
    <row r="3246" spans="1:3" x14ac:dyDescent="0.15">
      <c r="A3246" s="191">
        <v>36517</v>
      </c>
      <c r="B3246" s="196">
        <v>9.7331109813070232E-3</v>
      </c>
      <c r="C3246" s="194" t="s">
        <v>1</v>
      </c>
    </row>
    <row r="3247" spans="1:3" x14ac:dyDescent="0.15">
      <c r="A3247" s="191">
        <v>36518</v>
      </c>
      <c r="B3247" s="196">
        <v>9.7344354447472144E-3</v>
      </c>
      <c r="C3247" s="194" t="s">
        <v>1</v>
      </c>
    </row>
    <row r="3248" spans="1:3" x14ac:dyDescent="0.15">
      <c r="A3248" s="191">
        <v>36519</v>
      </c>
      <c r="B3248" s="196">
        <v>9.7344354447472144E-3</v>
      </c>
      <c r="C3248" s="194" t="s">
        <v>1</v>
      </c>
    </row>
    <row r="3249" spans="1:3" x14ac:dyDescent="0.15">
      <c r="A3249" s="191">
        <v>36520</v>
      </c>
      <c r="B3249" s="196">
        <v>9.7344354447472144E-3</v>
      </c>
      <c r="C3249" s="194" t="s">
        <v>1</v>
      </c>
    </row>
    <row r="3250" spans="1:3" x14ac:dyDescent="0.15">
      <c r="A3250" s="191">
        <v>36521</v>
      </c>
      <c r="B3250" s="196">
        <v>9.7357600884178993E-3</v>
      </c>
      <c r="C3250" s="194" t="s">
        <v>1</v>
      </c>
    </row>
    <row r="3251" spans="1:3" x14ac:dyDescent="0.15">
      <c r="A3251" s="191">
        <v>36522</v>
      </c>
      <c r="B3251" s="196">
        <v>9.7370849123436035E-3</v>
      </c>
      <c r="C3251" s="194" t="s">
        <v>1</v>
      </c>
    </row>
    <row r="3252" spans="1:3" x14ac:dyDescent="0.15">
      <c r="A3252" s="191">
        <v>36523</v>
      </c>
      <c r="B3252" s="196">
        <v>9.7384099165488576E-3</v>
      </c>
      <c r="C3252" s="194" t="s">
        <v>1</v>
      </c>
    </row>
    <row r="3253" spans="1:3" x14ac:dyDescent="0.15">
      <c r="A3253" s="191">
        <v>36524</v>
      </c>
      <c r="B3253" s="196">
        <v>9.7397351010581924E-3</v>
      </c>
      <c r="C3253" s="194" t="s">
        <v>1</v>
      </c>
    </row>
    <row r="3254" spans="1:3" x14ac:dyDescent="0.15">
      <c r="A3254" s="191">
        <v>36525</v>
      </c>
      <c r="B3254" s="196">
        <v>9.7410604658961421E-3</v>
      </c>
      <c r="C3254" s="194" t="s">
        <v>1</v>
      </c>
    </row>
    <row r="3255" spans="1:3" x14ac:dyDescent="0.15">
      <c r="A3255" s="191">
        <v>36526</v>
      </c>
      <c r="B3255" s="196">
        <v>9.7410604658961421E-3</v>
      </c>
      <c r="C3255" s="194" t="s">
        <v>1</v>
      </c>
    </row>
    <row r="3256" spans="1:3" x14ac:dyDescent="0.15">
      <c r="A3256" s="191">
        <v>36527</v>
      </c>
      <c r="B3256" s="196">
        <v>9.7410604658961421E-3</v>
      </c>
      <c r="C3256" s="194" t="s">
        <v>1</v>
      </c>
    </row>
    <row r="3257" spans="1:3" x14ac:dyDescent="0.15">
      <c r="A3257" s="191">
        <v>36528</v>
      </c>
      <c r="B3257" s="196">
        <v>9.742011015817972E-3</v>
      </c>
      <c r="C3257" s="194" t="s">
        <v>1</v>
      </c>
    </row>
    <row r="3258" spans="1:3" x14ac:dyDescent="0.15">
      <c r="A3258" s="191">
        <v>36529</v>
      </c>
      <c r="B3258" s="196">
        <v>9.7429616584961461E-3</v>
      </c>
      <c r="C3258" s="194" t="s">
        <v>1</v>
      </c>
    </row>
    <row r="3259" spans="1:3" x14ac:dyDescent="0.15">
      <c r="A3259" s="191">
        <v>36530</v>
      </c>
      <c r="B3259" s="196">
        <v>9.7439123939397163E-3</v>
      </c>
      <c r="C3259" s="194" t="s">
        <v>1</v>
      </c>
    </row>
    <row r="3260" spans="1:3" x14ac:dyDescent="0.15">
      <c r="A3260" s="191">
        <v>36531</v>
      </c>
      <c r="B3260" s="196">
        <v>9.7448632221577326E-3</v>
      </c>
      <c r="C3260" s="194" t="s">
        <v>1</v>
      </c>
    </row>
    <row r="3261" spans="1:3" x14ac:dyDescent="0.15">
      <c r="A3261" s="191">
        <v>36532</v>
      </c>
      <c r="B3261" s="196">
        <v>9.7458141431592503E-3</v>
      </c>
      <c r="C3261" s="194" t="s">
        <v>1</v>
      </c>
    </row>
    <row r="3262" spans="1:3" x14ac:dyDescent="0.15">
      <c r="A3262" s="191">
        <v>36533</v>
      </c>
      <c r="B3262" s="196">
        <v>9.7458141431592503E-3</v>
      </c>
      <c r="C3262" s="194" t="s">
        <v>1</v>
      </c>
    </row>
    <row r="3263" spans="1:3" x14ac:dyDescent="0.15">
      <c r="A3263" s="191">
        <v>36534</v>
      </c>
      <c r="B3263" s="196">
        <v>9.7458141431592503E-3</v>
      </c>
      <c r="C3263" s="194" t="s">
        <v>1</v>
      </c>
    </row>
    <row r="3264" spans="1:3" x14ac:dyDescent="0.15">
      <c r="A3264" s="191">
        <v>36535</v>
      </c>
      <c r="B3264" s="196">
        <v>9.7467651569533229E-3</v>
      </c>
      <c r="C3264" s="194" t="s">
        <v>1</v>
      </c>
    </row>
    <row r="3265" spans="1:3" x14ac:dyDescent="0.15">
      <c r="A3265" s="191">
        <v>36536</v>
      </c>
      <c r="B3265" s="196">
        <v>9.7477162635490038E-3</v>
      </c>
      <c r="C3265" s="194" t="s">
        <v>1</v>
      </c>
    </row>
    <row r="3266" spans="1:3" x14ac:dyDescent="0.15">
      <c r="A3266" s="191">
        <v>36537</v>
      </c>
      <c r="B3266" s="196">
        <v>9.7486674629553502E-3</v>
      </c>
      <c r="C3266" s="194" t="s">
        <v>1</v>
      </c>
    </row>
    <row r="3267" spans="1:3" x14ac:dyDescent="0.15">
      <c r="A3267" s="191">
        <v>36538</v>
      </c>
      <c r="B3267" s="196">
        <v>9.749618755181419E-3</v>
      </c>
      <c r="C3267" s="194" t="s">
        <v>1</v>
      </c>
    </row>
    <row r="3268" spans="1:3" x14ac:dyDescent="0.15">
      <c r="A3268" s="191">
        <v>36539</v>
      </c>
      <c r="B3268" s="196">
        <v>9.7505701402362654E-3</v>
      </c>
      <c r="C3268" s="194" t="s">
        <v>1</v>
      </c>
    </row>
    <row r="3269" spans="1:3" x14ac:dyDescent="0.15">
      <c r="A3269" s="191">
        <v>36540</v>
      </c>
      <c r="B3269" s="196">
        <v>9.7505701402362654E-3</v>
      </c>
      <c r="C3269" s="194" t="s">
        <v>1</v>
      </c>
    </row>
    <row r="3270" spans="1:3" x14ac:dyDescent="0.15">
      <c r="A3270" s="191">
        <v>36541</v>
      </c>
      <c r="B3270" s="196">
        <v>9.7505701402362654E-3</v>
      </c>
      <c r="C3270" s="194" t="s">
        <v>1</v>
      </c>
    </row>
    <row r="3271" spans="1:3" x14ac:dyDescent="0.15">
      <c r="A3271" s="191">
        <v>36542</v>
      </c>
      <c r="B3271" s="196">
        <v>9.7515216181289499E-3</v>
      </c>
      <c r="C3271" s="194" t="s">
        <v>1</v>
      </c>
    </row>
    <row r="3272" spans="1:3" x14ac:dyDescent="0.15">
      <c r="A3272" s="191">
        <v>36543</v>
      </c>
      <c r="B3272" s="196">
        <v>9.7524731888685313E-3</v>
      </c>
      <c r="C3272" s="194" t="s">
        <v>1</v>
      </c>
    </row>
    <row r="3273" spans="1:3" x14ac:dyDescent="0.15">
      <c r="A3273" s="191">
        <v>36544</v>
      </c>
      <c r="B3273" s="196">
        <v>9.7534248524640699E-3</v>
      </c>
      <c r="C3273" s="194" t="s">
        <v>1</v>
      </c>
    </row>
    <row r="3274" spans="1:3" x14ac:dyDescent="0.15">
      <c r="A3274" s="191">
        <v>36545</v>
      </c>
      <c r="B3274" s="196">
        <v>9.7543766089246264E-3</v>
      </c>
      <c r="C3274" s="194" t="s">
        <v>1</v>
      </c>
    </row>
    <row r="3275" spans="1:3" x14ac:dyDescent="0.15">
      <c r="A3275" s="191">
        <v>36546</v>
      </c>
      <c r="B3275" s="196">
        <v>9.7553284582592627E-3</v>
      </c>
      <c r="C3275" s="194" t="s">
        <v>1</v>
      </c>
    </row>
    <row r="3276" spans="1:3" x14ac:dyDescent="0.15">
      <c r="A3276" s="191">
        <v>36547</v>
      </c>
      <c r="B3276" s="196">
        <v>9.7553284582592627E-3</v>
      </c>
      <c r="C3276" s="194" t="s">
        <v>1</v>
      </c>
    </row>
    <row r="3277" spans="1:3" x14ac:dyDescent="0.15">
      <c r="A3277" s="191">
        <v>36548</v>
      </c>
      <c r="B3277" s="196">
        <v>9.7553284582592627E-3</v>
      </c>
      <c r="C3277" s="194" t="s">
        <v>1</v>
      </c>
    </row>
    <row r="3278" spans="1:3" x14ac:dyDescent="0.15">
      <c r="A3278" s="191">
        <v>36549</v>
      </c>
      <c r="B3278" s="196">
        <v>9.756280400477043E-3</v>
      </c>
      <c r="C3278" s="194" t="s">
        <v>1</v>
      </c>
    </row>
    <row r="3279" spans="1:3" x14ac:dyDescent="0.15">
      <c r="A3279" s="191">
        <v>36550</v>
      </c>
      <c r="B3279" s="196">
        <v>9.7572324355870294E-3</v>
      </c>
      <c r="C3279" s="194" t="s">
        <v>1</v>
      </c>
    </row>
    <row r="3280" spans="1:3" x14ac:dyDescent="0.15">
      <c r="A3280" s="191">
        <v>36551</v>
      </c>
      <c r="B3280" s="196">
        <v>9.7581845635982874E-3</v>
      </c>
      <c r="C3280" s="194" t="s">
        <v>1</v>
      </c>
    </row>
    <row r="3281" spans="1:3" x14ac:dyDescent="0.15">
      <c r="A3281" s="191">
        <v>36552</v>
      </c>
      <c r="B3281" s="196">
        <v>9.7591367845198812E-3</v>
      </c>
      <c r="C3281" s="194" t="s">
        <v>1</v>
      </c>
    </row>
    <row r="3282" spans="1:3" x14ac:dyDescent="0.15">
      <c r="A3282" s="191">
        <v>36553</v>
      </c>
      <c r="B3282" s="196">
        <v>9.760089098360878E-3</v>
      </c>
      <c r="C3282" s="194" t="s">
        <v>1</v>
      </c>
    </row>
    <row r="3283" spans="1:3" x14ac:dyDescent="0.15">
      <c r="A3283" s="191">
        <v>36554</v>
      </c>
      <c r="B3283" s="196">
        <v>9.760089098360878E-3</v>
      </c>
      <c r="C3283" s="194" t="s">
        <v>1</v>
      </c>
    </row>
    <row r="3284" spans="1:3" x14ac:dyDescent="0.15">
      <c r="A3284" s="191">
        <v>36555</v>
      </c>
      <c r="B3284" s="196">
        <v>9.760089098360878E-3</v>
      </c>
      <c r="C3284" s="194" t="s">
        <v>1</v>
      </c>
    </row>
    <row r="3285" spans="1:3" x14ac:dyDescent="0.15">
      <c r="A3285" s="191">
        <v>36556</v>
      </c>
      <c r="B3285" s="196">
        <v>9.7610415051303454E-3</v>
      </c>
      <c r="C3285" s="194" t="s">
        <v>1</v>
      </c>
    </row>
    <row r="3286" spans="1:3" x14ac:dyDescent="0.15">
      <c r="A3286" s="191">
        <v>36557</v>
      </c>
      <c r="B3286" s="196">
        <v>9.7619940048373505E-3</v>
      </c>
      <c r="C3286" s="194" t="s">
        <v>1</v>
      </c>
    </row>
    <row r="3287" spans="1:3" x14ac:dyDescent="0.15">
      <c r="A3287" s="191">
        <v>36558</v>
      </c>
      <c r="B3287" s="196">
        <v>9.7630749937344455E-3</v>
      </c>
      <c r="C3287" s="194" t="s">
        <v>1</v>
      </c>
    </row>
    <row r="3288" spans="1:3" x14ac:dyDescent="0.15">
      <c r="A3288" s="191">
        <v>36559</v>
      </c>
      <c r="B3288" s="196">
        <v>9.7641561023342361E-3</v>
      </c>
      <c r="C3288" s="194" t="s">
        <v>1</v>
      </c>
    </row>
    <row r="3289" spans="1:3" x14ac:dyDescent="0.15">
      <c r="A3289" s="191">
        <v>36560</v>
      </c>
      <c r="B3289" s="196">
        <v>9.7652373306499774E-3</v>
      </c>
      <c r="C3289" s="194" t="s">
        <v>1</v>
      </c>
    </row>
    <row r="3290" spans="1:3" x14ac:dyDescent="0.15">
      <c r="A3290" s="191">
        <v>36561</v>
      </c>
      <c r="B3290" s="196">
        <v>9.7652373306499774E-3</v>
      </c>
      <c r="C3290" s="194" t="s">
        <v>1</v>
      </c>
    </row>
    <row r="3291" spans="1:3" x14ac:dyDescent="0.15">
      <c r="A3291" s="191">
        <v>36562</v>
      </c>
      <c r="B3291" s="196">
        <v>9.7652373306499774E-3</v>
      </c>
      <c r="C3291" s="194" t="s">
        <v>1</v>
      </c>
    </row>
    <row r="3292" spans="1:3" x14ac:dyDescent="0.15">
      <c r="A3292" s="191">
        <v>36563</v>
      </c>
      <c r="B3292" s="196">
        <v>9.7663186786949262E-3</v>
      </c>
      <c r="C3292" s="194" t="s">
        <v>1</v>
      </c>
    </row>
    <row r="3293" spans="1:3" x14ac:dyDescent="0.15">
      <c r="A3293" s="191">
        <v>36564</v>
      </c>
      <c r="B3293" s="196">
        <v>9.7674001464823409E-3</v>
      </c>
      <c r="C3293" s="194" t="s">
        <v>1</v>
      </c>
    </row>
    <row r="3294" spans="1:3" x14ac:dyDescent="0.15">
      <c r="A3294" s="191">
        <v>36565</v>
      </c>
      <c r="B3294" s="196">
        <v>9.76848173402548E-3</v>
      </c>
      <c r="C3294" s="194" t="s">
        <v>1</v>
      </c>
    </row>
    <row r="3295" spans="1:3" x14ac:dyDescent="0.15">
      <c r="A3295" s="191">
        <v>36566</v>
      </c>
      <c r="B3295" s="196">
        <v>9.7695634413376056E-3</v>
      </c>
      <c r="C3295" s="194" t="s">
        <v>1</v>
      </c>
    </row>
    <row r="3296" spans="1:3" x14ac:dyDescent="0.15">
      <c r="A3296" s="191">
        <v>36567</v>
      </c>
      <c r="B3296" s="196">
        <v>9.7706452684319794E-3</v>
      </c>
      <c r="C3296" s="194" t="s">
        <v>1</v>
      </c>
    </row>
    <row r="3297" spans="1:3" x14ac:dyDescent="0.15">
      <c r="A3297" s="191">
        <v>36568</v>
      </c>
      <c r="B3297" s="196">
        <v>9.7706452684319794E-3</v>
      </c>
      <c r="C3297" s="194" t="s">
        <v>1</v>
      </c>
    </row>
    <row r="3298" spans="1:3" x14ac:dyDescent="0.15">
      <c r="A3298" s="191">
        <v>36569</v>
      </c>
      <c r="B3298" s="196">
        <v>9.7706452684319794E-3</v>
      </c>
      <c r="C3298" s="194" t="s">
        <v>1</v>
      </c>
    </row>
    <row r="3299" spans="1:3" x14ac:dyDescent="0.15">
      <c r="A3299" s="191">
        <v>36570</v>
      </c>
      <c r="B3299" s="196">
        <v>9.7717272153218671E-3</v>
      </c>
      <c r="C3299" s="194" t="s">
        <v>1</v>
      </c>
    </row>
    <row r="3300" spans="1:3" x14ac:dyDescent="0.15">
      <c r="A3300" s="191">
        <v>36571</v>
      </c>
      <c r="B3300" s="196">
        <v>9.7728092820205323E-3</v>
      </c>
      <c r="C3300" s="194" t="s">
        <v>1</v>
      </c>
    </row>
    <row r="3301" spans="1:3" x14ac:dyDescent="0.15">
      <c r="A3301" s="191">
        <v>36572</v>
      </c>
      <c r="B3301" s="196">
        <v>9.7738914685412421E-3</v>
      </c>
      <c r="C3301" s="194" t="s">
        <v>1</v>
      </c>
    </row>
    <row r="3302" spans="1:3" x14ac:dyDescent="0.15">
      <c r="A3302" s="191">
        <v>36573</v>
      </c>
      <c r="B3302" s="196">
        <v>9.7749737748972672E-3</v>
      </c>
      <c r="C3302" s="194" t="s">
        <v>1</v>
      </c>
    </row>
    <row r="3303" spans="1:3" x14ac:dyDescent="0.15">
      <c r="A3303" s="191">
        <v>36574</v>
      </c>
      <c r="B3303" s="196">
        <v>9.7760562011018747E-3</v>
      </c>
      <c r="C3303" s="194" t="s">
        <v>1</v>
      </c>
    </row>
    <row r="3304" spans="1:3" x14ac:dyDescent="0.15">
      <c r="A3304" s="191">
        <v>36575</v>
      </c>
      <c r="B3304" s="196">
        <v>9.7760562011018747E-3</v>
      </c>
      <c r="C3304" s="194" t="s">
        <v>1</v>
      </c>
    </row>
    <row r="3305" spans="1:3" x14ac:dyDescent="0.15">
      <c r="A3305" s="191">
        <v>36576</v>
      </c>
      <c r="B3305" s="196">
        <v>9.7760562011018747E-3</v>
      </c>
      <c r="C3305" s="194" t="s">
        <v>1</v>
      </c>
    </row>
    <row r="3306" spans="1:3" x14ac:dyDescent="0.15">
      <c r="A3306" s="191">
        <v>36577</v>
      </c>
      <c r="B3306" s="196">
        <v>9.7771387471683371E-3</v>
      </c>
      <c r="C3306" s="194" t="s">
        <v>1</v>
      </c>
    </row>
    <row r="3307" spans="1:3" x14ac:dyDescent="0.15">
      <c r="A3307" s="191">
        <v>36578</v>
      </c>
      <c r="B3307" s="196">
        <v>9.7782214131099283E-3</v>
      </c>
      <c r="C3307" s="194" t="s">
        <v>1</v>
      </c>
    </row>
    <row r="3308" spans="1:3" x14ac:dyDescent="0.15">
      <c r="A3308" s="191">
        <v>36579</v>
      </c>
      <c r="B3308" s="196">
        <v>9.7793041989399209E-3</v>
      </c>
      <c r="C3308" s="194" t="s">
        <v>1</v>
      </c>
    </row>
    <row r="3309" spans="1:3" x14ac:dyDescent="0.15">
      <c r="A3309" s="191">
        <v>36580</v>
      </c>
      <c r="B3309" s="196">
        <v>9.7803871046715906E-3</v>
      </c>
      <c r="C3309" s="194" t="s">
        <v>1</v>
      </c>
    </row>
    <row r="3310" spans="1:3" x14ac:dyDescent="0.15">
      <c r="A3310" s="191">
        <v>36581</v>
      </c>
      <c r="B3310" s="196">
        <v>9.7814701303182167E-3</v>
      </c>
      <c r="C3310" s="194" t="s">
        <v>1</v>
      </c>
    </row>
    <row r="3311" spans="1:3" x14ac:dyDescent="0.15">
      <c r="A3311" s="191">
        <v>36582</v>
      </c>
      <c r="B3311" s="196">
        <v>9.7814701303182167E-3</v>
      </c>
      <c r="C3311" s="194" t="s">
        <v>1</v>
      </c>
    </row>
    <row r="3312" spans="1:3" x14ac:dyDescent="0.15">
      <c r="A3312" s="191">
        <v>36583</v>
      </c>
      <c r="B3312" s="196">
        <v>9.7814701303182167E-3</v>
      </c>
      <c r="C3312" s="194" t="s">
        <v>1</v>
      </c>
    </row>
    <row r="3313" spans="1:3" x14ac:dyDescent="0.15">
      <c r="A3313" s="191">
        <v>36584</v>
      </c>
      <c r="B3313" s="196">
        <v>9.7825532758930751E-3</v>
      </c>
      <c r="C3313" s="194" t="s">
        <v>1</v>
      </c>
    </row>
    <row r="3314" spans="1:3" x14ac:dyDescent="0.15">
      <c r="A3314" s="191">
        <v>36585</v>
      </c>
      <c r="B3314" s="196">
        <v>9.7836365414094486E-3</v>
      </c>
      <c r="C3314" s="194" t="s">
        <v>1</v>
      </c>
    </row>
    <row r="3315" spans="1:3" x14ac:dyDescent="0.15">
      <c r="A3315" s="191">
        <v>36586</v>
      </c>
      <c r="B3315" s="196">
        <v>9.7847199268806181E-3</v>
      </c>
      <c r="C3315" s="194" t="s">
        <v>1</v>
      </c>
    </row>
    <row r="3316" spans="1:3" x14ac:dyDescent="0.15">
      <c r="A3316" s="191">
        <v>36587</v>
      </c>
      <c r="B3316" s="196">
        <v>9.785763448569575E-3</v>
      </c>
      <c r="C3316" s="194" t="s">
        <v>1</v>
      </c>
    </row>
    <row r="3317" spans="1:3" x14ac:dyDescent="0.15">
      <c r="A3317" s="191">
        <v>36588</v>
      </c>
      <c r="B3317" s="196">
        <v>9.7868070815481257E-3</v>
      </c>
      <c r="C3317" s="194" t="s">
        <v>1</v>
      </c>
    </row>
    <row r="3318" spans="1:3" x14ac:dyDescent="0.15">
      <c r="A3318" s="191">
        <v>36589</v>
      </c>
      <c r="B3318" s="196">
        <v>9.7868070815481257E-3</v>
      </c>
      <c r="C3318" s="194" t="s">
        <v>1</v>
      </c>
    </row>
    <row r="3319" spans="1:3" x14ac:dyDescent="0.15">
      <c r="A3319" s="191">
        <v>36590</v>
      </c>
      <c r="B3319" s="196">
        <v>9.7868070815481257E-3</v>
      </c>
      <c r="C3319" s="194" t="s">
        <v>1</v>
      </c>
    </row>
    <row r="3320" spans="1:3" x14ac:dyDescent="0.15">
      <c r="A3320" s="191">
        <v>36591</v>
      </c>
      <c r="B3320" s="196">
        <v>9.7878508258281392E-3</v>
      </c>
      <c r="C3320" s="194" t="s">
        <v>1</v>
      </c>
    </row>
    <row r="3321" spans="1:3" x14ac:dyDescent="0.15">
      <c r="A3321" s="191">
        <v>36592</v>
      </c>
      <c r="B3321" s="196">
        <v>9.7878508258281392E-3</v>
      </c>
      <c r="C3321" s="194" t="s">
        <v>1</v>
      </c>
    </row>
    <row r="3322" spans="1:3" x14ac:dyDescent="0.15">
      <c r="A3322" s="191">
        <v>36593</v>
      </c>
      <c r="B3322" s="196">
        <v>9.7888946814214881E-3</v>
      </c>
      <c r="C3322" s="194" t="s">
        <v>1</v>
      </c>
    </row>
    <row r="3323" spans="1:3" x14ac:dyDescent="0.15">
      <c r="A3323" s="191">
        <v>36594</v>
      </c>
      <c r="B3323" s="196">
        <v>9.7899386483400411E-3</v>
      </c>
      <c r="C3323" s="194" t="s">
        <v>1</v>
      </c>
    </row>
    <row r="3324" spans="1:3" x14ac:dyDescent="0.15">
      <c r="A3324" s="191">
        <v>36595</v>
      </c>
      <c r="B3324" s="196">
        <v>9.7909827265956709E-3</v>
      </c>
      <c r="C3324" s="194" t="s">
        <v>1</v>
      </c>
    </row>
    <row r="3325" spans="1:3" x14ac:dyDescent="0.15">
      <c r="A3325" s="191">
        <v>36596</v>
      </c>
      <c r="B3325" s="196">
        <v>9.7909827265956709E-3</v>
      </c>
      <c r="C3325" s="194" t="s">
        <v>1</v>
      </c>
    </row>
    <row r="3326" spans="1:3" x14ac:dyDescent="0.15">
      <c r="A3326" s="191">
        <v>36597</v>
      </c>
      <c r="B3326" s="196">
        <v>9.7909827265956709E-3</v>
      </c>
      <c r="C3326" s="194" t="s">
        <v>1</v>
      </c>
    </row>
    <row r="3327" spans="1:3" x14ac:dyDescent="0.15">
      <c r="A3327" s="191">
        <v>36598</v>
      </c>
      <c r="B3327" s="196">
        <v>9.7920269162002534E-3</v>
      </c>
      <c r="C3327" s="194" t="s">
        <v>1</v>
      </c>
    </row>
    <row r="3328" spans="1:3" x14ac:dyDescent="0.15">
      <c r="A3328" s="191">
        <v>36599</v>
      </c>
      <c r="B3328" s="196">
        <v>9.7930712171656626E-3</v>
      </c>
      <c r="C3328" s="194" t="s">
        <v>1</v>
      </c>
    </row>
    <row r="3329" spans="1:3" x14ac:dyDescent="0.15">
      <c r="A3329" s="191">
        <v>36600</v>
      </c>
      <c r="B3329" s="196">
        <v>9.7941156295037746E-3</v>
      </c>
      <c r="C3329" s="194" t="s">
        <v>1</v>
      </c>
    </row>
    <row r="3330" spans="1:3" x14ac:dyDescent="0.15">
      <c r="A3330" s="191">
        <v>36601</v>
      </c>
      <c r="B3330" s="196">
        <v>9.7951601532264669E-3</v>
      </c>
      <c r="C3330" s="194" t="s">
        <v>1</v>
      </c>
    </row>
    <row r="3331" spans="1:3" x14ac:dyDescent="0.15">
      <c r="A3331" s="191">
        <v>36602</v>
      </c>
      <c r="B3331" s="196">
        <v>9.796204788345619E-3</v>
      </c>
      <c r="C3331" s="194" t="s">
        <v>1</v>
      </c>
    </row>
    <row r="3332" spans="1:3" x14ac:dyDescent="0.15">
      <c r="A3332" s="191">
        <v>36603</v>
      </c>
      <c r="B3332" s="196">
        <v>9.796204788345619E-3</v>
      </c>
      <c r="C3332" s="194" t="s">
        <v>1</v>
      </c>
    </row>
    <row r="3333" spans="1:3" x14ac:dyDescent="0.15">
      <c r="A3333" s="191">
        <v>36604</v>
      </c>
      <c r="B3333" s="196">
        <v>9.796204788345619E-3</v>
      </c>
      <c r="C3333" s="194" t="s">
        <v>1</v>
      </c>
    </row>
    <row r="3334" spans="1:3" x14ac:dyDescent="0.15">
      <c r="A3334" s="191">
        <v>36605</v>
      </c>
      <c r="B3334" s="196">
        <v>9.797249534873112E-3</v>
      </c>
      <c r="C3334" s="194" t="s">
        <v>1</v>
      </c>
    </row>
    <row r="3335" spans="1:3" x14ac:dyDescent="0.15">
      <c r="A3335" s="191">
        <v>36606</v>
      </c>
      <c r="B3335" s="196">
        <v>9.7982943928208253E-3</v>
      </c>
      <c r="C3335" s="194" t="s">
        <v>1</v>
      </c>
    </row>
    <row r="3336" spans="1:3" x14ac:dyDescent="0.15">
      <c r="A3336" s="191">
        <v>36607</v>
      </c>
      <c r="B3336" s="196">
        <v>9.7993393622006434E-3</v>
      </c>
      <c r="C3336" s="194" t="s">
        <v>1</v>
      </c>
    </row>
    <row r="3337" spans="1:3" x14ac:dyDescent="0.15">
      <c r="A3337" s="191">
        <v>36608</v>
      </c>
      <c r="B3337" s="196">
        <v>9.8003844430244492E-3</v>
      </c>
      <c r="C3337" s="194" t="s">
        <v>1</v>
      </c>
    </row>
    <row r="3338" spans="1:3" x14ac:dyDescent="0.15">
      <c r="A3338" s="191">
        <v>36609</v>
      </c>
      <c r="B3338" s="196">
        <v>9.8014296353041291E-3</v>
      </c>
      <c r="C3338" s="194" t="s">
        <v>1</v>
      </c>
    </row>
    <row r="3339" spans="1:3" x14ac:dyDescent="0.15">
      <c r="A3339" s="191">
        <v>36610</v>
      </c>
      <c r="B3339" s="196">
        <v>9.8014296353041291E-3</v>
      </c>
      <c r="C3339" s="194" t="s">
        <v>1</v>
      </c>
    </row>
    <row r="3340" spans="1:3" x14ac:dyDescent="0.15">
      <c r="A3340" s="191">
        <v>36611</v>
      </c>
      <c r="B3340" s="196">
        <v>9.8014296353041291E-3</v>
      </c>
      <c r="C3340" s="194" t="s">
        <v>1</v>
      </c>
    </row>
    <row r="3341" spans="1:3" x14ac:dyDescent="0.15">
      <c r="A3341" s="191">
        <v>36612</v>
      </c>
      <c r="B3341" s="196">
        <v>9.8024749390515694E-3</v>
      </c>
      <c r="C3341" s="194" t="s">
        <v>1</v>
      </c>
    </row>
    <row r="3342" spans="1:3" x14ac:dyDescent="0.15">
      <c r="A3342" s="191">
        <v>36613</v>
      </c>
      <c r="B3342" s="196">
        <v>9.8035203542786564E-3</v>
      </c>
      <c r="C3342" s="194" t="s">
        <v>1</v>
      </c>
    </row>
    <row r="3343" spans="1:3" x14ac:dyDescent="0.15">
      <c r="A3343" s="191">
        <v>36614</v>
      </c>
      <c r="B3343" s="196">
        <v>9.8045658809972815E-3</v>
      </c>
      <c r="C3343" s="194" t="s">
        <v>1</v>
      </c>
    </row>
    <row r="3344" spans="1:3" x14ac:dyDescent="0.15">
      <c r="A3344" s="191">
        <v>36615</v>
      </c>
      <c r="B3344" s="196">
        <v>9.805611519219333E-3</v>
      </c>
      <c r="C3344" s="194" t="s">
        <v>1</v>
      </c>
    </row>
    <row r="3345" spans="1:3" x14ac:dyDescent="0.15">
      <c r="A3345" s="191">
        <v>36616</v>
      </c>
      <c r="B3345" s="196">
        <v>9.806657268956704E-3</v>
      </c>
      <c r="C3345" s="194" t="s">
        <v>1</v>
      </c>
    </row>
    <row r="3346" spans="1:3" x14ac:dyDescent="0.15">
      <c r="A3346" s="191">
        <v>36617</v>
      </c>
      <c r="B3346" s="196">
        <v>9.806657268956704E-3</v>
      </c>
      <c r="C3346" s="194" t="s">
        <v>1</v>
      </c>
    </row>
    <row r="3347" spans="1:3" x14ac:dyDescent="0.15">
      <c r="A3347" s="191">
        <v>36618</v>
      </c>
      <c r="B3347" s="196">
        <v>9.806657268956704E-3</v>
      </c>
      <c r="C3347" s="194" t="s">
        <v>1</v>
      </c>
    </row>
    <row r="3348" spans="1:3" x14ac:dyDescent="0.15">
      <c r="A3348" s="191">
        <v>36619</v>
      </c>
      <c r="B3348" s="196">
        <v>9.8073283534393894E-3</v>
      </c>
      <c r="C3348" s="194" t="s">
        <v>1</v>
      </c>
    </row>
    <row r="3349" spans="1:3" x14ac:dyDescent="0.15">
      <c r="A3349" s="191">
        <v>36620</v>
      </c>
      <c r="B3349" s="196">
        <v>9.8079994838454077E-3</v>
      </c>
      <c r="C3349" s="194" t="s">
        <v>1</v>
      </c>
    </row>
    <row r="3350" spans="1:3" x14ac:dyDescent="0.15">
      <c r="A3350" s="191">
        <v>36621</v>
      </c>
      <c r="B3350" s="196">
        <v>9.8086706601779004E-3</v>
      </c>
      <c r="C3350" s="194" t="s">
        <v>1</v>
      </c>
    </row>
    <row r="3351" spans="1:3" x14ac:dyDescent="0.15">
      <c r="A3351" s="191">
        <v>36622</v>
      </c>
      <c r="B3351" s="196">
        <v>9.8093418824400109E-3</v>
      </c>
      <c r="C3351" s="194" t="s">
        <v>1</v>
      </c>
    </row>
    <row r="3352" spans="1:3" x14ac:dyDescent="0.15">
      <c r="A3352" s="191">
        <v>36623</v>
      </c>
      <c r="B3352" s="196">
        <v>9.8100131506348824E-3</v>
      </c>
      <c r="C3352" s="194" t="s">
        <v>1</v>
      </c>
    </row>
    <row r="3353" spans="1:3" x14ac:dyDescent="0.15">
      <c r="A3353" s="191">
        <v>36624</v>
      </c>
      <c r="B3353" s="196">
        <v>9.8100131506348824E-3</v>
      </c>
      <c r="C3353" s="194" t="s">
        <v>1</v>
      </c>
    </row>
    <row r="3354" spans="1:3" x14ac:dyDescent="0.15">
      <c r="A3354" s="191">
        <v>36625</v>
      </c>
      <c r="B3354" s="196">
        <v>9.8100131506348824E-3</v>
      </c>
      <c r="C3354" s="194" t="s">
        <v>1</v>
      </c>
    </row>
    <row r="3355" spans="1:3" x14ac:dyDescent="0.15">
      <c r="A3355" s="191">
        <v>36626</v>
      </c>
      <c r="B3355" s="196">
        <v>9.8106844647656583E-3</v>
      </c>
      <c r="C3355" s="194" t="s">
        <v>1</v>
      </c>
    </row>
    <row r="3356" spans="1:3" x14ac:dyDescent="0.15">
      <c r="A3356" s="191">
        <v>36627</v>
      </c>
      <c r="B3356" s="196">
        <v>9.8113558248354819E-3</v>
      </c>
      <c r="C3356" s="194" t="s">
        <v>1</v>
      </c>
    </row>
    <row r="3357" spans="1:3" x14ac:dyDescent="0.15">
      <c r="A3357" s="191">
        <v>36628</v>
      </c>
      <c r="B3357" s="196">
        <v>9.8120272308474966E-3</v>
      </c>
      <c r="C3357" s="194" t="s">
        <v>1</v>
      </c>
    </row>
    <row r="3358" spans="1:3" x14ac:dyDescent="0.15">
      <c r="A3358" s="191">
        <v>36629</v>
      </c>
      <c r="B3358" s="196">
        <v>9.8126986828048473E-3</v>
      </c>
      <c r="C3358" s="194" t="s">
        <v>1</v>
      </c>
    </row>
    <row r="3359" spans="1:3" x14ac:dyDescent="0.15">
      <c r="A3359" s="191">
        <v>36630</v>
      </c>
      <c r="B3359" s="196">
        <v>9.8133701807106774E-3</v>
      </c>
      <c r="C3359" s="194" t="s">
        <v>1</v>
      </c>
    </row>
    <row r="3360" spans="1:3" x14ac:dyDescent="0.15">
      <c r="A3360" s="191">
        <v>36631</v>
      </c>
      <c r="B3360" s="196">
        <v>9.8133701807106774E-3</v>
      </c>
      <c r="C3360" s="194" t="s">
        <v>1</v>
      </c>
    </row>
    <row r="3361" spans="1:3" x14ac:dyDescent="0.15">
      <c r="A3361" s="191">
        <v>36632</v>
      </c>
      <c r="B3361" s="196">
        <v>9.8133701807106774E-3</v>
      </c>
      <c r="C3361" s="194" t="s">
        <v>1</v>
      </c>
    </row>
    <row r="3362" spans="1:3" x14ac:dyDescent="0.15">
      <c r="A3362" s="191">
        <v>36633</v>
      </c>
      <c r="B3362" s="196">
        <v>9.8140417245681302E-3</v>
      </c>
      <c r="C3362" s="194" t="s">
        <v>1</v>
      </c>
    </row>
    <row r="3363" spans="1:3" x14ac:dyDescent="0.15">
      <c r="A3363" s="191">
        <v>36634</v>
      </c>
      <c r="B3363" s="196">
        <v>9.8147133143803526E-3</v>
      </c>
      <c r="C3363" s="194" t="s">
        <v>1</v>
      </c>
    </row>
    <row r="3364" spans="1:3" x14ac:dyDescent="0.15">
      <c r="A3364" s="191">
        <v>36635</v>
      </c>
      <c r="B3364" s="196">
        <v>9.8153849501504877E-3</v>
      </c>
      <c r="C3364" s="194" t="s">
        <v>1</v>
      </c>
    </row>
    <row r="3365" spans="1:3" x14ac:dyDescent="0.15">
      <c r="A3365" s="191">
        <v>36636</v>
      </c>
      <c r="B3365" s="196">
        <v>9.8160566318816807E-3</v>
      </c>
      <c r="C3365" s="194" t="s">
        <v>1</v>
      </c>
    </row>
    <row r="3366" spans="1:3" x14ac:dyDescent="0.15">
      <c r="A3366" s="191">
        <v>36637</v>
      </c>
      <c r="B3366" s="196">
        <v>9.8160566318816807E-3</v>
      </c>
      <c r="C3366" s="194" t="s">
        <v>1</v>
      </c>
    </row>
    <row r="3367" spans="1:3" x14ac:dyDescent="0.15">
      <c r="A3367" s="191">
        <v>36638</v>
      </c>
      <c r="B3367" s="196">
        <v>9.8160566318816807E-3</v>
      </c>
      <c r="C3367" s="194" t="s">
        <v>1</v>
      </c>
    </row>
    <row r="3368" spans="1:3" x14ac:dyDescent="0.15">
      <c r="A3368" s="191">
        <v>36639</v>
      </c>
      <c r="B3368" s="196">
        <v>9.8160566318816807E-3</v>
      </c>
      <c r="C3368" s="194" t="s">
        <v>1</v>
      </c>
    </row>
    <row r="3369" spans="1:3" x14ac:dyDescent="0.15">
      <c r="A3369" s="191">
        <v>36640</v>
      </c>
      <c r="B3369" s="196">
        <v>9.8167283595770767E-3</v>
      </c>
      <c r="C3369" s="194" t="s">
        <v>1</v>
      </c>
    </row>
    <row r="3370" spans="1:3" x14ac:dyDescent="0.15">
      <c r="A3370" s="191">
        <v>36641</v>
      </c>
      <c r="B3370" s="196">
        <v>9.8174001332398207E-3</v>
      </c>
      <c r="C3370" s="194" t="s">
        <v>1</v>
      </c>
    </row>
    <row r="3371" spans="1:3" x14ac:dyDescent="0.15">
      <c r="A3371" s="191">
        <v>36642</v>
      </c>
      <c r="B3371" s="196">
        <v>9.8180719528730594E-3</v>
      </c>
      <c r="C3371" s="194" t="s">
        <v>1</v>
      </c>
    </row>
    <row r="3372" spans="1:3" x14ac:dyDescent="0.15">
      <c r="A3372" s="191">
        <v>36643</v>
      </c>
      <c r="B3372" s="196">
        <v>9.8187438184799379E-3</v>
      </c>
      <c r="C3372" s="194" t="s">
        <v>1</v>
      </c>
    </row>
    <row r="3373" spans="1:3" x14ac:dyDescent="0.15">
      <c r="A3373" s="191">
        <v>36644</v>
      </c>
      <c r="B3373" s="196">
        <v>9.8194157300636031E-3</v>
      </c>
      <c r="C3373" s="194" t="s">
        <v>1</v>
      </c>
    </row>
    <row r="3374" spans="1:3" x14ac:dyDescent="0.15">
      <c r="A3374" s="191">
        <v>36645</v>
      </c>
      <c r="B3374" s="196">
        <v>9.8194157300636031E-3</v>
      </c>
      <c r="C3374" s="194" t="s">
        <v>1</v>
      </c>
    </row>
    <row r="3375" spans="1:3" x14ac:dyDescent="0.15">
      <c r="A3375" s="191">
        <v>36646</v>
      </c>
      <c r="B3375" s="196">
        <v>9.8194157300636031E-3</v>
      </c>
      <c r="C3375" s="194" t="s">
        <v>1</v>
      </c>
    </row>
    <row r="3376" spans="1:3" x14ac:dyDescent="0.15">
      <c r="A3376" s="191">
        <v>36647</v>
      </c>
      <c r="B3376" s="196">
        <v>9.8194157300636031E-3</v>
      </c>
      <c r="C3376" s="194" t="s">
        <v>1</v>
      </c>
    </row>
    <row r="3377" spans="1:3" x14ac:dyDescent="0.15">
      <c r="A3377" s="191">
        <v>36648</v>
      </c>
      <c r="B3377" s="196">
        <v>9.8204783764698957E-3</v>
      </c>
      <c r="C3377" s="194" t="s">
        <v>1</v>
      </c>
    </row>
    <row r="3378" spans="1:3" x14ac:dyDescent="0.15">
      <c r="A3378" s="191">
        <v>36649</v>
      </c>
      <c r="B3378" s="196">
        <v>9.8215411378746176E-3</v>
      </c>
      <c r="C3378" s="194" t="s">
        <v>1</v>
      </c>
    </row>
    <row r="3379" spans="1:3" x14ac:dyDescent="0.15">
      <c r="A3379" s="191">
        <v>36650</v>
      </c>
      <c r="B3379" s="196">
        <v>9.8226040142902135E-3</v>
      </c>
      <c r="C3379" s="194" t="s">
        <v>1</v>
      </c>
    </row>
    <row r="3380" spans="1:3" x14ac:dyDescent="0.15">
      <c r="A3380" s="191">
        <v>36651</v>
      </c>
      <c r="B3380" s="196">
        <v>9.8236670057291302E-3</v>
      </c>
      <c r="C3380" s="194" t="s">
        <v>1</v>
      </c>
    </row>
    <row r="3381" spans="1:3" x14ac:dyDescent="0.15">
      <c r="A3381" s="191">
        <v>36652</v>
      </c>
      <c r="B3381" s="196">
        <v>9.8236670057291302E-3</v>
      </c>
      <c r="C3381" s="194" t="s">
        <v>1</v>
      </c>
    </row>
    <row r="3382" spans="1:3" x14ac:dyDescent="0.15">
      <c r="A3382" s="191">
        <v>36653</v>
      </c>
      <c r="B3382" s="196">
        <v>9.8236670057291302E-3</v>
      </c>
      <c r="C3382" s="194" t="s">
        <v>1</v>
      </c>
    </row>
    <row r="3383" spans="1:3" x14ac:dyDescent="0.15">
      <c r="A3383" s="191">
        <v>36654</v>
      </c>
      <c r="B3383" s="196">
        <v>9.8247301122038142E-3</v>
      </c>
      <c r="C3383" s="194" t="s">
        <v>1</v>
      </c>
    </row>
    <row r="3384" spans="1:3" x14ac:dyDescent="0.15">
      <c r="A3384" s="191">
        <v>36655</v>
      </c>
      <c r="B3384" s="196">
        <v>9.8257933337267157E-3</v>
      </c>
      <c r="C3384" s="194" t="s">
        <v>1</v>
      </c>
    </row>
    <row r="3385" spans="1:3" x14ac:dyDescent="0.15">
      <c r="A3385" s="191">
        <v>36656</v>
      </c>
      <c r="B3385" s="196">
        <v>9.8268566703102848E-3</v>
      </c>
      <c r="C3385" s="194" t="s">
        <v>1</v>
      </c>
    </row>
    <row r="3386" spans="1:3" x14ac:dyDescent="0.15">
      <c r="A3386" s="191">
        <v>36657</v>
      </c>
      <c r="B3386" s="196">
        <v>9.8279201219669734E-3</v>
      </c>
      <c r="C3386" s="194" t="s">
        <v>1</v>
      </c>
    </row>
    <row r="3387" spans="1:3" x14ac:dyDescent="0.15">
      <c r="A3387" s="191">
        <v>36658</v>
      </c>
      <c r="B3387" s="196">
        <v>9.8289836887092349E-3</v>
      </c>
      <c r="C3387" s="194" t="s">
        <v>1</v>
      </c>
    </row>
    <row r="3388" spans="1:3" x14ac:dyDescent="0.15">
      <c r="A3388" s="191">
        <v>36659</v>
      </c>
      <c r="B3388" s="196">
        <v>9.8289836887092349E-3</v>
      </c>
      <c r="C3388" s="194" t="s">
        <v>1</v>
      </c>
    </row>
    <row r="3389" spans="1:3" x14ac:dyDescent="0.15">
      <c r="A3389" s="191">
        <v>36660</v>
      </c>
      <c r="B3389" s="196">
        <v>9.8289836887092349E-3</v>
      </c>
      <c r="C3389" s="194" t="s">
        <v>1</v>
      </c>
    </row>
    <row r="3390" spans="1:3" x14ac:dyDescent="0.15">
      <c r="A3390" s="191">
        <v>36661</v>
      </c>
      <c r="B3390" s="196">
        <v>9.8300473705495231E-3</v>
      </c>
      <c r="C3390" s="194" t="s">
        <v>1</v>
      </c>
    </row>
    <row r="3391" spans="1:3" x14ac:dyDescent="0.15">
      <c r="A3391" s="191">
        <v>36662</v>
      </c>
      <c r="B3391" s="196">
        <v>9.8311111675002949E-3</v>
      </c>
      <c r="C3391" s="194" t="s">
        <v>1</v>
      </c>
    </row>
    <row r="3392" spans="1:3" x14ac:dyDescent="0.15">
      <c r="A3392" s="191">
        <v>36663</v>
      </c>
      <c r="B3392" s="196">
        <v>9.8321750795740057E-3</v>
      </c>
      <c r="C3392" s="194" t="s">
        <v>1</v>
      </c>
    </row>
    <row r="3393" spans="1:3" x14ac:dyDescent="0.15">
      <c r="A3393" s="191">
        <v>36664</v>
      </c>
      <c r="B3393" s="196">
        <v>9.8332391067831142E-3</v>
      </c>
      <c r="C3393" s="194" t="s">
        <v>1</v>
      </c>
    </row>
    <row r="3394" spans="1:3" x14ac:dyDescent="0.15">
      <c r="A3394" s="191">
        <v>36665</v>
      </c>
      <c r="B3394" s="196">
        <v>9.8343032491400809E-3</v>
      </c>
      <c r="C3394" s="194" t="s">
        <v>1</v>
      </c>
    </row>
    <row r="3395" spans="1:3" x14ac:dyDescent="0.15">
      <c r="A3395" s="191">
        <v>36666</v>
      </c>
      <c r="B3395" s="196">
        <v>9.8343032491400809E-3</v>
      </c>
      <c r="C3395" s="194" t="s">
        <v>1</v>
      </c>
    </row>
    <row r="3396" spans="1:3" x14ac:dyDescent="0.15">
      <c r="A3396" s="191">
        <v>36667</v>
      </c>
      <c r="B3396" s="196">
        <v>9.8343032491400809E-3</v>
      </c>
      <c r="C3396" s="194" t="s">
        <v>1</v>
      </c>
    </row>
    <row r="3397" spans="1:3" x14ac:dyDescent="0.15">
      <c r="A3397" s="191">
        <v>36668</v>
      </c>
      <c r="B3397" s="196">
        <v>9.8353675066573682E-3</v>
      </c>
      <c r="C3397" s="194" t="s">
        <v>1</v>
      </c>
    </row>
    <row r="3398" spans="1:3" x14ac:dyDescent="0.15">
      <c r="A3398" s="191">
        <v>36669</v>
      </c>
      <c r="B3398" s="196">
        <v>9.8364318793474365E-3</v>
      </c>
      <c r="C3398" s="194" t="s">
        <v>1</v>
      </c>
    </row>
    <row r="3399" spans="1:3" x14ac:dyDescent="0.15">
      <c r="A3399" s="191">
        <v>36670</v>
      </c>
      <c r="B3399" s="196">
        <v>9.8374963672227516E-3</v>
      </c>
      <c r="C3399" s="194" t="s">
        <v>1</v>
      </c>
    </row>
    <row r="3400" spans="1:3" x14ac:dyDescent="0.15">
      <c r="A3400" s="191">
        <v>36671</v>
      </c>
      <c r="B3400" s="196">
        <v>9.8385609702957774E-3</v>
      </c>
      <c r="C3400" s="194" t="s">
        <v>1</v>
      </c>
    </row>
    <row r="3401" spans="1:3" x14ac:dyDescent="0.15">
      <c r="A3401" s="191">
        <v>36672</v>
      </c>
      <c r="B3401" s="196">
        <v>9.8396256885789797E-3</v>
      </c>
      <c r="C3401" s="194" t="s">
        <v>1</v>
      </c>
    </row>
    <row r="3402" spans="1:3" x14ac:dyDescent="0.15">
      <c r="A3402" s="191">
        <v>36673</v>
      </c>
      <c r="B3402" s="196">
        <v>9.8396256885789797E-3</v>
      </c>
      <c r="C3402" s="194" t="s">
        <v>1</v>
      </c>
    </row>
    <row r="3403" spans="1:3" x14ac:dyDescent="0.15">
      <c r="A3403" s="191">
        <v>36674</v>
      </c>
      <c r="B3403" s="196">
        <v>9.8396256885789797E-3</v>
      </c>
      <c r="C3403" s="194" t="s">
        <v>1</v>
      </c>
    </row>
    <row r="3404" spans="1:3" x14ac:dyDescent="0.15">
      <c r="A3404" s="191">
        <v>36675</v>
      </c>
      <c r="B3404" s="196">
        <v>9.8406905220848277E-3</v>
      </c>
      <c r="C3404" s="194" t="s">
        <v>1</v>
      </c>
    </row>
    <row r="3405" spans="1:3" x14ac:dyDescent="0.15">
      <c r="A3405" s="191">
        <v>36676</v>
      </c>
      <c r="B3405" s="196">
        <v>9.8417554708257905E-3</v>
      </c>
      <c r="C3405" s="194" t="s">
        <v>1</v>
      </c>
    </row>
    <row r="3406" spans="1:3" x14ac:dyDescent="0.15">
      <c r="A3406" s="191">
        <v>36677</v>
      </c>
      <c r="B3406" s="196">
        <v>9.842820534814339E-3</v>
      </c>
      <c r="C3406" s="194" t="s">
        <v>1</v>
      </c>
    </row>
    <row r="3407" spans="1:3" x14ac:dyDescent="0.15">
      <c r="A3407" s="191">
        <v>36678</v>
      </c>
      <c r="B3407" s="196">
        <v>9.8438857140629443E-3</v>
      </c>
      <c r="C3407" s="194" t="s">
        <v>1</v>
      </c>
    </row>
    <row r="3408" spans="1:3" x14ac:dyDescent="0.15">
      <c r="A3408" s="191">
        <v>36679</v>
      </c>
      <c r="B3408" s="196">
        <v>9.8449379406461597E-3</v>
      </c>
      <c r="C3408" s="194" t="s">
        <v>1</v>
      </c>
    </row>
    <row r="3409" spans="1:3" x14ac:dyDescent="0.15">
      <c r="A3409" s="191">
        <v>36680</v>
      </c>
      <c r="B3409" s="196">
        <v>9.8449379406461597E-3</v>
      </c>
      <c r="C3409" s="194" t="s">
        <v>1</v>
      </c>
    </row>
    <row r="3410" spans="1:3" x14ac:dyDescent="0.15">
      <c r="A3410" s="191">
        <v>36681</v>
      </c>
      <c r="B3410" s="196">
        <v>9.8449379406461597E-3</v>
      </c>
      <c r="C3410" s="194" t="s">
        <v>1</v>
      </c>
    </row>
    <row r="3411" spans="1:3" x14ac:dyDescent="0.15">
      <c r="A3411" s="191">
        <v>36682</v>
      </c>
      <c r="B3411" s="196">
        <v>9.8459902797033323E-3</v>
      </c>
      <c r="C3411" s="194" t="s">
        <v>1</v>
      </c>
    </row>
    <row r="3412" spans="1:3" x14ac:dyDescent="0.15">
      <c r="A3412" s="191">
        <v>36683</v>
      </c>
      <c r="B3412" s="196">
        <v>9.8470427312464855E-3</v>
      </c>
      <c r="C3412" s="194" t="s">
        <v>1</v>
      </c>
    </row>
    <row r="3413" spans="1:3" x14ac:dyDescent="0.15">
      <c r="A3413" s="191">
        <v>36684</v>
      </c>
      <c r="B3413" s="196">
        <v>9.8480952952876427E-3</v>
      </c>
      <c r="C3413" s="194" t="s">
        <v>1</v>
      </c>
    </row>
    <row r="3414" spans="1:3" x14ac:dyDescent="0.15">
      <c r="A3414" s="191">
        <v>36685</v>
      </c>
      <c r="B3414" s="196">
        <v>9.8491479718388272E-3</v>
      </c>
      <c r="C3414" s="194" t="s">
        <v>1</v>
      </c>
    </row>
    <row r="3415" spans="1:3" x14ac:dyDescent="0.15">
      <c r="A3415" s="191">
        <v>36686</v>
      </c>
      <c r="B3415" s="196">
        <v>9.8502007609120677E-3</v>
      </c>
      <c r="C3415" s="194" t="s">
        <v>1</v>
      </c>
    </row>
    <row r="3416" spans="1:3" x14ac:dyDescent="0.15">
      <c r="A3416" s="191">
        <v>36687</v>
      </c>
      <c r="B3416" s="196">
        <v>9.8502007609120677E-3</v>
      </c>
      <c r="C3416" s="194" t="s">
        <v>1</v>
      </c>
    </row>
    <row r="3417" spans="1:3" x14ac:dyDescent="0.15">
      <c r="A3417" s="191">
        <v>36688</v>
      </c>
      <c r="B3417" s="196">
        <v>9.8502007609120677E-3</v>
      </c>
      <c r="C3417" s="194" t="s">
        <v>1</v>
      </c>
    </row>
    <row r="3418" spans="1:3" x14ac:dyDescent="0.15">
      <c r="A3418" s="191">
        <v>36689</v>
      </c>
      <c r="B3418" s="196">
        <v>9.8512536625193908E-3</v>
      </c>
      <c r="C3418" s="194" t="s">
        <v>1</v>
      </c>
    </row>
    <row r="3419" spans="1:3" x14ac:dyDescent="0.15">
      <c r="A3419" s="191">
        <v>36690</v>
      </c>
      <c r="B3419" s="196">
        <v>9.8523066766728253E-3</v>
      </c>
      <c r="C3419" s="194" t="s">
        <v>1</v>
      </c>
    </row>
    <row r="3420" spans="1:3" x14ac:dyDescent="0.15">
      <c r="A3420" s="191">
        <v>36691</v>
      </c>
      <c r="B3420" s="196">
        <v>9.8533598033844014E-3</v>
      </c>
      <c r="C3420" s="194" t="s">
        <v>1</v>
      </c>
    </row>
    <row r="3421" spans="1:3" x14ac:dyDescent="0.15">
      <c r="A3421" s="191">
        <v>36692</v>
      </c>
      <c r="B3421" s="196">
        <v>9.8544130426661512E-3</v>
      </c>
      <c r="C3421" s="194" t="s">
        <v>1</v>
      </c>
    </row>
    <row r="3422" spans="1:3" x14ac:dyDescent="0.15">
      <c r="A3422" s="191">
        <v>36693</v>
      </c>
      <c r="B3422" s="196">
        <v>9.8554663945301067E-3</v>
      </c>
      <c r="C3422" s="194" t="s">
        <v>1</v>
      </c>
    </row>
    <row r="3423" spans="1:3" x14ac:dyDescent="0.15">
      <c r="A3423" s="191">
        <v>36694</v>
      </c>
      <c r="B3423" s="196">
        <v>9.8554663945301067E-3</v>
      </c>
      <c r="C3423" s="194" t="s">
        <v>1</v>
      </c>
    </row>
    <row r="3424" spans="1:3" x14ac:dyDescent="0.15">
      <c r="A3424" s="191">
        <v>36695</v>
      </c>
      <c r="B3424" s="196">
        <v>9.8554663945301067E-3</v>
      </c>
      <c r="C3424" s="194" t="s">
        <v>1</v>
      </c>
    </row>
    <row r="3425" spans="1:3" x14ac:dyDescent="0.15">
      <c r="A3425" s="191">
        <v>36696</v>
      </c>
      <c r="B3425" s="196">
        <v>9.8565198589883034E-3</v>
      </c>
      <c r="C3425" s="194" t="s">
        <v>1</v>
      </c>
    </row>
    <row r="3426" spans="1:3" x14ac:dyDescent="0.15">
      <c r="A3426" s="191">
        <v>36697</v>
      </c>
      <c r="B3426" s="196">
        <v>9.8575734360527752E-3</v>
      </c>
      <c r="C3426" s="194" t="s">
        <v>1</v>
      </c>
    </row>
    <row r="3427" spans="1:3" x14ac:dyDescent="0.15">
      <c r="A3427" s="191">
        <v>36698</v>
      </c>
      <c r="B3427" s="196">
        <v>9.8586271257355591E-3</v>
      </c>
      <c r="C3427" s="194" t="s">
        <v>1</v>
      </c>
    </row>
    <row r="3428" spans="1:3" x14ac:dyDescent="0.15">
      <c r="A3428" s="191">
        <v>36699</v>
      </c>
      <c r="B3428" s="196">
        <v>9.8586271257355591E-3</v>
      </c>
      <c r="C3428" s="194" t="s">
        <v>1</v>
      </c>
    </row>
    <row r="3429" spans="1:3" x14ac:dyDescent="0.15">
      <c r="A3429" s="191">
        <v>36700</v>
      </c>
      <c r="B3429" s="196">
        <v>9.8596809280486926E-3</v>
      </c>
      <c r="C3429" s="194" t="s">
        <v>1</v>
      </c>
    </row>
    <row r="3430" spans="1:3" x14ac:dyDescent="0.15">
      <c r="A3430" s="191">
        <v>36701</v>
      </c>
      <c r="B3430" s="196">
        <v>9.8596809280486926E-3</v>
      </c>
      <c r="C3430" s="194" t="s">
        <v>1</v>
      </c>
    </row>
    <row r="3431" spans="1:3" x14ac:dyDescent="0.15">
      <c r="A3431" s="191">
        <v>36702</v>
      </c>
      <c r="B3431" s="196">
        <v>9.8596809280486926E-3</v>
      </c>
      <c r="C3431" s="194" t="s">
        <v>1</v>
      </c>
    </row>
    <row r="3432" spans="1:3" x14ac:dyDescent="0.15">
      <c r="A3432" s="191">
        <v>36703</v>
      </c>
      <c r="B3432" s="196">
        <v>9.8607348430042163E-3</v>
      </c>
      <c r="C3432" s="194" t="s">
        <v>1</v>
      </c>
    </row>
    <row r="3433" spans="1:3" x14ac:dyDescent="0.15">
      <c r="A3433" s="191">
        <v>36704</v>
      </c>
      <c r="B3433" s="196">
        <v>9.8617888706141691E-3</v>
      </c>
      <c r="C3433" s="194" t="s">
        <v>1</v>
      </c>
    </row>
    <row r="3434" spans="1:3" x14ac:dyDescent="0.15">
      <c r="A3434" s="191">
        <v>36705</v>
      </c>
      <c r="B3434" s="196">
        <v>9.8628430108905936E-3</v>
      </c>
      <c r="C3434" s="194" t="s">
        <v>1</v>
      </c>
    </row>
    <row r="3435" spans="1:3" x14ac:dyDescent="0.15">
      <c r="A3435" s="191">
        <v>36706</v>
      </c>
      <c r="B3435" s="196">
        <v>9.8638972638455339E-3</v>
      </c>
      <c r="C3435" s="194" t="s">
        <v>1</v>
      </c>
    </row>
    <row r="3436" spans="1:3" x14ac:dyDescent="0.15">
      <c r="A3436" s="191">
        <v>36707</v>
      </c>
      <c r="B3436" s="196">
        <v>9.8649516294910325E-3</v>
      </c>
      <c r="C3436" s="194" t="s">
        <v>1</v>
      </c>
    </row>
    <row r="3437" spans="1:3" x14ac:dyDescent="0.15">
      <c r="A3437" s="191">
        <v>36708</v>
      </c>
      <c r="B3437" s="196">
        <v>9.8649516294910325E-3</v>
      </c>
      <c r="C3437" s="194" t="s">
        <v>1</v>
      </c>
    </row>
    <row r="3438" spans="1:3" x14ac:dyDescent="0.15">
      <c r="A3438" s="191">
        <v>36709</v>
      </c>
      <c r="B3438" s="202">
        <v>9.8649516294910325E-3</v>
      </c>
      <c r="C3438" s="194" t="s">
        <v>1</v>
      </c>
    </row>
    <row r="3439" spans="1:3" x14ac:dyDescent="0.15">
      <c r="A3439" s="191">
        <v>36710</v>
      </c>
      <c r="B3439" s="202">
        <v>9.865644803292618E-3</v>
      </c>
      <c r="C3439" s="194" t="s">
        <v>1</v>
      </c>
    </row>
    <row r="3440" spans="1:3" x14ac:dyDescent="0.15">
      <c r="A3440" s="191">
        <v>36711</v>
      </c>
      <c r="B3440" s="202">
        <v>9.8663380258009713E-3</v>
      </c>
      <c r="C3440" s="194" t="s">
        <v>1</v>
      </c>
    </row>
    <row r="3441" spans="1:3" x14ac:dyDescent="0.15">
      <c r="A3441" s="191">
        <v>36712</v>
      </c>
      <c r="B3441" s="202">
        <v>9.8670312970195167E-3</v>
      </c>
      <c r="C3441" s="194" t="s">
        <v>1</v>
      </c>
    </row>
    <row r="3442" spans="1:3" x14ac:dyDescent="0.15">
      <c r="A3442" s="191">
        <v>36713</v>
      </c>
      <c r="B3442" s="202">
        <v>9.8677246169516751E-3</v>
      </c>
      <c r="C3442" s="194" t="s">
        <v>1</v>
      </c>
    </row>
    <row r="3443" spans="1:3" x14ac:dyDescent="0.15">
      <c r="A3443" s="191">
        <v>36714</v>
      </c>
      <c r="B3443" s="202">
        <v>9.8684179856008709E-3</v>
      </c>
      <c r="C3443" s="194" t="s">
        <v>1</v>
      </c>
    </row>
    <row r="3444" spans="1:3" x14ac:dyDescent="0.15">
      <c r="A3444" s="191">
        <v>36715</v>
      </c>
      <c r="B3444" s="202">
        <v>9.8684179856008709E-3</v>
      </c>
      <c r="C3444" s="194" t="s">
        <v>1</v>
      </c>
    </row>
    <row r="3445" spans="1:3" x14ac:dyDescent="0.15">
      <c r="A3445" s="191">
        <v>36716</v>
      </c>
      <c r="B3445" s="202">
        <v>9.8684179856008709E-3</v>
      </c>
      <c r="C3445" s="194" t="s">
        <v>1</v>
      </c>
    </row>
    <row r="3446" spans="1:3" x14ac:dyDescent="0.15">
      <c r="A3446" s="191">
        <v>36717</v>
      </c>
      <c r="B3446" s="202">
        <v>9.8691114029705266E-3</v>
      </c>
      <c r="C3446" s="194" t="s">
        <v>1</v>
      </c>
    </row>
    <row r="3447" spans="1:3" x14ac:dyDescent="0.15">
      <c r="A3447" s="191">
        <v>36718</v>
      </c>
      <c r="B3447" s="202">
        <v>9.8698048690640666E-3</v>
      </c>
      <c r="C3447" s="194" t="s">
        <v>1</v>
      </c>
    </row>
    <row r="3448" spans="1:3" x14ac:dyDescent="0.15">
      <c r="A3448" s="191">
        <v>36719</v>
      </c>
      <c r="B3448" s="202">
        <v>9.8704983838849136E-3</v>
      </c>
      <c r="C3448" s="194" t="s">
        <v>1</v>
      </c>
    </row>
    <row r="3449" spans="1:3" x14ac:dyDescent="0.15">
      <c r="A3449" s="191">
        <v>36720</v>
      </c>
      <c r="B3449" s="202">
        <v>9.8711919474364918E-3</v>
      </c>
      <c r="C3449" s="194" t="s">
        <v>1</v>
      </c>
    </row>
    <row r="3450" spans="1:3" x14ac:dyDescent="0.15">
      <c r="A3450" s="191">
        <v>36721</v>
      </c>
      <c r="B3450" s="202">
        <v>9.8718855597222255E-3</v>
      </c>
      <c r="C3450" s="194" t="s">
        <v>1</v>
      </c>
    </row>
    <row r="3451" spans="1:3" x14ac:dyDescent="0.15">
      <c r="A3451" s="191">
        <v>36722</v>
      </c>
      <c r="B3451" s="202">
        <v>9.8718855597222255E-3</v>
      </c>
      <c r="C3451" s="194" t="s">
        <v>1</v>
      </c>
    </row>
    <row r="3452" spans="1:3" x14ac:dyDescent="0.15">
      <c r="A3452" s="191">
        <v>36723</v>
      </c>
      <c r="B3452" s="202">
        <v>9.8718855597222255E-3</v>
      </c>
      <c r="C3452" s="194" t="s">
        <v>1</v>
      </c>
    </row>
    <row r="3453" spans="1:3" x14ac:dyDescent="0.15">
      <c r="A3453" s="191">
        <v>36724</v>
      </c>
      <c r="B3453" s="202">
        <v>9.8725792207455376E-3</v>
      </c>
      <c r="C3453" s="194" t="s">
        <v>1</v>
      </c>
    </row>
    <row r="3454" spans="1:3" x14ac:dyDescent="0.15">
      <c r="A3454" s="191">
        <v>36725</v>
      </c>
      <c r="B3454" s="202">
        <v>9.8732729305098538E-3</v>
      </c>
      <c r="C3454" s="194" t="s">
        <v>1</v>
      </c>
    </row>
    <row r="3455" spans="1:3" x14ac:dyDescent="0.15">
      <c r="A3455" s="191">
        <v>36726</v>
      </c>
      <c r="B3455" s="202">
        <v>9.8739666890185988E-3</v>
      </c>
      <c r="C3455" s="194" t="s">
        <v>1</v>
      </c>
    </row>
    <row r="3456" spans="1:3" x14ac:dyDescent="0.15">
      <c r="A3456" s="191">
        <v>36727</v>
      </c>
      <c r="B3456" s="202">
        <v>9.8746604962751984E-3</v>
      </c>
      <c r="C3456" s="194" t="s">
        <v>1</v>
      </c>
    </row>
    <row r="3457" spans="1:3" x14ac:dyDescent="0.15">
      <c r="A3457" s="191">
        <v>36728</v>
      </c>
      <c r="B3457" s="202">
        <v>9.8753543522830771E-3</v>
      </c>
      <c r="C3457" s="194" t="s">
        <v>1</v>
      </c>
    </row>
    <row r="3458" spans="1:3" x14ac:dyDescent="0.15">
      <c r="A3458" s="191">
        <v>36729</v>
      </c>
      <c r="B3458" s="202">
        <v>9.8753543522830771E-3</v>
      </c>
      <c r="C3458" s="194" t="s">
        <v>1</v>
      </c>
    </row>
    <row r="3459" spans="1:3" x14ac:dyDescent="0.15">
      <c r="A3459" s="191">
        <v>36730</v>
      </c>
      <c r="B3459" s="202">
        <v>9.8753543522830771E-3</v>
      </c>
      <c r="C3459" s="194" t="s">
        <v>1</v>
      </c>
    </row>
    <row r="3460" spans="1:3" x14ac:dyDescent="0.15">
      <c r="A3460" s="191">
        <v>36731</v>
      </c>
      <c r="B3460" s="202">
        <v>9.8760482570456609E-3</v>
      </c>
      <c r="C3460" s="194" t="s">
        <v>1</v>
      </c>
    </row>
    <row r="3461" spans="1:3" x14ac:dyDescent="0.15">
      <c r="A3461" s="191">
        <v>36732</v>
      </c>
      <c r="B3461" s="202">
        <v>9.876742210566376E-3</v>
      </c>
      <c r="C3461" s="194" t="s">
        <v>1</v>
      </c>
    </row>
    <row r="3462" spans="1:3" x14ac:dyDescent="0.15">
      <c r="A3462" s="191">
        <v>36733</v>
      </c>
      <c r="B3462" s="202">
        <v>9.8774362128486483E-3</v>
      </c>
      <c r="C3462" s="194" t="s">
        <v>1</v>
      </c>
    </row>
    <row r="3463" spans="1:3" x14ac:dyDescent="0.15">
      <c r="A3463" s="191">
        <v>36734</v>
      </c>
      <c r="B3463" s="202">
        <v>9.878130263895904E-3</v>
      </c>
      <c r="C3463" s="194" t="s">
        <v>1</v>
      </c>
    </row>
    <row r="3464" spans="1:3" x14ac:dyDescent="0.15">
      <c r="A3464" s="191">
        <v>36735</v>
      </c>
      <c r="B3464" s="202">
        <v>9.8788243637115691E-3</v>
      </c>
      <c r="C3464" s="194" t="s">
        <v>1</v>
      </c>
    </row>
    <row r="3465" spans="1:3" x14ac:dyDescent="0.15">
      <c r="A3465" s="191">
        <v>36736</v>
      </c>
      <c r="B3465" s="202">
        <v>9.8788243637115691E-3</v>
      </c>
      <c r="C3465" s="194" t="s">
        <v>1</v>
      </c>
    </row>
    <row r="3466" spans="1:3" x14ac:dyDescent="0.15">
      <c r="A3466" s="191">
        <v>36737</v>
      </c>
      <c r="B3466" s="202">
        <v>9.8788243637115691E-3</v>
      </c>
      <c r="C3466" s="194" t="s">
        <v>1</v>
      </c>
    </row>
    <row r="3467" spans="1:3" x14ac:dyDescent="0.15">
      <c r="A3467" s="191">
        <v>36738</v>
      </c>
      <c r="B3467" s="202">
        <v>9.8795185122990698E-3</v>
      </c>
      <c r="C3467" s="194" t="s">
        <v>1</v>
      </c>
    </row>
    <row r="3468" spans="1:3" x14ac:dyDescent="0.15">
      <c r="A3468" s="191">
        <v>36739</v>
      </c>
      <c r="B3468" s="202">
        <v>9.8802127096618356E-3</v>
      </c>
      <c r="C3468" s="194" t="s">
        <v>1</v>
      </c>
    </row>
    <row r="3469" spans="1:3" x14ac:dyDescent="0.15">
      <c r="A3469" s="203">
        <v>36740</v>
      </c>
      <c r="B3469">
        <v>9.8810817565977947E-3</v>
      </c>
      <c r="C3469" s="194" t="s">
        <v>1</v>
      </c>
    </row>
    <row r="3470" spans="1:3" x14ac:dyDescent="0.15">
      <c r="A3470" s="203">
        <v>36741</v>
      </c>
      <c r="B3470">
        <v>9.8819508799736656E-3</v>
      </c>
      <c r="C3470" s="194" t="s">
        <v>1</v>
      </c>
    </row>
    <row r="3471" spans="1:3" x14ac:dyDescent="0.15">
      <c r="A3471" s="203">
        <v>36742</v>
      </c>
      <c r="B3471">
        <v>9.8828200797961702E-3</v>
      </c>
      <c r="C3471" s="194" t="s">
        <v>1</v>
      </c>
    </row>
    <row r="3472" spans="1:3" x14ac:dyDescent="0.15">
      <c r="A3472" s="203">
        <v>36743</v>
      </c>
      <c r="B3472">
        <v>9.8828200797961702E-3</v>
      </c>
      <c r="C3472" s="194" t="s">
        <v>1</v>
      </c>
    </row>
    <row r="3473" spans="1:3" x14ac:dyDescent="0.15">
      <c r="A3473" s="203">
        <v>36744</v>
      </c>
      <c r="B3473">
        <v>9.8828200797961702E-3</v>
      </c>
      <c r="C3473" s="194" t="s">
        <v>1</v>
      </c>
    </row>
    <row r="3474" spans="1:3" x14ac:dyDescent="0.15">
      <c r="A3474" s="203">
        <v>36745</v>
      </c>
      <c r="B3474">
        <v>9.8836893560720323E-3</v>
      </c>
      <c r="C3474" s="194" t="s">
        <v>1</v>
      </c>
    </row>
    <row r="3475" spans="1:3" x14ac:dyDescent="0.15">
      <c r="A3475" s="203">
        <v>36746</v>
      </c>
      <c r="B3475">
        <v>9.8845587088079775E-3</v>
      </c>
      <c r="C3475" s="194" t="s">
        <v>1</v>
      </c>
    </row>
    <row r="3476" spans="1:3" x14ac:dyDescent="0.15">
      <c r="A3476" s="203">
        <v>36747</v>
      </c>
      <c r="B3476">
        <v>9.8854281380107312E-3</v>
      </c>
      <c r="C3476" s="194" t="s">
        <v>1</v>
      </c>
    </row>
    <row r="3477" spans="1:3" x14ac:dyDescent="0.15">
      <c r="A3477" s="203">
        <v>36748</v>
      </c>
      <c r="B3477">
        <v>9.8862976436870191E-3</v>
      </c>
      <c r="C3477" s="194" t="s">
        <v>1</v>
      </c>
    </row>
    <row r="3478" spans="1:3" x14ac:dyDescent="0.15">
      <c r="A3478" s="203">
        <v>36749</v>
      </c>
      <c r="B3478">
        <v>9.8871672258435683E-3</v>
      </c>
      <c r="C3478" s="194" t="s">
        <v>1</v>
      </c>
    </row>
    <row r="3479" spans="1:3" x14ac:dyDescent="0.15">
      <c r="A3479" s="203">
        <v>36750</v>
      </c>
      <c r="B3479">
        <v>9.8871672258435683E-3</v>
      </c>
      <c r="C3479" s="194" t="s">
        <v>1</v>
      </c>
    </row>
    <row r="3480" spans="1:3" x14ac:dyDescent="0.15">
      <c r="A3480" s="203">
        <v>36751</v>
      </c>
      <c r="B3480">
        <v>9.8871672258435683E-3</v>
      </c>
      <c r="C3480" s="194" t="s">
        <v>1</v>
      </c>
    </row>
    <row r="3481" spans="1:3" x14ac:dyDescent="0.15">
      <c r="A3481" s="203">
        <v>36752</v>
      </c>
      <c r="B3481">
        <v>9.8880368844871044E-3</v>
      </c>
      <c r="C3481" s="194" t="s">
        <v>1</v>
      </c>
    </row>
    <row r="3482" spans="1:3" x14ac:dyDescent="0.15">
      <c r="A3482" s="203">
        <v>36753</v>
      </c>
      <c r="B3482">
        <v>9.8889066196243564E-3</v>
      </c>
      <c r="C3482" s="194" t="s">
        <v>1</v>
      </c>
    </row>
    <row r="3483" spans="1:3" x14ac:dyDescent="0.15">
      <c r="A3483" s="203">
        <v>36754</v>
      </c>
      <c r="B3483">
        <v>9.8897764312620515E-3</v>
      </c>
      <c r="C3483" s="194" t="s">
        <v>1</v>
      </c>
    </row>
    <row r="3484" spans="1:3" x14ac:dyDescent="0.15">
      <c r="A3484" s="203">
        <v>36755</v>
      </c>
      <c r="B3484">
        <v>9.8906463194069205E-3</v>
      </c>
      <c r="C3484" s="194" t="s">
        <v>1</v>
      </c>
    </row>
    <row r="3485" spans="1:3" x14ac:dyDescent="0.15">
      <c r="A3485" s="203">
        <v>36756</v>
      </c>
      <c r="B3485">
        <v>9.8915162840656906E-3</v>
      </c>
      <c r="C3485" s="194" t="s">
        <v>1</v>
      </c>
    </row>
    <row r="3486" spans="1:3" x14ac:dyDescent="0.15">
      <c r="A3486" s="203">
        <v>36757</v>
      </c>
      <c r="B3486">
        <v>9.8915162840656906E-3</v>
      </c>
      <c r="C3486" s="194" t="s">
        <v>1</v>
      </c>
    </row>
    <row r="3487" spans="1:3" x14ac:dyDescent="0.15">
      <c r="A3487" s="203">
        <v>36758</v>
      </c>
      <c r="B3487">
        <v>9.8915162840656906E-3</v>
      </c>
      <c r="C3487" s="194" t="s">
        <v>1</v>
      </c>
    </row>
    <row r="3488" spans="1:3" x14ac:dyDescent="0.15">
      <c r="A3488" s="203">
        <v>36759</v>
      </c>
      <c r="B3488">
        <v>9.8923863252450926E-3</v>
      </c>
      <c r="C3488" s="194" t="s">
        <v>1</v>
      </c>
    </row>
    <row r="3489" spans="1:3" x14ac:dyDescent="0.15">
      <c r="A3489" s="203">
        <v>36760</v>
      </c>
      <c r="B3489">
        <v>9.8932564429518571E-3</v>
      </c>
      <c r="C3489" s="194" t="s">
        <v>1</v>
      </c>
    </row>
    <row r="3490" spans="1:3" x14ac:dyDescent="0.15">
      <c r="A3490" s="203">
        <v>36761</v>
      </c>
      <c r="B3490">
        <v>9.8941266371927166E-3</v>
      </c>
      <c r="C3490" s="194" t="s">
        <v>1</v>
      </c>
    </row>
    <row r="3491" spans="1:3" x14ac:dyDescent="0.15">
      <c r="A3491" s="203">
        <v>36762</v>
      </c>
      <c r="B3491">
        <v>9.8949969079744002E-3</v>
      </c>
      <c r="C3491" s="194" t="s">
        <v>1</v>
      </c>
    </row>
    <row r="3492" spans="1:3" x14ac:dyDescent="0.15">
      <c r="A3492" s="203">
        <v>36763</v>
      </c>
      <c r="B3492">
        <v>9.895867255303642E-3</v>
      </c>
      <c r="C3492" s="194" t="s">
        <v>1</v>
      </c>
    </row>
    <row r="3493" spans="1:3" x14ac:dyDescent="0.15">
      <c r="A3493" s="203">
        <v>36764</v>
      </c>
      <c r="B3493">
        <v>9.895867255303642E-3</v>
      </c>
      <c r="C3493" s="194" t="s">
        <v>1</v>
      </c>
    </row>
    <row r="3494" spans="1:3" x14ac:dyDescent="0.15">
      <c r="A3494" s="203">
        <v>36765</v>
      </c>
      <c r="B3494">
        <v>9.895867255303642E-3</v>
      </c>
      <c r="C3494" s="194" t="s">
        <v>1</v>
      </c>
    </row>
    <row r="3495" spans="1:3" x14ac:dyDescent="0.15">
      <c r="A3495" s="203">
        <v>36766</v>
      </c>
      <c r="B3495">
        <v>9.8967376791871762E-3</v>
      </c>
      <c r="C3495" s="194" t="s">
        <v>1</v>
      </c>
    </row>
    <row r="3496" spans="1:3" x14ac:dyDescent="0.15">
      <c r="A3496" s="203">
        <v>36767</v>
      </c>
      <c r="B3496">
        <v>9.8976081796317353E-3</v>
      </c>
      <c r="C3496" s="194" t="s">
        <v>1</v>
      </c>
    </row>
    <row r="3497" spans="1:3" x14ac:dyDescent="0.15">
      <c r="A3497" s="203">
        <v>36768</v>
      </c>
      <c r="B3497">
        <v>9.8984787566440517E-3</v>
      </c>
      <c r="C3497" s="194" t="s">
        <v>1</v>
      </c>
    </row>
    <row r="3498" spans="1:3" x14ac:dyDescent="0.15">
      <c r="A3498" s="203">
        <v>36769</v>
      </c>
      <c r="B3498">
        <v>9.8993494102308632E-3</v>
      </c>
      <c r="C3498" s="194" t="s">
        <v>1</v>
      </c>
    </row>
    <row r="3499" spans="1:3" x14ac:dyDescent="0.15">
      <c r="A3499" s="203">
        <v>36770</v>
      </c>
      <c r="B3499">
        <v>9.9002201403989021E-3</v>
      </c>
      <c r="C3499" s="194" t="s">
        <v>1</v>
      </c>
    </row>
    <row r="3500" spans="1:3" x14ac:dyDescent="0.15">
      <c r="A3500" s="203">
        <v>36771</v>
      </c>
      <c r="B3500" s="202">
        <v>9.9002201403989021E-3</v>
      </c>
      <c r="C3500" s="194" t="s">
        <v>1</v>
      </c>
    </row>
    <row r="3501" spans="1:3" x14ac:dyDescent="0.15">
      <c r="A3501" s="203">
        <v>36772</v>
      </c>
      <c r="B3501" s="202">
        <v>9.9002201403989021E-3</v>
      </c>
      <c r="C3501" s="194" t="s">
        <v>1</v>
      </c>
    </row>
    <row r="3502" spans="1:3" x14ac:dyDescent="0.15">
      <c r="A3502" s="203">
        <v>36773</v>
      </c>
      <c r="B3502" s="202">
        <v>9.9007607393015347E-3</v>
      </c>
      <c r="C3502" s="194" t="s">
        <v>1</v>
      </c>
    </row>
    <row r="3503" spans="1:3" x14ac:dyDescent="0.15">
      <c r="A3503" s="203">
        <v>36774</v>
      </c>
      <c r="B3503" s="202">
        <v>9.9013013677234276E-3</v>
      </c>
      <c r="C3503" s="194" t="s">
        <v>1</v>
      </c>
    </row>
    <row r="3504" spans="1:3" x14ac:dyDescent="0.15">
      <c r="A3504" s="203">
        <v>36775</v>
      </c>
      <c r="B3504" s="202">
        <v>9.9018420256661924E-3</v>
      </c>
      <c r="C3504" s="194" t="s">
        <v>1</v>
      </c>
    </row>
    <row r="3505" spans="1:3" x14ac:dyDescent="0.15">
      <c r="A3505" s="203">
        <v>36776</v>
      </c>
      <c r="B3505" s="202">
        <v>9.9018420256661924E-3</v>
      </c>
      <c r="C3505" s="194" t="s">
        <v>1</v>
      </c>
    </row>
    <row r="3506" spans="1:3" x14ac:dyDescent="0.15">
      <c r="A3506" s="203">
        <v>36777</v>
      </c>
      <c r="B3506" s="202">
        <v>9.9023827131314406E-3</v>
      </c>
      <c r="C3506" s="194" t="s">
        <v>1</v>
      </c>
    </row>
    <row r="3507" spans="1:3" x14ac:dyDescent="0.15">
      <c r="A3507" s="203">
        <v>36778</v>
      </c>
      <c r="B3507" s="202">
        <v>9.9023827131314406E-3</v>
      </c>
      <c r="C3507" s="194" t="s">
        <v>1</v>
      </c>
    </row>
    <row r="3508" spans="1:3" x14ac:dyDescent="0.15">
      <c r="A3508" s="203">
        <v>36779</v>
      </c>
      <c r="B3508" s="202">
        <v>9.9023827131314406E-3</v>
      </c>
      <c r="C3508" s="194" t="s">
        <v>1</v>
      </c>
    </row>
    <row r="3509" spans="1:3" x14ac:dyDescent="0.15">
      <c r="A3509" s="203">
        <v>36780</v>
      </c>
      <c r="B3509" s="202">
        <v>9.9029234301207855E-3</v>
      </c>
      <c r="C3509" s="194" t="s">
        <v>1</v>
      </c>
    </row>
    <row r="3510" spans="1:3" x14ac:dyDescent="0.15">
      <c r="A3510" s="203">
        <v>36781</v>
      </c>
      <c r="B3510" s="202">
        <v>9.9034641766358386E-3</v>
      </c>
      <c r="C3510" s="194" t="s">
        <v>1</v>
      </c>
    </row>
    <row r="3511" spans="1:3" x14ac:dyDescent="0.15">
      <c r="A3511" s="203">
        <v>36782</v>
      </c>
      <c r="B3511" s="202">
        <v>9.9040049526782116E-3</v>
      </c>
      <c r="C3511" s="194" t="s">
        <v>1</v>
      </c>
    </row>
    <row r="3512" spans="1:3" x14ac:dyDescent="0.15">
      <c r="A3512" s="203">
        <v>36783</v>
      </c>
      <c r="B3512" s="202">
        <v>9.9045457582495177E-3</v>
      </c>
      <c r="C3512" s="194" t="s">
        <v>1</v>
      </c>
    </row>
    <row r="3513" spans="1:3" x14ac:dyDescent="0.15">
      <c r="A3513" s="203">
        <v>36784</v>
      </c>
      <c r="B3513" s="202">
        <v>9.9050865933513685E-3</v>
      </c>
      <c r="C3513" s="194" t="s">
        <v>1</v>
      </c>
    </row>
    <row r="3514" spans="1:3" x14ac:dyDescent="0.15">
      <c r="A3514" s="203">
        <v>36785</v>
      </c>
      <c r="B3514" s="202">
        <v>9.9050865933513685E-3</v>
      </c>
      <c r="C3514" s="194" t="s">
        <v>1</v>
      </c>
    </row>
    <row r="3515" spans="1:3" x14ac:dyDescent="0.15">
      <c r="A3515" s="203">
        <v>36786</v>
      </c>
      <c r="B3515" s="202">
        <v>9.9050865933513685E-3</v>
      </c>
      <c r="C3515" s="194" t="s">
        <v>1</v>
      </c>
    </row>
    <row r="3516" spans="1:3" x14ac:dyDescent="0.15">
      <c r="A3516" s="203">
        <v>36787</v>
      </c>
      <c r="B3516" s="202">
        <v>9.9056274579853772E-3</v>
      </c>
      <c r="C3516" s="194" t="s">
        <v>1</v>
      </c>
    </row>
    <row r="3517" spans="1:3" x14ac:dyDescent="0.15">
      <c r="A3517" s="203">
        <v>36788</v>
      </c>
      <c r="B3517" s="202">
        <v>9.9061683521531555E-3</v>
      </c>
      <c r="C3517" s="194" t="s">
        <v>1</v>
      </c>
    </row>
    <row r="3518" spans="1:3" x14ac:dyDescent="0.15">
      <c r="A3518" s="203">
        <v>36789</v>
      </c>
      <c r="B3518" s="202">
        <v>9.9067092758563166E-3</v>
      </c>
      <c r="C3518" s="194" t="s">
        <v>1</v>
      </c>
    </row>
    <row r="3519" spans="1:3" x14ac:dyDescent="0.15">
      <c r="A3519" s="203">
        <v>36790</v>
      </c>
      <c r="B3519" s="202">
        <v>9.9072502290964738E-3</v>
      </c>
      <c r="C3519" s="194" t="s">
        <v>1</v>
      </c>
    </row>
    <row r="3520" spans="1:3" x14ac:dyDescent="0.15">
      <c r="A3520" s="203">
        <v>36791</v>
      </c>
      <c r="B3520" s="202">
        <v>9.9077912118752404E-3</v>
      </c>
      <c r="C3520" s="194" t="s">
        <v>1</v>
      </c>
    </row>
    <row r="3521" spans="1:3" x14ac:dyDescent="0.15">
      <c r="A3521" s="203">
        <v>36792</v>
      </c>
      <c r="B3521" s="202">
        <v>9.9077912118752404E-3</v>
      </c>
      <c r="C3521" s="194" t="s">
        <v>1</v>
      </c>
    </row>
    <row r="3522" spans="1:3" x14ac:dyDescent="0.15">
      <c r="A3522" s="203">
        <v>36793</v>
      </c>
      <c r="B3522" s="202">
        <v>9.9077912118752404E-3</v>
      </c>
      <c r="C3522" s="194" t="s">
        <v>1</v>
      </c>
    </row>
    <row r="3523" spans="1:3" x14ac:dyDescent="0.15">
      <c r="A3523" s="203">
        <v>36794</v>
      </c>
      <c r="B3523" s="202">
        <v>9.908332224194228E-3</v>
      </c>
      <c r="C3523" s="194" t="s">
        <v>1</v>
      </c>
    </row>
    <row r="3524" spans="1:3" x14ac:dyDescent="0.15">
      <c r="A3524" s="203">
        <v>36795</v>
      </c>
      <c r="B3524" s="202">
        <v>9.9088732660550499E-3</v>
      </c>
      <c r="C3524" s="194" t="s">
        <v>1</v>
      </c>
    </row>
    <row r="3525" spans="1:3" x14ac:dyDescent="0.15">
      <c r="A3525" s="203">
        <v>36796</v>
      </c>
      <c r="B3525" s="202">
        <v>9.9094143374593192E-3</v>
      </c>
      <c r="C3525" s="194" t="s">
        <v>1</v>
      </c>
    </row>
    <row r="3526" spans="1:3" x14ac:dyDescent="0.15">
      <c r="A3526" s="203">
        <v>36797</v>
      </c>
      <c r="B3526" s="202">
        <v>9.9099554384086512E-3</v>
      </c>
      <c r="C3526" s="194" t="s">
        <v>1</v>
      </c>
    </row>
    <row r="3527" spans="1:3" x14ac:dyDescent="0.15">
      <c r="A3527" s="203">
        <v>36798</v>
      </c>
      <c r="B3527" s="202">
        <v>9.9104965689046573E-3</v>
      </c>
      <c r="C3527" s="194" t="s">
        <v>1</v>
      </c>
    </row>
    <row r="3528" spans="1:3" x14ac:dyDescent="0.15">
      <c r="A3528" s="203">
        <v>36799</v>
      </c>
      <c r="B3528" s="202">
        <v>9.9104965689046573E-3</v>
      </c>
      <c r="C3528" s="194" t="s">
        <v>1</v>
      </c>
    </row>
    <row r="3529" spans="1:3" x14ac:dyDescent="0.15">
      <c r="A3529" s="203">
        <v>36800</v>
      </c>
      <c r="B3529" s="202">
        <v>9.9104965689046573E-3</v>
      </c>
      <c r="C3529" s="194" t="s">
        <v>1</v>
      </c>
    </row>
    <row r="3530" spans="1:3" x14ac:dyDescent="0.15">
      <c r="A3530" s="203">
        <v>36801</v>
      </c>
      <c r="B3530" s="202">
        <v>9.9110890247594598E-3</v>
      </c>
      <c r="C3530" s="194" t="s">
        <v>1</v>
      </c>
    </row>
    <row r="3531" spans="1:3" x14ac:dyDescent="0.15">
      <c r="A3531" s="203">
        <v>36802</v>
      </c>
      <c r="B3531" s="202">
        <v>9.9116815160316535E-3</v>
      </c>
      <c r="C3531" s="194" t="s">
        <v>1</v>
      </c>
    </row>
    <row r="3532" spans="1:3" x14ac:dyDescent="0.15">
      <c r="A3532" s="203">
        <v>36803</v>
      </c>
      <c r="B3532" s="202">
        <v>9.9122740427233565E-3</v>
      </c>
      <c r="C3532" s="194" t="s">
        <v>1</v>
      </c>
    </row>
    <row r="3533" spans="1:3" x14ac:dyDescent="0.15">
      <c r="A3533" s="203">
        <v>36804</v>
      </c>
      <c r="B3533" s="202">
        <v>9.9128666048366853E-3</v>
      </c>
      <c r="C3533" s="194" t="s">
        <v>1</v>
      </c>
    </row>
    <row r="3534" spans="1:3" x14ac:dyDescent="0.15">
      <c r="A3534" s="203">
        <v>36805</v>
      </c>
      <c r="B3534" s="202">
        <v>9.9134592023737578E-3</v>
      </c>
      <c r="C3534" s="194" t="s">
        <v>1</v>
      </c>
    </row>
    <row r="3535" spans="1:3" x14ac:dyDescent="0.15">
      <c r="A3535" s="203">
        <v>36806</v>
      </c>
      <c r="B3535" s="202">
        <v>9.9134592023737578E-3</v>
      </c>
      <c r="C3535" s="194" t="s">
        <v>1</v>
      </c>
    </row>
    <row r="3536" spans="1:3" x14ac:dyDescent="0.15">
      <c r="A3536" s="203">
        <v>36807</v>
      </c>
      <c r="B3536" s="202">
        <v>9.9134592023737578E-3</v>
      </c>
      <c r="C3536" s="194" t="s">
        <v>1</v>
      </c>
    </row>
    <row r="3537" spans="1:3" x14ac:dyDescent="0.15">
      <c r="A3537" s="203">
        <v>36808</v>
      </c>
      <c r="B3537" s="202">
        <v>9.9140518353366923E-3</v>
      </c>
      <c r="C3537" s="194" t="s">
        <v>1</v>
      </c>
    </row>
    <row r="3538" spans="1:3" x14ac:dyDescent="0.15">
      <c r="A3538" s="203">
        <v>36809</v>
      </c>
      <c r="B3538" s="202">
        <v>9.9146445037276067E-3</v>
      </c>
      <c r="C3538" s="194" t="s">
        <v>1</v>
      </c>
    </row>
    <row r="3539" spans="1:3" x14ac:dyDescent="0.15">
      <c r="A3539" s="203">
        <v>36810</v>
      </c>
      <c r="B3539" s="202">
        <v>9.9152372075486175E-3</v>
      </c>
      <c r="C3539" s="194" t="s">
        <v>1</v>
      </c>
    </row>
    <row r="3540" spans="1:3" x14ac:dyDescent="0.15">
      <c r="A3540" s="203">
        <v>36811</v>
      </c>
      <c r="B3540" s="202">
        <v>9.9152372075486175E-3</v>
      </c>
      <c r="C3540" s="194" t="s">
        <v>1</v>
      </c>
    </row>
    <row r="3541" spans="1:3" x14ac:dyDescent="0.15">
      <c r="A3541" s="203">
        <v>36812</v>
      </c>
      <c r="B3541" s="202">
        <v>9.9158299468018445E-3</v>
      </c>
      <c r="C3541" s="194" t="s">
        <v>1</v>
      </c>
    </row>
    <row r="3542" spans="1:3" x14ac:dyDescent="0.15">
      <c r="A3542" s="203">
        <v>36813</v>
      </c>
      <c r="B3542" s="202">
        <v>9.9158299468018445E-3</v>
      </c>
      <c r="C3542" s="194" t="s">
        <v>1</v>
      </c>
    </row>
    <row r="3543" spans="1:3" x14ac:dyDescent="0.15">
      <c r="A3543" s="203">
        <v>36814</v>
      </c>
      <c r="B3543" s="202">
        <v>9.9158299468018445E-3</v>
      </c>
      <c r="C3543" s="194" t="s">
        <v>1</v>
      </c>
    </row>
    <row r="3544" spans="1:3" x14ac:dyDescent="0.15">
      <c r="A3544" s="203">
        <v>36815</v>
      </c>
      <c r="B3544" s="202">
        <v>9.9164227214894041E-3</v>
      </c>
      <c r="C3544" s="194" t="s">
        <v>1</v>
      </c>
    </row>
    <row r="3545" spans="1:3" x14ac:dyDescent="0.15">
      <c r="A3545" s="203">
        <v>36816</v>
      </c>
      <c r="B3545" s="202">
        <v>9.917015531613416E-3</v>
      </c>
      <c r="C3545" s="194" t="s">
        <v>1</v>
      </c>
    </row>
    <row r="3546" spans="1:3" x14ac:dyDescent="0.15">
      <c r="A3546" s="203">
        <v>36817</v>
      </c>
      <c r="B3546" s="202">
        <v>9.9176083771759984E-3</v>
      </c>
      <c r="C3546" s="194" t="s">
        <v>1</v>
      </c>
    </row>
    <row r="3547" spans="1:3" x14ac:dyDescent="0.15">
      <c r="A3547" s="203">
        <v>36818</v>
      </c>
      <c r="B3547" s="202">
        <v>9.9182012581792694E-3</v>
      </c>
      <c r="C3547" s="194" t="s">
        <v>1</v>
      </c>
    </row>
    <row r="3548" spans="1:3" x14ac:dyDescent="0.15">
      <c r="A3548" s="203">
        <v>36819</v>
      </c>
      <c r="B3548" s="202">
        <v>9.9187941746253488E-3</v>
      </c>
      <c r="C3548" s="194" t="s">
        <v>1</v>
      </c>
    </row>
    <row r="3549" spans="1:3" x14ac:dyDescent="0.15">
      <c r="A3549" s="203">
        <v>36820</v>
      </c>
      <c r="B3549" s="202">
        <v>9.9187941746253488E-3</v>
      </c>
      <c r="C3549" s="194" t="s">
        <v>1</v>
      </c>
    </row>
    <row r="3550" spans="1:3" x14ac:dyDescent="0.15">
      <c r="A3550" s="203">
        <v>36821</v>
      </c>
      <c r="B3550" s="202">
        <v>9.9187941746253488E-3</v>
      </c>
      <c r="C3550" s="194" t="s">
        <v>1</v>
      </c>
    </row>
    <row r="3551" spans="1:3" x14ac:dyDescent="0.15">
      <c r="A3551" s="203">
        <v>36822</v>
      </c>
      <c r="B3551" s="202">
        <v>9.9193871265163529E-3</v>
      </c>
      <c r="C3551" s="194" t="s">
        <v>1</v>
      </c>
    </row>
    <row r="3552" spans="1:3" x14ac:dyDescent="0.15">
      <c r="A3552" s="203">
        <v>36823</v>
      </c>
      <c r="B3552" s="202">
        <v>9.9199801138544035E-3</v>
      </c>
      <c r="C3552" s="194" t="s">
        <v>1</v>
      </c>
    </row>
    <row r="3553" spans="1:3" x14ac:dyDescent="0.15">
      <c r="A3553" s="203">
        <v>36824</v>
      </c>
      <c r="B3553" s="202">
        <v>9.9205731366416184E-3</v>
      </c>
      <c r="C3553" s="194" t="s">
        <v>1</v>
      </c>
    </row>
    <row r="3554" spans="1:3" x14ac:dyDescent="0.15">
      <c r="A3554" s="203">
        <v>36825</v>
      </c>
      <c r="B3554" s="202">
        <v>9.9211661948801159E-3</v>
      </c>
      <c r="C3554" s="194" t="s">
        <v>1</v>
      </c>
    </row>
    <row r="3555" spans="1:3" x14ac:dyDescent="0.15">
      <c r="A3555" s="203">
        <v>36826</v>
      </c>
      <c r="B3555" s="202">
        <v>9.9217592885720157E-3</v>
      </c>
      <c r="C3555" s="194" t="s">
        <v>1</v>
      </c>
    </row>
    <row r="3556" spans="1:3" x14ac:dyDescent="0.15">
      <c r="A3556" s="203">
        <v>36827</v>
      </c>
      <c r="B3556" s="202">
        <v>9.9217592885720157E-3</v>
      </c>
      <c r="C3556" s="194" t="s">
        <v>1</v>
      </c>
    </row>
    <row r="3557" spans="1:3" x14ac:dyDescent="0.15">
      <c r="A3557" s="203">
        <v>36828</v>
      </c>
      <c r="B3557" s="202">
        <v>9.9217592885720157E-3</v>
      </c>
      <c r="C3557" s="194" t="s">
        <v>1</v>
      </c>
    </row>
    <row r="3558" spans="1:3" x14ac:dyDescent="0.15">
      <c r="A3558" s="203">
        <v>36829</v>
      </c>
      <c r="B3558" s="202">
        <v>9.9223524177194378E-3</v>
      </c>
      <c r="C3558" s="194" t="s">
        <v>1</v>
      </c>
    </row>
    <row r="3559" spans="1:3" x14ac:dyDescent="0.15">
      <c r="A3559" s="203">
        <v>36830</v>
      </c>
      <c r="B3559" s="202">
        <v>9.9229455823245018E-3</v>
      </c>
      <c r="C3559" s="194" t="s">
        <v>1</v>
      </c>
    </row>
    <row r="3560" spans="1:3" x14ac:dyDescent="0.15">
      <c r="A3560" s="203">
        <v>36831</v>
      </c>
      <c r="B3560" s="202">
        <v>9.9235387823893278E-3</v>
      </c>
      <c r="C3560" s="194" t="s">
        <v>1</v>
      </c>
    </row>
    <row r="3561" spans="1:3" x14ac:dyDescent="0.15">
      <c r="A3561" s="203">
        <v>36832</v>
      </c>
      <c r="B3561" s="202">
        <v>9.9235387823893278E-3</v>
      </c>
      <c r="C3561" s="194" t="s">
        <v>1</v>
      </c>
    </row>
    <row r="3562" spans="1:3" x14ac:dyDescent="0.15">
      <c r="A3562" s="203">
        <v>36833</v>
      </c>
      <c r="B3562" s="202">
        <v>9.9241323687577401E-3</v>
      </c>
      <c r="C3562" s="194" t="s">
        <v>1</v>
      </c>
    </row>
    <row r="3563" spans="1:3" x14ac:dyDescent="0.15">
      <c r="A3563" s="203">
        <v>36834</v>
      </c>
      <c r="B3563" s="202">
        <v>9.9241323687577401E-3</v>
      </c>
      <c r="C3563" s="194" t="s">
        <v>1</v>
      </c>
    </row>
    <row r="3564" spans="1:3" x14ac:dyDescent="0.15">
      <c r="A3564" s="203">
        <v>36835</v>
      </c>
      <c r="B3564" s="202">
        <v>9.9241323687577401E-3</v>
      </c>
      <c r="C3564" s="194" t="s">
        <v>1</v>
      </c>
    </row>
    <row r="3565" spans="1:3" x14ac:dyDescent="0.15">
      <c r="A3565" s="203">
        <v>36836</v>
      </c>
      <c r="B3565" s="202">
        <v>9.9247259906321134E-3</v>
      </c>
      <c r="C3565" s="194" t="s">
        <v>1</v>
      </c>
    </row>
    <row r="3566" spans="1:3" x14ac:dyDescent="0.15">
      <c r="A3566" s="203">
        <v>36837</v>
      </c>
      <c r="B3566" s="202">
        <v>9.925319648014571E-3</v>
      </c>
      <c r="C3566" s="194" t="s">
        <v>1</v>
      </c>
    </row>
    <row r="3567" spans="1:3" x14ac:dyDescent="0.15">
      <c r="A3567" s="203">
        <v>36838</v>
      </c>
      <c r="B3567" s="202">
        <v>9.9259133409072362E-3</v>
      </c>
      <c r="C3567" s="194" t="s">
        <v>1</v>
      </c>
    </row>
    <row r="3568" spans="1:3" x14ac:dyDescent="0.15">
      <c r="A3568" s="203">
        <v>36839</v>
      </c>
      <c r="B3568" s="202">
        <v>9.9265070693122341E-3</v>
      </c>
      <c r="C3568" s="194" t="s">
        <v>1</v>
      </c>
    </row>
    <row r="3569" spans="1:3" x14ac:dyDescent="0.15">
      <c r="A3569" s="203">
        <v>36840</v>
      </c>
      <c r="B3569" s="202">
        <v>9.927100833231688E-3</v>
      </c>
      <c r="C3569" s="194" t="s">
        <v>1</v>
      </c>
    </row>
    <row r="3570" spans="1:3" x14ac:dyDescent="0.15">
      <c r="A3570" s="203">
        <v>36841</v>
      </c>
      <c r="B3570" s="202">
        <v>9.927100833231688E-3</v>
      </c>
      <c r="C3570" s="194" t="s">
        <v>1</v>
      </c>
    </row>
    <row r="3571" spans="1:3" x14ac:dyDescent="0.15">
      <c r="A3571" s="203">
        <v>36842</v>
      </c>
      <c r="B3571" s="202">
        <v>9.927100833231688E-3</v>
      </c>
      <c r="C3571" s="194" t="s">
        <v>1</v>
      </c>
    </row>
    <row r="3572" spans="1:3" x14ac:dyDescent="0.15">
      <c r="A3572" s="203">
        <v>36843</v>
      </c>
      <c r="B3572" s="202">
        <v>9.9276946326677228E-3</v>
      </c>
      <c r="C3572" s="194" t="s">
        <v>1</v>
      </c>
    </row>
    <row r="3573" spans="1:3" x14ac:dyDescent="0.15">
      <c r="A3573" s="203">
        <v>36844</v>
      </c>
      <c r="B3573" s="202">
        <v>9.9282884676224637E-3</v>
      </c>
      <c r="C3573" s="194" t="s">
        <v>1</v>
      </c>
    </row>
    <row r="3574" spans="1:3" x14ac:dyDescent="0.15">
      <c r="A3574" s="203">
        <v>36845</v>
      </c>
      <c r="B3574" s="202">
        <v>9.9282884676224637E-3</v>
      </c>
      <c r="C3574" s="194" t="s">
        <v>1</v>
      </c>
    </row>
    <row r="3575" spans="1:3" x14ac:dyDescent="0.15">
      <c r="A3575" s="203">
        <v>36846</v>
      </c>
      <c r="B3575" s="202">
        <v>9.9288823380980339E-3</v>
      </c>
      <c r="C3575" s="194" t="s">
        <v>1</v>
      </c>
    </row>
    <row r="3576" spans="1:3" x14ac:dyDescent="0.15">
      <c r="A3576" s="203">
        <v>36847</v>
      </c>
      <c r="B3576" s="202">
        <v>9.9294762440965603E-3</v>
      </c>
      <c r="C3576" s="194" t="s">
        <v>1</v>
      </c>
    </row>
    <row r="3577" spans="1:3" x14ac:dyDescent="0.15">
      <c r="A3577" s="203">
        <v>36848</v>
      </c>
      <c r="B3577" s="202">
        <v>9.9294762440965603E-3</v>
      </c>
      <c r="C3577" s="194" t="s">
        <v>1</v>
      </c>
    </row>
    <row r="3578" spans="1:3" x14ac:dyDescent="0.15">
      <c r="A3578" s="203">
        <v>36849</v>
      </c>
      <c r="B3578" s="202">
        <v>9.9294762440965603E-3</v>
      </c>
      <c r="C3578" s="194" t="s">
        <v>1</v>
      </c>
    </row>
    <row r="3579" spans="1:3" x14ac:dyDescent="0.15">
      <c r="A3579" s="203">
        <v>36850</v>
      </c>
      <c r="B3579" s="202">
        <v>9.930070185620166E-3</v>
      </c>
      <c r="C3579" s="194" t="s">
        <v>1</v>
      </c>
    </row>
    <row r="3580" spans="1:3" x14ac:dyDescent="0.15">
      <c r="A3580" s="203">
        <v>36851</v>
      </c>
      <c r="B3580" s="202">
        <v>9.9306641626709762E-3</v>
      </c>
      <c r="C3580" s="194" t="s">
        <v>1</v>
      </c>
    </row>
    <row r="3581" spans="1:3" x14ac:dyDescent="0.15">
      <c r="A3581" s="203">
        <v>36852</v>
      </c>
      <c r="B3581" s="202">
        <v>9.9312581752511158E-3</v>
      </c>
      <c r="C3581" s="194" t="s">
        <v>1</v>
      </c>
    </row>
    <row r="3582" spans="1:3" x14ac:dyDescent="0.15">
      <c r="A3582" s="203">
        <v>36853</v>
      </c>
      <c r="B3582" s="202">
        <v>9.93185222336271E-3</v>
      </c>
      <c r="C3582" s="194" t="s">
        <v>1</v>
      </c>
    </row>
    <row r="3583" spans="1:3" x14ac:dyDescent="0.15">
      <c r="A3583" s="203">
        <v>36854</v>
      </c>
      <c r="B3583" s="202">
        <v>9.9324463070078837E-3</v>
      </c>
      <c r="C3583" s="194" t="s">
        <v>1</v>
      </c>
    </row>
    <row r="3584" spans="1:3" x14ac:dyDescent="0.15">
      <c r="A3584" s="203">
        <v>36855</v>
      </c>
      <c r="B3584" s="202">
        <v>9.9324463070078837E-3</v>
      </c>
      <c r="C3584" s="194" t="s">
        <v>1</v>
      </c>
    </row>
    <row r="3585" spans="1:3" x14ac:dyDescent="0.15">
      <c r="A3585" s="203">
        <v>36856</v>
      </c>
      <c r="B3585" s="202">
        <v>9.9324463070078837E-3</v>
      </c>
      <c r="C3585" s="194" t="s">
        <v>1</v>
      </c>
    </row>
    <row r="3586" spans="1:3" x14ac:dyDescent="0.15">
      <c r="A3586" s="203">
        <v>36857</v>
      </c>
      <c r="B3586" s="202">
        <v>9.9330404261887637E-3</v>
      </c>
      <c r="C3586" s="194" t="s">
        <v>1</v>
      </c>
    </row>
    <row r="3587" spans="1:3" x14ac:dyDescent="0.15">
      <c r="A3587" s="203">
        <v>36858</v>
      </c>
      <c r="B3587" s="202">
        <v>9.9336345809074751E-3</v>
      </c>
      <c r="C3587" s="194" t="s">
        <v>1</v>
      </c>
    </row>
    <row r="3588" spans="1:3" x14ac:dyDescent="0.15">
      <c r="A3588" s="203">
        <v>36859</v>
      </c>
      <c r="B3588" s="202">
        <v>9.9342287711661429E-3</v>
      </c>
      <c r="C3588" s="194" t="s">
        <v>1</v>
      </c>
    </row>
    <row r="3589" spans="1:3" x14ac:dyDescent="0.15">
      <c r="A3589" s="203">
        <v>36860</v>
      </c>
      <c r="B3589" s="202">
        <v>9.9348229969668939E-3</v>
      </c>
      <c r="C3589" s="194" t="s">
        <v>1</v>
      </c>
    </row>
    <row r="3590" spans="1:3" x14ac:dyDescent="0.15">
      <c r="A3590" s="203">
        <v>36861</v>
      </c>
      <c r="B3590" s="202">
        <v>9.9354172583118548E-3</v>
      </c>
      <c r="C3590" s="194" t="s">
        <v>1</v>
      </c>
    </row>
    <row r="3591" spans="1:3" x14ac:dyDescent="0.15">
      <c r="A3591" s="203">
        <v>36862</v>
      </c>
      <c r="B3591" s="202">
        <v>9.9354172583118548E-3</v>
      </c>
      <c r="C3591" s="194" t="s">
        <v>1</v>
      </c>
    </row>
    <row r="3592" spans="1:3" x14ac:dyDescent="0.15">
      <c r="A3592" s="203">
        <v>36863</v>
      </c>
      <c r="B3592" s="202">
        <v>9.9354172583118548E-3</v>
      </c>
      <c r="C3592" s="194" t="s">
        <v>1</v>
      </c>
    </row>
    <row r="3593" spans="1:3" x14ac:dyDescent="0.15">
      <c r="A3593" s="203">
        <v>36864</v>
      </c>
      <c r="B3593" s="202">
        <v>9.935935225656856E-3</v>
      </c>
      <c r="C3593" s="194" t="s">
        <v>1</v>
      </c>
    </row>
    <row r="3594" spans="1:3" x14ac:dyDescent="0.15">
      <c r="A3594" s="203">
        <v>36865</v>
      </c>
      <c r="B3594" s="202">
        <v>9.9364532200052706E-3</v>
      </c>
      <c r="C3594" s="194" t="s">
        <v>1</v>
      </c>
    </row>
    <row r="3595" spans="1:3" x14ac:dyDescent="0.15">
      <c r="A3595" s="203">
        <v>36866</v>
      </c>
      <c r="B3595" s="202">
        <v>9.9369712413585054E-3</v>
      </c>
      <c r="C3595" s="194" t="s">
        <v>1</v>
      </c>
    </row>
    <row r="3596" spans="1:3" x14ac:dyDescent="0.15">
      <c r="A3596" s="203">
        <v>36867</v>
      </c>
      <c r="B3596" s="202">
        <v>9.9374892897179674E-3</v>
      </c>
      <c r="C3596" s="194" t="s">
        <v>1</v>
      </c>
    </row>
    <row r="3597" spans="1:3" x14ac:dyDescent="0.15">
      <c r="A3597" s="203">
        <v>36868</v>
      </c>
      <c r="B3597" s="202">
        <v>9.938007365085065E-3</v>
      </c>
      <c r="C3597" s="194" t="s">
        <v>1</v>
      </c>
    </row>
    <row r="3598" spans="1:3" x14ac:dyDescent="0.15">
      <c r="A3598" s="203">
        <v>36869</v>
      </c>
      <c r="B3598" s="202">
        <v>9.938007365085065E-3</v>
      </c>
      <c r="C3598" s="194" t="s">
        <v>1</v>
      </c>
    </row>
    <row r="3599" spans="1:3" x14ac:dyDescent="0.15">
      <c r="A3599" s="203">
        <v>36870</v>
      </c>
      <c r="B3599" s="202">
        <v>9.938007365085065E-3</v>
      </c>
      <c r="C3599" s="194" t="s">
        <v>1</v>
      </c>
    </row>
    <row r="3600" spans="1:3" x14ac:dyDescent="0.15">
      <c r="A3600" s="203">
        <v>36871</v>
      </c>
      <c r="B3600" s="202">
        <v>9.938525467461207E-3</v>
      </c>
      <c r="C3600" s="194" t="s">
        <v>1</v>
      </c>
    </row>
    <row r="3601" spans="1:3" x14ac:dyDescent="0.15">
      <c r="A3601" s="203">
        <v>36872</v>
      </c>
      <c r="B3601" s="202">
        <v>9.9390435968478019E-3</v>
      </c>
      <c r="C3601" s="194" t="s">
        <v>1</v>
      </c>
    </row>
    <row r="3602" spans="1:3" x14ac:dyDescent="0.15">
      <c r="A3602" s="203">
        <v>36873</v>
      </c>
      <c r="B3602" s="202">
        <v>9.9395617532462566E-3</v>
      </c>
      <c r="C3602" s="194" t="s">
        <v>1</v>
      </c>
    </row>
    <row r="3603" spans="1:3" x14ac:dyDescent="0.15">
      <c r="A3603" s="203">
        <v>36874</v>
      </c>
      <c r="B3603" s="202">
        <v>9.9400799366579796E-3</v>
      </c>
      <c r="C3603" s="194" t="s">
        <v>1</v>
      </c>
    </row>
    <row r="3604" spans="1:3" x14ac:dyDescent="0.15">
      <c r="A3604" s="203">
        <v>36875</v>
      </c>
      <c r="B3604" s="202">
        <v>9.9405981470843795E-3</v>
      </c>
      <c r="C3604" s="194" t="s">
        <v>1</v>
      </c>
    </row>
    <row r="3605" spans="1:3" x14ac:dyDescent="0.15">
      <c r="A3605" s="203">
        <v>36876</v>
      </c>
      <c r="B3605" s="202">
        <v>9.9405981470843795E-3</v>
      </c>
      <c r="C3605" s="194" t="s">
        <v>1</v>
      </c>
    </row>
    <row r="3606" spans="1:3" x14ac:dyDescent="0.15">
      <c r="A3606" s="203">
        <v>36877</v>
      </c>
      <c r="B3606" s="202">
        <v>9.9405981470843795E-3</v>
      </c>
      <c r="C3606" s="194" t="s">
        <v>1</v>
      </c>
    </row>
    <row r="3607" spans="1:3" x14ac:dyDescent="0.15">
      <c r="A3607" s="203">
        <v>36878</v>
      </c>
      <c r="B3607" s="202">
        <v>9.9411163845268651E-3</v>
      </c>
      <c r="C3607" s="194" t="s">
        <v>1</v>
      </c>
    </row>
    <row r="3608" spans="1:3" x14ac:dyDescent="0.15">
      <c r="A3608" s="203">
        <v>36879</v>
      </c>
      <c r="B3608" s="202">
        <v>9.9416346489868447E-3</v>
      </c>
      <c r="C3608" s="194" t="s">
        <v>1</v>
      </c>
    </row>
    <row r="3609" spans="1:3" x14ac:dyDescent="0.15">
      <c r="A3609" s="203">
        <v>36880</v>
      </c>
      <c r="B3609" s="202">
        <v>9.9421529404657254E-3</v>
      </c>
      <c r="C3609" s="194" t="s">
        <v>1</v>
      </c>
    </row>
    <row r="3610" spans="1:3" x14ac:dyDescent="0.15">
      <c r="A3610" s="203">
        <v>36881</v>
      </c>
      <c r="B3610" s="202">
        <v>9.9426712589649174E-3</v>
      </c>
      <c r="C3610" s="194" t="s">
        <v>1</v>
      </c>
    </row>
    <row r="3611" spans="1:3" x14ac:dyDescent="0.15">
      <c r="A3611" s="203">
        <v>36882</v>
      </c>
      <c r="B3611" s="202">
        <v>9.9431896044858293E-3</v>
      </c>
      <c r="C3611" s="194" t="s">
        <v>1</v>
      </c>
    </row>
    <row r="3612" spans="1:3" x14ac:dyDescent="0.15">
      <c r="A3612" s="203">
        <v>36883</v>
      </c>
      <c r="B3612" s="202">
        <v>9.9431896044858293E-3</v>
      </c>
      <c r="C3612" s="194" t="s">
        <v>1</v>
      </c>
    </row>
    <row r="3613" spans="1:3" x14ac:dyDescent="0.15">
      <c r="A3613" s="203">
        <v>36884</v>
      </c>
      <c r="B3613" s="202">
        <v>9.9431896044858293E-3</v>
      </c>
      <c r="C3613" s="194" t="s">
        <v>1</v>
      </c>
    </row>
    <row r="3614" spans="1:3" x14ac:dyDescent="0.15">
      <c r="A3614" s="203">
        <v>36885</v>
      </c>
      <c r="B3614" s="202">
        <v>9.9431896044858293E-3</v>
      </c>
      <c r="C3614" s="194" t="s">
        <v>1</v>
      </c>
    </row>
    <row r="3615" spans="1:3" x14ac:dyDescent="0.15">
      <c r="A3615" s="203">
        <v>36886</v>
      </c>
      <c r="B3615" s="202">
        <v>9.943707977029868E-3</v>
      </c>
      <c r="C3615" s="194" t="s">
        <v>1</v>
      </c>
    </row>
    <row r="3616" spans="1:3" x14ac:dyDescent="0.15">
      <c r="A3616" s="203">
        <v>36887</v>
      </c>
      <c r="B3616" s="202">
        <v>9.9442263765984439E-3</v>
      </c>
      <c r="C3616" s="194" t="s">
        <v>1</v>
      </c>
    </row>
    <row r="3617" spans="1:3" x14ac:dyDescent="0.15">
      <c r="A3617" s="203">
        <v>36888</v>
      </c>
      <c r="B3617" s="202">
        <v>9.9447448031929654E-3</v>
      </c>
      <c r="C3617" s="194" t="s">
        <v>1</v>
      </c>
    </row>
    <row r="3618" spans="1:3" x14ac:dyDescent="0.15">
      <c r="A3618" s="203">
        <v>36889</v>
      </c>
      <c r="B3618" s="202">
        <v>9.9452632568148413E-3</v>
      </c>
      <c r="C3618" s="194" t="s">
        <v>1</v>
      </c>
    </row>
    <row r="3619" spans="1:3" x14ac:dyDescent="0.15">
      <c r="A3619" s="203">
        <v>36890</v>
      </c>
      <c r="B3619" s="202">
        <v>9.9452632568148413E-3</v>
      </c>
      <c r="C3619" s="194" t="s">
        <v>1</v>
      </c>
    </row>
    <row r="3620" spans="1:3" x14ac:dyDescent="0.15">
      <c r="A3620" s="203">
        <v>36891</v>
      </c>
      <c r="B3620" s="202">
        <v>9.9452632568148413E-3</v>
      </c>
      <c r="C3620" s="194" t="s">
        <v>1</v>
      </c>
    </row>
    <row r="3621" spans="1:3" x14ac:dyDescent="0.15">
      <c r="A3621" s="203">
        <v>36892</v>
      </c>
      <c r="B3621" s="202">
        <v>9.9452632568148413E-3</v>
      </c>
      <c r="C3621" s="194" t="s">
        <v>1</v>
      </c>
    </row>
    <row r="3622" spans="1:3" x14ac:dyDescent="0.15">
      <c r="A3622" s="203">
        <v>36893</v>
      </c>
      <c r="B3622" s="202">
        <v>9.9458548289467277E-3</v>
      </c>
      <c r="C3622" s="194" t="s">
        <v>1</v>
      </c>
    </row>
    <row r="3623" spans="1:3" x14ac:dyDescent="0.15">
      <c r="A3623" s="203">
        <v>36894</v>
      </c>
      <c r="B3623" s="202">
        <v>9.9464464362669838E-3</v>
      </c>
      <c r="C3623" s="194" t="s">
        <v>1</v>
      </c>
    </row>
    <row r="3624" spans="1:3" x14ac:dyDescent="0.15">
      <c r="A3624" s="203">
        <v>36895</v>
      </c>
      <c r="B3624" s="202">
        <v>9.9470380787776997E-3</v>
      </c>
      <c r="C3624" s="194" t="s">
        <v>1</v>
      </c>
    </row>
    <row r="3625" spans="1:3" x14ac:dyDescent="0.15">
      <c r="A3625" s="203">
        <v>36896</v>
      </c>
      <c r="B3625" s="202">
        <v>9.9476297564809711E-3</v>
      </c>
      <c r="C3625" s="194" t="s">
        <v>1</v>
      </c>
    </row>
    <row r="3626" spans="1:3" x14ac:dyDescent="0.15">
      <c r="A3626" s="203">
        <v>36897</v>
      </c>
      <c r="B3626" s="202">
        <v>9.9476297564809711E-3</v>
      </c>
      <c r="C3626" s="194" t="s">
        <v>1</v>
      </c>
    </row>
    <row r="3627" spans="1:3" x14ac:dyDescent="0.15">
      <c r="A3627" s="203">
        <v>36898</v>
      </c>
      <c r="B3627" s="202">
        <v>9.9476297564809711E-3</v>
      </c>
      <c r="C3627" s="194" t="s">
        <v>1</v>
      </c>
    </row>
    <row r="3628" spans="1:3" x14ac:dyDescent="0.15">
      <c r="A3628" s="203">
        <v>36899</v>
      </c>
      <c r="B3628" s="202">
        <v>9.9482214693788901E-3</v>
      </c>
      <c r="C3628" s="194" t="s">
        <v>1</v>
      </c>
    </row>
    <row r="3629" spans="1:3" x14ac:dyDescent="0.15">
      <c r="A3629" s="203">
        <v>36900</v>
      </c>
      <c r="B3629" s="202">
        <v>9.9488132174735504E-3</v>
      </c>
      <c r="C3629" s="194" t="s">
        <v>1</v>
      </c>
    </row>
    <row r="3630" spans="1:3" x14ac:dyDescent="0.15">
      <c r="A3630" s="203">
        <v>36901</v>
      </c>
      <c r="B3630" s="202">
        <v>9.9494050007670459E-3</v>
      </c>
      <c r="C3630" s="194" t="s">
        <v>1</v>
      </c>
    </row>
    <row r="3631" spans="1:3" x14ac:dyDescent="0.15">
      <c r="A3631" s="203">
        <v>36902</v>
      </c>
      <c r="B3631" s="202">
        <v>9.9499968192614703E-3</v>
      </c>
      <c r="C3631" s="194" t="s">
        <v>1</v>
      </c>
    </row>
    <row r="3632" spans="1:3" x14ac:dyDescent="0.15">
      <c r="A3632" s="203">
        <v>36903</v>
      </c>
      <c r="B3632" s="202">
        <v>9.9505886729589176E-3</v>
      </c>
      <c r="C3632" s="194" t="s">
        <v>1</v>
      </c>
    </row>
    <row r="3633" spans="1:3" x14ac:dyDescent="0.15">
      <c r="A3633" s="203">
        <v>36904</v>
      </c>
      <c r="B3633" s="202">
        <v>9.9505886729589176E-3</v>
      </c>
      <c r="C3633" s="194" t="s">
        <v>1</v>
      </c>
    </row>
    <row r="3634" spans="1:3" x14ac:dyDescent="0.15">
      <c r="A3634" s="203">
        <v>36905</v>
      </c>
      <c r="B3634" s="202">
        <v>9.9505886729589176E-3</v>
      </c>
      <c r="C3634" s="194" t="s">
        <v>1</v>
      </c>
    </row>
    <row r="3635" spans="1:3" x14ac:dyDescent="0.15">
      <c r="A3635" s="203">
        <v>36906</v>
      </c>
      <c r="B3635" s="202">
        <v>9.9511805618614814E-3</v>
      </c>
      <c r="C3635" s="194" t="s">
        <v>1</v>
      </c>
    </row>
    <row r="3636" spans="1:3" x14ac:dyDescent="0.15">
      <c r="A3636" s="203">
        <v>36907</v>
      </c>
      <c r="B3636" s="202">
        <v>9.9517724859712574E-3</v>
      </c>
      <c r="C3636" s="194" t="s">
        <v>1</v>
      </c>
    </row>
    <row r="3637" spans="1:3" x14ac:dyDescent="0.15">
      <c r="A3637" s="203">
        <v>36908</v>
      </c>
      <c r="B3637" s="202">
        <v>9.9523644452903376E-3</v>
      </c>
      <c r="C3637" s="194" t="s">
        <v>1</v>
      </c>
    </row>
    <row r="3638" spans="1:3" x14ac:dyDescent="0.15">
      <c r="A3638" s="203">
        <v>36909</v>
      </c>
      <c r="B3638" s="202">
        <v>9.9529564398208176E-3</v>
      </c>
      <c r="C3638" s="194" t="s">
        <v>1</v>
      </c>
    </row>
    <row r="3639" spans="1:3" x14ac:dyDescent="0.15">
      <c r="A3639" s="203">
        <v>36910</v>
      </c>
      <c r="B3639" s="202">
        <v>9.9535484695647911E-3</v>
      </c>
      <c r="C3639" s="194" t="s">
        <v>1</v>
      </c>
    </row>
    <row r="3640" spans="1:3" x14ac:dyDescent="0.15">
      <c r="A3640" s="203">
        <v>36911</v>
      </c>
      <c r="B3640" s="202">
        <v>9.9535484695647911E-3</v>
      </c>
      <c r="C3640" s="194" t="s">
        <v>1</v>
      </c>
    </row>
    <row r="3641" spans="1:3" x14ac:dyDescent="0.15">
      <c r="A3641" s="203">
        <v>36912</v>
      </c>
      <c r="B3641" s="202">
        <v>9.9535484695647911E-3</v>
      </c>
      <c r="C3641" s="194" t="s">
        <v>1</v>
      </c>
    </row>
    <row r="3642" spans="1:3" x14ac:dyDescent="0.15">
      <c r="A3642" s="203">
        <v>36913</v>
      </c>
      <c r="B3642" s="202">
        <v>9.9541405345243538E-3</v>
      </c>
      <c r="C3642" s="194" t="s">
        <v>1</v>
      </c>
    </row>
    <row r="3643" spans="1:3" x14ac:dyDescent="0.15">
      <c r="A3643" s="203">
        <v>36914</v>
      </c>
      <c r="B3643" s="202">
        <v>9.9547326347015994E-3</v>
      </c>
      <c r="C3643" s="194" t="s">
        <v>1</v>
      </c>
    </row>
    <row r="3644" spans="1:3" x14ac:dyDescent="0.15">
      <c r="A3644" s="203">
        <v>36915</v>
      </c>
      <c r="B3644" s="202">
        <v>9.9553247700986218E-3</v>
      </c>
      <c r="C3644" s="194" t="s">
        <v>1</v>
      </c>
    </row>
    <row r="3645" spans="1:3" x14ac:dyDescent="0.15">
      <c r="A3645" s="203">
        <v>36916</v>
      </c>
      <c r="B3645" s="202">
        <v>9.9559169407175182E-3</v>
      </c>
      <c r="C3645" s="194" t="s">
        <v>1</v>
      </c>
    </row>
    <row r="3646" spans="1:3" x14ac:dyDescent="0.15">
      <c r="A3646" s="203">
        <v>36917</v>
      </c>
      <c r="B3646" s="202">
        <v>9.9565091465603824E-3</v>
      </c>
      <c r="C3646" s="194" t="s">
        <v>1</v>
      </c>
    </row>
    <row r="3647" spans="1:3" x14ac:dyDescent="0.15">
      <c r="A3647" s="203">
        <v>36918</v>
      </c>
      <c r="B3647" s="202">
        <v>9.9565091465603824E-3</v>
      </c>
      <c r="C3647" s="194" t="s">
        <v>1</v>
      </c>
    </row>
    <row r="3648" spans="1:3" x14ac:dyDescent="0.15">
      <c r="A3648" s="203">
        <v>36919</v>
      </c>
      <c r="B3648" s="202">
        <v>9.9565091465603824E-3</v>
      </c>
      <c r="C3648" s="194" t="s">
        <v>1</v>
      </c>
    </row>
    <row r="3649" spans="1:3" x14ac:dyDescent="0.15">
      <c r="A3649" s="203">
        <v>36920</v>
      </c>
      <c r="B3649" s="202">
        <v>9.95710138762931E-3</v>
      </c>
      <c r="C3649" s="194" t="s">
        <v>1</v>
      </c>
    </row>
    <row r="3650" spans="1:3" x14ac:dyDescent="0.15">
      <c r="A3650" s="203">
        <v>36921</v>
      </c>
      <c r="B3650" s="202">
        <v>9.9576936639263966E-3</v>
      </c>
      <c r="C3650" s="194" t="s">
        <v>1</v>
      </c>
    </row>
    <row r="3651" spans="1:3" x14ac:dyDescent="0.15">
      <c r="A3651" s="203">
        <v>36922</v>
      </c>
      <c r="B3651" s="202">
        <v>9.9582859754537376E-3</v>
      </c>
      <c r="C3651" s="194" t="s">
        <v>1</v>
      </c>
    </row>
    <row r="3652" spans="1:3" x14ac:dyDescent="0.15">
      <c r="A3652" s="203">
        <v>36923</v>
      </c>
      <c r="B3652" s="202">
        <v>9.9588783222134269E-3</v>
      </c>
      <c r="C3652" s="194" t="s">
        <v>1</v>
      </c>
    </row>
    <row r="3653" spans="1:3" x14ac:dyDescent="0.15">
      <c r="A3653" s="203">
        <v>36924</v>
      </c>
      <c r="B3653" s="202">
        <v>9.9590711763466334E-3</v>
      </c>
      <c r="C3653" s="194" t="s">
        <v>1</v>
      </c>
    </row>
    <row r="3654" spans="1:3" x14ac:dyDescent="0.15">
      <c r="A3654" s="203">
        <v>36925</v>
      </c>
      <c r="B3654" s="202">
        <v>9.9590711763466334E-3</v>
      </c>
      <c r="C3654" s="194" t="s">
        <v>1</v>
      </c>
    </row>
    <row r="3655" spans="1:3" x14ac:dyDescent="0.15">
      <c r="A3655" s="203">
        <v>36926</v>
      </c>
      <c r="B3655" s="202">
        <v>9.9590711763466334E-3</v>
      </c>
      <c r="C3655" s="194" t="s">
        <v>1</v>
      </c>
    </row>
    <row r="3656" spans="1:3" x14ac:dyDescent="0.15">
      <c r="A3656" s="203">
        <v>36927</v>
      </c>
      <c r="B3656" s="202">
        <v>9.9592640342144687E-3</v>
      </c>
      <c r="C3656" s="194" t="s">
        <v>1</v>
      </c>
    </row>
    <row r="3657" spans="1:3" x14ac:dyDescent="0.15">
      <c r="A3657" s="203">
        <v>36928</v>
      </c>
      <c r="B3657" s="202">
        <v>9.9594568958170041E-3</v>
      </c>
      <c r="C3657" s="194" t="s">
        <v>1</v>
      </c>
    </row>
    <row r="3658" spans="1:3" x14ac:dyDescent="0.15">
      <c r="A3658" s="203">
        <v>36929</v>
      </c>
      <c r="B3658" s="202">
        <v>9.9596497611543142E-3</v>
      </c>
      <c r="C3658" s="194" t="s">
        <v>1</v>
      </c>
    </row>
    <row r="3659" spans="1:3" x14ac:dyDescent="0.15">
      <c r="A3659" s="203">
        <v>36930</v>
      </c>
      <c r="B3659" s="202">
        <v>9.95984263022647E-3</v>
      </c>
      <c r="C3659" s="194" t="s">
        <v>1</v>
      </c>
    </row>
    <row r="3660" spans="1:3" x14ac:dyDescent="0.15">
      <c r="A3660" s="203">
        <v>36931</v>
      </c>
      <c r="B3660" s="202">
        <v>9.9600355030335444E-3</v>
      </c>
      <c r="C3660" s="194" t="s">
        <v>1</v>
      </c>
    </row>
    <row r="3661" spans="1:3" x14ac:dyDescent="0.15">
      <c r="A3661" s="203">
        <v>36932</v>
      </c>
      <c r="B3661" s="202">
        <v>9.9600355030335444E-3</v>
      </c>
      <c r="C3661" s="194" t="s">
        <v>1</v>
      </c>
    </row>
    <row r="3662" spans="1:3" x14ac:dyDescent="0.15">
      <c r="A3662" s="203">
        <v>36933</v>
      </c>
      <c r="B3662" s="202">
        <v>9.9600355030335444E-3</v>
      </c>
      <c r="C3662" s="194" t="s">
        <v>1</v>
      </c>
    </row>
    <row r="3663" spans="1:3" x14ac:dyDescent="0.15">
      <c r="A3663" s="203">
        <v>36934</v>
      </c>
      <c r="B3663" s="202">
        <v>9.9602283795756086E-3</v>
      </c>
      <c r="C3663" s="194" t="s">
        <v>1</v>
      </c>
    </row>
    <row r="3664" spans="1:3" x14ac:dyDescent="0.15">
      <c r="A3664" s="203">
        <v>36935</v>
      </c>
      <c r="B3664" s="202">
        <v>9.9604212598527371E-3</v>
      </c>
      <c r="C3664" s="194" t="s">
        <v>1</v>
      </c>
    </row>
    <row r="3665" spans="1:3" x14ac:dyDescent="0.15">
      <c r="A3665" s="203">
        <v>36936</v>
      </c>
      <c r="B3665" s="202">
        <v>9.9606141438650011E-3</v>
      </c>
      <c r="C3665" s="194" t="s">
        <v>1</v>
      </c>
    </row>
    <row r="3666" spans="1:3" x14ac:dyDescent="0.15">
      <c r="A3666" s="203">
        <v>36937</v>
      </c>
      <c r="B3666" s="202">
        <v>9.9608070316124717E-3</v>
      </c>
      <c r="C3666" s="194" t="s">
        <v>1</v>
      </c>
    </row>
    <row r="3667" spans="1:3" x14ac:dyDescent="0.15">
      <c r="A3667" s="203">
        <v>36938</v>
      </c>
      <c r="B3667" s="202">
        <v>9.9609999230952234E-3</v>
      </c>
      <c r="C3667" s="194" t="s">
        <v>1</v>
      </c>
    </row>
    <row r="3668" spans="1:3" x14ac:dyDescent="0.15">
      <c r="A3668" s="203">
        <v>36939</v>
      </c>
      <c r="B3668" s="202">
        <v>9.9609999230952234E-3</v>
      </c>
      <c r="C3668" s="194" t="s">
        <v>1</v>
      </c>
    </row>
    <row r="3669" spans="1:3" x14ac:dyDescent="0.15">
      <c r="A3669" s="203">
        <v>36940</v>
      </c>
      <c r="B3669" s="202">
        <v>9.9609999230952234E-3</v>
      </c>
      <c r="C3669" s="194" t="s">
        <v>1</v>
      </c>
    </row>
    <row r="3670" spans="1:3" x14ac:dyDescent="0.15">
      <c r="A3670" s="203">
        <v>36941</v>
      </c>
      <c r="B3670" s="202">
        <v>9.9611928183133275E-3</v>
      </c>
      <c r="C3670" s="194" t="s">
        <v>1</v>
      </c>
    </row>
    <row r="3671" spans="1:3" x14ac:dyDescent="0.15">
      <c r="A3671" s="203">
        <v>36942</v>
      </c>
      <c r="B3671" s="202">
        <v>9.961385717266855E-3</v>
      </c>
      <c r="C3671" s="194" t="s">
        <v>1</v>
      </c>
    </row>
    <row r="3672" spans="1:3" x14ac:dyDescent="0.15">
      <c r="A3672" s="203">
        <v>36943</v>
      </c>
      <c r="B3672" s="202">
        <v>9.9615786199558805E-3</v>
      </c>
      <c r="C3672" s="194" t="s">
        <v>1</v>
      </c>
    </row>
    <row r="3673" spans="1:3" x14ac:dyDescent="0.15">
      <c r="A3673" s="203">
        <v>36944</v>
      </c>
      <c r="B3673" s="202">
        <v>9.9617715263804751E-3</v>
      </c>
      <c r="C3673" s="194" t="s">
        <v>1</v>
      </c>
    </row>
    <row r="3674" spans="1:3" x14ac:dyDescent="0.15">
      <c r="A3674" s="203">
        <v>36945</v>
      </c>
      <c r="B3674" s="202">
        <v>9.9619644365407118E-3</v>
      </c>
      <c r="C3674" s="194" t="s">
        <v>1</v>
      </c>
    </row>
    <row r="3675" spans="1:3" x14ac:dyDescent="0.15">
      <c r="A3675" s="203">
        <v>36946</v>
      </c>
      <c r="B3675" s="202">
        <v>9.9619644365407118E-3</v>
      </c>
      <c r="C3675" s="194" t="s">
        <v>1</v>
      </c>
    </row>
    <row r="3676" spans="1:3" x14ac:dyDescent="0.15">
      <c r="A3676" s="203">
        <v>36947</v>
      </c>
      <c r="B3676" s="202">
        <v>9.9619644365407118E-3</v>
      </c>
      <c r="C3676" s="194" t="s">
        <v>1</v>
      </c>
    </row>
    <row r="3677" spans="1:3" x14ac:dyDescent="0.15">
      <c r="A3677" s="203">
        <v>36948</v>
      </c>
      <c r="B3677" s="202">
        <v>9.9621573504366616E-3</v>
      </c>
      <c r="C3677" s="194" t="s">
        <v>1</v>
      </c>
    </row>
    <row r="3678" spans="1:3" x14ac:dyDescent="0.15">
      <c r="A3678" s="203">
        <v>36949</v>
      </c>
      <c r="B3678" s="202">
        <v>9.9621573504366616E-3</v>
      </c>
      <c r="C3678" s="194" t="s">
        <v>1</v>
      </c>
    </row>
    <row r="3679" spans="1:3" x14ac:dyDescent="0.15">
      <c r="A3679" s="203">
        <v>36950</v>
      </c>
      <c r="B3679" s="202">
        <v>9.9623502680683991E-3</v>
      </c>
      <c r="C3679" s="194" t="s">
        <v>1</v>
      </c>
    </row>
    <row r="3680" spans="1:3" x14ac:dyDescent="0.15">
      <c r="A3680" s="203">
        <v>36951</v>
      </c>
      <c r="B3680" s="202">
        <v>9.9625431894359955E-3</v>
      </c>
      <c r="C3680" s="194" t="s">
        <v>1</v>
      </c>
    </row>
    <row r="3681" spans="1:3" x14ac:dyDescent="0.15">
      <c r="A3681" s="203">
        <v>36952</v>
      </c>
      <c r="B3681" s="202">
        <v>9.9633603961051791E-3</v>
      </c>
      <c r="C3681" s="194" t="s">
        <v>1</v>
      </c>
    </row>
    <row r="3682" spans="1:3" x14ac:dyDescent="0.15">
      <c r="A3682" s="203">
        <v>36953</v>
      </c>
      <c r="B3682" s="202">
        <v>9.9633603961051791E-3</v>
      </c>
      <c r="C3682" s="194" t="s">
        <v>1</v>
      </c>
    </row>
    <row r="3683" spans="1:3" x14ac:dyDescent="0.15">
      <c r="A3683" s="203">
        <v>36954</v>
      </c>
      <c r="B3683" s="202">
        <v>9.9633603961051791E-3</v>
      </c>
      <c r="C3683" s="194" t="s">
        <v>1</v>
      </c>
    </row>
    <row r="3684" spans="1:3" x14ac:dyDescent="0.15">
      <c r="A3684" s="203">
        <v>36955</v>
      </c>
      <c r="B3684" s="202">
        <v>9.9641776698081233E-3</v>
      </c>
      <c r="C3684" s="194" t="s">
        <v>1</v>
      </c>
    </row>
    <row r="3685" spans="1:3" x14ac:dyDescent="0.15">
      <c r="A3685" s="203">
        <v>36956</v>
      </c>
      <c r="B3685" s="202">
        <v>9.964995010550327E-3</v>
      </c>
      <c r="C3685" s="194" t="s">
        <v>1</v>
      </c>
    </row>
    <row r="3686" spans="1:3" x14ac:dyDescent="0.15">
      <c r="A3686" s="203">
        <v>36957</v>
      </c>
      <c r="B3686" s="202">
        <v>9.9658124183372894E-3</v>
      </c>
      <c r="C3686" s="194" t="s">
        <v>1</v>
      </c>
    </row>
    <row r="3687" spans="1:3" x14ac:dyDescent="0.15">
      <c r="A3687" s="203">
        <v>36958</v>
      </c>
      <c r="B3687" s="202">
        <v>9.9666298931745112E-3</v>
      </c>
      <c r="C3687" s="194" t="s">
        <v>1</v>
      </c>
    </row>
    <row r="3688" spans="1:3" x14ac:dyDescent="0.15">
      <c r="A3688" s="203">
        <v>36959</v>
      </c>
      <c r="B3688" s="202">
        <v>9.9674474350674915E-3</v>
      </c>
      <c r="C3688" s="194" t="s">
        <v>1</v>
      </c>
    </row>
    <row r="3689" spans="1:3" x14ac:dyDescent="0.15">
      <c r="A3689" s="203">
        <v>36960</v>
      </c>
      <c r="B3689" s="202">
        <v>9.9674474350674915E-3</v>
      </c>
      <c r="C3689" s="194" t="s">
        <v>1</v>
      </c>
    </row>
    <row r="3690" spans="1:3" x14ac:dyDescent="0.15">
      <c r="A3690" s="203">
        <v>36961</v>
      </c>
      <c r="B3690" s="202">
        <v>9.9674474350674915E-3</v>
      </c>
      <c r="C3690" s="194" t="s">
        <v>1</v>
      </c>
    </row>
    <row r="3691" spans="1:3" x14ac:dyDescent="0.15">
      <c r="A3691" s="203">
        <v>36962</v>
      </c>
      <c r="B3691" s="202">
        <v>9.9682650440217294E-3</v>
      </c>
      <c r="C3691" s="194" t="s">
        <v>1</v>
      </c>
    </row>
    <row r="3692" spans="1:3" x14ac:dyDescent="0.15">
      <c r="A3692" s="203">
        <v>36963</v>
      </c>
      <c r="B3692" s="202">
        <v>9.9690827200427275E-3</v>
      </c>
      <c r="C3692" s="194" t="s">
        <v>1</v>
      </c>
    </row>
    <row r="3693" spans="1:3" x14ac:dyDescent="0.15">
      <c r="A3693" s="203">
        <v>36964</v>
      </c>
      <c r="B3693" s="202">
        <v>9.9699004631359864E-3</v>
      </c>
      <c r="C3693" s="194" t="s">
        <v>1</v>
      </c>
    </row>
    <row r="3694" spans="1:3" x14ac:dyDescent="0.15">
      <c r="A3694" s="203">
        <v>36965</v>
      </c>
      <c r="B3694" s="202">
        <v>9.9707182733070089E-3</v>
      </c>
      <c r="C3694" s="194" t="s">
        <v>1</v>
      </c>
    </row>
    <row r="3695" spans="1:3" x14ac:dyDescent="0.15">
      <c r="A3695" s="203">
        <v>36966</v>
      </c>
      <c r="B3695" s="202">
        <v>9.9715361505612957E-3</v>
      </c>
      <c r="C3695" s="194" t="s">
        <v>1</v>
      </c>
    </row>
    <row r="3696" spans="1:3" x14ac:dyDescent="0.15">
      <c r="A3696" s="203">
        <v>36967</v>
      </c>
      <c r="B3696" s="202">
        <v>9.9715361505612957E-3</v>
      </c>
      <c r="C3696" s="194" t="s">
        <v>1</v>
      </c>
    </row>
    <row r="3697" spans="1:3" x14ac:dyDescent="0.15">
      <c r="A3697" s="203">
        <v>36968</v>
      </c>
      <c r="B3697" s="202">
        <v>9.9715361505612957E-3</v>
      </c>
      <c r="C3697" s="194" t="s">
        <v>1</v>
      </c>
    </row>
    <row r="3698" spans="1:3" x14ac:dyDescent="0.15">
      <c r="A3698" s="203">
        <v>36969</v>
      </c>
      <c r="B3698" s="202">
        <v>9.972354094904351E-3</v>
      </c>
      <c r="C3698" s="194" t="s">
        <v>1</v>
      </c>
    </row>
    <row r="3699" spans="1:3" x14ac:dyDescent="0.15">
      <c r="A3699" s="203">
        <v>36970</v>
      </c>
      <c r="B3699" s="202">
        <v>9.9731721063416774E-3</v>
      </c>
      <c r="C3699" s="194" t="s">
        <v>1</v>
      </c>
    </row>
    <row r="3700" spans="1:3" x14ac:dyDescent="0.15">
      <c r="A3700" s="203">
        <v>36971</v>
      </c>
      <c r="B3700" s="202">
        <v>9.9739901848787775E-3</v>
      </c>
      <c r="C3700" s="194" t="s">
        <v>1</v>
      </c>
    </row>
    <row r="3701" spans="1:3" x14ac:dyDescent="0.15">
      <c r="A3701" s="203">
        <v>36972</v>
      </c>
      <c r="B3701" s="202">
        <v>9.9748083305211573E-3</v>
      </c>
      <c r="C3701" s="194" t="s">
        <v>1</v>
      </c>
    </row>
    <row r="3702" spans="1:3" x14ac:dyDescent="0.15">
      <c r="A3702" s="203">
        <v>36973</v>
      </c>
      <c r="B3702" s="202">
        <v>9.9756265432743192E-3</v>
      </c>
      <c r="C3702" s="194" t="s">
        <v>1</v>
      </c>
    </row>
    <row r="3703" spans="1:3" x14ac:dyDescent="0.15">
      <c r="A3703" s="203">
        <v>36974</v>
      </c>
      <c r="B3703" s="202">
        <v>9.9756265432743192E-3</v>
      </c>
      <c r="C3703" s="194" t="s">
        <v>1</v>
      </c>
    </row>
    <row r="3704" spans="1:3" x14ac:dyDescent="0.15">
      <c r="A3704" s="203">
        <v>36975</v>
      </c>
      <c r="B3704" s="202">
        <v>9.9756265432743192E-3</v>
      </c>
      <c r="C3704" s="194" t="s">
        <v>1</v>
      </c>
    </row>
    <row r="3705" spans="1:3" x14ac:dyDescent="0.15">
      <c r="A3705" s="203">
        <v>36976</v>
      </c>
      <c r="B3705" s="202">
        <v>9.9764448231437694E-3</v>
      </c>
      <c r="C3705" s="194" t="s">
        <v>1</v>
      </c>
    </row>
    <row r="3706" spans="1:3" x14ac:dyDescent="0.15">
      <c r="A3706" s="203">
        <v>36977</v>
      </c>
      <c r="B3706" s="202">
        <v>9.9772631701350138E-3</v>
      </c>
      <c r="C3706" s="194" t="s">
        <v>1</v>
      </c>
    </row>
    <row r="3707" spans="1:3" x14ac:dyDescent="0.15">
      <c r="A3707" s="203">
        <v>36978</v>
      </c>
      <c r="B3707" s="202">
        <v>9.9780815842535567E-3</v>
      </c>
      <c r="C3707" s="194" t="s">
        <v>1</v>
      </c>
    </row>
    <row r="3708" spans="1:3" x14ac:dyDescent="0.15">
      <c r="A3708" s="203">
        <v>36979</v>
      </c>
      <c r="B3708" s="202">
        <v>9.9789000655049059E-3</v>
      </c>
      <c r="C3708" s="194" t="s">
        <v>1</v>
      </c>
    </row>
    <row r="3709" spans="1:3" x14ac:dyDescent="0.15">
      <c r="A3709" s="203">
        <v>36980</v>
      </c>
      <c r="B3709" s="202">
        <v>9.9797186138945674E-3</v>
      </c>
      <c r="C3709" s="194" t="s">
        <v>1</v>
      </c>
    </row>
    <row r="3710" spans="1:3" x14ac:dyDescent="0.15">
      <c r="A3710" s="203">
        <v>36981</v>
      </c>
      <c r="B3710" s="202">
        <v>9.9797186138945674E-3</v>
      </c>
      <c r="C3710" s="194" t="s">
        <v>1</v>
      </c>
    </row>
    <row r="3711" spans="1:3" x14ac:dyDescent="0.15">
      <c r="A3711" s="203">
        <v>36982</v>
      </c>
      <c r="B3711" s="202">
        <v>9.9797186138945674E-3</v>
      </c>
      <c r="C3711" s="194" t="s">
        <v>1</v>
      </c>
    </row>
    <row r="3712" spans="1:3" x14ac:dyDescent="0.15">
      <c r="A3712" s="203">
        <v>36983</v>
      </c>
      <c r="B3712" s="202">
        <v>9.9804894802107795E-3</v>
      </c>
      <c r="C3712" s="194" t="s">
        <v>1</v>
      </c>
    </row>
    <row r="3713" spans="1:3" x14ac:dyDescent="0.15">
      <c r="A3713" s="203">
        <v>36984</v>
      </c>
      <c r="B3713" s="202">
        <v>9.9812604060712431E-3</v>
      </c>
      <c r="C3713" s="194" t="s">
        <v>1</v>
      </c>
    </row>
    <row r="3714" spans="1:3" x14ac:dyDescent="0.15">
      <c r="A3714" s="203">
        <v>36985</v>
      </c>
      <c r="B3714" s="202">
        <v>9.9820313914805586E-3</v>
      </c>
      <c r="C3714" s="194" t="s">
        <v>1</v>
      </c>
    </row>
    <row r="3715" spans="1:3" x14ac:dyDescent="0.15">
      <c r="A3715" s="203">
        <v>36986</v>
      </c>
      <c r="B3715" s="202">
        <v>9.9828024364433249E-3</v>
      </c>
      <c r="C3715" s="194" t="s">
        <v>1</v>
      </c>
    </row>
    <row r="3716" spans="1:3" x14ac:dyDescent="0.15">
      <c r="A3716" s="203">
        <v>36987</v>
      </c>
      <c r="B3716" s="202">
        <v>9.9835735409641423E-3</v>
      </c>
      <c r="C3716" s="194" t="s">
        <v>1</v>
      </c>
    </row>
    <row r="3717" spans="1:3" x14ac:dyDescent="0.15">
      <c r="A3717" s="203">
        <v>36988</v>
      </c>
      <c r="B3717" s="202">
        <v>9.9835735409641423E-3</v>
      </c>
      <c r="C3717" s="194" t="s">
        <v>1</v>
      </c>
    </row>
    <row r="3718" spans="1:3" x14ac:dyDescent="0.15">
      <c r="A3718" s="203">
        <v>36989</v>
      </c>
      <c r="B3718" s="202">
        <v>9.9835735409641423E-3</v>
      </c>
      <c r="C3718" s="194" t="s">
        <v>1</v>
      </c>
    </row>
    <row r="3719" spans="1:3" x14ac:dyDescent="0.15">
      <c r="A3719" s="203">
        <v>36990</v>
      </c>
      <c r="B3719" s="202">
        <v>9.9843447050476097E-3</v>
      </c>
      <c r="C3719" s="194" t="s">
        <v>1</v>
      </c>
    </row>
    <row r="3720" spans="1:3" x14ac:dyDescent="0.15">
      <c r="A3720" s="203">
        <v>36991</v>
      </c>
      <c r="B3720" s="202">
        <v>9.9851159286983293E-3</v>
      </c>
      <c r="C3720" s="194" t="s">
        <v>1</v>
      </c>
    </row>
    <row r="3721" spans="1:3" x14ac:dyDescent="0.15">
      <c r="A3721" s="203">
        <v>36992</v>
      </c>
      <c r="B3721" s="202">
        <v>9.9858872119209033E-3</v>
      </c>
      <c r="C3721" s="194" t="s">
        <v>1</v>
      </c>
    </row>
    <row r="3722" spans="1:3" x14ac:dyDescent="0.15">
      <c r="A3722" s="203">
        <v>36993</v>
      </c>
      <c r="B3722" s="202">
        <v>9.9866585547199321E-3</v>
      </c>
      <c r="C3722" s="194" t="s">
        <v>1</v>
      </c>
    </row>
    <row r="3723" spans="1:3" x14ac:dyDescent="0.15">
      <c r="A3723" s="203">
        <v>36994</v>
      </c>
      <c r="B3723" s="202">
        <v>9.9866585547199321E-3</v>
      </c>
      <c r="C3723" s="194" t="s">
        <v>1</v>
      </c>
    </row>
    <row r="3724" spans="1:3" x14ac:dyDescent="0.15">
      <c r="A3724" s="203">
        <v>36995</v>
      </c>
      <c r="B3724" s="202">
        <v>9.9866585547199321E-3</v>
      </c>
      <c r="C3724" s="194" t="s">
        <v>1</v>
      </c>
    </row>
    <row r="3725" spans="1:3" x14ac:dyDescent="0.15">
      <c r="A3725" s="203">
        <v>36996</v>
      </c>
      <c r="B3725" s="202">
        <v>9.9866585547199321E-3</v>
      </c>
      <c r="C3725" s="194" t="s">
        <v>1</v>
      </c>
    </row>
    <row r="3726" spans="1:3" x14ac:dyDescent="0.15">
      <c r="A3726" s="203">
        <v>36997</v>
      </c>
      <c r="B3726" s="202">
        <v>9.9874299571000181E-3</v>
      </c>
      <c r="C3726" s="194" t="s">
        <v>1</v>
      </c>
    </row>
    <row r="3727" spans="1:3" x14ac:dyDescent="0.15">
      <c r="A3727" s="203">
        <v>36998</v>
      </c>
      <c r="B3727" s="202">
        <v>9.9882014190657634E-3</v>
      </c>
      <c r="C3727" s="194" t="s">
        <v>1</v>
      </c>
    </row>
    <row r="3728" spans="1:3" x14ac:dyDescent="0.15">
      <c r="A3728" s="203">
        <v>36999</v>
      </c>
      <c r="B3728" s="202">
        <v>9.9889729406217702E-3</v>
      </c>
      <c r="C3728" s="194" t="s">
        <v>1</v>
      </c>
    </row>
    <row r="3729" spans="1:3" x14ac:dyDescent="0.15">
      <c r="A3729" s="203">
        <v>37000</v>
      </c>
      <c r="B3729" s="202">
        <v>9.9897445217726408E-3</v>
      </c>
      <c r="C3729" s="194" t="s">
        <v>1</v>
      </c>
    </row>
    <row r="3730" spans="1:3" x14ac:dyDescent="0.15">
      <c r="A3730" s="203">
        <v>37001</v>
      </c>
      <c r="B3730" s="202">
        <v>9.9905161625229791E-3</v>
      </c>
      <c r="C3730" s="194" t="s">
        <v>1</v>
      </c>
    </row>
    <row r="3731" spans="1:3" x14ac:dyDescent="0.15">
      <c r="A3731" s="203">
        <v>37002</v>
      </c>
      <c r="B3731" s="202">
        <v>9.9905161625229791E-3</v>
      </c>
      <c r="C3731" s="194" t="s">
        <v>1</v>
      </c>
    </row>
    <row r="3732" spans="1:3" x14ac:dyDescent="0.15">
      <c r="A3732" s="203">
        <v>37003</v>
      </c>
      <c r="B3732" s="202">
        <v>9.9905161625229791E-3</v>
      </c>
      <c r="C3732" s="194" t="s">
        <v>1</v>
      </c>
    </row>
    <row r="3733" spans="1:3" x14ac:dyDescent="0.15">
      <c r="A3733" s="203">
        <v>37004</v>
      </c>
      <c r="B3733" s="202">
        <v>9.9912878628773891E-3</v>
      </c>
      <c r="C3733" s="194" t="s">
        <v>1</v>
      </c>
    </row>
    <row r="3734" spans="1:3" x14ac:dyDescent="0.15">
      <c r="A3734" s="203">
        <v>37005</v>
      </c>
      <c r="B3734" s="202">
        <v>9.9920596228404747E-3</v>
      </c>
      <c r="C3734" s="194" t="s">
        <v>1</v>
      </c>
    </row>
    <row r="3735" spans="1:3" x14ac:dyDescent="0.15">
      <c r="A3735" s="203">
        <v>37006</v>
      </c>
      <c r="B3735" s="202">
        <v>9.9928314424168399E-3</v>
      </c>
      <c r="C3735" s="194" t="s">
        <v>1</v>
      </c>
    </row>
    <row r="3736" spans="1:3" x14ac:dyDescent="0.15">
      <c r="A3736" s="203">
        <v>37007</v>
      </c>
      <c r="B3736" s="202">
        <v>9.9936033216110904E-3</v>
      </c>
      <c r="C3736" s="194" t="s">
        <v>1</v>
      </c>
    </row>
    <row r="3737" spans="1:3" x14ac:dyDescent="0.15">
      <c r="A3737" s="203">
        <v>37008</v>
      </c>
      <c r="B3737" s="202">
        <v>9.9943752604278301E-3</v>
      </c>
      <c r="C3737" s="194" t="s">
        <v>1</v>
      </c>
    </row>
    <row r="3738" spans="1:3" x14ac:dyDescent="0.15">
      <c r="A3738" s="203">
        <v>37009</v>
      </c>
      <c r="B3738" s="202">
        <v>9.9943752604278301E-3</v>
      </c>
      <c r="C3738" s="194" t="s">
        <v>1</v>
      </c>
    </row>
    <row r="3739" spans="1:3" x14ac:dyDescent="0.15">
      <c r="A3739" s="203">
        <v>37010</v>
      </c>
      <c r="B3739" s="202">
        <v>9.9943752604278301E-3</v>
      </c>
      <c r="C3739" s="194" t="s">
        <v>1</v>
      </c>
    </row>
    <row r="3740" spans="1:3" x14ac:dyDescent="0.15">
      <c r="A3740" s="203">
        <v>37011</v>
      </c>
      <c r="B3740" s="202">
        <v>9.9951472588716665E-3</v>
      </c>
      <c r="C3740" s="194" t="s">
        <v>1</v>
      </c>
    </row>
    <row r="3741" spans="1:3" x14ac:dyDescent="0.15">
      <c r="A3741" s="203">
        <v>37012</v>
      </c>
      <c r="B3741" s="202">
        <v>9.9951472588716665E-3</v>
      </c>
      <c r="C3741" s="194" t="s">
        <v>1</v>
      </c>
    </row>
    <row r="3742" spans="1:3" x14ac:dyDescent="0.15">
      <c r="A3742" s="203">
        <v>37013</v>
      </c>
      <c r="B3742" s="202">
        <v>9.9959405282963286E-3</v>
      </c>
      <c r="C3742" s="194" t="s">
        <v>1</v>
      </c>
    </row>
    <row r="3743" spans="1:3" x14ac:dyDescent="0.15">
      <c r="A3743" s="203">
        <v>37014</v>
      </c>
      <c r="B3743" s="202">
        <v>9.9967338606791814E-3</v>
      </c>
      <c r="C3743" s="194" t="s">
        <v>1</v>
      </c>
    </row>
    <row r="3744" spans="1:3" x14ac:dyDescent="0.15">
      <c r="A3744" s="203">
        <v>37015</v>
      </c>
      <c r="B3744" s="202">
        <v>9.997527256025221E-3</v>
      </c>
      <c r="C3744" s="194" t="s">
        <v>1</v>
      </c>
    </row>
    <row r="3745" spans="1:3" x14ac:dyDescent="0.15">
      <c r="A3745" s="203">
        <v>37016</v>
      </c>
      <c r="B3745" s="202">
        <v>9.997527256025221E-3</v>
      </c>
      <c r="C3745" s="194" t="s">
        <v>1</v>
      </c>
    </row>
    <row r="3746" spans="1:3" x14ac:dyDescent="0.15">
      <c r="A3746" s="203">
        <v>37017</v>
      </c>
      <c r="B3746" s="202">
        <v>9.997527256025221E-3</v>
      </c>
      <c r="C3746" s="194" t="s">
        <v>1</v>
      </c>
    </row>
    <row r="3747" spans="1:3" x14ac:dyDescent="0.15">
      <c r="A3747" s="203">
        <v>37018</v>
      </c>
      <c r="B3747" s="202">
        <v>9.9983207143394433E-3</v>
      </c>
      <c r="C3747" s="194" t="s">
        <v>1</v>
      </c>
    </row>
    <row r="3748" spans="1:3" x14ac:dyDescent="0.15">
      <c r="A3748" s="203">
        <v>37019</v>
      </c>
      <c r="B3748" s="202">
        <v>9.9991142356268478E-3</v>
      </c>
      <c r="C3748" s="194" t="s">
        <v>1</v>
      </c>
    </row>
    <row r="3749" spans="1:3" x14ac:dyDescent="0.15">
      <c r="A3749" s="203">
        <v>37020</v>
      </c>
      <c r="B3749" s="202">
        <v>9.9999078198924306E-3</v>
      </c>
      <c r="C3749" s="194" t="s">
        <v>1</v>
      </c>
    </row>
    <row r="3750" spans="1:3" x14ac:dyDescent="0.15">
      <c r="A3750" s="203">
        <v>37021</v>
      </c>
      <c r="B3750" s="202">
        <v>1.0000701467141191E-2</v>
      </c>
      <c r="C3750" s="194" t="s">
        <v>1</v>
      </c>
    </row>
    <row r="3751" spans="1:3" x14ac:dyDescent="0.15">
      <c r="A3751" s="203">
        <v>37022</v>
      </c>
      <c r="B3751" s="202">
        <v>1.0001495177378129E-2</v>
      </c>
      <c r="C3751" s="194" t="s">
        <v>1</v>
      </c>
    </row>
    <row r="3752" spans="1:3" x14ac:dyDescent="0.15">
      <c r="A3752" s="203">
        <v>37023</v>
      </c>
      <c r="B3752" s="202">
        <v>1.0001495177378129E-2</v>
      </c>
      <c r="C3752" s="194" t="s">
        <v>1</v>
      </c>
    </row>
    <row r="3753" spans="1:3" x14ac:dyDescent="0.15">
      <c r="A3753" s="203">
        <v>37024</v>
      </c>
      <c r="B3753" s="202">
        <v>1.0001495177378129E-2</v>
      </c>
      <c r="C3753" s="194" t="s">
        <v>1</v>
      </c>
    </row>
    <row r="3754" spans="1:3" x14ac:dyDescent="0.15">
      <c r="A3754" s="203">
        <v>37025</v>
      </c>
      <c r="B3754" s="202">
        <v>1.0002288950608241E-2</v>
      </c>
      <c r="C3754" s="194" t="s">
        <v>1</v>
      </c>
    </row>
    <row r="3755" spans="1:3" x14ac:dyDescent="0.15">
      <c r="A3755" s="203">
        <v>37026</v>
      </c>
      <c r="B3755" s="202">
        <v>1.0003082786836528E-2</v>
      </c>
      <c r="C3755" s="194" t="s">
        <v>1</v>
      </c>
    </row>
    <row r="3756" spans="1:3" x14ac:dyDescent="0.15">
      <c r="A3756" s="203">
        <v>37027</v>
      </c>
      <c r="B3756" s="202">
        <v>1.0003876686067989E-2</v>
      </c>
      <c r="C3756" s="194" t="s">
        <v>1</v>
      </c>
    </row>
    <row r="3757" spans="1:3" x14ac:dyDescent="0.15">
      <c r="A3757" s="203">
        <v>37028</v>
      </c>
      <c r="B3757" s="202">
        <v>1.0004670648307625E-2</v>
      </c>
      <c r="C3757" s="194" t="s">
        <v>1</v>
      </c>
    </row>
    <row r="3758" spans="1:3" x14ac:dyDescent="0.15">
      <c r="A3758" s="203">
        <v>37029</v>
      </c>
      <c r="B3758" s="202">
        <v>1.0005464673560437E-2</v>
      </c>
      <c r="C3758" s="194" t="s">
        <v>1</v>
      </c>
    </row>
    <row r="3759" spans="1:3" x14ac:dyDescent="0.15">
      <c r="A3759" s="203">
        <v>37030</v>
      </c>
      <c r="B3759" s="202">
        <v>1.0005464673560437E-2</v>
      </c>
      <c r="C3759" s="194" t="s">
        <v>1</v>
      </c>
    </row>
    <row r="3760" spans="1:3" x14ac:dyDescent="0.15">
      <c r="A3760" s="203">
        <v>37031</v>
      </c>
      <c r="B3760" s="202">
        <v>1.0005464673560437E-2</v>
      </c>
      <c r="C3760" s="194" t="s">
        <v>1</v>
      </c>
    </row>
    <row r="3761" spans="1:3" x14ac:dyDescent="0.15">
      <c r="A3761" s="203">
        <v>37032</v>
      </c>
      <c r="B3761" s="202">
        <v>1.0006258761831425E-2</v>
      </c>
      <c r="C3761" s="194" t="s">
        <v>1</v>
      </c>
    </row>
    <row r="3762" spans="1:3" x14ac:dyDescent="0.15">
      <c r="A3762" s="203">
        <v>37033</v>
      </c>
      <c r="B3762" s="202">
        <v>1.0007052913125591E-2</v>
      </c>
      <c r="C3762" s="194" t="s">
        <v>1</v>
      </c>
    </row>
    <row r="3763" spans="1:3" x14ac:dyDescent="0.15">
      <c r="A3763" s="203">
        <v>37034</v>
      </c>
      <c r="B3763" s="202">
        <v>1.0007847127447938E-2</v>
      </c>
      <c r="C3763" s="194" t="s">
        <v>1</v>
      </c>
    </row>
    <row r="3764" spans="1:3" x14ac:dyDescent="0.15">
      <c r="A3764" s="203">
        <v>37035</v>
      </c>
      <c r="B3764" s="202">
        <v>1.0008641404803467E-2</v>
      </c>
      <c r="C3764" s="194" t="s">
        <v>1</v>
      </c>
    </row>
    <row r="3765" spans="1:3" x14ac:dyDescent="0.15">
      <c r="A3765" s="203">
        <v>37036</v>
      </c>
      <c r="B3765" s="202">
        <v>1.0009435745197181E-2</v>
      </c>
      <c r="C3765" s="194" t="s">
        <v>1</v>
      </c>
    </row>
    <row r="3766" spans="1:3" x14ac:dyDescent="0.15">
      <c r="A3766" s="203">
        <v>37037</v>
      </c>
      <c r="B3766" s="202">
        <v>1.0009435745197181E-2</v>
      </c>
      <c r="C3766" s="194" t="s">
        <v>1</v>
      </c>
    </row>
    <row r="3767" spans="1:3" x14ac:dyDescent="0.15">
      <c r="A3767" s="203">
        <v>37038</v>
      </c>
      <c r="B3767" s="202">
        <v>1.0009435745197181E-2</v>
      </c>
      <c r="C3767" s="194" t="s">
        <v>1</v>
      </c>
    </row>
    <row r="3768" spans="1:3" x14ac:dyDescent="0.15">
      <c r="A3768" s="203">
        <v>37039</v>
      </c>
      <c r="B3768" s="202">
        <v>1.0010230148634083E-2</v>
      </c>
      <c r="C3768" s="194" t="s">
        <v>1</v>
      </c>
    </row>
    <row r="3769" spans="1:3" x14ac:dyDescent="0.15">
      <c r="A3769" s="203">
        <v>37040</v>
      </c>
      <c r="B3769" s="202">
        <v>1.0011024615119176E-2</v>
      </c>
      <c r="C3769" s="194" t="s">
        <v>1</v>
      </c>
    </row>
    <row r="3770" spans="1:3" x14ac:dyDescent="0.15">
      <c r="A3770" s="203">
        <v>37041</v>
      </c>
      <c r="B3770" s="202">
        <v>1.0011819144657465E-2</v>
      </c>
      <c r="C3770" s="194" t="s">
        <v>1</v>
      </c>
    </row>
    <row r="3771" spans="1:3" x14ac:dyDescent="0.15">
      <c r="A3771" s="203">
        <v>37042</v>
      </c>
      <c r="B3771" s="202">
        <v>1.0012613737253952E-2</v>
      </c>
      <c r="C3771" s="194" t="s">
        <v>1</v>
      </c>
    </row>
    <row r="3772" spans="1:3" x14ac:dyDescent="0.15">
      <c r="A3772" s="203">
        <v>37043</v>
      </c>
      <c r="B3772" s="202">
        <v>1.0013408392913644E-2</v>
      </c>
      <c r="C3772" s="194" t="s">
        <v>1</v>
      </c>
    </row>
    <row r="3773" spans="1:3" x14ac:dyDescent="0.15">
      <c r="A3773" s="203">
        <v>37074</v>
      </c>
      <c r="B3773" s="202">
        <v>1.0029070978694026E-2</v>
      </c>
      <c r="C3773" s="194" t="s">
        <v>1</v>
      </c>
    </row>
    <row r="3774" spans="1:3" x14ac:dyDescent="0.15">
      <c r="A3774" s="203">
        <v>37075</v>
      </c>
      <c r="B3774" s="202">
        <v>1.0030134127726556E-2</v>
      </c>
      <c r="C3774" s="194" t="s">
        <v>1</v>
      </c>
    </row>
    <row r="3775" spans="1:3" x14ac:dyDescent="0.15">
      <c r="A3775" s="203">
        <v>37076</v>
      </c>
      <c r="B3775" s="202">
        <v>1.0031197389460041E-2</v>
      </c>
      <c r="C3775" s="194" t="s">
        <v>1</v>
      </c>
    </row>
    <row r="3776" spans="1:3" x14ac:dyDescent="0.15">
      <c r="A3776" s="203">
        <v>37077</v>
      </c>
      <c r="B3776" s="202">
        <v>1.0032260763906427E-2</v>
      </c>
      <c r="C3776" s="194" t="s">
        <v>1</v>
      </c>
    </row>
    <row r="3777" spans="1:3" x14ac:dyDescent="0.15">
      <c r="A3777" s="203">
        <v>37078</v>
      </c>
      <c r="B3777" s="202">
        <v>1.0033324251077662E-2</v>
      </c>
      <c r="C3777" s="194" t="s">
        <v>1</v>
      </c>
    </row>
    <row r="3778" spans="1:3" x14ac:dyDescent="0.15">
      <c r="A3778" s="203">
        <v>37079</v>
      </c>
      <c r="B3778" s="202">
        <v>1.0033324251077662E-2</v>
      </c>
      <c r="C3778" s="194" t="s">
        <v>1</v>
      </c>
    </row>
    <row r="3779" spans="1:3" x14ac:dyDescent="0.15">
      <c r="A3779" s="203">
        <v>37080</v>
      </c>
      <c r="B3779" s="202">
        <v>1.0033324251077662E-2</v>
      </c>
      <c r="C3779" s="194" t="s">
        <v>1</v>
      </c>
    </row>
    <row r="3780" spans="1:3" x14ac:dyDescent="0.15">
      <c r="A3780" s="203">
        <v>37081</v>
      </c>
      <c r="B3780" s="202">
        <v>1.0034387850985696E-2</v>
      </c>
      <c r="C3780" s="194" t="s">
        <v>1</v>
      </c>
    </row>
    <row r="3781" spans="1:3" x14ac:dyDescent="0.15">
      <c r="A3781" s="203">
        <v>37082</v>
      </c>
      <c r="B3781" s="202">
        <v>1.0035451563642479E-2</v>
      </c>
      <c r="C3781" s="194" t="s">
        <v>1</v>
      </c>
    </row>
    <row r="3782" spans="1:3" x14ac:dyDescent="0.15">
      <c r="A3782" s="203">
        <v>37083</v>
      </c>
      <c r="B3782" s="202">
        <v>1.0036515389059964E-2</v>
      </c>
      <c r="C3782" s="194" t="s">
        <v>1</v>
      </c>
    </row>
    <row r="3783" spans="1:3" x14ac:dyDescent="0.15">
      <c r="A3783" s="203">
        <v>37084</v>
      </c>
      <c r="B3783" s="202">
        <v>1.0037579327250105E-2</v>
      </c>
      <c r="C3783" s="194" t="s">
        <v>1</v>
      </c>
    </row>
    <row r="3784" spans="1:3" x14ac:dyDescent="0.15">
      <c r="A3784" s="203">
        <v>37085</v>
      </c>
      <c r="B3784" s="202">
        <v>1.0038643378224856E-2</v>
      </c>
      <c r="C3784" s="194" t="s">
        <v>1</v>
      </c>
    </row>
    <row r="3785" spans="1:3" x14ac:dyDescent="0.15">
      <c r="A3785" s="203">
        <v>37086</v>
      </c>
      <c r="B3785" s="202">
        <v>1.0038643378224856E-2</v>
      </c>
      <c r="C3785" s="194" t="s">
        <v>1</v>
      </c>
    </row>
    <row r="3786" spans="1:3" x14ac:dyDescent="0.15">
      <c r="A3786" s="203">
        <v>37087</v>
      </c>
      <c r="B3786" s="202">
        <v>1.0038643378224856E-2</v>
      </c>
      <c r="C3786" s="194" t="s">
        <v>1</v>
      </c>
    </row>
    <row r="3787" spans="1:3" x14ac:dyDescent="0.15">
      <c r="A3787" s="203">
        <v>37088</v>
      </c>
      <c r="B3787" s="202">
        <v>1.0039707541996172E-2</v>
      </c>
      <c r="C3787" s="194" t="s">
        <v>1</v>
      </c>
    </row>
    <row r="3788" spans="1:3" x14ac:dyDescent="0.15">
      <c r="A3788" s="203">
        <v>37089</v>
      </c>
      <c r="B3788" s="202">
        <v>1.0040771818576011E-2</v>
      </c>
      <c r="C3788" s="194" t="s">
        <v>1</v>
      </c>
    </row>
    <row r="3789" spans="1:3" x14ac:dyDescent="0.15">
      <c r="A3789" s="203">
        <v>37090</v>
      </c>
      <c r="B3789" s="202">
        <v>1.0041836207976331E-2</v>
      </c>
      <c r="C3789" s="194" t="s">
        <v>1</v>
      </c>
    </row>
    <row r="3790" spans="1:3" x14ac:dyDescent="0.15">
      <c r="A3790" s="203">
        <v>37091</v>
      </c>
      <c r="B3790" s="202">
        <v>1.0042900710209092E-2</v>
      </c>
      <c r="C3790" s="194" t="s">
        <v>1</v>
      </c>
    </row>
    <row r="3791" spans="1:3" x14ac:dyDescent="0.15">
      <c r="A3791" s="203">
        <v>37092</v>
      </c>
      <c r="B3791" s="202">
        <v>1.0043965325286255E-2</v>
      </c>
      <c r="C3791" s="194" t="s">
        <v>1</v>
      </c>
    </row>
    <row r="3792" spans="1:3" x14ac:dyDescent="0.15">
      <c r="A3792" s="203">
        <v>37093</v>
      </c>
      <c r="B3792" s="202">
        <v>1.0043965325286255E-2</v>
      </c>
      <c r="C3792" s="194" t="s">
        <v>1</v>
      </c>
    </row>
    <row r="3793" spans="1:3" x14ac:dyDescent="0.15">
      <c r="A3793" s="203">
        <v>37094</v>
      </c>
      <c r="B3793" s="202">
        <v>1.0043965325286255E-2</v>
      </c>
      <c r="C3793" s="194" t="s">
        <v>1</v>
      </c>
    </row>
    <row r="3794" spans="1:3" x14ac:dyDescent="0.15">
      <c r="A3794" s="203">
        <v>37095</v>
      </c>
      <c r="B3794" s="202">
        <v>1.0045030053219783E-2</v>
      </c>
      <c r="C3794" s="194" t="s">
        <v>1</v>
      </c>
    </row>
    <row r="3795" spans="1:3" x14ac:dyDescent="0.15">
      <c r="A3795" s="203">
        <v>37096</v>
      </c>
      <c r="B3795" s="202">
        <v>1.0046094894021638E-2</v>
      </c>
      <c r="C3795" s="194" t="s">
        <v>1</v>
      </c>
    </row>
    <row r="3796" spans="1:3" x14ac:dyDescent="0.15">
      <c r="A3796" s="203">
        <v>37097</v>
      </c>
      <c r="B3796" s="202">
        <v>1.0047159847703787E-2</v>
      </c>
      <c r="C3796" s="194" t="s">
        <v>1</v>
      </c>
    </row>
    <row r="3797" spans="1:3" x14ac:dyDescent="0.15">
      <c r="A3797" s="203">
        <v>37098</v>
      </c>
      <c r="B3797" s="202">
        <v>1.0048224914278195E-2</v>
      </c>
      <c r="C3797" s="194" t="s">
        <v>1</v>
      </c>
    </row>
    <row r="3798" spans="1:3" x14ac:dyDescent="0.15">
      <c r="A3798" s="203">
        <v>37099</v>
      </c>
      <c r="B3798" s="202">
        <v>1.0049290093756828E-2</v>
      </c>
      <c r="C3798" s="194" t="s">
        <v>1</v>
      </c>
    </row>
    <row r="3799" spans="1:3" x14ac:dyDescent="0.15">
      <c r="A3799" s="203">
        <v>37100</v>
      </c>
      <c r="B3799" s="202">
        <v>1.0049290093756828E-2</v>
      </c>
      <c r="C3799" s="194" t="s">
        <v>1</v>
      </c>
    </row>
    <row r="3800" spans="1:3" x14ac:dyDescent="0.15">
      <c r="A3800" s="203">
        <v>37101</v>
      </c>
      <c r="B3800" s="202">
        <v>1.0049290093756828E-2</v>
      </c>
      <c r="C3800" s="194" t="s">
        <v>1</v>
      </c>
    </row>
    <row r="3801" spans="1:3" x14ac:dyDescent="0.15">
      <c r="A3801" s="203">
        <v>37102</v>
      </c>
      <c r="B3801" s="202">
        <v>1.0050355386151656E-2</v>
      </c>
      <c r="C3801" s="194" t="s">
        <v>1</v>
      </c>
    </row>
    <row r="3802" spans="1:3" x14ac:dyDescent="0.15">
      <c r="A3802" s="203">
        <v>37103</v>
      </c>
      <c r="B3802" s="202">
        <v>1.005142079147465E-2</v>
      </c>
      <c r="C3802" s="194" t="s">
        <v>1</v>
      </c>
    </row>
    <row r="3803" spans="1:3" x14ac:dyDescent="0.15">
      <c r="A3803" s="203">
        <v>37104</v>
      </c>
      <c r="B3803" s="202">
        <v>1.0052486309737778E-2</v>
      </c>
      <c r="C3803" s="194" t="s">
        <v>1</v>
      </c>
    </row>
    <row r="3804" spans="1:3" x14ac:dyDescent="0.15">
      <c r="A3804" s="203">
        <v>37105</v>
      </c>
      <c r="B3804" s="202">
        <v>1.0054053756393155E-2</v>
      </c>
      <c r="C3804" s="194" t="s">
        <v>1</v>
      </c>
    </row>
    <row r="3805" spans="1:3" x14ac:dyDescent="0.15">
      <c r="A3805" s="203">
        <v>37106</v>
      </c>
      <c r="B3805" s="202">
        <v>1.0055621447454637E-2</v>
      </c>
      <c r="C3805" s="194" t="s">
        <v>1</v>
      </c>
    </row>
    <row r="3806" spans="1:3" x14ac:dyDescent="0.15">
      <c r="A3806" s="203">
        <v>37107</v>
      </c>
      <c r="B3806" s="202">
        <v>1.0055621447454637E-2</v>
      </c>
      <c r="C3806" s="194" t="s">
        <v>1</v>
      </c>
    </row>
    <row r="3807" spans="1:3" x14ac:dyDescent="0.15">
      <c r="A3807" s="203">
        <v>37108</v>
      </c>
      <c r="B3807" s="202">
        <v>1.0055621447454637E-2</v>
      </c>
      <c r="C3807" s="194" t="s">
        <v>1</v>
      </c>
    </row>
    <row r="3808" spans="1:3" x14ac:dyDescent="0.15">
      <c r="A3808" s="203">
        <v>37109</v>
      </c>
      <c r="B3808" s="202">
        <v>1.0057189382960331E-2</v>
      </c>
      <c r="C3808" s="194" t="s">
        <v>1</v>
      </c>
    </row>
    <row r="3809" spans="1:3" x14ac:dyDescent="0.15">
      <c r="A3809" s="203">
        <v>37110</v>
      </c>
      <c r="B3809" s="202">
        <v>1.0058757562948354E-2</v>
      </c>
      <c r="C3809" s="194" t="s">
        <v>1</v>
      </c>
    </row>
    <row r="3810" spans="1:3" x14ac:dyDescent="0.15">
      <c r="A3810" s="203">
        <v>37111</v>
      </c>
      <c r="B3810" s="202">
        <v>1.0060325987456828E-2</v>
      </c>
      <c r="C3810" s="194" t="s">
        <v>1</v>
      </c>
    </row>
    <row r="3811" spans="1:3" x14ac:dyDescent="0.15">
      <c r="A3811" s="203">
        <v>37112</v>
      </c>
      <c r="B3811" s="202">
        <v>1.0061894656523879E-2</v>
      </c>
      <c r="C3811" s="194" t="s">
        <v>1</v>
      </c>
    </row>
    <row r="3812" spans="1:3" x14ac:dyDescent="0.15">
      <c r="A3812" s="203">
        <v>37113</v>
      </c>
      <c r="B3812" s="202">
        <v>1.006346357018764E-2</v>
      </c>
      <c r="C3812" s="194" t="s">
        <v>1</v>
      </c>
    </row>
    <row r="3813" spans="1:3" x14ac:dyDescent="0.15">
      <c r="A3813" s="203">
        <v>37114</v>
      </c>
      <c r="B3813" s="202">
        <v>1.006346357018764E-2</v>
      </c>
      <c r="C3813" s="194" t="s">
        <v>1</v>
      </c>
    </row>
    <row r="3814" spans="1:3" x14ac:dyDescent="0.15">
      <c r="A3814" s="203">
        <v>37115</v>
      </c>
      <c r="B3814" s="202">
        <v>1.006346357018764E-2</v>
      </c>
      <c r="C3814" s="194" t="s">
        <v>1</v>
      </c>
    </row>
    <row r="3815" spans="1:3" x14ac:dyDescent="0.15">
      <c r="A3815" s="203">
        <v>37116</v>
      </c>
      <c r="B3815" s="202">
        <v>1.006503272848625E-2</v>
      </c>
      <c r="C3815" s="194" t="s">
        <v>1</v>
      </c>
    </row>
    <row r="3816" spans="1:3" x14ac:dyDescent="0.15">
      <c r="A3816" s="203">
        <v>37117</v>
      </c>
      <c r="B3816" s="202">
        <v>1.0066602131457856E-2</v>
      </c>
      <c r="C3816" s="194" t="s">
        <v>1</v>
      </c>
    </row>
    <row r="3817" spans="1:3" x14ac:dyDescent="0.15">
      <c r="A3817" s="203">
        <v>37118</v>
      </c>
      <c r="B3817" s="202">
        <v>1.0068171779140607E-2</v>
      </c>
      <c r="C3817" s="194" t="s">
        <v>1</v>
      </c>
    </row>
    <row r="3818" spans="1:3" x14ac:dyDescent="0.15">
      <c r="A3818" s="203">
        <v>37119</v>
      </c>
      <c r="B3818" s="202">
        <v>1.0069741671572659E-2</v>
      </c>
      <c r="C3818" s="194" t="s">
        <v>1</v>
      </c>
    </row>
    <row r="3819" spans="1:3" x14ac:dyDescent="0.15">
      <c r="A3819" s="203">
        <v>37120</v>
      </c>
      <c r="B3819" s="202">
        <v>1.0071311808792177E-2</v>
      </c>
      <c r="C3819" s="194" t="s">
        <v>1</v>
      </c>
    </row>
    <row r="3820" spans="1:3" x14ac:dyDescent="0.15">
      <c r="A3820" s="203">
        <v>37121</v>
      </c>
      <c r="B3820" s="202">
        <v>1.0071311808792177E-2</v>
      </c>
      <c r="C3820" s="194" t="s">
        <v>1</v>
      </c>
    </row>
    <row r="3821" spans="1:3" x14ac:dyDescent="0.15">
      <c r="A3821" s="203">
        <v>37122</v>
      </c>
      <c r="B3821" s="202">
        <v>1.0071311808792177E-2</v>
      </c>
      <c r="C3821" s="194" t="s">
        <v>1</v>
      </c>
    </row>
    <row r="3822" spans="1:3" x14ac:dyDescent="0.15">
      <c r="A3822" s="203">
        <v>37123</v>
      </c>
      <c r="B3822" s="202">
        <v>1.0072882190837329E-2</v>
      </c>
      <c r="C3822" s="194" t="s">
        <v>1</v>
      </c>
    </row>
    <row r="3823" spans="1:3" x14ac:dyDescent="0.15">
      <c r="A3823" s="203">
        <v>37124</v>
      </c>
      <c r="B3823" s="202">
        <v>1.0074452817746288E-2</v>
      </c>
      <c r="C3823" s="194" t="s">
        <v>1</v>
      </c>
    </row>
    <row r="3824" spans="1:3" x14ac:dyDescent="0.15">
      <c r="A3824" s="203">
        <v>37125</v>
      </c>
      <c r="B3824" s="202">
        <v>1.0076023689557238E-2</v>
      </c>
      <c r="C3824" s="194" t="s">
        <v>1</v>
      </c>
    </row>
    <row r="3825" spans="1:3" x14ac:dyDescent="0.15">
      <c r="A3825" s="203">
        <v>37126</v>
      </c>
      <c r="B3825" s="202">
        <v>1.0077594806308363E-2</v>
      </c>
      <c r="C3825" s="194" t="s">
        <v>1</v>
      </c>
    </row>
    <row r="3826" spans="1:3" x14ac:dyDescent="0.15">
      <c r="A3826" s="203">
        <v>37127</v>
      </c>
      <c r="B3826" s="202">
        <v>1.0079166168037857E-2</v>
      </c>
      <c r="C3826" s="194" t="s">
        <v>1</v>
      </c>
    </row>
    <row r="3827" spans="1:3" x14ac:dyDescent="0.15">
      <c r="A3827" s="203">
        <v>37128</v>
      </c>
      <c r="B3827" s="202">
        <v>1.0079166168037857E-2</v>
      </c>
      <c r="C3827" s="194" t="s">
        <v>1</v>
      </c>
    </row>
    <row r="3828" spans="1:3" x14ac:dyDescent="0.15">
      <c r="A3828" s="203">
        <v>37129</v>
      </c>
      <c r="B3828" s="202">
        <v>1.0079166168037857E-2</v>
      </c>
      <c r="C3828" s="194" t="s">
        <v>1</v>
      </c>
    </row>
    <row r="3829" spans="1:3" x14ac:dyDescent="0.15">
      <c r="A3829" s="203">
        <v>37130</v>
      </c>
      <c r="B3829" s="202">
        <v>1.0080737774783919E-2</v>
      </c>
      <c r="C3829" s="194" t="s">
        <v>1</v>
      </c>
    </row>
    <row r="3830" spans="1:3" x14ac:dyDescent="0.15">
      <c r="A3830" s="203">
        <v>37131</v>
      </c>
      <c r="B3830" s="202">
        <v>1.0082309626584752E-2</v>
      </c>
      <c r="C3830" s="194" t="s">
        <v>1</v>
      </c>
    </row>
    <row r="3831" spans="1:3" x14ac:dyDescent="0.15">
      <c r="A3831" s="203">
        <v>37132</v>
      </c>
      <c r="B3831" s="202">
        <v>1.0083881723478568E-2</v>
      </c>
      <c r="C3831" s="194" t="s">
        <v>1</v>
      </c>
    </row>
    <row r="3832" spans="1:3" x14ac:dyDescent="0.15">
      <c r="A3832" s="203">
        <v>37133</v>
      </c>
      <c r="B3832" s="202">
        <v>1.0085454065503582E-2</v>
      </c>
      <c r="C3832" s="194" t="s">
        <v>1</v>
      </c>
    </row>
    <row r="3833" spans="1:3" x14ac:dyDescent="0.15">
      <c r="A3833" s="203">
        <v>37134</v>
      </c>
      <c r="B3833" s="202">
        <v>1.0087026652698018E-2</v>
      </c>
      <c r="C3833" s="194" t="s">
        <v>1</v>
      </c>
    </row>
    <row r="3834" spans="1:3" x14ac:dyDescent="0.15">
      <c r="A3834" s="203">
        <v>37135</v>
      </c>
      <c r="B3834" s="202">
        <v>1.0087026652698018E-2</v>
      </c>
      <c r="C3834" s="194" t="s">
        <v>1</v>
      </c>
    </row>
    <row r="3835" spans="1:3" x14ac:dyDescent="0.15">
      <c r="A3835" s="203">
        <v>37136</v>
      </c>
      <c r="B3835" s="202">
        <v>1.0087026652698018E-2</v>
      </c>
      <c r="C3835" s="194" t="s">
        <v>1</v>
      </c>
    </row>
    <row r="3836" spans="1:3" x14ac:dyDescent="0.15">
      <c r="A3836" s="203">
        <v>37137</v>
      </c>
      <c r="B3836" s="202">
        <v>1.0087846598821629E-2</v>
      </c>
      <c r="C3836" s="194" t="s">
        <v>1</v>
      </c>
    </row>
    <row r="3837" spans="1:3" x14ac:dyDescent="0.15">
      <c r="A3837" s="203">
        <v>37138</v>
      </c>
      <c r="B3837" s="202">
        <v>1.0088666611596362E-2</v>
      </c>
      <c r="C3837" s="194" t="s">
        <v>1</v>
      </c>
    </row>
    <row r="3838" spans="1:3" x14ac:dyDescent="0.15">
      <c r="A3838" s="203">
        <v>37139</v>
      </c>
      <c r="B3838" s="202">
        <v>1.0089486691027636E-2</v>
      </c>
      <c r="C3838" s="194" t="s">
        <v>1</v>
      </c>
    </row>
    <row r="3839" spans="1:3" x14ac:dyDescent="0.15">
      <c r="A3839" s="203">
        <v>37140</v>
      </c>
      <c r="B3839" s="202">
        <v>1.0090306837120868E-2</v>
      </c>
      <c r="C3839" s="194" t="s">
        <v>1</v>
      </c>
    </row>
    <row r="3840" spans="1:3" x14ac:dyDescent="0.15">
      <c r="A3840" s="203">
        <v>37141</v>
      </c>
      <c r="B3840" s="202">
        <v>1.0090306837120868E-2</v>
      </c>
      <c r="C3840" s="194" t="s">
        <v>1</v>
      </c>
    </row>
    <row r="3841" spans="1:3" x14ac:dyDescent="0.15">
      <c r="A3841" s="203">
        <v>37142</v>
      </c>
      <c r="B3841" s="202">
        <v>1.0090306837120868E-2</v>
      </c>
      <c r="C3841" s="194" t="s">
        <v>1</v>
      </c>
    </row>
    <row r="3842" spans="1:3" x14ac:dyDescent="0.15">
      <c r="A3842" s="203">
        <v>37143</v>
      </c>
      <c r="B3842" s="202">
        <v>1.0090306837120868E-2</v>
      </c>
      <c r="C3842" s="194" t="s">
        <v>1</v>
      </c>
    </row>
    <row r="3843" spans="1:3" x14ac:dyDescent="0.15">
      <c r="A3843" s="203">
        <v>37144</v>
      </c>
      <c r="B3843" s="202">
        <v>1.0091127049881478E-2</v>
      </c>
      <c r="C3843" s="194" t="s">
        <v>1</v>
      </c>
    </row>
    <row r="3844" spans="1:3" x14ac:dyDescent="0.15">
      <c r="A3844" s="203">
        <v>37145</v>
      </c>
      <c r="B3844" s="202">
        <v>1.0091947329314883E-2</v>
      </c>
      <c r="C3844" s="194" t="s">
        <v>1</v>
      </c>
    </row>
    <row r="3845" spans="1:3" x14ac:dyDescent="0.15">
      <c r="A3845" s="203">
        <v>37146</v>
      </c>
      <c r="B3845" s="202">
        <v>1.0092767675426504E-2</v>
      </c>
      <c r="C3845" s="194" t="s">
        <v>1</v>
      </c>
    </row>
    <row r="3846" spans="1:3" x14ac:dyDescent="0.15">
      <c r="A3846" s="203">
        <v>37147</v>
      </c>
      <c r="B3846" s="202">
        <v>1.009358808822176E-2</v>
      </c>
      <c r="C3846" s="194" t="s">
        <v>1</v>
      </c>
    </row>
    <row r="3847" spans="1:3" x14ac:dyDescent="0.15">
      <c r="A3847" s="203">
        <v>37148</v>
      </c>
      <c r="B3847" s="202">
        <v>1.0094408567706074E-2</v>
      </c>
      <c r="C3847" s="194" t="s">
        <v>1</v>
      </c>
    </row>
    <row r="3848" spans="1:3" x14ac:dyDescent="0.15">
      <c r="A3848" s="203">
        <v>37149</v>
      </c>
      <c r="B3848" s="202">
        <v>1.0094408567706074E-2</v>
      </c>
      <c r="C3848" s="194" t="s">
        <v>1</v>
      </c>
    </row>
    <row r="3849" spans="1:3" x14ac:dyDescent="0.15">
      <c r="A3849" s="203">
        <v>37150</v>
      </c>
      <c r="B3849" s="202">
        <v>1.0094408567706074E-2</v>
      </c>
      <c r="C3849" s="194" t="s">
        <v>1</v>
      </c>
    </row>
    <row r="3850" spans="1:3" x14ac:dyDescent="0.15">
      <c r="A3850" s="203">
        <v>37151</v>
      </c>
      <c r="B3850" s="202">
        <v>1.0095229113884866E-2</v>
      </c>
      <c r="C3850" s="194" t="s">
        <v>1</v>
      </c>
    </row>
    <row r="3851" spans="1:3" x14ac:dyDescent="0.15">
      <c r="A3851" s="203">
        <v>37152</v>
      </c>
      <c r="B3851" s="202">
        <v>1.0096049726763557E-2</v>
      </c>
      <c r="C3851" s="194" t="s">
        <v>1</v>
      </c>
    </row>
    <row r="3852" spans="1:3" x14ac:dyDescent="0.15">
      <c r="A3852" s="203">
        <v>37153</v>
      </c>
      <c r="B3852" s="202">
        <v>1.0096870406347568E-2</v>
      </c>
      <c r="C3852" s="194" t="s">
        <v>1</v>
      </c>
    </row>
    <row r="3853" spans="1:3" x14ac:dyDescent="0.15">
      <c r="A3853" s="203">
        <v>37154</v>
      </c>
      <c r="B3853" s="202">
        <v>1.0097691152642321E-2</v>
      </c>
      <c r="C3853" s="194" t="s">
        <v>1</v>
      </c>
    </row>
    <row r="3854" spans="1:3" x14ac:dyDescent="0.15">
      <c r="A3854" s="203">
        <v>37155</v>
      </c>
      <c r="B3854" s="202">
        <v>1.0098511965653242E-2</v>
      </c>
      <c r="C3854" s="194" t="s">
        <v>1</v>
      </c>
    </row>
    <row r="3855" spans="1:3" x14ac:dyDescent="0.15">
      <c r="A3855" s="203">
        <v>37156</v>
      </c>
      <c r="B3855" s="202">
        <v>1.0098511965653242E-2</v>
      </c>
      <c r="C3855" s="194" t="s">
        <v>1</v>
      </c>
    </row>
    <row r="3856" spans="1:3" x14ac:dyDescent="0.15">
      <c r="A3856" s="203">
        <v>37157</v>
      </c>
      <c r="B3856" s="202">
        <v>1.0098511965653242E-2</v>
      </c>
      <c r="C3856" s="194" t="s">
        <v>1</v>
      </c>
    </row>
    <row r="3857" spans="1:3" x14ac:dyDescent="0.15">
      <c r="A3857" s="203">
        <v>37158</v>
      </c>
      <c r="B3857" s="202">
        <v>1.0099332845385752E-2</v>
      </c>
      <c r="C3857" s="194" t="s">
        <v>1</v>
      </c>
    </row>
    <row r="3858" spans="1:3" x14ac:dyDescent="0.15">
      <c r="A3858" s="203">
        <v>37159</v>
      </c>
      <c r="B3858" s="202">
        <v>1.0100153791845274E-2</v>
      </c>
      <c r="C3858" s="194" t="s">
        <v>1</v>
      </c>
    </row>
    <row r="3859" spans="1:3" x14ac:dyDescent="0.15">
      <c r="A3859" s="203">
        <v>37160</v>
      </c>
      <c r="B3859" s="202">
        <v>1.0100974805037232E-2</v>
      </c>
      <c r="C3859" s="194" t="s">
        <v>1</v>
      </c>
    </row>
    <row r="3860" spans="1:3" x14ac:dyDescent="0.15">
      <c r="A3860" s="203">
        <v>37161</v>
      </c>
      <c r="B3860" s="202">
        <v>1.0101795884967051E-2</v>
      </c>
      <c r="C3860" s="194" t="s">
        <v>1</v>
      </c>
    </row>
    <row r="3861" spans="1:3" x14ac:dyDescent="0.15">
      <c r="A3861" s="203">
        <v>37162</v>
      </c>
      <c r="B3861" s="202">
        <v>1.0102617031640157E-2</v>
      </c>
      <c r="C3861" s="194" t="s">
        <v>1</v>
      </c>
    </row>
    <row r="3862" spans="1:3" x14ac:dyDescent="0.15">
      <c r="A3862" s="203">
        <v>37163</v>
      </c>
      <c r="B3862" s="202">
        <v>1.0102617031640157E-2</v>
      </c>
      <c r="C3862" s="194" t="s">
        <v>1</v>
      </c>
    </row>
    <row r="3863" spans="1:3" x14ac:dyDescent="0.15">
      <c r="A3863" s="203">
        <v>37164</v>
      </c>
      <c r="B3863" s="202">
        <v>1.0102617031640157E-2</v>
      </c>
      <c r="C3863" s="194" t="s">
        <v>1</v>
      </c>
    </row>
    <row r="3864" spans="1:3" x14ac:dyDescent="0.15">
      <c r="A3864" s="203">
        <v>37165</v>
      </c>
      <c r="B3864" s="202">
        <v>1.0103438245061973E-2</v>
      </c>
      <c r="C3864" s="194" t="s">
        <v>1</v>
      </c>
    </row>
    <row r="3865" spans="1:3" x14ac:dyDescent="0.15">
      <c r="A3865" s="203">
        <v>37166</v>
      </c>
      <c r="B3865" s="202">
        <v>1.0104774175738067E-2</v>
      </c>
      <c r="C3865" s="194" t="s">
        <v>1</v>
      </c>
    </row>
    <row r="3866" spans="1:3" x14ac:dyDescent="0.15">
      <c r="A3866" s="203">
        <v>37167</v>
      </c>
      <c r="B3866" s="202">
        <v>1.0106110283058063E-2</v>
      </c>
      <c r="C3866" s="194" t="s">
        <v>1</v>
      </c>
    </row>
    <row r="3867" spans="1:3" x14ac:dyDescent="0.15">
      <c r="A3867" s="203">
        <v>37168</v>
      </c>
      <c r="B3867" s="202">
        <v>1.010744656704532E-2</v>
      </c>
      <c r="C3867" s="194" t="s">
        <v>1</v>
      </c>
    </row>
    <row r="3868" spans="1:3" x14ac:dyDescent="0.15">
      <c r="A3868" s="203">
        <v>37169</v>
      </c>
      <c r="B3868" s="202">
        <v>1.0108783027723197E-2</v>
      </c>
      <c r="C3868" s="194" t="s">
        <v>1</v>
      </c>
    </row>
    <row r="3869" spans="1:3" x14ac:dyDescent="0.15">
      <c r="A3869" s="203">
        <v>37170</v>
      </c>
      <c r="B3869" s="202">
        <v>1.0108783027723197E-2</v>
      </c>
      <c r="C3869" s="194" t="s">
        <v>1</v>
      </c>
    </row>
    <row r="3870" spans="1:3" x14ac:dyDescent="0.15">
      <c r="A3870" s="203">
        <v>37171</v>
      </c>
      <c r="B3870" s="202">
        <v>1.0108783027723197E-2</v>
      </c>
      <c r="C3870" s="194" t="s">
        <v>1</v>
      </c>
    </row>
    <row r="3871" spans="1:3" x14ac:dyDescent="0.15">
      <c r="A3871" s="203">
        <v>37172</v>
      </c>
      <c r="B3871" s="202">
        <v>1.0110119665115058E-2</v>
      </c>
      <c r="C3871" s="194" t="s">
        <v>1</v>
      </c>
    </row>
    <row r="3872" spans="1:3" x14ac:dyDescent="0.15">
      <c r="A3872" s="203">
        <v>37173</v>
      </c>
      <c r="B3872" s="202">
        <v>1.0111456479244267E-2</v>
      </c>
      <c r="C3872" s="194" t="s">
        <v>1</v>
      </c>
    </row>
    <row r="3873" spans="1:3" x14ac:dyDescent="0.15">
      <c r="A3873" s="203">
        <v>37174</v>
      </c>
      <c r="B3873" s="202">
        <v>1.0112793470134196E-2</v>
      </c>
      <c r="C3873" s="194" t="s">
        <v>1</v>
      </c>
    </row>
    <row r="3874" spans="1:3" x14ac:dyDescent="0.15">
      <c r="A3874" s="203">
        <v>37175</v>
      </c>
      <c r="B3874" s="202">
        <v>1.0114130637808215E-2</v>
      </c>
      <c r="C3874" s="194" t="s">
        <v>1</v>
      </c>
    </row>
    <row r="3875" spans="1:3" x14ac:dyDescent="0.15">
      <c r="A3875" s="203">
        <v>37176</v>
      </c>
      <c r="B3875" s="202">
        <v>1.0114130637808215E-2</v>
      </c>
      <c r="C3875" s="194" t="s">
        <v>1</v>
      </c>
    </row>
    <row r="3876" spans="1:3" x14ac:dyDescent="0.15">
      <c r="A3876" s="203">
        <v>37177</v>
      </c>
      <c r="B3876" s="202">
        <v>1.0114130637808215E-2</v>
      </c>
      <c r="C3876" s="194" t="s">
        <v>1</v>
      </c>
    </row>
    <row r="3877" spans="1:3" x14ac:dyDescent="0.15">
      <c r="A3877" s="203">
        <v>37178</v>
      </c>
      <c r="B3877" s="202">
        <v>1.0114130637808215E-2</v>
      </c>
      <c r="C3877" s="194" t="s">
        <v>1</v>
      </c>
    </row>
    <row r="3878" spans="1:3" x14ac:dyDescent="0.15">
      <c r="A3878" s="203">
        <v>37179</v>
      </c>
      <c r="B3878" s="202">
        <v>1.01154679822897E-2</v>
      </c>
      <c r="C3878" s="194" t="s">
        <v>1</v>
      </c>
    </row>
    <row r="3879" spans="1:3" x14ac:dyDescent="0.15">
      <c r="A3879" s="203">
        <v>37180</v>
      </c>
      <c r="B3879" s="202">
        <v>1.0116805503602029E-2</v>
      </c>
      <c r="C3879" s="194" t="s">
        <v>1</v>
      </c>
    </row>
    <row r="3880" spans="1:3" x14ac:dyDescent="0.15">
      <c r="A3880" s="203">
        <v>37181</v>
      </c>
      <c r="B3880" s="202">
        <v>1.0118143201768586E-2</v>
      </c>
      <c r="C3880" s="194" t="s">
        <v>1</v>
      </c>
    </row>
    <row r="3881" spans="1:3" x14ac:dyDescent="0.15">
      <c r="A3881" s="203">
        <v>37182</v>
      </c>
      <c r="B3881" s="202">
        <v>1.0119481076812752E-2</v>
      </c>
      <c r="C3881" s="194" t="s">
        <v>1</v>
      </c>
    </row>
    <row r="3882" spans="1:3" x14ac:dyDescent="0.15">
      <c r="A3882" s="203">
        <v>37183</v>
      </c>
      <c r="B3882" s="202">
        <v>1.0120819128757917E-2</v>
      </c>
      <c r="C3882" s="194" t="s">
        <v>1</v>
      </c>
    </row>
    <row r="3883" spans="1:3" x14ac:dyDescent="0.15">
      <c r="A3883" s="203">
        <v>37184</v>
      </c>
      <c r="B3883" s="202">
        <v>1.0120819128757917E-2</v>
      </c>
      <c r="C3883" s="194" t="s">
        <v>1</v>
      </c>
    </row>
    <row r="3884" spans="1:3" x14ac:dyDescent="0.15">
      <c r="A3884" s="203">
        <v>37185</v>
      </c>
      <c r="B3884" s="202">
        <v>1.0120819128757917E-2</v>
      </c>
      <c r="C3884" s="194" t="s">
        <v>1</v>
      </c>
    </row>
    <row r="3885" spans="1:3" x14ac:dyDescent="0.15">
      <c r="A3885" s="203">
        <v>37186</v>
      </c>
      <c r="B3885" s="202">
        <v>1.0122157357627471E-2</v>
      </c>
      <c r="C3885" s="194" t="s">
        <v>1</v>
      </c>
    </row>
    <row r="3886" spans="1:3" x14ac:dyDescent="0.15">
      <c r="A3886" s="203">
        <v>37187</v>
      </c>
      <c r="B3886" s="202">
        <v>1.0123495763444807E-2</v>
      </c>
      <c r="C3886" s="194" t="s">
        <v>1</v>
      </c>
    </row>
    <row r="3887" spans="1:3" x14ac:dyDescent="0.15">
      <c r="A3887" s="203">
        <v>37188</v>
      </c>
      <c r="B3887" s="202">
        <v>1.0124834346233324E-2</v>
      </c>
      <c r="C3887" s="194" t="s">
        <v>1</v>
      </c>
    </row>
    <row r="3888" spans="1:3" x14ac:dyDescent="0.15">
      <c r="A3888" s="203">
        <v>37189</v>
      </c>
      <c r="B3888" s="202">
        <v>1.0126173106016422E-2</v>
      </c>
      <c r="C3888" s="194" t="s">
        <v>1</v>
      </c>
    </row>
    <row r="3889" spans="1:3" x14ac:dyDescent="0.15">
      <c r="A3889" s="203">
        <v>37190</v>
      </c>
      <c r="B3889" s="202">
        <v>1.0127512042817501E-2</v>
      </c>
      <c r="C3889" s="194" t="s">
        <v>1</v>
      </c>
    </row>
    <row r="3890" spans="1:3" x14ac:dyDescent="0.15">
      <c r="A3890" s="203">
        <v>37191</v>
      </c>
      <c r="B3890" s="202">
        <v>1.0127512042817501E-2</v>
      </c>
      <c r="C3890" s="194" t="s">
        <v>1</v>
      </c>
    </row>
    <row r="3891" spans="1:3" x14ac:dyDescent="0.15">
      <c r="A3891" s="203">
        <v>37192</v>
      </c>
      <c r="B3891" s="202">
        <v>1.0127512042817501E-2</v>
      </c>
      <c r="C3891" s="194" t="s">
        <v>1</v>
      </c>
    </row>
    <row r="3892" spans="1:3" x14ac:dyDescent="0.15">
      <c r="A3892" s="203">
        <v>37193</v>
      </c>
      <c r="B3892" s="202">
        <v>1.0128851156659971E-2</v>
      </c>
      <c r="C3892" s="194" t="s">
        <v>1</v>
      </c>
    </row>
    <row r="3893" spans="1:3" x14ac:dyDescent="0.15">
      <c r="A3893" s="203">
        <v>37194</v>
      </c>
      <c r="B3893" s="202">
        <v>1.0130190447567239E-2</v>
      </c>
      <c r="C3893" s="194" t="s">
        <v>1</v>
      </c>
    </row>
    <row r="3894" spans="1:3" x14ac:dyDescent="0.15">
      <c r="A3894" s="203">
        <v>37195</v>
      </c>
      <c r="B3894" s="202">
        <v>1.013152991556272E-2</v>
      </c>
      <c r="C3894" s="194" t="s">
        <v>1</v>
      </c>
    </row>
    <row r="3895" spans="1:3" x14ac:dyDescent="0.15">
      <c r="A3895" s="203">
        <v>37196</v>
      </c>
      <c r="B3895" s="202">
        <v>1.0132869560669826E-2</v>
      </c>
      <c r="C3895" s="194" t="s">
        <v>1</v>
      </c>
    </row>
    <row r="3896" spans="1:3" x14ac:dyDescent="0.15">
      <c r="A3896" s="203">
        <v>37197</v>
      </c>
      <c r="B3896" s="202">
        <v>1.0132869560669826E-2</v>
      </c>
      <c r="C3896" s="194" t="s">
        <v>1</v>
      </c>
    </row>
    <row r="3897" spans="1:3" x14ac:dyDescent="0.15">
      <c r="A3897" s="203">
        <v>37198</v>
      </c>
      <c r="B3897" s="202">
        <v>1.0132869560669826E-2</v>
      </c>
      <c r="C3897" s="194" t="s">
        <v>1</v>
      </c>
    </row>
    <row r="3898" spans="1:3" x14ac:dyDescent="0.15">
      <c r="A3898" s="203">
        <v>37199</v>
      </c>
      <c r="B3898" s="202">
        <v>1.0132869560669826E-2</v>
      </c>
      <c r="C3898" s="194" t="s">
        <v>1</v>
      </c>
    </row>
    <row r="3899" spans="1:3" x14ac:dyDescent="0.15">
      <c r="A3899" s="203">
        <v>37200</v>
      </c>
      <c r="B3899" s="202">
        <v>1.013389684241423E-2</v>
      </c>
      <c r="C3899" s="194" t="s">
        <v>1</v>
      </c>
    </row>
    <row r="3900" spans="1:3" x14ac:dyDescent="0.15">
      <c r="A3900" s="203">
        <v>37201</v>
      </c>
      <c r="B3900" s="202">
        <v>1.0134924228305617E-2</v>
      </c>
      <c r="C3900" s="194" t="s">
        <v>1</v>
      </c>
    </row>
    <row r="3901" spans="1:3" x14ac:dyDescent="0.15">
      <c r="A3901" s="203">
        <v>37202</v>
      </c>
      <c r="B3901" s="202">
        <v>1.0135951718354545E-2</v>
      </c>
      <c r="C3901" s="194" t="s">
        <v>1</v>
      </c>
    </row>
    <row r="3902" spans="1:3" x14ac:dyDescent="0.15">
      <c r="A3902" s="203">
        <v>37203</v>
      </c>
      <c r="B3902" s="202">
        <v>1.0136979312571572E-2</v>
      </c>
      <c r="C3902" s="194" t="s">
        <v>1</v>
      </c>
    </row>
    <row r="3903" spans="1:3" x14ac:dyDescent="0.15">
      <c r="A3903" s="203">
        <v>37204</v>
      </c>
      <c r="B3903" s="202">
        <v>1.0138007010967259E-2</v>
      </c>
      <c r="C3903" s="194" t="s">
        <v>1</v>
      </c>
    </row>
    <row r="3904" spans="1:3" x14ac:dyDescent="0.15">
      <c r="A3904" s="203">
        <v>37205</v>
      </c>
      <c r="B3904" s="202">
        <v>1.0138007010967259E-2</v>
      </c>
      <c r="C3904" s="194" t="s">
        <v>1</v>
      </c>
    </row>
    <row r="3905" spans="1:3" x14ac:dyDescent="0.15">
      <c r="A3905" s="203">
        <v>37206</v>
      </c>
      <c r="B3905" s="202">
        <v>1.0138007010967259E-2</v>
      </c>
      <c r="C3905" s="194" t="s">
        <v>1</v>
      </c>
    </row>
    <row r="3906" spans="1:3" x14ac:dyDescent="0.15">
      <c r="A3906" s="203">
        <v>37207</v>
      </c>
      <c r="B3906" s="202">
        <v>1.013903481355217E-2</v>
      </c>
      <c r="C3906" s="194" t="s">
        <v>1</v>
      </c>
    </row>
    <row r="3907" spans="1:3" x14ac:dyDescent="0.15">
      <c r="A3907" s="203">
        <v>37208</v>
      </c>
      <c r="B3907" s="202">
        <v>1.0140062720336865E-2</v>
      </c>
      <c r="C3907" s="194" t="s">
        <v>1</v>
      </c>
    </row>
    <row r="3908" spans="1:3" x14ac:dyDescent="0.15">
      <c r="A3908" s="203">
        <v>37209</v>
      </c>
      <c r="B3908" s="202">
        <v>1.014109073133191E-2</v>
      </c>
      <c r="C3908" s="194" t="s">
        <v>1</v>
      </c>
    </row>
    <row r="3909" spans="1:3" x14ac:dyDescent="0.15">
      <c r="A3909" s="203">
        <v>37210</v>
      </c>
      <c r="B3909" s="202">
        <v>1.014109073133191E-2</v>
      </c>
      <c r="C3909" s="194" t="s">
        <v>1</v>
      </c>
    </row>
    <row r="3910" spans="1:3" x14ac:dyDescent="0.15">
      <c r="A3910" s="203">
        <v>37211</v>
      </c>
      <c r="B3910" s="202">
        <v>1.0142118846547869E-2</v>
      </c>
      <c r="C3910" s="194" t="s">
        <v>1</v>
      </c>
    </row>
    <row r="3911" spans="1:3" x14ac:dyDescent="0.15">
      <c r="A3911" s="203">
        <v>37212</v>
      </c>
      <c r="B3911" s="202">
        <v>1.0142118846547869E-2</v>
      </c>
      <c r="C3911" s="194" t="s">
        <v>1</v>
      </c>
    </row>
    <row r="3912" spans="1:3" x14ac:dyDescent="0.15">
      <c r="A3912" s="203">
        <v>37213</v>
      </c>
      <c r="B3912" s="202">
        <v>1.0142118846547869E-2</v>
      </c>
      <c r="C3912" s="194" t="s">
        <v>1</v>
      </c>
    </row>
    <row r="3913" spans="1:3" x14ac:dyDescent="0.15">
      <c r="A3913" s="203">
        <v>37214</v>
      </c>
      <c r="B3913" s="202">
        <v>1.0143147065995308E-2</v>
      </c>
      <c r="C3913" s="194" t="s">
        <v>1</v>
      </c>
    </row>
    <row r="3914" spans="1:3" x14ac:dyDescent="0.15">
      <c r="A3914" s="203">
        <v>37215</v>
      </c>
      <c r="B3914" s="202">
        <v>1.0144175389684795E-2</v>
      </c>
      <c r="C3914" s="194" t="s">
        <v>1</v>
      </c>
    </row>
    <row r="3915" spans="1:3" x14ac:dyDescent="0.15">
      <c r="A3915" s="203">
        <v>37216</v>
      </c>
      <c r="B3915" s="202">
        <v>1.0145203817626897E-2</v>
      </c>
      <c r="C3915" s="194" t="s">
        <v>1</v>
      </c>
    </row>
    <row r="3916" spans="1:3" x14ac:dyDescent="0.15">
      <c r="A3916" s="203">
        <v>37217</v>
      </c>
      <c r="B3916" s="202">
        <v>1.0146232349832184E-2</v>
      </c>
      <c r="C3916" s="194" t="s">
        <v>1</v>
      </c>
    </row>
    <row r="3917" spans="1:3" x14ac:dyDescent="0.15">
      <c r="A3917" s="203">
        <v>37218</v>
      </c>
      <c r="B3917" s="202">
        <v>1.0147260986311225E-2</v>
      </c>
      <c r="C3917" s="194" t="s">
        <v>1</v>
      </c>
    </row>
    <row r="3918" spans="1:3" x14ac:dyDescent="0.15">
      <c r="A3918" s="203">
        <v>37219</v>
      </c>
      <c r="B3918" s="202">
        <v>1.0147260986311225E-2</v>
      </c>
      <c r="C3918" s="194" t="s">
        <v>1</v>
      </c>
    </row>
    <row r="3919" spans="1:3" x14ac:dyDescent="0.15">
      <c r="A3919" s="203">
        <v>37220</v>
      </c>
      <c r="B3919" s="202">
        <v>1.0147260986311225E-2</v>
      </c>
      <c r="C3919" s="194" t="s">
        <v>1</v>
      </c>
    </row>
    <row r="3920" spans="1:3" x14ac:dyDescent="0.15">
      <c r="A3920" s="203">
        <v>37221</v>
      </c>
      <c r="B3920" s="202">
        <v>1.0148289727074593E-2</v>
      </c>
      <c r="C3920" s="194" t="s">
        <v>1</v>
      </c>
    </row>
    <row r="3921" spans="1:3" x14ac:dyDescent="0.15">
      <c r="A3921" s="203">
        <v>37222</v>
      </c>
      <c r="B3921" s="202">
        <v>1.0149318572132859E-2</v>
      </c>
      <c r="C3921" s="194" t="s">
        <v>1</v>
      </c>
    </row>
    <row r="3922" spans="1:3" x14ac:dyDescent="0.15">
      <c r="A3922" s="203">
        <v>37223</v>
      </c>
      <c r="B3922" s="202">
        <v>1.0150347521496598E-2</v>
      </c>
      <c r="C3922" s="194" t="s">
        <v>1</v>
      </c>
    </row>
    <row r="3923" spans="1:3" x14ac:dyDescent="0.15">
      <c r="A3923" s="203">
        <v>37224</v>
      </c>
      <c r="B3923" s="202">
        <v>1.0151376575176384E-2</v>
      </c>
      <c r="C3923" s="194" t="s">
        <v>1</v>
      </c>
    </row>
    <row r="3924" spans="1:3" x14ac:dyDescent="0.15">
      <c r="A3924" s="203">
        <v>37225</v>
      </c>
      <c r="B3924" s="202">
        <v>1.0152405733182792E-2</v>
      </c>
      <c r="C3924" s="194" t="s">
        <v>1</v>
      </c>
    </row>
    <row r="3925" spans="1:3" x14ac:dyDescent="0.15">
      <c r="A3925" s="203">
        <v>37226</v>
      </c>
      <c r="B3925" s="202">
        <v>1.0152405733182792E-2</v>
      </c>
      <c r="C3925" s="194" t="s">
        <v>1</v>
      </c>
    </row>
    <row r="3926" spans="1:3" x14ac:dyDescent="0.15">
      <c r="A3926" s="203">
        <v>37227</v>
      </c>
      <c r="B3926" s="202">
        <v>1.0152405733182792E-2</v>
      </c>
      <c r="C3926" s="194" t="s">
        <v>1</v>
      </c>
    </row>
    <row r="3927" spans="1:3" x14ac:dyDescent="0.15">
      <c r="A3927" s="203">
        <v>37228</v>
      </c>
      <c r="B3927" s="202">
        <v>1.0153411397279479E-2</v>
      </c>
      <c r="C3927" s="194" t="s">
        <v>1</v>
      </c>
    </row>
    <row r="3928" spans="1:3" x14ac:dyDescent="0.15">
      <c r="A3928" s="203">
        <v>37229</v>
      </c>
      <c r="B3928" s="202">
        <v>1.0154417160993962E-2</v>
      </c>
      <c r="C3928" s="194" t="s">
        <v>1</v>
      </c>
    </row>
    <row r="3929" spans="1:3" x14ac:dyDescent="0.15">
      <c r="A3929" s="203">
        <v>37230</v>
      </c>
      <c r="B3929" s="202">
        <v>1.0155423024336108E-2</v>
      </c>
      <c r="C3929" s="194" t="s">
        <v>1</v>
      </c>
    </row>
    <row r="3930" spans="1:3" x14ac:dyDescent="0.15">
      <c r="A3930" s="203">
        <v>37231</v>
      </c>
      <c r="B3930" s="202">
        <v>1.0156428987315787E-2</v>
      </c>
      <c r="C3930" s="194" t="s">
        <v>1</v>
      </c>
    </row>
    <row r="3931" spans="1:3" x14ac:dyDescent="0.15">
      <c r="A3931" s="203">
        <v>37232</v>
      </c>
      <c r="B3931" s="202">
        <v>1.0157435049942867E-2</v>
      </c>
      <c r="C3931" s="194" t="s">
        <v>1</v>
      </c>
    </row>
    <row r="3932" spans="1:3" x14ac:dyDescent="0.15">
      <c r="A3932" s="203">
        <v>37233</v>
      </c>
      <c r="B3932" s="202">
        <v>1.0157435049942867E-2</v>
      </c>
      <c r="C3932" s="194" t="s">
        <v>1</v>
      </c>
    </row>
    <row r="3933" spans="1:3" x14ac:dyDescent="0.15">
      <c r="A3933" s="203">
        <v>37234</v>
      </c>
      <c r="B3933" s="202">
        <v>1.0157435049942867E-2</v>
      </c>
      <c r="C3933" s="194" t="s">
        <v>1</v>
      </c>
    </row>
    <row r="3934" spans="1:3" x14ac:dyDescent="0.15">
      <c r="A3934" s="203">
        <v>37235</v>
      </c>
      <c r="B3934" s="202">
        <v>1.0158441212227219E-2</v>
      </c>
      <c r="C3934" s="194" t="s">
        <v>1</v>
      </c>
    </row>
    <row r="3935" spans="1:3" x14ac:dyDescent="0.15">
      <c r="A3935" s="203">
        <v>37236</v>
      </c>
      <c r="B3935" s="202">
        <v>1.0159447474178716E-2</v>
      </c>
      <c r="C3935" s="194" t="s">
        <v>1</v>
      </c>
    </row>
    <row r="3936" spans="1:3" x14ac:dyDescent="0.15">
      <c r="A3936" s="203">
        <v>37237</v>
      </c>
      <c r="B3936" s="202">
        <v>1.0160453835807229E-2</v>
      </c>
      <c r="C3936" s="194" t="s">
        <v>1</v>
      </c>
    </row>
    <row r="3937" spans="1:3" x14ac:dyDescent="0.15">
      <c r="A3937" s="203">
        <v>37238</v>
      </c>
      <c r="B3937" s="202">
        <v>1.0161460297122633E-2</v>
      </c>
      <c r="C3937" s="194" t="s">
        <v>1</v>
      </c>
    </row>
    <row r="3938" spans="1:3" x14ac:dyDescent="0.15">
      <c r="A3938" s="203">
        <v>37239</v>
      </c>
      <c r="B3938" s="202">
        <v>1.0162466858134801E-2</v>
      </c>
      <c r="C3938" s="194" t="s">
        <v>1</v>
      </c>
    </row>
    <row r="3939" spans="1:3" x14ac:dyDescent="0.15">
      <c r="A3939" s="203">
        <v>37240</v>
      </c>
      <c r="B3939" s="202">
        <v>1.0162466858134801E-2</v>
      </c>
      <c r="C3939" s="194" t="s">
        <v>1</v>
      </c>
    </row>
    <row r="3940" spans="1:3" x14ac:dyDescent="0.15">
      <c r="A3940" s="203">
        <v>37241</v>
      </c>
      <c r="B3940" s="202">
        <v>1.0162466858134801E-2</v>
      </c>
      <c r="C3940" s="194" t="s">
        <v>1</v>
      </c>
    </row>
    <row r="3941" spans="1:3" x14ac:dyDescent="0.15">
      <c r="A3941" s="203">
        <v>37242</v>
      </c>
      <c r="B3941" s="202">
        <v>1.016347351885361E-2</v>
      </c>
      <c r="C3941" s="194" t="s">
        <v>1</v>
      </c>
    </row>
    <row r="3942" spans="1:3" x14ac:dyDescent="0.15">
      <c r="A3942" s="203">
        <v>37243</v>
      </c>
      <c r="B3942" s="202">
        <v>1.0164480279288938E-2</v>
      </c>
      <c r="C3942" s="194" t="s">
        <v>1</v>
      </c>
    </row>
    <row r="3943" spans="1:3" x14ac:dyDescent="0.15">
      <c r="A3943" s="203">
        <v>37244</v>
      </c>
      <c r="B3943" s="202">
        <v>1.0165487139450658E-2</v>
      </c>
      <c r="C3943" s="194" t="s">
        <v>1</v>
      </c>
    </row>
    <row r="3944" spans="1:3" x14ac:dyDescent="0.15">
      <c r="A3944" s="203">
        <v>37245</v>
      </c>
      <c r="B3944" s="202">
        <v>1.0166494099348652E-2</v>
      </c>
      <c r="C3944" s="194" t="s">
        <v>1</v>
      </c>
    </row>
    <row r="3945" spans="1:3" x14ac:dyDescent="0.15">
      <c r="A3945" s="203">
        <v>37246</v>
      </c>
      <c r="B3945" s="202">
        <v>1.01675011589928E-2</v>
      </c>
      <c r="C3945" s="194" t="s">
        <v>1</v>
      </c>
    </row>
    <row r="3946" spans="1:3" x14ac:dyDescent="0.15">
      <c r="A3946" s="203">
        <v>37247</v>
      </c>
      <c r="B3946" s="202">
        <v>1.01675011589928E-2</v>
      </c>
      <c r="C3946" s="194" t="s">
        <v>1</v>
      </c>
    </row>
    <row r="3947" spans="1:3" x14ac:dyDescent="0.15">
      <c r="A3947" s="203">
        <v>37248</v>
      </c>
      <c r="B3947" s="202">
        <v>1.01675011589928E-2</v>
      </c>
      <c r="C3947" s="194" t="s">
        <v>1</v>
      </c>
    </row>
    <row r="3948" spans="1:3" x14ac:dyDescent="0.15">
      <c r="A3948" s="203">
        <v>37249</v>
      </c>
      <c r="B3948" s="202">
        <v>1.0168508318392982E-2</v>
      </c>
      <c r="C3948" s="194" t="s">
        <v>1</v>
      </c>
    </row>
    <row r="3949" spans="1:3" x14ac:dyDescent="0.15">
      <c r="A3949" s="203">
        <v>37250</v>
      </c>
      <c r="B3949" s="202">
        <v>1.0168508318392982E-2</v>
      </c>
      <c r="C3949" s="194" t="s">
        <v>1</v>
      </c>
    </row>
    <row r="3950" spans="1:3" x14ac:dyDescent="0.15">
      <c r="A3950" s="203">
        <v>37251</v>
      </c>
      <c r="B3950" s="202">
        <v>1.0169515577559079E-2</v>
      </c>
      <c r="C3950" s="194" t="s">
        <v>1</v>
      </c>
    </row>
    <row r="3951" spans="1:3" x14ac:dyDescent="0.15">
      <c r="A3951" s="203">
        <v>37252</v>
      </c>
      <c r="B3951" s="202">
        <v>1.0170522936500974E-2</v>
      </c>
      <c r="C3951" s="194" t="s">
        <v>1</v>
      </c>
    </row>
    <row r="3952" spans="1:3" x14ac:dyDescent="0.15">
      <c r="A3952" s="203">
        <v>37253</v>
      </c>
      <c r="B3952" s="202">
        <v>1.0171530395228549E-2</v>
      </c>
      <c r="C3952" s="194" t="s">
        <v>1</v>
      </c>
    </row>
    <row r="3953" spans="1:3" x14ac:dyDescent="0.15">
      <c r="A3953" s="203">
        <v>37254</v>
      </c>
      <c r="B3953" s="202">
        <v>1.0171530395228549E-2</v>
      </c>
      <c r="C3953" s="194" t="s">
        <v>1</v>
      </c>
    </row>
    <row r="3954" spans="1:3" x14ac:dyDescent="0.15">
      <c r="A3954" s="203">
        <v>37255</v>
      </c>
      <c r="B3954" s="202">
        <v>1.0171530395228549E-2</v>
      </c>
      <c r="C3954" s="194" t="s">
        <v>1</v>
      </c>
    </row>
    <row r="3955" spans="1:3" x14ac:dyDescent="0.15">
      <c r="A3955" s="203">
        <v>37256</v>
      </c>
      <c r="B3955" s="202">
        <v>1.0172537953751689E-2</v>
      </c>
      <c r="C3955" s="194" t="s">
        <v>1</v>
      </c>
    </row>
    <row r="3956" spans="1:3" x14ac:dyDescent="0.15">
      <c r="A3956" s="203">
        <v>37257</v>
      </c>
      <c r="B3956" s="202">
        <v>1.0172537953751689E-2</v>
      </c>
      <c r="C3956" s="194" t="s">
        <v>1</v>
      </c>
    </row>
    <row r="3957" spans="1:3" x14ac:dyDescent="0.15">
      <c r="A3957" s="203">
        <v>37258</v>
      </c>
      <c r="B3957" s="202">
        <v>1.0173682494619472E-2</v>
      </c>
      <c r="C3957" s="194" t="s">
        <v>1</v>
      </c>
    </row>
    <row r="3958" spans="1:3" x14ac:dyDescent="0.15">
      <c r="A3958" s="203">
        <v>37259</v>
      </c>
      <c r="B3958" s="202">
        <v>1.0174827164262767E-2</v>
      </c>
      <c r="C3958" s="194" t="s">
        <v>1</v>
      </c>
    </row>
    <row r="3959" spans="1:3" x14ac:dyDescent="0.15">
      <c r="A3959" s="203">
        <v>37260</v>
      </c>
      <c r="B3959" s="202">
        <v>1.0175971962696066E-2</v>
      </c>
      <c r="C3959" s="194" t="s">
        <v>1</v>
      </c>
    </row>
    <row r="3960" spans="1:3" x14ac:dyDescent="0.15">
      <c r="A3960" s="203">
        <v>37261</v>
      </c>
      <c r="B3960" s="202">
        <v>1.0175971962696066E-2</v>
      </c>
      <c r="C3960" s="194" t="s">
        <v>1</v>
      </c>
    </row>
    <row r="3961" spans="1:3" x14ac:dyDescent="0.15">
      <c r="A3961" s="203">
        <v>37262</v>
      </c>
      <c r="B3961" s="202">
        <v>1.0175971962696066E-2</v>
      </c>
      <c r="C3961" s="194" t="s">
        <v>1</v>
      </c>
    </row>
    <row r="3962" spans="1:3" x14ac:dyDescent="0.15">
      <c r="A3962" s="203">
        <v>37263</v>
      </c>
      <c r="B3962" s="202">
        <v>1.0177116889933857E-2</v>
      </c>
      <c r="C3962" s="194" t="s">
        <v>1</v>
      </c>
    </row>
    <row r="3963" spans="1:3" x14ac:dyDescent="0.15">
      <c r="A3963" s="203">
        <v>37264</v>
      </c>
      <c r="B3963" s="202">
        <v>1.0178261945990634E-2</v>
      </c>
      <c r="C3963" s="194" t="s">
        <v>1</v>
      </c>
    </row>
    <row r="3964" spans="1:3" x14ac:dyDescent="0.15">
      <c r="A3964" s="203">
        <v>37265</v>
      </c>
      <c r="B3964" s="202">
        <v>1.0179407130880889E-2</v>
      </c>
      <c r="C3964" s="194" t="s">
        <v>1</v>
      </c>
    </row>
    <row r="3965" spans="1:3" x14ac:dyDescent="0.15">
      <c r="A3965" s="203">
        <v>37266</v>
      </c>
      <c r="B3965" s="202">
        <v>1.0180552444619118E-2</v>
      </c>
      <c r="C3965" s="194" t="s">
        <v>1</v>
      </c>
    </row>
    <row r="3966" spans="1:3" x14ac:dyDescent="0.15">
      <c r="A3966" s="203">
        <v>37267</v>
      </c>
      <c r="B3966" s="202">
        <v>1.0181697887219818E-2</v>
      </c>
      <c r="C3966" s="194" t="s">
        <v>1</v>
      </c>
    </row>
    <row r="3967" spans="1:3" x14ac:dyDescent="0.15">
      <c r="A3967" s="203">
        <v>37268</v>
      </c>
      <c r="B3967" s="202">
        <v>1.0181697887219818E-2</v>
      </c>
      <c r="C3967" s="194" t="s">
        <v>1</v>
      </c>
    </row>
    <row r="3968" spans="1:3" x14ac:dyDescent="0.15">
      <c r="A3968" s="203">
        <v>37269</v>
      </c>
      <c r="B3968" s="202">
        <v>1.0181697887219818E-2</v>
      </c>
      <c r="C3968" s="194" t="s">
        <v>1</v>
      </c>
    </row>
    <row r="3969" spans="1:3" x14ac:dyDescent="0.15">
      <c r="A3969" s="203">
        <v>37270</v>
      </c>
      <c r="B3969" s="202">
        <v>1.0182843458697488E-2</v>
      </c>
      <c r="C3969" s="194" t="s">
        <v>1</v>
      </c>
    </row>
    <row r="3970" spans="1:3" x14ac:dyDescent="0.15">
      <c r="A3970" s="203">
        <v>37271</v>
      </c>
      <c r="B3970" s="202">
        <v>1.0183989159066629E-2</v>
      </c>
      <c r="C3970" s="194" t="s">
        <v>1</v>
      </c>
    </row>
    <row r="3971" spans="1:3" x14ac:dyDescent="0.15">
      <c r="A3971" s="203">
        <v>37272</v>
      </c>
      <c r="B3971" s="202">
        <v>1.0185134988341742E-2</v>
      </c>
      <c r="C3971" s="194" t="s">
        <v>1</v>
      </c>
    </row>
    <row r="3972" spans="1:3" x14ac:dyDescent="0.15">
      <c r="A3972" s="203">
        <v>37273</v>
      </c>
      <c r="B3972" s="202">
        <v>1.018628094653733E-2</v>
      </c>
      <c r="C3972" s="194" t="s">
        <v>1</v>
      </c>
    </row>
    <row r="3973" spans="1:3" x14ac:dyDescent="0.15">
      <c r="A3973" s="203">
        <v>37274</v>
      </c>
      <c r="B3973" s="202">
        <v>1.0187427033667901E-2</v>
      </c>
      <c r="C3973" s="194" t="s">
        <v>1</v>
      </c>
    </row>
    <row r="3974" spans="1:3" x14ac:dyDescent="0.15">
      <c r="A3974" s="203">
        <v>37275</v>
      </c>
      <c r="B3974" s="202">
        <v>1.0187427033667901E-2</v>
      </c>
      <c r="C3974" s="194" t="s">
        <v>1</v>
      </c>
    </row>
    <row r="3975" spans="1:3" x14ac:dyDescent="0.15">
      <c r="A3975" s="203">
        <v>37276</v>
      </c>
      <c r="B3975" s="202">
        <v>1.0187427033667901E-2</v>
      </c>
      <c r="C3975" s="194" t="s">
        <v>1</v>
      </c>
    </row>
    <row r="3976" spans="1:3" x14ac:dyDescent="0.15">
      <c r="A3976" s="203">
        <v>37277</v>
      </c>
      <c r="B3976" s="202">
        <v>1.0188573249747958E-2</v>
      </c>
      <c r="C3976" s="194" t="s">
        <v>1</v>
      </c>
    </row>
    <row r="3977" spans="1:3" x14ac:dyDescent="0.15">
      <c r="A3977" s="203">
        <v>37278</v>
      </c>
      <c r="B3977" s="202">
        <v>1.0189719594792012E-2</v>
      </c>
      <c r="C3977" s="194" t="s">
        <v>1</v>
      </c>
    </row>
    <row r="3978" spans="1:3" x14ac:dyDescent="0.15">
      <c r="A3978" s="203">
        <v>37279</v>
      </c>
      <c r="B3978" s="202">
        <v>1.0190866068814574E-2</v>
      </c>
      <c r="C3978" s="194" t="s">
        <v>1</v>
      </c>
    </row>
    <row r="3979" spans="1:3" x14ac:dyDescent="0.15">
      <c r="A3979" s="203">
        <v>37280</v>
      </c>
      <c r="B3979" s="202">
        <v>1.0192012671830153E-2</v>
      </c>
      <c r="C3979" s="194" t="s">
        <v>1</v>
      </c>
    </row>
    <row r="3980" spans="1:3" x14ac:dyDescent="0.15">
      <c r="A3980" s="203">
        <v>37281</v>
      </c>
      <c r="B3980" s="202">
        <v>1.0193159403853262E-2</v>
      </c>
      <c r="C3980" s="194" t="s">
        <v>1</v>
      </c>
    </row>
    <row r="3981" spans="1:3" x14ac:dyDescent="0.15">
      <c r="A3981" s="203">
        <v>37282</v>
      </c>
      <c r="B3981" s="202">
        <v>1.0193159403853262E-2</v>
      </c>
      <c r="C3981" s="194" t="s">
        <v>1</v>
      </c>
    </row>
    <row r="3982" spans="1:3" x14ac:dyDescent="0.15">
      <c r="A3982" s="203">
        <v>37283</v>
      </c>
      <c r="B3982" s="202">
        <v>1.0193159403853262E-2</v>
      </c>
      <c r="C3982" s="194" t="s">
        <v>1</v>
      </c>
    </row>
    <row r="3983" spans="1:3" x14ac:dyDescent="0.15">
      <c r="A3983" s="203">
        <v>37284</v>
      </c>
      <c r="B3983" s="202">
        <v>1.0194306264898418E-2</v>
      </c>
      <c r="C3983" s="194" t="s">
        <v>1</v>
      </c>
    </row>
    <row r="3984" spans="1:3" x14ac:dyDescent="0.15">
      <c r="A3984" s="203">
        <v>37285</v>
      </c>
      <c r="B3984" s="202">
        <v>1.0195453254980138E-2</v>
      </c>
      <c r="C3984" s="194" t="s">
        <v>1</v>
      </c>
    </row>
    <row r="3985" spans="1:3" x14ac:dyDescent="0.15">
      <c r="A3985" s="203">
        <v>37286</v>
      </c>
      <c r="B3985" s="202">
        <v>1.0196600374112939E-2</v>
      </c>
      <c r="C3985" s="194" t="s">
        <v>1</v>
      </c>
    </row>
    <row r="3986" spans="1:3" x14ac:dyDescent="0.15">
      <c r="A3986" s="203">
        <v>37287</v>
      </c>
      <c r="B3986" s="202">
        <v>1.0197747622311341E-2</v>
      </c>
      <c r="C3986" s="194" t="s">
        <v>1</v>
      </c>
    </row>
    <row r="3987" spans="1:3" x14ac:dyDescent="0.15">
      <c r="A3987" s="203">
        <v>37288</v>
      </c>
      <c r="B3987" s="202">
        <v>1.0198894999589867E-2</v>
      </c>
      <c r="C3987" s="194" t="s">
        <v>1</v>
      </c>
    </row>
    <row r="3988" spans="1:3" x14ac:dyDescent="0.15">
      <c r="A3988" s="203">
        <v>37289</v>
      </c>
      <c r="B3988" s="202">
        <v>1.0198894999589867E-2</v>
      </c>
      <c r="C3988" s="194" t="s">
        <v>1</v>
      </c>
    </row>
    <row r="3989" spans="1:3" x14ac:dyDescent="0.15">
      <c r="A3989" s="203">
        <v>37290</v>
      </c>
      <c r="B3989" s="202">
        <v>1.0198894999589867E-2</v>
      </c>
      <c r="C3989" s="194" t="s">
        <v>1</v>
      </c>
    </row>
    <row r="3990" spans="1:3" x14ac:dyDescent="0.15">
      <c r="A3990" s="203">
        <v>37291</v>
      </c>
      <c r="B3990" s="202">
        <v>1.0199523225196933E-2</v>
      </c>
      <c r="C3990" s="194" t="s">
        <v>1</v>
      </c>
    </row>
    <row r="3991" spans="1:3" x14ac:dyDescent="0.15">
      <c r="A3991" s="203">
        <v>37292</v>
      </c>
      <c r="B3991" s="202">
        <v>1.0200151489501074E-2</v>
      </c>
      <c r="C3991" s="194" t="s">
        <v>1</v>
      </c>
    </row>
    <row r="3992" spans="1:3" x14ac:dyDescent="0.15">
      <c r="A3992" s="203">
        <v>37293</v>
      </c>
      <c r="B3992" s="202">
        <v>1.0200779792504675E-2</v>
      </c>
      <c r="C3992" s="194" t="s">
        <v>1</v>
      </c>
    </row>
    <row r="3993" spans="1:3" x14ac:dyDescent="0.15">
      <c r="A3993" s="203">
        <v>37294</v>
      </c>
      <c r="B3993" s="202">
        <v>1.0201408134210119E-2</v>
      </c>
      <c r="C3993" s="194" t="s">
        <v>1</v>
      </c>
    </row>
    <row r="3994" spans="1:3" x14ac:dyDescent="0.15">
      <c r="A3994" s="203">
        <v>37295</v>
      </c>
      <c r="B3994" s="202">
        <v>1.0202036514619791E-2</v>
      </c>
      <c r="C3994" s="194" t="s">
        <v>1</v>
      </c>
    </row>
    <row r="3995" spans="1:3" x14ac:dyDescent="0.15">
      <c r="A3995" s="203">
        <v>37296</v>
      </c>
      <c r="B3995" s="202">
        <v>1.0202036514619791E-2</v>
      </c>
      <c r="C3995" s="194" t="s">
        <v>1</v>
      </c>
    </row>
    <row r="3996" spans="1:3" x14ac:dyDescent="0.15">
      <c r="A3996" s="203">
        <v>37297</v>
      </c>
      <c r="B3996" s="202">
        <v>1.0202036514619791E-2</v>
      </c>
      <c r="C3996" s="194" t="s">
        <v>1</v>
      </c>
    </row>
    <row r="3997" spans="1:3" x14ac:dyDescent="0.15">
      <c r="A3997" s="203">
        <v>37298</v>
      </c>
      <c r="B3997" s="202">
        <v>1.0202664933736073E-2</v>
      </c>
      <c r="C3997" s="194" t="s">
        <v>1</v>
      </c>
    </row>
    <row r="3998" spans="1:3" x14ac:dyDescent="0.15">
      <c r="A3998" s="203">
        <v>37299</v>
      </c>
      <c r="B3998" s="202">
        <v>1.0202664933736073E-2</v>
      </c>
      <c r="C3998" s="194" t="s">
        <v>1</v>
      </c>
    </row>
    <row r="3999" spans="1:3" x14ac:dyDescent="0.15">
      <c r="A3999" s="203">
        <v>37300</v>
      </c>
      <c r="B3999" s="202">
        <v>1.0203293391561351E-2</v>
      </c>
      <c r="C3999" s="194" t="s">
        <v>1</v>
      </c>
    </row>
    <row r="4000" spans="1:3" x14ac:dyDescent="0.15">
      <c r="A4000" s="203">
        <v>37301</v>
      </c>
      <c r="B4000" s="202">
        <v>1.020392188809801E-2</v>
      </c>
      <c r="C4000" s="194" t="s">
        <v>1</v>
      </c>
    </row>
    <row r="4001" spans="1:3" x14ac:dyDescent="0.15">
      <c r="A4001" s="203">
        <v>37302</v>
      </c>
      <c r="B4001" s="202">
        <v>1.0204550423348432E-2</v>
      </c>
      <c r="C4001" s="194" t="s">
        <v>1</v>
      </c>
    </row>
    <row r="4002" spans="1:3" x14ac:dyDescent="0.15">
      <c r="A4002" s="203">
        <v>37303</v>
      </c>
      <c r="B4002" s="202">
        <v>1.0204550423348432E-2</v>
      </c>
      <c r="C4002" s="194" t="s">
        <v>1</v>
      </c>
    </row>
    <row r="4003" spans="1:3" x14ac:dyDescent="0.15">
      <c r="A4003" s="203">
        <v>37304</v>
      </c>
      <c r="B4003" s="202">
        <v>1.0204550423348432E-2</v>
      </c>
      <c r="C4003" s="194" t="s">
        <v>1</v>
      </c>
    </row>
    <row r="4004" spans="1:3" x14ac:dyDescent="0.15">
      <c r="A4004" s="203">
        <v>37305</v>
      </c>
      <c r="B4004" s="202">
        <v>1.0205178997315004E-2</v>
      </c>
      <c r="C4004" s="194" t="s">
        <v>1</v>
      </c>
    </row>
    <row r="4005" spans="1:3" x14ac:dyDescent="0.15">
      <c r="A4005" s="203">
        <v>37306</v>
      </c>
      <c r="B4005" s="202">
        <v>1.0205807610000108E-2</v>
      </c>
      <c r="C4005" s="194" t="s">
        <v>1</v>
      </c>
    </row>
    <row r="4006" spans="1:3" x14ac:dyDescent="0.15">
      <c r="A4006" s="203">
        <v>37307</v>
      </c>
      <c r="B4006" s="202">
        <v>1.0206436261406132E-2</v>
      </c>
      <c r="C4006" s="194" t="s">
        <v>1</v>
      </c>
    </row>
    <row r="4007" spans="1:3" x14ac:dyDescent="0.15">
      <c r="A4007" s="203">
        <v>37308</v>
      </c>
      <c r="B4007" s="202">
        <v>1.020706495153546E-2</v>
      </c>
      <c r="C4007" s="194" t="s">
        <v>1</v>
      </c>
    </row>
    <row r="4008" spans="1:3" x14ac:dyDescent="0.15">
      <c r="A4008" s="203">
        <v>37309</v>
      </c>
      <c r="B4008" s="202">
        <v>1.0207693680390477E-2</v>
      </c>
      <c r="C4008" s="194" t="s">
        <v>1</v>
      </c>
    </row>
    <row r="4009" spans="1:3" x14ac:dyDescent="0.15">
      <c r="A4009" s="203">
        <v>37310</v>
      </c>
      <c r="B4009" s="202">
        <v>1.0207693680390477E-2</v>
      </c>
      <c r="C4009" s="194" t="s">
        <v>1</v>
      </c>
    </row>
    <row r="4010" spans="1:3" x14ac:dyDescent="0.15">
      <c r="A4010" s="203">
        <v>37311</v>
      </c>
      <c r="B4010" s="202">
        <v>1.0207693680390477E-2</v>
      </c>
      <c r="C4010" s="194" t="s">
        <v>1</v>
      </c>
    </row>
    <row r="4011" spans="1:3" x14ac:dyDescent="0.15">
      <c r="A4011" s="203">
        <v>37312</v>
      </c>
      <c r="B4011" s="202">
        <v>1.0208322447973569E-2</v>
      </c>
      <c r="C4011" s="194" t="s">
        <v>1</v>
      </c>
    </row>
    <row r="4012" spans="1:3" x14ac:dyDescent="0.15">
      <c r="A4012" s="203">
        <v>37313</v>
      </c>
      <c r="B4012" s="202">
        <v>1.0208951254287122E-2</v>
      </c>
      <c r="C4012" s="194" t="s">
        <v>1</v>
      </c>
    </row>
    <row r="4013" spans="1:3" x14ac:dyDescent="0.15">
      <c r="A4013" s="203">
        <v>37314</v>
      </c>
      <c r="B4013" s="202">
        <v>1.020958009933352E-2</v>
      </c>
      <c r="C4013" s="194" t="s">
        <v>1</v>
      </c>
    </row>
    <row r="4014" spans="1:3" x14ac:dyDescent="0.15">
      <c r="A4014" s="203">
        <v>37315</v>
      </c>
      <c r="B4014" s="202">
        <v>1.021020898311515E-2</v>
      </c>
      <c r="C4014" s="194" t="s">
        <v>1</v>
      </c>
    </row>
    <row r="4015" spans="1:3" x14ac:dyDescent="0.15">
      <c r="A4015" s="203">
        <v>37316</v>
      </c>
      <c r="B4015" s="202">
        <v>1.0210837905634398E-2</v>
      </c>
      <c r="C4015" s="194" t="s">
        <v>1</v>
      </c>
    </row>
    <row r="4016" spans="1:3" x14ac:dyDescent="0.15">
      <c r="A4016" s="203">
        <v>37317</v>
      </c>
      <c r="B4016" s="202">
        <v>1.0210837905634398E-2</v>
      </c>
      <c r="C4016" s="194" t="s">
        <v>1</v>
      </c>
    </row>
    <row r="4017" spans="1:3" x14ac:dyDescent="0.15">
      <c r="A4017" s="203">
        <v>37318</v>
      </c>
      <c r="B4017" s="202">
        <v>1.0210837905634398E-2</v>
      </c>
      <c r="C4017" s="194" t="s">
        <v>1</v>
      </c>
    </row>
    <row r="4018" spans="1:3" x14ac:dyDescent="0.15">
      <c r="A4018" s="203">
        <v>37319</v>
      </c>
      <c r="B4018" s="202">
        <v>1.021173468965699E-2</v>
      </c>
      <c r="C4018" s="194" t="s">
        <v>1</v>
      </c>
    </row>
    <row r="4019" spans="1:3" x14ac:dyDescent="0.15">
      <c r="A4019" s="203">
        <v>37320</v>
      </c>
      <c r="B4019" s="202">
        <v>1.0212631552441148E-2</v>
      </c>
      <c r="C4019" s="194" t="s">
        <v>1</v>
      </c>
    </row>
    <row r="4020" spans="1:3" x14ac:dyDescent="0.15">
      <c r="A4020" s="203">
        <v>37321</v>
      </c>
      <c r="B4020" s="202">
        <v>1.021352849399379E-2</v>
      </c>
      <c r="C4020" s="194" t="s">
        <v>1</v>
      </c>
    </row>
    <row r="4021" spans="1:3" x14ac:dyDescent="0.15">
      <c r="A4021" s="203">
        <v>37322</v>
      </c>
      <c r="B4021" s="202">
        <v>1.0214425514321833E-2</v>
      </c>
      <c r="C4021" s="194" t="s">
        <v>1</v>
      </c>
    </row>
    <row r="4022" spans="1:3" x14ac:dyDescent="0.15">
      <c r="A4022" s="203">
        <v>37323</v>
      </c>
      <c r="B4022" s="202">
        <v>1.0215322613432195E-2</v>
      </c>
      <c r="C4022" s="194" t="s">
        <v>1</v>
      </c>
    </row>
    <row r="4023" spans="1:3" x14ac:dyDescent="0.15">
      <c r="A4023" s="203">
        <v>37324</v>
      </c>
      <c r="B4023" s="202">
        <v>1.0215322613432195E-2</v>
      </c>
      <c r="C4023" s="194" t="s">
        <v>1</v>
      </c>
    </row>
    <row r="4024" spans="1:3" x14ac:dyDescent="0.15">
      <c r="A4024" s="203">
        <v>37325</v>
      </c>
      <c r="B4024" s="202">
        <v>1.0215322613432195E-2</v>
      </c>
      <c r="C4024" s="194" t="s">
        <v>1</v>
      </c>
    </row>
    <row r="4025" spans="1:3" x14ac:dyDescent="0.15">
      <c r="A4025" s="203">
        <v>37326</v>
      </c>
      <c r="B4025" s="202">
        <v>1.0216219791331796E-2</v>
      </c>
      <c r="C4025" s="194" t="s">
        <v>1</v>
      </c>
    </row>
    <row r="4026" spans="1:3" x14ac:dyDescent="0.15">
      <c r="A4026" s="203">
        <v>37327</v>
      </c>
      <c r="B4026" s="202">
        <v>1.0217117048027555E-2</v>
      </c>
      <c r="C4026" s="194" t="s">
        <v>1</v>
      </c>
    </row>
    <row r="4027" spans="1:3" x14ac:dyDescent="0.15">
      <c r="A4027" s="203">
        <v>37328</v>
      </c>
      <c r="B4027" s="202">
        <v>1.0218014383526396E-2</v>
      </c>
      <c r="C4027" s="194" t="s">
        <v>1</v>
      </c>
    </row>
    <row r="4028" spans="1:3" x14ac:dyDescent="0.15">
      <c r="A4028" s="203">
        <v>37329</v>
      </c>
      <c r="B4028" s="202">
        <v>1.0218911797835236E-2</v>
      </c>
      <c r="C4028" s="194" t="s">
        <v>1</v>
      </c>
    </row>
    <row r="4029" spans="1:3" x14ac:dyDescent="0.15">
      <c r="A4029" s="203">
        <v>37330</v>
      </c>
      <c r="B4029" s="202">
        <v>1.0219809290960998E-2</v>
      </c>
      <c r="C4029" s="194" t="s">
        <v>1</v>
      </c>
    </row>
    <row r="4030" spans="1:3" x14ac:dyDescent="0.15">
      <c r="A4030" s="203">
        <v>37331</v>
      </c>
      <c r="B4030" s="202">
        <v>1.0219809290960998E-2</v>
      </c>
      <c r="C4030" s="194" t="s">
        <v>1</v>
      </c>
    </row>
    <row r="4031" spans="1:3" x14ac:dyDescent="0.15">
      <c r="A4031" s="203">
        <v>37332</v>
      </c>
      <c r="B4031" s="202">
        <v>1.0219809290960998E-2</v>
      </c>
      <c r="C4031" s="194" t="s">
        <v>1</v>
      </c>
    </row>
    <row r="4032" spans="1:3" x14ac:dyDescent="0.15">
      <c r="A4032" s="203">
        <v>37333</v>
      </c>
      <c r="B4032" s="202">
        <v>1.0220706862910604E-2</v>
      </c>
      <c r="C4032" s="194" t="s">
        <v>1</v>
      </c>
    </row>
    <row r="4033" spans="1:3" x14ac:dyDescent="0.15">
      <c r="A4033" s="203">
        <v>37334</v>
      </c>
      <c r="B4033" s="202">
        <v>1.0221604513690977E-2</v>
      </c>
      <c r="C4033" s="194" t="s">
        <v>1</v>
      </c>
    </row>
    <row r="4034" spans="1:3" x14ac:dyDescent="0.15">
      <c r="A4034" s="203">
        <v>37335</v>
      </c>
      <c r="B4034" s="202">
        <v>1.0222502243309041E-2</v>
      </c>
      <c r="C4034" s="194" t="s">
        <v>1</v>
      </c>
    </row>
    <row r="4035" spans="1:3" x14ac:dyDescent="0.15">
      <c r="A4035" s="203">
        <v>37336</v>
      </c>
      <c r="B4035" s="202">
        <v>1.0223400051771719E-2</v>
      </c>
      <c r="C4035" s="194" t="s">
        <v>1</v>
      </c>
    </row>
    <row r="4036" spans="1:3" x14ac:dyDescent="0.15">
      <c r="A4036" s="203">
        <v>37337</v>
      </c>
      <c r="B4036" s="202">
        <v>1.0224297939085936E-2</v>
      </c>
      <c r="C4036" s="194" t="s">
        <v>1</v>
      </c>
    </row>
    <row r="4037" spans="1:3" x14ac:dyDescent="0.15">
      <c r="A4037" s="203">
        <v>37338</v>
      </c>
      <c r="B4037" s="202">
        <v>1.0224297939085936E-2</v>
      </c>
      <c r="C4037" s="194" t="s">
        <v>1</v>
      </c>
    </row>
    <row r="4038" spans="1:3" x14ac:dyDescent="0.15">
      <c r="A4038" s="203">
        <v>37339</v>
      </c>
      <c r="B4038" s="202">
        <v>1.0224297939085936E-2</v>
      </c>
      <c r="C4038" s="194" t="s">
        <v>1</v>
      </c>
    </row>
    <row r="4039" spans="1:3" x14ac:dyDescent="0.15">
      <c r="A4039" s="203">
        <v>37340</v>
      </c>
      <c r="B4039" s="202">
        <v>1.0225195905258617E-2</v>
      </c>
      <c r="C4039" s="194" t="s">
        <v>1</v>
      </c>
    </row>
    <row r="4040" spans="1:3" x14ac:dyDescent="0.15">
      <c r="A4040" s="203">
        <v>37341</v>
      </c>
      <c r="B4040" s="202">
        <v>1.0226093950296689E-2</v>
      </c>
      <c r="C4040" s="194" t="s">
        <v>1</v>
      </c>
    </row>
    <row r="4041" spans="1:3" x14ac:dyDescent="0.15">
      <c r="A4041" s="203">
        <v>37342</v>
      </c>
      <c r="B4041" s="202">
        <v>1.0226992074207077E-2</v>
      </c>
      <c r="C4041" s="194" t="s">
        <v>1</v>
      </c>
    </row>
    <row r="4042" spans="1:3" x14ac:dyDescent="0.15">
      <c r="A4042" s="203">
        <v>37343</v>
      </c>
      <c r="B4042" s="202">
        <v>1.022789027699671E-2</v>
      </c>
      <c r="C4042" s="194" t="s">
        <v>1</v>
      </c>
    </row>
    <row r="4043" spans="1:3" x14ac:dyDescent="0.15">
      <c r="A4043" s="203">
        <v>37344</v>
      </c>
      <c r="B4043" s="202">
        <v>1.022789027699671E-2</v>
      </c>
      <c r="C4043" s="194" t="s">
        <v>1</v>
      </c>
    </row>
    <row r="4044" spans="1:3" x14ac:dyDescent="0.15">
      <c r="A4044" s="203">
        <v>37345</v>
      </c>
      <c r="B4044" s="202">
        <v>1.022789027699671E-2</v>
      </c>
      <c r="C4044" s="194" t="s">
        <v>1</v>
      </c>
    </row>
    <row r="4045" spans="1:3" x14ac:dyDescent="0.15">
      <c r="A4045" s="203">
        <v>37346</v>
      </c>
      <c r="B4045" s="202">
        <v>1.022789027699671E-2</v>
      </c>
      <c r="C4045" s="194" t="s">
        <v>1</v>
      </c>
    </row>
    <row r="4046" spans="1:3" x14ac:dyDescent="0.15">
      <c r="A4046" s="203">
        <v>37347</v>
      </c>
      <c r="B4046" s="202">
        <v>1.0228788558672514E-2</v>
      </c>
      <c r="C4046" s="194" t="s">
        <v>1</v>
      </c>
    </row>
    <row r="4047" spans="1:3" x14ac:dyDescent="0.15">
      <c r="A4047" s="203">
        <v>37348</v>
      </c>
      <c r="B4047" s="202">
        <v>1.022993533182966E-2</v>
      </c>
      <c r="C4047" s="194" t="s">
        <v>1</v>
      </c>
    </row>
    <row r="4048" spans="1:3" x14ac:dyDescent="0.15">
      <c r="A4048" s="203">
        <v>37349</v>
      </c>
      <c r="B4048" s="202">
        <v>1.0231082233554199E-2</v>
      </c>
      <c r="C4048" s="194" t="s">
        <v>1</v>
      </c>
    </row>
    <row r="4049" spans="1:3" x14ac:dyDescent="0.15">
      <c r="A4049" s="203">
        <v>37350</v>
      </c>
      <c r="B4049" s="202">
        <v>1.0232229263860545E-2</v>
      </c>
      <c r="C4049" s="194" t="s">
        <v>1</v>
      </c>
    </row>
    <row r="4050" spans="1:3" x14ac:dyDescent="0.15">
      <c r="A4050" s="203">
        <v>37351</v>
      </c>
      <c r="B4050" s="202">
        <v>1.0233376422763112E-2</v>
      </c>
      <c r="C4050" s="194" t="s">
        <v>1</v>
      </c>
    </row>
    <row r="4051" spans="1:3" x14ac:dyDescent="0.15">
      <c r="A4051" s="203">
        <v>37352</v>
      </c>
      <c r="B4051" s="202">
        <v>1.0233376422763112E-2</v>
      </c>
      <c r="C4051" s="194" t="s">
        <v>1</v>
      </c>
    </row>
    <row r="4052" spans="1:3" x14ac:dyDescent="0.15">
      <c r="A4052" s="203">
        <v>37353</v>
      </c>
      <c r="B4052" s="202">
        <v>1.0233376422763112E-2</v>
      </c>
      <c r="C4052" s="194" t="s">
        <v>1</v>
      </c>
    </row>
    <row r="4053" spans="1:3" x14ac:dyDescent="0.15">
      <c r="A4053" s="203">
        <v>37354</v>
      </c>
      <c r="B4053" s="202">
        <v>1.0234523710276318E-2</v>
      </c>
      <c r="C4053" s="194" t="s">
        <v>1</v>
      </c>
    </row>
    <row r="4054" spans="1:3" x14ac:dyDescent="0.15">
      <c r="A4054" s="203">
        <v>37355</v>
      </c>
      <c r="B4054" s="202">
        <v>1.0235671126414582E-2</v>
      </c>
      <c r="C4054" s="194" t="s">
        <v>1</v>
      </c>
    </row>
    <row r="4055" spans="1:3" x14ac:dyDescent="0.15">
      <c r="A4055" s="203">
        <v>37356</v>
      </c>
      <c r="B4055" s="202">
        <v>1.0236818671192326E-2</v>
      </c>
      <c r="C4055" s="194" t="s">
        <v>1</v>
      </c>
    </row>
    <row r="4056" spans="1:3" x14ac:dyDescent="0.15">
      <c r="A4056" s="203">
        <v>37357</v>
      </c>
      <c r="B4056" s="202">
        <v>1.0237966344623969E-2</v>
      </c>
      <c r="C4056" s="194" t="s">
        <v>1</v>
      </c>
    </row>
    <row r="4057" spans="1:3" x14ac:dyDescent="0.15">
      <c r="A4057" s="203">
        <v>37358</v>
      </c>
      <c r="B4057" s="202">
        <v>1.0239114146723937E-2</v>
      </c>
      <c r="C4057" s="194" t="s">
        <v>1</v>
      </c>
    </row>
    <row r="4058" spans="1:3" x14ac:dyDescent="0.15">
      <c r="A4058" s="203">
        <v>37359</v>
      </c>
      <c r="B4058" s="202">
        <v>1.0239114146723937E-2</v>
      </c>
      <c r="C4058" s="194" t="s">
        <v>1</v>
      </c>
    </row>
    <row r="4059" spans="1:3" x14ac:dyDescent="0.15">
      <c r="A4059" s="203">
        <v>37360</v>
      </c>
      <c r="B4059" s="202">
        <v>1.0239114146723937E-2</v>
      </c>
      <c r="C4059" s="194" t="s">
        <v>1</v>
      </c>
    </row>
    <row r="4060" spans="1:3" x14ac:dyDescent="0.15">
      <c r="A4060" s="203">
        <v>37361</v>
      </c>
      <c r="B4060" s="202">
        <v>1.0240262077506656E-2</v>
      </c>
      <c r="C4060" s="194" t="s">
        <v>1</v>
      </c>
    </row>
    <row r="4061" spans="1:3" x14ac:dyDescent="0.15">
      <c r="A4061" s="203">
        <v>37362</v>
      </c>
      <c r="B4061" s="202">
        <v>1.024141013698655E-2</v>
      </c>
      <c r="C4061" s="194" t="s">
        <v>1</v>
      </c>
    </row>
    <row r="4062" spans="1:3" x14ac:dyDescent="0.15">
      <c r="A4062" s="203">
        <v>37363</v>
      </c>
      <c r="B4062" s="202">
        <v>1.024255832517805E-2</v>
      </c>
      <c r="C4062" s="194" t="s">
        <v>1</v>
      </c>
    </row>
    <row r="4063" spans="1:3" x14ac:dyDescent="0.15">
      <c r="A4063" s="203">
        <v>37364</v>
      </c>
      <c r="B4063" s="202">
        <v>1.0243706642095585E-2</v>
      </c>
      <c r="C4063" s="194" t="s">
        <v>1</v>
      </c>
    </row>
    <row r="4064" spans="1:3" x14ac:dyDescent="0.15">
      <c r="A4064" s="203">
        <v>37365</v>
      </c>
      <c r="B4064" s="202">
        <v>1.0244855087753588E-2</v>
      </c>
      <c r="C4064" s="194" t="s">
        <v>1</v>
      </c>
    </row>
    <row r="4065" spans="1:3" x14ac:dyDescent="0.15">
      <c r="A4065" s="203">
        <v>37366</v>
      </c>
      <c r="B4065" s="202">
        <v>1.0244855087753588E-2</v>
      </c>
      <c r="C4065" s="194" t="s">
        <v>1</v>
      </c>
    </row>
    <row r="4066" spans="1:3" x14ac:dyDescent="0.15">
      <c r="A4066" s="203">
        <v>37367</v>
      </c>
      <c r="B4066" s="202">
        <v>1.0244855087753588E-2</v>
      </c>
      <c r="C4066" s="194" t="s">
        <v>1</v>
      </c>
    </row>
    <row r="4067" spans="1:3" x14ac:dyDescent="0.15">
      <c r="A4067" s="203">
        <v>37368</v>
      </c>
      <c r="B4067" s="202">
        <v>1.0246003662166492E-2</v>
      </c>
      <c r="C4067" s="194" t="s">
        <v>1</v>
      </c>
    </row>
    <row r="4068" spans="1:3" x14ac:dyDescent="0.15">
      <c r="A4068" s="203">
        <v>37369</v>
      </c>
      <c r="B4068" s="202">
        <v>1.0247152365348731E-2</v>
      </c>
      <c r="C4068" s="194" t="s">
        <v>1</v>
      </c>
    </row>
    <row r="4069" spans="1:3" x14ac:dyDescent="0.15">
      <c r="A4069" s="203">
        <v>37370</v>
      </c>
      <c r="B4069" s="202">
        <v>1.0248301197314742E-2</v>
      </c>
      <c r="C4069" s="194" t="s">
        <v>1</v>
      </c>
    </row>
    <row r="4070" spans="1:3" x14ac:dyDescent="0.15">
      <c r="A4070" s="203">
        <v>37371</v>
      </c>
      <c r="B4070" s="202">
        <v>1.0249450158078963E-2</v>
      </c>
      <c r="C4070" s="194" t="s">
        <v>1</v>
      </c>
    </row>
    <row r="4071" spans="1:3" x14ac:dyDescent="0.15">
      <c r="A4071" s="203">
        <v>37372</v>
      </c>
      <c r="B4071" s="202">
        <v>1.0250599247655834E-2</v>
      </c>
      <c r="C4071" s="194" t="s">
        <v>1</v>
      </c>
    </row>
    <row r="4072" spans="1:3" x14ac:dyDescent="0.15">
      <c r="A4072" s="203">
        <v>37373</v>
      </c>
      <c r="B4072" s="202">
        <v>1.0250599247655834E-2</v>
      </c>
      <c r="C4072" s="194" t="s">
        <v>1</v>
      </c>
    </row>
    <row r="4073" spans="1:3" x14ac:dyDescent="0.15">
      <c r="A4073" s="203">
        <v>37374</v>
      </c>
      <c r="B4073" s="202">
        <v>1.0250599247655834E-2</v>
      </c>
      <c r="C4073" s="194" t="s">
        <v>1</v>
      </c>
    </row>
    <row r="4074" spans="1:3" x14ac:dyDescent="0.15">
      <c r="A4074" s="203">
        <v>37375</v>
      </c>
      <c r="B4074" s="202">
        <v>1.0251748466059796E-2</v>
      </c>
      <c r="C4074" s="194" t="s">
        <v>1</v>
      </c>
    </row>
    <row r="4075" spans="1:3" x14ac:dyDescent="0.15">
      <c r="A4075" s="203">
        <v>37376</v>
      </c>
      <c r="B4075" s="202">
        <v>1.0252897813305295E-2</v>
      </c>
      <c r="C4075" s="194" t="s">
        <v>1</v>
      </c>
    </row>
    <row r="4076" spans="1:3" x14ac:dyDescent="0.15">
      <c r="A4076" s="203">
        <v>37377</v>
      </c>
      <c r="B4076" s="202">
        <v>1.0252897813305295E-2</v>
      </c>
      <c r="C4076" s="194" t="s">
        <v>1</v>
      </c>
    </row>
    <row r="4077" spans="1:3" x14ac:dyDescent="0.15">
      <c r="A4077" s="203">
        <v>37378</v>
      </c>
      <c r="B4077" s="202">
        <v>1.0253923053712501E-2</v>
      </c>
      <c r="C4077" s="194" t="s">
        <v>1</v>
      </c>
    </row>
    <row r="4078" spans="1:3" x14ac:dyDescent="0.15">
      <c r="A4078" s="203">
        <v>37379</v>
      </c>
      <c r="B4078" s="202">
        <v>1.025494839663881E-2</v>
      </c>
      <c r="C4078" s="194" t="s">
        <v>1</v>
      </c>
    </row>
    <row r="4079" spans="1:3" x14ac:dyDescent="0.15">
      <c r="A4079" s="203">
        <v>37380</v>
      </c>
      <c r="B4079" s="202">
        <v>1.025494839663881E-2</v>
      </c>
      <c r="C4079" s="194" t="s">
        <v>1</v>
      </c>
    </row>
    <row r="4080" spans="1:3" x14ac:dyDescent="0.15">
      <c r="A4080" s="203">
        <v>37381</v>
      </c>
      <c r="B4080" s="202">
        <v>1.025494839663881E-2</v>
      </c>
      <c r="C4080" s="194" t="s">
        <v>1</v>
      </c>
    </row>
    <row r="4081" spans="1:3" x14ac:dyDescent="0.15">
      <c r="A4081" s="203">
        <v>37382</v>
      </c>
      <c r="B4081" s="202">
        <v>1.0255973842094474E-2</v>
      </c>
      <c r="C4081" s="194" t="s">
        <v>1</v>
      </c>
    </row>
    <row r="4082" spans="1:3" x14ac:dyDescent="0.15">
      <c r="A4082" s="203">
        <v>37383</v>
      </c>
      <c r="B4082" s="202">
        <v>1.0256999390089745E-2</v>
      </c>
      <c r="C4082" s="194" t="s">
        <v>1</v>
      </c>
    </row>
    <row r="4083" spans="1:3" x14ac:dyDescent="0.15">
      <c r="A4083" s="203">
        <v>37384</v>
      </c>
      <c r="B4083" s="202">
        <v>1.0258025040634876E-2</v>
      </c>
      <c r="C4083" s="194" t="s">
        <v>1</v>
      </c>
    </row>
    <row r="4084" spans="1:3" x14ac:dyDescent="0.15">
      <c r="A4084" s="203">
        <v>37385</v>
      </c>
      <c r="B4084" s="202">
        <v>1.0259050793740124E-2</v>
      </c>
      <c r="C4084" s="194" t="s">
        <v>1</v>
      </c>
    </row>
    <row r="4085" spans="1:3" x14ac:dyDescent="0.15">
      <c r="A4085" s="203">
        <v>37386</v>
      </c>
      <c r="B4085" s="202">
        <v>1.0260076649415743E-2</v>
      </c>
      <c r="C4085" s="194" t="s">
        <v>1</v>
      </c>
    </row>
    <row r="4086" spans="1:3" x14ac:dyDescent="0.15">
      <c r="A4086" s="203">
        <v>37387</v>
      </c>
      <c r="B4086" s="202">
        <v>1.0260076649415743E-2</v>
      </c>
      <c r="C4086" s="194" t="s">
        <v>1</v>
      </c>
    </row>
    <row r="4087" spans="1:3" x14ac:dyDescent="0.15">
      <c r="A4087" s="203">
        <v>37388</v>
      </c>
      <c r="B4087" s="202">
        <v>1.0260076649415743E-2</v>
      </c>
      <c r="C4087" s="194" t="s">
        <v>1</v>
      </c>
    </row>
    <row r="4088" spans="1:3" x14ac:dyDescent="0.15">
      <c r="A4088" s="203">
        <v>37389</v>
      </c>
      <c r="B4088" s="202">
        <v>1.026110260767199E-2</v>
      </c>
      <c r="C4088" s="194" t="s">
        <v>1</v>
      </c>
    </row>
    <row r="4089" spans="1:3" x14ac:dyDescent="0.15">
      <c r="A4089" s="203">
        <v>37390</v>
      </c>
      <c r="B4089" s="202">
        <v>1.0262128668519121E-2</v>
      </c>
      <c r="C4089" s="194" t="s">
        <v>1</v>
      </c>
    </row>
    <row r="4090" spans="1:3" x14ac:dyDescent="0.15">
      <c r="A4090" s="203">
        <v>37391</v>
      </c>
      <c r="B4090" s="202">
        <v>1.0263154831967396E-2</v>
      </c>
      <c r="C4090" s="194" t="s">
        <v>1</v>
      </c>
    </row>
    <row r="4091" spans="1:3" x14ac:dyDescent="0.15">
      <c r="A4091" s="203">
        <v>37392</v>
      </c>
      <c r="B4091" s="202">
        <v>1.0264181098027073E-2</v>
      </c>
      <c r="C4091" s="194" t="s">
        <v>1</v>
      </c>
    </row>
    <row r="4092" spans="1:3" x14ac:dyDescent="0.15">
      <c r="A4092" s="203">
        <v>37393</v>
      </c>
      <c r="B4092" s="202">
        <v>1.0265207466708415E-2</v>
      </c>
      <c r="C4092" s="194" t="s">
        <v>1</v>
      </c>
    </row>
    <row r="4093" spans="1:3" x14ac:dyDescent="0.15">
      <c r="A4093" s="203">
        <v>37394</v>
      </c>
      <c r="B4093" s="202">
        <v>1.0265207466708415E-2</v>
      </c>
      <c r="C4093" s="194" t="s">
        <v>1</v>
      </c>
    </row>
    <row r="4094" spans="1:3" x14ac:dyDescent="0.15">
      <c r="A4094" s="203">
        <v>37395</v>
      </c>
      <c r="B4094" s="202">
        <v>1.0265207466708415E-2</v>
      </c>
      <c r="C4094" s="194" t="s">
        <v>1</v>
      </c>
    </row>
    <row r="4095" spans="1:3" x14ac:dyDescent="0.15">
      <c r="A4095" s="203">
        <v>37396</v>
      </c>
      <c r="B4095" s="202">
        <v>1.0266233938021683E-2</v>
      </c>
      <c r="C4095" s="194" t="s">
        <v>1</v>
      </c>
    </row>
    <row r="4096" spans="1:3" x14ac:dyDescent="0.15">
      <c r="A4096" s="203">
        <v>37397</v>
      </c>
      <c r="B4096" s="202">
        <v>1.0267260511977138E-2</v>
      </c>
      <c r="C4096" s="194" t="s">
        <v>1</v>
      </c>
    </row>
    <row r="4097" spans="1:3" x14ac:dyDescent="0.15">
      <c r="A4097" s="203">
        <v>37398</v>
      </c>
      <c r="B4097" s="202">
        <v>1.0268287188585046E-2</v>
      </c>
      <c r="C4097" s="194" t="s">
        <v>1</v>
      </c>
    </row>
    <row r="4098" spans="1:3" x14ac:dyDescent="0.15">
      <c r="A4098" s="203">
        <v>37399</v>
      </c>
      <c r="B4098" s="202">
        <v>1.0269313967855671E-2</v>
      </c>
      <c r="C4098" s="194" t="s">
        <v>1</v>
      </c>
    </row>
    <row r="4099" spans="1:3" x14ac:dyDescent="0.15">
      <c r="A4099" s="203">
        <v>37400</v>
      </c>
      <c r="B4099" s="202">
        <v>1.0270340849799277E-2</v>
      </c>
      <c r="C4099" s="194" t="s">
        <v>1</v>
      </c>
    </row>
    <row r="4100" spans="1:3" x14ac:dyDescent="0.15">
      <c r="A4100" s="203">
        <v>37401</v>
      </c>
      <c r="B4100" s="202">
        <v>1.0270340849799277E-2</v>
      </c>
      <c r="C4100" s="194" t="s">
        <v>1</v>
      </c>
    </row>
    <row r="4101" spans="1:3" x14ac:dyDescent="0.15">
      <c r="A4101" s="203">
        <v>37402</v>
      </c>
      <c r="B4101" s="202">
        <v>1.0270340849799277E-2</v>
      </c>
      <c r="C4101" s="194" t="s">
        <v>1</v>
      </c>
    </row>
    <row r="4102" spans="1:3" x14ac:dyDescent="0.15">
      <c r="A4102" s="203">
        <v>37403</v>
      </c>
      <c r="B4102" s="202">
        <v>1.0271367834426132E-2</v>
      </c>
      <c r="C4102" s="194" t="s">
        <v>1</v>
      </c>
    </row>
    <row r="4103" spans="1:3" x14ac:dyDescent="0.15">
      <c r="A4103" s="203">
        <v>37404</v>
      </c>
      <c r="B4103" s="202">
        <v>1.0272394921746506E-2</v>
      </c>
      <c r="C4103" s="194" t="s">
        <v>1</v>
      </c>
    </row>
    <row r="4104" spans="1:3" x14ac:dyDescent="0.15">
      <c r="A4104" s="203">
        <v>37405</v>
      </c>
      <c r="B4104" s="202">
        <v>1.0273422111770665E-2</v>
      </c>
      <c r="C4104" s="194" t="s">
        <v>1</v>
      </c>
    </row>
    <row r="4105" spans="1:3" x14ac:dyDescent="0.15">
      <c r="A4105" s="203">
        <v>37406</v>
      </c>
      <c r="B4105" s="202">
        <v>1.0273422111770665E-2</v>
      </c>
      <c r="C4105" s="194" t="s">
        <v>1</v>
      </c>
    </row>
    <row r="4106" spans="1:3" x14ac:dyDescent="0.15">
      <c r="A4106" s="203">
        <v>37407</v>
      </c>
      <c r="B4106" s="202">
        <v>1.0274449404508879E-2</v>
      </c>
      <c r="C4106" s="194" t="s">
        <v>1</v>
      </c>
    </row>
    <row r="4107" spans="1:3" x14ac:dyDescent="0.15">
      <c r="A4107" s="203">
        <v>37408</v>
      </c>
      <c r="B4107" s="202">
        <v>1.0274449404508879E-2</v>
      </c>
      <c r="C4107" s="194" t="s">
        <v>1</v>
      </c>
    </row>
    <row r="4108" spans="1:3" x14ac:dyDescent="0.15">
      <c r="A4108" s="203">
        <v>37409</v>
      </c>
      <c r="B4108" s="202">
        <v>1.0274449404508879E-2</v>
      </c>
      <c r="C4108" s="194" t="s">
        <v>1</v>
      </c>
    </row>
    <row r="4109" spans="1:3" x14ac:dyDescent="0.15">
      <c r="A4109" s="203">
        <v>37410</v>
      </c>
      <c r="B4109" s="202">
        <v>1.0275222830543886E-2</v>
      </c>
      <c r="C4109" s="194" t="s">
        <v>1</v>
      </c>
    </row>
    <row r="4110" spans="1:3" x14ac:dyDescent="0.15">
      <c r="A4110" s="203">
        <v>37411</v>
      </c>
      <c r="B4110" s="202">
        <v>1.0275996314799805E-2</v>
      </c>
      <c r="C4110" s="194" t="s">
        <v>1</v>
      </c>
    </row>
    <row r="4111" spans="1:3" x14ac:dyDescent="0.15">
      <c r="A4111" s="203">
        <v>37412</v>
      </c>
      <c r="B4111" s="202">
        <v>1.0276769857281022E-2</v>
      </c>
      <c r="C4111" s="194" t="s">
        <v>1</v>
      </c>
    </row>
    <row r="4112" spans="1:3" x14ac:dyDescent="0.15">
      <c r="A4112" s="203">
        <v>37413</v>
      </c>
      <c r="B4112" s="202">
        <v>1.0277543457991917E-2</v>
      </c>
      <c r="C4112" s="194" t="s">
        <v>1</v>
      </c>
    </row>
    <row r="4113" spans="1:3" x14ac:dyDescent="0.15">
      <c r="A4113" s="203">
        <v>37414</v>
      </c>
      <c r="B4113" s="202">
        <v>1.0278317116936875E-2</v>
      </c>
      <c r="C4113" s="194" t="s">
        <v>1</v>
      </c>
    </row>
    <row r="4114" spans="1:3" x14ac:dyDescent="0.15">
      <c r="A4114" s="203">
        <v>37415</v>
      </c>
      <c r="B4114" s="202">
        <v>1.0278317116936875E-2</v>
      </c>
      <c r="C4114" s="194" t="s">
        <v>1</v>
      </c>
    </row>
    <row r="4115" spans="1:3" x14ac:dyDescent="0.15">
      <c r="A4115" s="203">
        <v>37416</v>
      </c>
      <c r="B4115" s="202">
        <v>1.0278317116936875E-2</v>
      </c>
      <c r="C4115" s="194" t="s">
        <v>1</v>
      </c>
    </row>
    <row r="4116" spans="1:3" x14ac:dyDescent="0.15">
      <c r="A4116" s="203">
        <v>37417</v>
      </c>
      <c r="B4116" s="202">
        <v>1.0279090834120279E-2</v>
      </c>
      <c r="C4116" s="194" t="s">
        <v>1</v>
      </c>
    </row>
    <row r="4117" spans="1:3" x14ac:dyDescent="0.15">
      <c r="A4117" s="203">
        <v>37418</v>
      </c>
      <c r="B4117" s="202">
        <v>1.0279864609546514E-2</v>
      </c>
      <c r="C4117" s="194" t="s">
        <v>1</v>
      </c>
    </row>
    <row r="4118" spans="1:3" x14ac:dyDescent="0.15">
      <c r="A4118" s="203">
        <v>37419</v>
      </c>
      <c r="B4118" s="202">
        <v>1.0280638443219962E-2</v>
      </c>
      <c r="C4118" s="194" t="s">
        <v>1</v>
      </c>
    </row>
    <row r="4119" spans="1:3" x14ac:dyDescent="0.15">
      <c r="A4119" s="203">
        <v>37420</v>
      </c>
      <c r="B4119" s="202">
        <v>1.0281412335145011E-2</v>
      </c>
      <c r="C4119" s="194" t="s">
        <v>1</v>
      </c>
    </row>
    <row r="4120" spans="1:3" x14ac:dyDescent="0.15">
      <c r="A4120" s="203">
        <v>37421</v>
      </c>
      <c r="B4120" s="202">
        <v>1.0282186285326044E-2</v>
      </c>
      <c r="C4120" s="194" t="s">
        <v>1</v>
      </c>
    </row>
    <row r="4121" spans="1:3" x14ac:dyDescent="0.15">
      <c r="A4121" s="203">
        <v>37422</v>
      </c>
      <c r="B4121" s="202">
        <v>1.0282186285326044E-2</v>
      </c>
      <c r="C4121" s="194" t="s">
        <v>1</v>
      </c>
    </row>
    <row r="4122" spans="1:3" x14ac:dyDescent="0.15">
      <c r="A4122" s="203">
        <v>37423</v>
      </c>
      <c r="B4122" s="202">
        <v>1.0282186285326044E-2</v>
      </c>
      <c r="C4122" s="194" t="s">
        <v>1</v>
      </c>
    </row>
    <row r="4123" spans="1:3" x14ac:dyDescent="0.15">
      <c r="A4123" s="203">
        <v>37424</v>
      </c>
      <c r="B4123" s="202">
        <v>1.0282960293767447E-2</v>
      </c>
      <c r="C4123" s="194" t="s">
        <v>1</v>
      </c>
    </row>
    <row r="4124" spans="1:3" x14ac:dyDescent="0.15">
      <c r="A4124" s="203">
        <v>37425</v>
      </c>
      <c r="B4124" s="202">
        <v>1.0283734360473605E-2</v>
      </c>
      <c r="C4124" s="194" t="s">
        <v>1</v>
      </c>
    </row>
    <row r="4125" spans="1:3" x14ac:dyDescent="0.15">
      <c r="A4125" s="203">
        <v>37426</v>
      </c>
      <c r="B4125" s="202">
        <v>1.0284508485448905E-2</v>
      </c>
      <c r="C4125" s="194" t="s">
        <v>1</v>
      </c>
    </row>
    <row r="4126" spans="1:3" x14ac:dyDescent="0.15">
      <c r="A4126" s="203">
        <v>37427</v>
      </c>
      <c r="B4126" s="202">
        <v>1.0285282668697731E-2</v>
      </c>
      <c r="C4126" s="194" t="s">
        <v>1</v>
      </c>
    </row>
    <row r="4127" spans="1:3" x14ac:dyDescent="0.15">
      <c r="A4127" s="203">
        <v>37428</v>
      </c>
      <c r="B4127" s="202">
        <v>1.0286056910224472E-2</v>
      </c>
      <c r="C4127" s="194" t="s">
        <v>1</v>
      </c>
    </row>
    <row r="4128" spans="1:3" x14ac:dyDescent="0.15">
      <c r="A4128" s="203">
        <v>37429</v>
      </c>
      <c r="B4128" s="202">
        <v>1.0286056910224472E-2</v>
      </c>
      <c r="C4128" s="194" t="s">
        <v>1</v>
      </c>
    </row>
    <row r="4129" spans="1:3" x14ac:dyDescent="0.15">
      <c r="A4129" s="203">
        <v>37430</v>
      </c>
      <c r="B4129" s="202">
        <v>1.0286056910224472E-2</v>
      </c>
      <c r="C4129" s="194" t="s">
        <v>1</v>
      </c>
    </row>
    <row r="4130" spans="1:3" x14ac:dyDescent="0.15">
      <c r="A4130" s="203">
        <v>37431</v>
      </c>
      <c r="B4130" s="202">
        <v>1.0286831210033515E-2</v>
      </c>
      <c r="C4130" s="194" t="s">
        <v>1</v>
      </c>
    </row>
    <row r="4131" spans="1:3" x14ac:dyDescent="0.15">
      <c r="A4131" s="203">
        <v>37432</v>
      </c>
      <c r="B4131" s="202">
        <v>1.0287605568129245E-2</v>
      </c>
      <c r="C4131" s="194" t="s">
        <v>1</v>
      </c>
    </row>
    <row r="4132" spans="1:3" x14ac:dyDescent="0.15">
      <c r="A4132" s="203">
        <v>37433</v>
      </c>
      <c r="B4132" s="202">
        <v>1.0288379984516052E-2</v>
      </c>
      <c r="C4132" s="194" t="s">
        <v>1</v>
      </c>
    </row>
    <row r="4133" spans="1:3" x14ac:dyDescent="0.15">
      <c r="A4133" s="203">
        <v>37434</v>
      </c>
      <c r="B4133" s="202">
        <v>1.0289154459198323E-2</v>
      </c>
      <c r="C4133" s="194" t="s">
        <v>1</v>
      </c>
    </row>
    <row r="4134" spans="1:3" x14ac:dyDescent="0.15">
      <c r="A4134" s="203">
        <v>37435</v>
      </c>
      <c r="B4134" s="202">
        <v>1.0289928992180446E-2</v>
      </c>
      <c r="C4134" s="194" t="s">
        <v>1</v>
      </c>
    </row>
    <row r="4135" spans="1:3" x14ac:dyDescent="0.15">
      <c r="A4135" s="203">
        <v>37436</v>
      </c>
      <c r="B4135" s="202">
        <v>1.0289928992180446E-2</v>
      </c>
      <c r="C4135" s="194" t="s">
        <v>1</v>
      </c>
    </row>
    <row r="4136" spans="1:3" x14ac:dyDescent="0.15">
      <c r="A4136" s="203">
        <v>37437</v>
      </c>
      <c r="B4136" s="202">
        <v>1.0289928992180446E-2</v>
      </c>
      <c r="C4136" s="194" t="s">
        <v>1</v>
      </c>
    </row>
    <row r="4137" spans="1:3" x14ac:dyDescent="0.15">
      <c r="A4137" s="203">
        <v>37438</v>
      </c>
      <c r="B4137" s="202">
        <v>1.029070358346681E-2</v>
      </c>
      <c r="C4137" s="194" t="s">
        <v>1</v>
      </c>
    </row>
    <row r="4138" spans="1:3" x14ac:dyDescent="0.15">
      <c r="A4138" s="203">
        <v>37439</v>
      </c>
      <c r="B4138" s="202">
        <v>1.029189042911163E-2</v>
      </c>
      <c r="C4138" s="194" t="s">
        <v>1</v>
      </c>
    </row>
    <row r="4139" spans="1:3" x14ac:dyDescent="0.15">
      <c r="A4139" s="203">
        <v>37440</v>
      </c>
      <c r="B4139" s="202">
        <v>1.0293077411637527E-2</v>
      </c>
      <c r="C4139" s="194" t="s">
        <v>1</v>
      </c>
    </row>
    <row r="4140" spans="1:3" x14ac:dyDescent="0.15">
      <c r="A4140" s="203">
        <v>37441</v>
      </c>
      <c r="B4140" s="202">
        <v>1.0294264531060287E-2</v>
      </c>
      <c r="C4140" s="194" t="s">
        <v>1</v>
      </c>
    </row>
    <row r="4141" spans="1:3" x14ac:dyDescent="0.15">
      <c r="A4141" s="203">
        <v>37442</v>
      </c>
      <c r="B4141" s="202">
        <v>1.02954517873957E-2</v>
      </c>
      <c r="C4141" s="194" t="s">
        <v>1</v>
      </c>
    </row>
    <row r="4142" spans="1:3" x14ac:dyDescent="0.15">
      <c r="A4142" s="203">
        <v>37443</v>
      </c>
      <c r="B4142" s="202">
        <v>1.02954517873957E-2</v>
      </c>
      <c r="C4142" s="194" t="s">
        <v>1</v>
      </c>
    </row>
    <row r="4143" spans="1:3" x14ac:dyDescent="0.15">
      <c r="A4143" s="203">
        <v>37444</v>
      </c>
      <c r="B4143" s="202">
        <v>1.02954517873957E-2</v>
      </c>
      <c r="C4143" s="194" t="s">
        <v>1</v>
      </c>
    </row>
    <row r="4144" spans="1:3" x14ac:dyDescent="0.15">
      <c r="A4144" s="203">
        <v>37445</v>
      </c>
      <c r="B4144" s="202">
        <v>1.0296639180659553E-2</v>
      </c>
      <c r="C4144" s="194" t="s">
        <v>1</v>
      </c>
    </row>
    <row r="4145" spans="1:3" x14ac:dyDescent="0.15">
      <c r="A4145" s="203">
        <v>37446</v>
      </c>
      <c r="B4145" s="202">
        <v>1.0297826710867642E-2</v>
      </c>
      <c r="C4145" s="194" t="s">
        <v>1</v>
      </c>
    </row>
    <row r="4146" spans="1:3" x14ac:dyDescent="0.15">
      <c r="A4146" s="203">
        <v>37447</v>
      </c>
      <c r="B4146" s="202">
        <v>1.0299014378035759E-2</v>
      </c>
      <c r="C4146" s="194" t="s">
        <v>1</v>
      </c>
    </row>
    <row r="4147" spans="1:3" x14ac:dyDescent="0.15">
      <c r="A4147" s="203">
        <v>37448</v>
      </c>
      <c r="B4147" s="202">
        <v>1.0300202182179702E-2</v>
      </c>
      <c r="C4147" s="194" t="s">
        <v>1</v>
      </c>
    </row>
    <row r="4148" spans="1:3" x14ac:dyDescent="0.15">
      <c r="A4148" s="203">
        <v>37449</v>
      </c>
      <c r="B4148" s="202">
        <v>1.0301390123315265E-2</v>
      </c>
      <c r="C4148" s="194" t="s">
        <v>1</v>
      </c>
    </row>
    <row r="4149" spans="1:3" x14ac:dyDescent="0.15">
      <c r="A4149" s="203">
        <v>37450</v>
      </c>
      <c r="B4149" s="202">
        <v>1.0301390123315265E-2</v>
      </c>
      <c r="C4149" s="194" t="s">
        <v>1</v>
      </c>
    </row>
    <row r="4150" spans="1:3" x14ac:dyDescent="0.15">
      <c r="A4150" s="203">
        <v>37451</v>
      </c>
      <c r="B4150" s="202">
        <v>1.0301390123315265E-2</v>
      </c>
      <c r="C4150" s="194" t="s">
        <v>1</v>
      </c>
    </row>
    <row r="4151" spans="1:3" x14ac:dyDescent="0.15">
      <c r="A4151" s="203">
        <v>37452</v>
      </c>
      <c r="B4151" s="202">
        <v>1.0302578201458249E-2</v>
      </c>
      <c r="C4151" s="194" t="s">
        <v>1</v>
      </c>
    </row>
    <row r="4152" spans="1:3" x14ac:dyDescent="0.15">
      <c r="A4152" s="203">
        <v>37453</v>
      </c>
      <c r="B4152" s="202">
        <v>1.0303766416624456E-2</v>
      </c>
      <c r="C4152" s="194" t="s">
        <v>1</v>
      </c>
    </row>
    <row r="4153" spans="1:3" x14ac:dyDescent="0.15">
      <c r="A4153" s="203">
        <v>37454</v>
      </c>
      <c r="B4153" s="202">
        <v>1.0304954768829689E-2</v>
      </c>
      <c r="C4153" s="194" t="s">
        <v>1</v>
      </c>
    </row>
    <row r="4154" spans="1:3" x14ac:dyDescent="0.15">
      <c r="A4154" s="203">
        <v>37455</v>
      </c>
      <c r="B4154" s="202">
        <v>1.0306143258089753E-2</v>
      </c>
      <c r="C4154" s="194" t="s">
        <v>1</v>
      </c>
    </row>
    <row r="4155" spans="1:3" x14ac:dyDescent="0.15">
      <c r="A4155" s="203">
        <v>37456</v>
      </c>
      <c r="B4155" s="202">
        <v>1.0307331884420455E-2</v>
      </c>
      <c r="C4155" s="194" t="s">
        <v>1</v>
      </c>
    </row>
    <row r="4156" spans="1:3" x14ac:dyDescent="0.15">
      <c r="A4156" s="203">
        <v>37457</v>
      </c>
      <c r="B4156" s="202">
        <v>1.0307331884420455E-2</v>
      </c>
      <c r="C4156" s="194" t="s">
        <v>1</v>
      </c>
    </row>
    <row r="4157" spans="1:3" x14ac:dyDescent="0.15">
      <c r="A4157" s="203">
        <v>37458</v>
      </c>
      <c r="B4157" s="202">
        <v>1.0307331884420455E-2</v>
      </c>
      <c r="C4157" s="194" t="s">
        <v>1</v>
      </c>
    </row>
    <row r="4158" spans="1:3" x14ac:dyDescent="0.15">
      <c r="A4158" s="203">
        <v>37459</v>
      </c>
      <c r="B4158" s="202">
        <v>1.0308520647837603E-2</v>
      </c>
      <c r="C4158" s="194" t="s">
        <v>1</v>
      </c>
    </row>
    <row r="4159" spans="1:3" x14ac:dyDescent="0.15">
      <c r="A4159" s="203">
        <v>37460</v>
      </c>
      <c r="B4159" s="202">
        <v>1.0309709548357008E-2</v>
      </c>
      <c r="C4159" s="194" t="s">
        <v>1</v>
      </c>
    </row>
    <row r="4160" spans="1:3" x14ac:dyDescent="0.15">
      <c r="A4160" s="203">
        <v>37461</v>
      </c>
      <c r="B4160" s="202">
        <v>1.0310898585994481E-2</v>
      </c>
      <c r="C4160" s="194" t="s">
        <v>1</v>
      </c>
    </row>
    <row r="4161" spans="1:3" x14ac:dyDescent="0.15">
      <c r="A4161" s="203">
        <v>37462</v>
      </c>
      <c r="B4161" s="202">
        <v>1.0312087760765839E-2</v>
      </c>
      <c r="C4161" s="194" t="s">
        <v>1</v>
      </c>
    </row>
    <row r="4162" spans="1:3" x14ac:dyDescent="0.15">
      <c r="A4162" s="203">
        <v>37463</v>
      </c>
      <c r="B4162" s="202">
        <v>1.0313277072686894E-2</v>
      </c>
      <c r="C4162" s="194" t="s">
        <v>1</v>
      </c>
    </row>
    <row r="4163" spans="1:3" x14ac:dyDescent="0.15">
      <c r="A4163" s="203">
        <v>37464</v>
      </c>
      <c r="B4163" s="202">
        <v>1.0313277072686894E-2</v>
      </c>
      <c r="C4163" s="194" t="s">
        <v>1</v>
      </c>
    </row>
    <row r="4164" spans="1:3" x14ac:dyDescent="0.15">
      <c r="A4164" s="203">
        <v>37465</v>
      </c>
      <c r="B4164" s="202">
        <v>1.0313277072686894E-2</v>
      </c>
      <c r="C4164" s="194" t="s">
        <v>1</v>
      </c>
    </row>
    <row r="4165" spans="1:3" x14ac:dyDescent="0.15">
      <c r="A4165" s="203">
        <v>37466</v>
      </c>
      <c r="B4165" s="202">
        <v>1.0314466521773466E-2</v>
      </c>
      <c r="C4165" s="194" t="s">
        <v>1</v>
      </c>
    </row>
    <row r="4166" spans="1:3" x14ac:dyDescent="0.15">
      <c r="A4166" s="203">
        <v>37467</v>
      </c>
      <c r="B4166" s="202">
        <v>1.0315656108041376E-2</v>
      </c>
      <c r="C4166" s="194" t="s">
        <v>1</v>
      </c>
    </row>
    <row r="4167" spans="1:3" x14ac:dyDescent="0.15">
      <c r="A4167" s="203">
        <v>37468</v>
      </c>
      <c r="B4167" s="202">
        <v>1.0316845831506442E-2</v>
      </c>
      <c r="C4167" s="194" t="s">
        <v>1</v>
      </c>
    </row>
    <row r="4168" spans="1:3" x14ac:dyDescent="0.15">
      <c r="A4168" s="203">
        <v>37469</v>
      </c>
      <c r="B4168" s="202">
        <v>1.0318035692184488E-2</v>
      </c>
      <c r="C4168" s="194" t="s">
        <v>1</v>
      </c>
    </row>
    <row r="4169" spans="1:3" x14ac:dyDescent="0.15">
      <c r="A4169" s="203">
        <v>37470</v>
      </c>
      <c r="B4169" s="202">
        <v>1.0319253256558284E-2</v>
      </c>
      <c r="C4169" s="194" t="s">
        <v>1</v>
      </c>
    </row>
    <row r="4170" spans="1:3" x14ac:dyDescent="0.15">
      <c r="A4170" s="203">
        <v>37471</v>
      </c>
      <c r="B4170" s="202">
        <v>1.0319253256558284E-2</v>
      </c>
      <c r="C4170" s="194" t="s">
        <v>1</v>
      </c>
    </row>
    <row r="4171" spans="1:3" x14ac:dyDescent="0.15">
      <c r="A4171" s="203">
        <v>37472</v>
      </c>
      <c r="B4171" s="202">
        <v>1.0319253256558284E-2</v>
      </c>
      <c r="C4171" s="194" t="s">
        <v>1</v>
      </c>
    </row>
    <row r="4172" spans="1:3" x14ac:dyDescent="0.15">
      <c r="A4172" s="203">
        <v>37473</v>
      </c>
      <c r="B4172" s="202">
        <v>1.0320470964608943E-2</v>
      </c>
      <c r="C4172" s="194" t="s">
        <v>1</v>
      </c>
    </row>
    <row r="4173" spans="1:3" x14ac:dyDescent="0.15">
      <c r="A4173" s="203">
        <v>37474</v>
      </c>
      <c r="B4173" s="202">
        <v>1.032168881635342E-2</v>
      </c>
      <c r="C4173" s="194" t="s">
        <v>1</v>
      </c>
    </row>
    <row r="4174" spans="1:3" x14ac:dyDescent="0.15">
      <c r="A4174" s="203">
        <v>37475</v>
      </c>
      <c r="B4174" s="202">
        <v>1.032290681180867E-2</v>
      </c>
      <c r="C4174" s="194" t="s">
        <v>1</v>
      </c>
    </row>
    <row r="4175" spans="1:3" x14ac:dyDescent="0.15">
      <c r="A4175" s="203">
        <v>37476</v>
      </c>
      <c r="B4175" s="202">
        <v>1.0324124950991654E-2</v>
      </c>
      <c r="C4175" s="194" t="s">
        <v>1</v>
      </c>
    </row>
    <row r="4176" spans="1:3" x14ac:dyDescent="0.15">
      <c r="A4176" s="203">
        <v>37477</v>
      </c>
      <c r="B4176" s="202">
        <v>1.0325343233919331E-2</v>
      </c>
      <c r="C4176" s="194" t="s">
        <v>1</v>
      </c>
    </row>
    <row r="4177" spans="1:3" x14ac:dyDescent="0.15">
      <c r="A4177" s="203">
        <v>37478</v>
      </c>
      <c r="B4177" s="202">
        <v>1.0325343233919331E-2</v>
      </c>
      <c r="C4177" s="194" t="s">
        <v>1</v>
      </c>
    </row>
    <row r="4178" spans="1:3" x14ac:dyDescent="0.15">
      <c r="A4178" s="203">
        <v>37479</v>
      </c>
      <c r="B4178" s="202">
        <v>1.0325343233919331E-2</v>
      </c>
      <c r="C4178" s="194" t="s">
        <v>1</v>
      </c>
    </row>
    <row r="4179" spans="1:3" x14ac:dyDescent="0.15">
      <c r="A4179" s="203">
        <v>37480</v>
      </c>
      <c r="B4179" s="202">
        <v>1.0326561660608663E-2</v>
      </c>
      <c r="C4179" s="194" t="s">
        <v>1</v>
      </c>
    </row>
    <row r="4180" spans="1:3" x14ac:dyDescent="0.15">
      <c r="A4180" s="203">
        <v>37481</v>
      </c>
      <c r="B4180" s="202">
        <v>1.0327780231076614E-2</v>
      </c>
      <c r="C4180" s="194" t="s">
        <v>1</v>
      </c>
    </row>
    <row r="4181" spans="1:3" x14ac:dyDescent="0.15">
      <c r="A4181" s="203">
        <v>37482</v>
      </c>
      <c r="B4181" s="202">
        <v>1.0328998945340152E-2</v>
      </c>
      <c r="C4181" s="194" t="s">
        <v>1</v>
      </c>
    </row>
    <row r="4182" spans="1:3" x14ac:dyDescent="0.15">
      <c r="A4182" s="203">
        <v>37483</v>
      </c>
      <c r="B4182" s="202">
        <v>1.0330217803416244E-2</v>
      </c>
      <c r="C4182" s="194" t="s">
        <v>1</v>
      </c>
    </row>
    <row r="4183" spans="1:3" x14ac:dyDescent="0.15">
      <c r="A4183" s="203">
        <v>37484</v>
      </c>
      <c r="B4183" s="202">
        <v>1.0331436805321861E-2</v>
      </c>
      <c r="C4183" s="194" t="s">
        <v>1</v>
      </c>
    </row>
    <row r="4184" spans="1:3" x14ac:dyDescent="0.15">
      <c r="A4184" s="203">
        <v>37485</v>
      </c>
      <c r="B4184" s="202">
        <v>1.0331436805321861E-2</v>
      </c>
      <c r="C4184" s="194" t="s">
        <v>1</v>
      </c>
    </row>
    <row r="4185" spans="1:3" x14ac:dyDescent="0.15">
      <c r="A4185" s="203">
        <v>37486</v>
      </c>
      <c r="B4185" s="202">
        <v>1.0331436805321861E-2</v>
      </c>
      <c r="C4185" s="194" t="s">
        <v>1</v>
      </c>
    </row>
    <row r="4186" spans="1:3" x14ac:dyDescent="0.15">
      <c r="A4186" s="203">
        <v>37487</v>
      </c>
      <c r="B4186" s="202">
        <v>1.0332655951073974E-2</v>
      </c>
      <c r="C4186" s="194" t="s">
        <v>1</v>
      </c>
    </row>
    <row r="4187" spans="1:3" x14ac:dyDescent="0.15">
      <c r="A4187" s="203">
        <v>37488</v>
      </c>
      <c r="B4187" s="202">
        <v>1.033387524068956E-2</v>
      </c>
      <c r="C4187" s="194" t="s">
        <v>1</v>
      </c>
    </row>
    <row r="4188" spans="1:3" x14ac:dyDescent="0.15">
      <c r="A4188" s="203">
        <v>37489</v>
      </c>
      <c r="B4188" s="202">
        <v>1.0335094674185592E-2</v>
      </c>
      <c r="C4188" s="194" t="s">
        <v>1</v>
      </c>
    </row>
    <row r="4189" spans="1:3" x14ac:dyDescent="0.15">
      <c r="A4189" s="203">
        <v>37490</v>
      </c>
      <c r="B4189" s="202">
        <v>1.0336314251579052E-2</v>
      </c>
      <c r="C4189" s="194" t="s">
        <v>1</v>
      </c>
    </row>
    <row r="4190" spans="1:3" x14ac:dyDescent="0.15">
      <c r="A4190" s="203">
        <v>37491</v>
      </c>
      <c r="B4190" s="202">
        <v>1.0337533972886918E-2</v>
      </c>
      <c r="C4190" s="194" t="s">
        <v>1</v>
      </c>
    </row>
    <row r="4191" spans="1:3" x14ac:dyDescent="0.15">
      <c r="A4191" s="203">
        <v>37492</v>
      </c>
      <c r="B4191" s="202">
        <v>1.0337533972886918E-2</v>
      </c>
      <c r="C4191" s="194" t="s">
        <v>1</v>
      </c>
    </row>
    <row r="4192" spans="1:3" x14ac:dyDescent="0.15">
      <c r="A4192" s="203">
        <v>37493</v>
      </c>
      <c r="B4192" s="202">
        <v>1.0337533972886918E-2</v>
      </c>
      <c r="C4192" s="194" t="s">
        <v>1</v>
      </c>
    </row>
    <row r="4193" spans="1:3" x14ac:dyDescent="0.15">
      <c r="A4193" s="203">
        <v>37494</v>
      </c>
      <c r="B4193" s="202">
        <v>1.0338753838126174E-2</v>
      </c>
      <c r="C4193" s="194" t="s">
        <v>1</v>
      </c>
    </row>
    <row r="4194" spans="1:3" x14ac:dyDescent="0.15">
      <c r="A4194" s="203">
        <v>37495</v>
      </c>
      <c r="B4194" s="202">
        <v>1.0339973847313803E-2</v>
      </c>
      <c r="C4194" s="194" t="s">
        <v>1</v>
      </c>
    </row>
    <row r="4195" spans="1:3" x14ac:dyDescent="0.15">
      <c r="A4195" s="203">
        <v>37496</v>
      </c>
      <c r="B4195" s="202">
        <v>1.0341194000466793E-2</v>
      </c>
      <c r="C4195" s="194" t="s">
        <v>1</v>
      </c>
    </row>
    <row r="4196" spans="1:3" x14ac:dyDescent="0.15">
      <c r="A4196" s="203">
        <v>37497</v>
      </c>
      <c r="B4196" s="202">
        <v>1.034241429760213E-2</v>
      </c>
      <c r="C4196" s="194" t="s">
        <v>1</v>
      </c>
    </row>
    <row r="4197" spans="1:3" x14ac:dyDescent="0.15">
      <c r="A4197" s="203">
        <v>37498</v>
      </c>
      <c r="B4197" s="202">
        <v>1.0343634738736807E-2</v>
      </c>
      <c r="C4197" s="194" t="s">
        <v>1</v>
      </c>
    </row>
    <row r="4198" spans="1:3" x14ac:dyDescent="0.15">
      <c r="A4198" s="203">
        <v>37499</v>
      </c>
      <c r="B4198" s="202">
        <v>1.0343634738736807E-2</v>
      </c>
      <c r="C4198" s="194" t="s">
        <v>1</v>
      </c>
    </row>
    <row r="4199" spans="1:3" x14ac:dyDescent="0.15">
      <c r="A4199" s="203">
        <v>37500</v>
      </c>
      <c r="B4199" s="202">
        <v>1.0343634738736807E-2</v>
      </c>
      <c r="C4199" s="194" t="s">
        <v>1</v>
      </c>
    </row>
    <row r="4200" spans="1:3" x14ac:dyDescent="0.15">
      <c r="A4200" s="203">
        <v>37501</v>
      </c>
      <c r="B4200" s="202">
        <v>1.0344553055172657E-2</v>
      </c>
      <c r="C4200" s="194" t="s">
        <v>1</v>
      </c>
    </row>
    <row r="4201" spans="1:3" x14ac:dyDescent="0.15">
      <c r="A4201" s="203">
        <v>37502</v>
      </c>
      <c r="B4201" s="202">
        <v>1.0345471453137399E-2</v>
      </c>
      <c r="C4201" s="194" t="s">
        <v>1</v>
      </c>
    </row>
    <row r="4202" spans="1:3" x14ac:dyDescent="0.15">
      <c r="A4202" s="203">
        <v>37503</v>
      </c>
      <c r="B4202" s="202">
        <v>1.0346389932638271E-2</v>
      </c>
      <c r="C4202" s="194" t="s">
        <v>1</v>
      </c>
    </row>
    <row r="4203" spans="1:3" x14ac:dyDescent="0.15">
      <c r="A4203" s="203">
        <v>37504</v>
      </c>
      <c r="B4203" s="202">
        <v>1.0347308493682513E-2</v>
      </c>
      <c r="C4203" s="194" t="s">
        <v>1</v>
      </c>
    </row>
    <row r="4204" spans="1:3" x14ac:dyDescent="0.15">
      <c r="A4204" s="203">
        <v>37505</v>
      </c>
      <c r="B4204" s="202">
        <v>1.0348227136277362E-2</v>
      </c>
      <c r="C4204" s="194" t="s">
        <v>1</v>
      </c>
    </row>
    <row r="4205" spans="1:3" x14ac:dyDescent="0.15">
      <c r="A4205" s="203">
        <v>37506</v>
      </c>
      <c r="B4205" s="202">
        <v>1.0348227136277362E-2</v>
      </c>
      <c r="C4205" s="194" t="s">
        <v>1</v>
      </c>
    </row>
    <row r="4206" spans="1:3" x14ac:dyDescent="0.15">
      <c r="A4206" s="203">
        <v>37507</v>
      </c>
      <c r="B4206" s="202">
        <v>1.0348227136277362E-2</v>
      </c>
      <c r="C4206" s="194" t="s">
        <v>1</v>
      </c>
    </row>
    <row r="4207" spans="1:3" x14ac:dyDescent="0.15">
      <c r="A4207" s="203">
        <v>37508</v>
      </c>
      <c r="B4207" s="202">
        <v>1.0349145860430059E-2</v>
      </c>
      <c r="C4207" s="194" t="s">
        <v>1</v>
      </c>
    </row>
    <row r="4208" spans="1:3" x14ac:dyDescent="0.15">
      <c r="A4208" s="203">
        <v>37509</v>
      </c>
      <c r="B4208" s="202">
        <v>1.0350064666147846E-2</v>
      </c>
      <c r="C4208" s="194" t="s">
        <v>1</v>
      </c>
    </row>
    <row r="4209" spans="1:3" x14ac:dyDescent="0.15">
      <c r="A4209" s="203">
        <v>37510</v>
      </c>
      <c r="B4209" s="202">
        <v>1.0350983553437963E-2</v>
      </c>
      <c r="C4209" s="194" t="s">
        <v>1</v>
      </c>
    </row>
    <row r="4210" spans="1:3" x14ac:dyDescent="0.15">
      <c r="A4210" s="203">
        <v>37511</v>
      </c>
      <c r="B4210" s="202">
        <v>1.0351902522307653E-2</v>
      </c>
      <c r="C4210" s="194" t="s">
        <v>1</v>
      </c>
    </row>
    <row r="4211" spans="1:3" x14ac:dyDescent="0.15">
      <c r="A4211" s="203">
        <v>37512</v>
      </c>
      <c r="B4211" s="202">
        <v>1.0352821572764159E-2</v>
      </c>
      <c r="C4211" s="194" t="s">
        <v>1</v>
      </c>
    </row>
    <row r="4212" spans="1:3" x14ac:dyDescent="0.15">
      <c r="A4212" s="203">
        <v>37513</v>
      </c>
      <c r="B4212" s="202">
        <v>1.0352821572764159E-2</v>
      </c>
      <c r="C4212" s="194" t="s">
        <v>1</v>
      </c>
    </row>
    <row r="4213" spans="1:3" x14ac:dyDescent="0.15">
      <c r="A4213" s="203">
        <v>37514</v>
      </c>
      <c r="B4213" s="202">
        <v>1.0352821572764159E-2</v>
      </c>
      <c r="C4213" s="194" t="s">
        <v>1</v>
      </c>
    </row>
    <row r="4214" spans="1:3" x14ac:dyDescent="0.15">
      <c r="A4214" s="203">
        <v>37515</v>
      </c>
      <c r="B4214" s="202">
        <v>1.0353740704814722E-2</v>
      </c>
      <c r="C4214" s="194" t="s">
        <v>1</v>
      </c>
    </row>
    <row r="4215" spans="1:3" x14ac:dyDescent="0.15">
      <c r="A4215" s="203">
        <v>37516</v>
      </c>
      <c r="B4215" s="202">
        <v>1.0354659918466588E-2</v>
      </c>
      <c r="C4215" s="194" t="s">
        <v>1</v>
      </c>
    </row>
    <row r="4216" spans="1:3" x14ac:dyDescent="0.15">
      <c r="A4216" s="203">
        <v>37517</v>
      </c>
      <c r="B4216" s="202">
        <v>1.0355579213727002E-2</v>
      </c>
      <c r="C4216" s="194" t="s">
        <v>1</v>
      </c>
    </row>
    <row r="4217" spans="1:3" x14ac:dyDescent="0.15">
      <c r="A4217" s="203">
        <v>37518</v>
      </c>
      <c r="B4217" s="202">
        <v>1.0356498590603207E-2</v>
      </c>
      <c r="C4217" s="194" t="s">
        <v>1</v>
      </c>
    </row>
    <row r="4218" spans="1:3" x14ac:dyDescent="0.15">
      <c r="A4218" s="203">
        <v>37519</v>
      </c>
      <c r="B4218" s="202">
        <v>1.0357418049102451E-2</v>
      </c>
      <c r="C4218" s="194" t="s">
        <v>1</v>
      </c>
    </row>
    <row r="4219" spans="1:3" x14ac:dyDescent="0.15">
      <c r="A4219" s="203">
        <v>37520</v>
      </c>
      <c r="B4219" s="202">
        <v>1.0357418049102451E-2</v>
      </c>
      <c r="C4219" s="194" t="s">
        <v>1</v>
      </c>
    </row>
    <row r="4220" spans="1:3" x14ac:dyDescent="0.15">
      <c r="A4220" s="203">
        <v>37521</v>
      </c>
      <c r="B4220" s="202">
        <v>1.0357418049102451E-2</v>
      </c>
      <c r="C4220" s="194" t="s">
        <v>1</v>
      </c>
    </row>
    <row r="4221" spans="1:3" x14ac:dyDescent="0.15">
      <c r="A4221" s="203">
        <v>37522</v>
      </c>
      <c r="B4221" s="202">
        <v>1.0358337589231981E-2</v>
      </c>
      <c r="C4221" s="194" t="s">
        <v>1</v>
      </c>
    </row>
    <row r="4222" spans="1:3" x14ac:dyDescent="0.15">
      <c r="A4222" s="203">
        <v>37523</v>
      </c>
      <c r="B4222" s="202">
        <v>1.0359257210999043E-2</v>
      </c>
      <c r="C4222" s="194" t="s">
        <v>1</v>
      </c>
    </row>
    <row r="4223" spans="1:3" x14ac:dyDescent="0.15">
      <c r="A4223" s="203">
        <v>37524</v>
      </c>
      <c r="B4223" s="202">
        <v>1.0360176914410884E-2</v>
      </c>
      <c r="C4223" s="194" t="s">
        <v>1</v>
      </c>
    </row>
    <row r="4224" spans="1:3" x14ac:dyDescent="0.15">
      <c r="A4224" s="203">
        <v>37525</v>
      </c>
      <c r="B4224" s="202">
        <v>1.0361096699474754E-2</v>
      </c>
      <c r="C4224" s="194" t="s">
        <v>1</v>
      </c>
    </row>
    <row r="4225" spans="1:3" x14ac:dyDescent="0.15">
      <c r="A4225" s="203">
        <v>37526</v>
      </c>
      <c r="B4225" s="202">
        <v>1.0362016566197903E-2</v>
      </c>
      <c r="C4225" s="194" t="s">
        <v>1</v>
      </c>
    </row>
    <row r="4226" spans="1:3" x14ac:dyDescent="0.15">
      <c r="A4226" s="203">
        <v>37527</v>
      </c>
      <c r="B4226" s="202">
        <v>1.0362016566197903E-2</v>
      </c>
      <c r="C4226" s="194" t="s">
        <v>1</v>
      </c>
    </row>
    <row r="4227" spans="1:3" x14ac:dyDescent="0.15">
      <c r="A4227" s="203">
        <v>37528</v>
      </c>
      <c r="B4227" s="202">
        <v>1.0362016566197903E-2</v>
      </c>
      <c r="C4227" s="194" t="s">
        <v>1</v>
      </c>
    </row>
    <row r="4228" spans="1:3" x14ac:dyDescent="0.15">
      <c r="A4228" s="203">
        <v>37529</v>
      </c>
      <c r="B4228" s="202">
        <v>1.0362936514587579E-2</v>
      </c>
      <c r="C4228" s="194" t="s">
        <v>1</v>
      </c>
    </row>
    <row r="4229" spans="1:3" x14ac:dyDescent="0.15">
      <c r="A4229" s="203">
        <v>37530</v>
      </c>
      <c r="B4229" s="202">
        <v>1.0363856544651032E-2</v>
      </c>
      <c r="C4229" s="194" t="s">
        <v>1</v>
      </c>
    </row>
    <row r="4230" spans="1:3" x14ac:dyDescent="0.15">
      <c r="A4230" s="203">
        <v>37531</v>
      </c>
      <c r="B4230" s="202">
        <v>1.0365102164065294E-2</v>
      </c>
      <c r="C4230" s="194" t="s">
        <v>1</v>
      </c>
    </row>
    <row r="4231" spans="1:3" x14ac:dyDescent="0.15">
      <c r="A4231" s="203">
        <v>37532</v>
      </c>
      <c r="B4231" s="202">
        <v>1.036634793318905E-2</v>
      </c>
      <c r="C4231" s="194" t="s">
        <v>1</v>
      </c>
    </row>
    <row r="4232" spans="1:3" x14ac:dyDescent="0.15">
      <c r="A4232" s="203">
        <v>37533</v>
      </c>
      <c r="B4232" s="202">
        <v>1.0367593852040294E-2</v>
      </c>
      <c r="C4232" s="194" t="s">
        <v>1</v>
      </c>
    </row>
    <row r="4233" spans="1:3" x14ac:dyDescent="0.15">
      <c r="A4233" s="203">
        <v>37534</v>
      </c>
      <c r="B4233" s="202">
        <v>1.0367593852040294E-2</v>
      </c>
      <c r="C4233" s="194" t="s">
        <v>1</v>
      </c>
    </row>
    <row r="4234" spans="1:3" x14ac:dyDescent="0.15">
      <c r="A4234" s="203">
        <v>37535</v>
      </c>
      <c r="B4234" s="202">
        <v>1.0367593852040294E-2</v>
      </c>
      <c r="C4234" s="194" t="s">
        <v>1</v>
      </c>
    </row>
    <row r="4235" spans="1:3" x14ac:dyDescent="0.15">
      <c r="A4235" s="203">
        <v>37536</v>
      </c>
      <c r="B4235" s="202">
        <v>1.0368839920637021E-2</v>
      </c>
      <c r="C4235" s="194" t="s">
        <v>1</v>
      </c>
    </row>
    <row r="4236" spans="1:3" x14ac:dyDescent="0.15">
      <c r="A4236" s="203">
        <v>37537</v>
      </c>
      <c r="B4236" s="202">
        <v>1.0370086138997229E-2</v>
      </c>
      <c r="C4236" s="194" t="s">
        <v>1</v>
      </c>
    </row>
    <row r="4237" spans="1:3" x14ac:dyDescent="0.15">
      <c r="A4237" s="203">
        <v>37538</v>
      </c>
      <c r="B4237" s="202">
        <v>1.037133250713892E-2</v>
      </c>
      <c r="C4237" s="194" t="s">
        <v>1</v>
      </c>
    </row>
    <row r="4238" spans="1:3" x14ac:dyDescent="0.15">
      <c r="A4238" s="203">
        <v>37539</v>
      </c>
      <c r="B4238" s="202">
        <v>1.0372579025080092E-2</v>
      </c>
      <c r="C4238" s="194" t="s">
        <v>1</v>
      </c>
    </row>
    <row r="4239" spans="1:3" x14ac:dyDescent="0.15">
      <c r="A4239" s="203">
        <v>37540</v>
      </c>
      <c r="B4239" s="202">
        <v>1.0373825692838753E-2</v>
      </c>
      <c r="C4239" s="194" t="s">
        <v>1</v>
      </c>
    </row>
    <row r="4240" spans="1:3" x14ac:dyDescent="0.15">
      <c r="A4240" s="203">
        <v>37541</v>
      </c>
      <c r="B4240" s="202">
        <v>1.0373825692838753E-2</v>
      </c>
      <c r="C4240" s="194" t="s">
        <v>1</v>
      </c>
    </row>
    <row r="4241" spans="1:3" x14ac:dyDescent="0.15">
      <c r="A4241" s="203">
        <v>37542</v>
      </c>
      <c r="B4241" s="202">
        <v>1.0373825692838753E-2</v>
      </c>
      <c r="C4241" s="194" t="s">
        <v>1</v>
      </c>
    </row>
    <row r="4242" spans="1:3" x14ac:dyDescent="0.15">
      <c r="A4242" s="203">
        <v>37543</v>
      </c>
      <c r="B4242" s="202">
        <v>1.0375072510432907E-2</v>
      </c>
      <c r="C4242" s="194" t="s">
        <v>1</v>
      </c>
    </row>
    <row r="4243" spans="1:3" x14ac:dyDescent="0.15">
      <c r="A4243" s="203">
        <v>37544</v>
      </c>
      <c r="B4243" s="202">
        <v>1.0376319477880563E-2</v>
      </c>
      <c r="C4243" s="194" t="s">
        <v>1</v>
      </c>
    </row>
    <row r="4244" spans="1:3" x14ac:dyDescent="0.15">
      <c r="A4244" s="203">
        <v>37545</v>
      </c>
      <c r="B4244" s="202">
        <v>1.0377566595199733E-2</v>
      </c>
      <c r="C4244" s="194" t="s">
        <v>1</v>
      </c>
    </row>
    <row r="4245" spans="1:3" x14ac:dyDescent="0.15">
      <c r="A4245" s="203">
        <v>37546</v>
      </c>
      <c r="B4245" s="202">
        <v>1.0378813862408428E-2</v>
      </c>
      <c r="C4245" s="194" t="s">
        <v>1</v>
      </c>
    </row>
    <row r="4246" spans="1:3" x14ac:dyDescent="0.15">
      <c r="A4246" s="203">
        <v>37547</v>
      </c>
      <c r="B4246" s="202">
        <v>1.0380061279524665E-2</v>
      </c>
      <c r="C4246" s="194" t="s">
        <v>1</v>
      </c>
    </row>
    <row r="4247" spans="1:3" x14ac:dyDescent="0.15">
      <c r="A4247" s="203">
        <v>37548</v>
      </c>
      <c r="B4247" s="202">
        <v>1.0380061279524665E-2</v>
      </c>
      <c r="C4247" s="194" t="s">
        <v>1</v>
      </c>
    </row>
    <row r="4248" spans="1:3" x14ac:dyDescent="0.15">
      <c r="A4248" s="203">
        <v>37549</v>
      </c>
      <c r="B4248" s="202">
        <v>1.0380061279524665E-2</v>
      </c>
      <c r="C4248" s="194" t="s">
        <v>1</v>
      </c>
    </row>
    <row r="4249" spans="1:3" x14ac:dyDescent="0.15">
      <c r="A4249" s="203">
        <v>37550</v>
      </c>
      <c r="B4249" s="202">
        <v>1.038130884656646E-2</v>
      </c>
      <c r="C4249" s="194" t="s">
        <v>1</v>
      </c>
    </row>
    <row r="4250" spans="1:3" x14ac:dyDescent="0.15">
      <c r="A4250" s="203">
        <v>37551</v>
      </c>
      <c r="B4250" s="202">
        <v>1.0382556563551833E-2</v>
      </c>
      <c r="C4250" s="194" t="s">
        <v>1</v>
      </c>
    </row>
    <row r="4251" spans="1:3" x14ac:dyDescent="0.15">
      <c r="A4251" s="203">
        <v>37552</v>
      </c>
      <c r="B4251" s="202">
        <v>1.0383804430498805E-2</v>
      </c>
      <c r="C4251" s="194" t="s">
        <v>1</v>
      </c>
    </row>
    <row r="4252" spans="1:3" x14ac:dyDescent="0.15">
      <c r="A4252" s="203">
        <v>37553</v>
      </c>
      <c r="B4252" s="202">
        <v>1.0385052447425399E-2</v>
      </c>
      <c r="C4252" s="194" t="s">
        <v>1</v>
      </c>
    </row>
    <row r="4253" spans="1:3" x14ac:dyDescent="0.15">
      <c r="A4253" s="203">
        <v>37554</v>
      </c>
      <c r="B4253" s="202">
        <v>1.0386300614349642E-2</v>
      </c>
      <c r="C4253" s="194" t="s">
        <v>1</v>
      </c>
    </row>
    <row r="4254" spans="1:3" x14ac:dyDescent="0.15">
      <c r="A4254" s="203">
        <v>37555</v>
      </c>
      <c r="B4254" s="202">
        <v>1.0386300614349642E-2</v>
      </c>
      <c r="C4254" s="194" t="s">
        <v>1</v>
      </c>
    </row>
    <row r="4255" spans="1:3" x14ac:dyDescent="0.15">
      <c r="A4255" s="203">
        <v>37556</v>
      </c>
      <c r="B4255" s="202">
        <v>1.0386300614349642E-2</v>
      </c>
      <c r="C4255" s="194" t="s">
        <v>1</v>
      </c>
    </row>
    <row r="4256" spans="1:3" x14ac:dyDescent="0.15">
      <c r="A4256" s="203">
        <v>37557</v>
      </c>
      <c r="B4256" s="202">
        <v>1.0387548931289561E-2</v>
      </c>
      <c r="C4256" s="194" t="s">
        <v>1</v>
      </c>
    </row>
    <row r="4257" spans="1:3" x14ac:dyDescent="0.15">
      <c r="A4257" s="203">
        <v>37558</v>
      </c>
      <c r="B4257" s="202">
        <v>1.0388797398263188E-2</v>
      </c>
      <c r="C4257" s="194" t="s">
        <v>1</v>
      </c>
    </row>
    <row r="4258" spans="1:3" x14ac:dyDescent="0.15">
      <c r="A4258" s="203">
        <v>37559</v>
      </c>
      <c r="B4258" s="202">
        <v>1.0390046015288553E-2</v>
      </c>
      <c r="C4258" s="194" t="s">
        <v>1</v>
      </c>
    </row>
    <row r="4259" spans="1:3" x14ac:dyDescent="0.15">
      <c r="A4259" s="203">
        <v>37560</v>
      </c>
      <c r="B4259" s="202">
        <v>1.0391294782383693E-2</v>
      </c>
      <c r="C4259" s="194" t="s">
        <v>1</v>
      </c>
    </row>
    <row r="4260" spans="1:3" x14ac:dyDescent="0.15">
      <c r="A4260" s="203">
        <v>37561</v>
      </c>
      <c r="B4260" s="202">
        <v>1.0392543699566643E-2</v>
      </c>
      <c r="C4260" s="194" t="s">
        <v>1</v>
      </c>
    </row>
    <row r="4261" spans="1:3" x14ac:dyDescent="0.15">
      <c r="A4261" s="203">
        <v>37562</v>
      </c>
      <c r="B4261" s="202">
        <v>1.0392543699566643E-2</v>
      </c>
      <c r="C4261" s="194" t="s">
        <v>1</v>
      </c>
    </row>
    <row r="4262" spans="1:3" x14ac:dyDescent="0.15">
      <c r="A4262" s="203">
        <v>37563</v>
      </c>
      <c r="B4262" s="202">
        <v>1.0392543699566643E-2</v>
      </c>
      <c r="C4262" s="194" t="s">
        <v>1</v>
      </c>
    </row>
    <row r="4263" spans="1:3" x14ac:dyDescent="0.15">
      <c r="A4263" s="203">
        <v>37564</v>
      </c>
      <c r="B4263" s="202">
        <v>1.0393988095914453E-2</v>
      </c>
      <c r="C4263" s="194" t="s">
        <v>1</v>
      </c>
    </row>
    <row r="4264" spans="1:3" x14ac:dyDescent="0.15">
      <c r="A4264" s="203">
        <v>37565</v>
      </c>
      <c r="B4264" s="202">
        <v>1.0395432693010114E-2</v>
      </c>
      <c r="C4264" s="194" t="s">
        <v>1</v>
      </c>
    </row>
    <row r="4265" spans="1:3" x14ac:dyDescent="0.15">
      <c r="A4265" s="203">
        <v>37566</v>
      </c>
      <c r="B4265" s="202">
        <v>1.0396877490881527E-2</v>
      </c>
      <c r="C4265" s="194" t="s">
        <v>1</v>
      </c>
    </row>
    <row r="4266" spans="1:3" x14ac:dyDescent="0.15">
      <c r="A4266" s="203">
        <v>37567</v>
      </c>
      <c r="B4266" s="202">
        <v>1.0398322489556595E-2</v>
      </c>
      <c r="C4266" s="194" t="s">
        <v>1</v>
      </c>
    </row>
    <row r="4267" spans="1:3" x14ac:dyDescent="0.15">
      <c r="A4267" s="203">
        <v>37568</v>
      </c>
      <c r="B4267" s="202">
        <v>1.0399767689063227E-2</v>
      </c>
      <c r="C4267" s="194" t="s">
        <v>1</v>
      </c>
    </row>
    <row r="4268" spans="1:3" x14ac:dyDescent="0.15">
      <c r="A4268" s="203">
        <v>37569</v>
      </c>
      <c r="B4268" s="202">
        <v>1.0399767689063227E-2</v>
      </c>
      <c r="C4268" s="194" t="s">
        <v>1</v>
      </c>
    </row>
    <row r="4269" spans="1:3" x14ac:dyDescent="0.15">
      <c r="A4269" s="203">
        <v>37570</v>
      </c>
      <c r="B4269" s="202">
        <v>1.0399767689063227E-2</v>
      </c>
      <c r="C4269" s="194" t="s">
        <v>1</v>
      </c>
    </row>
    <row r="4270" spans="1:3" x14ac:dyDescent="0.15">
      <c r="A4270" s="203">
        <v>37571</v>
      </c>
      <c r="B4270" s="202">
        <v>1.0401213089429337E-2</v>
      </c>
      <c r="C4270" s="194" t="s">
        <v>1</v>
      </c>
    </row>
    <row r="4271" spans="1:3" x14ac:dyDescent="0.15">
      <c r="A4271" s="203">
        <v>37572</v>
      </c>
      <c r="B4271" s="202">
        <v>1.0402658690682838E-2</v>
      </c>
      <c r="C4271" s="194" t="s">
        <v>1</v>
      </c>
    </row>
    <row r="4272" spans="1:3" x14ac:dyDescent="0.15">
      <c r="A4272" s="203">
        <v>37573</v>
      </c>
      <c r="B4272" s="202">
        <v>1.0404104492851653E-2</v>
      </c>
      <c r="C4272" s="194" t="s">
        <v>1</v>
      </c>
    </row>
    <row r="4273" spans="1:3" x14ac:dyDescent="0.15">
      <c r="A4273" s="203">
        <v>37574</v>
      </c>
      <c r="B4273" s="202">
        <v>1.0405550495963705E-2</v>
      </c>
      <c r="C4273" s="194" t="s">
        <v>1</v>
      </c>
    </row>
    <row r="4274" spans="1:3" x14ac:dyDescent="0.15">
      <c r="A4274" s="203">
        <v>37575</v>
      </c>
      <c r="B4274" s="202">
        <v>1.0405550495963705E-2</v>
      </c>
      <c r="C4274" s="194" t="s">
        <v>1</v>
      </c>
    </row>
    <row r="4275" spans="1:3" x14ac:dyDescent="0.15">
      <c r="A4275" s="203">
        <v>37576</v>
      </c>
      <c r="B4275" s="202">
        <v>1.0405550495963705E-2</v>
      </c>
      <c r="C4275" s="194" t="s">
        <v>1</v>
      </c>
    </row>
    <row r="4276" spans="1:3" x14ac:dyDescent="0.15">
      <c r="A4276" s="203">
        <v>37577</v>
      </c>
      <c r="B4276" s="202">
        <v>1.0405550495963705E-2</v>
      </c>
      <c r="C4276" s="194" t="s">
        <v>1</v>
      </c>
    </row>
    <row r="4277" spans="1:3" x14ac:dyDescent="0.15">
      <c r="A4277" s="203">
        <v>37578</v>
      </c>
      <c r="B4277" s="202">
        <v>1.0406996700046923E-2</v>
      </c>
      <c r="C4277" s="194" t="s">
        <v>1</v>
      </c>
    </row>
    <row r="4278" spans="1:3" x14ac:dyDescent="0.15">
      <c r="A4278" s="203">
        <v>37579</v>
      </c>
      <c r="B4278" s="202">
        <v>1.0408443105129237E-2</v>
      </c>
      <c r="C4278" s="194" t="s">
        <v>1</v>
      </c>
    </row>
    <row r="4279" spans="1:3" x14ac:dyDescent="0.15">
      <c r="A4279" s="203">
        <v>37580</v>
      </c>
      <c r="B4279" s="202">
        <v>1.0409889711238582E-2</v>
      </c>
      <c r="C4279" s="194" t="s">
        <v>1</v>
      </c>
    </row>
    <row r="4280" spans="1:3" x14ac:dyDescent="0.15">
      <c r="A4280" s="203">
        <v>37581</v>
      </c>
      <c r="B4280" s="202">
        <v>1.0411336518402901E-2</v>
      </c>
      <c r="C4280" s="194" t="s">
        <v>1</v>
      </c>
    </row>
    <row r="4281" spans="1:3" x14ac:dyDescent="0.15">
      <c r="A4281" s="203">
        <v>37582</v>
      </c>
      <c r="B4281" s="202">
        <v>1.0412783526650133E-2</v>
      </c>
      <c r="C4281" s="194" t="s">
        <v>1</v>
      </c>
    </row>
    <row r="4282" spans="1:3" x14ac:dyDescent="0.15">
      <c r="A4282" s="203">
        <v>37583</v>
      </c>
      <c r="B4282" s="202">
        <v>1.0412783526650133E-2</v>
      </c>
      <c r="C4282" s="194" t="s">
        <v>1</v>
      </c>
    </row>
    <row r="4283" spans="1:3" x14ac:dyDescent="0.15">
      <c r="A4283" s="203">
        <v>37584</v>
      </c>
      <c r="B4283" s="202">
        <v>1.0412783526650133E-2</v>
      </c>
      <c r="C4283" s="194" t="s">
        <v>1</v>
      </c>
    </row>
    <row r="4284" spans="1:3" x14ac:dyDescent="0.15">
      <c r="A4284" s="203">
        <v>37585</v>
      </c>
      <c r="B4284" s="202">
        <v>1.0414230736008228E-2</v>
      </c>
      <c r="C4284" s="194" t="s">
        <v>1</v>
      </c>
    </row>
    <row r="4285" spans="1:3" x14ac:dyDescent="0.15">
      <c r="A4285" s="203">
        <v>37586</v>
      </c>
      <c r="B4285" s="202">
        <v>1.0415678146505137E-2</v>
      </c>
      <c r="C4285" s="194" t="s">
        <v>1</v>
      </c>
    </row>
    <row r="4286" spans="1:3" x14ac:dyDescent="0.15">
      <c r="A4286" s="203">
        <v>37587</v>
      </c>
      <c r="B4286" s="202">
        <v>1.0417125758168815E-2</v>
      </c>
      <c r="C4286" s="194" t="s">
        <v>1</v>
      </c>
    </row>
    <row r="4287" spans="1:3" x14ac:dyDescent="0.15">
      <c r="A4287" s="203">
        <v>37588</v>
      </c>
      <c r="B4287" s="202">
        <v>1.0418573571027221E-2</v>
      </c>
      <c r="C4287" s="194" t="s">
        <v>1</v>
      </c>
    </row>
    <row r="4288" spans="1:3" x14ac:dyDescent="0.15">
      <c r="A4288" s="203">
        <v>37589</v>
      </c>
      <c r="B4288" s="202">
        <v>1.0420021585108317E-2</v>
      </c>
      <c r="C4288" s="194" t="s">
        <v>1</v>
      </c>
    </row>
    <row r="4289" spans="1:3" x14ac:dyDescent="0.15">
      <c r="A4289" s="203">
        <v>37590</v>
      </c>
      <c r="B4289" s="202">
        <v>1.0420021585108317E-2</v>
      </c>
      <c r="C4289" s="194" t="s">
        <v>1</v>
      </c>
    </row>
    <row r="4290" spans="1:3" x14ac:dyDescent="0.15">
      <c r="A4290" s="203">
        <v>37591</v>
      </c>
      <c r="B4290" s="202">
        <v>1.0420021585108317E-2</v>
      </c>
      <c r="C4290" s="194" t="s">
        <v>1</v>
      </c>
    </row>
    <row r="4291" spans="1:3" x14ac:dyDescent="0.15">
      <c r="A4291" s="203">
        <v>37592</v>
      </c>
      <c r="B4291" s="202">
        <v>1.0421809269914891E-2</v>
      </c>
      <c r="C4291" s="194" t="s">
        <v>1</v>
      </c>
    </row>
    <row r="4292" spans="1:3" x14ac:dyDescent="0.15">
      <c r="A4292" s="203">
        <v>37593</v>
      </c>
      <c r="B4292" s="202">
        <v>1.0423597261421115E-2</v>
      </c>
      <c r="C4292" s="194" t="s">
        <v>1</v>
      </c>
    </row>
    <row r="4293" spans="1:3" x14ac:dyDescent="0.15">
      <c r="A4293" s="203">
        <v>37594</v>
      </c>
      <c r="B4293" s="202">
        <v>1.0425385559679605E-2</v>
      </c>
      <c r="C4293" s="194" t="s">
        <v>1</v>
      </c>
    </row>
    <row r="4294" spans="1:3" x14ac:dyDescent="0.15">
      <c r="A4294" s="203">
        <v>37595</v>
      </c>
      <c r="B4294" s="202">
        <v>1.0427174164742991E-2</v>
      </c>
      <c r="C4294" s="194" t="s">
        <v>1</v>
      </c>
    </row>
    <row r="4295" spans="1:3" x14ac:dyDescent="0.15">
      <c r="A4295" s="203">
        <v>37596</v>
      </c>
      <c r="B4295" s="202">
        <v>1.0428963076663907E-2</v>
      </c>
      <c r="C4295" s="194" t="s">
        <v>1</v>
      </c>
    </row>
    <row r="4296" spans="1:3" x14ac:dyDescent="0.15">
      <c r="A4296" s="203">
        <v>37597</v>
      </c>
      <c r="B4296" s="202">
        <v>1.0428963076663907E-2</v>
      </c>
      <c r="C4296" s="194" t="s">
        <v>1</v>
      </c>
    </row>
    <row r="4297" spans="1:3" x14ac:dyDescent="0.15">
      <c r="A4297" s="203">
        <v>37598</v>
      </c>
      <c r="B4297" s="202">
        <v>1.0428963076663907E-2</v>
      </c>
      <c r="C4297" s="194" t="s">
        <v>1</v>
      </c>
    </row>
    <row r="4298" spans="1:3" x14ac:dyDescent="0.15">
      <c r="A4298" s="203">
        <v>37599</v>
      </c>
      <c r="B4298" s="202">
        <v>1.0430752295495E-2</v>
      </c>
      <c r="C4298" s="194" t="s">
        <v>1</v>
      </c>
    </row>
    <row r="4299" spans="1:3" x14ac:dyDescent="0.15">
      <c r="A4299" s="203">
        <v>37600</v>
      </c>
      <c r="B4299" s="202">
        <v>1.0432541821288922E-2</v>
      </c>
      <c r="C4299" s="194" t="s">
        <v>1</v>
      </c>
    </row>
    <row r="4300" spans="1:3" x14ac:dyDescent="0.15">
      <c r="A4300" s="203">
        <v>37601</v>
      </c>
      <c r="B4300" s="202">
        <v>1.043433165409834E-2</v>
      </c>
      <c r="C4300" s="194" t="s">
        <v>1</v>
      </c>
    </row>
    <row r="4301" spans="1:3" x14ac:dyDescent="0.15">
      <c r="A4301" s="203">
        <v>37602</v>
      </c>
      <c r="B4301" s="202">
        <v>1.0436121793975923E-2</v>
      </c>
      <c r="C4301" s="194" t="s">
        <v>1</v>
      </c>
    </row>
    <row r="4302" spans="1:3" x14ac:dyDescent="0.15">
      <c r="A4302" s="203">
        <v>37603</v>
      </c>
      <c r="B4302" s="202">
        <v>1.0437912240974354E-2</v>
      </c>
      <c r="C4302" s="194" t="s">
        <v>1</v>
      </c>
    </row>
    <row r="4303" spans="1:3" x14ac:dyDescent="0.15">
      <c r="A4303" s="203">
        <v>37604</v>
      </c>
      <c r="B4303" s="202">
        <v>1.0437912240974354E-2</v>
      </c>
      <c r="C4303" s="194" t="s">
        <v>1</v>
      </c>
    </row>
    <row r="4304" spans="1:3" x14ac:dyDescent="0.15">
      <c r="A4304" s="203">
        <v>37605</v>
      </c>
      <c r="B4304" s="202">
        <v>1.0437912240974354E-2</v>
      </c>
      <c r="C4304" s="194" t="s">
        <v>1</v>
      </c>
    </row>
    <row r="4305" spans="1:3" x14ac:dyDescent="0.15">
      <c r="A4305" s="203">
        <v>37606</v>
      </c>
      <c r="B4305" s="202">
        <v>1.0439702995146323E-2</v>
      </c>
      <c r="C4305" s="194" t="s">
        <v>1</v>
      </c>
    </row>
    <row r="4306" spans="1:3" x14ac:dyDescent="0.15">
      <c r="A4306" s="203">
        <v>37607</v>
      </c>
      <c r="B4306" s="202">
        <v>1.044149405654453E-2</v>
      </c>
      <c r="C4306" s="194" t="s">
        <v>1</v>
      </c>
    </row>
    <row r="4307" spans="1:3" x14ac:dyDescent="0.15">
      <c r="A4307" s="203">
        <v>37608</v>
      </c>
      <c r="B4307" s="202">
        <v>1.0443285425221683E-2</v>
      </c>
      <c r="C4307" s="194" t="s">
        <v>1</v>
      </c>
    </row>
    <row r="4308" spans="1:3" x14ac:dyDescent="0.15">
      <c r="A4308" s="203">
        <v>37609</v>
      </c>
      <c r="B4308" s="202">
        <v>1.0445077101230498E-2</v>
      </c>
      <c r="C4308" s="194" t="s">
        <v>1</v>
      </c>
    </row>
    <row r="4309" spans="1:3" x14ac:dyDescent="0.15">
      <c r="A4309" s="203">
        <v>37610</v>
      </c>
      <c r="B4309" s="202">
        <v>1.0446869084623705E-2</v>
      </c>
      <c r="C4309" s="194" t="s">
        <v>1</v>
      </c>
    </row>
    <row r="4310" spans="1:3" x14ac:dyDescent="0.15">
      <c r="A4310" s="203">
        <v>37611</v>
      </c>
      <c r="B4310" s="202">
        <v>1.0446869084623705E-2</v>
      </c>
      <c r="C4310" s="194" t="s">
        <v>1</v>
      </c>
    </row>
    <row r="4311" spans="1:3" x14ac:dyDescent="0.15">
      <c r="A4311" s="203">
        <v>37612</v>
      </c>
      <c r="B4311" s="202">
        <v>1.0446869084623705E-2</v>
      </c>
      <c r="C4311" s="194" t="s">
        <v>1</v>
      </c>
    </row>
    <row r="4312" spans="1:3" x14ac:dyDescent="0.15">
      <c r="A4312" s="203">
        <v>37613</v>
      </c>
      <c r="B4312" s="202">
        <v>1.0448661375454036E-2</v>
      </c>
      <c r="C4312" s="194" t="s">
        <v>1</v>
      </c>
    </row>
    <row r="4313" spans="1:3" x14ac:dyDescent="0.15">
      <c r="A4313" s="203">
        <v>37614</v>
      </c>
      <c r="B4313" s="202">
        <v>1.0450453973774237E-2</v>
      </c>
      <c r="C4313" s="194" t="s">
        <v>1</v>
      </c>
    </row>
    <row r="4314" spans="1:3" x14ac:dyDescent="0.15">
      <c r="A4314" s="203">
        <v>37615</v>
      </c>
      <c r="B4314" s="202">
        <v>1.0450453973774237E-2</v>
      </c>
      <c r="C4314" s="194" t="s">
        <v>1</v>
      </c>
    </row>
    <row r="4315" spans="1:3" x14ac:dyDescent="0.15">
      <c r="A4315" s="203">
        <v>37616</v>
      </c>
      <c r="B4315" s="202">
        <v>1.0452246879637063E-2</v>
      </c>
      <c r="C4315" s="194" t="s">
        <v>1</v>
      </c>
    </row>
    <row r="4316" spans="1:3" x14ac:dyDescent="0.15">
      <c r="A4316" s="203">
        <v>37617</v>
      </c>
      <c r="B4316" s="202">
        <v>1.0454040093095276E-2</v>
      </c>
      <c r="C4316" s="194" t="s">
        <v>1</v>
      </c>
    </row>
    <row r="4317" spans="1:3" x14ac:dyDescent="0.15">
      <c r="A4317" s="203">
        <v>37618</v>
      </c>
      <c r="B4317" s="202">
        <v>1.0454040093095276E-2</v>
      </c>
      <c r="C4317" s="194" t="s">
        <v>1</v>
      </c>
    </row>
    <row r="4318" spans="1:3" x14ac:dyDescent="0.15">
      <c r="A4318" s="203">
        <v>37619</v>
      </c>
      <c r="B4318" s="202">
        <v>1.0454040093095276E-2</v>
      </c>
      <c r="C4318" s="194" t="s">
        <v>1</v>
      </c>
    </row>
    <row r="4319" spans="1:3" x14ac:dyDescent="0.15">
      <c r="A4319" s="203">
        <v>37620</v>
      </c>
      <c r="B4319" s="202">
        <v>1.0455833614201647E-2</v>
      </c>
      <c r="C4319" s="194" t="s">
        <v>1</v>
      </c>
    </row>
    <row r="4320" spans="1:3" x14ac:dyDescent="0.15">
      <c r="A4320" s="203">
        <v>37621</v>
      </c>
      <c r="B4320" s="202">
        <v>1.0457627443008958E-2</v>
      </c>
      <c r="C4320" s="194" t="s">
        <v>1</v>
      </c>
    </row>
    <row r="4321" spans="1:3" x14ac:dyDescent="0.15">
      <c r="A4321" s="203">
        <v>37622</v>
      </c>
      <c r="B4321" s="202">
        <v>1.0457627443008958E-2</v>
      </c>
      <c r="C4321" s="194" t="s">
        <v>1</v>
      </c>
    </row>
    <row r="4322" spans="1:3" x14ac:dyDescent="0.15">
      <c r="A4322" s="203">
        <v>37623</v>
      </c>
      <c r="B4322" s="202">
        <v>1.0459940802970216E-2</v>
      </c>
      <c r="C4322" s="194" t="s">
        <v>1</v>
      </c>
    </row>
    <row r="4323" spans="1:3" x14ac:dyDescent="0.15">
      <c r="A4323" s="203">
        <v>37624</v>
      </c>
      <c r="B4323" s="202">
        <v>1.0462254674676067E-2</v>
      </c>
      <c r="C4323" s="194" t="s">
        <v>1</v>
      </c>
    </row>
    <row r="4324" spans="1:3" x14ac:dyDescent="0.15">
      <c r="A4324" s="203">
        <v>37625</v>
      </c>
      <c r="B4324" s="202">
        <v>1.0462254674676067E-2</v>
      </c>
      <c r="C4324" s="194" t="s">
        <v>1</v>
      </c>
    </row>
    <row r="4325" spans="1:3" x14ac:dyDescent="0.15">
      <c r="A4325" s="203">
        <v>37626</v>
      </c>
      <c r="B4325" s="202">
        <v>1.0462254674676067E-2</v>
      </c>
      <c r="C4325" s="194" t="s">
        <v>1</v>
      </c>
    </row>
    <row r="4326" spans="1:3" x14ac:dyDescent="0.15">
      <c r="A4326" s="203">
        <v>37627</v>
      </c>
      <c r="B4326" s="202">
        <v>1.0464569058239717E-2</v>
      </c>
      <c r="C4326" s="194" t="s">
        <v>1</v>
      </c>
    </row>
    <row r="4327" spans="1:3" x14ac:dyDescent="0.15">
      <c r="A4327" s="203">
        <v>37628</v>
      </c>
      <c r="B4327" s="202">
        <v>1.0466883953774394E-2</v>
      </c>
      <c r="C4327" s="194" t="s">
        <v>1</v>
      </c>
    </row>
    <row r="4328" spans="1:3" x14ac:dyDescent="0.15">
      <c r="A4328" s="203">
        <v>37629</v>
      </c>
      <c r="B4328" s="202">
        <v>1.0469199361393355E-2</v>
      </c>
      <c r="C4328" s="194" t="s">
        <v>1</v>
      </c>
    </row>
    <row r="4329" spans="1:3" x14ac:dyDescent="0.15">
      <c r="A4329" s="203">
        <v>37630</v>
      </c>
      <c r="B4329" s="202">
        <v>1.0471515281209877E-2</v>
      </c>
      <c r="C4329" s="194" t="s">
        <v>1</v>
      </c>
    </row>
    <row r="4330" spans="1:3" x14ac:dyDescent="0.15">
      <c r="A4330" s="203">
        <v>37631</v>
      </c>
      <c r="B4330" s="202">
        <v>1.0473831713337265E-2</v>
      </c>
      <c r="C4330" s="194" t="s">
        <v>1</v>
      </c>
    </row>
    <row r="4331" spans="1:3" x14ac:dyDescent="0.15">
      <c r="A4331" s="203">
        <v>37632</v>
      </c>
      <c r="B4331" s="202">
        <v>1.0473831713337265E-2</v>
      </c>
      <c r="C4331" s="194" t="s">
        <v>1</v>
      </c>
    </row>
    <row r="4332" spans="1:3" x14ac:dyDescent="0.15">
      <c r="A4332" s="203">
        <v>37633</v>
      </c>
      <c r="B4332" s="202">
        <v>1.0473831713337265E-2</v>
      </c>
      <c r="C4332" s="194" t="s">
        <v>1</v>
      </c>
    </row>
    <row r="4333" spans="1:3" x14ac:dyDescent="0.15">
      <c r="A4333" s="203">
        <v>37634</v>
      </c>
      <c r="B4333" s="202">
        <v>1.047614865788885E-2</v>
      </c>
      <c r="C4333" s="194" t="s">
        <v>1</v>
      </c>
    </row>
    <row r="4334" spans="1:3" x14ac:dyDescent="0.15">
      <c r="A4334" s="203">
        <v>37635</v>
      </c>
      <c r="B4334" s="202">
        <v>1.0478466114977986E-2</v>
      </c>
      <c r="C4334" s="194" t="s">
        <v>1</v>
      </c>
    </row>
    <row r="4335" spans="1:3" x14ac:dyDescent="0.15">
      <c r="A4335" s="203">
        <v>37636</v>
      </c>
      <c r="B4335" s="202">
        <v>1.0480784084718052E-2</v>
      </c>
      <c r="C4335" s="194" t="s">
        <v>1</v>
      </c>
    </row>
    <row r="4336" spans="1:3" x14ac:dyDescent="0.15">
      <c r="A4336" s="203">
        <v>37637</v>
      </c>
      <c r="B4336" s="202">
        <v>1.0483102567222454E-2</v>
      </c>
      <c r="C4336" s="194" t="s">
        <v>1</v>
      </c>
    </row>
    <row r="4337" spans="1:3" x14ac:dyDescent="0.15">
      <c r="A4337" s="203">
        <v>37638</v>
      </c>
      <c r="B4337" s="202">
        <v>1.0485421562604623E-2</v>
      </c>
      <c r="C4337" s="194" t="s">
        <v>1</v>
      </c>
    </row>
    <row r="4338" spans="1:3" x14ac:dyDescent="0.15">
      <c r="A4338" s="203">
        <v>37639</v>
      </c>
      <c r="B4338" s="202">
        <v>1.0485421562604623E-2</v>
      </c>
      <c r="C4338" s="194" t="s">
        <v>1</v>
      </c>
    </row>
    <row r="4339" spans="1:3" x14ac:dyDescent="0.15">
      <c r="A4339" s="203">
        <v>37640</v>
      </c>
      <c r="B4339" s="202">
        <v>1.0485421562604623E-2</v>
      </c>
      <c r="C4339" s="194" t="s">
        <v>1</v>
      </c>
    </row>
    <row r="4340" spans="1:3" x14ac:dyDescent="0.15">
      <c r="A4340" s="203">
        <v>37641</v>
      </c>
      <c r="B4340" s="202">
        <v>1.0487741070978012E-2</v>
      </c>
      <c r="C4340" s="194" t="s">
        <v>1</v>
      </c>
    </row>
    <row r="4341" spans="1:3" x14ac:dyDescent="0.15">
      <c r="A4341" s="203">
        <v>37642</v>
      </c>
      <c r="B4341" s="202">
        <v>1.0490061092456102E-2</v>
      </c>
      <c r="C4341" s="194" t="s">
        <v>1</v>
      </c>
    </row>
    <row r="4342" spans="1:3" x14ac:dyDescent="0.15">
      <c r="A4342" s="203">
        <v>37643</v>
      </c>
      <c r="B4342" s="202">
        <v>1.0492381627152398E-2</v>
      </c>
      <c r="C4342" s="194" t="s">
        <v>1</v>
      </c>
    </row>
    <row r="4343" spans="1:3" x14ac:dyDescent="0.15">
      <c r="A4343" s="203">
        <v>37644</v>
      </c>
      <c r="B4343" s="202">
        <v>1.0494702675180431E-2</v>
      </c>
      <c r="C4343" s="194" t="s">
        <v>1</v>
      </c>
    </row>
    <row r="4344" spans="1:3" x14ac:dyDescent="0.15">
      <c r="A4344" s="203">
        <v>37645</v>
      </c>
      <c r="B4344" s="202">
        <v>1.0497024236653755E-2</v>
      </c>
      <c r="C4344" s="194" t="s">
        <v>1</v>
      </c>
    </row>
    <row r="4345" spans="1:3" x14ac:dyDescent="0.15">
      <c r="A4345" s="203">
        <v>37646</v>
      </c>
      <c r="B4345" s="202">
        <v>1.0497024236653755E-2</v>
      </c>
      <c r="C4345" s="194" t="s">
        <v>1</v>
      </c>
    </row>
    <row r="4346" spans="1:3" x14ac:dyDescent="0.15">
      <c r="A4346" s="203">
        <v>37647</v>
      </c>
      <c r="B4346" s="202">
        <v>1.0497024236653755E-2</v>
      </c>
      <c r="C4346" s="194" t="s">
        <v>1</v>
      </c>
    </row>
    <row r="4347" spans="1:3" x14ac:dyDescent="0.15">
      <c r="A4347" s="203">
        <v>37648</v>
      </c>
      <c r="B4347" s="202">
        <v>1.0499346311685951E-2</v>
      </c>
      <c r="C4347" s="194" t="s">
        <v>1</v>
      </c>
    </row>
    <row r="4348" spans="1:3" x14ac:dyDescent="0.15">
      <c r="A4348" s="203">
        <v>37649</v>
      </c>
      <c r="B4348" s="202">
        <v>1.0501668900390625E-2</v>
      </c>
      <c r="C4348" s="194" t="s">
        <v>1</v>
      </c>
    </row>
    <row r="4349" spans="1:3" x14ac:dyDescent="0.15">
      <c r="A4349" s="203">
        <v>37650</v>
      </c>
      <c r="B4349" s="202">
        <v>1.0503992002881411E-2</v>
      </c>
      <c r="C4349" s="194" t="s">
        <v>1</v>
      </c>
    </row>
    <row r="4350" spans="1:3" x14ac:dyDescent="0.15">
      <c r="A4350" s="203">
        <v>37651</v>
      </c>
      <c r="B4350" s="202">
        <v>1.0506315619271961E-2</v>
      </c>
      <c r="C4350" s="194" t="s">
        <v>1</v>
      </c>
    </row>
    <row r="4351" spans="1:3" x14ac:dyDescent="0.15">
      <c r="A4351" s="203">
        <v>37652</v>
      </c>
      <c r="B4351" s="202">
        <v>1.0508639749675957E-2</v>
      </c>
      <c r="C4351" s="194" t="s">
        <v>1</v>
      </c>
    </row>
    <row r="4352" spans="1:3" x14ac:dyDescent="0.15">
      <c r="A4352" s="203">
        <v>37653</v>
      </c>
      <c r="B4352" s="202">
        <v>1.0508639749675957E-2</v>
      </c>
      <c r="C4352" s="194" t="s">
        <v>1</v>
      </c>
    </row>
    <row r="4353" spans="1:3" x14ac:dyDescent="0.15">
      <c r="A4353" s="203">
        <v>37654</v>
      </c>
      <c r="B4353" s="202">
        <v>1.0508639749675957E-2</v>
      </c>
      <c r="C4353" s="194" t="s">
        <v>1</v>
      </c>
    </row>
    <row r="4354" spans="1:3" x14ac:dyDescent="0.15">
      <c r="A4354" s="203">
        <v>37655</v>
      </c>
      <c r="B4354" s="202">
        <v>1.0510798210762602E-2</v>
      </c>
      <c r="C4354" s="194" t="s">
        <v>1</v>
      </c>
    </row>
    <row r="4355" spans="1:3" x14ac:dyDescent="0.15">
      <c r="A4355" s="203">
        <v>37656</v>
      </c>
      <c r="B4355" s="202">
        <v>1.0512957115194376E-2</v>
      </c>
      <c r="C4355" s="194" t="s">
        <v>1</v>
      </c>
    </row>
    <row r="4356" spans="1:3" x14ac:dyDescent="0.15">
      <c r="A4356" s="203">
        <v>37657</v>
      </c>
      <c r="B4356" s="202">
        <v>1.0515116463062345E-2</v>
      </c>
      <c r="C4356" s="194" t="s">
        <v>1</v>
      </c>
    </row>
    <row r="4357" spans="1:3" x14ac:dyDescent="0.15">
      <c r="A4357" s="203">
        <v>37658</v>
      </c>
      <c r="B4357" s="202">
        <v>1.0517276254457588E-2</v>
      </c>
      <c r="C4357" s="194" t="s">
        <v>1</v>
      </c>
    </row>
    <row r="4358" spans="1:3" x14ac:dyDescent="0.15">
      <c r="A4358" s="203">
        <v>37659</v>
      </c>
      <c r="B4358" s="202">
        <v>1.0519436489471205E-2</v>
      </c>
      <c r="C4358" s="194" t="s">
        <v>1</v>
      </c>
    </row>
    <row r="4359" spans="1:3" x14ac:dyDescent="0.15">
      <c r="A4359" s="203">
        <v>37660</v>
      </c>
      <c r="B4359" s="202">
        <v>1.0519436489471205E-2</v>
      </c>
      <c r="C4359" s="194" t="s">
        <v>1</v>
      </c>
    </row>
    <row r="4360" spans="1:3" x14ac:dyDescent="0.15">
      <c r="A4360" s="203">
        <v>37661</v>
      </c>
      <c r="B4360" s="202">
        <v>1.0519436489471205E-2</v>
      </c>
      <c r="C4360" s="194" t="s">
        <v>1</v>
      </c>
    </row>
    <row r="4361" spans="1:3" x14ac:dyDescent="0.15">
      <c r="A4361" s="203">
        <v>37662</v>
      </c>
      <c r="B4361" s="202">
        <v>1.0521597168194315E-2</v>
      </c>
      <c r="C4361" s="194" t="s">
        <v>1</v>
      </c>
    </row>
    <row r="4362" spans="1:3" x14ac:dyDescent="0.15">
      <c r="A4362" s="203">
        <v>37663</v>
      </c>
      <c r="B4362" s="202">
        <v>1.0523758290718055E-2</v>
      </c>
      <c r="C4362" s="194" t="s">
        <v>1</v>
      </c>
    </row>
    <row r="4363" spans="1:3" x14ac:dyDescent="0.15">
      <c r="A4363" s="203">
        <v>37664</v>
      </c>
      <c r="B4363" s="202">
        <v>1.0525919857133581E-2</v>
      </c>
      <c r="C4363" s="194" t="s">
        <v>1</v>
      </c>
    </row>
    <row r="4364" spans="1:3" x14ac:dyDescent="0.15">
      <c r="A4364" s="203">
        <v>37665</v>
      </c>
      <c r="B4364" s="202">
        <v>1.0528081867532069E-2</v>
      </c>
      <c r="C4364" s="194" t="s">
        <v>1</v>
      </c>
    </row>
    <row r="4365" spans="1:3" x14ac:dyDescent="0.15">
      <c r="A4365" s="203">
        <v>37666</v>
      </c>
      <c r="B4365" s="202">
        <v>1.053024432200471E-2</v>
      </c>
      <c r="C4365" s="194" t="s">
        <v>1</v>
      </c>
    </row>
    <row r="4366" spans="1:3" x14ac:dyDescent="0.15">
      <c r="A4366" s="203">
        <v>37667</v>
      </c>
      <c r="B4366" s="202">
        <v>1.053024432200471E-2</v>
      </c>
      <c r="C4366" s="194" t="s">
        <v>1</v>
      </c>
    </row>
    <row r="4367" spans="1:3" x14ac:dyDescent="0.15">
      <c r="A4367" s="203">
        <v>37668</v>
      </c>
      <c r="B4367" s="202">
        <v>1.053024432200471E-2</v>
      </c>
      <c r="C4367" s="194" t="s">
        <v>1</v>
      </c>
    </row>
    <row r="4368" spans="1:3" x14ac:dyDescent="0.15">
      <c r="A4368" s="203">
        <v>37669</v>
      </c>
      <c r="B4368" s="202">
        <v>1.053240722064272E-2</v>
      </c>
      <c r="C4368" s="194" t="s">
        <v>1</v>
      </c>
    </row>
    <row r="4369" spans="1:3" x14ac:dyDescent="0.15">
      <c r="A4369" s="203">
        <v>37670</v>
      </c>
      <c r="B4369" s="202">
        <v>1.0534570563537326E-2</v>
      </c>
      <c r="C4369" s="194" t="s">
        <v>1</v>
      </c>
    </row>
    <row r="4370" spans="1:3" x14ac:dyDescent="0.15">
      <c r="A4370" s="203">
        <v>37671</v>
      </c>
      <c r="B4370" s="202">
        <v>1.0536734350779781E-2</v>
      </c>
      <c r="C4370" s="194" t="s">
        <v>1</v>
      </c>
    </row>
    <row r="4371" spans="1:3" x14ac:dyDescent="0.15">
      <c r="A4371" s="203">
        <v>37672</v>
      </c>
      <c r="B4371" s="202">
        <v>1.0538898582461351E-2</v>
      </c>
      <c r="C4371" s="194" t="s">
        <v>1</v>
      </c>
    </row>
    <row r="4372" spans="1:3" x14ac:dyDescent="0.15">
      <c r="A4372" s="203">
        <v>37673</v>
      </c>
      <c r="B4372" s="202">
        <v>1.0541063258673326E-2</v>
      </c>
      <c r="C4372" s="194" t="s">
        <v>1</v>
      </c>
    </row>
    <row r="4373" spans="1:3" x14ac:dyDescent="0.15">
      <c r="A4373" s="203">
        <v>37674</v>
      </c>
      <c r="B4373" s="202">
        <v>1.0541063258673326E-2</v>
      </c>
      <c r="C4373" s="194" t="s">
        <v>1</v>
      </c>
    </row>
    <row r="4374" spans="1:3" x14ac:dyDescent="0.15">
      <c r="A4374" s="203">
        <v>37675</v>
      </c>
      <c r="B4374" s="202">
        <v>1.0541063258673326E-2</v>
      </c>
      <c r="C4374" s="194" t="s">
        <v>1</v>
      </c>
    </row>
    <row r="4375" spans="1:3" x14ac:dyDescent="0.15">
      <c r="A4375" s="203">
        <v>37676</v>
      </c>
      <c r="B4375" s="202">
        <v>1.0543228379507009E-2</v>
      </c>
      <c r="C4375" s="194" t="s">
        <v>1</v>
      </c>
    </row>
    <row r="4376" spans="1:3" x14ac:dyDescent="0.15">
      <c r="A4376" s="203">
        <v>37677</v>
      </c>
      <c r="B4376" s="202">
        <v>1.0545393945053726E-2</v>
      </c>
      <c r="C4376" s="194" t="s">
        <v>1</v>
      </c>
    </row>
    <row r="4377" spans="1:3" x14ac:dyDescent="0.15">
      <c r="A4377" s="203">
        <v>37678</v>
      </c>
      <c r="B4377" s="202">
        <v>1.0547559955404821E-2</v>
      </c>
      <c r="C4377" s="194" t="s">
        <v>1</v>
      </c>
    </row>
    <row r="4378" spans="1:3" x14ac:dyDescent="0.15">
      <c r="A4378" s="203">
        <v>37679</v>
      </c>
      <c r="B4378" s="202">
        <v>1.0549726410651656E-2</v>
      </c>
      <c r="C4378" s="194" t="s">
        <v>1</v>
      </c>
    </row>
    <row r="4379" spans="1:3" x14ac:dyDescent="0.15">
      <c r="A4379" s="203">
        <v>37680</v>
      </c>
      <c r="B4379" s="202">
        <v>1.0551893310885612E-2</v>
      </c>
      <c r="C4379" s="194" t="s">
        <v>1</v>
      </c>
    </row>
    <row r="4380" spans="1:3" x14ac:dyDescent="0.15">
      <c r="A4380" s="203">
        <v>37681</v>
      </c>
      <c r="B4380" s="202">
        <v>1.0551893310885612E-2</v>
      </c>
      <c r="C4380" s="194" t="s">
        <v>1</v>
      </c>
    </row>
    <row r="4381" spans="1:3" x14ac:dyDescent="0.15">
      <c r="A4381" s="203">
        <v>37682</v>
      </c>
      <c r="B4381" s="202">
        <v>1.0551893310885612E-2</v>
      </c>
      <c r="C4381" s="194" t="s">
        <v>1</v>
      </c>
    </row>
    <row r="4382" spans="1:3" x14ac:dyDescent="0.15">
      <c r="A4382" s="203">
        <v>37683</v>
      </c>
      <c r="B4382" s="202">
        <v>1.0553790242591803E-2</v>
      </c>
      <c r="C4382" s="194" t="s">
        <v>1</v>
      </c>
    </row>
    <row r="4383" spans="1:3" x14ac:dyDescent="0.15">
      <c r="A4383" s="203">
        <v>37684</v>
      </c>
      <c r="B4383" s="202">
        <v>1.0553790242591803E-2</v>
      </c>
      <c r="C4383" s="194" t="s">
        <v>1</v>
      </c>
    </row>
    <row r="4384" spans="1:3" x14ac:dyDescent="0.15">
      <c r="A4384" s="203">
        <v>37685</v>
      </c>
      <c r="B4384" s="202">
        <v>1.0555687515312613E-2</v>
      </c>
      <c r="C4384" s="194" t="s">
        <v>1</v>
      </c>
    </row>
    <row r="4385" spans="1:3" x14ac:dyDescent="0.15">
      <c r="A4385" s="203">
        <v>37686</v>
      </c>
      <c r="B4385" s="202">
        <v>1.0557585129109349E-2</v>
      </c>
      <c r="C4385" s="194" t="s">
        <v>1</v>
      </c>
    </row>
    <row r="4386" spans="1:3" x14ac:dyDescent="0.15">
      <c r="A4386" s="203">
        <v>37687</v>
      </c>
      <c r="B4386" s="202">
        <v>1.0559483084043328E-2</v>
      </c>
      <c r="C4386" s="194" t="s">
        <v>1</v>
      </c>
    </row>
    <row r="4387" spans="1:3" x14ac:dyDescent="0.15">
      <c r="A4387" s="203">
        <v>37688</v>
      </c>
      <c r="B4387" s="202">
        <v>1.0559483084043328E-2</v>
      </c>
      <c r="C4387" s="194" t="s">
        <v>1</v>
      </c>
    </row>
    <row r="4388" spans="1:3" x14ac:dyDescent="0.15">
      <c r="A4388" s="203">
        <v>37689</v>
      </c>
      <c r="B4388" s="202">
        <v>1.0559483084043328E-2</v>
      </c>
      <c r="C4388" s="194" t="s">
        <v>1</v>
      </c>
    </row>
    <row r="4389" spans="1:3" x14ac:dyDescent="0.15">
      <c r="A4389" s="203">
        <v>37690</v>
      </c>
      <c r="B4389" s="202">
        <v>1.0561381380175875E-2</v>
      </c>
      <c r="C4389" s="194" t="s">
        <v>1</v>
      </c>
    </row>
    <row r="4390" spans="1:3" x14ac:dyDescent="0.15">
      <c r="A4390" s="203">
        <v>37691</v>
      </c>
      <c r="B4390" s="202">
        <v>1.0563280017568328E-2</v>
      </c>
      <c r="C4390" s="194" t="s">
        <v>1</v>
      </c>
    </row>
    <row r="4391" spans="1:3" x14ac:dyDescent="0.15">
      <c r="A4391" s="203">
        <v>37692</v>
      </c>
      <c r="B4391" s="202">
        <v>1.0565178996282036E-2</v>
      </c>
      <c r="C4391" s="194" t="s">
        <v>1</v>
      </c>
    </row>
    <row r="4392" spans="1:3" x14ac:dyDescent="0.15">
      <c r="A4392" s="203">
        <v>37693</v>
      </c>
      <c r="B4392" s="202">
        <v>1.0567078316378358E-2</v>
      </c>
      <c r="C4392" s="194" t="s">
        <v>1</v>
      </c>
    </row>
    <row r="4393" spans="1:3" x14ac:dyDescent="0.15">
      <c r="A4393" s="203">
        <v>37694</v>
      </c>
      <c r="B4393" s="202">
        <v>1.0568977977918666E-2</v>
      </c>
      <c r="C4393" s="194" t="s">
        <v>1</v>
      </c>
    </row>
    <row r="4394" spans="1:3" x14ac:dyDescent="0.15">
      <c r="A4394" s="203">
        <v>37695</v>
      </c>
      <c r="B4394" s="202">
        <v>1.0568977977918666E-2</v>
      </c>
      <c r="C4394" s="194" t="s">
        <v>1</v>
      </c>
    </row>
    <row r="4395" spans="1:3" x14ac:dyDescent="0.15">
      <c r="A4395" s="203">
        <v>37696</v>
      </c>
      <c r="B4395" s="202">
        <v>1.0568977977918666E-2</v>
      </c>
      <c r="C4395" s="194" t="s">
        <v>1</v>
      </c>
    </row>
    <row r="4396" spans="1:3" x14ac:dyDescent="0.15">
      <c r="A4396" s="203">
        <v>37697</v>
      </c>
      <c r="B4396" s="202">
        <v>1.0570877980964344E-2</v>
      </c>
      <c r="C4396" s="194" t="s">
        <v>1</v>
      </c>
    </row>
    <row r="4397" spans="1:3" x14ac:dyDescent="0.15">
      <c r="A4397" s="203">
        <v>37698</v>
      </c>
      <c r="B4397" s="202">
        <v>1.0572778325576782E-2</v>
      </c>
      <c r="C4397" s="194" t="s">
        <v>1</v>
      </c>
    </row>
    <row r="4398" spans="1:3" x14ac:dyDescent="0.15">
      <c r="A4398" s="203">
        <v>37699</v>
      </c>
      <c r="B4398" s="202">
        <v>1.0574679011817384E-2</v>
      </c>
      <c r="C4398" s="194" t="s">
        <v>1</v>
      </c>
    </row>
    <row r="4399" spans="1:3" x14ac:dyDescent="0.15">
      <c r="A4399" s="203">
        <v>37700</v>
      </c>
      <c r="B4399" s="202">
        <v>1.0576580039747567E-2</v>
      </c>
      <c r="C4399" s="194" t="s">
        <v>1</v>
      </c>
    </row>
    <row r="4400" spans="1:3" x14ac:dyDescent="0.15">
      <c r="A4400" s="203">
        <v>37701</v>
      </c>
      <c r="B4400" s="202">
        <v>1.0578481409428755E-2</v>
      </c>
      <c r="C4400" s="194" t="s">
        <v>1</v>
      </c>
    </row>
    <row r="4401" spans="1:3" x14ac:dyDescent="0.15">
      <c r="A4401" s="203">
        <v>37702</v>
      </c>
      <c r="B4401" s="202">
        <v>1.0578481409428755E-2</v>
      </c>
      <c r="C4401" s="194" t="s">
        <v>1</v>
      </c>
    </row>
    <row r="4402" spans="1:3" x14ac:dyDescent="0.15">
      <c r="A4402" s="203">
        <v>37703</v>
      </c>
      <c r="B4402" s="202">
        <v>1.0578481409428755E-2</v>
      </c>
      <c r="C4402" s="194" t="s">
        <v>1</v>
      </c>
    </row>
    <row r="4403" spans="1:3" x14ac:dyDescent="0.15">
      <c r="A4403" s="203">
        <v>37704</v>
      </c>
      <c r="B4403" s="202">
        <v>1.0580383120922387E-2</v>
      </c>
      <c r="C4403" s="194" t="s">
        <v>1</v>
      </c>
    </row>
    <row r="4404" spans="1:3" x14ac:dyDescent="0.15">
      <c r="A4404" s="203">
        <v>37705</v>
      </c>
      <c r="B4404" s="202">
        <v>1.0582285174289911E-2</v>
      </c>
      <c r="C4404" s="194" t="s">
        <v>1</v>
      </c>
    </row>
    <row r="4405" spans="1:3" x14ac:dyDescent="0.15">
      <c r="A4405" s="203">
        <v>37706</v>
      </c>
      <c r="B4405" s="202">
        <v>1.0584187569592785E-2</v>
      </c>
      <c r="C4405" s="194" t="s">
        <v>1</v>
      </c>
    </row>
    <row r="4406" spans="1:3" x14ac:dyDescent="0.15">
      <c r="A4406" s="203">
        <v>37707</v>
      </c>
      <c r="B4406" s="202">
        <v>1.058609030689248E-2</v>
      </c>
      <c r="C4406" s="194" t="s">
        <v>1</v>
      </c>
    </row>
    <row r="4407" spans="1:3" x14ac:dyDescent="0.15">
      <c r="A4407" s="203">
        <v>37708</v>
      </c>
      <c r="B4407" s="202">
        <v>1.0587993386250476E-2</v>
      </c>
      <c r="C4407" s="194" t="s">
        <v>1</v>
      </c>
    </row>
    <row r="4408" spans="1:3" x14ac:dyDescent="0.15">
      <c r="A4408" s="203">
        <v>37709</v>
      </c>
      <c r="B4408" s="202">
        <v>1.0587993386250476E-2</v>
      </c>
      <c r="C4408" s="194" t="s">
        <v>1</v>
      </c>
    </row>
    <row r="4409" spans="1:3" x14ac:dyDescent="0.15">
      <c r="A4409" s="203">
        <v>37710</v>
      </c>
      <c r="B4409" s="202">
        <v>1.0587993386250476E-2</v>
      </c>
      <c r="C4409" s="194" t="s">
        <v>1</v>
      </c>
    </row>
    <row r="4410" spans="1:3" x14ac:dyDescent="0.15">
      <c r="A4410" s="203">
        <v>37711</v>
      </c>
      <c r="B4410" s="202">
        <v>1.0589896807728268E-2</v>
      </c>
      <c r="C4410" s="194" t="s">
        <v>1</v>
      </c>
    </row>
    <row r="4411" spans="1:3" x14ac:dyDescent="0.15">
      <c r="A4411" s="203">
        <v>37712</v>
      </c>
      <c r="B4411" s="202">
        <v>1.0591800571387358E-2</v>
      </c>
      <c r="C4411" s="194" t="s">
        <v>1</v>
      </c>
    </row>
    <row r="4412" spans="1:3" x14ac:dyDescent="0.15">
      <c r="A4412" s="203">
        <v>37713</v>
      </c>
      <c r="B4412" s="202">
        <v>1.0594128387259186E-2</v>
      </c>
      <c r="C4412" s="194" t="s">
        <v>1</v>
      </c>
    </row>
    <row r="4413" spans="1:3" x14ac:dyDescent="0.15">
      <c r="A4413" s="203">
        <v>37714</v>
      </c>
      <c r="B4413" s="202">
        <v>1.0596456714727384E-2</v>
      </c>
      <c r="C4413" s="194" t="s">
        <v>1</v>
      </c>
    </row>
    <row r="4414" spans="1:3" x14ac:dyDescent="0.15">
      <c r="A4414" s="203">
        <v>37715</v>
      </c>
      <c r="B4414" s="202">
        <v>1.0598785553904389E-2</v>
      </c>
      <c r="C4414" s="194" t="s">
        <v>1</v>
      </c>
    </row>
    <row r="4415" spans="1:3" x14ac:dyDescent="0.15">
      <c r="A4415" s="203">
        <v>37716</v>
      </c>
      <c r="B4415" s="202">
        <v>1.0598785553904389E-2</v>
      </c>
      <c r="C4415" s="194" t="s">
        <v>1</v>
      </c>
    </row>
    <row r="4416" spans="1:3" x14ac:dyDescent="0.15">
      <c r="A4416" s="203">
        <v>37717</v>
      </c>
      <c r="B4416" s="202">
        <v>1.0598785553904389E-2</v>
      </c>
      <c r="C4416" s="194" t="s">
        <v>1</v>
      </c>
    </row>
    <row r="4417" spans="1:3" x14ac:dyDescent="0.15">
      <c r="A4417" s="203">
        <v>37718</v>
      </c>
      <c r="B4417" s="202">
        <v>1.0601114904902663E-2</v>
      </c>
      <c r="C4417" s="194" t="s">
        <v>1</v>
      </c>
    </row>
    <row r="4418" spans="1:3" x14ac:dyDescent="0.15">
      <c r="A4418" s="203">
        <v>37719</v>
      </c>
      <c r="B4418" s="202">
        <v>1.060344476783469E-2</v>
      </c>
      <c r="C4418" s="194" t="s">
        <v>1</v>
      </c>
    </row>
    <row r="4419" spans="1:3" x14ac:dyDescent="0.15">
      <c r="A4419" s="203">
        <v>37720</v>
      </c>
      <c r="B4419" s="202">
        <v>1.0605775142812982E-2</v>
      </c>
      <c r="C4419" s="194" t="s">
        <v>1</v>
      </c>
    </row>
    <row r="4420" spans="1:3" x14ac:dyDescent="0.15">
      <c r="A4420" s="203">
        <v>37721</v>
      </c>
      <c r="B4420" s="202">
        <v>1.0608106029950073E-2</v>
      </c>
      <c r="C4420" s="194" t="s">
        <v>1</v>
      </c>
    </row>
    <row r="4421" spans="1:3" x14ac:dyDescent="0.15">
      <c r="A4421" s="203">
        <v>37722</v>
      </c>
      <c r="B4421" s="202">
        <v>1.0610437429358523E-2</v>
      </c>
      <c r="C4421" s="194" t="s">
        <v>1</v>
      </c>
    </row>
    <row r="4422" spans="1:3" x14ac:dyDescent="0.15">
      <c r="A4422" s="203">
        <v>37723</v>
      </c>
      <c r="B4422" s="202">
        <v>1.0610437429358523E-2</v>
      </c>
      <c r="C4422" s="194" t="s">
        <v>1</v>
      </c>
    </row>
    <row r="4423" spans="1:3" x14ac:dyDescent="0.15">
      <c r="A4423" s="203">
        <v>37724</v>
      </c>
      <c r="B4423" s="202">
        <v>1.0610437429358523E-2</v>
      </c>
      <c r="C4423" s="194" t="s">
        <v>1</v>
      </c>
    </row>
    <row r="4424" spans="1:3" x14ac:dyDescent="0.15">
      <c r="A4424" s="203">
        <v>37725</v>
      </c>
      <c r="B4424" s="202">
        <v>1.0612769341150916E-2</v>
      </c>
      <c r="C4424" s="194" t="s">
        <v>1</v>
      </c>
    </row>
    <row r="4425" spans="1:3" x14ac:dyDescent="0.15">
      <c r="A4425" s="203">
        <v>37726</v>
      </c>
      <c r="B4425" s="202">
        <v>1.0615101765439863E-2</v>
      </c>
      <c r="C4425" s="194" t="s">
        <v>1</v>
      </c>
    </row>
    <row r="4426" spans="1:3" x14ac:dyDescent="0.15">
      <c r="A4426" s="203">
        <v>37727</v>
      </c>
      <c r="B4426" s="202">
        <v>1.0617434702337995E-2</v>
      </c>
      <c r="C4426" s="194" t="s">
        <v>1</v>
      </c>
    </row>
    <row r="4427" spans="1:3" x14ac:dyDescent="0.15">
      <c r="A4427" s="203">
        <v>37728</v>
      </c>
      <c r="B4427" s="202">
        <v>1.0619768151957974E-2</v>
      </c>
      <c r="C4427" s="194" t="s">
        <v>1</v>
      </c>
    </row>
    <row r="4428" spans="1:3" x14ac:dyDescent="0.15">
      <c r="A4428" s="203">
        <v>37729</v>
      </c>
      <c r="B4428" s="202">
        <v>1.0619768151957974E-2</v>
      </c>
      <c r="C4428" s="194" t="s">
        <v>1</v>
      </c>
    </row>
    <row r="4429" spans="1:3" x14ac:dyDescent="0.15">
      <c r="A4429" s="203">
        <v>37730</v>
      </c>
      <c r="B4429" s="202">
        <v>1.0619768151957974E-2</v>
      </c>
      <c r="C4429" s="194" t="s">
        <v>1</v>
      </c>
    </row>
    <row r="4430" spans="1:3" x14ac:dyDescent="0.15">
      <c r="A4430" s="203">
        <v>37731</v>
      </c>
      <c r="B4430" s="202">
        <v>1.0619768151957974E-2</v>
      </c>
      <c r="C4430" s="194" t="s">
        <v>1</v>
      </c>
    </row>
    <row r="4431" spans="1:3" x14ac:dyDescent="0.15">
      <c r="A4431" s="203">
        <v>37732</v>
      </c>
      <c r="B4431" s="202">
        <v>1.0619768151957974E-2</v>
      </c>
      <c r="C4431" s="194" t="s">
        <v>1</v>
      </c>
    </row>
    <row r="4432" spans="1:3" x14ac:dyDescent="0.15">
      <c r="A4432" s="203">
        <v>37733</v>
      </c>
      <c r="B4432" s="202">
        <v>1.0622102114412483E-2</v>
      </c>
      <c r="C4432" s="194" t="s">
        <v>1</v>
      </c>
    </row>
    <row r="4433" spans="1:3" x14ac:dyDescent="0.15">
      <c r="A4433" s="203">
        <v>37734</v>
      </c>
      <c r="B4433" s="202">
        <v>1.0624436589814228E-2</v>
      </c>
      <c r="C4433" s="194" t="s">
        <v>1</v>
      </c>
    </row>
    <row r="4434" spans="1:3" x14ac:dyDescent="0.15">
      <c r="A4434" s="203">
        <v>37735</v>
      </c>
      <c r="B4434" s="202">
        <v>1.0626771578275945E-2</v>
      </c>
      <c r="C4434" s="194" t="s">
        <v>1</v>
      </c>
    </row>
    <row r="4435" spans="1:3" x14ac:dyDescent="0.15">
      <c r="A4435" s="203">
        <v>37736</v>
      </c>
      <c r="B4435" s="202">
        <v>1.062910707991039E-2</v>
      </c>
      <c r="C4435" s="194" t="s">
        <v>1</v>
      </c>
    </row>
    <row r="4436" spans="1:3" x14ac:dyDescent="0.15">
      <c r="A4436" s="203">
        <v>37737</v>
      </c>
      <c r="B4436" s="202">
        <v>1.062910707991039E-2</v>
      </c>
      <c r="C4436" s="194" t="s">
        <v>1</v>
      </c>
    </row>
    <row r="4437" spans="1:3" x14ac:dyDescent="0.15">
      <c r="A4437" s="203">
        <v>37738</v>
      </c>
      <c r="B4437" s="202">
        <v>1.062910707991039E-2</v>
      </c>
      <c r="C4437" s="194" t="s">
        <v>1</v>
      </c>
    </row>
    <row r="4438" spans="1:3" x14ac:dyDescent="0.15">
      <c r="A4438" s="203">
        <v>37739</v>
      </c>
      <c r="B4438" s="202">
        <v>1.0631443094830348E-2</v>
      </c>
      <c r="C4438" s="194" t="s">
        <v>1</v>
      </c>
    </row>
    <row r="4439" spans="1:3" x14ac:dyDescent="0.15">
      <c r="A4439" s="203">
        <v>37740</v>
      </c>
      <c r="B4439" s="202">
        <v>1.0633779623148624E-2</v>
      </c>
      <c r="C4439" s="194" t="s">
        <v>1</v>
      </c>
    </row>
    <row r="4440" spans="1:3" x14ac:dyDescent="0.15">
      <c r="A4440" s="203">
        <v>37741</v>
      </c>
      <c r="B4440" s="202">
        <v>1.0636116664978051E-2</v>
      </c>
      <c r="C4440" s="194" t="s">
        <v>1</v>
      </c>
    </row>
    <row r="4441" spans="1:3" x14ac:dyDescent="0.15">
      <c r="A4441" s="203">
        <v>37742</v>
      </c>
      <c r="B4441" s="202">
        <v>1.0636116664978051E-2</v>
      </c>
      <c r="C4441" s="194" t="s">
        <v>1</v>
      </c>
    </row>
    <row r="4442" spans="1:3" x14ac:dyDescent="0.15">
      <c r="A4442" s="203">
        <v>37743</v>
      </c>
      <c r="B4442" s="202">
        <v>1.0638466605871082E-2</v>
      </c>
      <c r="C4442" s="194" t="s">
        <v>1</v>
      </c>
    </row>
    <row r="4443" spans="1:3" x14ac:dyDescent="0.15">
      <c r="A4443" s="203">
        <v>37744</v>
      </c>
      <c r="B4443" s="202">
        <v>1.0638466605871082E-2</v>
      </c>
      <c r="C4443" s="194" t="s">
        <v>1</v>
      </c>
    </row>
    <row r="4444" spans="1:3" x14ac:dyDescent="0.15">
      <c r="A4444" s="203">
        <v>37745</v>
      </c>
      <c r="B4444" s="202">
        <v>1.0638466605871082E-2</v>
      </c>
      <c r="C4444" s="194" t="s">
        <v>1</v>
      </c>
    </row>
    <row r="4445" spans="1:3" x14ac:dyDescent="0.15">
      <c r="A4445" s="203">
        <v>37746</v>
      </c>
      <c r="B4445" s="202">
        <v>1.0640817065959452E-2</v>
      </c>
      <c r="C4445" s="194" t="s">
        <v>1</v>
      </c>
    </row>
    <row r="4446" spans="1:3" x14ac:dyDescent="0.15">
      <c r="A4446" s="203">
        <v>37747</v>
      </c>
      <c r="B4446" s="202">
        <v>1.0643168045357872E-2</v>
      </c>
      <c r="C4446" s="194" t="s">
        <v>1</v>
      </c>
    </row>
    <row r="4447" spans="1:3" x14ac:dyDescent="0.15">
      <c r="A4447" s="203">
        <v>37748</v>
      </c>
      <c r="B4447" s="202">
        <v>1.0645519544181078E-2</v>
      </c>
      <c r="C4447" s="194" t="s">
        <v>1</v>
      </c>
    </row>
    <row r="4448" spans="1:3" x14ac:dyDescent="0.15">
      <c r="A4448" s="203">
        <v>37749</v>
      </c>
      <c r="B4448" s="202">
        <v>1.0647871562543832E-2</v>
      </c>
      <c r="C4448" s="194" t="s">
        <v>1</v>
      </c>
    </row>
    <row r="4449" spans="1:3" x14ac:dyDescent="0.15">
      <c r="A4449" s="203">
        <v>37750</v>
      </c>
      <c r="B4449" s="202">
        <v>1.0650224100560921E-2</v>
      </c>
      <c r="C4449" s="194" t="s">
        <v>1</v>
      </c>
    </row>
    <row r="4450" spans="1:3" x14ac:dyDescent="0.15">
      <c r="A4450" s="203">
        <v>37751</v>
      </c>
      <c r="B4450" s="202">
        <v>1.0650224100560921E-2</v>
      </c>
      <c r="C4450" s="194" t="s">
        <v>1</v>
      </c>
    </row>
    <row r="4451" spans="1:3" x14ac:dyDescent="0.15">
      <c r="A4451" s="203">
        <v>37752</v>
      </c>
      <c r="B4451" s="202">
        <v>1.0650224100560921E-2</v>
      </c>
      <c r="C4451" s="194" t="s">
        <v>1</v>
      </c>
    </row>
    <row r="4452" spans="1:3" x14ac:dyDescent="0.15">
      <c r="A4452" s="203">
        <v>37753</v>
      </c>
      <c r="B4452" s="202">
        <v>1.0652577158347156E-2</v>
      </c>
      <c r="C4452" s="194" t="s">
        <v>1</v>
      </c>
    </row>
    <row r="4453" spans="1:3" x14ac:dyDescent="0.15">
      <c r="A4453" s="203">
        <v>37754</v>
      </c>
      <c r="B4453" s="202">
        <v>1.0654930736017377E-2</v>
      </c>
      <c r="C4453" s="194" t="s">
        <v>1</v>
      </c>
    </row>
    <row r="4454" spans="1:3" x14ac:dyDescent="0.15">
      <c r="A4454" s="203">
        <v>37755</v>
      </c>
      <c r="B4454" s="202">
        <v>1.0657284833686446E-2</v>
      </c>
      <c r="C4454" s="194" t="s">
        <v>1</v>
      </c>
    </row>
    <row r="4455" spans="1:3" x14ac:dyDescent="0.15">
      <c r="A4455" s="203">
        <v>37756</v>
      </c>
      <c r="B4455" s="202">
        <v>1.0659639451469251E-2</v>
      </c>
      <c r="C4455" s="194" t="s">
        <v>1</v>
      </c>
    </row>
    <row r="4456" spans="1:3" x14ac:dyDescent="0.15">
      <c r="A4456" s="203">
        <v>37757</v>
      </c>
      <c r="B4456" s="202">
        <v>1.0661994589480707E-2</v>
      </c>
      <c r="C4456" s="194" t="s">
        <v>1</v>
      </c>
    </row>
    <row r="4457" spans="1:3" x14ac:dyDescent="0.15">
      <c r="A4457" s="203">
        <v>37758</v>
      </c>
      <c r="B4457" s="202">
        <v>1.0661994589480707E-2</v>
      </c>
      <c r="C4457" s="194" t="s">
        <v>1</v>
      </c>
    </row>
    <row r="4458" spans="1:3" x14ac:dyDescent="0.15">
      <c r="A4458" s="203">
        <v>37759</v>
      </c>
      <c r="B4458" s="202">
        <v>1.0661994589480707E-2</v>
      </c>
      <c r="C4458" s="194" t="s">
        <v>1</v>
      </c>
    </row>
    <row r="4459" spans="1:3" x14ac:dyDescent="0.15">
      <c r="A4459" s="203">
        <v>37760</v>
      </c>
      <c r="B4459" s="202">
        <v>1.0664350247835751E-2</v>
      </c>
      <c r="C4459" s="194" t="s">
        <v>1</v>
      </c>
    </row>
    <row r="4460" spans="1:3" x14ac:dyDescent="0.15">
      <c r="A4460" s="203">
        <v>37761</v>
      </c>
      <c r="B4460" s="202">
        <v>1.0666706426649349E-2</v>
      </c>
      <c r="C4460" s="194" t="s">
        <v>1</v>
      </c>
    </row>
    <row r="4461" spans="1:3" x14ac:dyDescent="0.15">
      <c r="A4461" s="203">
        <v>37762</v>
      </c>
      <c r="B4461" s="202">
        <v>1.0669063126036491E-2</v>
      </c>
      <c r="C4461" s="194" t="s">
        <v>1</v>
      </c>
    </row>
    <row r="4462" spans="1:3" x14ac:dyDescent="0.15">
      <c r="A4462" s="203">
        <v>37763</v>
      </c>
      <c r="B4462" s="202">
        <v>1.0671420346112194E-2</v>
      </c>
      <c r="C4462" s="194" t="s">
        <v>1</v>
      </c>
    </row>
    <row r="4463" spans="1:3" x14ac:dyDescent="0.15">
      <c r="A4463" s="203">
        <v>37764</v>
      </c>
      <c r="B4463" s="202">
        <v>1.0673778086991496E-2</v>
      </c>
      <c r="C4463" s="194" t="s">
        <v>1</v>
      </c>
    </row>
    <row r="4464" spans="1:3" x14ac:dyDescent="0.15">
      <c r="A4464" s="203">
        <v>37765</v>
      </c>
      <c r="B4464" s="202">
        <v>1.0673778086991496E-2</v>
      </c>
      <c r="C4464" s="194" t="s">
        <v>1</v>
      </c>
    </row>
    <row r="4465" spans="1:3" x14ac:dyDescent="0.15">
      <c r="A4465" s="203">
        <v>37766</v>
      </c>
      <c r="B4465" s="202">
        <v>1.0673778086991496E-2</v>
      </c>
      <c r="C4465" s="194" t="s">
        <v>1</v>
      </c>
    </row>
    <row r="4466" spans="1:3" x14ac:dyDescent="0.15">
      <c r="A4466" s="203">
        <v>37767</v>
      </c>
      <c r="B4466" s="202">
        <v>1.0676136348789464E-2</v>
      </c>
      <c r="C4466" s="194" t="s">
        <v>1</v>
      </c>
    </row>
    <row r="4467" spans="1:3" x14ac:dyDescent="0.15">
      <c r="A4467" s="203">
        <v>37768</v>
      </c>
      <c r="B4467" s="202">
        <v>1.0678495131621189E-2</v>
      </c>
      <c r="C4467" s="194" t="s">
        <v>1</v>
      </c>
    </row>
    <row r="4468" spans="1:3" x14ac:dyDescent="0.15">
      <c r="A4468" s="203">
        <v>37769</v>
      </c>
      <c r="B4468" s="202">
        <v>1.0680854435601791E-2</v>
      </c>
      <c r="C4468" s="194" t="s">
        <v>1</v>
      </c>
    </row>
    <row r="4469" spans="1:3" x14ac:dyDescent="0.15">
      <c r="A4469" s="203">
        <v>37770</v>
      </c>
      <c r="B4469" s="202">
        <v>1.0683214260846409E-2</v>
      </c>
      <c r="C4469" s="194" t="s">
        <v>1</v>
      </c>
    </row>
    <row r="4470" spans="1:3" x14ac:dyDescent="0.15">
      <c r="A4470" s="203">
        <v>37771</v>
      </c>
      <c r="B4470" s="202">
        <v>1.0685574607470213E-2</v>
      </c>
      <c r="C4470" s="194" t="s">
        <v>1</v>
      </c>
    </row>
    <row r="4471" spans="1:3" x14ac:dyDescent="0.15">
      <c r="A4471" s="203">
        <v>37772</v>
      </c>
      <c r="B4471" s="202">
        <v>1.0685574607470213E-2</v>
      </c>
      <c r="C4471" s="194" t="s">
        <v>1</v>
      </c>
    </row>
    <row r="4472" spans="1:3" x14ac:dyDescent="0.15">
      <c r="A4472" s="203">
        <v>37773</v>
      </c>
      <c r="B4472" s="202">
        <v>1.0685574607470213E-2</v>
      </c>
      <c r="C4472" s="194" t="s">
        <v>1</v>
      </c>
    </row>
    <row r="4473" spans="1:3" x14ac:dyDescent="0.15">
      <c r="A4473" s="203">
        <v>37774</v>
      </c>
      <c r="B4473" s="202">
        <v>1.0687690227995966E-2</v>
      </c>
      <c r="C4473" s="194" t="s">
        <v>1</v>
      </c>
    </row>
    <row r="4474" spans="1:3" x14ac:dyDescent="0.15">
      <c r="A4474" s="203">
        <v>37775</v>
      </c>
      <c r="B4474" s="202">
        <v>1.0689806267390181E-2</v>
      </c>
      <c r="C4474" s="194" t="s">
        <v>1</v>
      </c>
    </row>
    <row r="4475" spans="1:3" x14ac:dyDescent="0.15">
      <c r="A4475" s="203">
        <v>37776</v>
      </c>
      <c r="B4475" s="202">
        <v>1.069192272573579E-2</v>
      </c>
      <c r="C4475" s="194" t="s">
        <v>1</v>
      </c>
    </row>
    <row r="4476" spans="1:3" x14ac:dyDescent="0.15">
      <c r="A4476" s="203">
        <v>37777</v>
      </c>
      <c r="B4476" s="202">
        <v>1.0694039603115742E-2</v>
      </c>
      <c r="C4476" s="194" t="s">
        <v>1</v>
      </c>
    </row>
    <row r="4477" spans="1:3" x14ac:dyDescent="0.15">
      <c r="A4477" s="203">
        <v>37778</v>
      </c>
      <c r="B4477" s="202">
        <v>1.0696156899612999E-2</v>
      </c>
      <c r="C4477" s="194" t="s">
        <v>1</v>
      </c>
    </row>
    <row r="4478" spans="1:3" x14ac:dyDescent="0.15">
      <c r="A4478" s="203">
        <v>37779</v>
      </c>
      <c r="B4478" s="202">
        <v>1.0696156899612999E-2</v>
      </c>
      <c r="C4478" s="194" t="s">
        <v>1</v>
      </c>
    </row>
    <row r="4479" spans="1:3" x14ac:dyDescent="0.15">
      <c r="A4479" s="203">
        <v>37780</v>
      </c>
      <c r="B4479" s="202">
        <v>1.0696156899612999E-2</v>
      </c>
      <c r="C4479" s="194" t="s">
        <v>1</v>
      </c>
    </row>
    <row r="4480" spans="1:3" x14ac:dyDescent="0.15">
      <c r="A4480" s="203">
        <v>37781</v>
      </c>
      <c r="B4480" s="202">
        <v>1.0698274615310541E-2</v>
      </c>
      <c r="C4480" s="194" t="s">
        <v>1</v>
      </c>
    </row>
    <row r="4481" spans="1:3" x14ac:dyDescent="0.15">
      <c r="A4481" s="203">
        <v>37782</v>
      </c>
      <c r="B4481" s="202">
        <v>1.0700392750291365E-2</v>
      </c>
      <c r="C4481" s="194" t="s">
        <v>1</v>
      </c>
    </row>
    <row r="4482" spans="1:3" x14ac:dyDescent="0.15">
      <c r="A4482" s="203">
        <v>37783</v>
      </c>
      <c r="B4482" s="202">
        <v>1.0702511304638486E-2</v>
      </c>
      <c r="C4482" s="194" t="s">
        <v>1</v>
      </c>
    </row>
    <row r="4483" spans="1:3" x14ac:dyDescent="0.15">
      <c r="A4483" s="203">
        <v>37784</v>
      </c>
      <c r="B4483" s="202">
        <v>1.0704630278434931E-2</v>
      </c>
      <c r="C4483" s="194" t="s">
        <v>1</v>
      </c>
    </row>
    <row r="4484" spans="1:3" x14ac:dyDescent="0.15">
      <c r="A4484" s="203">
        <v>37785</v>
      </c>
      <c r="B4484" s="202">
        <v>1.0706749671763749E-2</v>
      </c>
      <c r="C4484" s="194" t="s">
        <v>1</v>
      </c>
    </row>
    <row r="4485" spans="1:3" x14ac:dyDescent="0.15">
      <c r="A4485" s="203">
        <v>37786</v>
      </c>
      <c r="B4485" s="202">
        <v>1.0706749671763749E-2</v>
      </c>
      <c r="C4485" s="194" t="s">
        <v>1</v>
      </c>
    </row>
    <row r="4486" spans="1:3" x14ac:dyDescent="0.15">
      <c r="A4486" s="203">
        <v>37787</v>
      </c>
      <c r="B4486" s="202">
        <v>1.0706749671763749E-2</v>
      </c>
      <c r="C4486" s="194" t="s">
        <v>1</v>
      </c>
    </row>
    <row r="4487" spans="1:3" x14ac:dyDescent="0.15">
      <c r="A4487" s="203">
        <v>37788</v>
      </c>
      <c r="B4487" s="202">
        <v>1.0708869484708E-2</v>
      </c>
      <c r="C4487" s="194" t="s">
        <v>1</v>
      </c>
    </row>
    <row r="4488" spans="1:3" x14ac:dyDescent="0.15">
      <c r="A4488" s="203">
        <v>37789</v>
      </c>
      <c r="B4488" s="202">
        <v>1.0710989717350766E-2</v>
      </c>
      <c r="C4488" s="194" t="s">
        <v>1</v>
      </c>
    </row>
    <row r="4489" spans="1:3" x14ac:dyDescent="0.15">
      <c r="A4489" s="203">
        <v>37790</v>
      </c>
      <c r="B4489" s="202">
        <v>1.0713110369775141E-2</v>
      </c>
      <c r="C4489" s="194" t="s">
        <v>1</v>
      </c>
    </row>
    <row r="4490" spans="1:3" x14ac:dyDescent="0.15">
      <c r="A4490" s="203">
        <v>37791</v>
      </c>
      <c r="B4490" s="202">
        <v>1.0713110369775141E-2</v>
      </c>
      <c r="C4490" s="194" t="s">
        <v>1</v>
      </c>
    </row>
    <row r="4491" spans="1:3" x14ac:dyDescent="0.15">
      <c r="A4491" s="203">
        <v>37792</v>
      </c>
      <c r="B4491" s="202">
        <v>1.0715231442064235E-2</v>
      </c>
      <c r="C4491" s="194" t="s">
        <v>1</v>
      </c>
    </row>
    <row r="4492" spans="1:3" x14ac:dyDescent="0.15">
      <c r="A4492" s="203">
        <v>37793</v>
      </c>
      <c r="B4492" s="202">
        <v>1.0715231442064235E-2</v>
      </c>
      <c r="C4492" s="194" t="s">
        <v>1</v>
      </c>
    </row>
    <row r="4493" spans="1:3" x14ac:dyDescent="0.15">
      <c r="A4493" s="203">
        <v>37794</v>
      </c>
      <c r="B4493" s="202">
        <v>1.0715231442064235E-2</v>
      </c>
      <c r="C4493" s="194" t="s">
        <v>1</v>
      </c>
    </row>
    <row r="4494" spans="1:3" x14ac:dyDescent="0.15">
      <c r="A4494" s="203">
        <v>37795</v>
      </c>
      <c r="B4494" s="202">
        <v>1.0717352934301178E-2</v>
      </c>
      <c r="C4494" s="194" t="s">
        <v>1</v>
      </c>
    </row>
    <row r="4495" spans="1:3" x14ac:dyDescent="0.15">
      <c r="A4495" s="203">
        <v>37796</v>
      </c>
      <c r="B4495" s="202">
        <v>1.0719474846569115E-2</v>
      </c>
      <c r="C4495" s="194" t="s">
        <v>1</v>
      </c>
    </row>
    <row r="4496" spans="1:3" x14ac:dyDescent="0.15">
      <c r="A4496" s="203">
        <v>37797</v>
      </c>
      <c r="B4496" s="202">
        <v>1.0721597178951207E-2</v>
      </c>
      <c r="C4496" s="194" t="s">
        <v>1</v>
      </c>
    </row>
    <row r="4497" spans="1:3" x14ac:dyDescent="0.15">
      <c r="A4497" s="203">
        <v>37798</v>
      </c>
      <c r="B4497" s="202">
        <v>1.0723719931530632E-2</v>
      </c>
      <c r="C4497" s="194" t="s">
        <v>1</v>
      </c>
    </row>
    <row r="4498" spans="1:3" x14ac:dyDescent="0.15">
      <c r="A4498" s="203">
        <v>37799</v>
      </c>
      <c r="B4498" s="202">
        <v>1.0725843104390584E-2</v>
      </c>
      <c r="C4498" s="194" t="s">
        <v>1</v>
      </c>
    </row>
    <row r="4499" spans="1:3" x14ac:dyDescent="0.15">
      <c r="A4499" s="203">
        <v>37800</v>
      </c>
      <c r="B4499" s="202">
        <v>1.0725843104390584E-2</v>
      </c>
      <c r="C4499" s="194" t="s">
        <v>1</v>
      </c>
    </row>
    <row r="4500" spans="1:3" x14ac:dyDescent="0.15">
      <c r="A4500" s="203">
        <v>37801</v>
      </c>
      <c r="B4500" s="202">
        <v>1.0725843104390584E-2</v>
      </c>
      <c r="C4500" s="194" t="s">
        <v>1</v>
      </c>
    </row>
    <row r="4501" spans="1:3" x14ac:dyDescent="0.15">
      <c r="A4501" s="203">
        <v>37802</v>
      </c>
      <c r="B4501" s="202">
        <v>1.0727966697614274E-2</v>
      </c>
      <c r="C4501" s="194" t="s">
        <v>1</v>
      </c>
    </row>
    <row r="4502" spans="1:3" x14ac:dyDescent="0.15">
      <c r="A4502" s="203">
        <v>37803</v>
      </c>
      <c r="B4502" s="202">
        <v>1.0730090711284928E-2</v>
      </c>
      <c r="C4502" s="194" t="s">
        <v>1</v>
      </c>
    </row>
    <row r="4503" spans="1:3" x14ac:dyDescent="0.15">
      <c r="A4503" s="203">
        <v>37804</v>
      </c>
      <c r="B4503" s="202">
        <v>1.073263363401677E-2</v>
      </c>
      <c r="C4503" s="194" t="s">
        <v>1</v>
      </c>
    </row>
    <row r="4504" spans="1:3" x14ac:dyDescent="0.15">
      <c r="A4504" s="203">
        <v>37805</v>
      </c>
      <c r="B4504" s="202">
        <v>1.0735177159395523E-2</v>
      </c>
      <c r="C4504" s="194" t="s">
        <v>1</v>
      </c>
    </row>
    <row r="4505" spans="1:3" x14ac:dyDescent="0.15">
      <c r="A4505" s="203">
        <v>37806</v>
      </c>
      <c r="B4505" s="202">
        <v>1.0737721287564008E-2</v>
      </c>
      <c r="C4505" s="194" t="s">
        <v>1</v>
      </c>
    </row>
    <row r="4506" spans="1:3" x14ac:dyDescent="0.15">
      <c r="A4506" s="203">
        <v>37807</v>
      </c>
      <c r="B4506" s="202">
        <v>1.0737721287564008E-2</v>
      </c>
      <c r="C4506" s="194" t="s">
        <v>1</v>
      </c>
    </row>
    <row r="4507" spans="1:3" x14ac:dyDescent="0.15">
      <c r="A4507" s="203">
        <v>37808</v>
      </c>
      <c r="B4507" s="202">
        <v>1.0737721287564008E-2</v>
      </c>
      <c r="C4507" s="194" t="s">
        <v>1</v>
      </c>
    </row>
    <row r="4508" spans="1:3" x14ac:dyDescent="0.15">
      <c r="A4508" s="203">
        <v>37809</v>
      </c>
      <c r="B4508" s="202">
        <v>1.074026601866508E-2</v>
      </c>
      <c r="C4508" s="194" t="s">
        <v>1</v>
      </c>
    </row>
    <row r="4509" spans="1:3" x14ac:dyDescent="0.15">
      <c r="A4509" s="203">
        <v>37810</v>
      </c>
      <c r="B4509" s="202">
        <v>1.0742811352841629E-2</v>
      </c>
      <c r="C4509" s="194" t="s">
        <v>1</v>
      </c>
    </row>
    <row r="4510" spans="1:3" x14ac:dyDescent="0.15">
      <c r="A4510" s="203">
        <v>37811</v>
      </c>
      <c r="B4510" s="202">
        <v>1.0745357290236577E-2</v>
      </c>
      <c r="C4510" s="194" t="s">
        <v>1</v>
      </c>
    </row>
    <row r="4511" spans="1:3" x14ac:dyDescent="0.15">
      <c r="A4511" s="203">
        <v>37812</v>
      </c>
      <c r="B4511" s="202">
        <v>1.0747903830992878E-2</v>
      </c>
      <c r="C4511" s="194" t="s">
        <v>1</v>
      </c>
    </row>
    <row r="4512" spans="1:3" x14ac:dyDescent="0.15">
      <c r="A4512" s="203">
        <v>37813</v>
      </c>
      <c r="B4512" s="202">
        <v>1.0750450975253527E-2</v>
      </c>
      <c r="C4512" s="194" t="s">
        <v>1</v>
      </c>
    </row>
    <row r="4513" spans="1:3" x14ac:dyDescent="0.15">
      <c r="A4513" s="203">
        <v>37814</v>
      </c>
      <c r="B4513" s="202">
        <v>1.0750450975253527E-2</v>
      </c>
      <c r="C4513" s="194" t="s">
        <v>1</v>
      </c>
    </row>
    <row r="4514" spans="1:3" x14ac:dyDescent="0.15">
      <c r="A4514" s="203">
        <v>37815</v>
      </c>
      <c r="B4514" s="202">
        <v>1.0750450975253527E-2</v>
      </c>
      <c r="C4514" s="194" t="s">
        <v>1</v>
      </c>
    </row>
    <row r="4515" spans="1:3" x14ac:dyDescent="0.15">
      <c r="A4515" s="203">
        <v>37816</v>
      </c>
      <c r="B4515" s="202">
        <v>1.0752998723161546E-2</v>
      </c>
      <c r="C4515" s="194" t="s">
        <v>1</v>
      </c>
    </row>
    <row r="4516" spans="1:3" x14ac:dyDescent="0.15">
      <c r="A4516" s="203">
        <v>37817</v>
      </c>
      <c r="B4516" s="202">
        <v>1.0755547074859994E-2</v>
      </c>
      <c r="C4516" s="194" t="s">
        <v>1</v>
      </c>
    </row>
    <row r="4517" spans="1:3" x14ac:dyDescent="0.15">
      <c r="A4517" s="203">
        <v>37818</v>
      </c>
      <c r="B4517" s="202">
        <v>1.0758096030491961E-2</v>
      </c>
      <c r="C4517" s="194" t="s">
        <v>1</v>
      </c>
    </row>
    <row r="4518" spans="1:3" x14ac:dyDescent="0.15">
      <c r="A4518" s="203">
        <v>37819</v>
      </c>
      <c r="B4518" s="202">
        <v>1.0760645590200577E-2</v>
      </c>
      <c r="C4518" s="194" t="s">
        <v>1</v>
      </c>
    </row>
    <row r="4519" spans="1:3" x14ac:dyDescent="0.15">
      <c r="A4519" s="203">
        <v>37820</v>
      </c>
      <c r="B4519" s="202">
        <v>1.0763195754128999E-2</v>
      </c>
      <c r="C4519" s="194" t="s">
        <v>1</v>
      </c>
    </row>
    <row r="4520" spans="1:3" x14ac:dyDescent="0.15">
      <c r="A4520" s="203">
        <v>37821</v>
      </c>
      <c r="B4520" s="202">
        <v>1.0763195754128999E-2</v>
      </c>
      <c r="C4520" s="194" t="s">
        <v>1</v>
      </c>
    </row>
    <row r="4521" spans="1:3" x14ac:dyDescent="0.15">
      <c r="A4521" s="203">
        <v>37822</v>
      </c>
      <c r="B4521" s="202">
        <v>1.0763195754128999E-2</v>
      </c>
      <c r="C4521" s="194" t="s">
        <v>1</v>
      </c>
    </row>
    <row r="4522" spans="1:3" x14ac:dyDescent="0.15">
      <c r="A4522" s="203">
        <v>37823</v>
      </c>
      <c r="B4522" s="202">
        <v>1.0765746522420423E-2</v>
      </c>
      <c r="C4522" s="194" t="s">
        <v>1</v>
      </c>
    </row>
    <row r="4523" spans="1:3" x14ac:dyDescent="0.15">
      <c r="A4523" s="203">
        <v>37824</v>
      </c>
      <c r="B4523" s="202">
        <v>1.0768297895218075E-2</v>
      </c>
      <c r="C4523" s="194" t="s">
        <v>1</v>
      </c>
    </row>
    <row r="4524" spans="1:3" x14ac:dyDescent="0.15">
      <c r="A4524" s="203">
        <v>37825</v>
      </c>
      <c r="B4524" s="202">
        <v>1.0770849872665217E-2</v>
      </c>
      <c r="C4524" s="194" t="s">
        <v>1</v>
      </c>
    </row>
    <row r="4525" spans="1:3" x14ac:dyDescent="0.15">
      <c r="A4525" s="203">
        <v>37826</v>
      </c>
      <c r="B4525" s="202">
        <v>1.0773402454905146E-2</v>
      </c>
      <c r="C4525" s="194" t="s">
        <v>1</v>
      </c>
    </row>
    <row r="4526" spans="1:3" x14ac:dyDescent="0.15">
      <c r="A4526" s="203">
        <v>37827</v>
      </c>
      <c r="B4526" s="202">
        <v>1.0775955642081192E-2</v>
      </c>
      <c r="C4526" s="194" t="s">
        <v>1</v>
      </c>
    </row>
    <row r="4527" spans="1:3" x14ac:dyDescent="0.15">
      <c r="A4527" s="203">
        <v>37828</v>
      </c>
      <c r="B4527" s="202">
        <v>1.0775955642081192E-2</v>
      </c>
      <c r="C4527" s="194" t="s">
        <v>1</v>
      </c>
    </row>
    <row r="4528" spans="1:3" x14ac:dyDescent="0.15">
      <c r="A4528" s="203">
        <v>37829</v>
      </c>
      <c r="B4528" s="202">
        <v>1.0775955642081192E-2</v>
      </c>
      <c r="C4528" s="194" t="s">
        <v>1</v>
      </c>
    </row>
    <row r="4529" spans="1:3" x14ac:dyDescent="0.15">
      <c r="A4529" s="203">
        <v>37830</v>
      </c>
      <c r="B4529" s="202">
        <v>1.0778509434336718E-2</v>
      </c>
      <c r="C4529" s="194" t="s">
        <v>1</v>
      </c>
    </row>
    <row r="4530" spans="1:3" x14ac:dyDescent="0.15">
      <c r="A4530" s="203">
        <v>37831</v>
      </c>
      <c r="B4530" s="202">
        <v>1.0781063831815122E-2</v>
      </c>
      <c r="C4530" s="194" t="s">
        <v>1</v>
      </c>
    </row>
    <row r="4531" spans="1:3" x14ac:dyDescent="0.15">
      <c r="A4531" s="203">
        <v>37832</v>
      </c>
      <c r="B4531" s="202">
        <v>1.0783618834659836E-2</v>
      </c>
      <c r="C4531" s="194" t="s">
        <v>1</v>
      </c>
    </row>
    <row r="4532" spans="1:3" x14ac:dyDescent="0.15">
      <c r="A4532" s="203">
        <v>37833</v>
      </c>
      <c r="B4532" s="202">
        <v>1.0786174443014324E-2</v>
      </c>
      <c r="C4532" s="194" t="s">
        <v>1</v>
      </c>
    </row>
    <row r="4533" spans="1:3" x14ac:dyDescent="0.15">
      <c r="A4533" s="203">
        <v>37834</v>
      </c>
      <c r="B4533" s="202">
        <v>1.0788730657022088E-2</v>
      </c>
      <c r="C4533" s="194" t="s">
        <v>1</v>
      </c>
    </row>
    <row r="4534" spans="1:3" x14ac:dyDescent="0.15">
      <c r="A4534" s="203">
        <v>37835</v>
      </c>
      <c r="B4534" s="202">
        <v>1.0788730657022088E-2</v>
      </c>
      <c r="C4534" s="194" t="s">
        <v>1</v>
      </c>
    </row>
    <row r="4535" spans="1:3" x14ac:dyDescent="0.15">
      <c r="A4535" s="203">
        <v>37836</v>
      </c>
      <c r="B4535" s="202">
        <v>1.0788730657022088E-2</v>
      </c>
      <c r="C4535" s="194" t="s">
        <v>1</v>
      </c>
    </row>
    <row r="4536" spans="1:3" x14ac:dyDescent="0.15">
      <c r="A4536" s="203">
        <v>37837</v>
      </c>
      <c r="B4536" s="202">
        <v>1.0790801197251031E-2</v>
      </c>
      <c r="C4536" s="194" t="s">
        <v>1</v>
      </c>
    </row>
    <row r="4537" spans="1:3" x14ac:dyDescent="0.15">
      <c r="A4537" s="203">
        <v>37838</v>
      </c>
      <c r="B4537" s="202">
        <v>1.0792872134851729E-2</v>
      </c>
      <c r="C4537" s="194" t="s">
        <v>1</v>
      </c>
    </row>
    <row r="4538" spans="1:3" x14ac:dyDescent="0.15">
      <c r="A4538" s="203">
        <v>37839</v>
      </c>
      <c r="B4538" s="202">
        <v>1.0794943469900444E-2</v>
      </c>
      <c r="C4538" s="194" t="s">
        <v>1</v>
      </c>
    </row>
    <row r="4539" spans="1:3" x14ac:dyDescent="0.15">
      <c r="A4539" s="203">
        <v>37840</v>
      </c>
      <c r="B4539" s="202">
        <v>1.0797015202473455E-2</v>
      </c>
      <c r="C4539" s="194" t="s">
        <v>1</v>
      </c>
    </row>
    <row r="4540" spans="1:3" x14ac:dyDescent="0.15">
      <c r="A4540" s="203">
        <v>37841</v>
      </c>
      <c r="B4540" s="202">
        <v>1.0799087332647051E-2</v>
      </c>
      <c r="C4540" s="194" t="s">
        <v>1</v>
      </c>
    </row>
    <row r="4541" spans="1:3" x14ac:dyDescent="0.15">
      <c r="A4541" s="203">
        <v>37842</v>
      </c>
      <c r="B4541" s="202">
        <v>1.0799087332647051E-2</v>
      </c>
      <c r="C4541" s="194" t="s">
        <v>1</v>
      </c>
    </row>
    <row r="4542" spans="1:3" x14ac:dyDescent="0.15">
      <c r="A4542" s="203">
        <v>37843</v>
      </c>
      <c r="B4542" s="202">
        <v>1.0799087332647051E-2</v>
      </c>
      <c r="C4542" s="194" t="s">
        <v>1</v>
      </c>
    </row>
    <row r="4543" spans="1:3" x14ac:dyDescent="0.15">
      <c r="A4543" s="203">
        <v>37844</v>
      </c>
      <c r="B4543" s="202">
        <v>1.0801159860497541E-2</v>
      </c>
      <c r="C4543" s="194" t="s">
        <v>1</v>
      </c>
    </row>
    <row r="4544" spans="1:3" x14ac:dyDescent="0.15">
      <c r="A4544" s="203">
        <v>37845</v>
      </c>
      <c r="B4544" s="202">
        <v>1.0803232786101244E-2</v>
      </c>
      <c r="C4544" s="194" t="s">
        <v>1</v>
      </c>
    </row>
    <row r="4545" spans="1:3" x14ac:dyDescent="0.15">
      <c r="A4545" s="203">
        <v>37846</v>
      </c>
      <c r="B4545" s="202">
        <v>1.0805306109534497E-2</v>
      </c>
      <c r="C4545" s="194" t="s">
        <v>1</v>
      </c>
    </row>
    <row r="4546" spans="1:3" x14ac:dyDescent="0.15">
      <c r="A4546" s="203">
        <v>37847</v>
      </c>
      <c r="B4546" s="202">
        <v>1.0807379830873648E-2</v>
      </c>
      <c r="C4546" s="194" t="s">
        <v>1</v>
      </c>
    </row>
    <row r="4547" spans="1:3" x14ac:dyDescent="0.15">
      <c r="A4547" s="203">
        <v>37848</v>
      </c>
      <c r="B4547" s="202">
        <v>1.0809453950195065E-2</v>
      </c>
      <c r="C4547" s="194" t="s">
        <v>1</v>
      </c>
    </row>
    <row r="4548" spans="1:3" x14ac:dyDescent="0.15">
      <c r="A4548" s="203">
        <v>37849</v>
      </c>
      <c r="B4548" s="202">
        <v>1.0809453950195065E-2</v>
      </c>
      <c r="C4548" s="194" t="s">
        <v>1</v>
      </c>
    </row>
    <row r="4549" spans="1:3" x14ac:dyDescent="0.15">
      <c r="A4549" s="203">
        <v>37850</v>
      </c>
      <c r="B4549" s="202">
        <v>1.0809453950195065E-2</v>
      </c>
      <c r="C4549" s="194" t="s">
        <v>1</v>
      </c>
    </row>
    <row r="4550" spans="1:3" x14ac:dyDescent="0.15">
      <c r="A4550" s="203">
        <v>37851</v>
      </c>
      <c r="B4550" s="202">
        <v>1.0811528467575125E-2</v>
      </c>
      <c r="C4550" s="194" t="s">
        <v>1</v>
      </c>
    </row>
    <row r="4551" spans="1:3" x14ac:dyDescent="0.15">
      <c r="A4551" s="203">
        <v>37852</v>
      </c>
      <c r="B4551" s="202">
        <v>1.0813603383090224E-2</v>
      </c>
      <c r="C4551" s="194" t="s">
        <v>1</v>
      </c>
    </row>
    <row r="4552" spans="1:3" x14ac:dyDescent="0.15">
      <c r="A4552" s="203">
        <v>37853</v>
      </c>
      <c r="B4552" s="202">
        <v>1.081567869681677E-2</v>
      </c>
      <c r="C4552" s="194" t="s">
        <v>1</v>
      </c>
    </row>
    <row r="4553" spans="1:3" x14ac:dyDescent="0.15">
      <c r="A4553" s="203">
        <v>37854</v>
      </c>
      <c r="B4553" s="202">
        <v>1.0817754408831185E-2</v>
      </c>
      <c r="C4553" s="194" t="s">
        <v>1</v>
      </c>
    </row>
    <row r="4554" spans="1:3" x14ac:dyDescent="0.15">
      <c r="A4554" s="203">
        <v>37855</v>
      </c>
      <c r="B4554" s="202">
        <v>1.0819830519209908E-2</v>
      </c>
      <c r="C4554" s="194" t="s">
        <v>1</v>
      </c>
    </row>
    <row r="4555" spans="1:3" x14ac:dyDescent="0.15">
      <c r="A4555" s="203">
        <v>37856</v>
      </c>
      <c r="B4555" s="202">
        <v>1.0819830519209908E-2</v>
      </c>
      <c r="C4555" s="194" t="s">
        <v>1</v>
      </c>
    </row>
    <row r="4556" spans="1:3" x14ac:dyDescent="0.15">
      <c r="A4556" s="203">
        <v>37857</v>
      </c>
      <c r="B4556" s="202">
        <v>1.0819830519209908E-2</v>
      </c>
      <c r="C4556" s="194" t="s">
        <v>1</v>
      </c>
    </row>
    <row r="4557" spans="1:3" x14ac:dyDescent="0.15">
      <c r="A4557" s="203">
        <v>37858</v>
      </c>
      <c r="B4557" s="202">
        <v>1.0821907028029395E-2</v>
      </c>
      <c r="C4557" s="194" t="s">
        <v>1</v>
      </c>
    </row>
    <row r="4558" spans="1:3" x14ac:dyDescent="0.15">
      <c r="A4558" s="203">
        <v>37859</v>
      </c>
      <c r="B4558" s="202">
        <v>1.082398393536611E-2</v>
      </c>
      <c r="C4558" s="194" t="s">
        <v>1</v>
      </c>
    </row>
    <row r="4559" spans="1:3" x14ac:dyDescent="0.15">
      <c r="A4559" s="203">
        <v>37860</v>
      </c>
      <c r="B4559" s="202">
        <v>1.0826061241296536E-2</v>
      </c>
      <c r="C4559" s="194" t="s">
        <v>1</v>
      </c>
    </row>
    <row r="4560" spans="1:3" x14ac:dyDescent="0.15">
      <c r="A4560" s="203">
        <v>37861</v>
      </c>
      <c r="B4560" s="202">
        <v>1.0828138945897171E-2</v>
      </c>
      <c r="C4560" s="194" t="s">
        <v>1</v>
      </c>
    </row>
    <row r="4561" spans="1:3" x14ac:dyDescent="0.15">
      <c r="A4561" s="203">
        <v>37862</v>
      </c>
      <c r="B4561" s="202">
        <v>1.0830217049244525E-2</v>
      </c>
      <c r="C4561" s="194" t="s">
        <v>1</v>
      </c>
    </row>
    <row r="4562" spans="1:3" x14ac:dyDescent="0.15">
      <c r="A4562" s="203">
        <v>37863</v>
      </c>
      <c r="B4562" s="202">
        <v>1.0830217049244525E-2</v>
      </c>
      <c r="C4562" s="194" t="s">
        <v>1</v>
      </c>
    </row>
    <row r="4563" spans="1:3" x14ac:dyDescent="0.15">
      <c r="A4563" s="203">
        <v>37864</v>
      </c>
      <c r="B4563" s="202">
        <v>1.0830217049244525E-2</v>
      </c>
      <c r="C4563" s="194" t="s">
        <v>1</v>
      </c>
    </row>
    <row r="4564" spans="1:3" x14ac:dyDescent="0.15">
      <c r="A4564" s="203">
        <v>37865</v>
      </c>
      <c r="B4564" s="202">
        <v>1.0832295551415124E-2</v>
      </c>
      <c r="C4564" s="194" t="s">
        <v>1</v>
      </c>
    </row>
    <row r="4565" spans="1:3" x14ac:dyDescent="0.15">
      <c r="A4565" s="203">
        <v>37866</v>
      </c>
      <c r="B4565" s="202">
        <v>1.0833949254338813E-2</v>
      </c>
      <c r="C4565" s="194" t="s">
        <v>1</v>
      </c>
    </row>
    <row r="4566" spans="1:3" x14ac:dyDescent="0.15">
      <c r="A4566" s="203">
        <v>37867</v>
      </c>
      <c r="B4566" s="202">
        <v>1.0835603209723611E-2</v>
      </c>
      <c r="C4566" s="194" t="s">
        <v>1</v>
      </c>
    </row>
    <row r="4567" spans="1:3" x14ac:dyDescent="0.15">
      <c r="A4567" s="203">
        <v>37868</v>
      </c>
      <c r="B4567" s="202">
        <v>1.0837257417608062E-2</v>
      </c>
      <c r="C4567" s="194" t="s">
        <v>1</v>
      </c>
    </row>
    <row r="4568" spans="1:3" x14ac:dyDescent="0.15">
      <c r="A4568" s="203">
        <v>37869</v>
      </c>
      <c r="B4568" s="202">
        <v>1.0838911878030712E-2</v>
      </c>
      <c r="C4568" s="194" t="s">
        <v>1</v>
      </c>
    </row>
    <row r="4569" spans="1:3" x14ac:dyDescent="0.15">
      <c r="A4569" s="203">
        <v>37870</v>
      </c>
      <c r="B4569" s="202">
        <v>1.0838911878030712E-2</v>
      </c>
      <c r="C4569" s="194" t="s">
        <v>1</v>
      </c>
    </row>
    <row r="4570" spans="1:3" x14ac:dyDescent="0.15">
      <c r="A4570" s="203">
        <v>37871</v>
      </c>
      <c r="B4570" s="202">
        <v>1.0838911878030712E-2</v>
      </c>
      <c r="C4570" s="194" t="s">
        <v>1</v>
      </c>
    </row>
    <row r="4571" spans="1:3" x14ac:dyDescent="0.15">
      <c r="A4571" s="203">
        <v>37872</v>
      </c>
      <c r="B4571" s="202">
        <v>1.0840566591030115E-2</v>
      </c>
      <c r="C4571" s="194" t="s">
        <v>1</v>
      </c>
    </row>
    <row r="4572" spans="1:3" x14ac:dyDescent="0.15">
      <c r="A4572" s="203">
        <v>37873</v>
      </c>
      <c r="B4572" s="202">
        <v>1.084222155664483E-2</v>
      </c>
      <c r="C4572" s="194" t="s">
        <v>1</v>
      </c>
    </row>
    <row r="4573" spans="1:3" x14ac:dyDescent="0.15">
      <c r="A4573" s="203">
        <v>37874</v>
      </c>
      <c r="B4573" s="202">
        <v>1.0843876774913424E-2</v>
      </c>
      <c r="C4573" s="194" t="s">
        <v>1</v>
      </c>
    </row>
    <row r="4574" spans="1:3" x14ac:dyDescent="0.15">
      <c r="A4574" s="203">
        <v>37875</v>
      </c>
      <c r="B4574" s="202">
        <v>1.0845532245874466E-2</v>
      </c>
      <c r="C4574" s="194" t="s">
        <v>1</v>
      </c>
    </row>
    <row r="4575" spans="1:3" x14ac:dyDescent="0.15">
      <c r="A4575" s="203">
        <v>37876</v>
      </c>
      <c r="B4575" s="202">
        <v>1.0847187969566534E-2</v>
      </c>
      <c r="C4575" s="194" t="s">
        <v>1</v>
      </c>
    </row>
    <row r="4576" spans="1:3" x14ac:dyDescent="0.15">
      <c r="A4576" s="203">
        <v>37877</v>
      </c>
      <c r="B4576" s="202">
        <v>1.0847187969566534E-2</v>
      </c>
      <c r="C4576" s="194" t="s">
        <v>1</v>
      </c>
    </row>
    <row r="4577" spans="1:3" x14ac:dyDescent="0.15">
      <c r="A4577" s="203">
        <v>37878</v>
      </c>
      <c r="B4577" s="202">
        <v>1.0847187969566534E-2</v>
      </c>
      <c r="C4577" s="194" t="s">
        <v>1</v>
      </c>
    </row>
    <row r="4578" spans="1:3" x14ac:dyDescent="0.15">
      <c r="A4578" s="203">
        <v>37879</v>
      </c>
      <c r="B4578" s="202">
        <v>1.0848843946028211E-2</v>
      </c>
      <c r="C4578" s="194" t="s">
        <v>1</v>
      </c>
    </row>
    <row r="4579" spans="1:3" x14ac:dyDescent="0.15">
      <c r="A4579" s="203">
        <v>37880</v>
      </c>
      <c r="B4579" s="202">
        <v>1.0850500175298086E-2</v>
      </c>
      <c r="C4579" s="194" t="s">
        <v>1</v>
      </c>
    </row>
    <row r="4580" spans="1:3" x14ac:dyDescent="0.15">
      <c r="A4580" s="203">
        <v>37881</v>
      </c>
      <c r="B4580" s="202">
        <v>1.0852156657414753E-2</v>
      </c>
      <c r="C4580" s="194" t="s">
        <v>1</v>
      </c>
    </row>
    <row r="4581" spans="1:3" x14ac:dyDescent="0.15">
      <c r="A4581" s="203">
        <v>37882</v>
      </c>
      <c r="B4581" s="202">
        <v>1.0853813392416813E-2</v>
      </c>
      <c r="C4581" s="194" t="s">
        <v>1</v>
      </c>
    </row>
    <row r="4582" spans="1:3" x14ac:dyDescent="0.15">
      <c r="A4582" s="203">
        <v>37883</v>
      </c>
      <c r="B4582" s="202">
        <v>1.0855470380342873E-2</v>
      </c>
      <c r="C4582" s="194" t="s">
        <v>1</v>
      </c>
    </row>
    <row r="4583" spans="1:3" x14ac:dyDescent="0.15">
      <c r="A4583" s="203">
        <v>37884</v>
      </c>
      <c r="B4583" s="202">
        <v>1.0855470380342873E-2</v>
      </c>
      <c r="C4583" s="194" t="s">
        <v>1</v>
      </c>
    </row>
    <row r="4584" spans="1:3" x14ac:dyDescent="0.15">
      <c r="A4584" s="203">
        <v>37885</v>
      </c>
      <c r="B4584" s="202">
        <v>1.0855470380342873E-2</v>
      </c>
      <c r="C4584" s="194" t="s">
        <v>1</v>
      </c>
    </row>
    <row r="4585" spans="1:3" x14ac:dyDescent="0.15">
      <c r="A4585" s="203">
        <v>37886</v>
      </c>
      <c r="B4585" s="202">
        <v>1.0857127621231545E-2</v>
      </c>
      <c r="C4585" s="194" t="s">
        <v>1</v>
      </c>
    </row>
    <row r="4586" spans="1:3" x14ac:dyDescent="0.15">
      <c r="A4586" s="203">
        <v>37887</v>
      </c>
      <c r="B4586" s="202">
        <v>1.0858785115121448E-2</v>
      </c>
      <c r="C4586" s="194" t="s">
        <v>1</v>
      </c>
    </row>
    <row r="4587" spans="1:3" x14ac:dyDescent="0.15">
      <c r="A4587" s="203">
        <v>37888</v>
      </c>
      <c r="B4587" s="202">
        <v>1.0860442862051206E-2</v>
      </c>
      <c r="C4587" s="194" t="s">
        <v>1</v>
      </c>
    </row>
    <row r="4588" spans="1:3" x14ac:dyDescent="0.15">
      <c r="A4588" s="203">
        <v>37889</v>
      </c>
      <c r="B4588" s="202">
        <v>1.0862100862059448E-2</v>
      </c>
      <c r="C4588" s="194" t="s">
        <v>1</v>
      </c>
    </row>
    <row r="4589" spans="1:3" x14ac:dyDescent="0.15">
      <c r="A4589" s="203">
        <v>37890</v>
      </c>
      <c r="B4589" s="202">
        <v>1.086375911518481E-2</v>
      </c>
      <c r="C4589" s="194" t="s">
        <v>1</v>
      </c>
    </row>
    <row r="4590" spans="1:3" x14ac:dyDescent="0.15">
      <c r="A4590" s="203">
        <v>37891</v>
      </c>
      <c r="B4590" s="202">
        <v>1.086375911518481E-2</v>
      </c>
      <c r="C4590" s="194" t="s">
        <v>1</v>
      </c>
    </row>
    <row r="4591" spans="1:3" x14ac:dyDescent="0.15">
      <c r="A4591" s="203">
        <v>37892</v>
      </c>
      <c r="B4591" s="202">
        <v>1.086375911518481E-2</v>
      </c>
      <c r="C4591" s="194" t="s">
        <v>1</v>
      </c>
    </row>
    <row r="4592" spans="1:3" x14ac:dyDescent="0.15">
      <c r="A4592" s="203">
        <v>37893</v>
      </c>
      <c r="B4592" s="202">
        <v>1.0865417621465935E-2</v>
      </c>
      <c r="C4592" s="194" t="s">
        <v>1</v>
      </c>
    </row>
    <row r="4593" spans="1:3" x14ac:dyDescent="0.15">
      <c r="A4593" s="203">
        <v>37894</v>
      </c>
      <c r="B4593" s="202">
        <v>1.0867076380941471E-2</v>
      </c>
      <c r="C4593" s="194" t="s">
        <v>1</v>
      </c>
    </row>
    <row r="4594" spans="1:3" x14ac:dyDescent="0.15">
      <c r="A4594" s="203">
        <v>37895</v>
      </c>
      <c r="B4594" s="202">
        <v>1.086873539365007E-2</v>
      </c>
      <c r="C4594" s="194" t="s">
        <v>1</v>
      </c>
    </row>
    <row r="4595" spans="1:3" x14ac:dyDescent="0.15">
      <c r="A4595" s="203">
        <v>37896</v>
      </c>
      <c r="B4595" s="202">
        <v>1.0870320294000764E-2</v>
      </c>
      <c r="C4595" s="194" t="s">
        <v>1</v>
      </c>
    </row>
    <row r="4596" spans="1:3" x14ac:dyDescent="0.15">
      <c r="A4596" s="203">
        <v>37897</v>
      </c>
      <c r="B4596" s="202">
        <v>1.0871905425464741E-2</v>
      </c>
      <c r="C4596" s="194" t="s">
        <v>1</v>
      </c>
    </row>
    <row r="4597" spans="1:3" x14ac:dyDescent="0.15">
      <c r="A4597" s="203">
        <v>37898</v>
      </c>
      <c r="B4597" s="202">
        <v>1.0871905425464741E-2</v>
      </c>
      <c r="C4597" s="194" t="s">
        <v>1</v>
      </c>
    </row>
    <row r="4598" spans="1:3" x14ac:dyDescent="0.15">
      <c r="A4598" s="203">
        <v>37899</v>
      </c>
      <c r="B4598" s="202">
        <v>1.0871905425464741E-2</v>
      </c>
      <c r="C4598" s="194" t="s">
        <v>1</v>
      </c>
    </row>
    <row r="4599" spans="1:3" x14ac:dyDescent="0.15">
      <c r="A4599" s="203">
        <v>37900</v>
      </c>
      <c r="B4599" s="202">
        <v>1.0873490788075703E-2</v>
      </c>
      <c r="C4599" s="194" t="s">
        <v>1</v>
      </c>
    </row>
    <row r="4600" spans="1:3" x14ac:dyDescent="0.15">
      <c r="A4600" s="203">
        <v>37901</v>
      </c>
      <c r="B4600" s="202">
        <v>1.0875076381867356E-2</v>
      </c>
      <c r="C4600" s="194" t="s">
        <v>1</v>
      </c>
    </row>
    <row r="4601" spans="1:3" x14ac:dyDescent="0.15">
      <c r="A4601" s="203">
        <v>37902</v>
      </c>
      <c r="B4601" s="202">
        <v>1.0876662206873411E-2</v>
      </c>
      <c r="C4601" s="194" t="s">
        <v>1</v>
      </c>
    </row>
    <row r="4602" spans="1:3" x14ac:dyDescent="0.15">
      <c r="A4602" s="203">
        <v>37903</v>
      </c>
      <c r="B4602" s="202">
        <v>1.0878248263127584E-2</v>
      </c>
      <c r="C4602" s="194" t="s">
        <v>1</v>
      </c>
    </row>
    <row r="4603" spans="1:3" x14ac:dyDescent="0.15">
      <c r="A4603" s="203">
        <v>37904</v>
      </c>
      <c r="B4603" s="202">
        <v>1.0879834550663596E-2</v>
      </c>
      <c r="C4603" s="194" t="s">
        <v>1</v>
      </c>
    </row>
    <row r="4604" spans="1:3" x14ac:dyDescent="0.15">
      <c r="A4604" s="203">
        <v>37905</v>
      </c>
      <c r="B4604" s="202">
        <v>1.0879834550663596E-2</v>
      </c>
      <c r="C4604" s="194" t="s">
        <v>1</v>
      </c>
    </row>
    <row r="4605" spans="1:3" x14ac:dyDescent="0.15">
      <c r="A4605" s="203">
        <v>37906</v>
      </c>
      <c r="B4605" s="202">
        <v>1.0879834550663596E-2</v>
      </c>
      <c r="C4605" s="194" t="s">
        <v>1</v>
      </c>
    </row>
    <row r="4606" spans="1:3" x14ac:dyDescent="0.15">
      <c r="A4606" s="203">
        <v>37907</v>
      </c>
      <c r="B4606" s="202">
        <v>1.0881421069515174E-2</v>
      </c>
      <c r="C4606" s="194" t="s">
        <v>1</v>
      </c>
    </row>
    <row r="4607" spans="1:3" x14ac:dyDescent="0.15">
      <c r="A4607" s="203">
        <v>37908</v>
      </c>
      <c r="B4607" s="202">
        <v>1.0883007819716049E-2</v>
      </c>
      <c r="C4607" s="194" t="s">
        <v>1</v>
      </c>
    </row>
    <row r="4608" spans="1:3" x14ac:dyDescent="0.15">
      <c r="A4608" s="203">
        <v>37909</v>
      </c>
      <c r="B4608" s="202">
        <v>1.0884594801299954E-2</v>
      </c>
      <c r="C4608" s="194" t="s">
        <v>1</v>
      </c>
    </row>
    <row r="4609" spans="1:3" x14ac:dyDescent="0.15">
      <c r="A4609" s="203">
        <v>37910</v>
      </c>
      <c r="B4609" s="202">
        <v>1.0886182014300633E-2</v>
      </c>
      <c r="C4609" s="194" t="s">
        <v>1</v>
      </c>
    </row>
    <row r="4610" spans="1:3" x14ac:dyDescent="0.15">
      <c r="A4610" s="203">
        <v>37911</v>
      </c>
      <c r="B4610" s="202">
        <v>1.088776945875183E-2</v>
      </c>
      <c r="C4610" s="194" t="s">
        <v>1</v>
      </c>
    </row>
    <row r="4611" spans="1:3" x14ac:dyDescent="0.15">
      <c r="A4611" s="203">
        <v>37912</v>
      </c>
      <c r="B4611" s="202">
        <v>1.088776945875183E-2</v>
      </c>
      <c r="C4611" s="194" t="s">
        <v>1</v>
      </c>
    </row>
    <row r="4612" spans="1:3" x14ac:dyDescent="0.15">
      <c r="A4612" s="203">
        <v>37913</v>
      </c>
      <c r="B4612" s="202">
        <v>1.088776945875183E-2</v>
      </c>
      <c r="C4612" s="194" t="s">
        <v>1</v>
      </c>
    </row>
    <row r="4613" spans="1:3" x14ac:dyDescent="0.15">
      <c r="A4613" s="203">
        <v>37914</v>
      </c>
      <c r="B4613" s="202">
        <v>1.0889357134687297E-2</v>
      </c>
      <c r="C4613" s="194" t="s">
        <v>1</v>
      </c>
    </row>
    <row r="4614" spans="1:3" x14ac:dyDescent="0.15">
      <c r="A4614" s="203">
        <v>37915</v>
      </c>
      <c r="B4614" s="202">
        <v>1.0890945042140788E-2</v>
      </c>
      <c r="C4614" s="194" t="s">
        <v>1</v>
      </c>
    </row>
    <row r="4615" spans="1:3" x14ac:dyDescent="0.15">
      <c r="A4615" s="203">
        <v>37916</v>
      </c>
      <c r="B4615" s="202">
        <v>1.0892533181146065E-2</v>
      </c>
      <c r="C4615" s="194" t="s">
        <v>1</v>
      </c>
    </row>
    <row r="4616" spans="1:3" x14ac:dyDescent="0.15">
      <c r="A4616" s="203">
        <v>37917</v>
      </c>
      <c r="B4616" s="202">
        <v>1.089412155173689E-2</v>
      </c>
      <c r="C4616" s="194" t="s">
        <v>1</v>
      </c>
    </row>
    <row r="4617" spans="1:3" x14ac:dyDescent="0.15">
      <c r="A4617" s="203">
        <v>37918</v>
      </c>
      <c r="B4617" s="202">
        <v>1.0895710153947037E-2</v>
      </c>
      <c r="C4617" s="194" t="s">
        <v>1</v>
      </c>
    </row>
    <row r="4618" spans="1:3" x14ac:dyDescent="0.15">
      <c r="A4618" s="203">
        <v>37919</v>
      </c>
      <c r="B4618" s="202">
        <v>1.0895710153947037E-2</v>
      </c>
      <c r="C4618" s="194" t="s">
        <v>1</v>
      </c>
    </row>
    <row r="4619" spans="1:3" x14ac:dyDescent="0.15">
      <c r="A4619" s="203">
        <v>37920</v>
      </c>
      <c r="B4619" s="202">
        <v>1.0895710153947037E-2</v>
      </c>
      <c r="C4619" s="194" t="s">
        <v>1</v>
      </c>
    </row>
    <row r="4620" spans="1:3" x14ac:dyDescent="0.15">
      <c r="A4620" s="203">
        <v>37921</v>
      </c>
      <c r="B4620" s="202">
        <v>1.0897298987810279E-2</v>
      </c>
      <c r="C4620" s="194" t="s">
        <v>1</v>
      </c>
    </row>
    <row r="4621" spans="1:3" x14ac:dyDescent="0.15">
      <c r="A4621" s="203">
        <v>37922</v>
      </c>
      <c r="B4621" s="202">
        <v>1.0898888053360397E-2</v>
      </c>
      <c r="C4621" s="194" t="s">
        <v>1</v>
      </c>
    </row>
    <row r="4622" spans="1:3" x14ac:dyDescent="0.15">
      <c r="A4622" s="203">
        <v>37923</v>
      </c>
      <c r="B4622" s="202">
        <v>1.0900477350631176E-2</v>
      </c>
      <c r="C4622" s="194" t="s">
        <v>1</v>
      </c>
    </row>
    <row r="4623" spans="1:3" x14ac:dyDescent="0.15">
      <c r="A4623" s="203">
        <v>37924</v>
      </c>
      <c r="B4623" s="202">
        <v>1.0902066879656405E-2</v>
      </c>
      <c r="C4623" s="194" t="s">
        <v>1</v>
      </c>
    </row>
    <row r="4624" spans="1:3" x14ac:dyDescent="0.15">
      <c r="A4624" s="203">
        <v>37925</v>
      </c>
      <c r="B4624" s="202">
        <v>1.090365664046988E-2</v>
      </c>
      <c r="C4624" s="194" t="s">
        <v>1</v>
      </c>
    </row>
    <row r="4625" spans="1:3" x14ac:dyDescent="0.15">
      <c r="A4625" s="203">
        <v>37926</v>
      </c>
      <c r="B4625" s="202">
        <v>1.090365664046988E-2</v>
      </c>
      <c r="C4625" s="194" t="s">
        <v>1</v>
      </c>
    </row>
    <row r="4626" spans="1:3" x14ac:dyDescent="0.15">
      <c r="A4626" s="203">
        <v>37927</v>
      </c>
      <c r="B4626" s="202">
        <v>1.090365664046988E-2</v>
      </c>
      <c r="C4626" s="194" t="s">
        <v>1</v>
      </c>
    </row>
    <row r="4627" spans="1:3" x14ac:dyDescent="0.15">
      <c r="A4627" s="203">
        <v>37928</v>
      </c>
      <c r="B4627" s="202">
        <v>1.0904577999323685E-2</v>
      </c>
      <c r="C4627" s="194" t="s">
        <v>1</v>
      </c>
    </row>
    <row r="4628" spans="1:3" x14ac:dyDescent="0.15">
      <c r="A4628" s="203">
        <v>37929</v>
      </c>
      <c r="B4628" s="202">
        <v>1.0905499436032301E-2</v>
      </c>
      <c r="C4628" s="194" t="s">
        <v>1</v>
      </c>
    </row>
    <row r="4629" spans="1:3" x14ac:dyDescent="0.15">
      <c r="A4629" s="203">
        <v>37930</v>
      </c>
      <c r="B4629" s="202">
        <v>1.0906420950602309E-2</v>
      </c>
      <c r="C4629" s="194" t="s">
        <v>1</v>
      </c>
    </row>
    <row r="4630" spans="1:3" x14ac:dyDescent="0.15">
      <c r="A4630" s="203">
        <v>37931</v>
      </c>
      <c r="B4630" s="202">
        <v>1.0907342543040287E-2</v>
      </c>
      <c r="C4630" s="194" t="s">
        <v>1</v>
      </c>
    </row>
    <row r="4631" spans="1:3" x14ac:dyDescent="0.15">
      <c r="A4631" s="203">
        <v>37932</v>
      </c>
      <c r="B4631" s="202">
        <v>1.0908264213352814E-2</v>
      </c>
      <c r="C4631" s="194" t="s">
        <v>1</v>
      </c>
    </row>
    <row r="4632" spans="1:3" x14ac:dyDescent="0.15">
      <c r="A4632" s="203">
        <v>37933</v>
      </c>
      <c r="B4632" s="202">
        <v>1.0908264213352814E-2</v>
      </c>
      <c r="C4632" s="194" t="s">
        <v>1</v>
      </c>
    </row>
    <row r="4633" spans="1:3" x14ac:dyDescent="0.15">
      <c r="A4633" s="203">
        <v>37934</v>
      </c>
      <c r="B4633" s="202">
        <v>1.0908264213352814E-2</v>
      </c>
      <c r="C4633" s="194" t="s">
        <v>1</v>
      </c>
    </row>
    <row r="4634" spans="1:3" x14ac:dyDescent="0.15">
      <c r="A4634" s="203">
        <v>37935</v>
      </c>
      <c r="B4634" s="202">
        <v>1.0909185961546471E-2</v>
      </c>
      <c r="C4634" s="194" t="s">
        <v>1</v>
      </c>
    </row>
    <row r="4635" spans="1:3" x14ac:dyDescent="0.15">
      <c r="A4635" s="203">
        <v>37936</v>
      </c>
      <c r="B4635" s="202">
        <v>1.091010778762784E-2</v>
      </c>
      <c r="C4635" s="194" t="s">
        <v>1</v>
      </c>
    </row>
    <row r="4636" spans="1:3" x14ac:dyDescent="0.15">
      <c r="A4636" s="203">
        <v>37937</v>
      </c>
      <c r="B4636" s="202">
        <v>1.0911029691603501E-2</v>
      </c>
      <c r="C4636" s="194" t="s">
        <v>1</v>
      </c>
    </row>
    <row r="4637" spans="1:3" x14ac:dyDescent="0.15">
      <c r="A4637" s="203">
        <v>37938</v>
      </c>
      <c r="B4637" s="202">
        <v>1.0911951673480037E-2</v>
      </c>
      <c r="C4637" s="194" t="s">
        <v>1</v>
      </c>
    </row>
    <row r="4638" spans="1:3" x14ac:dyDescent="0.15">
      <c r="A4638" s="203">
        <v>37939</v>
      </c>
      <c r="B4638" s="202">
        <v>1.0912873733264031E-2</v>
      </c>
      <c r="C4638" s="194" t="s">
        <v>1</v>
      </c>
    </row>
    <row r="4639" spans="1:3" x14ac:dyDescent="0.15">
      <c r="A4639" s="203">
        <v>37940</v>
      </c>
      <c r="B4639" s="202">
        <v>1.0912873733264031E-2</v>
      </c>
      <c r="C4639" s="194" t="s">
        <v>1</v>
      </c>
    </row>
    <row r="4640" spans="1:3" x14ac:dyDescent="0.15">
      <c r="A4640" s="203">
        <v>37941</v>
      </c>
      <c r="B4640" s="202">
        <v>1.0912873733264031E-2</v>
      </c>
      <c r="C4640" s="194" t="s">
        <v>1</v>
      </c>
    </row>
    <row r="4641" spans="1:3" x14ac:dyDescent="0.15">
      <c r="A4641" s="203">
        <v>37942</v>
      </c>
      <c r="B4641" s="202">
        <v>1.0913795870962065E-2</v>
      </c>
      <c r="C4641" s="194" t="s">
        <v>1</v>
      </c>
    </row>
    <row r="4642" spans="1:3" x14ac:dyDescent="0.15">
      <c r="A4642" s="203">
        <v>37943</v>
      </c>
      <c r="B4642" s="202">
        <v>1.0914718086580724E-2</v>
      </c>
      <c r="C4642" s="194" t="s">
        <v>1</v>
      </c>
    </row>
    <row r="4643" spans="1:3" x14ac:dyDescent="0.15">
      <c r="A4643" s="203">
        <v>37944</v>
      </c>
      <c r="B4643" s="202">
        <v>1.0915640380126591E-2</v>
      </c>
      <c r="C4643" s="194" t="s">
        <v>1</v>
      </c>
    </row>
    <row r="4644" spans="1:3" x14ac:dyDescent="0.15">
      <c r="A4644" s="203">
        <v>37945</v>
      </c>
      <c r="B4644" s="202">
        <v>1.0916562751606251E-2</v>
      </c>
      <c r="C4644" s="194" t="s">
        <v>1</v>
      </c>
    </row>
    <row r="4645" spans="1:3" x14ac:dyDescent="0.15">
      <c r="A4645" s="203">
        <v>37946</v>
      </c>
      <c r="B4645" s="202">
        <v>1.091748520102629E-2</v>
      </c>
      <c r="C4645" s="194" t="s">
        <v>1</v>
      </c>
    </row>
    <row r="4646" spans="1:3" x14ac:dyDescent="0.15">
      <c r="A4646" s="203">
        <v>37947</v>
      </c>
      <c r="B4646" s="202">
        <v>1.091748520102629E-2</v>
      </c>
      <c r="C4646" s="194" t="s">
        <v>1</v>
      </c>
    </row>
    <row r="4647" spans="1:3" x14ac:dyDescent="0.15">
      <c r="A4647" s="203">
        <v>37948</v>
      </c>
      <c r="B4647" s="202">
        <v>1.091748520102629E-2</v>
      </c>
      <c r="C4647" s="194" t="s">
        <v>1</v>
      </c>
    </row>
    <row r="4648" spans="1:3" x14ac:dyDescent="0.15">
      <c r="A4648" s="203">
        <v>37949</v>
      </c>
      <c r="B4648" s="202">
        <v>1.0918407728393295E-2</v>
      </c>
      <c r="C4648" s="194" t="s">
        <v>1</v>
      </c>
    </row>
    <row r="4649" spans="1:3" x14ac:dyDescent="0.15">
      <c r="A4649" s="203">
        <v>37950</v>
      </c>
      <c r="B4649" s="202">
        <v>1.091933033371385E-2</v>
      </c>
      <c r="C4649" s="194" t="s">
        <v>1</v>
      </c>
    </row>
    <row r="4650" spans="1:3" x14ac:dyDescent="0.15">
      <c r="A4650" s="203">
        <v>37951</v>
      </c>
      <c r="B4650" s="202">
        <v>1.0920253016994542E-2</v>
      </c>
      <c r="C4650" s="194" t="s">
        <v>1</v>
      </c>
    </row>
    <row r="4651" spans="1:3" x14ac:dyDescent="0.15">
      <c r="A4651" s="203">
        <v>37952</v>
      </c>
      <c r="B4651" s="202">
        <v>1.0921175778241962E-2</v>
      </c>
      <c r="C4651" s="194" t="s">
        <v>1</v>
      </c>
    </row>
    <row r="4652" spans="1:3" x14ac:dyDescent="0.15">
      <c r="A4652" s="203">
        <v>37953</v>
      </c>
      <c r="B4652" s="202">
        <v>1.0922098617462695E-2</v>
      </c>
      <c r="C4652" s="194" t="s">
        <v>1</v>
      </c>
    </row>
    <row r="4653" spans="1:3" x14ac:dyDescent="0.15">
      <c r="A4653" s="203">
        <v>37954</v>
      </c>
      <c r="B4653" s="202">
        <v>1.0922098617462695E-2</v>
      </c>
      <c r="C4653" s="194" t="s">
        <v>1</v>
      </c>
    </row>
    <row r="4654" spans="1:3" x14ac:dyDescent="0.15">
      <c r="A4654" s="203">
        <v>37955</v>
      </c>
      <c r="B4654" s="202">
        <v>1.0922098617462695E-2</v>
      </c>
      <c r="C4654" s="194" t="s">
        <v>1</v>
      </c>
    </row>
    <row r="4655" spans="1:3" x14ac:dyDescent="0.15">
      <c r="A4655" s="203">
        <v>37956</v>
      </c>
      <c r="B4655" s="202">
        <v>1.0923021534663332E-2</v>
      </c>
      <c r="C4655" s="194" t="s">
        <v>1</v>
      </c>
    </row>
    <row r="4656" spans="1:3" x14ac:dyDescent="0.15">
      <c r="A4656" s="203">
        <v>37957</v>
      </c>
      <c r="B4656" s="202">
        <v>1.0924008395787593E-2</v>
      </c>
      <c r="C4656" s="194" t="s">
        <v>1</v>
      </c>
    </row>
    <row r="4657" spans="1:3" x14ac:dyDescent="0.15">
      <c r="A4657" s="203">
        <v>37958</v>
      </c>
      <c r="B4657" s="202">
        <v>1.0924995346071695E-2</v>
      </c>
      <c r="C4657" s="194" t="s">
        <v>1</v>
      </c>
    </row>
    <row r="4658" spans="1:3" x14ac:dyDescent="0.15">
      <c r="A4658" s="203">
        <v>37959</v>
      </c>
      <c r="B4658" s="202">
        <v>1.0925982385523697E-2</v>
      </c>
      <c r="C4658" s="194" t="s">
        <v>1</v>
      </c>
    </row>
    <row r="4659" spans="1:3" x14ac:dyDescent="0.15">
      <c r="A4659" s="203">
        <v>37960</v>
      </c>
      <c r="B4659" s="202">
        <v>1.0926969514151652E-2</v>
      </c>
      <c r="C4659" s="194" t="s">
        <v>1</v>
      </c>
    </row>
    <row r="4660" spans="1:3" x14ac:dyDescent="0.15">
      <c r="A4660" s="203">
        <v>37961</v>
      </c>
      <c r="B4660" s="202">
        <v>1.0926969514151652E-2</v>
      </c>
      <c r="C4660" s="194" t="s">
        <v>1</v>
      </c>
    </row>
    <row r="4661" spans="1:3" x14ac:dyDescent="0.15">
      <c r="A4661" s="203">
        <v>37962</v>
      </c>
      <c r="B4661" s="202">
        <v>1.0926969514151652E-2</v>
      </c>
      <c r="C4661" s="194" t="s">
        <v>1</v>
      </c>
    </row>
    <row r="4662" spans="1:3" x14ac:dyDescent="0.15">
      <c r="A4662" s="203">
        <v>37963</v>
      </c>
      <c r="B4662" s="202">
        <v>1.0927956731963617E-2</v>
      </c>
      <c r="C4662" s="194" t="s">
        <v>1</v>
      </c>
    </row>
    <row r="4663" spans="1:3" x14ac:dyDescent="0.15">
      <c r="A4663" s="203">
        <v>37964</v>
      </c>
      <c r="B4663" s="202">
        <v>1.092894403896765E-2</v>
      </c>
      <c r="C4663" s="194" t="s">
        <v>1</v>
      </c>
    </row>
    <row r="4664" spans="1:3" x14ac:dyDescent="0.15">
      <c r="A4664" s="203">
        <v>37965</v>
      </c>
      <c r="B4664" s="202">
        <v>1.0929931435171809E-2</v>
      </c>
      <c r="C4664" s="194" t="s">
        <v>1</v>
      </c>
    </row>
    <row r="4665" spans="1:3" x14ac:dyDescent="0.15">
      <c r="A4665" s="203">
        <v>37966</v>
      </c>
      <c r="B4665" s="202">
        <v>1.0930918920584154E-2</v>
      </c>
      <c r="C4665" s="194" t="s">
        <v>1</v>
      </c>
    </row>
    <row r="4666" spans="1:3" x14ac:dyDescent="0.15">
      <c r="A4666" s="203">
        <v>37967</v>
      </c>
      <c r="B4666" s="202">
        <v>1.0931906495212744E-2</v>
      </c>
      <c r="C4666" s="194" t="s">
        <v>1</v>
      </c>
    </row>
    <row r="4667" spans="1:3" x14ac:dyDescent="0.15">
      <c r="A4667" s="203">
        <v>37968</v>
      </c>
      <c r="B4667" s="202">
        <v>1.0931906495212744E-2</v>
      </c>
      <c r="C4667" s="194" t="s">
        <v>1</v>
      </c>
    </row>
    <row r="4668" spans="1:3" x14ac:dyDescent="0.15">
      <c r="A4668" s="203">
        <v>37969</v>
      </c>
      <c r="B4668" s="202">
        <v>1.0931906495212744E-2</v>
      </c>
      <c r="C4668" s="194" t="s">
        <v>1</v>
      </c>
    </row>
    <row r="4669" spans="1:3" x14ac:dyDescent="0.15">
      <c r="A4669" s="203">
        <v>37970</v>
      </c>
      <c r="B4669" s="202">
        <v>1.0932894159065639E-2</v>
      </c>
      <c r="C4669" s="194" t="s">
        <v>1</v>
      </c>
    </row>
    <row r="4670" spans="1:3" x14ac:dyDescent="0.15">
      <c r="A4670" s="203">
        <v>37971</v>
      </c>
      <c r="B4670" s="202">
        <v>1.0933881912150901E-2</v>
      </c>
      <c r="C4670" s="194" t="s">
        <v>1</v>
      </c>
    </row>
    <row r="4671" spans="1:3" x14ac:dyDescent="0.15">
      <c r="A4671" s="203">
        <v>37972</v>
      </c>
      <c r="B4671" s="202">
        <v>1.093486975447659E-2</v>
      </c>
      <c r="C4671" s="194" t="s">
        <v>1</v>
      </c>
    </row>
    <row r="4672" spans="1:3" x14ac:dyDescent="0.15">
      <c r="A4672" s="203">
        <v>37973</v>
      </c>
      <c r="B4672" s="202">
        <v>1.093585768605077E-2</v>
      </c>
      <c r="C4672" s="194" t="s">
        <v>1</v>
      </c>
    </row>
    <row r="4673" spans="1:3" x14ac:dyDescent="0.15">
      <c r="A4673" s="203">
        <v>37974</v>
      </c>
      <c r="B4673" s="202">
        <v>1.0936845706881505E-2</v>
      </c>
      <c r="C4673" s="194" t="s">
        <v>1</v>
      </c>
    </row>
    <row r="4674" spans="1:3" x14ac:dyDescent="0.15">
      <c r="A4674" s="203">
        <v>37975</v>
      </c>
      <c r="B4674" s="202">
        <v>1.0936845706881505E-2</v>
      </c>
      <c r="C4674" s="194" t="s">
        <v>1</v>
      </c>
    </row>
    <row r="4675" spans="1:3" x14ac:dyDescent="0.15">
      <c r="A4675" s="203">
        <v>37976</v>
      </c>
      <c r="B4675" s="202">
        <v>1.0936845706881505E-2</v>
      </c>
      <c r="C4675" s="194" t="s">
        <v>1</v>
      </c>
    </row>
    <row r="4676" spans="1:3" x14ac:dyDescent="0.15">
      <c r="A4676" s="203">
        <v>37977</v>
      </c>
      <c r="B4676" s="202">
        <v>1.0937833816976859E-2</v>
      </c>
      <c r="C4676" s="194" t="s">
        <v>1</v>
      </c>
    </row>
    <row r="4677" spans="1:3" x14ac:dyDescent="0.15">
      <c r="A4677" s="203">
        <v>37978</v>
      </c>
      <c r="B4677" s="202">
        <v>1.0938822016344895E-2</v>
      </c>
      <c r="C4677" s="194" t="s">
        <v>1</v>
      </c>
    </row>
    <row r="4678" spans="1:3" x14ac:dyDescent="0.15">
      <c r="A4678" s="203">
        <v>37979</v>
      </c>
      <c r="B4678" s="202">
        <v>1.0939810304993679E-2</v>
      </c>
      <c r="C4678" s="194" t="s">
        <v>1</v>
      </c>
    </row>
    <row r="4679" spans="1:3" x14ac:dyDescent="0.15">
      <c r="A4679" s="203">
        <v>37980</v>
      </c>
      <c r="B4679" s="202">
        <v>1.0939810304993679E-2</v>
      </c>
      <c r="C4679" s="194" t="s">
        <v>1</v>
      </c>
    </row>
    <row r="4680" spans="1:3" x14ac:dyDescent="0.15">
      <c r="A4680" s="203">
        <v>37981</v>
      </c>
      <c r="B4680" s="202">
        <v>1.0940798682931279E-2</v>
      </c>
      <c r="C4680" s="194" t="s">
        <v>1</v>
      </c>
    </row>
    <row r="4681" spans="1:3" x14ac:dyDescent="0.15">
      <c r="A4681" s="203">
        <v>37982</v>
      </c>
      <c r="B4681" s="202">
        <v>1.0940798682931279E-2</v>
      </c>
      <c r="C4681" s="194" t="s">
        <v>1</v>
      </c>
    </row>
    <row r="4682" spans="1:3" x14ac:dyDescent="0.15">
      <c r="A4682" s="203">
        <v>37983</v>
      </c>
      <c r="B4682" s="202">
        <v>1.0940798682931279E-2</v>
      </c>
      <c r="C4682" s="194" t="s">
        <v>1</v>
      </c>
    </row>
    <row r="4683" spans="1:3" x14ac:dyDescent="0.15">
      <c r="A4683" s="203">
        <v>37984</v>
      </c>
      <c r="B4683" s="202">
        <v>1.094178715016576E-2</v>
      </c>
      <c r="C4683" s="194" t="s">
        <v>1</v>
      </c>
    </row>
    <row r="4684" spans="1:3" x14ac:dyDescent="0.15">
      <c r="A4684" s="203">
        <v>37985</v>
      </c>
      <c r="B4684" s="202">
        <v>1.0942775706705191E-2</v>
      </c>
      <c r="C4684" s="194" t="s">
        <v>1</v>
      </c>
    </row>
    <row r="4685" spans="1:3" x14ac:dyDescent="0.15">
      <c r="A4685" s="203">
        <v>37986</v>
      </c>
      <c r="B4685" s="202">
        <v>1.0943764352557639E-2</v>
      </c>
      <c r="C4685" s="194" t="s">
        <v>1</v>
      </c>
    </row>
    <row r="4686" spans="1:3" x14ac:dyDescent="0.15">
      <c r="A4686" s="203">
        <v>37987</v>
      </c>
      <c r="B4686" s="202">
        <v>1.0943764352557639E-2</v>
      </c>
      <c r="C4686" s="194" t="s">
        <v>1</v>
      </c>
    </row>
    <row r="4687" spans="1:3" x14ac:dyDescent="0.15">
      <c r="A4687" s="203">
        <v>37988</v>
      </c>
      <c r="B4687" s="202">
        <v>1.0944414338645835E-2</v>
      </c>
      <c r="C4687" s="194" t="s">
        <v>1</v>
      </c>
    </row>
    <row r="4688" spans="1:3" x14ac:dyDescent="0.15">
      <c r="A4688" s="203">
        <v>37989</v>
      </c>
      <c r="B4688" s="202">
        <v>1.0944414338645835E-2</v>
      </c>
      <c r="C4688" s="194" t="s">
        <v>1</v>
      </c>
    </row>
    <row r="4689" spans="1:3" x14ac:dyDescent="0.15">
      <c r="A4689" s="203">
        <v>37990</v>
      </c>
      <c r="B4689" s="202">
        <v>1.0944414338645835E-2</v>
      </c>
      <c r="C4689" s="194" t="s">
        <v>1</v>
      </c>
    </row>
    <row r="4690" spans="1:3" x14ac:dyDescent="0.15">
      <c r="A4690" s="203">
        <v>37991</v>
      </c>
      <c r="B4690" s="202">
        <v>1.0945064363338837E-2</v>
      </c>
      <c r="C4690" s="194" t="s">
        <v>1</v>
      </c>
    </row>
    <row r="4691" spans="1:3" x14ac:dyDescent="0.15">
      <c r="A4691" s="203">
        <v>37992</v>
      </c>
      <c r="B4691" s="202">
        <v>1.094571442663894E-2</v>
      </c>
      <c r="C4691" s="194" t="s">
        <v>1</v>
      </c>
    </row>
    <row r="4692" spans="1:3" x14ac:dyDescent="0.15">
      <c r="A4692" s="203">
        <v>37993</v>
      </c>
      <c r="B4692" s="202">
        <v>1.0946364528548436E-2</v>
      </c>
      <c r="C4692" s="194" t="s">
        <v>1</v>
      </c>
    </row>
    <row r="4693" spans="1:3" x14ac:dyDescent="0.15">
      <c r="A4693" s="203">
        <v>37994</v>
      </c>
      <c r="B4693" s="202">
        <v>1.0947014669069619E-2</v>
      </c>
      <c r="C4693" s="194" t="s">
        <v>1</v>
      </c>
    </row>
    <row r="4694" spans="1:3" x14ac:dyDescent="0.15">
      <c r="A4694" s="203">
        <v>37995</v>
      </c>
      <c r="B4694" s="202">
        <v>1.0947664848204782E-2</v>
      </c>
      <c r="C4694" s="194" t="s">
        <v>1</v>
      </c>
    </row>
    <row r="4695" spans="1:3" x14ac:dyDescent="0.15">
      <c r="A4695" s="203">
        <v>37996</v>
      </c>
      <c r="B4695" s="202">
        <v>1.0947664848204782E-2</v>
      </c>
      <c r="C4695" s="194" t="s">
        <v>1</v>
      </c>
    </row>
    <row r="4696" spans="1:3" x14ac:dyDescent="0.15">
      <c r="A4696" s="203">
        <v>37997</v>
      </c>
      <c r="B4696" s="202">
        <v>1.0947664848204782E-2</v>
      </c>
      <c r="C4696" s="194" t="s">
        <v>1</v>
      </c>
    </row>
    <row r="4697" spans="1:3" x14ac:dyDescent="0.15">
      <c r="A4697" s="203">
        <v>37998</v>
      </c>
      <c r="B4697" s="202">
        <v>1.0948315065956216E-2</v>
      </c>
      <c r="C4697" s="194" t="s">
        <v>1</v>
      </c>
    </row>
    <row r="4698" spans="1:3" x14ac:dyDescent="0.15">
      <c r="A4698" s="203">
        <v>37999</v>
      </c>
      <c r="B4698" s="202">
        <v>1.0948965322326218E-2</v>
      </c>
      <c r="C4698" s="194" t="s">
        <v>1</v>
      </c>
    </row>
    <row r="4699" spans="1:3" x14ac:dyDescent="0.15">
      <c r="A4699" s="203">
        <v>38000</v>
      </c>
      <c r="B4699" s="202">
        <v>1.094961561731708E-2</v>
      </c>
      <c r="C4699" s="194" t="s">
        <v>1</v>
      </c>
    </row>
    <row r="4700" spans="1:3" x14ac:dyDescent="0.15">
      <c r="A4700" s="203">
        <v>38001</v>
      </c>
      <c r="B4700" s="202">
        <v>1.0950265950931097E-2</v>
      </c>
      <c r="C4700" s="194" t="s">
        <v>1</v>
      </c>
    </row>
    <row r="4701" spans="1:3" x14ac:dyDescent="0.15">
      <c r="A4701" s="203">
        <v>38002</v>
      </c>
      <c r="B4701" s="202">
        <v>1.0950916323170561E-2</v>
      </c>
      <c r="C4701" s="194" t="s">
        <v>1</v>
      </c>
    </row>
    <row r="4702" spans="1:3" x14ac:dyDescent="0.15">
      <c r="A4702" s="203">
        <v>38003</v>
      </c>
      <c r="B4702" s="202">
        <v>1.0950916323170561E-2</v>
      </c>
      <c r="C4702" s="194" t="s">
        <v>1</v>
      </c>
    </row>
    <row r="4703" spans="1:3" x14ac:dyDescent="0.15">
      <c r="A4703" s="203">
        <v>38004</v>
      </c>
      <c r="B4703" s="202">
        <v>1.0950916323170561E-2</v>
      </c>
      <c r="C4703" s="194" t="s">
        <v>1</v>
      </c>
    </row>
    <row r="4704" spans="1:3" x14ac:dyDescent="0.15">
      <c r="A4704" s="203">
        <v>38005</v>
      </c>
      <c r="B4704" s="202">
        <v>1.0951566734037767E-2</v>
      </c>
      <c r="C4704" s="194" t="s">
        <v>1</v>
      </c>
    </row>
    <row r="4705" spans="1:3" x14ac:dyDescent="0.15">
      <c r="A4705" s="203">
        <v>38006</v>
      </c>
      <c r="B4705" s="202">
        <v>1.095221718353501E-2</v>
      </c>
      <c r="C4705" s="194" t="s">
        <v>1</v>
      </c>
    </row>
    <row r="4706" spans="1:3" x14ac:dyDescent="0.15">
      <c r="A4706" s="203">
        <v>38007</v>
      </c>
      <c r="B4706" s="202">
        <v>1.0952867671664585E-2</v>
      </c>
      <c r="C4706" s="194" t="s">
        <v>1</v>
      </c>
    </row>
    <row r="4707" spans="1:3" x14ac:dyDescent="0.15">
      <c r="A4707" s="203">
        <v>38008</v>
      </c>
      <c r="B4707" s="202">
        <v>1.0953518198428784E-2</v>
      </c>
      <c r="C4707" s="194" t="s">
        <v>1</v>
      </c>
    </row>
    <row r="4708" spans="1:3" x14ac:dyDescent="0.15">
      <c r="A4708" s="203">
        <v>38009</v>
      </c>
      <c r="B4708" s="202">
        <v>1.0954168763829904E-2</v>
      </c>
      <c r="C4708" s="194" t="s">
        <v>1</v>
      </c>
    </row>
    <row r="4709" spans="1:3" x14ac:dyDescent="0.15">
      <c r="A4709" s="203">
        <v>38010</v>
      </c>
      <c r="B4709" s="202">
        <v>1.0954168763829904E-2</v>
      </c>
      <c r="C4709" s="194" t="s">
        <v>1</v>
      </c>
    </row>
    <row r="4710" spans="1:3" x14ac:dyDescent="0.15">
      <c r="A4710" s="203">
        <v>38011</v>
      </c>
      <c r="B4710" s="202">
        <v>1.0954168763829904E-2</v>
      </c>
      <c r="C4710" s="194" t="s">
        <v>1</v>
      </c>
    </row>
    <row r="4711" spans="1:3" x14ac:dyDescent="0.15">
      <c r="A4711" s="203">
        <v>38012</v>
      </c>
      <c r="B4711" s="202">
        <v>1.0954819367870237E-2</v>
      </c>
      <c r="C4711" s="194" t="s">
        <v>1</v>
      </c>
    </row>
    <row r="4712" spans="1:3" x14ac:dyDescent="0.15">
      <c r="A4712" s="203">
        <v>38013</v>
      </c>
      <c r="B4712" s="202">
        <v>1.095547001055208E-2</v>
      </c>
      <c r="C4712" s="194" t="s">
        <v>1</v>
      </c>
    </row>
    <row r="4713" spans="1:3" x14ac:dyDescent="0.15">
      <c r="A4713" s="203">
        <v>38014</v>
      </c>
      <c r="B4713" s="202">
        <v>1.0956120691877728E-2</v>
      </c>
      <c r="C4713" s="194" t="s">
        <v>1</v>
      </c>
    </row>
    <row r="4714" spans="1:3" x14ac:dyDescent="0.15">
      <c r="A4714" s="203">
        <v>38015</v>
      </c>
      <c r="B4714" s="202">
        <v>1.0956771411849477E-2</v>
      </c>
      <c r="C4714" s="194" t="s">
        <v>1</v>
      </c>
    </row>
    <row r="4715" spans="1:3" x14ac:dyDescent="0.15">
      <c r="A4715" s="203">
        <v>38016</v>
      </c>
      <c r="B4715" s="202">
        <v>1.0957422170469619E-2</v>
      </c>
      <c r="C4715" s="194" t="s">
        <v>1</v>
      </c>
    </row>
    <row r="4716" spans="1:3" x14ac:dyDescent="0.15">
      <c r="A4716" s="203">
        <v>38017</v>
      </c>
      <c r="B4716" s="202">
        <v>1.0957422170469619E-2</v>
      </c>
      <c r="C4716" s="194" t="s">
        <v>1</v>
      </c>
    </row>
    <row r="4717" spans="1:3" x14ac:dyDescent="0.15">
      <c r="A4717" s="203">
        <v>38018</v>
      </c>
      <c r="B4717" s="202">
        <v>1.0957422170469619E-2</v>
      </c>
      <c r="C4717" s="194" t="s">
        <v>1</v>
      </c>
    </row>
    <row r="4718" spans="1:3" x14ac:dyDescent="0.15">
      <c r="A4718" s="203">
        <v>38019</v>
      </c>
      <c r="B4718" s="202">
        <v>1.095767304086484E-2</v>
      </c>
      <c r="C4718" s="194" t="s">
        <v>1</v>
      </c>
    </row>
    <row r="4719" spans="1:3" x14ac:dyDescent="0.15">
      <c r="A4719" s="203">
        <v>38020</v>
      </c>
      <c r="B4719" s="202">
        <v>1.0957923917003745E-2</v>
      </c>
      <c r="C4719" s="194" t="s">
        <v>1</v>
      </c>
    </row>
    <row r="4720" spans="1:3" x14ac:dyDescent="0.15">
      <c r="A4720" s="203">
        <v>38021</v>
      </c>
      <c r="B4720" s="202">
        <v>1.0958174798886463E-2</v>
      </c>
      <c r="C4720" s="194" t="s">
        <v>1</v>
      </c>
    </row>
    <row r="4721" spans="1:3" x14ac:dyDescent="0.15">
      <c r="A4721" s="203">
        <v>38022</v>
      </c>
      <c r="B4721" s="202">
        <v>1.0958425686513127E-2</v>
      </c>
      <c r="C4721" s="194" t="s">
        <v>1</v>
      </c>
    </row>
    <row r="4722" spans="1:3" x14ac:dyDescent="0.15">
      <c r="A4722" s="203">
        <v>38023</v>
      </c>
      <c r="B4722" s="202">
        <v>1.0958676579883867E-2</v>
      </c>
      <c r="C4722" s="194" t="s">
        <v>1</v>
      </c>
    </row>
    <row r="4723" spans="1:3" x14ac:dyDescent="0.15">
      <c r="A4723" s="203">
        <v>38024</v>
      </c>
      <c r="B4723" s="202">
        <v>1.0958676579883867E-2</v>
      </c>
      <c r="C4723" s="194" t="s">
        <v>1</v>
      </c>
    </row>
    <row r="4724" spans="1:3" x14ac:dyDescent="0.15">
      <c r="A4724" s="203">
        <v>38025</v>
      </c>
      <c r="B4724" s="202">
        <v>1.0958676579883867E-2</v>
      </c>
      <c r="C4724" s="194" t="s">
        <v>1</v>
      </c>
    </row>
    <row r="4725" spans="1:3" x14ac:dyDescent="0.15">
      <c r="A4725" s="203">
        <v>38026</v>
      </c>
      <c r="B4725" s="202">
        <v>1.0958927478998817E-2</v>
      </c>
      <c r="C4725" s="194" t="s">
        <v>1</v>
      </c>
    </row>
    <row r="4726" spans="1:3" x14ac:dyDescent="0.15">
      <c r="A4726" s="203">
        <v>38027</v>
      </c>
      <c r="B4726" s="202">
        <v>1.0959178383858107E-2</v>
      </c>
      <c r="C4726" s="194" t="s">
        <v>1</v>
      </c>
    </row>
    <row r="4727" spans="1:3" x14ac:dyDescent="0.15">
      <c r="A4727" s="203">
        <v>38028</v>
      </c>
      <c r="B4727" s="202">
        <v>1.0959429294461868E-2</v>
      </c>
      <c r="C4727" s="194" t="s">
        <v>1</v>
      </c>
    </row>
    <row r="4728" spans="1:3" x14ac:dyDescent="0.15">
      <c r="A4728" s="203">
        <v>38029</v>
      </c>
      <c r="B4728" s="202">
        <v>1.0959680210810233E-2</v>
      </c>
      <c r="C4728" s="194" t="s">
        <v>1</v>
      </c>
    </row>
    <row r="4729" spans="1:3" x14ac:dyDescent="0.15">
      <c r="A4729" s="203">
        <v>38030</v>
      </c>
      <c r="B4729" s="202">
        <v>1.0959931132903333E-2</v>
      </c>
      <c r="C4729" s="194" t="s">
        <v>1</v>
      </c>
    </row>
    <row r="4730" spans="1:3" x14ac:dyDescent="0.15">
      <c r="A4730" s="203">
        <v>38031</v>
      </c>
      <c r="B4730" s="202">
        <v>1.0959931132903333E-2</v>
      </c>
      <c r="C4730" s="194" t="s">
        <v>1</v>
      </c>
    </row>
    <row r="4731" spans="1:3" x14ac:dyDescent="0.15">
      <c r="A4731" s="203">
        <v>38032</v>
      </c>
      <c r="B4731" s="202">
        <v>1.0959931132903333E-2</v>
      </c>
      <c r="C4731" s="194" t="s">
        <v>1</v>
      </c>
    </row>
    <row r="4732" spans="1:3" x14ac:dyDescent="0.15">
      <c r="A4732" s="203">
        <v>38033</v>
      </c>
      <c r="B4732" s="202">
        <v>1.09601820607413E-2</v>
      </c>
      <c r="C4732" s="194" t="s">
        <v>1</v>
      </c>
    </row>
    <row r="4733" spans="1:3" x14ac:dyDescent="0.15">
      <c r="A4733" s="203">
        <v>38034</v>
      </c>
      <c r="B4733" s="202">
        <v>1.0960432994324263E-2</v>
      </c>
      <c r="C4733" s="194" t="s">
        <v>1</v>
      </c>
    </row>
    <row r="4734" spans="1:3" x14ac:dyDescent="0.15">
      <c r="A4734" s="203">
        <v>38035</v>
      </c>
      <c r="B4734" s="202">
        <v>1.0960683933652356E-2</v>
      </c>
      <c r="C4734" s="194" t="s">
        <v>1</v>
      </c>
    </row>
    <row r="4735" spans="1:3" x14ac:dyDescent="0.15">
      <c r="A4735" s="203">
        <v>38036</v>
      </c>
      <c r="B4735" s="202">
        <v>1.0960934878725709E-2</v>
      </c>
      <c r="C4735" s="194" t="s">
        <v>1</v>
      </c>
    </row>
    <row r="4736" spans="1:3" x14ac:dyDescent="0.15">
      <c r="A4736" s="203">
        <v>38037</v>
      </c>
      <c r="B4736" s="202">
        <v>1.0961185829544454E-2</v>
      </c>
      <c r="C4736" s="194" t="s">
        <v>1</v>
      </c>
    </row>
    <row r="4737" spans="1:3" x14ac:dyDescent="0.15">
      <c r="A4737" s="203">
        <v>38038</v>
      </c>
      <c r="B4737" s="202">
        <v>1.0961185829544454E-2</v>
      </c>
      <c r="C4737" s="194" t="s">
        <v>1</v>
      </c>
    </row>
    <row r="4738" spans="1:3" x14ac:dyDescent="0.15">
      <c r="A4738" s="203">
        <v>38039</v>
      </c>
      <c r="B4738" s="202">
        <v>1.0961185829544454E-2</v>
      </c>
      <c r="C4738" s="194" t="s">
        <v>1</v>
      </c>
    </row>
    <row r="4739" spans="1:3" x14ac:dyDescent="0.15">
      <c r="A4739" s="203">
        <v>38040</v>
      </c>
      <c r="B4739" s="202">
        <v>1.0961436786108723E-2</v>
      </c>
      <c r="C4739" s="194" t="s">
        <v>1</v>
      </c>
    </row>
    <row r="4740" spans="1:3" x14ac:dyDescent="0.15">
      <c r="A4740" s="203">
        <v>38041</v>
      </c>
      <c r="B4740" s="202">
        <v>1.0961436786108723E-2</v>
      </c>
      <c r="C4740" s="194" t="s">
        <v>1</v>
      </c>
    </row>
    <row r="4741" spans="1:3" x14ac:dyDescent="0.15">
      <c r="A4741" s="203">
        <v>38042</v>
      </c>
      <c r="B4741" s="202">
        <v>1.0961687748418648E-2</v>
      </c>
      <c r="C4741" s="194" t="s">
        <v>1</v>
      </c>
    </row>
    <row r="4742" spans="1:3" x14ac:dyDescent="0.15">
      <c r="A4742" s="203">
        <v>38043</v>
      </c>
      <c r="B4742" s="202">
        <v>1.096193871647436E-2</v>
      </c>
      <c r="C4742" s="194" t="s">
        <v>1</v>
      </c>
    </row>
    <row r="4743" spans="1:3" x14ac:dyDescent="0.15">
      <c r="A4743" s="203">
        <v>38044</v>
      </c>
      <c r="B4743" s="202">
        <v>1.0962189690275992E-2</v>
      </c>
      <c r="C4743" s="194" t="s">
        <v>1</v>
      </c>
    </row>
    <row r="4744" spans="1:3" x14ac:dyDescent="0.15">
      <c r="A4744" s="203">
        <v>38045</v>
      </c>
      <c r="B4744" s="202">
        <v>1.0962189690275992E-2</v>
      </c>
      <c r="C4744" s="194" t="s">
        <v>1</v>
      </c>
    </row>
    <row r="4745" spans="1:3" x14ac:dyDescent="0.15">
      <c r="A4745" s="203">
        <v>38046</v>
      </c>
      <c r="B4745" s="202">
        <v>1.0962189690275992E-2</v>
      </c>
      <c r="C4745" s="194" t="s">
        <v>1</v>
      </c>
    </row>
    <row r="4746" spans="1:3" x14ac:dyDescent="0.15">
      <c r="A4746" s="203">
        <v>38047</v>
      </c>
      <c r="B4746" s="202">
        <v>1.0962440669823673E-2</v>
      </c>
      <c r="C4746" s="194" t="s">
        <v>1</v>
      </c>
    </row>
    <row r="4747" spans="1:3" x14ac:dyDescent="0.15">
      <c r="A4747" s="203">
        <v>38048</v>
      </c>
      <c r="B4747" s="202">
        <v>1.0963287394362307E-2</v>
      </c>
      <c r="C4747" s="194" t="s">
        <v>1</v>
      </c>
    </row>
    <row r="4748" spans="1:3" x14ac:dyDescent="0.15">
      <c r="A4748" s="203">
        <v>38049</v>
      </c>
      <c r="B4748" s="202">
        <v>1.0964134184300835E-2</v>
      </c>
      <c r="C4748" s="194" t="s">
        <v>1</v>
      </c>
    </row>
    <row r="4749" spans="1:3" x14ac:dyDescent="0.15">
      <c r="A4749" s="203">
        <v>38050</v>
      </c>
      <c r="B4749" s="202">
        <v>1.0964981039644307E-2</v>
      </c>
      <c r="C4749" s="194" t="s">
        <v>1</v>
      </c>
    </row>
    <row r="4750" spans="1:3" x14ac:dyDescent="0.15">
      <c r="A4750" s="203">
        <v>38051</v>
      </c>
      <c r="B4750" s="202">
        <v>1.0965827960397776E-2</v>
      </c>
      <c r="C4750" s="194" t="s">
        <v>1</v>
      </c>
    </row>
    <row r="4751" spans="1:3" x14ac:dyDescent="0.15">
      <c r="A4751" s="203">
        <v>38052</v>
      </c>
      <c r="B4751" s="202">
        <v>1.0965827960397776E-2</v>
      </c>
      <c r="C4751" s="194" t="s">
        <v>1</v>
      </c>
    </row>
    <row r="4752" spans="1:3" x14ac:dyDescent="0.15">
      <c r="A4752" s="203">
        <v>38053</v>
      </c>
      <c r="B4752" s="202">
        <v>1.0965827960397776E-2</v>
      </c>
      <c r="C4752" s="194" t="s">
        <v>1</v>
      </c>
    </row>
    <row r="4753" spans="1:3" x14ac:dyDescent="0.15">
      <c r="A4753" s="203">
        <v>38054</v>
      </c>
      <c r="B4753" s="202">
        <v>1.0966674946566293E-2</v>
      </c>
      <c r="C4753" s="194" t="s">
        <v>1</v>
      </c>
    </row>
    <row r="4754" spans="1:3" x14ac:dyDescent="0.15">
      <c r="A4754" s="203">
        <v>38055</v>
      </c>
      <c r="B4754" s="202">
        <v>1.096752199815491E-2</v>
      </c>
      <c r="C4754" s="194" t="s">
        <v>1</v>
      </c>
    </row>
    <row r="4755" spans="1:3" x14ac:dyDescent="0.15">
      <c r="A4755" s="203">
        <v>38056</v>
      </c>
      <c r="B4755" s="202">
        <v>1.0968369115168681E-2</v>
      </c>
      <c r="C4755" s="194" t="s">
        <v>1</v>
      </c>
    </row>
    <row r="4756" spans="1:3" x14ac:dyDescent="0.15">
      <c r="A4756" s="203">
        <v>38057</v>
      </c>
      <c r="B4756" s="202">
        <v>1.0969216297612659E-2</v>
      </c>
      <c r="C4756" s="194" t="s">
        <v>1</v>
      </c>
    </row>
    <row r="4757" spans="1:3" x14ac:dyDescent="0.15">
      <c r="A4757" s="203">
        <v>38058</v>
      </c>
      <c r="B4757" s="202">
        <v>1.0970063545491897E-2</v>
      </c>
      <c r="C4757" s="194" t="s">
        <v>1</v>
      </c>
    </row>
    <row r="4758" spans="1:3" x14ac:dyDescent="0.15">
      <c r="A4758" s="203">
        <v>38059</v>
      </c>
      <c r="B4758" s="202">
        <v>1.0970063545491897E-2</v>
      </c>
      <c r="C4758" s="194" t="s">
        <v>1</v>
      </c>
    </row>
    <row r="4759" spans="1:3" x14ac:dyDescent="0.15">
      <c r="A4759" s="203">
        <v>38060</v>
      </c>
      <c r="B4759" s="202">
        <v>1.0970063545491897E-2</v>
      </c>
      <c r="C4759" s="194" t="s">
        <v>1</v>
      </c>
    </row>
    <row r="4760" spans="1:3" x14ac:dyDescent="0.15">
      <c r="A4760" s="203">
        <v>38061</v>
      </c>
      <c r="B4760" s="202">
        <v>1.0970910858811451E-2</v>
      </c>
      <c r="C4760" s="194" t="s">
        <v>1</v>
      </c>
    </row>
    <row r="4761" spans="1:3" x14ac:dyDescent="0.15">
      <c r="A4761" s="203">
        <v>38062</v>
      </c>
      <c r="B4761" s="202">
        <v>1.0971758237576373E-2</v>
      </c>
      <c r="C4761" s="194" t="s">
        <v>1</v>
      </c>
    </row>
    <row r="4762" spans="1:3" x14ac:dyDescent="0.15">
      <c r="A4762" s="203">
        <v>38063</v>
      </c>
      <c r="B4762" s="202">
        <v>1.097260568179172E-2</v>
      </c>
      <c r="C4762" s="194" t="s">
        <v>1</v>
      </c>
    </row>
    <row r="4763" spans="1:3" x14ac:dyDescent="0.15">
      <c r="A4763" s="203">
        <v>38064</v>
      </c>
      <c r="B4763" s="202">
        <v>1.0973453191462547E-2</v>
      </c>
      <c r="C4763" s="194" t="s">
        <v>1</v>
      </c>
    </row>
    <row r="4764" spans="1:3" x14ac:dyDescent="0.15">
      <c r="A4764" s="203">
        <v>38065</v>
      </c>
      <c r="B4764" s="202">
        <v>1.0974300766593909E-2</v>
      </c>
      <c r="C4764" s="194" t="s">
        <v>1</v>
      </c>
    </row>
    <row r="4765" spans="1:3" x14ac:dyDescent="0.15">
      <c r="A4765" s="203">
        <v>38066</v>
      </c>
      <c r="B4765" s="202">
        <v>1.0974300766593909E-2</v>
      </c>
      <c r="C4765" s="194" t="s">
        <v>1</v>
      </c>
    </row>
    <row r="4766" spans="1:3" x14ac:dyDescent="0.15">
      <c r="A4766" s="203">
        <v>38067</v>
      </c>
      <c r="B4766" s="202">
        <v>1.0974300766593909E-2</v>
      </c>
      <c r="C4766" s="194" t="s">
        <v>1</v>
      </c>
    </row>
    <row r="4767" spans="1:3" x14ac:dyDescent="0.15">
      <c r="A4767" s="203">
        <v>38068</v>
      </c>
      <c r="B4767" s="202">
        <v>1.0975148407190863E-2</v>
      </c>
      <c r="C4767" s="194" t="s">
        <v>1</v>
      </c>
    </row>
    <row r="4768" spans="1:3" x14ac:dyDescent="0.15">
      <c r="A4768" s="203">
        <v>38069</v>
      </c>
      <c r="B4768" s="202">
        <v>1.0975996113258465E-2</v>
      </c>
      <c r="C4768" s="194" t="s">
        <v>1</v>
      </c>
    </row>
    <row r="4769" spans="1:3" x14ac:dyDescent="0.15">
      <c r="A4769" s="203">
        <v>38070</v>
      </c>
      <c r="B4769" s="202">
        <v>1.0976843884801772E-2</v>
      </c>
      <c r="C4769" s="194" t="s">
        <v>1</v>
      </c>
    </row>
    <row r="4770" spans="1:3" x14ac:dyDescent="0.15">
      <c r="A4770" s="203">
        <v>38071</v>
      </c>
      <c r="B4770" s="202">
        <v>1.097769172182584E-2</v>
      </c>
      <c r="C4770" s="194" t="s">
        <v>1</v>
      </c>
    </row>
    <row r="4771" spans="1:3" x14ac:dyDescent="0.15">
      <c r="A4771" s="203">
        <v>38072</v>
      </c>
      <c r="B4771" s="202">
        <v>1.0978539624335728E-2</v>
      </c>
      <c r="C4771" s="194" t="s">
        <v>1</v>
      </c>
    </row>
    <row r="4772" spans="1:3" x14ac:dyDescent="0.15">
      <c r="A4772" s="203">
        <v>38073</v>
      </c>
      <c r="B4772" s="202">
        <v>1.0978539624335728E-2</v>
      </c>
      <c r="C4772" s="194" t="s">
        <v>1</v>
      </c>
    </row>
    <row r="4773" spans="1:3" x14ac:dyDescent="0.15">
      <c r="A4773" s="203">
        <v>38074</v>
      </c>
      <c r="B4773" s="202">
        <v>1.0978539624335728E-2</v>
      </c>
      <c r="C4773" s="194" t="s">
        <v>1</v>
      </c>
    </row>
    <row r="4774" spans="1:3" x14ac:dyDescent="0.15">
      <c r="A4774" s="203">
        <v>38075</v>
      </c>
      <c r="B4774" s="202">
        <v>1.0979387592336494E-2</v>
      </c>
      <c r="C4774" s="194" t="s">
        <v>1</v>
      </c>
    </row>
    <row r="4775" spans="1:3" x14ac:dyDescent="0.15">
      <c r="A4775" s="203">
        <v>38076</v>
      </c>
      <c r="B4775" s="202">
        <v>1.0980235625833196E-2</v>
      </c>
      <c r="C4775" s="194" t="s">
        <v>1</v>
      </c>
    </row>
    <row r="4776" spans="1:3" x14ac:dyDescent="0.15">
      <c r="A4776" s="203">
        <v>38077</v>
      </c>
      <c r="B4776" s="202">
        <v>1.0981083724830892E-2</v>
      </c>
      <c r="C4776" s="194" t="s">
        <v>1</v>
      </c>
    </row>
    <row r="4777" spans="1:3" x14ac:dyDescent="0.15">
      <c r="A4777" s="203">
        <v>38078</v>
      </c>
      <c r="B4777" s="202">
        <v>1.0981931889334643E-2</v>
      </c>
      <c r="C4777" s="194" t="s">
        <v>1</v>
      </c>
    </row>
    <row r="4778" spans="1:3" x14ac:dyDescent="0.15">
      <c r="A4778" s="203">
        <v>38079</v>
      </c>
      <c r="B4778" s="202">
        <v>1.0982436849180217E-2</v>
      </c>
      <c r="C4778" s="194" t="s">
        <v>1</v>
      </c>
    </row>
    <row r="4779" spans="1:3" x14ac:dyDescent="0.15">
      <c r="A4779" s="203">
        <v>38080</v>
      </c>
      <c r="B4779" s="202">
        <v>1.0982436849180217E-2</v>
      </c>
      <c r="C4779" s="194" t="s">
        <v>1</v>
      </c>
    </row>
    <row r="4780" spans="1:3" x14ac:dyDescent="0.15">
      <c r="A4780" s="203">
        <v>38081</v>
      </c>
      <c r="B4780" s="202">
        <v>1.0982436849180217E-2</v>
      </c>
      <c r="C4780" s="194" t="s">
        <v>1</v>
      </c>
    </row>
    <row r="4781" spans="1:3" x14ac:dyDescent="0.15">
      <c r="A4781" s="203">
        <v>38082</v>
      </c>
      <c r="B4781" s="202">
        <v>1.0982941832244334E-2</v>
      </c>
      <c r="C4781" s="194" t="s">
        <v>1</v>
      </c>
    </row>
    <row r="4782" spans="1:3" x14ac:dyDescent="0.15">
      <c r="A4782" s="203">
        <v>38083</v>
      </c>
      <c r="B4782" s="202">
        <v>1.098344683852806E-2</v>
      </c>
      <c r="C4782" s="194" t="s">
        <v>1</v>
      </c>
    </row>
    <row r="4783" spans="1:3" x14ac:dyDescent="0.15">
      <c r="A4783" s="203">
        <v>38084</v>
      </c>
      <c r="B4783" s="202">
        <v>1.0983951868032464E-2</v>
      </c>
      <c r="C4783" s="194" t="s">
        <v>1</v>
      </c>
    </row>
    <row r="4784" spans="1:3" x14ac:dyDescent="0.15">
      <c r="A4784" s="203">
        <v>38085</v>
      </c>
      <c r="B4784" s="202">
        <v>1.0984456920758612E-2</v>
      </c>
      <c r="C4784" s="194" t="s">
        <v>1</v>
      </c>
    </row>
    <row r="4785" spans="1:3" x14ac:dyDescent="0.15">
      <c r="A4785" s="203">
        <v>38086</v>
      </c>
      <c r="B4785" s="202">
        <v>1.0984456920758612E-2</v>
      </c>
      <c r="C4785" s="194" t="s">
        <v>1</v>
      </c>
    </row>
    <row r="4786" spans="1:3" x14ac:dyDescent="0.15">
      <c r="A4786" s="203">
        <v>38087</v>
      </c>
      <c r="B4786" s="202">
        <v>1.0984456920758612E-2</v>
      </c>
      <c r="C4786" s="194" t="s">
        <v>1</v>
      </c>
    </row>
    <row r="4787" spans="1:3" x14ac:dyDescent="0.15">
      <c r="A4787" s="203">
        <v>38088</v>
      </c>
      <c r="B4787" s="202">
        <v>1.0984456920758612E-2</v>
      </c>
      <c r="C4787" s="194" t="s">
        <v>1</v>
      </c>
    </row>
    <row r="4788" spans="1:3" x14ac:dyDescent="0.15">
      <c r="A4788" s="203">
        <v>38089</v>
      </c>
      <c r="B4788" s="202">
        <v>1.0984961996707572E-2</v>
      </c>
      <c r="C4788" s="194" t="s">
        <v>1</v>
      </c>
    </row>
    <row r="4789" spans="1:3" x14ac:dyDescent="0.15">
      <c r="A4789" s="203">
        <v>38090</v>
      </c>
      <c r="B4789" s="202">
        <v>1.0985467095880413E-2</v>
      </c>
      <c r="C4789" s="194" t="s">
        <v>1</v>
      </c>
    </row>
    <row r="4790" spans="1:3" x14ac:dyDescent="0.15">
      <c r="A4790" s="203">
        <v>38091</v>
      </c>
      <c r="B4790" s="202">
        <v>1.0985972218278203E-2</v>
      </c>
      <c r="C4790" s="194" t="s">
        <v>1</v>
      </c>
    </row>
    <row r="4791" spans="1:3" x14ac:dyDescent="0.15">
      <c r="A4791" s="203">
        <v>38092</v>
      </c>
      <c r="B4791" s="202">
        <v>1.0986477363902009E-2</v>
      </c>
      <c r="C4791" s="194" t="s">
        <v>1</v>
      </c>
    </row>
    <row r="4792" spans="1:3" x14ac:dyDescent="0.15">
      <c r="A4792" s="203">
        <v>38093</v>
      </c>
      <c r="B4792" s="202">
        <v>1.0986982532752898E-2</v>
      </c>
      <c r="C4792" s="194" t="s">
        <v>1</v>
      </c>
    </row>
    <row r="4793" spans="1:3" x14ac:dyDescent="0.15">
      <c r="A4793" s="203">
        <v>38094</v>
      </c>
      <c r="B4793" s="202">
        <v>1.0986982532752898E-2</v>
      </c>
      <c r="C4793" s="194" t="s">
        <v>1</v>
      </c>
    </row>
    <row r="4794" spans="1:3" x14ac:dyDescent="0.15">
      <c r="A4794" s="203">
        <v>38095</v>
      </c>
      <c r="B4794" s="202">
        <v>1.0986982532752898E-2</v>
      </c>
      <c r="C4794" s="194" t="s">
        <v>1</v>
      </c>
    </row>
    <row r="4795" spans="1:3" x14ac:dyDescent="0.15">
      <c r="A4795" s="203">
        <v>38096</v>
      </c>
      <c r="B4795" s="202">
        <v>1.098748772483194E-2</v>
      </c>
      <c r="C4795" s="194" t="s">
        <v>1</v>
      </c>
    </row>
    <row r="4796" spans="1:3" x14ac:dyDescent="0.15">
      <c r="A4796" s="203">
        <v>38097</v>
      </c>
      <c r="B4796" s="202">
        <v>1.0987992940140202E-2</v>
      </c>
      <c r="C4796" s="194" t="s">
        <v>1</v>
      </c>
    </row>
    <row r="4797" spans="1:3" x14ac:dyDescent="0.15">
      <c r="A4797" s="203">
        <v>38098</v>
      </c>
      <c r="B4797" s="202">
        <v>1.0987992940140202E-2</v>
      </c>
      <c r="C4797" s="194" t="s">
        <v>1</v>
      </c>
    </row>
    <row r="4798" spans="1:3" x14ac:dyDescent="0.15">
      <c r="A4798" s="203">
        <v>38099</v>
      </c>
      <c r="B4798" s="202">
        <v>1.0988498178678753E-2</v>
      </c>
      <c r="C4798" s="194" t="s">
        <v>1</v>
      </c>
    </row>
    <row r="4799" spans="1:3" x14ac:dyDescent="0.15">
      <c r="A4799" s="203">
        <v>38100</v>
      </c>
      <c r="B4799" s="202">
        <v>1.0989003440448661E-2</v>
      </c>
      <c r="C4799" s="194" t="s">
        <v>1</v>
      </c>
    </row>
    <row r="4800" spans="1:3" x14ac:dyDescent="0.15">
      <c r="A4800" s="203">
        <v>38101</v>
      </c>
      <c r="B4800" s="202">
        <v>1.0989003440448661E-2</v>
      </c>
      <c r="C4800" s="194" t="s">
        <v>1</v>
      </c>
    </row>
    <row r="4801" spans="1:3" x14ac:dyDescent="0.15">
      <c r="A4801" s="203">
        <v>38102</v>
      </c>
      <c r="B4801" s="202">
        <v>1.0989003440448661E-2</v>
      </c>
      <c r="C4801" s="194" t="s">
        <v>1</v>
      </c>
    </row>
    <row r="4802" spans="1:3" x14ac:dyDescent="0.15">
      <c r="A4802" s="203">
        <v>38103</v>
      </c>
      <c r="B4802" s="202">
        <v>1.0989508725450993E-2</v>
      </c>
      <c r="C4802" s="194" t="s">
        <v>1</v>
      </c>
    </row>
    <row r="4803" spans="1:3" x14ac:dyDescent="0.15">
      <c r="A4803" s="203">
        <v>38104</v>
      </c>
      <c r="B4803" s="202">
        <v>1.0990014033686818E-2</v>
      </c>
      <c r="C4803" s="194" t="s">
        <v>1</v>
      </c>
    </row>
    <row r="4804" spans="1:3" x14ac:dyDescent="0.15">
      <c r="A4804" s="203">
        <v>38105</v>
      </c>
      <c r="B4804" s="202">
        <v>1.0990519365157204E-2</v>
      </c>
      <c r="C4804" s="194" t="s">
        <v>1</v>
      </c>
    </row>
    <row r="4805" spans="1:3" x14ac:dyDescent="0.15">
      <c r="A4805" s="203">
        <v>38106</v>
      </c>
      <c r="B4805" s="202">
        <v>1.099102471986322E-2</v>
      </c>
      <c r="C4805" s="194" t="s">
        <v>1</v>
      </c>
    </row>
    <row r="4806" spans="1:3" x14ac:dyDescent="0.15">
      <c r="A4806" s="203">
        <v>38107</v>
      </c>
      <c r="B4806" s="202">
        <v>1.0991530097805933E-2</v>
      </c>
      <c r="C4806" s="194" t="s">
        <v>1</v>
      </c>
    </row>
    <row r="4807" spans="1:3" x14ac:dyDescent="0.15">
      <c r="A4807" s="203">
        <v>38108</v>
      </c>
      <c r="B4807" s="202">
        <v>1.0991530097805933E-2</v>
      </c>
      <c r="C4807" s="194" t="s">
        <v>1</v>
      </c>
    </row>
    <row r="4808" spans="1:3" x14ac:dyDescent="0.15">
      <c r="A4808" s="203">
        <v>38109</v>
      </c>
      <c r="B4808" s="202">
        <v>1.0991530097805933E-2</v>
      </c>
      <c r="C4808" s="194" t="s">
        <v>1</v>
      </c>
    </row>
    <row r="4809" spans="1:3" x14ac:dyDescent="0.15">
      <c r="A4809" s="203">
        <v>38110</v>
      </c>
      <c r="B4809" s="202">
        <v>1.0992301933246797E-2</v>
      </c>
      <c r="C4809" s="194" t="s">
        <v>1</v>
      </c>
    </row>
    <row r="4810" spans="1:3" x14ac:dyDescent="0.15">
      <c r="A4810" s="203">
        <v>38111</v>
      </c>
      <c r="B4810" s="202">
        <v>1.0993073822886661E-2</v>
      </c>
      <c r="C4810" s="194" t="s">
        <v>1</v>
      </c>
    </row>
    <row r="4811" spans="1:3" x14ac:dyDescent="0.15">
      <c r="A4811" s="203">
        <v>38112</v>
      </c>
      <c r="B4811" s="202">
        <v>1.0993845766729331E-2</v>
      </c>
      <c r="C4811" s="194" t="s">
        <v>1</v>
      </c>
    </row>
    <row r="4812" spans="1:3" x14ac:dyDescent="0.15">
      <c r="A4812" s="203">
        <v>38113</v>
      </c>
      <c r="B4812" s="202">
        <v>1.0994617764778615E-2</v>
      </c>
      <c r="C4812" s="194" t="s">
        <v>1</v>
      </c>
    </row>
    <row r="4813" spans="1:3" x14ac:dyDescent="0.15">
      <c r="A4813" s="203">
        <v>38114</v>
      </c>
      <c r="B4813" s="202">
        <v>1.0995389817038318E-2</v>
      </c>
      <c r="C4813" s="194" t="s">
        <v>1</v>
      </c>
    </row>
    <row r="4814" spans="1:3" x14ac:dyDescent="0.15">
      <c r="A4814" s="203">
        <v>38115</v>
      </c>
      <c r="B4814" s="202">
        <v>1.0995389817038318E-2</v>
      </c>
      <c r="C4814" s="194" t="s">
        <v>1</v>
      </c>
    </row>
    <row r="4815" spans="1:3" x14ac:dyDescent="0.15">
      <c r="A4815" s="203">
        <v>38116</v>
      </c>
      <c r="B4815" s="202">
        <v>1.0995389817038318E-2</v>
      </c>
      <c r="C4815" s="194" t="s">
        <v>1</v>
      </c>
    </row>
    <row r="4816" spans="1:3" x14ac:dyDescent="0.15">
      <c r="A4816" s="203">
        <v>38117</v>
      </c>
      <c r="B4816" s="202">
        <v>1.0996161923512247E-2</v>
      </c>
      <c r="C4816" s="194" t="s">
        <v>1</v>
      </c>
    </row>
    <row r="4817" spans="1:3" x14ac:dyDescent="0.15">
      <c r="A4817" s="203">
        <v>38118</v>
      </c>
      <c r="B4817" s="202">
        <v>1.0996934084204208E-2</v>
      </c>
      <c r="C4817" s="194" t="s">
        <v>1</v>
      </c>
    </row>
    <row r="4818" spans="1:3" x14ac:dyDescent="0.15">
      <c r="A4818" s="203">
        <v>38119</v>
      </c>
      <c r="B4818" s="202">
        <v>1.0997706299118009E-2</v>
      </c>
      <c r="C4818" s="194" t="s">
        <v>1</v>
      </c>
    </row>
    <row r="4819" spans="1:3" x14ac:dyDescent="0.15">
      <c r="A4819" s="203">
        <v>38120</v>
      </c>
      <c r="B4819" s="202">
        <v>1.0998478568257459E-2</v>
      </c>
      <c r="C4819" s="194" t="s">
        <v>1</v>
      </c>
    </row>
    <row r="4820" spans="1:3" x14ac:dyDescent="0.15">
      <c r="A4820" s="203">
        <v>38121</v>
      </c>
      <c r="B4820" s="202">
        <v>1.0999250891626365E-2</v>
      </c>
      <c r="C4820" s="194" t="s">
        <v>1</v>
      </c>
    </row>
    <row r="4821" spans="1:3" x14ac:dyDescent="0.15">
      <c r="A4821" s="203">
        <v>38122</v>
      </c>
      <c r="B4821" s="202">
        <v>1.0999250891626365E-2</v>
      </c>
      <c r="C4821" s="194" t="s">
        <v>1</v>
      </c>
    </row>
    <row r="4822" spans="1:3" x14ac:dyDescent="0.15">
      <c r="A4822" s="203">
        <v>38123</v>
      </c>
      <c r="B4822" s="202">
        <v>1.0999250891626365E-2</v>
      </c>
      <c r="C4822" s="194" t="s">
        <v>1</v>
      </c>
    </row>
    <row r="4823" spans="1:3" x14ac:dyDescent="0.15">
      <c r="A4823" s="203">
        <v>38124</v>
      </c>
      <c r="B4823" s="202">
        <v>1.1000023269228533E-2</v>
      </c>
      <c r="C4823" s="194" t="s">
        <v>1</v>
      </c>
    </row>
    <row r="4824" spans="1:3" x14ac:dyDescent="0.15">
      <c r="A4824" s="203">
        <v>38125</v>
      </c>
      <c r="B4824" s="202">
        <v>1.1000795701067774E-2</v>
      </c>
      <c r="C4824" s="194" t="s">
        <v>1</v>
      </c>
    </row>
    <row r="4825" spans="1:3" x14ac:dyDescent="0.15">
      <c r="A4825" s="203">
        <v>38126</v>
      </c>
      <c r="B4825" s="202">
        <v>1.1001568187147894E-2</v>
      </c>
      <c r="C4825" s="194" t="s">
        <v>1</v>
      </c>
    </row>
    <row r="4826" spans="1:3" x14ac:dyDescent="0.15">
      <c r="A4826" s="203">
        <v>38127</v>
      </c>
      <c r="B4826" s="202">
        <v>1.1002340727472705E-2</v>
      </c>
      <c r="C4826" s="194" t="s">
        <v>1</v>
      </c>
    </row>
    <row r="4827" spans="1:3" x14ac:dyDescent="0.15">
      <c r="A4827" s="203">
        <v>38128</v>
      </c>
      <c r="B4827" s="202">
        <v>1.1003113322046013E-2</v>
      </c>
      <c r="C4827" s="194" t="s">
        <v>1</v>
      </c>
    </row>
    <row r="4828" spans="1:3" x14ac:dyDescent="0.15">
      <c r="A4828" s="203">
        <v>38129</v>
      </c>
      <c r="B4828" s="202">
        <v>1.1003113322046013E-2</v>
      </c>
      <c r="C4828" s="194" t="s">
        <v>1</v>
      </c>
    </row>
    <row r="4829" spans="1:3" x14ac:dyDescent="0.15">
      <c r="A4829" s="203">
        <v>38130</v>
      </c>
      <c r="B4829" s="202">
        <v>1.1003113322046013E-2</v>
      </c>
      <c r="C4829" s="194" t="s">
        <v>1</v>
      </c>
    </row>
    <row r="4830" spans="1:3" x14ac:dyDescent="0.15">
      <c r="A4830" s="203">
        <v>38131</v>
      </c>
      <c r="B4830" s="202">
        <v>1.1003885970871629E-2</v>
      </c>
      <c r="C4830" s="194" t="s">
        <v>1</v>
      </c>
    </row>
    <row r="4831" spans="1:3" x14ac:dyDescent="0.15">
      <c r="A4831" s="203">
        <v>38132</v>
      </c>
      <c r="B4831" s="202">
        <v>1.1004658673953362E-2</v>
      </c>
      <c r="C4831" s="194" t="s">
        <v>1</v>
      </c>
    </row>
    <row r="4832" spans="1:3" x14ac:dyDescent="0.15">
      <c r="A4832" s="203">
        <v>38133</v>
      </c>
      <c r="B4832" s="202">
        <v>1.1005431431295024E-2</v>
      </c>
      <c r="C4832" s="194" t="s">
        <v>1</v>
      </c>
    </row>
    <row r="4833" spans="1:3" x14ac:dyDescent="0.15">
      <c r="A4833" s="203">
        <v>38134</v>
      </c>
      <c r="B4833" s="202">
        <v>1.1006204242900422E-2</v>
      </c>
      <c r="C4833" s="194" t="s">
        <v>1</v>
      </c>
    </row>
    <row r="4834" spans="1:3" x14ac:dyDescent="0.15">
      <c r="A4834" s="203">
        <v>38135</v>
      </c>
      <c r="B4834" s="202">
        <v>1.1006977108773368E-2</v>
      </c>
      <c r="C4834" s="194" t="s">
        <v>1</v>
      </c>
    </row>
    <row r="4835" spans="1:3" x14ac:dyDescent="0.15">
      <c r="A4835" s="203">
        <v>38136</v>
      </c>
      <c r="B4835" s="202">
        <v>1.1006977108773368E-2</v>
      </c>
      <c r="C4835" s="194" t="s">
        <v>1</v>
      </c>
    </row>
    <row r="4836" spans="1:3" x14ac:dyDescent="0.15">
      <c r="A4836" s="203">
        <v>38137</v>
      </c>
      <c r="B4836" s="202">
        <v>1.1006977108773368E-2</v>
      </c>
      <c r="C4836" s="194" t="s">
        <v>1</v>
      </c>
    </row>
    <row r="4837" spans="1:3" x14ac:dyDescent="0.15">
      <c r="A4837" s="203">
        <v>38138</v>
      </c>
      <c r="B4837" s="202">
        <v>1.1007750028917672E-2</v>
      </c>
      <c r="C4837" s="194" t="s">
        <v>1</v>
      </c>
    </row>
    <row r="4838" spans="1:3" x14ac:dyDescent="0.15">
      <c r="A4838" s="203">
        <v>38139</v>
      </c>
      <c r="B4838" s="202">
        <v>1.1008523003337146E-2</v>
      </c>
      <c r="C4838" s="194" t="s">
        <v>1</v>
      </c>
    </row>
    <row r="4839" spans="1:3" x14ac:dyDescent="0.15">
      <c r="A4839" s="203">
        <v>38140</v>
      </c>
      <c r="B4839" s="202">
        <v>1.1009445373387727E-2</v>
      </c>
      <c r="C4839" s="194" t="s">
        <v>1</v>
      </c>
    </row>
    <row r="4840" spans="1:3" x14ac:dyDescent="0.15">
      <c r="A4840" s="203">
        <v>38141</v>
      </c>
      <c r="B4840" s="202">
        <v>1.1010367820720837E-2</v>
      </c>
      <c r="C4840" s="194" t="s">
        <v>1</v>
      </c>
    </row>
    <row r="4841" spans="1:3" x14ac:dyDescent="0.15">
      <c r="A4841" s="203">
        <v>38142</v>
      </c>
      <c r="B4841" s="202">
        <v>1.1011290345342954E-2</v>
      </c>
      <c r="C4841" s="194" t="s">
        <v>1</v>
      </c>
    </row>
    <row r="4842" spans="1:3" x14ac:dyDescent="0.15">
      <c r="A4842" s="203">
        <v>38143</v>
      </c>
      <c r="B4842" s="202">
        <v>1.1011290345342954E-2</v>
      </c>
      <c r="C4842" s="194" t="s">
        <v>1</v>
      </c>
    </row>
    <row r="4843" spans="1:3" x14ac:dyDescent="0.15">
      <c r="A4843" s="203">
        <v>38144</v>
      </c>
      <c r="B4843" s="202">
        <v>1.1011290345342954E-2</v>
      </c>
      <c r="C4843" s="194" t="s">
        <v>1</v>
      </c>
    </row>
    <row r="4844" spans="1:3" x14ac:dyDescent="0.15">
      <c r="A4844" s="203">
        <v>38145</v>
      </c>
      <c r="B4844" s="202">
        <v>1.1012212947260552E-2</v>
      </c>
      <c r="C4844" s="194" t="s">
        <v>1</v>
      </c>
    </row>
    <row r="4845" spans="1:3" x14ac:dyDescent="0.15">
      <c r="A4845" s="203">
        <v>38146</v>
      </c>
      <c r="B4845" s="202">
        <v>1.1013135626480106E-2</v>
      </c>
      <c r="C4845" s="194" t="s">
        <v>1</v>
      </c>
    </row>
    <row r="4846" spans="1:3" x14ac:dyDescent="0.15">
      <c r="A4846" s="203">
        <v>38147</v>
      </c>
      <c r="B4846" s="202">
        <v>1.1014058383008096E-2</v>
      </c>
      <c r="C4846" s="194" t="s">
        <v>1</v>
      </c>
    </row>
    <row r="4847" spans="1:3" x14ac:dyDescent="0.15">
      <c r="A4847" s="203">
        <v>38148</v>
      </c>
      <c r="B4847" s="202">
        <v>1.1014058383008096E-2</v>
      </c>
      <c r="C4847" s="194" t="s">
        <v>1</v>
      </c>
    </row>
    <row r="4848" spans="1:3" x14ac:dyDescent="0.15">
      <c r="A4848" s="203">
        <v>38149</v>
      </c>
      <c r="B4848" s="202">
        <v>1.1014981216850997E-2</v>
      </c>
      <c r="C4848" s="194" t="s">
        <v>1</v>
      </c>
    </row>
    <row r="4849" spans="1:3" x14ac:dyDescent="0.15">
      <c r="A4849" s="203">
        <v>38150</v>
      </c>
      <c r="B4849" s="202">
        <v>1.1014981216850997E-2</v>
      </c>
      <c r="C4849" s="194" t="s">
        <v>1</v>
      </c>
    </row>
    <row r="4850" spans="1:3" x14ac:dyDescent="0.15">
      <c r="A4850" s="203">
        <v>38151</v>
      </c>
      <c r="B4850" s="202">
        <v>1.1014981216850997E-2</v>
      </c>
      <c r="C4850" s="194" t="s">
        <v>1</v>
      </c>
    </row>
    <row r="4851" spans="1:3" x14ac:dyDescent="0.15">
      <c r="A4851" s="203">
        <v>38152</v>
      </c>
      <c r="B4851" s="202">
        <v>1.1015904128015288E-2</v>
      </c>
      <c r="C4851" s="194" t="s">
        <v>1</v>
      </c>
    </row>
    <row r="4852" spans="1:3" x14ac:dyDescent="0.15">
      <c r="A4852" s="203">
        <v>38153</v>
      </c>
      <c r="B4852" s="202">
        <v>1.1016827116507448E-2</v>
      </c>
      <c r="C4852" s="194" t="s">
        <v>1</v>
      </c>
    </row>
    <row r="4853" spans="1:3" x14ac:dyDescent="0.15">
      <c r="A4853" s="203">
        <v>38154</v>
      </c>
      <c r="B4853" s="202">
        <v>1.1017750182333955E-2</v>
      </c>
      <c r="C4853" s="194" t="s">
        <v>1</v>
      </c>
    </row>
    <row r="4854" spans="1:3" x14ac:dyDescent="0.15">
      <c r="A4854" s="203">
        <v>38155</v>
      </c>
      <c r="B4854" s="202">
        <v>1.1018673325501289E-2</v>
      </c>
      <c r="C4854" s="194" t="s">
        <v>1</v>
      </c>
    </row>
    <row r="4855" spans="1:3" x14ac:dyDescent="0.15">
      <c r="A4855" s="203">
        <v>38156</v>
      </c>
      <c r="B4855" s="202">
        <v>1.101959654601593E-2</v>
      </c>
      <c r="C4855" s="194" t="s">
        <v>1</v>
      </c>
    </row>
    <row r="4856" spans="1:3" x14ac:dyDescent="0.15">
      <c r="A4856" s="203">
        <v>38157</v>
      </c>
      <c r="B4856" s="202">
        <v>1.101959654601593E-2</v>
      </c>
      <c r="C4856" s="194" t="s">
        <v>1</v>
      </c>
    </row>
    <row r="4857" spans="1:3" x14ac:dyDescent="0.15">
      <c r="A4857" s="203">
        <v>38158</v>
      </c>
      <c r="B4857" s="202">
        <v>1.101959654601593E-2</v>
      </c>
      <c r="C4857" s="194" t="s">
        <v>1</v>
      </c>
    </row>
    <row r="4858" spans="1:3" x14ac:dyDescent="0.15">
      <c r="A4858" s="203">
        <v>38159</v>
      </c>
      <c r="B4858" s="202">
        <v>1.1020519843884359E-2</v>
      </c>
      <c r="C4858" s="194" t="s">
        <v>1</v>
      </c>
    </row>
    <row r="4859" spans="1:3" x14ac:dyDescent="0.15">
      <c r="A4859" s="203">
        <v>38160</v>
      </c>
      <c r="B4859" s="202">
        <v>1.1021443219113056E-2</v>
      </c>
      <c r="C4859" s="194" t="s">
        <v>1</v>
      </c>
    </row>
    <row r="4860" spans="1:3" x14ac:dyDescent="0.15">
      <c r="A4860" s="203">
        <v>38161</v>
      </c>
      <c r="B4860" s="202">
        <v>1.1022366671708505E-2</v>
      </c>
      <c r="C4860" s="194" t="s">
        <v>1</v>
      </c>
    </row>
    <row r="4861" spans="1:3" x14ac:dyDescent="0.15">
      <c r="A4861" s="203">
        <v>38162</v>
      </c>
      <c r="B4861" s="202">
        <v>1.1023290201677187E-2</v>
      </c>
      <c r="C4861" s="194" t="s">
        <v>1</v>
      </c>
    </row>
    <row r="4862" spans="1:3" x14ac:dyDescent="0.15">
      <c r="A4862" s="203">
        <v>38163</v>
      </c>
      <c r="B4862" s="202">
        <v>1.1024213809025584E-2</v>
      </c>
      <c r="C4862" s="194" t="s">
        <v>1</v>
      </c>
    </row>
    <row r="4863" spans="1:3" x14ac:dyDescent="0.15">
      <c r="A4863" s="203">
        <v>38164</v>
      </c>
      <c r="B4863" s="202">
        <v>1.1024213809025584E-2</v>
      </c>
      <c r="C4863" s="194" t="s">
        <v>1</v>
      </c>
    </row>
    <row r="4864" spans="1:3" x14ac:dyDescent="0.15">
      <c r="A4864" s="203">
        <v>38165</v>
      </c>
      <c r="B4864" s="202">
        <v>1.1024213809025584E-2</v>
      </c>
      <c r="C4864" s="194" t="s">
        <v>1</v>
      </c>
    </row>
    <row r="4865" spans="1:3" x14ac:dyDescent="0.15">
      <c r="A4865" s="203">
        <v>38166</v>
      </c>
      <c r="B4865" s="202">
        <v>1.1025137493760181E-2</v>
      </c>
      <c r="C4865" s="194" t="s">
        <v>1</v>
      </c>
    </row>
    <row r="4866" spans="1:3" x14ac:dyDescent="0.15">
      <c r="A4866" s="203">
        <v>38167</v>
      </c>
      <c r="B4866" s="202">
        <v>1.1026061255887462E-2</v>
      </c>
      <c r="C4866" s="194" t="s">
        <v>1</v>
      </c>
    </row>
    <row r="4867" spans="1:3" x14ac:dyDescent="0.15">
      <c r="A4867" s="203">
        <v>38168</v>
      </c>
      <c r="B4867" s="202">
        <v>1.1026985095413911E-2</v>
      </c>
      <c r="C4867" s="194" t="s">
        <v>1</v>
      </c>
    </row>
    <row r="4868" spans="1:3" x14ac:dyDescent="0.15">
      <c r="A4868" s="203">
        <v>38169</v>
      </c>
      <c r="B4868" s="202">
        <v>1.1027909012346012E-2</v>
      </c>
      <c r="C4868" s="194" t="s">
        <v>1</v>
      </c>
    </row>
    <row r="4869" spans="1:3" x14ac:dyDescent="0.15">
      <c r="A4869" s="203">
        <v>38170</v>
      </c>
      <c r="B4869" s="202">
        <v>1.1028933131126975E-2</v>
      </c>
      <c r="C4869" s="194" t="s">
        <v>1</v>
      </c>
    </row>
    <row r="4870" spans="1:3" x14ac:dyDescent="0.15">
      <c r="A4870" s="203">
        <v>38171</v>
      </c>
      <c r="B4870" s="202">
        <v>1.1028933131126975E-2</v>
      </c>
      <c r="C4870" s="194" t="s">
        <v>1</v>
      </c>
    </row>
    <row r="4871" spans="1:3" x14ac:dyDescent="0.15">
      <c r="A4871" s="203">
        <v>38172</v>
      </c>
      <c r="B4871" s="202">
        <v>1.1028933131126975E-2</v>
      </c>
      <c r="C4871" s="194" t="s">
        <v>1</v>
      </c>
    </row>
    <row r="4872" spans="1:3" x14ac:dyDescent="0.15">
      <c r="A4872" s="203">
        <v>38173</v>
      </c>
      <c r="B4872" s="202">
        <v>1.1029957345013844E-2</v>
      </c>
      <c r="C4872" s="194" t="s">
        <v>1</v>
      </c>
    </row>
    <row r="4873" spans="1:3" x14ac:dyDescent="0.15">
      <c r="A4873" s="203">
        <v>38174</v>
      </c>
      <c r="B4873" s="202">
        <v>1.1030981654015452E-2</v>
      </c>
      <c r="C4873" s="194" t="s">
        <v>1</v>
      </c>
    </row>
    <row r="4874" spans="1:3" x14ac:dyDescent="0.15">
      <c r="A4874" s="203">
        <v>38175</v>
      </c>
      <c r="B4874" s="202">
        <v>1.103200605814063E-2</v>
      </c>
      <c r="C4874" s="194" t="s">
        <v>1</v>
      </c>
    </row>
    <row r="4875" spans="1:3" x14ac:dyDescent="0.15">
      <c r="A4875" s="203">
        <v>38176</v>
      </c>
      <c r="B4875" s="202">
        <v>1.1033030557398214E-2</v>
      </c>
      <c r="C4875" s="194" t="s">
        <v>1</v>
      </c>
    </row>
    <row r="4876" spans="1:3" x14ac:dyDescent="0.15">
      <c r="A4876" s="203">
        <v>38177</v>
      </c>
      <c r="B4876" s="202">
        <v>1.1034055151797036E-2</v>
      </c>
      <c r="C4876" s="194" t="s">
        <v>1</v>
      </c>
    </row>
    <row r="4877" spans="1:3" x14ac:dyDescent="0.15">
      <c r="A4877" s="203">
        <v>38178</v>
      </c>
      <c r="B4877" s="202">
        <v>1.1034055151797036E-2</v>
      </c>
      <c r="C4877" s="194" t="s">
        <v>1</v>
      </c>
    </row>
    <row r="4878" spans="1:3" x14ac:dyDescent="0.15">
      <c r="A4878" s="203">
        <v>38179</v>
      </c>
      <c r="B4878" s="202">
        <v>1.1034055151797036E-2</v>
      </c>
      <c r="C4878" s="194" t="s">
        <v>1</v>
      </c>
    </row>
    <row r="4879" spans="1:3" x14ac:dyDescent="0.15">
      <c r="A4879" s="203">
        <v>38180</v>
      </c>
      <c r="B4879" s="202">
        <v>1.1035079841345934E-2</v>
      </c>
      <c r="C4879" s="194" t="s">
        <v>1</v>
      </c>
    </row>
    <row r="4880" spans="1:3" x14ac:dyDescent="0.15">
      <c r="A4880" s="203">
        <v>38181</v>
      </c>
      <c r="B4880" s="202">
        <v>1.1036104626053742E-2</v>
      </c>
      <c r="C4880" s="194" t="s">
        <v>1</v>
      </c>
    </row>
    <row r="4881" spans="1:3" x14ac:dyDescent="0.15">
      <c r="A4881" s="203">
        <v>38182</v>
      </c>
      <c r="B4881" s="202">
        <v>1.1037129505929298E-2</v>
      </c>
      <c r="C4881" s="194" t="s">
        <v>1</v>
      </c>
    </row>
    <row r="4882" spans="1:3" x14ac:dyDescent="0.15">
      <c r="A4882" s="203">
        <v>38183</v>
      </c>
      <c r="B4882" s="202">
        <v>1.103815448098144E-2</v>
      </c>
      <c r="C4882" s="194" t="s">
        <v>1</v>
      </c>
    </row>
    <row r="4883" spans="1:3" x14ac:dyDescent="0.15">
      <c r="A4883" s="203">
        <v>38184</v>
      </c>
      <c r="B4883" s="202">
        <v>1.1039179551219008E-2</v>
      </c>
      <c r="C4883" s="194" t="s">
        <v>1</v>
      </c>
    </row>
    <row r="4884" spans="1:3" x14ac:dyDescent="0.15">
      <c r="A4884" s="203">
        <v>38185</v>
      </c>
      <c r="B4884" s="202">
        <v>1.1039179551219008E-2</v>
      </c>
      <c r="C4884" s="194" t="s">
        <v>1</v>
      </c>
    </row>
    <row r="4885" spans="1:3" x14ac:dyDescent="0.15">
      <c r="A4885" s="203">
        <v>38186</v>
      </c>
      <c r="B4885" s="202">
        <v>1.1039179551219008E-2</v>
      </c>
      <c r="C4885" s="194" t="s">
        <v>1</v>
      </c>
    </row>
    <row r="4886" spans="1:3" x14ac:dyDescent="0.15">
      <c r="A4886" s="203">
        <v>38187</v>
      </c>
      <c r="B4886" s="202">
        <v>1.1040204716650839E-2</v>
      </c>
      <c r="C4886" s="194" t="s">
        <v>1</v>
      </c>
    </row>
    <row r="4887" spans="1:3" x14ac:dyDescent="0.15">
      <c r="A4887" s="203">
        <v>38188</v>
      </c>
      <c r="B4887" s="202">
        <v>1.1041229977285775E-2</v>
      </c>
      <c r="C4887" s="194" t="s">
        <v>1</v>
      </c>
    </row>
    <row r="4888" spans="1:3" x14ac:dyDescent="0.15">
      <c r="A4888" s="203">
        <v>38189</v>
      </c>
      <c r="B4888" s="202">
        <v>1.1042255333132656E-2</v>
      </c>
      <c r="C4888" s="194" t="s">
        <v>1</v>
      </c>
    </row>
    <row r="4889" spans="1:3" x14ac:dyDescent="0.15">
      <c r="A4889" s="203">
        <v>38190</v>
      </c>
      <c r="B4889" s="202">
        <v>1.1043280784200324E-2</v>
      </c>
      <c r="C4889" s="194" t="s">
        <v>1</v>
      </c>
    </row>
    <row r="4890" spans="1:3" x14ac:dyDescent="0.15">
      <c r="A4890" s="203">
        <v>38191</v>
      </c>
      <c r="B4890" s="202">
        <v>1.1044306330497623E-2</v>
      </c>
      <c r="C4890" s="194" t="s">
        <v>1</v>
      </c>
    </row>
    <row r="4891" spans="1:3" x14ac:dyDescent="0.15">
      <c r="A4891" s="203">
        <v>38192</v>
      </c>
      <c r="B4891" s="202">
        <v>1.1044306330497623E-2</v>
      </c>
      <c r="C4891" s="194" t="s">
        <v>1</v>
      </c>
    </row>
    <row r="4892" spans="1:3" x14ac:dyDescent="0.15">
      <c r="A4892" s="203">
        <v>38193</v>
      </c>
      <c r="B4892" s="202">
        <v>1.1044306330497623E-2</v>
      </c>
      <c r="C4892" s="194" t="s">
        <v>1</v>
      </c>
    </row>
    <row r="4893" spans="1:3" x14ac:dyDescent="0.15">
      <c r="A4893" s="203">
        <v>38194</v>
      </c>
      <c r="B4893" s="202">
        <v>1.1045331972033395E-2</v>
      </c>
      <c r="C4893" s="194" t="s">
        <v>1</v>
      </c>
    </row>
    <row r="4894" spans="1:3" x14ac:dyDescent="0.15">
      <c r="A4894" s="203">
        <v>38195</v>
      </c>
      <c r="B4894" s="202">
        <v>1.1046357708816486E-2</v>
      </c>
      <c r="C4894" s="194" t="s">
        <v>1</v>
      </c>
    </row>
    <row r="4895" spans="1:3" x14ac:dyDescent="0.15">
      <c r="A4895" s="203">
        <v>38196</v>
      </c>
      <c r="B4895" s="202">
        <v>1.104738354085574E-2</v>
      </c>
      <c r="C4895" s="194" t="s">
        <v>1</v>
      </c>
    </row>
    <row r="4896" spans="1:3" x14ac:dyDescent="0.15">
      <c r="A4896" s="203">
        <v>38197</v>
      </c>
      <c r="B4896" s="202">
        <v>1.1048409468160002E-2</v>
      </c>
      <c r="C4896" s="194" t="s">
        <v>1</v>
      </c>
    </row>
    <row r="4897" spans="1:3" x14ac:dyDescent="0.15">
      <c r="A4897" s="203">
        <v>38198</v>
      </c>
      <c r="B4897" s="202">
        <v>1.1049435490738122E-2</v>
      </c>
      <c r="C4897" s="194" t="s">
        <v>1</v>
      </c>
    </row>
    <row r="4898" spans="1:3" x14ac:dyDescent="0.15">
      <c r="A4898" s="203">
        <v>38199</v>
      </c>
      <c r="B4898" s="202">
        <v>1.1049435490738122E-2</v>
      </c>
      <c r="C4898" s="194" t="s">
        <v>1</v>
      </c>
    </row>
    <row r="4899" spans="1:3" x14ac:dyDescent="0.15">
      <c r="A4899" s="203">
        <v>38200</v>
      </c>
      <c r="B4899" s="202">
        <v>1.1049435490738122E-2</v>
      </c>
      <c r="C4899" s="194" t="s">
        <v>1</v>
      </c>
    </row>
    <row r="4900" spans="1:3" x14ac:dyDescent="0.15">
      <c r="A4900" s="203">
        <v>38201</v>
      </c>
      <c r="B4900" s="202">
        <v>1.1050397790826106E-2</v>
      </c>
      <c r="C4900" s="194" t="s">
        <v>1</v>
      </c>
    </row>
    <row r="4901" spans="1:3" x14ac:dyDescent="0.15">
      <c r="A4901" s="203">
        <v>38202</v>
      </c>
      <c r="B4901" s="202">
        <v>1.105136017472122E-2</v>
      </c>
      <c r="C4901" s="194" t="s">
        <v>1</v>
      </c>
    </row>
    <row r="4902" spans="1:3" x14ac:dyDescent="0.15">
      <c r="A4902" s="203">
        <v>38203</v>
      </c>
      <c r="B4902" s="202">
        <v>1.1052322642430759E-2</v>
      </c>
      <c r="C4902" s="194" t="s">
        <v>1</v>
      </c>
    </row>
    <row r="4903" spans="1:3" x14ac:dyDescent="0.15">
      <c r="A4903" s="203">
        <v>38204</v>
      </c>
      <c r="B4903" s="202">
        <v>1.1053285193962026E-2</v>
      </c>
      <c r="C4903" s="194" t="s">
        <v>1</v>
      </c>
    </row>
    <row r="4904" spans="1:3" x14ac:dyDescent="0.15">
      <c r="A4904" s="203">
        <v>38205</v>
      </c>
      <c r="B4904" s="202">
        <v>1.1054247829322321E-2</v>
      </c>
      <c r="C4904" s="194" t="s">
        <v>1</v>
      </c>
    </row>
    <row r="4905" spans="1:3" x14ac:dyDescent="0.15">
      <c r="A4905" s="203">
        <v>38206</v>
      </c>
      <c r="B4905" s="202">
        <v>1.1054247829322321E-2</v>
      </c>
      <c r="C4905" s="194" t="s">
        <v>1</v>
      </c>
    </row>
    <row r="4906" spans="1:3" x14ac:dyDescent="0.15">
      <c r="A4906" s="203">
        <v>38207</v>
      </c>
      <c r="B4906" s="202">
        <v>1.1054247829322321E-2</v>
      </c>
      <c r="C4906" s="194" t="s">
        <v>1</v>
      </c>
    </row>
    <row r="4907" spans="1:3" x14ac:dyDescent="0.15">
      <c r="A4907" s="203">
        <v>38208</v>
      </c>
      <c r="B4907" s="202">
        <v>1.1055210548518941E-2</v>
      </c>
      <c r="C4907" s="194" t="s">
        <v>1</v>
      </c>
    </row>
    <row r="4908" spans="1:3" x14ac:dyDescent="0.15">
      <c r="A4908" s="203">
        <v>38209</v>
      </c>
      <c r="B4908" s="202">
        <v>1.1056173351559192E-2</v>
      </c>
      <c r="C4908" s="194" t="s">
        <v>1</v>
      </c>
    </row>
    <row r="4909" spans="1:3" x14ac:dyDescent="0.15">
      <c r="A4909" s="203">
        <v>38210</v>
      </c>
      <c r="B4909" s="202">
        <v>1.1057136238450373E-2</v>
      </c>
      <c r="C4909" s="194" t="s">
        <v>1</v>
      </c>
    </row>
    <row r="4910" spans="1:3" x14ac:dyDescent="0.15">
      <c r="A4910" s="203">
        <v>38211</v>
      </c>
      <c r="B4910" s="202">
        <v>1.1058099209199788E-2</v>
      </c>
      <c r="C4910" s="194" t="s">
        <v>1</v>
      </c>
    </row>
    <row r="4911" spans="1:3" x14ac:dyDescent="0.15">
      <c r="A4911" s="203">
        <v>38212</v>
      </c>
      <c r="B4911" s="202">
        <v>1.1059062263814739E-2</v>
      </c>
      <c r="C4911" s="194" t="s">
        <v>1</v>
      </c>
    </row>
    <row r="4912" spans="1:3" x14ac:dyDescent="0.15">
      <c r="A4912" s="203">
        <v>38213</v>
      </c>
      <c r="B4912" s="202">
        <v>1.1059062263814739E-2</v>
      </c>
      <c r="C4912" s="194" t="s">
        <v>1</v>
      </c>
    </row>
    <row r="4913" spans="1:3" x14ac:dyDescent="0.15">
      <c r="A4913" s="203">
        <v>38214</v>
      </c>
      <c r="B4913" s="202">
        <v>1.1059062263814739E-2</v>
      </c>
      <c r="C4913" s="194" t="s">
        <v>1</v>
      </c>
    </row>
    <row r="4914" spans="1:3" x14ac:dyDescent="0.15">
      <c r="A4914" s="203">
        <v>38215</v>
      </c>
      <c r="B4914" s="202">
        <v>1.1060025402302531E-2</v>
      </c>
      <c r="C4914" s="194" t="s">
        <v>1</v>
      </c>
    </row>
    <row r="4915" spans="1:3" x14ac:dyDescent="0.15">
      <c r="A4915" s="203">
        <v>38216</v>
      </c>
      <c r="B4915" s="202">
        <v>1.1060988624670467E-2</v>
      </c>
      <c r="C4915" s="194" t="s">
        <v>1</v>
      </c>
    </row>
    <row r="4916" spans="1:3" x14ac:dyDescent="0.15">
      <c r="A4916" s="203">
        <v>38217</v>
      </c>
      <c r="B4916" s="202">
        <v>1.1061951930925854E-2</v>
      </c>
      <c r="C4916" s="194" t="s">
        <v>1</v>
      </c>
    </row>
    <row r="4917" spans="1:3" x14ac:dyDescent="0.15">
      <c r="A4917" s="203">
        <v>38218</v>
      </c>
      <c r="B4917" s="202">
        <v>1.1062915321075997E-2</v>
      </c>
      <c r="C4917" s="194" t="s">
        <v>1</v>
      </c>
    </row>
    <row r="4918" spans="1:3" x14ac:dyDescent="0.15">
      <c r="A4918" s="203">
        <v>38219</v>
      </c>
      <c r="B4918" s="202">
        <v>1.1063878795128202E-2</v>
      </c>
      <c r="C4918" s="194" t="s">
        <v>1</v>
      </c>
    </row>
    <row r="4919" spans="1:3" x14ac:dyDescent="0.15">
      <c r="A4919" s="203">
        <v>38220</v>
      </c>
      <c r="B4919" s="202">
        <v>1.1063878795128202E-2</v>
      </c>
      <c r="C4919" s="194" t="s">
        <v>1</v>
      </c>
    </row>
    <row r="4920" spans="1:3" x14ac:dyDescent="0.15">
      <c r="A4920" s="203">
        <v>38221</v>
      </c>
      <c r="B4920" s="202">
        <v>1.1063878795128202E-2</v>
      </c>
      <c r="C4920" s="194" t="s">
        <v>1</v>
      </c>
    </row>
    <row r="4921" spans="1:3" x14ac:dyDescent="0.15">
      <c r="A4921" s="203">
        <v>38222</v>
      </c>
      <c r="B4921" s="202">
        <v>1.1064842353089776E-2</v>
      </c>
      <c r="C4921" s="194" t="s">
        <v>1</v>
      </c>
    </row>
    <row r="4922" spans="1:3" x14ac:dyDescent="0.15">
      <c r="A4922" s="203">
        <v>38223</v>
      </c>
      <c r="B4922" s="202">
        <v>1.1065805994968028E-2</v>
      </c>
      <c r="C4922" s="194" t="s">
        <v>1</v>
      </c>
    </row>
    <row r="4923" spans="1:3" x14ac:dyDescent="0.15">
      <c r="A4923" s="203">
        <v>38224</v>
      </c>
      <c r="B4923" s="202">
        <v>1.1066769720770265E-2</v>
      </c>
      <c r="C4923" s="194" t="s">
        <v>1</v>
      </c>
    </row>
    <row r="4924" spans="1:3" x14ac:dyDescent="0.15">
      <c r="A4924" s="203">
        <v>38225</v>
      </c>
      <c r="B4924" s="202">
        <v>1.1067733530503797E-2</v>
      </c>
      <c r="C4924" s="194" t="s">
        <v>1</v>
      </c>
    </row>
    <row r="4925" spans="1:3" x14ac:dyDescent="0.15">
      <c r="A4925" s="203">
        <v>38226</v>
      </c>
      <c r="B4925" s="202">
        <v>1.1068697424175933E-2</v>
      </c>
      <c r="C4925" s="194" t="s">
        <v>1</v>
      </c>
    </row>
    <row r="4926" spans="1:3" x14ac:dyDescent="0.15">
      <c r="A4926" s="203">
        <v>38227</v>
      </c>
      <c r="B4926" s="202">
        <v>1.1068697424175933E-2</v>
      </c>
      <c r="C4926" s="194" t="s">
        <v>1</v>
      </c>
    </row>
    <row r="4927" spans="1:3" x14ac:dyDescent="0.15">
      <c r="A4927" s="203">
        <v>38228</v>
      </c>
      <c r="B4927" s="202">
        <v>1.1068697424175933E-2</v>
      </c>
      <c r="C4927" s="194" t="s">
        <v>1</v>
      </c>
    </row>
    <row r="4928" spans="1:3" x14ac:dyDescent="0.15">
      <c r="A4928" s="203">
        <v>38229</v>
      </c>
      <c r="B4928" s="202">
        <v>1.1069661401793983E-2</v>
      </c>
      <c r="C4928" s="194" t="s">
        <v>1</v>
      </c>
    </row>
    <row r="4929" spans="1:3" x14ac:dyDescent="0.15">
      <c r="A4929" s="203">
        <v>38230</v>
      </c>
      <c r="B4929" s="202">
        <v>1.1070625463365258E-2</v>
      </c>
      <c r="C4929" s="194" t="s">
        <v>1</v>
      </c>
    </row>
    <row r="4930" spans="1:3" x14ac:dyDescent="0.15">
      <c r="A4930" s="203">
        <v>38231</v>
      </c>
      <c r="B4930" s="202">
        <v>1.1071589608897071E-2</v>
      </c>
      <c r="C4930" s="194" t="s">
        <v>1</v>
      </c>
    </row>
    <row r="4931" spans="1:3" x14ac:dyDescent="0.15">
      <c r="A4931" s="203">
        <v>38232</v>
      </c>
      <c r="B4931" s="202">
        <v>1.1072499893747725E-2</v>
      </c>
      <c r="C4931" s="194" t="s">
        <v>1</v>
      </c>
    </row>
    <row r="4932" spans="1:3" x14ac:dyDescent="0.15">
      <c r="A4932" s="203">
        <v>38233</v>
      </c>
      <c r="B4932" s="202">
        <v>1.1073410253440252E-2</v>
      </c>
      <c r="C4932" s="194" t="s">
        <v>1</v>
      </c>
    </row>
    <row r="4933" spans="1:3" x14ac:dyDescent="0.15">
      <c r="A4933" s="203">
        <v>38234</v>
      </c>
      <c r="B4933" s="202">
        <v>1.1073410253440252E-2</v>
      </c>
      <c r="C4933" s="194" t="s">
        <v>1</v>
      </c>
    </row>
    <row r="4934" spans="1:3" x14ac:dyDescent="0.15">
      <c r="A4934" s="203">
        <v>38235</v>
      </c>
      <c r="B4934" s="202">
        <v>1.1073410253440252E-2</v>
      </c>
      <c r="C4934" s="194" t="s">
        <v>1</v>
      </c>
    </row>
    <row r="4935" spans="1:3" x14ac:dyDescent="0.15">
      <c r="A4935" s="203">
        <v>38236</v>
      </c>
      <c r="B4935" s="202">
        <v>1.1074320687980806E-2</v>
      </c>
      <c r="C4935" s="194" t="s">
        <v>1</v>
      </c>
    </row>
    <row r="4936" spans="1:3" x14ac:dyDescent="0.15">
      <c r="A4936" s="203">
        <v>38237</v>
      </c>
      <c r="B4936" s="202">
        <v>1.1074320687980806E-2</v>
      </c>
      <c r="C4936" s="194" t="s">
        <v>1</v>
      </c>
    </row>
    <row r="4937" spans="1:3" x14ac:dyDescent="0.15">
      <c r="A4937" s="203">
        <v>38238</v>
      </c>
      <c r="B4937" s="202">
        <v>1.1075231197375541E-2</v>
      </c>
      <c r="C4937" s="194" t="s">
        <v>1</v>
      </c>
    </row>
    <row r="4938" spans="1:3" x14ac:dyDescent="0.15">
      <c r="A4938" s="203">
        <v>38239</v>
      </c>
      <c r="B4938" s="202">
        <v>1.1076141781630612E-2</v>
      </c>
      <c r="C4938" s="194" t="s">
        <v>1</v>
      </c>
    </row>
    <row r="4939" spans="1:3" x14ac:dyDescent="0.15">
      <c r="A4939" s="203">
        <v>38240</v>
      </c>
      <c r="B4939" s="202">
        <v>1.1077052440752173E-2</v>
      </c>
      <c r="C4939" s="194" t="s">
        <v>1</v>
      </c>
    </row>
    <row r="4940" spans="1:3" x14ac:dyDescent="0.15">
      <c r="A4940" s="203">
        <v>38241</v>
      </c>
      <c r="B4940" s="202">
        <v>1.1077052440752173E-2</v>
      </c>
      <c r="C4940" s="194" t="s">
        <v>1</v>
      </c>
    </row>
    <row r="4941" spans="1:3" x14ac:dyDescent="0.15">
      <c r="A4941" s="203">
        <v>38242</v>
      </c>
      <c r="B4941" s="202">
        <v>1.1077052440752173E-2</v>
      </c>
      <c r="C4941" s="194" t="s">
        <v>1</v>
      </c>
    </row>
    <row r="4942" spans="1:3" x14ac:dyDescent="0.15">
      <c r="A4942" s="203">
        <v>38243</v>
      </c>
      <c r="B4942" s="202">
        <v>1.1077963174746379E-2</v>
      </c>
      <c r="C4942" s="194" t="s">
        <v>1</v>
      </c>
    </row>
    <row r="4943" spans="1:3" x14ac:dyDescent="0.15">
      <c r="A4943" s="203">
        <v>38244</v>
      </c>
      <c r="B4943" s="202">
        <v>1.1078873983619385E-2</v>
      </c>
      <c r="C4943" s="194" t="s">
        <v>1</v>
      </c>
    </row>
    <row r="4944" spans="1:3" x14ac:dyDescent="0.15">
      <c r="A4944" s="203">
        <v>38245</v>
      </c>
      <c r="B4944" s="202">
        <v>1.1079784867377349E-2</v>
      </c>
      <c r="C4944" s="194" t="s">
        <v>1</v>
      </c>
    </row>
    <row r="4945" spans="1:3" x14ac:dyDescent="0.15">
      <c r="A4945" s="203">
        <v>38246</v>
      </c>
      <c r="B4945" s="202">
        <v>1.1080695826026428E-2</v>
      </c>
      <c r="C4945" s="194" t="s">
        <v>1</v>
      </c>
    </row>
    <row r="4946" spans="1:3" x14ac:dyDescent="0.15">
      <c r="A4946" s="203">
        <v>38247</v>
      </c>
      <c r="B4946" s="202">
        <v>1.1081606859572778E-2</v>
      </c>
      <c r="C4946" s="194" t="s">
        <v>1</v>
      </c>
    </row>
    <row r="4947" spans="1:3" x14ac:dyDescent="0.15">
      <c r="A4947" s="203">
        <v>38248</v>
      </c>
      <c r="B4947" s="202">
        <v>1.1081606859572778E-2</v>
      </c>
      <c r="C4947" s="194" t="s">
        <v>1</v>
      </c>
    </row>
    <row r="4948" spans="1:3" x14ac:dyDescent="0.15">
      <c r="A4948" s="203">
        <v>38249</v>
      </c>
      <c r="B4948" s="202">
        <v>1.1081606859572778E-2</v>
      </c>
      <c r="C4948" s="194" t="s">
        <v>1</v>
      </c>
    </row>
    <row r="4949" spans="1:3" x14ac:dyDescent="0.15">
      <c r="A4949" s="203">
        <v>38250</v>
      </c>
      <c r="B4949" s="202">
        <v>1.108251796802256E-2</v>
      </c>
      <c r="C4949" s="194" t="s">
        <v>1</v>
      </c>
    </row>
    <row r="4950" spans="1:3" x14ac:dyDescent="0.15">
      <c r="A4950" s="203">
        <v>38251</v>
      </c>
      <c r="B4950" s="202">
        <v>1.1083429151381928E-2</v>
      </c>
      <c r="C4950" s="194" t="s">
        <v>1</v>
      </c>
    </row>
    <row r="4951" spans="1:3" x14ac:dyDescent="0.15">
      <c r="A4951" s="203">
        <v>38252</v>
      </c>
      <c r="B4951" s="202">
        <v>1.1084340409657044E-2</v>
      </c>
      <c r="C4951" s="194" t="s">
        <v>1</v>
      </c>
    </row>
    <row r="4952" spans="1:3" x14ac:dyDescent="0.15">
      <c r="A4952" s="203">
        <v>38253</v>
      </c>
      <c r="B4952" s="202">
        <v>1.1085251742854067E-2</v>
      </c>
      <c r="C4952" s="194" t="s">
        <v>1</v>
      </c>
    </row>
    <row r="4953" spans="1:3" x14ac:dyDescent="0.15">
      <c r="A4953" s="203">
        <v>38254</v>
      </c>
      <c r="B4953" s="202">
        <v>1.1086163150979158E-2</v>
      </c>
      <c r="C4953" s="194" t="s">
        <v>1</v>
      </c>
    </row>
    <row r="4954" spans="1:3" x14ac:dyDescent="0.15">
      <c r="A4954" s="203">
        <v>38255</v>
      </c>
      <c r="B4954" s="202">
        <v>1.1086163150979158E-2</v>
      </c>
      <c r="C4954" s="194" t="s">
        <v>1</v>
      </c>
    </row>
    <row r="4955" spans="1:3" x14ac:dyDescent="0.15">
      <c r="A4955" s="203">
        <v>38256</v>
      </c>
      <c r="B4955" s="202">
        <v>1.1086163150979158E-2</v>
      </c>
      <c r="C4955" s="194" t="s">
        <v>1</v>
      </c>
    </row>
    <row r="4956" spans="1:3" x14ac:dyDescent="0.15">
      <c r="A4956" s="203">
        <v>38257</v>
      </c>
      <c r="B4956" s="202">
        <v>1.1087074634038473E-2</v>
      </c>
      <c r="C4956" s="194" t="s">
        <v>1</v>
      </c>
    </row>
    <row r="4957" spans="1:3" x14ac:dyDescent="0.15">
      <c r="A4957" s="203">
        <v>38258</v>
      </c>
      <c r="B4957" s="202">
        <v>1.1087986192038178E-2</v>
      </c>
      <c r="C4957" s="194" t="s">
        <v>1</v>
      </c>
    </row>
    <row r="4958" spans="1:3" x14ac:dyDescent="0.15">
      <c r="A4958" s="203">
        <v>38259</v>
      </c>
      <c r="B4958" s="202">
        <v>1.1088897824984432E-2</v>
      </c>
      <c r="C4958" s="194" t="s">
        <v>1</v>
      </c>
    </row>
    <row r="4959" spans="1:3" x14ac:dyDescent="0.15">
      <c r="A4959" s="203">
        <v>38260</v>
      </c>
      <c r="B4959" s="202">
        <v>1.1089809532883398E-2</v>
      </c>
      <c r="C4959" s="194" t="s">
        <v>1</v>
      </c>
    </row>
    <row r="4960" spans="1:3" x14ac:dyDescent="0.15">
      <c r="A4960" s="203">
        <v>38261</v>
      </c>
      <c r="B4960" s="202">
        <v>1.1090721315741237E-2</v>
      </c>
      <c r="C4960" s="194" t="s">
        <v>1</v>
      </c>
    </row>
    <row r="4961" spans="1:3" x14ac:dyDescent="0.15">
      <c r="A4961" s="203">
        <v>38262</v>
      </c>
      <c r="B4961" s="202">
        <v>1.1090721315741237E-2</v>
      </c>
      <c r="C4961" s="194" t="s">
        <v>1</v>
      </c>
    </row>
    <row r="4962" spans="1:3" x14ac:dyDescent="0.15">
      <c r="A4962" s="203">
        <v>38263</v>
      </c>
      <c r="B4962" s="202">
        <v>1.1090721315741237E-2</v>
      </c>
      <c r="C4962" s="194" t="s">
        <v>1</v>
      </c>
    </row>
    <row r="4963" spans="1:3" x14ac:dyDescent="0.15">
      <c r="A4963" s="203">
        <v>38264</v>
      </c>
      <c r="B4963" s="202">
        <v>1.1091335418562448E-2</v>
      </c>
      <c r="C4963" s="194" t="s">
        <v>1</v>
      </c>
    </row>
    <row r="4964" spans="1:3" x14ac:dyDescent="0.15">
      <c r="A4964" s="203">
        <v>38265</v>
      </c>
      <c r="B4964" s="202">
        <v>1.1091949555387063E-2</v>
      </c>
      <c r="C4964" s="194" t="s">
        <v>1</v>
      </c>
    </row>
    <row r="4965" spans="1:3" x14ac:dyDescent="0.15">
      <c r="A4965" s="203">
        <v>38266</v>
      </c>
      <c r="B4965" s="202">
        <v>1.1092563726216965E-2</v>
      </c>
      <c r="C4965" s="194" t="s">
        <v>1</v>
      </c>
    </row>
    <row r="4966" spans="1:3" x14ac:dyDescent="0.15">
      <c r="A4966" s="203">
        <v>38267</v>
      </c>
      <c r="B4966" s="202">
        <v>1.1093177931054035E-2</v>
      </c>
      <c r="C4966" s="194" t="s">
        <v>1</v>
      </c>
    </row>
    <row r="4967" spans="1:3" x14ac:dyDescent="0.15">
      <c r="A4967" s="203">
        <v>38268</v>
      </c>
      <c r="B4967" s="202">
        <v>1.1093792169900158E-2</v>
      </c>
      <c r="C4967" s="194" t="s">
        <v>1</v>
      </c>
    </row>
    <row r="4968" spans="1:3" x14ac:dyDescent="0.15">
      <c r="A4968" s="203">
        <v>38269</v>
      </c>
      <c r="B4968" s="202">
        <v>1.1093792169900158E-2</v>
      </c>
      <c r="C4968" s="194" t="s">
        <v>1</v>
      </c>
    </row>
    <row r="4969" spans="1:3" x14ac:dyDescent="0.15">
      <c r="A4969" s="203">
        <v>38270</v>
      </c>
      <c r="B4969" s="202">
        <v>1.1093792169900158E-2</v>
      </c>
      <c r="C4969" s="194" t="s">
        <v>1</v>
      </c>
    </row>
    <row r="4970" spans="1:3" x14ac:dyDescent="0.15">
      <c r="A4970" s="203">
        <v>38271</v>
      </c>
      <c r="B4970" s="202">
        <v>1.1094406442757217E-2</v>
      </c>
      <c r="C4970" s="194" t="s">
        <v>1</v>
      </c>
    </row>
    <row r="4971" spans="1:3" x14ac:dyDescent="0.15">
      <c r="A4971" s="203">
        <v>38272</v>
      </c>
      <c r="B4971" s="202">
        <v>1.1094406442757217E-2</v>
      </c>
      <c r="C4971" s="194" t="s">
        <v>1</v>
      </c>
    </row>
    <row r="4972" spans="1:3" x14ac:dyDescent="0.15">
      <c r="A4972" s="203">
        <v>38273</v>
      </c>
      <c r="B4972" s="202">
        <v>1.1095020749627095E-2</v>
      </c>
      <c r="C4972" s="194" t="s">
        <v>1</v>
      </c>
    </row>
    <row r="4973" spans="1:3" x14ac:dyDescent="0.15">
      <c r="A4973" s="203">
        <v>38274</v>
      </c>
      <c r="B4973" s="202">
        <v>1.1095635090511676E-2</v>
      </c>
      <c r="C4973" s="194" t="s">
        <v>1</v>
      </c>
    </row>
    <row r="4974" spans="1:3" x14ac:dyDescent="0.15">
      <c r="A4974" s="203">
        <v>38275</v>
      </c>
      <c r="B4974" s="202">
        <v>1.1096249465412841E-2</v>
      </c>
      <c r="C4974" s="194" t="s">
        <v>1</v>
      </c>
    </row>
    <row r="4975" spans="1:3" x14ac:dyDescent="0.15">
      <c r="A4975" s="203">
        <v>38276</v>
      </c>
      <c r="B4975" s="202">
        <v>1.1096249465412841E-2</v>
      </c>
      <c r="C4975" s="194" t="s">
        <v>1</v>
      </c>
    </row>
    <row r="4976" spans="1:3" x14ac:dyDescent="0.15">
      <c r="A4976" s="203">
        <v>38277</v>
      </c>
      <c r="B4976" s="202">
        <v>1.1096249465412841E-2</v>
      </c>
      <c r="C4976" s="194" t="s">
        <v>1</v>
      </c>
    </row>
    <row r="4977" spans="1:3" x14ac:dyDescent="0.15">
      <c r="A4977" s="203">
        <v>38278</v>
      </c>
      <c r="B4977" s="202">
        <v>1.1096863874332475E-2</v>
      </c>
      <c r="C4977" s="194" t="s">
        <v>1</v>
      </c>
    </row>
    <row r="4978" spans="1:3" x14ac:dyDescent="0.15">
      <c r="A4978" s="203">
        <v>38279</v>
      </c>
      <c r="B4978" s="202">
        <v>1.1097478317272461E-2</v>
      </c>
      <c r="C4978" s="194" t="s">
        <v>1</v>
      </c>
    </row>
    <row r="4979" spans="1:3" x14ac:dyDescent="0.15">
      <c r="A4979" s="203">
        <v>38280</v>
      </c>
      <c r="B4979" s="202">
        <v>1.1098092794234684E-2</v>
      </c>
      <c r="C4979" s="194" t="s">
        <v>1</v>
      </c>
    </row>
    <row r="4980" spans="1:3" x14ac:dyDescent="0.15">
      <c r="A4980" s="203">
        <v>38281</v>
      </c>
      <c r="B4980" s="202">
        <v>1.1098707305221027E-2</v>
      </c>
      <c r="C4980" s="194" t="s">
        <v>1</v>
      </c>
    </row>
    <row r="4981" spans="1:3" x14ac:dyDescent="0.15">
      <c r="A4981" s="203">
        <v>38282</v>
      </c>
      <c r="B4981" s="202">
        <v>1.1099321850233374E-2</v>
      </c>
      <c r="C4981" s="194" t="s">
        <v>1</v>
      </c>
    </row>
    <row r="4982" spans="1:3" x14ac:dyDescent="0.15">
      <c r="A4982" s="203">
        <v>38283</v>
      </c>
      <c r="B4982" s="202">
        <v>1.1099321850233374E-2</v>
      </c>
      <c r="C4982" s="194" t="s">
        <v>1</v>
      </c>
    </row>
    <row r="4983" spans="1:3" x14ac:dyDescent="0.15">
      <c r="A4983" s="203">
        <v>38284</v>
      </c>
      <c r="B4983" s="202">
        <v>1.1099321850233374E-2</v>
      </c>
      <c r="C4983" s="194" t="s">
        <v>1</v>
      </c>
    </row>
    <row r="4984" spans="1:3" x14ac:dyDescent="0.15">
      <c r="A4984" s="203">
        <v>38285</v>
      </c>
      <c r="B4984" s="202">
        <v>1.1099936429273609E-2</v>
      </c>
      <c r="C4984" s="194" t="s">
        <v>1</v>
      </c>
    </row>
    <row r="4985" spans="1:3" x14ac:dyDescent="0.15">
      <c r="A4985" s="203">
        <v>38286</v>
      </c>
      <c r="B4985" s="202">
        <v>1.1100551042343618E-2</v>
      </c>
      <c r="C4985" s="194" t="s">
        <v>1</v>
      </c>
    </row>
    <row r="4986" spans="1:3" x14ac:dyDescent="0.15">
      <c r="A4986" s="203">
        <v>38287</v>
      </c>
      <c r="B4986" s="202">
        <v>1.1101165689445283E-2</v>
      </c>
      <c r="C4986" s="194" t="s">
        <v>1</v>
      </c>
    </row>
    <row r="4987" spans="1:3" x14ac:dyDescent="0.15">
      <c r="A4987" s="203">
        <v>38288</v>
      </c>
      <c r="B4987" s="202">
        <v>1.110178037058049E-2</v>
      </c>
      <c r="C4987" s="194" t="s">
        <v>1</v>
      </c>
    </row>
    <row r="4988" spans="1:3" x14ac:dyDescent="0.15">
      <c r="A4988" s="203">
        <v>38289</v>
      </c>
      <c r="B4988" s="202">
        <v>1.1102395085751122E-2</v>
      </c>
      <c r="C4988" s="194" t="s">
        <v>1</v>
      </c>
    </row>
    <row r="4989" spans="1:3" x14ac:dyDescent="0.15">
      <c r="A4989" s="203">
        <v>38290</v>
      </c>
      <c r="B4989" s="202">
        <v>1.1102395085751122E-2</v>
      </c>
      <c r="C4989" s="194" t="s">
        <v>1</v>
      </c>
    </row>
    <row r="4990" spans="1:3" x14ac:dyDescent="0.15">
      <c r="A4990" s="203">
        <v>38291</v>
      </c>
      <c r="B4990" s="202">
        <v>1.1102395085751122E-2</v>
      </c>
      <c r="C4990" s="194" t="s">
        <v>1</v>
      </c>
    </row>
    <row r="4991" spans="1:3" x14ac:dyDescent="0.15">
      <c r="A4991" s="203">
        <v>38292</v>
      </c>
      <c r="B4991" s="208">
        <v>1.1103009834959064E-2</v>
      </c>
      <c r="C4991" s="194" t="s">
        <v>1</v>
      </c>
    </row>
    <row r="4992" spans="1:3" x14ac:dyDescent="0.15">
      <c r="A4992" s="203">
        <v>38293</v>
      </c>
      <c r="B4992" s="208">
        <v>1.1103009834959064E-2</v>
      </c>
      <c r="C4992" s="194" t="s">
        <v>1</v>
      </c>
    </row>
    <row r="4993" spans="1:3" x14ac:dyDescent="0.15">
      <c r="A4993" s="203">
        <v>38294</v>
      </c>
      <c r="B4993" s="202">
        <v>1.110364569136355E-2</v>
      </c>
      <c r="C4993" s="194" t="s">
        <v>1</v>
      </c>
    </row>
    <row r="4994" spans="1:3" x14ac:dyDescent="0.15">
      <c r="A4994" s="203">
        <v>38295</v>
      </c>
      <c r="B4994" s="202">
        <v>1.110428158418279E-2</v>
      </c>
      <c r="C4994" s="194" t="s">
        <v>1</v>
      </c>
    </row>
    <row r="4995" spans="1:3" x14ac:dyDescent="0.15">
      <c r="A4995" s="203">
        <v>38296</v>
      </c>
      <c r="B4995" s="202">
        <v>1.1104917513418869E-2</v>
      </c>
      <c r="C4995" s="194" t="s">
        <v>1</v>
      </c>
    </row>
    <row r="4996" spans="1:3" x14ac:dyDescent="0.15">
      <c r="A4996" s="203">
        <v>38297</v>
      </c>
      <c r="B4996" s="202">
        <v>1.1104917513418869E-2</v>
      </c>
      <c r="C4996" s="194" t="s">
        <v>1</v>
      </c>
    </row>
    <row r="4997" spans="1:3" x14ac:dyDescent="0.15">
      <c r="A4997" s="203">
        <v>38298</v>
      </c>
      <c r="B4997" s="202">
        <v>1.1104917513418869E-2</v>
      </c>
      <c r="C4997" s="194" t="s">
        <v>1</v>
      </c>
    </row>
    <row r="4998" spans="1:3" x14ac:dyDescent="0.15">
      <c r="A4998" s="203">
        <v>38299</v>
      </c>
      <c r="B4998" s="202">
        <v>1.1105553479073871E-2</v>
      </c>
      <c r="C4998" s="194" t="s">
        <v>1</v>
      </c>
    </row>
    <row r="4999" spans="1:3" x14ac:dyDescent="0.15">
      <c r="A4999" s="203">
        <v>38300</v>
      </c>
      <c r="B4999" s="202">
        <v>1.1106189481149885E-2</v>
      </c>
      <c r="C4999" s="194" t="s">
        <v>1</v>
      </c>
    </row>
    <row r="5000" spans="1:3" x14ac:dyDescent="0.15">
      <c r="A5000" s="203">
        <v>38301</v>
      </c>
      <c r="B5000" s="202">
        <v>1.1106825519648995E-2</v>
      </c>
      <c r="C5000" s="194" t="s">
        <v>1</v>
      </c>
    </row>
    <row r="5001" spans="1:3" x14ac:dyDescent="0.15">
      <c r="A5001" s="203">
        <v>38302</v>
      </c>
      <c r="B5001" s="202">
        <v>1.1107461594573285E-2</v>
      </c>
      <c r="C5001" s="194" t="s">
        <v>1</v>
      </c>
    </row>
    <row r="5002" spans="1:3" x14ac:dyDescent="0.15">
      <c r="A5002" s="203">
        <v>38303</v>
      </c>
      <c r="B5002" s="202">
        <v>1.1108097705924845E-2</v>
      </c>
      <c r="C5002" s="194" t="s">
        <v>1</v>
      </c>
    </row>
    <row r="5003" spans="1:3" x14ac:dyDescent="0.15">
      <c r="A5003" s="203">
        <v>38304</v>
      </c>
      <c r="B5003" s="202">
        <v>1.1108097705924845E-2</v>
      </c>
      <c r="C5003" s="194" t="s">
        <v>1</v>
      </c>
    </row>
    <row r="5004" spans="1:3" x14ac:dyDescent="0.15">
      <c r="A5004" s="203">
        <v>38305</v>
      </c>
      <c r="B5004" s="202">
        <v>1.1108097705924845E-2</v>
      </c>
      <c r="C5004" s="194" t="s">
        <v>1</v>
      </c>
    </row>
    <row r="5005" spans="1:3" x14ac:dyDescent="0.15">
      <c r="A5005" s="203">
        <v>38306</v>
      </c>
      <c r="B5005" s="202">
        <v>1.1108097705924845E-2</v>
      </c>
      <c r="C5005" s="194" t="s">
        <v>1</v>
      </c>
    </row>
    <row r="5006" spans="1:3" x14ac:dyDescent="0.15">
      <c r="A5006" s="203">
        <v>38307</v>
      </c>
      <c r="B5006" s="202">
        <v>1.1108733853705758E-2</v>
      </c>
      <c r="C5006" s="194" t="s">
        <v>1</v>
      </c>
    </row>
    <row r="5007" spans="1:3" x14ac:dyDescent="0.15">
      <c r="A5007" s="203">
        <v>38308</v>
      </c>
      <c r="B5007" s="202">
        <v>1.1109370037918112E-2</v>
      </c>
      <c r="C5007" s="194" t="s">
        <v>1</v>
      </c>
    </row>
    <row r="5008" spans="1:3" x14ac:dyDescent="0.15">
      <c r="A5008" s="203">
        <v>38309</v>
      </c>
      <c r="B5008" s="202">
        <v>1.1110006258563992E-2</v>
      </c>
      <c r="C5008" s="194" t="s">
        <v>1</v>
      </c>
    </row>
    <row r="5009" spans="1:3" x14ac:dyDescent="0.15">
      <c r="A5009" s="203">
        <v>38310</v>
      </c>
      <c r="B5009" s="202">
        <v>1.1110642515645485E-2</v>
      </c>
      <c r="C5009" s="194" t="s">
        <v>1</v>
      </c>
    </row>
    <row r="5010" spans="1:3" x14ac:dyDescent="0.15">
      <c r="A5010" s="203">
        <v>38311</v>
      </c>
      <c r="B5010" s="202">
        <v>1.1110642515645485E-2</v>
      </c>
      <c r="C5010" s="194" t="s">
        <v>1</v>
      </c>
    </row>
    <row r="5011" spans="1:3" x14ac:dyDescent="0.15">
      <c r="A5011" s="203">
        <v>38312</v>
      </c>
      <c r="B5011" s="202">
        <v>1.1110642515645485E-2</v>
      </c>
      <c r="C5011" s="194" t="s">
        <v>1</v>
      </c>
    </row>
    <row r="5012" spans="1:3" x14ac:dyDescent="0.15">
      <c r="A5012" s="203">
        <v>38313</v>
      </c>
      <c r="B5012" s="202">
        <v>1.1111278809164678E-2</v>
      </c>
      <c r="C5012" s="194" t="s">
        <v>1</v>
      </c>
    </row>
    <row r="5013" spans="1:3" x14ac:dyDescent="0.15">
      <c r="A5013" s="203">
        <v>38314</v>
      </c>
      <c r="B5013" s="202">
        <v>1.1111915139123659E-2</v>
      </c>
      <c r="C5013" s="194" t="s">
        <v>1</v>
      </c>
    </row>
    <row r="5014" spans="1:3" x14ac:dyDescent="0.15">
      <c r="A5014" s="203">
        <v>38315</v>
      </c>
      <c r="B5014" s="202">
        <v>1.1112551505524513E-2</v>
      </c>
      <c r="C5014" s="194" t="s">
        <v>1</v>
      </c>
    </row>
    <row r="5015" spans="1:3" x14ac:dyDescent="0.15">
      <c r="A5015" s="203">
        <v>38316</v>
      </c>
      <c r="B5015" s="202">
        <v>1.1113187908369328E-2</v>
      </c>
      <c r="C5015" s="194" t="s">
        <v>1</v>
      </c>
    </row>
    <row r="5016" spans="1:3" x14ac:dyDescent="0.15">
      <c r="A5016" s="203">
        <v>38317</v>
      </c>
      <c r="B5016" s="202">
        <v>1.111382434766019E-2</v>
      </c>
      <c r="C5016" s="194" t="s">
        <v>1</v>
      </c>
    </row>
    <row r="5017" spans="1:3" x14ac:dyDescent="0.15">
      <c r="A5017" s="203">
        <v>38318</v>
      </c>
      <c r="B5017" s="202">
        <v>1.111382434766019E-2</v>
      </c>
      <c r="C5017" s="194" t="s">
        <v>1</v>
      </c>
    </row>
    <row r="5018" spans="1:3" x14ac:dyDescent="0.15">
      <c r="A5018" s="203">
        <v>38319</v>
      </c>
      <c r="B5018" s="202">
        <v>1.111382434766019E-2</v>
      </c>
      <c r="C5018" s="194" t="s">
        <v>1</v>
      </c>
    </row>
    <row r="5019" spans="1:3" x14ac:dyDescent="0.15">
      <c r="A5019" s="203">
        <v>38320</v>
      </c>
      <c r="B5019" s="202">
        <v>1.1114460823399187E-2</v>
      </c>
      <c r="C5019" s="194" t="s">
        <v>1</v>
      </c>
    </row>
    <row r="5020" spans="1:3" x14ac:dyDescent="0.15">
      <c r="A5020" s="203">
        <v>38321</v>
      </c>
      <c r="B5020" s="202">
        <v>1.1115097335588405E-2</v>
      </c>
      <c r="C5020" s="194" t="s">
        <v>1</v>
      </c>
    </row>
    <row r="5021" spans="1:3" x14ac:dyDescent="0.15">
      <c r="A5021" s="203">
        <v>38322</v>
      </c>
      <c r="B5021" s="202">
        <v>1.1115733884229933E-2</v>
      </c>
      <c r="C5021" s="194" t="s">
        <v>1</v>
      </c>
    </row>
    <row r="5022" spans="1:3" x14ac:dyDescent="0.15">
      <c r="A5022" s="203">
        <v>38323</v>
      </c>
      <c r="B5022" s="202">
        <v>1.1116945122905227E-2</v>
      </c>
      <c r="C5022" s="194" t="s">
        <v>1</v>
      </c>
    </row>
    <row r="5023" spans="1:3" x14ac:dyDescent="0.15">
      <c r="A5023" s="203">
        <v>38324</v>
      </c>
      <c r="B5023" s="202">
        <v>1.1118156493564532E-2</v>
      </c>
      <c r="C5023" s="194" t="s">
        <v>1</v>
      </c>
    </row>
    <row r="5024" spans="1:3" x14ac:dyDescent="0.15">
      <c r="A5024" s="203">
        <v>38325</v>
      </c>
      <c r="B5024" s="202">
        <v>1.1118156493564532E-2</v>
      </c>
      <c r="C5024" s="194" t="s">
        <v>1</v>
      </c>
    </row>
    <row r="5025" spans="1:3" x14ac:dyDescent="0.15">
      <c r="A5025" s="203">
        <v>38326</v>
      </c>
      <c r="B5025" s="202">
        <v>1.1118156493564532E-2</v>
      </c>
      <c r="C5025" s="194" t="s">
        <v>1</v>
      </c>
    </row>
    <row r="5026" spans="1:3" x14ac:dyDescent="0.15">
      <c r="A5026" s="203">
        <v>38327</v>
      </c>
      <c r="B5026" s="202">
        <v>1.1119367996222228E-2</v>
      </c>
      <c r="C5026" s="194" t="s">
        <v>1</v>
      </c>
    </row>
    <row r="5027" spans="1:3" x14ac:dyDescent="0.15">
      <c r="A5027" s="203">
        <v>38328</v>
      </c>
      <c r="B5027" s="202">
        <v>1.1120579630892699E-2</v>
      </c>
      <c r="C5027" s="194" t="s">
        <v>1</v>
      </c>
    </row>
    <row r="5028" spans="1:3" x14ac:dyDescent="0.15">
      <c r="A5028" s="203">
        <v>38329</v>
      </c>
      <c r="B5028" s="202">
        <v>1.1121791397590329E-2</v>
      </c>
      <c r="C5028" s="194" t="s">
        <v>1</v>
      </c>
    </row>
    <row r="5029" spans="1:3" x14ac:dyDescent="0.15">
      <c r="A5029" s="203">
        <v>38330</v>
      </c>
      <c r="B5029" s="202">
        <v>1.1123003296329505E-2</v>
      </c>
      <c r="C5029" s="194" t="s">
        <v>1</v>
      </c>
    </row>
    <row r="5030" spans="1:3" x14ac:dyDescent="0.15">
      <c r="A5030" s="203">
        <v>38331</v>
      </c>
      <c r="B5030" s="202">
        <v>1.1124215327124617E-2</v>
      </c>
      <c r="C5030" s="194" t="s">
        <v>1</v>
      </c>
    </row>
    <row r="5031" spans="1:3" x14ac:dyDescent="0.15">
      <c r="A5031" s="203">
        <v>38332</v>
      </c>
      <c r="B5031" s="202">
        <v>1.1124215327124617E-2</v>
      </c>
      <c r="C5031" s="194" t="s">
        <v>1</v>
      </c>
    </row>
    <row r="5032" spans="1:3" x14ac:dyDescent="0.15">
      <c r="A5032" s="203">
        <v>38333</v>
      </c>
      <c r="B5032" s="202">
        <v>1.1124215327124617E-2</v>
      </c>
      <c r="C5032" s="194" t="s">
        <v>1</v>
      </c>
    </row>
    <row r="5033" spans="1:3" x14ac:dyDescent="0.15">
      <c r="A5033" s="203">
        <v>38334</v>
      </c>
      <c r="B5033" s="202">
        <v>1.1125427489990052E-2</v>
      </c>
      <c r="C5033" s="194" t="s">
        <v>1</v>
      </c>
    </row>
    <row r="5034" spans="1:3" x14ac:dyDescent="0.15">
      <c r="A5034" s="203">
        <v>38335</v>
      </c>
      <c r="B5034" s="202">
        <v>1.1126639784940202E-2</v>
      </c>
      <c r="C5034" s="194" t="s">
        <v>1</v>
      </c>
    </row>
    <row r="5035" spans="1:3" x14ac:dyDescent="0.15">
      <c r="A5035" s="203">
        <v>38336</v>
      </c>
      <c r="B5035" s="202">
        <v>1.112785221198946E-2</v>
      </c>
      <c r="C5035" s="194" t="s">
        <v>1</v>
      </c>
    </row>
    <row r="5036" spans="1:3" x14ac:dyDescent="0.15">
      <c r="A5036" s="203">
        <v>38337</v>
      </c>
      <c r="B5036" s="202">
        <v>1.1129064771152219E-2</v>
      </c>
      <c r="C5036" s="194" t="s">
        <v>1</v>
      </c>
    </row>
    <row r="5037" spans="1:3" x14ac:dyDescent="0.15">
      <c r="A5037" s="203">
        <v>38338</v>
      </c>
      <c r="B5037" s="202">
        <v>1.1130277462442878E-2</v>
      </c>
      <c r="C5037" s="194" t="s">
        <v>1</v>
      </c>
    </row>
    <row r="5038" spans="1:3" x14ac:dyDescent="0.15">
      <c r="A5038" s="203">
        <v>38339</v>
      </c>
      <c r="B5038" s="202">
        <v>1.1130277462442878E-2</v>
      </c>
      <c r="C5038" s="194" t="s">
        <v>1</v>
      </c>
    </row>
    <row r="5039" spans="1:3" x14ac:dyDescent="0.15">
      <c r="A5039" s="203">
        <v>38340</v>
      </c>
      <c r="B5039" s="202">
        <v>1.1130277462442878E-2</v>
      </c>
      <c r="C5039" s="194" t="s">
        <v>1</v>
      </c>
    </row>
    <row r="5040" spans="1:3" x14ac:dyDescent="0.15">
      <c r="A5040" s="203">
        <v>38341</v>
      </c>
      <c r="B5040" s="202">
        <v>1.1131490285875833E-2</v>
      </c>
      <c r="C5040" s="194" t="s">
        <v>1</v>
      </c>
    </row>
    <row r="5041" spans="1:3" x14ac:dyDescent="0.15">
      <c r="A5041" s="203">
        <v>38342</v>
      </c>
      <c r="B5041" s="202">
        <v>1.113270324146548E-2</v>
      </c>
      <c r="C5041" s="194" t="s">
        <v>1</v>
      </c>
    </row>
    <row r="5042" spans="1:3" x14ac:dyDescent="0.15">
      <c r="A5042" s="203">
        <v>38343</v>
      </c>
      <c r="B5042" s="202">
        <v>1.1133916329226223E-2</v>
      </c>
      <c r="C5042" s="194" t="s">
        <v>1</v>
      </c>
    </row>
    <row r="5043" spans="1:3" x14ac:dyDescent="0.15">
      <c r="A5043" s="203">
        <v>38344</v>
      </c>
      <c r="B5043" s="202">
        <v>1.1135129549172465E-2</v>
      </c>
      <c r="C5043" s="194" t="s">
        <v>1</v>
      </c>
    </row>
    <row r="5044" spans="1:3" x14ac:dyDescent="0.15">
      <c r="A5044" s="203">
        <v>38345</v>
      </c>
      <c r="B5044" s="202">
        <v>1.1136342901318607E-2</v>
      </c>
      <c r="C5044" s="194" t="s">
        <v>1</v>
      </c>
    </row>
    <row r="5045" spans="1:3" x14ac:dyDescent="0.15">
      <c r="A5045" s="203">
        <v>38346</v>
      </c>
      <c r="B5045" s="202">
        <v>1.1136342901318607E-2</v>
      </c>
      <c r="C5045" s="194" t="s">
        <v>1</v>
      </c>
    </row>
    <row r="5046" spans="1:3" x14ac:dyDescent="0.15">
      <c r="A5046" s="203">
        <v>38347</v>
      </c>
      <c r="B5046" s="202">
        <v>1.1136342901318607E-2</v>
      </c>
      <c r="C5046" s="194" t="s">
        <v>1</v>
      </c>
    </row>
    <row r="5047" spans="1:3" x14ac:dyDescent="0.15">
      <c r="A5047" s="203">
        <v>38348</v>
      </c>
      <c r="B5047" s="202">
        <v>1.1137556385679056E-2</v>
      </c>
      <c r="C5047" s="194" t="s">
        <v>1</v>
      </c>
    </row>
    <row r="5048" spans="1:3" x14ac:dyDescent="0.15">
      <c r="A5048" s="203">
        <v>38349</v>
      </c>
      <c r="B5048" s="202">
        <v>1.1138770002268218E-2</v>
      </c>
      <c r="C5048" s="194" t="s">
        <v>1</v>
      </c>
    </row>
    <row r="5049" spans="1:3" x14ac:dyDescent="0.15">
      <c r="A5049" s="203">
        <v>38350</v>
      </c>
      <c r="B5049" s="202">
        <v>1.1139983751100502E-2</v>
      </c>
      <c r="C5049" s="194" t="s">
        <v>1</v>
      </c>
    </row>
    <row r="5050" spans="1:3" x14ac:dyDescent="0.15">
      <c r="A5050" s="203">
        <v>38351</v>
      </c>
      <c r="B5050" s="202">
        <v>1.1141197632190318E-2</v>
      </c>
      <c r="C5050" s="194" t="s">
        <v>1</v>
      </c>
    </row>
    <row r="5051" spans="1:3" x14ac:dyDescent="0.15">
      <c r="A5051" s="203">
        <v>38352</v>
      </c>
      <c r="B5051" s="202">
        <v>1.1142411645552077E-2</v>
      </c>
      <c r="C5051" s="194" t="s">
        <v>1</v>
      </c>
    </row>
    <row r="5052" spans="1:3" x14ac:dyDescent="0.15">
      <c r="A5052" s="203">
        <v>38353</v>
      </c>
      <c r="B5052" s="202">
        <v>1.1142411645552077E-2</v>
      </c>
      <c r="C5052" s="194" t="s">
        <v>1</v>
      </c>
    </row>
  </sheetData>
  <phoneticPr fontId="0" type="noConversion"/>
  <pageMargins left="0.75" right="0.75" top="1" bottom="1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J134"/>
  <sheetViews>
    <sheetView topLeftCell="A118" workbookViewId="0" xr3:uid="{842E5F09-E766-5B8D-85AF-A39847EA96FD}">
      <selection activeCell="H136" sqref="H136"/>
    </sheetView>
  </sheetViews>
  <sheetFormatPr defaultRowHeight="12.75" x14ac:dyDescent="0.15"/>
  <cols>
    <col min="1" max="1" width="9.9765625" style="202" customWidth="1"/>
    <col min="2" max="2" width="13.34765625" style="207" bestFit="1" customWidth="1"/>
    <col min="3" max="3" width="9.57421875" style="202" bestFit="1" customWidth="1"/>
    <col min="4" max="4" width="14.83203125" style="207" bestFit="1" customWidth="1"/>
    <col min="5" max="5" width="14.83203125" style="202" bestFit="1" customWidth="1"/>
    <col min="6" max="6" width="2.2890625" style="202" customWidth="1"/>
    <col min="7" max="7" width="9.9765625" style="202" customWidth="1"/>
    <col min="8" max="8" width="10.515625" style="202" bestFit="1" customWidth="1"/>
    <col min="9" max="10" width="9.57421875" style="202" bestFit="1" customWidth="1"/>
  </cols>
  <sheetData>
    <row r="1" spans="1:10" x14ac:dyDescent="0.15">
      <c r="A1" t="s">
        <v>48</v>
      </c>
      <c r="B1" s="206" t="s">
        <v>49</v>
      </c>
      <c r="C1" t="s">
        <v>50</v>
      </c>
      <c r="D1" s="206" t="s">
        <v>51</v>
      </c>
      <c r="E1" t="s">
        <v>52</v>
      </c>
      <c r="F1"/>
      <c r="G1" t="s">
        <v>48</v>
      </c>
      <c r="H1" t="s">
        <v>73</v>
      </c>
      <c r="I1"/>
      <c r="J1"/>
    </row>
    <row r="2" spans="1:10" x14ac:dyDescent="0.15">
      <c r="A2" s="191">
        <v>34335</v>
      </c>
      <c r="B2" s="206">
        <v>32882</v>
      </c>
      <c r="C2" s="192">
        <v>50625.57</v>
      </c>
      <c r="D2" s="206">
        <v>2366.33</v>
      </c>
      <c r="E2" s="192">
        <v>295.74</v>
      </c>
      <c r="F2"/>
      <c r="G2" s="191">
        <v>34335</v>
      </c>
      <c r="H2" s="192">
        <f>128.3*458.16</f>
        <v>58781.928000000007</v>
      </c>
      <c r="I2" s="192">
        <f>213.84*458.16</f>
        <v>97972.934400000013</v>
      </c>
      <c r="J2" s="192">
        <f>145.41*458.16</f>
        <v>66621.045599999998</v>
      </c>
    </row>
    <row r="3" spans="1:10" x14ac:dyDescent="0.15">
      <c r="A3" s="191">
        <v>34366</v>
      </c>
      <c r="B3" s="206">
        <v>42829</v>
      </c>
      <c r="C3" s="192">
        <v>115582.02</v>
      </c>
      <c r="D3" s="206">
        <v>3082.15</v>
      </c>
      <c r="E3" s="192">
        <v>385.19</v>
      </c>
      <c r="F3"/>
      <c r="G3" s="191">
        <v>34366</v>
      </c>
      <c r="H3" s="192">
        <f>128.3*637.64</f>
        <v>81809.212</v>
      </c>
      <c r="I3" s="192">
        <f>213.84*637.64</f>
        <v>136352.9376</v>
      </c>
      <c r="J3" s="192">
        <f>145.41*637.64</f>
        <v>92719.232399999994</v>
      </c>
    </row>
    <row r="4" spans="1:10" x14ac:dyDescent="0.15">
      <c r="A4" s="191">
        <v>34394</v>
      </c>
      <c r="B4" s="206">
        <v>60322.720000000001</v>
      </c>
      <c r="C4" s="192">
        <v>162803.4</v>
      </c>
      <c r="D4" s="206">
        <v>4338.6899999999996</v>
      </c>
      <c r="E4" s="192">
        <v>540</v>
      </c>
      <c r="F4"/>
      <c r="G4" s="191">
        <v>34394</v>
      </c>
      <c r="H4" s="192">
        <f>128.3*931.05</f>
        <v>119453.71500000001</v>
      </c>
      <c r="I4" s="192">
        <f>213.84*931.05</f>
        <v>199095.73199999999</v>
      </c>
      <c r="J4" s="192">
        <f>145.41*931.05</f>
        <v>135383.98049999998</v>
      </c>
    </row>
    <row r="5" spans="1:10" x14ac:dyDescent="0.15">
      <c r="A5" s="191">
        <v>34425</v>
      </c>
      <c r="B5" s="206">
        <v>85776.77</v>
      </c>
      <c r="C5" s="192">
        <v>231500.65</v>
      </c>
      <c r="D5" s="206">
        <v>6169.46</v>
      </c>
      <c r="E5" s="192">
        <v>767.87</v>
      </c>
      <c r="F5"/>
      <c r="G5" s="191">
        <v>34425</v>
      </c>
      <c r="H5" s="192">
        <f>128.3*1323.92</f>
        <v>169858.93600000002</v>
      </c>
      <c r="I5" s="192">
        <f>213.84*1323.92</f>
        <v>283107.0528</v>
      </c>
      <c r="J5" s="192">
        <f>145.41*1323.92</f>
        <v>192511.2072</v>
      </c>
    </row>
    <row r="6" spans="1:10" x14ac:dyDescent="0.15">
      <c r="A6" s="191">
        <v>34455</v>
      </c>
      <c r="B6" s="206">
        <v>121527.89</v>
      </c>
      <c r="C6" s="192">
        <v>328023.37</v>
      </c>
      <c r="D6" s="206">
        <v>8740.85</v>
      </c>
      <c r="E6" s="192">
        <v>1087.9100000000001</v>
      </c>
      <c r="F6"/>
      <c r="G6" s="191">
        <v>34455</v>
      </c>
      <c r="H6" s="192">
        <f>128.3*1875.72</f>
        <v>240654.87600000002</v>
      </c>
      <c r="I6" s="192">
        <f>213.84*1875.72</f>
        <v>401103.96480000002</v>
      </c>
      <c r="J6" s="192">
        <f>145.41*1875.72</f>
        <v>272748.44520000002</v>
      </c>
    </row>
    <row r="7" spans="1:10" x14ac:dyDescent="0.15">
      <c r="A7" s="191">
        <v>34486</v>
      </c>
      <c r="B7" s="206">
        <v>178172.5</v>
      </c>
      <c r="C7" s="192">
        <v>480865</v>
      </c>
      <c r="D7" s="206">
        <v>12815</v>
      </c>
      <c r="E7" s="192">
        <v>1595</v>
      </c>
      <c r="F7"/>
      <c r="G7" s="191">
        <v>34486</v>
      </c>
      <c r="H7" s="192">
        <f>128.3*2750</f>
        <v>352825.00000000006</v>
      </c>
      <c r="I7" s="192">
        <f>213.84*2750</f>
        <v>588060</v>
      </c>
      <c r="J7" s="192">
        <f>145.41*2750</f>
        <v>399877.5</v>
      </c>
    </row>
    <row r="8" spans="1:10" x14ac:dyDescent="0.15">
      <c r="A8" s="191">
        <v>34516</v>
      </c>
      <c r="B8" s="206">
        <v>64.790000000000006</v>
      </c>
      <c r="C8" s="192">
        <v>174.86</v>
      </c>
      <c r="D8" s="206">
        <v>4.66</v>
      </c>
      <c r="E8" s="192">
        <v>0.57999999999999996</v>
      </c>
      <c r="F8"/>
      <c r="G8" s="191">
        <v>34516</v>
      </c>
      <c r="H8" s="192">
        <v>128.30000000000001</v>
      </c>
      <c r="I8" s="192">
        <v>213.84</v>
      </c>
      <c r="J8" s="192">
        <v>145.41</v>
      </c>
    </row>
    <row r="9" spans="1:10" x14ac:dyDescent="0.15">
      <c r="A9" s="191">
        <v>34547</v>
      </c>
      <c r="B9" s="206">
        <v>64.790000000000006</v>
      </c>
      <c r="C9" s="192">
        <v>174.86</v>
      </c>
      <c r="D9" s="206">
        <v>4.66</v>
      </c>
      <c r="E9" s="192">
        <v>0.57999999999999996</v>
      </c>
      <c r="F9"/>
      <c r="G9" s="191">
        <v>34547</v>
      </c>
      <c r="H9" s="192">
        <v>128.30000000000001</v>
      </c>
      <c r="I9" s="192">
        <v>213.84</v>
      </c>
      <c r="J9" s="192">
        <v>145.41</v>
      </c>
    </row>
    <row r="10" spans="1:10" x14ac:dyDescent="0.15">
      <c r="A10" s="191">
        <v>34578</v>
      </c>
      <c r="B10" s="206">
        <v>70</v>
      </c>
      <c r="C10" s="192">
        <v>174.86</v>
      </c>
      <c r="D10" s="206">
        <v>4.66</v>
      </c>
      <c r="E10" s="192">
        <v>0.57999999999999996</v>
      </c>
      <c r="F10"/>
      <c r="G10" s="191">
        <v>34578</v>
      </c>
      <c r="H10" s="192">
        <v>128.30000000000001</v>
      </c>
      <c r="I10" s="192">
        <v>213.84</v>
      </c>
      <c r="J10" s="192">
        <v>145.41</v>
      </c>
    </row>
    <row r="11" spans="1:10" x14ac:dyDescent="0.15">
      <c r="A11" s="191">
        <v>34608</v>
      </c>
      <c r="B11" s="206">
        <v>70</v>
      </c>
      <c r="C11" s="192">
        <v>174.86</v>
      </c>
      <c r="D11" s="206">
        <v>4.66</v>
      </c>
      <c r="E11" s="192">
        <v>0.57999999999999996</v>
      </c>
      <c r="F11"/>
      <c r="G11" s="191">
        <v>34608</v>
      </c>
      <c r="H11" s="192">
        <v>128.30000000000001</v>
      </c>
      <c r="I11" s="192">
        <v>213.84</v>
      </c>
      <c r="J11" s="192">
        <v>145.41</v>
      </c>
    </row>
    <row r="12" spans="1:10" x14ac:dyDescent="0.15">
      <c r="A12" s="191">
        <v>34639</v>
      </c>
      <c r="B12" s="206">
        <v>70</v>
      </c>
      <c r="C12" s="192">
        <v>174.86</v>
      </c>
      <c r="D12" s="206">
        <v>4.66</v>
      </c>
      <c r="E12" s="192">
        <v>0.57999999999999996</v>
      </c>
      <c r="F12"/>
      <c r="G12" s="191">
        <v>34639</v>
      </c>
      <c r="H12" s="192">
        <v>128.30000000000001</v>
      </c>
      <c r="I12" s="192">
        <v>213.84</v>
      </c>
      <c r="J12" s="192">
        <v>145.41</v>
      </c>
    </row>
    <row r="13" spans="1:10" x14ac:dyDescent="0.15">
      <c r="A13" s="191">
        <v>34669</v>
      </c>
      <c r="B13" s="206">
        <v>70</v>
      </c>
      <c r="C13" s="192">
        <v>174.86</v>
      </c>
      <c r="D13" s="206">
        <v>4.66</v>
      </c>
      <c r="E13" s="192">
        <v>0.57999999999999996</v>
      </c>
      <c r="F13"/>
      <c r="G13" s="191">
        <v>34669</v>
      </c>
      <c r="H13" s="192">
        <v>128.30000000000001</v>
      </c>
      <c r="I13" s="192">
        <v>213.84</v>
      </c>
      <c r="J13" s="192">
        <v>145.41</v>
      </c>
    </row>
    <row r="14" spans="1:10" x14ac:dyDescent="0.15">
      <c r="A14" s="191">
        <v>34700</v>
      </c>
      <c r="B14" s="206">
        <v>70</v>
      </c>
      <c r="C14" s="192">
        <v>174.86</v>
      </c>
      <c r="D14" s="206">
        <v>4.66</v>
      </c>
      <c r="E14" s="192">
        <v>0.57999999999999996</v>
      </c>
      <c r="F14"/>
      <c r="G14" s="191">
        <v>34700</v>
      </c>
      <c r="H14" s="192">
        <v>128.30000000000001</v>
      </c>
      <c r="I14" s="192">
        <v>213.84</v>
      </c>
      <c r="J14" s="192">
        <v>145.41</v>
      </c>
    </row>
    <row r="15" spans="1:10" x14ac:dyDescent="0.15">
      <c r="A15" s="191">
        <v>34731</v>
      </c>
      <c r="B15" s="206">
        <v>70</v>
      </c>
      <c r="C15" s="192">
        <v>174.86</v>
      </c>
      <c r="D15" s="206">
        <v>4.66</v>
      </c>
      <c r="E15" s="192">
        <v>0.57999999999999996</v>
      </c>
      <c r="F15"/>
      <c r="G15" s="191">
        <v>34731</v>
      </c>
      <c r="H15" s="192">
        <v>128.30000000000001</v>
      </c>
      <c r="I15" s="192">
        <v>213.84</v>
      </c>
      <c r="J15" s="192">
        <v>145.41</v>
      </c>
    </row>
    <row r="16" spans="1:10" x14ac:dyDescent="0.15">
      <c r="A16" s="191">
        <v>34759</v>
      </c>
      <c r="B16" s="206">
        <v>70</v>
      </c>
      <c r="C16" s="192">
        <v>174.86</v>
      </c>
      <c r="D16" s="206">
        <v>4.66</v>
      </c>
      <c r="E16" s="192">
        <v>0.57999999999999996</v>
      </c>
      <c r="F16"/>
      <c r="G16" s="191">
        <v>34759</v>
      </c>
      <c r="H16" s="192">
        <v>128.30000000000001</v>
      </c>
      <c r="I16" s="192">
        <v>213.84</v>
      </c>
      <c r="J16" s="192">
        <v>145.41</v>
      </c>
    </row>
    <row r="17" spans="1:10" x14ac:dyDescent="0.15">
      <c r="A17" s="191">
        <v>34790</v>
      </c>
      <c r="B17" s="206">
        <v>70</v>
      </c>
      <c r="C17" s="192">
        <v>174.86</v>
      </c>
      <c r="D17" s="206">
        <v>4.66</v>
      </c>
      <c r="E17" s="192">
        <v>0.57999999999999996</v>
      </c>
      <c r="F17"/>
      <c r="G17" s="191">
        <v>34790</v>
      </c>
      <c r="H17" s="192">
        <v>128.30000000000001</v>
      </c>
      <c r="I17" s="192">
        <v>213.84</v>
      </c>
      <c r="J17" s="192">
        <v>145.41</v>
      </c>
    </row>
    <row r="18" spans="1:10" x14ac:dyDescent="0.15">
      <c r="A18" s="191">
        <v>34820</v>
      </c>
      <c r="B18" s="206">
        <v>100</v>
      </c>
      <c r="C18" s="192">
        <v>249.8</v>
      </c>
      <c r="D18" s="206">
        <v>6.66</v>
      </c>
      <c r="E18" s="192">
        <v>0.83</v>
      </c>
      <c r="F18"/>
      <c r="G18" s="191">
        <v>34820</v>
      </c>
      <c r="H18" s="192">
        <v>166.21</v>
      </c>
      <c r="I18" s="192">
        <v>277.02999999999997</v>
      </c>
      <c r="J18" s="192">
        <v>188.38</v>
      </c>
    </row>
    <row r="19" spans="1:10" x14ac:dyDescent="0.15">
      <c r="A19" s="191">
        <v>34851</v>
      </c>
      <c r="B19" s="206">
        <v>100</v>
      </c>
      <c r="C19" s="192">
        <v>249.8</v>
      </c>
      <c r="D19" s="206">
        <v>6.66</v>
      </c>
      <c r="E19" s="192">
        <v>0.83</v>
      </c>
      <c r="F19"/>
      <c r="G19" s="191">
        <v>34851</v>
      </c>
      <c r="H19" s="192">
        <v>166.21</v>
      </c>
      <c r="I19" s="192">
        <v>277.02999999999997</v>
      </c>
      <c r="J19" s="192">
        <v>188.38</v>
      </c>
    </row>
    <row r="20" spans="1:10" x14ac:dyDescent="0.15">
      <c r="A20" s="191">
        <v>34881</v>
      </c>
      <c r="B20" s="206">
        <v>100</v>
      </c>
      <c r="C20" s="192">
        <v>249.8</v>
      </c>
      <c r="D20" s="206">
        <v>6.66</v>
      </c>
      <c r="E20" s="192">
        <v>0.83</v>
      </c>
      <c r="F20"/>
      <c r="G20" s="191">
        <v>34881</v>
      </c>
      <c r="H20" s="192">
        <v>166.21</v>
      </c>
      <c r="I20" s="192">
        <v>277.02999999999997</v>
      </c>
      <c r="J20" s="192">
        <v>188.38</v>
      </c>
    </row>
    <row r="21" spans="1:10" x14ac:dyDescent="0.15">
      <c r="A21" s="191">
        <v>34912</v>
      </c>
      <c r="B21" s="206">
        <v>100</v>
      </c>
      <c r="C21" s="192">
        <v>249.8</v>
      </c>
      <c r="D21" s="206">
        <v>6.66</v>
      </c>
      <c r="E21" s="192">
        <v>0.83</v>
      </c>
      <c r="F21"/>
      <c r="G21" s="191">
        <v>34912</v>
      </c>
      <c r="H21" s="192">
        <v>166.21</v>
      </c>
      <c r="I21" s="192">
        <v>277.02999999999997</v>
      </c>
      <c r="J21" s="192">
        <v>188.38</v>
      </c>
    </row>
    <row r="22" spans="1:10" x14ac:dyDescent="0.15">
      <c r="A22" s="191">
        <v>34943</v>
      </c>
      <c r="B22" s="206">
        <v>100</v>
      </c>
      <c r="C22" s="192">
        <v>249.8</v>
      </c>
      <c r="D22" s="206">
        <v>6.66</v>
      </c>
      <c r="E22" s="192">
        <v>0.83</v>
      </c>
      <c r="F22"/>
      <c r="G22" s="191">
        <v>34943</v>
      </c>
      <c r="H22" s="192">
        <v>166.21</v>
      </c>
      <c r="I22" s="192">
        <v>277.02999999999997</v>
      </c>
      <c r="J22" s="192">
        <v>188.38</v>
      </c>
    </row>
    <row r="23" spans="1:10" x14ac:dyDescent="0.15">
      <c r="A23" s="191">
        <v>34973</v>
      </c>
      <c r="B23" s="206">
        <v>100</v>
      </c>
      <c r="C23" s="192">
        <v>249.8</v>
      </c>
      <c r="D23" s="206">
        <v>6.66</v>
      </c>
      <c r="E23" s="192">
        <v>0.83</v>
      </c>
      <c r="F23"/>
      <c r="G23" s="191">
        <v>34973</v>
      </c>
      <c r="H23" s="192">
        <v>166.21</v>
      </c>
      <c r="I23" s="192">
        <v>277.02999999999997</v>
      </c>
      <c r="J23" s="192">
        <v>188.38</v>
      </c>
    </row>
    <row r="24" spans="1:10" x14ac:dyDescent="0.15">
      <c r="A24" s="191">
        <v>35004</v>
      </c>
      <c r="B24" s="206">
        <v>100</v>
      </c>
      <c r="C24" s="192">
        <v>249.8</v>
      </c>
      <c r="D24" s="206">
        <v>6.66</v>
      </c>
      <c r="E24" s="192">
        <v>0.83</v>
      </c>
      <c r="F24"/>
      <c r="G24" s="191">
        <v>35004</v>
      </c>
      <c r="H24" s="192">
        <v>166.21</v>
      </c>
      <c r="I24" s="192">
        <v>277.02999999999997</v>
      </c>
      <c r="J24" s="192">
        <v>188.38</v>
      </c>
    </row>
    <row r="25" spans="1:10" x14ac:dyDescent="0.15">
      <c r="A25" s="191">
        <v>35034</v>
      </c>
      <c r="B25" s="206">
        <v>100</v>
      </c>
      <c r="C25" s="192">
        <v>249.8</v>
      </c>
      <c r="D25" s="206">
        <v>6.66</v>
      </c>
      <c r="E25" s="192">
        <v>0.83</v>
      </c>
      <c r="F25"/>
      <c r="G25" s="191">
        <v>35034</v>
      </c>
      <c r="H25" s="192">
        <v>166.21</v>
      </c>
      <c r="I25" s="192">
        <v>277.02999999999997</v>
      </c>
      <c r="J25" s="192">
        <v>188.38</v>
      </c>
    </row>
    <row r="26" spans="1:10" x14ac:dyDescent="0.15">
      <c r="A26" s="191">
        <v>35065</v>
      </c>
      <c r="B26" s="206">
        <v>100</v>
      </c>
      <c r="C26" s="192">
        <v>249.8</v>
      </c>
      <c r="D26" s="206">
        <v>6.66</v>
      </c>
      <c r="E26" s="192">
        <v>0.83</v>
      </c>
      <c r="F26"/>
      <c r="G26" s="191">
        <v>35065</v>
      </c>
      <c r="H26" s="192">
        <v>166.21</v>
      </c>
      <c r="I26" s="192">
        <v>277.02999999999997</v>
      </c>
      <c r="J26" s="192">
        <v>188.38</v>
      </c>
    </row>
    <row r="27" spans="1:10" x14ac:dyDescent="0.15">
      <c r="A27" s="191">
        <v>35096</v>
      </c>
      <c r="B27" s="206">
        <v>100</v>
      </c>
      <c r="C27" s="192">
        <v>249.8</v>
      </c>
      <c r="D27" s="206">
        <v>6.66</v>
      </c>
      <c r="E27" s="192">
        <v>0.83</v>
      </c>
      <c r="F27"/>
      <c r="G27" s="191">
        <v>35096</v>
      </c>
      <c r="H27" s="192">
        <v>166.21</v>
      </c>
      <c r="I27" s="192">
        <v>277.02999999999997</v>
      </c>
      <c r="J27" s="192">
        <v>188.38</v>
      </c>
    </row>
    <row r="28" spans="1:10" x14ac:dyDescent="0.15">
      <c r="A28" s="191">
        <v>35125</v>
      </c>
      <c r="B28" s="206">
        <v>100</v>
      </c>
      <c r="C28" s="192">
        <v>249.8</v>
      </c>
      <c r="D28" s="206">
        <v>6.66</v>
      </c>
      <c r="E28" s="192">
        <v>0.83</v>
      </c>
      <c r="F28"/>
      <c r="G28" s="191">
        <v>35125</v>
      </c>
      <c r="H28" s="192">
        <v>166.21</v>
      </c>
      <c r="I28" s="192">
        <v>277.02999999999997</v>
      </c>
      <c r="J28" s="192">
        <v>188.38</v>
      </c>
    </row>
    <row r="29" spans="1:10" x14ac:dyDescent="0.15">
      <c r="A29" s="191">
        <v>35156</v>
      </c>
      <c r="B29" s="206">
        <v>100</v>
      </c>
      <c r="C29" s="192">
        <v>249.8</v>
      </c>
      <c r="D29" s="206">
        <v>6.66</v>
      </c>
      <c r="E29" s="192">
        <v>0.83</v>
      </c>
      <c r="F29"/>
      <c r="G29" s="191">
        <v>35156</v>
      </c>
      <c r="H29" s="192">
        <v>166.21</v>
      </c>
      <c r="I29" s="192">
        <v>277.02999999999997</v>
      </c>
      <c r="J29" s="192">
        <v>188.38</v>
      </c>
    </row>
    <row r="30" spans="1:10" x14ac:dyDescent="0.15">
      <c r="A30" s="191">
        <v>35186</v>
      </c>
      <c r="B30" s="206">
        <v>112</v>
      </c>
      <c r="C30" s="192">
        <v>287.27</v>
      </c>
      <c r="D30" s="206">
        <v>7.66</v>
      </c>
      <c r="E30" s="192">
        <v>0.95</v>
      </c>
      <c r="F30"/>
      <c r="G30" s="191">
        <v>35186</v>
      </c>
      <c r="H30" s="192">
        <v>184.91</v>
      </c>
      <c r="I30" s="192">
        <v>308.2</v>
      </c>
      <c r="J30" s="192">
        <v>209.57</v>
      </c>
    </row>
    <row r="31" spans="1:10" x14ac:dyDescent="0.15">
      <c r="A31" s="191">
        <v>35217</v>
      </c>
      <c r="B31" s="206">
        <v>112</v>
      </c>
      <c r="C31" s="192">
        <v>287.27</v>
      </c>
      <c r="D31" s="206">
        <v>7.66</v>
      </c>
      <c r="E31" s="192">
        <v>0.95</v>
      </c>
      <c r="F31"/>
      <c r="G31" s="191">
        <v>35217</v>
      </c>
      <c r="H31" s="192">
        <v>184.91</v>
      </c>
      <c r="I31" s="192">
        <v>308.2</v>
      </c>
      <c r="J31" s="192">
        <v>209.57</v>
      </c>
    </row>
    <row r="32" spans="1:10" x14ac:dyDescent="0.15">
      <c r="A32" s="191">
        <v>35247</v>
      </c>
      <c r="B32" s="206">
        <v>112</v>
      </c>
      <c r="C32" s="192">
        <v>287.27</v>
      </c>
      <c r="D32" s="206">
        <v>7.66</v>
      </c>
      <c r="E32" s="192">
        <v>0.95</v>
      </c>
      <c r="F32"/>
      <c r="G32" s="191">
        <v>35247</v>
      </c>
      <c r="H32" s="192">
        <v>184.91</v>
      </c>
      <c r="I32" s="192">
        <v>308.2</v>
      </c>
      <c r="J32" s="192">
        <v>209.57</v>
      </c>
    </row>
    <row r="33" spans="1:10" x14ac:dyDescent="0.15">
      <c r="A33" s="191">
        <v>35278</v>
      </c>
      <c r="B33" s="206">
        <v>112</v>
      </c>
      <c r="C33" s="192">
        <v>287.27</v>
      </c>
      <c r="D33" s="206">
        <v>7.66</v>
      </c>
      <c r="E33" s="192">
        <v>0.95</v>
      </c>
      <c r="F33"/>
      <c r="G33" s="191">
        <v>35278</v>
      </c>
      <c r="H33" s="192">
        <v>184.91</v>
      </c>
      <c r="I33" s="192">
        <v>308.2</v>
      </c>
      <c r="J33" s="192">
        <v>209.57</v>
      </c>
    </row>
    <row r="34" spans="1:10" x14ac:dyDescent="0.15">
      <c r="A34" s="191">
        <v>35309</v>
      </c>
      <c r="B34" s="206">
        <v>112</v>
      </c>
      <c r="C34" s="192">
        <v>287.27</v>
      </c>
      <c r="D34" s="206">
        <v>7.66</v>
      </c>
      <c r="E34" s="192">
        <v>0.95</v>
      </c>
      <c r="F34"/>
      <c r="G34" s="191">
        <v>35309</v>
      </c>
      <c r="H34" s="192">
        <v>184.91</v>
      </c>
      <c r="I34" s="192">
        <v>308.2</v>
      </c>
      <c r="J34" s="192">
        <v>209.57</v>
      </c>
    </row>
    <row r="35" spans="1:10" x14ac:dyDescent="0.15">
      <c r="A35" s="191">
        <v>35339</v>
      </c>
      <c r="B35" s="206">
        <v>112</v>
      </c>
      <c r="C35" s="192">
        <v>287.27</v>
      </c>
      <c r="D35" s="206">
        <v>7.66</v>
      </c>
      <c r="E35" s="192">
        <v>0.95</v>
      </c>
      <c r="F35"/>
      <c r="G35" s="191">
        <v>35339</v>
      </c>
      <c r="H35" s="192">
        <v>184.91</v>
      </c>
      <c r="I35" s="192">
        <v>308.2</v>
      </c>
      <c r="J35" s="192">
        <v>209.57</v>
      </c>
    </row>
    <row r="36" spans="1:10" x14ac:dyDescent="0.15">
      <c r="A36" s="191">
        <v>35370</v>
      </c>
      <c r="B36" s="206">
        <v>112</v>
      </c>
      <c r="C36" s="192">
        <v>287.27</v>
      </c>
      <c r="D36" s="206">
        <v>7.66</v>
      </c>
      <c r="E36" s="192">
        <v>0.95</v>
      </c>
      <c r="F36"/>
      <c r="G36" s="191">
        <v>35370</v>
      </c>
      <c r="H36" s="192">
        <v>184.91</v>
      </c>
      <c r="I36" s="192">
        <v>308.2</v>
      </c>
      <c r="J36" s="192">
        <v>209.57</v>
      </c>
    </row>
    <row r="37" spans="1:10" x14ac:dyDescent="0.15">
      <c r="A37" s="191">
        <v>35400</v>
      </c>
      <c r="B37" s="206">
        <v>112</v>
      </c>
      <c r="C37" s="192">
        <v>287.27</v>
      </c>
      <c r="D37" s="206">
        <v>7.66</v>
      </c>
      <c r="E37" s="192">
        <v>0.95</v>
      </c>
      <c r="F37"/>
      <c r="G37" s="191">
        <v>35400</v>
      </c>
      <c r="H37" s="192">
        <v>184.91</v>
      </c>
      <c r="I37" s="192">
        <v>308.2</v>
      </c>
      <c r="J37" s="192">
        <v>209.57</v>
      </c>
    </row>
    <row r="38" spans="1:10" x14ac:dyDescent="0.15">
      <c r="A38" s="191">
        <v>35431</v>
      </c>
      <c r="B38" s="206">
        <v>112</v>
      </c>
      <c r="C38" s="192">
        <v>287.27</v>
      </c>
      <c r="D38" s="206">
        <v>7.66</v>
      </c>
      <c r="E38" s="192">
        <v>0.95</v>
      </c>
      <c r="F38"/>
      <c r="G38" s="191">
        <v>35431</v>
      </c>
      <c r="H38" s="192">
        <v>184.91</v>
      </c>
      <c r="I38" s="192">
        <v>308.2</v>
      </c>
      <c r="J38" s="192">
        <v>209.57</v>
      </c>
    </row>
    <row r="39" spans="1:10" x14ac:dyDescent="0.15">
      <c r="A39" s="191">
        <v>35462</v>
      </c>
      <c r="B39" s="206">
        <v>112</v>
      </c>
      <c r="C39" s="192">
        <v>287.27</v>
      </c>
      <c r="D39" s="206">
        <v>7.66</v>
      </c>
      <c r="E39" s="192">
        <v>0.95</v>
      </c>
      <c r="F39"/>
      <c r="G39" s="191">
        <v>35462</v>
      </c>
      <c r="H39" s="192">
        <v>184.91</v>
      </c>
      <c r="I39" s="192">
        <v>308.2</v>
      </c>
      <c r="J39" s="192">
        <v>209.57</v>
      </c>
    </row>
    <row r="40" spans="1:10" x14ac:dyDescent="0.15">
      <c r="A40" s="191">
        <v>35490</v>
      </c>
      <c r="B40" s="206">
        <v>112</v>
      </c>
      <c r="C40" s="192">
        <v>287.27</v>
      </c>
      <c r="D40" s="206">
        <v>7.66</v>
      </c>
      <c r="E40" s="192">
        <v>0.95</v>
      </c>
      <c r="F40"/>
      <c r="G40" s="191">
        <v>35490</v>
      </c>
      <c r="H40" s="192">
        <v>184.91</v>
      </c>
      <c r="I40" s="192">
        <v>308.2</v>
      </c>
      <c r="J40" s="192">
        <v>209.57</v>
      </c>
    </row>
    <row r="41" spans="1:10" x14ac:dyDescent="0.15">
      <c r="A41" s="191">
        <v>35521</v>
      </c>
      <c r="B41" s="206">
        <v>112</v>
      </c>
      <c r="C41" s="192">
        <v>287.27</v>
      </c>
      <c r="D41" s="206">
        <v>7.66</v>
      </c>
      <c r="E41" s="192">
        <v>0.95</v>
      </c>
      <c r="F41"/>
      <c r="G41" s="191">
        <v>35521</v>
      </c>
      <c r="H41" s="192">
        <v>184.91</v>
      </c>
      <c r="I41" s="192">
        <v>308.2</v>
      </c>
      <c r="J41" s="192">
        <v>209.57</v>
      </c>
    </row>
    <row r="42" spans="1:10" x14ac:dyDescent="0.15">
      <c r="A42" s="191">
        <v>35551</v>
      </c>
      <c r="B42" s="206">
        <v>120</v>
      </c>
      <c r="C42" s="192">
        <v>305.56</v>
      </c>
      <c r="D42" s="206">
        <v>8.25</v>
      </c>
      <c r="E42" s="192">
        <v>1.02</v>
      </c>
      <c r="F42"/>
      <c r="G42" s="191">
        <v>35551</v>
      </c>
      <c r="H42" s="192">
        <v>198.12</v>
      </c>
      <c r="I42" s="192">
        <v>330.21</v>
      </c>
      <c r="J42" s="192">
        <v>224.54</v>
      </c>
    </row>
    <row r="43" spans="1:10" x14ac:dyDescent="0.15">
      <c r="A43" s="191">
        <v>35582</v>
      </c>
      <c r="B43" s="206">
        <v>120</v>
      </c>
      <c r="C43" s="192">
        <v>305.56</v>
      </c>
      <c r="D43" s="206">
        <v>8.25</v>
      </c>
      <c r="E43" s="192">
        <v>1.02</v>
      </c>
      <c r="F43"/>
      <c r="G43" s="191">
        <v>35582</v>
      </c>
      <c r="H43" s="192">
        <v>198.12</v>
      </c>
      <c r="I43" s="192">
        <v>330.21</v>
      </c>
      <c r="J43" s="192">
        <v>224.54</v>
      </c>
    </row>
    <row r="44" spans="1:10" x14ac:dyDescent="0.15">
      <c r="A44" s="191">
        <v>35612</v>
      </c>
      <c r="B44" s="206">
        <v>120</v>
      </c>
      <c r="C44" s="192">
        <v>305.56</v>
      </c>
      <c r="D44" s="206">
        <v>8.25</v>
      </c>
      <c r="E44" s="192">
        <v>1.02</v>
      </c>
      <c r="F44"/>
      <c r="G44" s="191">
        <v>35612</v>
      </c>
      <c r="H44" s="192">
        <v>198.12</v>
      </c>
      <c r="I44" s="192">
        <v>330.21</v>
      </c>
      <c r="J44" s="192">
        <v>224.54</v>
      </c>
    </row>
    <row r="45" spans="1:10" x14ac:dyDescent="0.15">
      <c r="A45" s="191">
        <v>35643</v>
      </c>
      <c r="B45" s="206">
        <v>120</v>
      </c>
      <c r="C45" s="192">
        <v>305.56</v>
      </c>
      <c r="D45" s="206">
        <v>8.25</v>
      </c>
      <c r="E45" s="192">
        <v>1.02</v>
      </c>
      <c r="F45"/>
      <c r="G45" s="191">
        <v>35643</v>
      </c>
      <c r="H45" s="192">
        <v>198.12</v>
      </c>
      <c r="I45" s="192">
        <v>330.21</v>
      </c>
      <c r="J45" s="192">
        <v>224.54</v>
      </c>
    </row>
    <row r="46" spans="1:10" x14ac:dyDescent="0.15">
      <c r="A46" s="191">
        <v>35674</v>
      </c>
      <c r="B46" s="206">
        <v>120</v>
      </c>
      <c r="C46" s="192">
        <v>305.56</v>
      </c>
      <c r="D46" s="206">
        <v>8.25</v>
      </c>
      <c r="E46" s="192">
        <v>1.02</v>
      </c>
      <c r="F46"/>
      <c r="G46" s="191">
        <v>35674</v>
      </c>
      <c r="H46" s="192">
        <v>198.12</v>
      </c>
      <c r="I46" s="192">
        <v>330.21</v>
      </c>
      <c r="J46" s="192">
        <v>224.54</v>
      </c>
    </row>
    <row r="47" spans="1:10" x14ac:dyDescent="0.15">
      <c r="A47" s="191">
        <v>35704</v>
      </c>
      <c r="B47" s="206">
        <v>120</v>
      </c>
      <c r="C47" s="192">
        <v>305.56</v>
      </c>
      <c r="D47" s="206">
        <v>8.25</v>
      </c>
      <c r="E47" s="192">
        <v>1.02</v>
      </c>
      <c r="F47"/>
      <c r="G47" s="191">
        <v>35704</v>
      </c>
      <c r="H47" s="192">
        <v>198.12</v>
      </c>
      <c r="I47" s="192">
        <v>330.21</v>
      </c>
      <c r="J47" s="192">
        <v>224.54</v>
      </c>
    </row>
    <row r="48" spans="1:10" x14ac:dyDescent="0.15">
      <c r="A48" s="191">
        <v>35735</v>
      </c>
      <c r="B48" s="206">
        <v>120</v>
      </c>
      <c r="C48" s="192">
        <v>305.56</v>
      </c>
      <c r="D48" s="206">
        <v>8.25</v>
      </c>
      <c r="E48" s="192">
        <v>1.02</v>
      </c>
      <c r="F48"/>
      <c r="G48" s="191">
        <v>35735</v>
      </c>
      <c r="H48" s="192">
        <v>198.12</v>
      </c>
      <c r="I48" s="192">
        <v>330.21</v>
      </c>
      <c r="J48" s="192">
        <v>224.54</v>
      </c>
    </row>
    <row r="49" spans="1:10" x14ac:dyDescent="0.15">
      <c r="A49" s="191">
        <v>35765</v>
      </c>
      <c r="B49" s="206">
        <v>120</v>
      </c>
      <c r="C49" s="192">
        <v>305.56</v>
      </c>
      <c r="D49" s="206">
        <v>8.25</v>
      </c>
      <c r="E49" s="192">
        <v>1.02</v>
      </c>
      <c r="F49"/>
      <c r="G49" s="191">
        <v>35765</v>
      </c>
      <c r="H49" s="192">
        <v>198.12</v>
      </c>
      <c r="I49" s="192">
        <v>330.21</v>
      </c>
      <c r="J49" s="192">
        <v>224.54</v>
      </c>
    </row>
    <row r="50" spans="1:10" x14ac:dyDescent="0.15">
      <c r="A50" s="191">
        <v>35796</v>
      </c>
      <c r="B50" s="206">
        <v>120</v>
      </c>
      <c r="C50" s="192">
        <v>305.56</v>
      </c>
      <c r="D50" s="206">
        <v>8.25</v>
      </c>
      <c r="E50" s="192">
        <v>1.02</v>
      </c>
      <c r="F50"/>
      <c r="G50" s="191">
        <v>35796</v>
      </c>
      <c r="H50" s="192">
        <v>198.12</v>
      </c>
      <c r="I50" s="192">
        <v>330.21</v>
      </c>
      <c r="J50" s="192">
        <v>224.54</v>
      </c>
    </row>
    <row r="51" spans="1:10" x14ac:dyDescent="0.15">
      <c r="A51" s="191">
        <v>35827</v>
      </c>
      <c r="B51" s="206">
        <v>120</v>
      </c>
      <c r="C51" s="192">
        <v>305.56</v>
      </c>
      <c r="D51" s="206">
        <v>8.25</v>
      </c>
      <c r="E51" s="192">
        <v>1.02</v>
      </c>
      <c r="F51"/>
      <c r="G51" s="191">
        <v>35827</v>
      </c>
      <c r="H51" s="192">
        <v>198.12</v>
      </c>
      <c r="I51" s="192">
        <v>330.21</v>
      </c>
      <c r="J51" s="192">
        <v>224.54</v>
      </c>
    </row>
    <row r="52" spans="1:10" x14ac:dyDescent="0.15">
      <c r="A52" s="191">
        <v>35855</v>
      </c>
      <c r="B52" s="206">
        <v>120</v>
      </c>
      <c r="C52" s="192">
        <v>305.56</v>
      </c>
      <c r="D52" s="206">
        <v>8.25</v>
      </c>
      <c r="E52" s="192">
        <v>1.02</v>
      </c>
      <c r="F52"/>
      <c r="G52" s="191">
        <v>35855</v>
      </c>
      <c r="H52" s="192">
        <v>198.12</v>
      </c>
      <c r="I52" s="192">
        <v>330.21</v>
      </c>
      <c r="J52" s="192">
        <v>224.54</v>
      </c>
    </row>
    <row r="53" spans="1:10" x14ac:dyDescent="0.15">
      <c r="A53" s="191">
        <v>35886</v>
      </c>
      <c r="B53" s="206">
        <v>120</v>
      </c>
      <c r="C53" s="192">
        <v>305.56</v>
      </c>
      <c r="D53" s="206">
        <v>8.25</v>
      </c>
      <c r="E53" s="192">
        <v>1.02</v>
      </c>
      <c r="F53"/>
      <c r="G53" s="191">
        <v>35886</v>
      </c>
      <c r="H53" s="192">
        <v>198.12</v>
      </c>
      <c r="I53" s="192">
        <v>330.21</v>
      </c>
      <c r="J53" s="192">
        <v>224.54</v>
      </c>
    </row>
    <row r="54" spans="1:10" x14ac:dyDescent="0.15">
      <c r="A54" s="191">
        <v>35916</v>
      </c>
      <c r="B54" s="206">
        <v>130</v>
      </c>
      <c r="C54" s="192">
        <v>324.45</v>
      </c>
      <c r="D54" s="206">
        <v>8.65</v>
      </c>
      <c r="E54" s="192">
        <v>1.07</v>
      </c>
      <c r="F54"/>
      <c r="G54" s="191">
        <v>35916</v>
      </c>
      <c r="H54" s="192">
        <v>214.62</v>
      </c>
      <c r="I54" s="192">
        <v>357.72</v>
      </c>
      <c r="J54" s="192">
        <v>243.24</v>
      </c>
    </row>
    <row r="55" spans="1:10" x14ac:dyDescent="0.15">
      <c r="A55" s="191">
        <v>35947</v>
      </c>
      <c r="B55" s="206">
        <v>130</v>
      </c>
      <c r="C55" s="192">
        <v>324.45</v>
      </c>
      <c r="D55" s="206">
        <v>8.65</v>
      </c>
      <c r="E55" s="192">
        <v>1.07</v>
      </c>
      <c r="F55"/>
      <c r="G55" s="191">
        <v>35947</v>
      </c>
      <c r="H55" s="192">
        <v>214.62</v>
      </c>
      <c r="I55" s="192">
        <v>357.72</v>
      </c>
      <c r="J55" s="192">
        <v>243.24</v>
      </c>
    </row>
    <row r="56" spans="1:10" x14ac:dyDescent="0.15">
      <c r="A56" s="191">
        <v>35977</v>
      </c>
      <c r="B56" s="206">
        <v>130</v>
      </c>
      <c r="C56" s="192">
        <v>324.45</v>
      </c>
      <c r="D56" s="206">
        <v>8.65</v>
      </c>
      <c r="E56" s="192">
        <v>1.07</v>
      </c>
      <c r="F56"/>
      <c r="G56" s="191">
        <v>35977</v>
      </c>
      <c r="H56" s="192">
        <v>214.62</v>
      </c>
      <c r="I56" s="192">
        <v>357.72</v>
      </c>
      <c r="J56" s="192">
        <v>243.24</v>
      </c>
    </row>
    <row r="57" spans="1:10" x14ac:dyDescent="0.15">
      <c r="A57" s="191">
        <v>36008</v>
      </c>
      <c r="B57" s="206">
        <v>130</v>
      </c>
      <c r="C57" s="192">
        <v>324.45</v>
      </c>
      <c r="D57" s="206">
        <v>8.65</v>
      </c>
      <c r="E57" s="192">
        <v>1.07</v>
      </c>
      <c r="F57"/>
      <c r="G57" s="191">
        <v>36008</v>
      </c>
      <c r="H57" s="192">
        <v>214.62</v>
      </c>
      <c r="I57" s="192">
        <v>357.72</v>
      </c>
      <c r="J57" s="192">
        <v>243.24</v>
      </c>
    </row>
    <row r="58" spans="1:10" x14ac:dyDescent="0.15">
      <c r="A58" s="191">
        <v>36039</v>
      </c>
      <c r="B58" s="206">
        <v>130</v>
      </c>
      <c r="C58" s="192">
        <v>324.45</v>
      </c>
      <c r="D58" s="206">
        <v>8.65</v>
      </c>
      <c r="E58" s="192">
        <v>1.07</v>
      </c>
      <c r="F58"/>
      <c r="G58" s="191">
        <v>36039</v>
      </c>
      <c r="H58" s="192">
        <v>214.62</v>
      </c>
      <c r="I58" s="192">
        <v>357.72</v>
      </c>
      <c r="J58" s="192">
        <v>243.24</v>
      </c>
    </row>
    <row r="59" spans="1:10" x14ac:dyDescent="0.15">
      <c r="A59" s="191">
        <v>36069</v>
      </c>
      <c r="B59" s="206">
        <v>130</v>
      </c>
      <c r="C59" s="192">
        <v>324.45</v>
      </c>
      <c r="D59" s="206">
        <v>8.65</v>
      </c>
      <c r="E59" s="192">
        <v>1.07</v>
      </c>
      <c r="F59"/>
      <c r="G59" s="191">
        <v>36069</v>
      </c>
      <c r="H59" s="192">
        <v>214.62</v>
      </c>
      <c r="I59" s="192">
        <v>357.72</v>
      </c>
      <c r="J59" s="192">
        <v>243.24</v>
      </c>
    </row>
    <row r="60" spans="1:10" x14ac:dyDescent="0.15">
      <c r="A60" s="191">
        <v>36100</v>
      </c>
      <c r="B60" s="206">
        <v>130</v>
      </c>
      <c r="C60" s="192">
        <v>324.45</v>
      </c>
      <c r="D60" s="206">
        <v>8.65</v>
      </c>
      <c r="E60" s="192">
        <v>1.07</v>
      </c>
      <c r="F60"/>
      <c r="G60" s="191">
        <v>36100</v>
      </c>
      <c r="H60" s="192">
        <v>214.62</v>
      </c>
      <c r="I60" s="192">
        <v>357.72</v>
      </c>
      <c r="J60" s="192">
        <v>243.24</v>
      </c>
    </row>
    <row r="61" spans="1:10" x14ac:dyDescent="0.15">
      <c r="A61" s="191">
        <v>36130</v>
      </c>
      <c r="B61" s="206">
        <v>130</v>
      </c>
      <c r="C61" s="192">
        <v>324.45</v>
      </c>
      <c r="D61" s="206">
        <v>8.65</v>
      </c>
      <c r="E61" s="192">
        <v>1.07</v>
      </c>
      <c r="F61"/>
      <c r="G61" s="191">
        <v>36130</v>
      </c>
      <c r="H61" s="192">
        <v>214.62</v>
      </c>
      <c r="I61" s="192">
        <v>357.72</v>
      </c>
      <c r="J61" s="192">
        <v>243.24</v>
      </c>
    </row>
    <row r="62" spans="1:10" x14ac:dyDescent="0.15">
      <c r="A62" s="191">
        <v>36161</v>
      </c>
      <c r="B62" s="206">
        <v>130</v>
      </c>
      <c r="C62" s="192">
        <v>324.45</v>
      </c>
      <c r="D62" s="206">
        <v>8.65</v>
      </c>
      <c r="E62" s="192">
        <v>1.07</v>
      </c>
      <c r="F62"/>
      <c r="G62" s="191">
        <v>36161</v>
      </c>
      <c r="H62" s="192">
        <v>214.62</v>
      </c>
      <c r="I62" s="192">
        <v>357.72</v>
      </c>
      <c r="J62" s="192">
        <v>243.24</v>
      </c>
    </row>
    <row r="63" spans="1:10" x14ac:dyDescent="0.15">
      <c r="A63" s="191">
        <v>36192</v>
      </c>
      <c r="B63" s="206">
        <v>130</v>
      </c>
      <c r="C63" s="192">
        <v>324.45</v>
      </c>
      <c r="D63" s="206">
        <v>8.65</v>
      </c>
      <c r="E63" s="192">
        <v>1.07</v>
      </c>
      <c r="F63"/>
      <c r="G63" s="191">
        <v>36192</v>
      </c>
      <c r="H63" s="192">
        <v>214.62</v>
      </c>
      <c r="I63" s="192">
        <v>357.72</v>
      </c>
      <c r="J63" s="192">
        <v>243.24</v>
      </c>
    </row>
    <row r="64" spans="1:10" x14ac:dyDescent="0.15">
      <c r="A64" s="191">
        <v>36220</v>
      </c>
      <c r="B64" s="206">
        <v>130</v>
      </c>
      <c r="C64" s="192">
        <v>324.45</v>
      </c>
      <c r="D64" s="206">
        <v>8.65</v>
      </c>
      <c r="E64" s="192">
        <v>1.07</v>
      </c>
      <c r="F64"/>
      <c r="G64" s="191">
        <v>36220</v>
      </c>
      <c r="H64" s="192">
        <v>214.62</v>
      </c>
      <c r="I64" s="192">
        <v>357.72</v>
      </c>
      <c r="J64" s="192">
        <v>243.24</v>
      </c>
    </row>
    <row r="65" spans="1:10" x14ac:dyDescent="0.15">
      <c r="A65" s="191">
        <v>36251</v>
      </c>
      <c r="B65" s="206">
        <v>130</v>
      </c>
      <c r="C65" s="192">
        <v>324.45</v>
      </c>
      <c r="D65" s="206">
        <v>8.65</v>
      </c>
      <c r="E65" s="192">
        <v>1.07</v>
      </c>
      <c r="F65"/>
      <c r="G65" s="191">
        <v>36251</v>
      </c>
      <c r="H65" s="192">
        <v>214.62</v>
      </c>
      <c r="I65" s="192">
        <v>357.72</v>
      </c>
      <c r="J65" s="192">
        <v>243.24</v>
      </c>
    </row>
    <row r="66" spans="1:10" x14ac:dyDescent="0.15">
      <c r="A66" s="191">
        <v>36281</v>
      </c>
      <c r="B66" s="206">
        <v>136</v>
      </c>
      <c r="C66" s="192">
        <v>376.6</v>
      </c>
      <c r="D66" s="206">
        <v>9.0500000000000007</v>
      </c>
      <c r="E66" s="192">
        <v>0</v>
      </c>
      <c r="F66"/>
      <c r="G66" s="191">
        <v>36281</v>
      </c>
      <c r="H66" s="192">
        <v>224.51</v>
      </c>
      <c r="I66" s="192">
        <v>374.21</v>
      </c>
      <c r="J66" s="192">
        <v>254.45</v>
      </c>
    </row>
    <row r="67" spans="1:10" x14ac:dyDescent="0.15">
      <c r="A67" s="191">
        <v>36312</v>
      </c>
      <c r="B67" s="206">
        <v>136</v>
      </c>
      <c r="C67" s="192">
        <v>376.6</v>
      </c>
      <c r="D67" s="206">
        <v>9.0500000000000007</v>
      </c>
      <c r="E67" s="192">
        <v>0</v>
      </c>
      <c r="F67"/>
      <c r="G67" s="191">
        <v>36312</v>
      </c>
      <c r="H67" s="192">
        <v>224.51</v>
      </c>
      <c r="I67" s="192">
        <v>374.21</v>
      </c>
      <c r="J67" s="192">
        <v>254.45</v>
      </c>
    </row>
    <row r="68" spans="1:10" x14ac:dyDescent="0.15">
      <c r="A68" s="191">
        <v>36342</v>
      </c>
      <c r="B68" s="206">
        <v>136</v>
      </c>
      <c r="C68" s="192">
        <v>376.6</v>
      </c>
      <c r="D68" s="206">
        <v>9.0500000000000007</v>
      </c>
      <c r="E68" s="192">
        <v>0</v>
      </c>
      <c r="F68"/>
      <c r="G68" s="191">
        <v>36342</v>
      </c>
      <c r="H68" s="192">
        <v>224.51</v>
      </c>
      <c r="I68" s="192">
        <v>374.21</v>
      </c>
      <c r="J68" s="192">
        <v>254.45</v>
      </c>
    </row>
    <row r="69" spans="1:10" x14ac:dyDescent="0.15">
      <c r="A69" s="191">
        <v>36373</v>
      </c>
      <c r="B69" s="206">
        <v>136</v>
      </c>
      <c r="C69" s="192">
        <v>376.6</v>
      </c>
      <c r="D69" s="206">
        <v>9.0500000000000007</v>
      </c>
      <c r="E69" s="192">
        <v>0</v>
      </c>
      <c r="F69"/>
      <c r="G69" s="191">
        <v>36373</v>
      </c>
      <c r="H69" s="192">
        <v>224.51</v>
      </c>
      <c r="I69" s="192">
        <v>374.21</v>
      </c>
      <c r="J69" s="192">
        <v>254.45</v>
      </c>
    </row>
    <row r="70" spans="1:10" x14ac:dyDescent="0.15">
      <c r="A70" s="191">
        <v>36404</v>
      </c>
      <c r="B70" s="206">
        <v>136</v>
      </c>
      <c r="C70" s="192">
        <v>376.6</v>
      </c>
      <c r="D70" s="206">
        <v>9.0500000000000007</v>
      </c>
      <c r="E70" s="192">
        <v>0</v>
      </c>
      <c r="F70"/>
      <c r="G70" s="191">
        <v>36404</v>
      </c>
      <c r="H70" s="192">
        <v>224.51</v>
      </c>
      <c r="I70" s="192">
        <v>374.21</v>
      </c>
      <c r="J70" s="192">
        <v>254.45</v>
      </c>
    </row>
    <row r="71" spans="1:10" x14ac:dyDescent="0.15">
      <c r="A71" s="191">
        <v>36434</v>
      </c>
      <c r="B71" s="206">
        <v>136</v>
      </c>
      <c r="C71" s="192">
        <v>376.6</v>
      </c>
      <c r="D71" s="206">
        <v>9.0500000000000007</v>
      </c>
      <c r="E71" s="192">
        <v>0</v>
      </c>
      <c r="F71"/>
      <c r="G71" s="191">
        <v>36434</v>
      </c>
      <c r="H71" s="192">
        <v>224.51</v>
      </c>
      <c r="I71" s="192">
        <v>374.21</v>
      </c>
      <c r="J71" s="192">
        <v>254.45</v>
      </c>
    </row>
    <row r="72" spans="1:10" x14ac:dyDescent="0.15">
      <c r="A72" s="191">
        <v>36465</v>
      </c>
      <c r="B72" s="206">
        <v>136</v>
      </c>
      <c r="C72" s="192">
        <v>376.6</v>
      </c>
      <c r="D72" s="206">
        <v>9.0500000000000007</v>
      </c>
      <c r="E72" s="192">
        <v>0</v>
      </c>
      <c r="F72"/>
      <c r="G72" s="191">
        <v>36465</v>
      </c>
      <c r="H72" s="192">
        <v>224.51</v>
      </c>
      <c r="I72" s="192">
        <v>374.21</v>
      </c>
      <c r="J72" s="192">
        <v>254.45</v>
      </c>
    </row>
    <row r="73" spans="1:10" x14ac:dyDescent="0.15">
      <c r="A73" s="191">
        <v>36495</v>
      </c>
      <c r="B73" s="206">
        <v>136</v>
      </c>
      <c r="C73" s="192">
        <v>376.6</v>
      </c>
      <c r="D73" s="206">
        <v>9.0500000000000007</v>
      </c>
      <c r="E73" s="192">
        <v>0</v>
      </c>
      <c r="F73"/>
      <c r="G73" s="191">
        <v>36495</v>
      </c>
      <c r="H73" s="192">
        <v>224.51</v>
      </c>
      <c r="I73" s="192">
        <v>374.21</v>
      </c>
      <c r="J73" s="192">
        <v>254.45</v>
      </c>
    </row>
    <row r="74" spans="1:10" x14ac:dyDescent="0.15">
      <c r="A74" s="191">
        <v>36526</v>
      </c>
      <c r="B74" s="206">
        <v>136</v>
      </c>
      <c r="C74" s="192">
        <v>376.6</v>
      </c>
      <c r="D74" s="206">
        <v>9.0500000000000007</v>
      </c>
      <c r="E74" s="192">
        <v>0</v>
      </c>
      <c r="F74"/>
      <c r="G74" s="191">
        <v>36526</v>
      </c>
      <c r="H74" s="192">
        <v>224.51</v>
      </c>
      <c r="I74" s="192">
        <v>374.21</v>
      </c>
      <c r="J74" s="192">
        <v>254.45</v>
      </c>
    </row>
    <row r="75" spans="1:10" x14ac:dyDescent="0.15">
      <c r="A75" s="191">
        <v>36557</v>
      </c>
      <c r="B75" s="206">
        <v>136</v>
      </c>
      <c r="C75" s="192">
        <v>376.6</v>
      </c>
      <c r="D75" s="206">
        <v>9.0500000000000007</v>
      </c>
      <c r="E75" s="192">
        <v>0</v>
      </c>
      <c r="F75"/>
      <c r="G75" s="191">
        <v>36557</v>
      </c>
      <c r="H75" s="192">
        <v>224.51</v>
      </c>
      <c r="I75" s="192">
        <v>374.21</v>
      </c>
      <c r="J75" s="192">
        <v>254.45</v>
      </c>
    </row>
    <row r="76" spans="1:10" x14ac:dyDescent="0.15">
      <c r="A76" s="191">
        <v>36586</v>
      </c>
      <c r="B76" s="206">
        <v>136</v>
      </c>
      <c r="C76" s="192">
        <v>376.6</v>
      </c>
      <c r="D76" s="206">
        <v>9.0500000000000007</v>
      </c>
      <c r="E76" s="192">
        <v>0</v>
      </c>
      <c r="F76"/>
      <c r="G76" s="191">
        <v>36586</v>
      </c>
      <c r="H76" s="192">
        <v>224.51</v>
      </c>
      <c r="I76" s="192">
        <v>374.21</v>
      </c>
      <c r="J76" s="192">
        <v>254.45</v>
      </c>
    </row>
    <row r="77" spans="1:10" x14ac:dyDescent="0.15">
      <c r="A77" s="191">
        <v>36617</v>
      </c>
      <c r="B77" s="206">
        <v>151</v>
      </c>
      <c r="C77" s="192">
        <v>398.48</v>
      </c>
      <c r="D77" s="206">
        <v>9.58</v>
      </c>
      <c r="E77" s="192">
        <v>0</v>
      </c>
      <c r="F77"/>
      <c r="G77" s="191">
        <v>36617</v>
      </c>
      <c r="H77" s="192">
        <v>237.22</v>
      </c>
      <c r="I77" s="192">
        <v>395.39</v>
      </c>
      <c r="J77" s="192">
        <v>268.85000000000002</v>
      </c>
    </row>
    <row r="78" spans="1:10" x14ac:dyDescent="0.15">
      <c r="A78" s="191">
        <v>36647</v>
      </c>
      <c r="B78" s="206">
        <v>151</v>
      </c>
      <c r="C78" s="192">
        <v>398.48</v>
      </c>
      <c r="D78" s="206">
        <v>9.58</v>
      </c>
      <c r="E78" s="192">
        <v>0</v>
      </c>
      <c r="F78"/>
      <c r="G78" s="191">
        <v>36647</v>
      </c>
      <c r="H78" s="192">
        <v>249.27</v>
      </c>
      <c r="I78" s="192">
        <v>415.49</v>
      </c>
      <c r="J78" s="192">
        <v>282.52</v>
      </c>
    </row>
    <row r="79" spans="1:10" x14ac:dyDescent="0.15">
      <c r="A79" s="191">
        <v>36678</v>
      </c>
      <c r="B79" s="206">
        <v>151</v>
      </c>
      <c r="C79" s="192">
        <v>398.48</v>
      </c>
      <c r="D79" s="206">
        <v>9.58</v>
      </c>
      <c r="E79" s="192">
        <v>0</v>
      </c>
      <c r="F79"/>
      <c r="G79" s="191">
        <v>36678</v>
      </c>
      <c r="H79" s="192">
        <v>249.27</v>
      </c>
      <c r="I79" s="192">
        <v>415.49</v>
      </c>
      <c r="J79" s="192">
        <v>282.52</v>
      </c>
    </row>
    <row r="80" spans="1:10" x14ac:dyDescent="0.15">
      <c r="A80" s="191">
        <v>36708</v>
      </c>
      <c r="B80" s="206">
        <v>151</v>
      </c>
      <c r="C80" s="192">
        <v>398.48</v>
      </c>
      <c r="D80" s="206">
        <v>9.58</v>
      </c>
      <c r="E80" s="192">
        <v>0</v>
      </c>
      <c r="F80"/>
      <c r="G80" s="191">
        <v>36708</v>
      </c>
      <c r="H80" s="192">
        <v>249.27</v>
      </c>
      <c r="I80" s="192">
        <v>415.49</v>
      </c>
      <c r="J80" s="192">
        <v>282.52</v>
      </c>
    </row>
    <row r="81" spans="1:10" x14ac:dyDescent="0.15">
      <c r="A81" s="191">
        <v>36739</v>
      </c>
      <c r="B81" s="206">
        <v>151</v>
      </c>
      <c r="C81" s="192">
        <v>398.48</v>
      </c>
      <c r="D81" s="206">
        <v>9.58</v>
      </c>
      <c r="E81" s="192">
        <v>0</v>
      </c>
      <c r="G81" s="191">
        <v>36739</v>
      </c>
      <c r="H81" s="192">
        <v>249.27</v>
      </c>
      <c r="I81" s="192">
        <v>415.49</v>
      </c>
      <c r="J81" s="192">
        <v>282.52</v>
      </c>
    </row>
    <row r="82" spans="1:10" x14ac:dyDescent="0.15">
      <c r="A82" s="191">
        <v>36770</v>
      </c>
      <c r="B82" s="206">
        <v>151</v>
      </c>
      <c r="C82" s="192">
        <v>398.48</v>
      </c>
      <c r="D82" s="206">
        <v>9.58</v>
      </c>
      <c r="E82" s="192">
        <v>0</v>
      </c>
      <c r="G82" s="191">
        <v>36770</v>
      </c>
      <c r="H82" s="192">
        <v>249.27</v>
      </c>
      <c r="I82" s="192">
        <v>415.49</v>
      </c>
      <c r="J82" s="192">
        <v>282.52</v>
      </c>
    </row>
    <row r="83" spans="1:10" x14ac:dyDescent="0.15">
      <c r="A83" s="191">
        <v>36800</v>
      </c>
      <c r="B83" s="206">
        <v>151</v>
      </c>
      <c r="C83" s="192">
        <v>398.48</v>
      </c>
      <c r="D83" s="206">
        <v>9.58</v>
      </c>
      <c r="E83" s="192">
        <v>0</v>
      </c>
      <c r="G83" s="191">
        <v>36800</v>
      </c>
      <c r="H83" s="192">
        <v>249.27</v>
      </c>
      <c r="I83" s="192">
        <v>415.49</v>
      </c>
      <c r="J83" s="192">
        <v>282.52</v>
      </c>
    </row>
    <row r="84" spans="1:10" x14ac:dyDescent="0.15">
      <c r="A84" s="191">
        <v>36831</v>
      </c>
      <c r="B84" s="206">
        <v>151</v>
      </c>
      <c r="C84" s="192">
        <v>398.48</v>
      </c>
      <c r="D84" s="206">
        <v>9.58</v>
      </c>
      <c r="E84" s="192">
        <v>0</v>
      </c>
      <c r="G84" s="191">
        <v>36831</v>
      </c>
      <c r="H84" s="192">
        <v>249.27</v>
      </c>
      <c r="I84" s="192">
        <v>415.49</v>
      </c>
      <c r="J84" s="192">
        <v>282.52</v>
      </c>
    </row>
    <row r="85" spans="1:10" x14ac:dyDescent="0.15">
      <c r="A85" s="191">
        <v>36861</v>
      </c>
      <c r="B85" s="206">
        <v>151</v>
      </c>
      <c r="C85" s="192">
        <v>398.48</v>
      </c>
      <c r="D85" s="206">
        <v>9.58</v>
      </c>
      <c r="E85" s="192">
        <v>0</v>
      </c>
      <c r="G85" s="191">
        <v>36861</v>
      </c>
      <c r="H85" s="192">
        <v>249.27</v>
      </c>
      <c r="I85" s="192">
        <v>415.49</v>
      </c>
      <c r="J85" s="192">
        <v>282.52</v>
      </c>
    </row>
    <row r="86" spans="1:10" x14ac:dyDescent="0.15">
      <c r="A86" s="191">
        <v>36892</v>
      </c>
      <c r="B86" s="206">
        <v>151</v>
      </c>
      <c r="C86" s="192">
        <v>398.48</v>
      </c>
      <c r="D86" s="206">
        <v>9.58</v>
      </c>
      <c r="E86" s="192">
        <v>0</v>
      </c>
      <c r="G86" s="191">
        <v>36892</v>
      </c>
      <c r="H86" s="192">
        <v>249.27</v>
      </c>
      <c r="I86" s="192">
        <v>415.49</v>
      </c>
      <c r="J86" s="192">
        <v>282.52</v>
      </c>
    </row>
    <row r="87" spans="1:10" x14ac:dyDescent="0.15">
      <c r="A87" s="191">
        <v>36923</v>
      </c>
      <c r="B87" s="206">
        <v>151</v>
      </c>
      <c r="C87" s="192">
        <v>398.48</v>
      </c>
      <c r="D87" s="206">
        <v>9.58</v>
      </c>
      <c r="E87" s="192">
        <v>0</v>
      </c>
      <c r="G87" s="191">
        <v>36923</v>
      </c>
      <c r="H87" s="192">
        <v>249.27</v>
      </c>
      <c r="I87" s="192">
        <v>415.49</v>
      </c>
      <c r="J87" s="192">
        <v>282.52</v>
      </c>
    </row>
    <row r="88" spans="1:10" x14ac:dyDescent="0.15">
      <c r="A88" s="191">
        <v>36951</v>
      </c>
      <c r="B88" s="206">
        <v>151</v>
      </c>
      <c r="C88" s="192">
        <v>398.48</v>
      </c>
      <c r="D88" s="206">
        <v>9.58</v>
      </c>
      <c r="E88" s="192">
        <v>0</v>
      </c>
      <c r="G88" s="191">
        <v>36951</v>
      </c>
      <c r="H88" s="192">
        <v>249.27</v>
      </c>
      <c r="I88" s="192">
        <v>415.49</v>
      </c>
      <c r="J88" s="192">
        <v>282.52</v>
      </c>
    </row>
    <row r="89" spans="1:10" x14ac:dyDescent="0.15">
      <c r="A89" s="191">
        <v>36982</v>
      </c>
      <c r="B89" s="206">
        <v>180</v>
      </c>
      <c r="C89" s="192">
        <v>398.48</v>
      </c>
      <c r="D89" s="206">
        <v>9.58</v>
      </c>
      <c r="E89" s="192">
        <v>0</v>
      </c>
      <c r="G89" s="191">
        <v>36982</v>
      </c>
      <c r="H89">
        <v>249.27</v>
      </c>
      <c r="I89">
        <v>415.49</v>
      </c>
      <c r="J89">
        <v>282.52</v>
      </c>
    </row>
    <row r="90" spans="1:10" x14ac:dyDescent="0.15">
      <c r="A90" s="191">
        <v>37012</v>
      </c>
      <c r="B90" s="206">
        <v>180</v>
      </c>
      <c r="C90" s="192">
        <v>398.48</v>
      </c>
      <c r="D90" s="206">
        <v>9.58</v>
      </c>
      <c r="E90" s="192">
        <v>0</v>
      </c>
      <c r="G90" s="191">
        <v>37012</v>
      </c>
      <c r="H90">
        <v>249.27</v>
      </c>
      <c r="I90">
        <v>415.49</v>
      </c>
      <c r="J90">
        <v>282.52</v>
      </c>
    </row>
    <row r="91" spans="1:10" x14ac:dyDescent="0.15">
      <c r="A91" s="191">
        <v>37043</v>
      </c>
      <c r="B91" s="206">
        <v>180</v>
      </c>
      <c r="C91" s="192">
        <v>398.48</v>
      </c>
      <c r="D91" s="206">
        <v>9.58</v>
      </c>
      <c r="E91" s="192">
        <v>0</v>
      </c>
      <c r="G91" s="191">
        <v>37043</v>
      </c>
      <c r="H91">
        <v>297.14</v>
      </c>
      <c r="I91">
        <v>495.28</v>
      </c>
      <c r="J91">
        <v>336.78</v>
      </c>
    </row>
    <row r="92" spans="1:10" x14ac:dyDescent="0.15">
      <c r="A92" s="191">
        <v>37073</v>
      </c>
      <c r="B92" s="206">
        <v>180</v>
      </c>
      <c r="C92" s="192">
        <v>429</v>
      </c>
      <c r="D92" s="206">
        <v>10.23</v>
      </c>
      <c r="E92" s="192">
        <v>0</v>
      </c>
      <c r="G92" s="191">
        <v>37073</v>
      </c>
      <c r="H92">
        <v>297.14</v>
      </c>
      <c r="I92">
        <v>495.28</v>
      </c>
      <c r="J92">
        <v>336.78</v>
      </c>
    </row>
    <row r="93" spans="1:10" x14ac:dyDescent="0.15">
      <c r="A93" s="191">
        <v>37104</v>
      </c>
      <c r="B93" s="206">
        <v>180</v>
      </c>
      <c r="C93" s="192">
        <v>429</v>
      </c>
      <c r="D93" s="206">
        <v>10.23</v>
      </c>
      <c r="E93" s="192">
        <v>0</v>
      </c>
      <c r="G93" s="191">
        <v>37104</v>
      </c>
      <c r="H93">
        <v>297.14</v>
      </c>
      <c r="I93">
        <v>495.28</v>
      </c>
      <c r="J93">
        <v>336.78</v>
      </c>
    </row>
    <row r="94" spans="1:10" x14ac:dyDescent="0.15">
      <c r="A94" s="205">
        <v>37135</v>
      </c>
      <c r="B94" s="206">
        <v>180</v>
      </c>
      <c r="C94" s="192">
        <v>429</v>
      </c>
      <c r="D94" s="206">
        <v>10.23</v>
      </c>
      <c r="E94" s="192">
        <v>0</v>
      </c>
      <c r="G94" s="205">
        <v>37135</v>
      </c>
      <c r="H94">
        <v>297.14</v>
      </c>
      <c r="I94">
        <v>495.28</v>
      </c>
      <c r="J94">
        <v>336.78</v>
      </c>
    </row>
    <row r="95" spans="1:10" x14ac:dyDescent="0.15">
      <c r="A95" s="205">
        <v>37165</v>
      </c>
      <c r="B95" s="206">
        <v>180</v>
      </c>
      <c r="C95" s="192">
        <v>429</v>
      </c>
      <c r="D95" s="206">
        <v>10.23</v>
      </c>
      <c r="E95" s="192">
        <v>0</v>
      </c>
      <c r="G95" s="205">
        <v>37165</v>
      </c>
      <c r="H95">
        <v>297.14</v>
      </c>
      <c r="I95">
        <v>495.28</v>
      </c>
      <c r="J95">
        <v>336.78</v>
      </c>
    </row>
    <row r="96" spans="1:10" x14ac:dyDescent="0.15">
      <c r="A96" s="205">
        <v>37196</v>
      </c>
      <c r="B96" s="206">
        <v>180</v>
      </c>
      <c r="C96" s="192">
        <v>429</v>
      </c>
      <c r="D96" s="206">
        <v>10.23</v>
      </c>
      <c r="E96" s="192">
        <v>0</v>
      </c>
      <c r="G96" s="205">
        <v>37196</v>
      </c>
      <c r="H96">
        <v>297.14</v>
      </c>
      <c r="I96">
        <v>495.28</v>
      </c>
      <c r="J96">
        <v>336.78</v>
      </c>
    </row>
    <row r="97" spans="1:10" x14ac:dyDescent="0.15">
      <c r="A97" s="205">
        <v>37226</v>
      </c>
      <c r="B97" s="206">
        <v>180</v>
      </c>
      <c r="C97" s="192">
        <v>429</v>
      </c>
      <c r="D97" s="206">
        <v>10.23</v>
      </c>
      <c r="E97" s="192">
        <v>0</v>
      </c>
      <c r="G97" s="205">
        <v>37226</v>
      </c>
      <c r="H97">
        <v>297.14</v>
      </c>
      <c r="I97">
        <v>495.28</v>
      </c>
      <c r="J97">
        <v>336.78</v>
      </c>
    </row>
    <row r="98" spans="1:10" x14ac:dyDescent="0.15">
      <c r="A98" s="205">
        <v>37257</v>
      </c>
      <c r="B98" s="206">
        <v>180</v>
      </c>
      <c r="C98" s="192">
        <v>429</v>
      </c>
      <c r="D98" s="206">
        <v>10.23</v>
      </c>
      <c r="E98" s="192">
        <v>0</v>
      </c>
      <c r="G98" s="205">
        <v>37257</v>
      </c>
      <c r="H98">
        <v>297.14</v>
      </c>
      <c r="I98">
        <v>495.28</v>
      </c>
      <c r="J98">
        <v>336.78</v>
      </c>
    </row>
    <row r="99" spans="1:10" x14ac:dyDescent="0.15">
      <c r="A99" s="205">
        <v>37288</v>
      </c>
      <c r="B99" s="206">
        <v>180</v>
      </c>
      <c r="C99" s="192">
        <v>429</v>
      </c>
      <c r="D99" s="206">
        <v>10.23</v>
      </c>
      <c r="E99" s="192">
        <v>0</v>
      </c>
      <c r="G99" s="205">
        <v>37288</v>
      </c>
      <c r="H99">
        <v>297.14</v>
      </c>
      <c r="I99">
        <v>495.28</v>
      </c>
      <c r="J99">
        <v>336.78</v>
      </c>
    </row>
    <row r="100" spans="1:10" x14ac:dyDescent="0.15">
      <c r="A100" s="205">
        <v>37316</v>
      </c>
      <c r="B100" s="206">
        <v>180</v>
      </c>
      <c r="C100" s="192">
        <v>429</v>
      </c>
      <c r="D100" s="206">
        <v>10.23</v>
      </c>
      <c r="E100" s="192">
        <v>0</v>
      </c>
      <c r="G100" s="205">
        <v>37316</v>
      </c>
      <c r="H100">
        <v>297.14</v>
      </c>
      <c r="I100">
        <v>495.28</v>
      </c>
      <c r="J100">
        <v>336.78</v>
      </c>
    </row>
    <row r="101" spans="1:10" x14ac:dyDescent="0.15">
      <c r="A101" s="205">
        <v>37347</v>
      </c>
      <c r="B101" s="207">
        <v>200</v>
      </c>
      <c r="C101" s="192">
        <v>429</v>
      </c>
      <c r="D101" s="206">
        <v>10.23</v>
      </c>
      <c r="E101" s="192">
        <v>0</v>
      </c>
      <c r="G101" s="205">
        <v>37347</v>
      </c>
      <c r="H101">
        <v>297.14</v>
      </c>
      <c r="I101">
        <v>495.28</v>
      </c>
      <c r="J101">
        <v>336.78</v>
      </c>
    </row>
    <row r="102" spans="1:10" x14ac:dyDescent="0.15">
      <c r="A102" s="205">
        <v>37377</v>
      </c>
      <c r="B102" s="207">
        <v>200</v>
      </c>
      <c r="C102" s="192">
        <v>429</v>
      </c>
      <c r="D102" s="207">
        <v>10.23</v>
      </c>
      <c r="E102" s="192">
        <v>0</v>
      </c>
      <c r="G102" s="205">
        <v>37377</v>
      </c>
      <c r="H102" s="202">
        <v>330.15</v>
      </c>
      <c r="I102" s="202">
        <v>550.30999999999995</v>
      </c>
      <c r="J102" s="202">
        <v>374.2</v>
      </c>
    </row>
    <row r="103" spans="1:10" x14ac:dyDescent="0.15">
      <c r="A103" s="205">
        <v>37408</v>
      </c>
      <c r="B103" s="207">
        <v>200</v>
      </c>
      <c r="C103" s="202">
        <v>468.47</v>
      </c>
      <c r="D103" s="207">
        <v>10.31</v>
      </c>
      <c r="E103" s="192">
        <v>0</v>
      </c>
      <c r="G103" s="205">
        <v>37408</v>
      </c>
      <c r="H103" s="202">
        <v>330.15</v>
      </c>
      <c r="I103" s="202">
        <v>550.30999999999995</v>
      </c>
      <c r="J103" s="202">
        <v>374.2</v>
      </c>
    </row>
    <row r="104" spans="1:10" x14ac:dyDescent="0.15">
      <c r="A104" s="205">
        <v>37438</v>
      </c>
      <c r="B104" s="207">
        <v>200</v>
      </c>
      <c r="C104" s="202">
        <v>468.47</v>
      </c>
      <c r="D104" s="207">
        <v>10.31</v>
      </c>
      <c r="E104" s="192">
        <v>0</v>
      </c>
      <c r="G104" s="205">
        <v>37438</v>
      </c>
      <c r="H104" s="202">
        <v>330.15</v>
      </c>
      <c r="I104" s="202">
        <v>550.30999999999995</v>
      </c>
      <c r="J104" s="202">
        <v>374.2</v>
      </c>
    </row>
    <row r="105" spans="1:10" x14ac:dyDescent="0.15">
      <c r="A105" s="205">
        <v>37469</v>
      </c>
      <c r="B105" s="207">
        <v>200</v>
      </c>
      <c r="C105" s="202">
        <v>468.47</v>
      </c>
      <c r="D105" s="207">
        <v>10.31</v>
      </c>
      <c r="E105" s="192">
        <v>0</v>
      </c>
      <c r="G105" s="205">
        <v>37469</v>
      </c>
      <c r="H105" s="202">
        <v>330.15</v>
      </c>
      <c r="I105" s="202">
        <v>550.30999999999995</v>
      </c>
      <c r="J105" s="202">
        <v>374.2</v>
      </c>
    </row>
    <row r="106" spans="1:10" x14ac:dyDescent="0.15">
      <c r="A106" s="205">
        <v>37500</v>
      </c>
      <c r="B106" s="207">
        <v>200</v>
      </c>
      <c r="C106" s="202">
        <v>468.47</v>
      </c>
      <c r="D106" s="207">
        <v>10.31</v>
      </c>
      <c r="E106" s="192">
        <v>0</v>
      </c>
      <c r="G106" s="205">
        <v>37500</v>
      </c>
      <c r="H106" s="202">
        <v>330.15</v>
      </c>
      <c r="I106" s="202">
        <v>550.30999999999995</v>
      </c>
      <c r="J106" s="202">
        <v>374.2</v>
      </c>
    </row>
    <row r="107" spans="1:10" x14ac:dyDescent="0.15">
      <c r="A107" s="205">
        <v>37530</v>
      </c>
      <c r="B107" s="207">
        <v>200</v>
      </c>
      <c r="C107" s="202">
        <v>468.47</v>
      </c>
      <c r="D107" s="207">
        <v>10.31</v>
      </c>
      <c r="E107" s="192">
        <v>0</v>
      </c>
      <c r="G107" s="205">
        <v>37530</v>
      </c>
      <c r="H107" s="202">
        <v>330.15</v>
      </c>
      <c r="I107" s="202">
        <v>550.30999999999995</v>
      </c>
      <c r="J107" s="202">
        <v>374.2</v>
      </c>
    </row>
    <row r="108" spans="1:10" x14ac:dyDescent="0.15">
      <c r="A108" s="205">
        <v>37561</v>
      </c>
      <c r="B108" s="207">
        <v>200</v>
      </c>
      <c r="C108" s="202">
        <v>468.47</v>
      </c>
      <c r="D108" s="207">
        <v>10.31</v>
      </c>
      <c r="E108" s="192">
        <v>0</v>
      </c>
      <c r="G108" s="205">
        <v>37561</v>
      </c>
      <c r="H108" s="202">
        <v>330.15</v>
      </c>
      <c r="I108" s="202">
        <v>550.30999999999995</v>
      </c>
      <c r="J108" s="202">
        <v>374.2</v>
      </c>
    </row>
    <row r="109" spans="1:10" x14ac:dyDescent="0.15">
      <c r="A109" s="205">
        <v>37591</v>
      </c>
      <c r="B109" s="207">
        <v>200</v>
      </c>
      <c r="C109" s="202">
        <v>468.47</v>
      </c>
      <c r="D109" s="207">
        <v>10.31</v>
      </c>
      <c r="E109" s="192">
        <v>0</v>
      </c>
      <c r="G109" s="205">
        <v>37591</v>
      </c>
      <c r="H109" s="202">
        <v>330.15</v>
      </c>
      <c r="I109" s="202">
        <v>550.30999999999995</v>
      </c>
      <c r="J109" s="202">
        <v>374.2</v>
      </c>
    </row>
    <row r="110" spans="1:10" x14ac:dyDescent="0.15">
      <c r="A110" s="205">
        <v>37622</v>
      </c>
      <c r="B110" s="207">
        <v>200</v>
      </c>
      <c r="C110" s="202">
        <v>468.47</v>
      </c>
      <c r="D110" s="207">
        <v>10.31</v>
      </c>
      <c r="E110" s="192">
        <v>0</v>
      </c>
      <c r="G110" s="205">
        <v>37622</v>
      </c>
      <c r="H110" s="202">
        <v>330.15</v>
      </c>
      <c r="I110" s="202">
        <v>550.30999999999995</v>
      </c>
      <c r="J110" s="202">
        <v>374.2</v>
      </c>
    </row>
    <row r="111" spans="1:10" x14ac:dyDescent="0.15">
      <c r="A111" s="205">
        <v>37653</v>
      </c>
      <c r="B111" s="207">
        <v>200</v>
      </c>
      <c r="C111" s="202">
        <v>468.47</v>
      </c>
      <c r="D111" s="207">
        <v>10.31</v>
      </c>
      <c r="E111" s="192">
        <v>0</v>
      </c>
      <c r="G111" s="205">
        <v>37653</v>
      </c>
      <c r="H111" s="202">
        <v>330.15</v>
      </c>
      <c r="I111" s="202">
        <v>550.30999999999995</v>
      </c>
      <c r="J111" s="202">
        <v>374.2</v>
      </c>
    </row>
    <row r="112" spans="1:10" x14ac:dyDescent="0.15">
      <c r="A112" s="205">
        <v>37681</v>
      </c>
      <c r="B112" s="207">
        <v>200</v>
      </c>
      <c r="C112" s="202">
        <v>468.47</v>
      </c>
      <c r="D112" s="207">
        <v>10.31</v>
      </c>
      <c r="E112" s="192">
        <v>0</v>
      </c>
      <c r="G112" s="205">
        <v>37681</v>
      </c>
      <c r="H112" s="202">
        <v>330.15</v>
      </c>
      <c r="I112" s="202">
        <v>550.30999999999995</v>
      </c>
      <c r="J112" s="202">
        <v>374.2</v>
      </c>
    </row>
    <row r="113" spans="1:10" x14ac:dyDescent="0.15">
      <c r="A113" s="205">
        <v>37712</v>
      </c>
      <c r="B113" s="207">
        <v>240</v>
      </c>
      <c r="C113" s="202">
        <v>468.47</v>
      </c>
      <c r="D113" s="207">
        <v>10.31</v>
      </c>
      <c r="E113" s="192">
        <v>0</v>
      </c>
      <c r="G113" s="205">
        <v>37712</v>
      </c>
      <c r="H113" s="202">
        <v>330.15</v>
      </c>
      <c r="I113" s="202">
        <v>550.30999999999995</v>
      </c>
      <c r="J113" s="202">
        <v>374.2</v>
      </c>
    </row>
    <row r="114" spans="1:10" x14ac:dyDescent="0.15">
      <c r="A114" s="205">
        <v>37742</v>
      </c>
      <c r="B114" s="207">
        <v>240</v>
      </c>
      <c r="C114" s="202">
        <v>468.47</v>
      </c>
      <c r="D114" s="207">
        <v>11.26</v>
      </c>
      <c r="E114" s="192">
        <v>0</v>
      </c>
      <c r="G114" s="205">
        <v>37742</v>
      </c>
      <c r="H114" s="202">
        <v>396.18</v>
      </c>
      <c r="I114" s="202">
        <v>660.37</v>
      </c>
      <c r="J114" s="202">
        <v>449.04</v>
      </c>
    </row>
    <row r="115" spans="1:10" x14ac:dyDescent="0.15">
      <c r="A115" s="205">
        <v>37773</v>
      </c>
      <c r="B115" s="207">
        <v>240</v>
      </c>
      <c r="C115" s="202">
        <v>560.80999999999995</v>
      </c>
      <c r="D115" s="207">
        <v>13.48</v>
      </c>
      <c r="E115" s="192">
        <v>0</v>
      </c>
      <c r="G115" s="205">
        <v>37773</v>
      </c>
      <c r="H115" s="202">
        <v>396.18</v>
      </c>
      <c r="I115" s="202">
        <v>660.37</v>
      </c>
      <c r="J115" s="202">
        <v>449.04</v>
      </c>
    </row>
    <row r="116" spans="1:10" x14ac:dyDescent="0.15">
      <c r="A116" s="205">
        <v>37803</v>
      </c>
      <c r="B116" s="207">
        <v>240</v>
      </c>
      <c r="C116" s="202">
        <v>560.80999999999995</v>
      </c>
      <c r="D116" s="207">
        <v>13.48</v>
      </c>
      <c r="E116" s="192">
        <v>0</v>
      </c>
      <c r="G116" s="205">
        <v>37803</v>
      </c>
      <c r="H116" s="202">
        <v>396.18</v>
      </c>
      <c r="I116" s="202">
        <v>660.37</v>
      </c>
      <c r="J116" s="202">
        <v>449.04</v>
      </c>
    </row>
    <row r="117" spans="1:10" x14ac:dyDescent="0.15">
      <c r="A117" s="205">
        <v>37834</v>
      </c>
      <c r="B117" s="207">
        <v>240</v>
      </c>
      <c r="C117" s="202">
        <v>560.80999999999995</v>
      </c>
      <c r="D117" s="207">
        <v>13.48</v>
      </c>
      <c r="E117" s="192">
        <v>0</v>
      </c>
      <c r="G117" s="205">
        <v>37834</v>
      </c>
      <c r="H117" s="202">
        <v>396.18</v>
      </c>
      <c r="I117" s="202">
        <v>660.37</v>
      </c>
      <c r="J117" s="202">
        <v>449.04</v>
      </c>
    </row>
    <row r="118" spans="1:10" x14ac:dyDescent="0.15">
      <c r="A118" s="205">
        <v>37865</v>
      </c>
      <c r="B118" s="207">
        <v>240</v>
      </c>
      <c r="C118" s="202">
        <v>560.80999999999995</v>
      </c>
      <c r="D118" s="207">
        <v>13.48</v>
      </c>
      <c r="E118" s="192">
        <v>0</v>
      </c>
      <c r="G118" s="205">
        <v>37865</v>
      </c>
      <c r="H118" s="202">
        <v>396.18</v>
      </c>
      <c r="I118" s="202">
        <v>660.37</v>
      </c>
      <c r="J118" s="202">
        <v>449.04</v>
      </c>
    </row>
    <row r="119" spans="1:10" x14ac:dyDescent="0.15">
      <c r="A119" s="205">
        <v>37895</v>
      </c>
      <c r="B119" s="207">
        <v>240</v>
      </c>
      <c r="C119" s="202">
        <v>560.80999999999995</v>
      </c>
      <c r="D119" s="207">
        <v>13.48</v>
      </c>
      <c r="E119" s="192">
        <v>0</v>
      </c>
      <c r="G119" s="205">
        <v>37895</v>
      </c>
      <c r="H119" s="202">
        <v>396.18</v>
      </c>
      <c r="I119" s="202">
        <v>660.37</v>
      </c>
      <c r="J119" s="202">
        <v>449.04</v>
      </c>
    </row>
    <row r="120" spans="1:10" x14ac:dyDescent="0.15">
      <c r="A120" s="205">
        <v>37926</v>
      </c>
      <c r="B120" s="207">
        <v>240</v>
      </c>
      <c r="C120" s="202">
        <v>560.80999999999995</v>
      </c>
      <c r="D120" s="207">
        <v>13.48</v>
      </c>
      <c r="E120" s="192">
        <v>0</v>
      </c>
      <c r="G120" s="205">
        <v>37926</v>
      </c>
      <c r="H120" s="202">
        <v>396.18</v>
      </c>
      <c r="I120" s="202">
        <v>660.37</v>
      </c>
      <c r="J120" s="202">
        <v>449.04</v>
      </c>
    </row>
    <row r="121" spans="1:10" x14ac:dyDescent="0.15">
      <c r="A121" s="205">
        <v>37956</v>
      </c>
      <c r="B121" s="207">
        <v>240</v>
      </c>
      <c r="C121" s="202">
        <v>560.80999999999995</v>
      </c>
      <c r="D121" s="207">
        <v>13.48</v>
      </c>
      <c r="E121" s="192">
        <v>0</v>
      </c>
      <c r="G121" s="205">
        <v>37956</v>
      </c>
      <c r="H121" s="202">
        <v>396.18</v>
      </c>
      <c r="I121" s="202">
        <v>660.37</v>
      </c>
      <c r="J121" s="202">
        <v>449.04</v>
      </c>
    </row>
    <row r="122" spans="1:10" x14ac:dyDescent="0.15">
      <c r="A122" s="205">
        <v>37987</v>
      </c>
      <c r="B122" s="207">
        <v>240</v>
      </c>
      <c r="C122" s="202">
        <v>560.80999999999995</v>
      </c>
      <c r="D122" s="207">
        <v>13.48</v>
      </c>
      <c r="E122" s="192">
        <v>0</v>
      </c>
      <c r="G122" s="205">
        <v>37987</v>
      </c>
      <c r="H122" s="202">
        <v>396.18</v>
      </c>
      <c r="I122" s="202">
        <v>660.37</v>
      </c>
      <c r="J122" s="202">
        <v>449.04</v>
      </c>
    </row>
    <row r="123" spans="1:10" x14ac:dyDescent="0.15">
      <c r="A123" s="205">
        <v>38018</v>
      </c>
      <c r="B123" s="207">
        <v>240</v>
      </c>
      <c r="C123" s="202">
        <v>560.80999999999995</v>
      </c>
      <c r="D123" s="207">
        <v>13.48</v>
      </c>
      <c r="E123" s="192">
        <v>0</v>
      </c>
      <c r="G123" s="205">
        <v>38018</v>
      </c>
      <c r="H123" s="202">
        <v>396.18</v>
      </c>
      <c r="I123" s="202">
        <v>660.37</v>
      </c>
      <c r="J123" s="202">
        <v>449.04</v>
      </c>
    </row>
    <row r="124" spans="1:10" x14ac:dyDescent="0.15">
      <c r="A124" s="205">
        <v>38047</v>
      </c>
      <c r="B124" s="207">
        <v>240</v>
      </c>
      <c r="C124" s="202">
        <v>560.80999999999995</v>
      </c>
      <c r="D124" s="207">
        <v>13.48</v>
      </c>
      <c r="E124" s="192">
        <v>0</v>
      </c>
      <c r="G124" s="205">
        <v>38047</v>
      </c>
      <c r="H124" s="202">
        <v>396.18</v>
      </c>
      <c r="I124" s="202">
        <v>660.37</v>
      </c>
      <c r="J124" s="202">
        <v>449.04</v>
      </c>
    </row>
    <row r="125" spans="1:10" x14ac:dyDescent="0.15">
      <c r="A125" s="205">
        <v>38078</v>
      </c>
      <c r="B125" s="207">
        <v>240</v>
      </c>
      <c r="C125" s="202">
        <v>560.80999999999995</v>
      </c>
      <c r="D125" s="207">
        <v>13.48</v>
      </c>
      <c r="E125" s="192">
        <v>0</v>
      </c>
      <c r="G125" s="205">
        <v>38078</v>
      </c>
      <c r="H125" s="202">
        <v>396.18</v>
      </c>
      <c r="I125" s="202">
        <v>660.37</v>
      </c>
      <c r="J125" s="202">
        <v>449.04</v>
      </c>
    </row>
    <row r="126" spans="1:10" x14ac:dyDescent="0.15">
      <c r="A126" s="205">
        <v>38108</v>
      </c>
      <c r="B126" s="207">
        <v>260</v>
      </c>
      <c r="C126" s="202">
        <v>586.19000000000005</v>
      </c>
      <c r="D126" s="207">
        <v>20</v>
      </c>
      <c r="E126" s="202">
        <v>14.09</v>
      </c>
      <c r="G126" s="205">
        <v>38108</v>
      </c>
      <c r="H126" s="202">
        <v>429.2</v>
      </c>
      <c r="I126" s="202">
        <v>715.4</v>
      </c>
      <c r="J126" s="202">
        <v>486.46</v>
      </c>
    </row>
    <row r="127" spans="1:10" x14ac:dyDescent="0.15">
      <c r="A127" s="205">
        <v>38139</v>
      </c>
      <c r="B127" s="207">
        <v>260</v>
      </c>
      <c r="C127" s="202">
        <v>586.19000000000005</v>
      </c>
      <c r="D127" s="207">
        <v>20</v>
      </c>
      <c r="E127" s="202">
        <v>14.09</v>
      </c>
      <c r="G127" s="205">
        <v>38139</v>
      </c>
      <c r="H127" s="202">
        <v>429.2</v>
      </c>
      <c r="I127" s="202">
        <v>715.4</v>
      </c>
      <c r="J127" s="202">
        <v>486.46</v>
      </c>
    </row>
    <row r="128" spans="1:10" x14ac:dyDescent="0.15">
      <c r="A128" s="205">
        <v>38169</v>
      </c>
      <c r="B128" s="207">
        <v>260</v>
      </c>
      <c r="C128" s="202">
        <v>586.19000000000005</v>
      </c>
      <c r="D128" s="207">
        <v>20</v>
      </c>
      <c r="E128" s="202">
        <v>14.09</v>
      </c>
      <c r="G128" s="205">
        <v>38169</v>
      </c>
      <c r="H128" s="202">
        <v>429.2</v>
      </c>
      <c r="I128" s="202">
        <v>715.4</v>
      </c>
      <c r="J128" s="202">
        <v>486.46</v>
      </c>
    </row>
    <row r="129" spans="1:10" x14ac:dyDescent="0.15">
      <c r="A129" s="205">
        <v>38200</v>
      </c>
      <c r="B129" s="207">
        <v>260</v>
      </c>
      <c r="C129" s="202">
        <v>586.19000000000005</v>
      </c>
      <c r="D129" s="207">
        <v>20</v>
      </c>
      <c r="E129" s="202">
        <v>14.09</v>
      </c>
      <c r="G129" s="205">
        <v>38200</v>
      </c>
      <c r="H129" s="202">
        <v>429.2</v>
      </c>
      <c r="I129" s="202">
        <v>715.4</v>
      </c>
      <c r="J129" s="202">
        <v>486.46</v>
      </c>
    </row>
    <row r="130" spans="1:10" x14ac:dyDescent="0.15">
      <c r="A130" s="205">
        <v>38231</v>
      </c>
      <c r="B130" s="207">
        <v>260</v>
      </c>
      <c r="C130" s="202">
        <v>586.19000000000005</v>
      </c>
      <c r="D130" s="207">
        <v>20</v>
      </c>
      <c r="E130" s="202">
        <v>14.09</v>
      </c>
      <c r="G130" s="205">
        <v>38231</v>
      </c>
      <c r="H130" s="202">
        <v>429.2</v>
      </c>
      <c r="I130" s="202">
        <v>715.4</v>
      </c>
      <c r="J130" s="202">
        <v>486.46</v>
      </c>
    </row>
    <row r="131" spans="1:10" x14ac:dyDescent="0.15">
      <c r="A131" s="205">
        <v>38261</v>
      </c>
      <c r="B131" s="207">
        <v>260</v>
      </c>
      <c r="C131" s="202">
        <v>586.19000000000005</v>
      </c>
      <c r="D131" s="207">
        <v>20</v>
      </c>
      <c r="E131" s="202">
        <v>14.09</v>
      </c>
      <c r="G131" s="205">
        <v>38261</v>
      </c>
      <c r="H131" s="202">
        <v>429.2</v>
      </c>
      <c r="I131" s="202">
        <v>715.4</v>
      </c>
      <c r="J131" s="202">
        <v>486.46</v>
      </c>
    </row>
    <row r="132" spans="1:10" x14ac:dyDescent="0.15">
      <c r="A132" s="205">
        <v>38292</v>
      </c>
      <c r="B132" s="207">
        <v>260</v>
      </c>
      <c r="C132" s="202">
        <v>586.19000000000005</v>
      </c>
      <c r="D132" s="207">
        <v>20</v>
      </c>
      <c r="E132" s="202">
        <v>14.09</v>
      </c>
      <c r="G132" s="205">
        <v>38292</v>
      </c>
      <c r="H132" s="202">
        <v>429.2</v>
      </c>
      <c r="I132" s="202">
        <v>715.4</v>
      </c>
      <c r="J132" s="202">
        <v>486.46</v>
      </c>
    </row>
    <row r="133" spans="1:10" x14ac:dyDescent="0.15">
      <c r="A133" s="205">
        <v>38322</v>
      </c>
      <c r="B133" s="207">
        <v>260</v>
      </c>
      <c r="C133" s="202">
        <v>586.19000000000005</v>
      </c>
      <c r="D133" s="207">
        <v>20</v>
      </c>
      <c r="E133" s="202">
        <v>14.09</v>
      </c>
      <c r="G133" s="205">
        <v>38322</v>
      </c>
      <c r="H133" s="202">
        <v>429.2</v>
      </c>
      <c r="I133" s="202">
        <v>715.4</v>
      </c>
      <c r="J133" s="202">
        <v>486.46</v>
      </c>
    </row>
    <row r="134" spans="1:10" x14ac:dyDescent="0.15">
      <c r="A134" s="205">
        <v>38353</v>
      </c>
      <c r="B134" s="207">
        <v>260</v>
      </c>
      <c r="C134" s="202">
        <v>586.19000000000005</v>
      </c>
      <c r="D134" s="207">
        <v>20</v>
      </c>
      <c r="E134" s="202">
        <v>14.09</v>
      </c>
      <c r="G134" s="205">
        <v>38353</v>
      </c>
      <c r="H134" s="202">
        <v>429.2</v>
      </c>
      <c r="I134" s="202">
        <v>715.4</v>
      </c>
      <c r="J134" s="202">
        <v>486.46</v>
      </c>
    </row>
  </sheetData>
  <phoneticPr fontId="0" type="noConversion"/>
  <pageMargins left="0.75" right="0.75" top="1" bottom="1" header="0.49212598499999999" footer="0.49212598499999999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RESCISÓRIAS</vt:lpstr>
      <vt:lpstr>INDICES</vt:lpstr>
      <vt:lpstr>DADOS</vt:lpstr>
      <vt:lpstr>RESCISÓRIAS!Area_de_impressao</vt:lpstr>
    </vt:vector>
  </TitlesOfParts>
  <Company>TRT05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Cálculo de Mar/99</dc:title>
  <dc:creator>SPI</dc:creator>
  <cp:lastModifiedBy>X</cp:lastModifiedBy>
  <cp:lastPrinted>2000-06-01T15:13:20Z</cp:lastPrinted>
  <dcterms:created xsi:type="dcterms:W3CDTF">1999-04-08T13:42:31Z</dcterms:created>
  <dcterms:modified xsi:type="dcterms:W3CDTF">2018-02-09T18:05:55Z</dcterms:modified>
</cp:coreProperties>
</file>