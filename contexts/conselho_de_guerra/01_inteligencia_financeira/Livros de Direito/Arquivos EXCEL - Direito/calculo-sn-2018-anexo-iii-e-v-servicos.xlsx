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100\Documents\1.Contabilidade Geral\1.Empresas Clientes\1.Contare\0.Controle Contare\Planilhas Simples Nacional\"/>
    </mc:Choice>
  </mc:AlternateContent>
  <bookViews>
    <workbookView xWindow="0" yWindow="0" windowWidth="20490" windowHeight="7620" tabRatio="787" activeTab="1"/>
  </bookViews>
  <sheets>
    <sheet name="Orientações" sheetId="108" r:id="rId1"/>
    <sheet name="Anexo III ou V" sheetId="109" r:id="rId2"/>
  </sheets>
  <definedNames>
    <definedName name="Anexo3" localSheetId="1">#REF!</definedName>
    <definedName name="Anexo3">#REF!</definedName>
    <definedName name="Anexo5" localSheetId="1">#REF!</definedName>
    <definedName name="Anexo5">#REF!</definedName>
    <definedName name="Anexos" localSheetId="1">#REF!</definedName>
    <definedName name="Anexos">#REF!</definedName>
  </definedNames>
  <calcPr calcId="162913"/>
</workbook>
</file>

<file path=xl/calcChain.xml><?xml version="1.0" encoding="utf-8"?>
<calcChain xmlns="http://schemas.openxmlformats.org/spreadsheetml/2006/main">
  <c r="D48" i="109" l="1"/>
  <c r="C35" i="109"/>
  <c r="B35" i="109"/>
  <c r="C34" i="109"/>
  <c r="B34" i="109"/>
  <c r="C33" i="109"/>
  <c r="B33" i="109"/>
  <c r="C32" i="109"/>
  <c r="B32" i="109"/>
  <c r="C31" i="109"/>
  <c r="B31" i="109"/>
  <c r="C30" i="109"/>
  <c r="B30" i="109"/>
  <c r="C29" i="109"/>
  <c r="B29" i="109"/>
  <c r="C28" i="109"/>
  <c r="B28" i="109"/>
  <c r="C27" i="109"/>
  <c r="B27" i="109"/>
  <c r="C26" i="109"/>
  <c r="B26" i="109"/>
  <c r="C25" i="109"/>
  <c r="B25" i="109"/>
  <c r="C24" i="109"/>
  <c r="B24" i="109"/>
  <c r="G20" i="109"/>
  <c r="G19" i="109"/>
  <c r="G18" i="109"/>
  <c r="D17" i="109"/>
  <c r="G17" i="109"/>
  <c r="G16" i="109"/>
  <c r="D37" i="109" l="1"/>
  <c r="D36" i="109"/>
  <c r="D38" i="109" s="1"/>
  <c r="D39" i="109" s="1"/>
  <c r="D16" i="109" l="1"/>
  <c r="D18" i="109" s="1"/>
  <c r="D19" i="109" s="1"/>
  <c r="D41" i="109" s="1"/>
  <c r="I23" i="109"/>
  <c r="F11" i="109"/>
  <c r="F45" i="109"/>
  <c r="F39" i="109"/>
  <c r="D42" i="109"/>
  <c r="D43" i="109" l="1"/>
  <c r="Q24" i="109" s="1"/>
  <c r="O24" i="109" l="1"/>
  <c r="N24" i="109"/>
  <c r="I24" i="109"/>
  <c r="I25" i="109" s="1"/>
  <c r="I26" i="109"/>
  <c r="P24" i="109"/>
  <c r="R24" i="109"/>
  <c r="M24" i="109"/>
  <c r="I27" i="109" l="1"/>
  <c r="I28" i="109" s="1"/>
  <c r="H31" i="109" s="1"/>
  <c r="S24" i="109"/>
  <c r="I31" i="109" l="1"/>
  <c r="S25" i="109"/>
  <c r="R25" i="109"/>
  <c r="O26" i="109" s="1"/>
  <c r="O25" i="109"/>
  <c r="Q25" i="109"/>
  <c r="M25" i="109"/>
  <c r="N25" i="109"/>
  <c r="P25" i="109"/>
  <c r="N26" i="109" l="1"/>
  <c r="R26" i="109"/>
  <c r="R27" i="109" s="1"/>
  <c r="H32" i="109"/>
  <c r="I32" i="109" s="1"/>
  <c r="H33" i="109"/>
  <c r="I33" i="109" s="1"/>
  <c r="I34" i="109" s="1"/>
  <c r="O27" i="109"/>
  <c r="M26" i="109"/>
  <c r="M27" i="109" s="1"/>
  <c r="P26" i="109"/>
  <c r="P27" i="109" s="1"/>
  <c r="Q26" i="109"/>
  <c r="Q27" i="109" s="1"/>
  <c r="N27" i="109"/>
  <c r="S27" i="109" l="1"/>
</calcChain>
</file>

<file path=xl/comments1.xml><?xml version="1.0" encoding="utf-8"?>
<comments xmlns="http://schemas.openxmlformats.org/spreadsheetml/2006/main">
  <authors>
    <author>Adriano</author>
  </authors>
  <commentList>
    <comment ref="K26" authorId="0" shapeId="0">
      <text>
        <r>
          <rPr>
            <b/>
            <sz val="9"/>
            <color indexed="81"/>
            <rFont val="Segoe UI"/>
            <family val="2"/>
          </rPr>
          <t xml:space="preserve">Quando valor Aproximado de R$ 2.068.290,00
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<sst xmlns="http://schemas.openxmlformats.org/spreadsheetml/2006/main" count="100" uniqueCount="75">
  <si>
    <t>Alíquota</t>
  </si>
  <si>
    <t>Fator "r"</t>
  </si>
  <si>
    <t>Cálculo do Simples a pagar no mês:</t>
  </si>
  <si>
    <t>Cálculo da Alíquota Efetiva:</t>
  </si>
  <si>
    <t>IRPJ</t>
  </si>
  <si>
    <t>CSLL</t>
  </si>
  <si>
    <t>Cofins</t>
  </si>
  <si>
    <t>PIS/Pasep</t>
  </si>
  <si>
    <t>CPP</t>
  </si>
  <si>
    <t>Total</t>
  </si>
  <si>
    <t>Percentual de Repartição dos Tributos - Anexo III</t>
  </si>
  <si>
    <t>ISS</t>
  </si>
  <si>
    <t>Percentual de Repartição dos Tributos</t>
  </si>
  <si>
    <t>Mês</t>
  </si>
  <si>
    <t>Receita</t>
  </si>
  <si>
    <t>RBT ultimos 12 meses</t>
  </si>
  <si>
    <t>Receita de Enquadramento</t>
  </si>
  <si>
    <t>Aliquota Nominal</t>
  </si>
  <si>
    <t>Valor Nominal</t>
  </si>
  <si>
    <t>Valor a Deduzir</t>
  </si>
  <si>
    <t>Valor base p/ alíquota efetiva</t>
  </si>
  <si>
    <t>Aliquota Efetiva</t>
  </si>
  <si>
    <t>Quant. meses abertura</t>
  </si>
  <si>
    <t>Média mensal</t>
  </si>
  <si>
    <t>Folha Bruta 12 meses</t>
  </si>
  <si>
    <t>Receita Acum 12 meses</t>
  </si>
  <si>
    <t>Receita bruta mês a mês</t>
  </si>
  <si>
    <t>Folha Bruta ult. 12 meses</t>
  </si>
  <si>
    <t>1)</t>
  </si>
  <si>
    <t>Preencher somente os campos na cor bege, os outros estão automatizados</t>
  </si>
  <si>
    <t>2)</t>
  </si>
  <si>
    <t>Na coluna mês informar o mês do faturamento</t>
  </si>
  <si>
    <t>3)</t>
  </si>
  <si>
    <t>Na coluna 1/0 informar 1 se a empresa estava aberta e 0 se ainda ão estava aberta (ver dat do CNPJ)</t>
  </si>
  <si>
    <t>Ex:</t>
  </si>
  <si>
    <t xml:space="preserve">OBS: </t>
  </si>
  <si>
    <t>A coluna 1/0 deve estar devidamente preenchida para permitir calculo da RBT nos casos de estimativa</t>
  </si>
  <si>
    <t>isso só ocorrerá para empresas até 12 meses de abertura.</t>
  </si>
  <si>
    <t>4)</t>
  </si>
  <si>
    <t>Na coluna receita, informar a receita do mês correspondente</t>
  </si>
  <si>
    <r>
      <t>2</t>
    </r>
    <r>
      <rPr>
        <u/>
        <vertAlign val="superscript"/>
        <sz val="12"/>
        <color rgb="FF000000"/>
        <rFont val="Arial"/>
        <family val="2"/>
      </rPr>
      <t>a</t>
    </r>
    <r>
      <rPr>
        <sz val="12"/>
        <color rgb="FF000000"/>
        <rFont val="Arial"/>
        <family val="2"/>
      </rPr>
      <t> Faixa</t>
    </r>
  </si>
  <si>
    <r>
      <t>3</t>
    </r>
    <r>
      <rPr>
        <u/>
        <vertAlign val="superscript"/>
        <sz val="12"/>
        <color rgb="FF000000"/>
        <rFont val="Arial"/>
        <family val="2"/>
      </rPr>
      <t>a</t>
    </r>
    <r>
      <rPr>
        <sz val="12"/>
        <color rgb="FF000000"/>
        <rFont val="Arial"/>
        <family val="2"/>
      </rPr>
      <t> Faixa</t>
    </r>
  </si>
  <si>
    <r>
      <t>4</t>
    </r>
    <r>
      <rPr>
        <u/>
        <vertAlign val="superscript"/>
        <sz val="12"/>
        <color rgb="FF000000"/>
        <rFont val="Arial"/>
        <family val="2"/>
      </rPr>
      <t>a</t>
    </r>
    <r>
      <rPr>
        <sz val="12"/>
        <color rgb="FF000000"/>
        <rFont val="Arial"/>
        <family val="2"/>
      </rPr>
      <t> Faixa</t>
    </r>
  </si>
  <si>
    <r>
      <t>5</t>
    </r>
    <r>
      <rPr>
        <u/>
        <vertAlign val="superscript"/>
        <sz val="12"/>
        <color rgb="FF000000"/>
        <rFont val="Arial"/>
        <family val="2"/>
      </rPr>
      <t>a</t>
    </r>
    <r>
      <rPr>
        <sz val="12"/>
        <color rgb="FF000000"/>
        <rFont val="Arial"/>
        <family val="2"/>
      </rPr>
      <t> Faixa</t>
    </r>
  </si>
  <si>
    <r>
      <t>6</t>
    </r>
    <r>
      <rPr>
        <u/>
        <vertAlign val="superscript"/>
        <sz val="12"/>
        <color rgb="FF000000"/>
        <rFont val="Arial"/>
        <family val="2"/>
      </rPr>
      <t>a</t>
    </r>
    <r>
      <rPr>
        <sz val="12"/>
        <color rgb="FF000000"/>
        <rFont val="Arial"/>
        <family val="2"/>
      </rPr>
      <t> Faixa</t>
    </r>
  </si>
  <si>
    <t>Deduzir (R$)</t>
  </si>
  <si>
    <t>PIS</t>
  </si>
  <si>
    <r>
      <t>1</t>
    </r>
    <r>
      <rPr>
        <u/>
        <vertAlign val="superscript"/>
        <sz val="12"/>
        <rFont val="Arial"/>
        <family val="2"/>
      </rPr>
      <t>a</t>
    </r>
    <r>
      <rPr>
        <sz val="12"/>
        <rFont val="Arial"/>
        <family val="2"/>
      </rPr>
      <t> Faixa</t>
    </r>
  </si>
  <si>
    <r>
      <t>2</t>
    </r>
    <r>
      <rPr>
        <u/>
        <vertAlign val="superscript"/>
        <sz val="12"/>
        <rFont val="Arial"/>
        <family val="2"/>
      </rPr>
      <t>a</t>
    </r>
    <r>
      <rPr>
        <sz val="12"/>
        <rFont val="Arial"/>
        <family val="2"/>
      </rPr>
      <t> Faixa</t>
    </r>
  </si>
  <si>
    <r>
      <t>3</t>
    </r>
    <r>
      <rPr>
        <u/>
        <vertAlign val="superscript"/>
        <sz val="12"/>
        <rFont val="Arial"/>
        <family val="2"/>
      </rPr>
      <t>a</t>
    </r>
    <r>
      <rPr>
        <sz val="12"/>
        <rFont val="Arial"/>
        <family val="2"/>
      </rPr>
      <t> Faixa</t>
    </r>
  </si>
  <si>
    <r>
      <t>4</t>
    </r>
    <r>
      <rPr>
        <u/>
        <vertAlign val="superscript"/>
        <sz val="12"/>
        <rFont val="Arial"/>
        <family val="2"/>
      </rPr>
      <t>a</t>
    </r>
    <r>
      <rPr>
        <sz val="12"/>
        <rFont val="Arial"/>
        <family val="2"/>
      </rPr>
      <t> Faixa</t>
    </r>
  </si>
  <si>
    <r>
      <t>5</t>
    </r>
    <r>
      <rPr>
        <u/>
        <vertAlign val="superscript"/>
        <sz val="12"/>
        <rFont val="Arial"/>
        <family val="2"/>
      </rPr>
      <t>a</t>
    </r>
    <r>
      <rPr>
        <sz val="12"/>
        <rFont val="Arial"/>
        <family val="2"/>
      </rPr>
      <t> Faixa</t>
    </r>
  </si>
  <si>
    <r>
      <t>6</t>
    </r>
    <r>
      <rPr>
        <u/>
        <vertAlign val="superscript"/>
        <sz val="12"/>
        <rFont val="Arial"/>
        <family val="2"/>
      </rPr>
      <t>a</t>
    </r>
    <r>
      <rPr>
        <sz val="12"/>
        <rFont val="Arial"/>
        <family val="2"/>
      </rPr>
      <t> Faixa</t>
    </r>
  </si>
  <si>
    <r>
      <t>ANEXO V DA LEI COMPLEMENTAR N</t>
    </r>
    <r>
      <rPr>
        <b/>
        <u/>
        <vertAlign val="superscript"/>
        <sz val="12"/>
        <rFont val="Arial"/>
        <family val="2"/>
      </rPr>
      <t>o</t>
    </r>
    <r>
      <rPr>
        <b/>
        <sz val="12"/>
        <rFont val="Arial"/>
        <family val="2"/>
      </rPr>
      <t> 123, DE 14 DE DEZEMBRO DE 2006  </t>
    </r>
  </si>
  <si>
    <t>0/1</t>
  </si>
  <si>
    <t>Alíquotas Simples Nacional – Serviços</t>
  </si>
  <si>
    <t>RB em 12 Meses R$</t>
  </si>
  <si>
    <t>Deduzir R$</t>
  </si>
  <si>
    <t>Receita Bruta 12 Meses R$</t>
  </si>
  <si>
    <t>Simples a Recolher</t>
  </si>
  <si>
    <t>ATENÇÃO PRÓXIMO DO SUBLIMITE</t>
  </si>
  <si>
    <t>Receita do mês ISS Normal</t>
  </si>
  <si>
    <t>Receita do mês ISS Retida</t>
  </si>
  <si>
    <t>Receita do Mês ISS Isento</t>
  </si>
  <si>
    <t>Receita do Mês Total</t>
  </si>
  <si>
    <t>Aliquota ISS Normal</t>
  </si>
  <si>
    <t>Aliquota ISS Retido</t>
  </si>
  <si>
    <t>Aliquota ISS Isento</t>
  </si>
  <si>
    <t>SE ISS &gt; 5% (Anexo III)</t>
  </si>
  <si>
    <t>Se a empresa foi aberta em Julho/2017, porém soteve folha em Novembro a situação de ve ficar assim</t>
  </si>
  <si>
    <t>Folha Bruta</t>
  </si>
  <si>
    <t>Folha</t>
  </si>
  <si>
    <t>ISS &gt; 5%</t>
  </si>
  <si>
    <t>Data de Abertura</t>
  </si>
  <si>
    <r>
      <t>Senha 123              -          ANEXO III DA LEI COMPLEMENTAR N</t>
    </r>
    <r>
      <rPr>
        <b/>
        <u/>
        <vertAlign val="superscript"/>
        <sz val="12"/>
        <rFont val="Arial"/>
        <family val="2"/>
      </rPr>
      <t>o</t>
    </r>
    <r>
      <rPr>
        <b/>
        <sz val="12"/>
        <rFont val="Arial"/>
        <family val="2"/>
      </rPr>
      <t> 123, DE 14 DE DEZEMBRO DE 2006 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</si>
</sst>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000"/>
    <numFmt numFmtId="166" formatCode="0.0000%"/>
    <numFmt numFmtId="167" formatCode="0.00000%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u/>
      <vertAlign val="superscript"/>
      <sz val="12"/>
      <color rgb="FF000000"/>
      <name val="Arial"/>
      <family val="2"/>
    </font>
    <font>
      <b/>
      <u/>
      <vertAlign val="superscript"/>
      <sz val="12"/>
      <name val="Arial"/>
      <family val="2"/>
    </font>
    <font>
      <sz val="12"/>
      <name val="Arial"/>
      <family val="2"/>
    </font>
    <font>
      <u/>
      <vertAlign val="superscript"/>
      <sz val="12"/>
      <name val="Arial"/>
      <family val="2"/>
    </font>
    <font>
      <sz val="12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DF57D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3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0">
    <xf numFmtId="0" fontId="0" fillId="0" borderId="0" xfId="0"/>
    <xf numFmtId="0" fontId="6" fillId="0" borderId="0" xfId="0" applyFont="1" applyFill="1" applyAlignment="1">
      <alignment horizontal="left" vertical="center" wrapText="1"/>
    </xf>
    <xf numFmtId="0" fontId="4" fillId="0" borderId="0" xfId="0" applyFont="1" applyFill="1"/>
    <xf numFmtId="0" fontId="4" fillId="0" borderId="0" xfId="0" applyFont="1" applyFill="1" applyBorder="1" applyAlignment="1">
      <alignment vertical="center"/>
    </xf>
    <xf numFmtId="10" fontId="4" fillId="0" borderId="0" xfId="0" applyNumberFormat="1" applyFont="1" applyFill="1"/>
    <xf numFmtId="43" fontId="4" fillId="0" borderId="0" xfId="0" applyNumberFormat="1" applyFont="1" applyFill="1"/>
    <xf numFmtId="0" fontId="17" fillId="0" borderId="0" xfId="0" applyFont="1" applyFill="1"/>
    <xf numFmtId="0" fontId="5" fillId="0" borderId="0" xfId="0" applyFont="1"/>
    <xf numFmtId="43" fontId="4" fillId="0" borderId="0" xfId="4" applyFont="1"/>
    <xf numFmtId="43" fontId="4" fillId="2" borderId="27" xfId="4" applyFont="1" applyFill="1" applyBorder="1" applyProtection="1">
      <protection locked="0"/>
    </xf>
    <xf numFmtId="0" fontId="4" fillId="0" borderId="0" xfId="0" applyFont="1" applyFill="1" applyAlignment="1">
      <alignment horizontal="left"/>
    </xf>
    <xf numFmtId="0" fontId="4" fillId="0" borderId="0" xfId="0" applyFont="1" applyFill="1" applyBorder="1"/>
    <xf numFmtId="166" fontId="9" fillId="0" borderId="0" xfId="1" applyNumberFormat="1" applyFont="1" applyFill="1" applyBorder="1" applyAlignment="1"/>
    <xf numFmtId="17" fontId="4" fillId="2" borderId="1" xfId="0" applyNumberFormat="1" applyFont="1" applyFill="1" applyBorder="1" applyAlignment="1" applyProtection="1">
      <alignment horizontal="center"/>
      <protection locked="0"/>
    </xf>
    <xf numFmtId="17" fontId="4" fillId="2" borderId="27" xfId="0" applyNumberFormat="1" applyFont="1" applyFill="1" applyBorder="1" applyAlignment="1" applyProtection="1">
      <alignment horizontal="center"/>
      <protection locked="0"/>
    </xf>
    <xf numFmtId="1" fontId="4" fillId="2" borderId="27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0" fillId="0" borderId="0" xfId="0"/>
    <xf numFmtId="0" fontId="11" fillId="0" borderId="0" xfId="0" applyFont="1" applyAlignment="1">
      <alignment horizontal="center"/>
    </xf>
    <xf numFmtId="14" fontId="6" fillId="2" borderId="19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/>
    </xf>
    <xf numFmtId="43" fontId="4" fillId="2" borderId="1" xfId="4" applyFont="1" applyFill="1" applyBorder="1" applyProtection="1">
      <protection locked="0"/>
    </xf>
    <xf numFmtId="0" fontId="4" fillId="0" borderId="1" xfId="0" applyFont="1" applyFill="1" applyBorder="1"/>
    <xf numFmtId="0" fontId="2" fillId="3" borderId="29" xfId="0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43" fontId="2" fillId="3" borderId="1" xfId="4" applyFont="1" applyFill="1" applyBorder="1" applyAlignment="1">
      <alignment horizontal="center"/>
    </xf>
    <xf numFmtId="1" fontId="4" fillId="3" borderId="1" xfId="0" applyNumberFormat="1" applyFont="1" applyFill="1" applyBorder="1" applyAlignment="1">
      <alignment horizontal="center" vertical="center"/>
    </xf>
    <xf numFmtId="43" fontId="2" fillId="3" borderId="1" xfId="4" applyFont="1" applyFill="1" applyBorder="1"/>
    <xf numFmtId="43" fontId="2" fillId="3" borderId="1" xfId="0" applyNumberFormat="1" applyFont="1" applyFill="1" applyBorder="1"/>
    <xf numFmtId="0" fontId="2" fillId="3" borderId="1" xfId="0" applyFont="1" applyFill="1" applyBorder="1" applyAlignment="1">
      <alignment horizontal="center"/>
    </xf>
    <xf numFmtId="17" fontId="4" fillId="3" borderId="1" xfId="0" applyNumberFormat="1" applyFont="1" applyFill="1" applyBorder="1" applyAlignment="1">
      <alignment horizontal="center"/>
    </xf>
    <xf numFmtId="1" fontId="4" fillId="3" borderId="27" xfId="0" applyNumberFormat="1" applyFont="1" applyFill="1" applyBorder="1" applyAlignment="1">
      <alignment horizontal="center" vertical="center"/>
    </xf>
    <xf numFmtId="10" fontId="2" fillId="3" borderId="1" xfId="1" applyNumberFormat="1" applyFont="1" applyFill="1" applyBorder="1"/>
    <xf numFmtId="0" fontId="4" fillId="3" borderId="17" xfId="0" applyFont="1" applyFill="1" applyBorder="1" applyAlignment="1">
      <alignment horizontal="center"/>
    </xf>
    <xf numFmtId="0" fontId="4" fillId="3" borderId="1" xfId="0" applyFont="1" applyFill="1" applyBorder="1" applyAlignment="1"/>
    <xf numFmtId="43" fontId="2" fillId="3" borderId="18" xfId="4" applyFont="1" applyFill="1" applyBorder="1"/>
    <xf numFmtId="0" fontId="2" fillId="3" borderId="12" xfId="0" applyFont="1" applyFill="1" applyBorder="1" applyAlignment="1">
      <alignment horizontal="center"/>
    </xf>
    <xf numFmtId="43" fontId="2" fillId="3" borderId="14" xfId="4" applyFont="1" applyFill="1" applyBorder="1"/>
    <xf numFmtId="0" fontId="4" fillId="3" borderId="39" xfId="0" applyFont="1" applyFill="1" applyBorder="1" applyAlignment="1">
      <alignment horizontal="center"/>
    </xf>
    <xf numFmtId="164" fontId="8" fillId="3" borderId="34" xfId="0" applyNumberFormat="1" applyFont="1" applyFill="1" applyBorder="1"/>
    <xf numFmtId="0" fontId="4" fillId="3" borderId="15" xfId="0" applyFont="1" applyFill="1" applyBorder="1" applyAlignment="1">
      <alignment horizontal="center"/>
    </xf>
    <xf numFmtId="10" fontId="2" fillId="3" borderId="16" xfId="0" applyNumberFormat="1" applyFont="1" applyFill="1" applyBorder="1" applyAlignment="1" applyProtection="1"/>
    <xf numFmtId="0" fontId="4" fillId="3" borderId="10" xfId="0" applyFont="1" applyFill="1" applyBorder="1" applyAlignment="1">
      <alignment horizontal="center"/>
    </xf>
    <xf numFmtId="43" fontId="2" fillId="3" borderId="11" xfId="0" applyNumberFormat="1" applyFont="1" applyFill="1" applyBorder="1"/>
    <xf numFmtId="43" fontId="2" fillId="3" borderId="11" xfId="4" applyFont="1" applyFill="1" applyBorder="1" applyAlignment="1" applyProtection="1"/>
    <xf numFmtId="4" fontId="2" fillId="3" borderId="11" xfId="0" applyNumberFormat="1" applyFont="1" applyFill="1" applyBorder="1"/>
    <xf numFmtId="167" fontId="2" fillId="3" borderId="14" xfId="1" applyNumberFormat="1" applyFont="1" applyFill="1" applyBorder="1"/>
    <xf numFmtId="0" fontId="9" fillId="3" borderId="38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vertical="center" wrapText="1"/>
    </xf>
    <xf numFmtId="43" fontId="15" fillId="3" borderId="37" xfId="4" applyFont="1" applyFill="1" applyBorder="1" applyAlignment="1">
      <alignment vertical="center" wrapText="1"/>
    </xf>
    <xf numFmtId="10" fontId="15" fillId="3" borderId="9" xfId="0" applyNumberFormat="1" applyFont="1" applyFill="1" applyBorder="1" applyAlignment="1">
      <alignment horizontal="center" vertical="center" wrapText="1"/>
    </xf>
    <xf numFmtId="41" fontId="15" fillId="3" borderId="20" xfId="0" applyNumberFormat="1" applyFont="1" applyFill="1" applyBorder="1" applyAlignment="1">
      <alignment horizontal="center" vertical="center" wrapText="1"/>
    </xf>
    <xf numFmtId="10" fontId="15" fillId="3" borderId="37" xfId="0" applyNumberFormat="1" applyFont="1" applyFill="1" applyBorder="1" applyAlignment="1">
      <alignment horizontal="center" vertical="center" wrapText="1"/>
    </xf>
    <xf numFmtId="10" fontId="15" fillId="3" borderId="16" xfId="0" applyNumberFormat="1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vertical="center" wrapText="1"/>
    </xf>
    <xf numFmtId="43" fontId="15" fillId="3" borderId="1" xfId="4" applyFont="1" applyFill="1" applyBorder="1" applyAlignment="1">
      <alignment vertical="center" wrapText="1"/>
    </xf>
    <xf numFmtId="10" fontId="12" fillId="3" borderId="26" xfId="0" applyNumberFormat="1" applyFont="1" applyFill="1" applyBorder="1" applyAlignment="1">
      <alignment horizontal="center" vertical="center" wrapText="1"/>
    </xf>
    <xf numFmtId="4" fontId="12" fillId="3" borderId="21" xfId="0" applyNumberFormat="1" applyFont="1" applyFill="1" applyBorder="1" applyAlignment="1">
      <alignment horizontal="center" vertical="center" wrapText="1"/>
    </xf>
    <xf numFmtId="10" fontId="12" fillId="3" borderId="1" xfId="0" applyNumberFormat="1" applyFont="1" applyFill="1" applyBorder="1" applyAlignment="1">
      <alignment horizontal="center" vertical="center" wrapText="1"/>
    </xf>
    <xf numFmtId="10" fontId="12" fillId="3" borderId="11" xfId="0" applyNumberFormat="1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vertical="center" wrapText="1"/>
    </xf>
    <xf numFmtId="43" fontId="15" fillId="3" borderId="13" xfId="4" applyFont="1" applyFill="1" applyBorder="1" applyAlignment="1">
      <alignment vertical="center" wrapText="1"/>
    </xf>
    <xf numFmtId="10" fontId="12" fillId="3" borderId="24" xfId="0" applyNumberFormat="1" applyFont="1" applyFill="1" applyBorder="1" applyAlignment="1">
      <alignment horizontal="center" vertical="center" wrapText="1"/>
    </xf>
    <xf numFmtId="4" fontId="12" fillId="3" borderId="22" xfId="0" applyNumberFormat="1" applyFont="1" applyFill="1" applyBorder="1" applyAlignment="1">
      <alignment horizontal="center" vertical="center" wrapText="1"/>
    </xf>
    <xf numFmtId="10" fontId="12" fillId="3" borderId="13" xfId="0" applyNumberFormat="1" applyFont="1" applyFill="1" applyBorder="1" applyAlignment="1">
      <alignment horizontal="center" vertical="center" wrapText="1"/>
    </xf>
    <xf numFmtId="41" fontId="12" fillId="3" borderId="14" xfId="0" applyNumberFormat="1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vertical="center" wrapText="1"/>
    </xf>
    <xf numFmtId="41" fontId="15" fillId="3" borderId="20" xfId="4" applyNumberFormat="1" applyFont="1" applyFill="1" applyBorder="1" applyAlignment="1">
      <alignment vertical="center" wrapText="1"/>
    </xf>
    <xf numFmtId="10" fontId="15" fillId="3" borderId="20" xfId="0" applyNumberFormat="1" applyFont="1" applyFill="1" applyBorder="1" applyAlignment="1">
      <alignment horizontal="center" vertical="center" wrapText="1"/>
    </xf>
    <xf numFmtId="10" fontId="15" fillId="3" borderId="1" xfId="0" applyNumberFormat="1" applyFont="1" applyFill="1" applyBorder="1" applyAlignment="1">
      <alignment horizontal="center" vertical="center" wrapText="1"/>
    </xf>
    <xf numFmtId="10" fontId="15" fillId="3" borderId="11" xfId="0" applyNumberFormat="1" applyFont="1" applyFill="1" applyBorder="1" applyAlignment="1">
      <alignment horizontal="center" vertical="center" wrapText="1"/>
    </xf>
    <xf numFmtId="0" fontId="15" fillId="3" borderId="21" xfId="0" applyFont="1" applyFill="1" applyBorder="1" applyAlignment="1">
      <alignment vertical="center" wrapText="1"/>
    </xf>
    <xf numFmtId="43" fontId="15" fillId="3" borderId="21" xfId="4" applyFont="1" applyFill="1" applyBorder="1" applyAlignment="1">
      <alignment vertical="center" wrapText="1"/>
    </xf>
    <xf numFmtId="10" fontId="15" fillId="3" borderId="21" xfId="0" applyNumberFormat="1" applyFont="1" applyFill="1" applyBorder="1" applyAlignment="1">
      <alignment horizontal="center" vertical="center" wrapText="1"/>
    </xf>
    <xf numFmtId="4" fontId="15" fillId="3" borderId="21" xfId="0" applyNumberFormat="1" applyFont="1" applyFill="1" applyBorder="1" applyAlignment="1">
      <alignment horizontal="center" vertical="center" wrapText="1"/>
    </xf>
    <xf numFmtId="0" fontId="15" fillId="3" borderId="22" xfId="0" applyFont="1" applyFill="1" applyBorder="1" applyAlignment="1">
      <alignment vertical="center" wrapText="1"/>
    </xf>
    <xf numFmtId="43" fontId="15" fillId="3" borderId="22" xfId="4" applyFont="1" applyFill="1" applyBorder="1" applyAlignment="1">
      <alignment vertical="center" wrapText="1"/>
    </xf>
    <xf numFmtId="10" fontId="15" fillId="3" borderId="22" xfId="0" applyNumberFormat="1" applyFont="1" applyFill="1" applyBorder="1" applyAlignment="1">
      <alignment horizontal="center" vertical="center" wrapText="1"/>
    </xf>
    <xf numFmtId="4" fontId="15" fillId="3" borderId="22" xfId="0" applyNumberFormat="1" applyFont="1" applyFill="1" applyBorder="1" applyAlignment="1">
      <alignment horizontal="center" vertical="center" wrapText="1"/>
    </xf>
    <xf numFmtId="10" fontId="15" fillId="3" borderId="13" xfId="0" applyNumberFormat="1" applyFont="1" applyFill="1" applyBorder="1" applyAlignment="1">
      <alignment horizontal="center" vertical="center" wrapText="1"/>
    </xf>
    <xf numFmtId="41" fontId="15" fillId="3" borderId="14" xfId="0" applyNumberFormat="1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10" fillId="3" borderId="40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/>
    </xf>
    <xf numFmtId="10" fontId="21" fillId="3" borderId="37" xfId="0" applyNumberFormat="1" applyFont="1" applyFill="1" applyBorder="1" applyAlignment="1" applyProtection="1"/>
    <xf numFmtId="10" fontId="21" fillId="3" borderId="16" xfId="0" applyNumberFormat="1" applyFont="1" applyFill="1" applyBorder="1" applyAlignment="1" applyProtection="1"/>
    <xf numFmtId="167" fontId="9" fillId="3" borderId="13" xfId="1" applyNumberFormat="1" applyFont="1" applyFill="1" applyBorder="1" applyAlignment="1"/>
    <xf numFmtId="166" fontId="9" fillId="3" borderId="14" xfId="1" applyNumberFormat="1" applyFont="1" applyFill="1" applyBorder="1" applyAlignment="1"/>
    <xf numFmtId="167" fontId="4" fillId="3" borderId="41" xfId="0" applyNumberFormat="1" applyFont="1" applyFill="1" applyBorder="1"/>
    <xf numFmtId="167" fontId="2" fillId="3" borderId="41" xfId="0" applyNumberFormat="1" applyFont="1" applyFill="1" applyBorder="1"/>
    <xf numFmtId="167" fontId="2" fillId="3" borderId="32" xfId="0" applyNumberFormat="1" applyFont="1" applyFill="1" applyBorder="1"/>
    <xf numFmtId="166" fontId="2" fillId="3" borderId="28" xfId="0" applyNumberFormat="1" applyFont="1" applyFill="1" applyBorder="1"/>
    <xf numFmtId="166" fontId="22" fillId="3" borderId="18" xfId="4" applyNumberFormat="1" applyFont="1" applyFill="1" applyBorder="1"/>
    <xf numFmtId="0" fontId="2" fillId="3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4" fillId="3" borderId="37" xfId="0" applyFont="1" applyFill="1" applyBorder="1" applyAlignment="1">
      <alignment horizontal="left"/>
    </xf>
    <xf numFmtId="0" fontId="2" fillId="3" borderId="15" xfId="0" applyFont="1" applyFill="1" applyBorder="1" applyAlignment="1">
      <alignment horizontal="center"/>
    </xf>
    <xf numFmtId="0" fontId="2" fillId="3" borderId="37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10" fillId="3" borderId="35" xfId="0" applyFont="1" applyFill="1" applyBorder="1" applyAlignment="1">
      <alignment horizontal="center" vertical="center" wrapText="1"/>
    </xf>
    <xf numFmtId="0" fontId="10" fillId="3" borderId="36" xfId="0" applyFont="1" applyFill="1" applyBorder="1" applyAlignment="1">
      <alignment horizontal="center" vertical="center" wrapText="1"/>
    </xf>
    <xf numFmtId="0" fontId="4" fillId="3" borderId="33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left"/>
    </xf>
    <xf numFmtId="0" fontId="2" fillId="3" borderId="42" xfId="0" applyFont="1" applyFill="1" applyBorder="1" applyAlignment="1">
      <alignment horizontal="center"/>
    </xf>
    <xf numFmtId="0" fontId="2" fillId="3" borderId="4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43" fontId="20" fillId="0" borderId="1" xfId="4" applyFont="1" applyFill="1" applyBorder="1" applyAlignment="1">
      <alignment horizontal="center"/>
    </xf>
    <xf numFmtId="43" fontId="20" fillId="0" borderId="1" xfId="4" applyFont="1" applyFill="1" applyBorder="1" applyAlignment="1">
      <alignment horizontal="center" wrapText="1"/>
    </xf>
    <xf numFmtId="0" fontId="2" fillId="3" borderId="43" xfId="0" applyFont="1" applyFill="1" applyBorder="1" applyAlignment="1">
      <alignment horizontal="left"/>
    </xf>
    <xf numFmtId="0" fontId="2" fillId="3" borderId="44" xfId="0" applyFont="1" applyFill="1" applyBorder="1" applyAlignment="1">
      <alignment horizontal="left"/>
    </xf>
  </cellXfs>
  <cellStyles count="8">
    <cellStyle name="Normal" xfId="0" builtinId="0"/>
    <cellStyle name="Normal 2" xfId="2"/>
    <cellStyle name="Porcentagem" xfId="1" builtinId="5"/>
    <cellStyle name="Separador de milhares 2" xfId="3"/>
    <cellStyle name="Vírgula" xfId="4" builtinId="3"/>
    <cellStyle name="Vírgula 2" xfId="5"/>
    <cellStyle name="Vírgula 2 2" xfId="7"/>
    <cellStyle name="Vírgula 3" xfId="6"/>
  </cellStyles>
  <dxfs count="0"/>
  <tableStyles count="0" defaultTableStyle="TableStyleMedium9" defaultPivotStyle="PivotStyleLight16"/>
  <colors>
    <mruColors>
      <color rgb="FF7DF57D"/>
      <color rgb="FFFF6699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457200</xdr:colOff>
      <xdr:row>8</xdr:row>
      <xdr:rowOff>9525</xdr:rowOff>
    </xdr:from>
    <xdr:to>
      <xdr:col>9</xdr:col>
      <xdr:colOff>256743</xdr:colOff>
      <xdr:row>28</xdr:row>
      <xdr:rowOff>37620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1533525"/>
          <a:ext cx="3457143" cy="3838095"/>
        </a:xfrm>
        <a:prstGeom prst="rect">
          <a:avLst/>
        </a:prstGeom>
      </xdr:spPr>
    </xdr:pic>
    <xdr:clientData/>
  </xdr:twoCellAnchor>
  <xdr:twoCellAnchor editAs="oneCell">
    <xdr:from>
      <xdr:col>3</xdr:col>
      <xdr:colOff>438150</xdr:colOff>
      <xdr:row>33</xdr:row>
      <xdr:rowOff>152400</xdr:rowOff>
    </xdr:from>
    <xdr:to>
      <xdr:col>9</xdr:col>
      <xdr:colOff>218645</xdr:colOff>
      <xdr:row>53</xdr:row>
      <xdr:rowOff>47162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66950" y="6438900"/>
          <a:ext cx="3438095" cy="37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56"/>
  <sheetViews>
    <sheetView workbookViewId="0">
      <selection activeCell="K14" sqref="K14"/>
    </sheetView>
  </sheetViews>
  <sheetFormatPr defaultRowHeight="15" x14ac:dyDescent="0.25"/>
  <cols>
    <col min="3" max="3" width="9.140625" style="16"/>
  </cols>
  <sheetData>
    <row r="4" spans="3:5" x14ac:dyDescent="0.25">
      <c r="C4" s="16" t="s">
        <v>28</v>
      </c>
      <c r="D4" s="17" t="s">
        <v>29</v>
      </c>
      <c r="E4" s="17"/>
    </row>
    <row r="5" spans="3:5" x14ac:dyDescent="0.25">
      <c r="C5" s="16" t="s">
        <v>30</v>
      </c>
      <c r="D5" s="17" t="s">
        <v>31</v>
      </c>
      <c r="E5" s="17"/>
    </row>
    <row r="6" spans="3:5" x14ac:dyDescent="0.25">
      <c r="C6" s="16" t="s">
        <v>32</v>
      </c>
      <c r="D6" s="17" t="s">
        <v>33</v>
      </c>
      <c r="E6" s="17"/>
    </row>
    <row r="7" spans="3:5" x14ac:dyDescent="0.25">
      <c r="D7" s="18" t="s">
        <v>34</v>
      </c>
      <c r="E7" s="17" t="s">
        <v>69</v>
      </c>
    </row>
    <row r="30" spans="4:5" x14ac:dyDescent="0.25">
      <c r="D30" s="17" t="s">
        <v>35</v>
      </c>
      <c r="E30" s="17" t="s">
        <v>36</v>
      </c>
    </row>
    <row r="31" spans="4:5" x14ac:dyDescent="0.25">
      <c r="D31" s="17"/>
      <c r="E31" s="17" t="s">
        <v>37</v>
      </c>
    </row>
    <row r="33" spans="3:5" x14ac:dyDescent="0.25">
      <c r="C33" s="16" t="s">
        <v>38</v>
      </c>
      <c r="D33" s="17" t="s">
        <v>39</v>
      </c>
      <c r="E33" s="17"/>
    </row>
    <row r="56" spans="1:3" x14ac:dyDescent="0.25">
      <c r="A56" s="21"/>
      <c r="C56" s="20"/>
    </row>
  </sheetData>
  <sheetProtection algorithmName="SHA-512" hashValue="JEgceWgrSLUZImDwAdHg0C2Trl479GUlM6kCAVFX6FtbkoDxoznAmTrc/jYMGLvju2cpcrlJa8VFTZhD4V79Lw==" saltValue="/GAC8Ypj3F6i8KwK2OfIdg==" spinCount="100000" sheet="1" objects="1" scenarios="1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6699"/>
  </sheetPr>
  <dimension ref="A1:AM48"/>
  <sheetViews>
    <sheetView showGridLines="0" tabSelected="1" topLeftCell="A31" zoomScaleNormal="100" workbookViewId="0">
      <selection activeCell="D46" sqref="D46"/>
    </sheetView>
  </sheetViews>
  <sheetFormatPr defaultRowHeight="18.75" x14ac:dyDescent="0.3"/>
  <cols>
    <col min="1" max="1" width="6.42578125" style="2" customWidth="1"/>
    <col min="2" max="2" width="30.7109375" style="2" customWidth="1"/>
    <col min="3" max="3" width="5.28515625" style="2" customWidth="1"/>
    <col min="4" max="4" width="23.42578125" style="2" customWidth="1"/>
    <col min="5" max="5" width="5.28515625" style="2" customWidth="1"/>
    <col min="6" max="6" width="11.28515625" style="2" customWidth="1"/>
    <col min="7" max="7" width="27.42578125" style="2" customWidth="1"/>
    <col min="8" max="8" width="12" style="2" customWidth="1"/>
    <col min="9" max="9" width="20.85546875" style="2" customWidth="1"/>
    <col min="10" max="10" width="9.42578125" style="2" customWidth="1"/>
    <col min="11" max="11" width="14.7109375" style="2" customWidth="1"/>
    <col min="12" max="12" width="11.85546875" style="2" customWidth="1"/>
    <col min="13" max="13" width="14.85546875" style="2" bestFit="1" customWidth="1"/>
    <col min="14" max="14" width="12.28515625" style="2" customWidth="1"/>
    <col min="15" max="17" width="13.140625" style="2" bestFit="1" customWidth="1"/>
    <col min="18" max="18" width="13" style="2" customWidth="1"/>
    <col min="19" max="19" width="13.42578125" style="2" customWidth="1"/>
    <col min="20" max="20" width="12" style="2" customWidth="1"/>
    <col min="21" max="38" width="9.140625" style="2"/>
    <col min="39" max="39" width="17.140625" style="2" customWidth="1"/>
    <col min="40" max="44" width="9.140625" style="2"/>
    <col min="45" max="45" width="9.7109375" style="2" bestFit="1" customWidth="1"/>
    <col min="46" max="16384" width="9.140625" style="2"/>
  </cols>
  <sheetData>
    <row r="1" spans="1:39" ht="5.25" customHeight="1" thickBot="1" x14ac:dyDescent="0.35">
      <c r="A1" s="1"/>
      <c r="B1" s="1"/>
      <c r="C1" s="1"/>
      <c r="D1" s="1"/>
      <c r="E1" s="1"/>
    </row>
    <row r="2" spans="1:39" ht="19.5" thickBot="1" x14ac:dyDescent="0.35">
      <c r="A2" s="1"/>
      <c r="B2" s="98" t="s">
        <v>73</v>
      </c>
      <c r="C2" s="99"/>
      <c r="D2" s="19"/>
      <c r="E2" s="1"/>
      <c r="F2" s="100" t="s">
        <v>74</v>
      </c>
      <c r="G2" s="101"/>
      <c r="H2" s="101"/>
      <c r="I2" s="101"/>
      <c r="J2" s="101"/>
      <c r="K2" s="101"/>
      <c r="L2" s="101"/>
      <c r="M2" s="101"/>
      <c r="N2" s="101"/>
      <c r="O2" s="102"/>
    </row>
    <row r="3" spans="1:39" ht="19.5" customHeight="1" thickBot="1" x14ac:dyDescent="0.35">
      <c r="A3" s="1"/>
      <c r="B3" s="24" t="s">
        <v>13</v>
      </c>
      <c r="C3" s="25" t="s">
        <v>54</v>
      </c>
      <c r="D3" s="26" t="s">
        <v>70</v>
      </c>
      <c r="E3" s="1"/>
      <c r="F3" s="100" t="s">
        <v>55</v>
      </c>
      <c r="G3" s="101"/>
      <c r="H3" s="101"/>
      <c r="I3" s="102"/>
      <c r="J3" s="100" t="s">
        <v>12</v>
      </c>
      <c r="K3" s="101"/>
      <c r="L3" s="101"/>
      <c r="M3" s="101"/>
      <c r="N3" s="101"/>
      <c r="O3" s="102"/>
      <c r="AM3" s="7" t="s">
        <v>60</v>
      </c>
    </row>
    <row r="4" spans="1:39" ht="19.5" customHeight="1" thickBot="1" x14ac:dyDescent="0.35">
      <c r="B4" s="14">
        <v>42736</v>
      </c>
      <c r="C4" s="15"/>
      <c r="D4" s="9"/>
      <c r="F4" s="103" t="s">
        <v>58</v>
      </c>
      <c r="G4" s="104"/>
      <c r="H4" s="68" t="s">
        <v>0</v>
      </c>
      <c r="I4" s="68" t="s">
        <v>45</v>
      </c>
      <c r="J4" s="68" t="s">
        <v>4</v>
      </c>
      <c r="K4" s="68" t="s">
        <v>5</v>
      </c>
      <c r="L4" s="68" t="s">
        <v>6</v>
      </c>
      <c r="M4" s="68" t="s">
        <v>46</v>
      </c>
      <c r="N4" s="68" t="s">
        <v>8</v>
      </c>
      <c r="O4" s="68" t="s">
        <v>11</v>
      </c>
      <c r="AM4" s="8">
        <v>3000000</v>
      </c>
    </row>
    <row r="5" spans="1:39" ht="19.5" customHeight="1" x14ac:dyDescent="0.3">
      <c r="B5" s="13">
        <v>42767</v>
      </c>
      <c r="C5" s="15"/>
      <c r="D5" s="9"/>
      <c r="F5" s="69" t="s">
        <v>47</v>
      </c>
      <c r="G5" s="70">
        <v>0</v>
      </c>
      <c r="H5" s="71">
        <v>0.06</v>
      </c>
      <c r="I5" s="53">
        <v>0</v>
      </c>
      <c r="J5" s="72">
        <v>0.04</v>
      </c>
      <c r="K5" s="72">
        <v>3.5000000000000003E-2</v>
      </c>
      <c r="L5" s="72">
        <v>0.12820000000000001</v>
      </c>
      <c r="M5" s="72">
        <v>2.7799999999999998E-2</v>
      </c>
      <c r="N5" s="72">
        <v>0.434</v>
      </c>
      <c r="O5" s="73">
        <v>0.33500000000000002</v>
      </c>
    </row>
    <row r="6" spans="1:39" ht="19.5" customHeight="1" x14ac:dyDescent="0.3">
      <c r="B6" s="13">
        <v>42795</v>
      </c>
      <c r="C6" s="15"/>
      <c r="D6" s="9"/>
      <c r="F6" s="74" t="s">
        <v>48</v>
      </c>
      <c r="G6" s="75">
        <v>180000.01</v>
      </c>
      <c r="H6" s="76">
        <v>0.112</v>
      </c>
      <c r="I6" s="77">
        <v>9360</v>
      </c>
      <c r="J6" s="72">
        <v>0.04</v>
      </c>
      <c r="K6" s="72">
        <v>3.5000000000000003E-2</v>
      </c>
      <c r="L6" s="72">
        <v>0.14050000000000001</v>
      </c>
      <c r="M6" s="72">
        <v>3.0499999999999999E-2</v>
      </c>
      <c r="N6" s="72">
        <v>0.434</v>
      </c>
      <c r="O6" s="73">
        <v>0.32</v>
      </c>
    </row>
    <row r="7" spans="1:39" ht="16.5" customHeight="1" x14ac:dyDescent="0.3">
      <c r="B7" s="13">
        <v>42826</v>
      </c>
      <c r="C7" s="15"/>
      <c r="D7" s="9"/>
      <c r="F7" s="74" t="s">
        <v>49</v>
      </c>
      <c r="G7" s="75">
        <v>360000.01</v>
      </c>
      <c r="H7" s="76">
        <v>0.13500000000000001</v>
      </c>
      <c r="I7" s="77">
        <v>17640</v>
      </c>
      <c r="J7" s="72">
        <v>0.04</v>
      </c>
      <c r="K7" s="72">
        <v>3.5000000000000003E-2</v>
      </c>
      <c r="L7" s="72">
        <v>0.13639999999999999</v>
      </c>
      <c r="M7" s="72">
        <v>2.9600000000000001E-2</v>
      </c>
      <c r="N7" s="72">
        <v>0.434</v>
      </c>
      <c r="O7" s="73">
        <v>0.32500000000000001</v>
      </c>
    </row>
    <row r="8" spans="1:39" ht="16.5" customHeight="1" x14ac:dyDescent="0.3">
      <c r="B8" s="13">
        <v>42856</v>
      </c>
      <c r="C8" s="15"/>
      <c r="D8" s="9"/>
      <c r="F8" s="74" t="s">
        <v>50</v>
      </c>
      <c r="G8" s="75">
        <v>720000.01</v>
      </c>
      <c r="H8" s="76">
        <v>0.16</v>
      </c>
      <c r="I8" s="77">
        <v>35640</v>
      </c>
      <c r="J8" s="72">
        <v>0.04</v>
      </c>
      <c r="K8" s="72">
        <v>3.5000000000000003E-2</v>
      </c>
      <c r="L8" s="72">
        <v>0.13639999999999999</v>
      </c>
      <c r="M8" s="72">
        <v>2.9600000000000001E-2</v>
      </c>
      <c r="N8" s="72">
        <v>0.434</v>
      </c>
      <c r="O8" s="73">
        <v>0.32500000000000001</v>
      </c>
    </row>
    <row r="9" spans="1:39" ht="17.25" customHeight="1" x14ac:dyDescent="0.3">
      <c r="B9" s="13">
        <v>42887</v>
      </c>
      <c r="C9" s="15"/>
      <c r="D9" s="9"/>
      <c r="F9" s="74" t="s">
        <v>51</v>
      </c>
      <c r="G9" s="75">
        <v>1800000.01</v>
      </c>
      <c r="H9" s="76">
        <v>0.21</v>
      </c>
      <c r="I9" s="77">
        <v>125640</v>
      </c>
      <c r="J9" s="72">
        <v>0.04</v>
      </c>
      <c r="K9" s="72">
        <v>3.5000000000000003E-2</v>
      </c>
      <c r="L9" s="72">
        <v>0.12820000000000001</v>
      </c>
      <c r="M9" s="72">
        <v>2.7799999999999998E-2</v>
      </c>
      <c r="N9" s="72">
        <v>0.434</v>
      </c>
      <c r="O9" s="73">
        <v>0.33500000000000002</v>
      </c>
    </row>
    <row r="10" spans="1:39" ht="16.5" customHeight="1" thickBot="1" x14ac:dyDescent="0.35">
      <c r="B10" s="13">
        <v>42917</v>
      </c>
      <c r="C10" s="15"/>
      <c r="D10" s="9"/>
      <c r="F10" s="78" t="s">
        <v>52</v>
      </c>
      <c r="G10" s="79">
        <v>3600000.01</v>
      </c>
      <c r="H10" s="80">
        <v>0.33</v>
      </c>
      <c r="I10" s="81">
        <v>648000</v>
      </c>
      <c r="J10" s="82">
        <v>0.35</v>
      </c>
      <c r="K10" s="82">
        <v>0.15</v>
      </c>
      <c r="L10" s="82">
        <v>0.1603</v>
      </c>
      <c r="M10" s="82">
        <v>3.4700000000000002E-2</v>
      </c>
      <c r="N10" s="82">
        <v>0.30499999999999999</v>
      </c>
      <c r="O10" s="83">
        <v>0</v>
      </c>
    </row>
    <row r="11" spans="1:39" ht="18" customHeight="1" thickBot="1" x14ac:dyDescent="0.35">
      <c r="B11" s="13">
        <v>42948</v>
      </c>
      <c r="C11" s="15"/>
      <c r="D11" s="9"/>
      <c r="F11" s="7" t="e">
        <f>IF(D39&gt;=AM4,AM3,0)</f>
        <v>#DIV/0!</v>
      </c>
      <c r="G11" s="6"/>
      <c r="H11" s="6"/>
      <c r="I11" s="6"/>
      <c r="J11" s="6"/>
      <c r="K11" s="6"/>
      <c r="L11" s="6"/>
      <c r="M11" s="6"/>
      <c r="N11" s="6"/>
      <c r="O11" s="6"/>
    </row>
    <row r="12" spans="1:39" ht="18" customHeight="1" thickBot="1" x14ac:dyDescent="0.35">
      <c r="B12" s="13">
        <v>42979</v>
      </c>
      <c r="C12" s="15"/>
      <c r="D12" s="9"/>
      <c r="F12" s="100" t="s">
        <v>53</v>
      </c>
      <c r="G12" s="101"/>
      <c r="H12" s="101"/>
      <c r="I12" s="101"/>
      <c r="J12" s="101"/>
      <c r="K12" s="101"/>
      <c r="L12" s="101"/>
      <c r="M12" s="101"/>
      <c r="N12" s="101"/>
      <c r="O12" s="102"/>
    </row>
    <row r="13" spans="1:39" ht="19.5" customHeight="1" thickBot="1" x14ac:dyDescent="0.35">
      <c r="B13" s="13">
        <v>43009</v>
      </c>
      <c r="C13" s="15"/>
      <c r="D13" s="9"/>
      <c r="F13" s="100" t="s">
        <v>55</v>
      </c>
      <c r="G13" s="101"/>
      <c r="H13" s="101"/>
      <c r="I13" s="102"/>
      <c r="J13" s="100" t="s">
        <v>12</v>
      </c>
      <c r="K13" s="101"/>
      <c r="L13" s="101"/>
      <c r="M13" s="101"/>
      <c r="N13" s="101"/>
      <c r="O13" s="102"/>
    </row>
    <row r="14" spans="1:39" ht="19.5" customHeight="1" thickBot="1" x14ac:dyDescent="0.35">
      <c r="B14" s="13">
        <v>43040</v>
      </c>
      <c r="C14" s="15"/>
      <c r="D14" s="9"/>
      <c r="F14" s="115" t="s">
        <v>56</v>
      </c>
      <c r="G14" s="116"/>
      <c r="H14" s="49" t="s">
        <v>0</v>
      </c>
      <c r="I14" s="49" t="s">
        <v>57</v>
      </c>
      <c r="J14" s="49" t="s">
        <v>4</v>
      </c>
      <c r="K14" s="49" t="s">
        <v>5</v>
      </c>
      <c r="L14" s="49" t="s">
        <v>6</v>
      </c>
      <c r="M14" s="49" t="s">
        <v>46</v>
      </c>
      <c r="N14" s="49" t="s">
        <v>8</v>
      </c>
      <c r="O14" s="49" t="s">
        <v>11</v>
      </c>
    </row>
    <row r="15" spans="1:39" ht="18.75" customHeight="1" x14ac:dyDescent="0.3">
      <c r="B15" s="13">
        <v>43070</v>
      </c>
      <c r="C15" s="15"/>
      <c r="D15" s="9"/>
      <c r="F15" s="50" t="s">
        <v>47</v>
      </c>
      <c r="G15" s="51">
        <v>0</v>
      </c>
      <c r="H15" s="52">
        <v>0.155</v>
      </c>
      <c r="I15" s="53">
        <v>0</v>
      </c>
      <c r="J15" s="54">
        <v>0.25</v>
      </c>
      <c r="K15" s="54">
        <v>0.15</v>
      </c>
      <c r="L15" s="54">
        <v>0.14099999999999999</v>
      </c>
      <c r="M15" s="54">
        <v>3.0499999999999999E-2</v>
      </c>
      <c r="N15" s="54">
        <v>0.28849999999999998</v>
      </c>
      <c r="O15" s="55">
        <v>0.14000000000000001</v>
      </c>
    </row>
    <row r="16" spans="1:39" ht="17.25" customHeight="1" x14ac:dyDescent="0.3">
      <c r="B16" s="96" t="s">
        <v>9</v>
      </c>
      <c r="C16" s="97"/>
      <c r="D16" s="27">
        <f>SUM(D4:D15)</f>
        <v>0</v>
      </c>
      <c r="F16" s="56" t="s">
        <v>40</v>
      </c>
      <c r="G16" s="57">
        <f t="shared" ref="G16:G20" si="0">G6</f>
        <v>180000.01</v>
      </c>
      <c r="H16" s="58">
        <v>0.18</v>
      </c>
      <c r="I16" s="59">
        <v>4500</v>
      </c>
      <c r="J16" s="60">
        <v>0.23</v>
      </c>
      <c r="K16" s="60">
        <v>0.15</v>
      </c>
      <c r="L16" s="60">
        <v>0.14099999999999999</v>
      </c>
      <c r="M16" s="60">
        <v>3.0499999999999999E-2</v>
      </c>
      <c r="N16" s="60">
        <v>0.27850000000000003</v>
      </c>
      <c r="O16" s="61">
        <v>0.17</v>
      </c>
    </row>
    <row r="17" spans="2:23" ht="18.75" customHeight="1" x14ac:dyDescent="0.3">
      <c r="B17" s="96" t="s">
        <v>22</v>
      </c>
      <c r="C17" s="97"/>
      <c r="D17" s="28">
        <f>SUM(C4:C15)</f>
        <v>0</v>
      </c>
      <c r="F17" s="56" t="s">
        <v>41</v>
      </c>
      <c r="G17" s="57">
        <f t="shared" si="0"/>
        <v>360000.01</v>
      </c>
      <c r="H17" s="58">
        <v>0.19500000000000001</v>
      </c>
      <c r="I17" s="59">
        <v>9900</v>
      </c>
      <c r="J17" s="60">
        <v>0.24</v>
      </c>
      <c r="K17" s="60">
        <v>0.15</v>
      </c>
      <c r="L17" s="60">
        <v>0.1492</v>
      </c>
      <c r="M17" s="60">
        <v>3.2300000000000002E-2</v>
      </c>
      <c r="N17" s="60">
        <v>0.23849999999999999</v>
      </c>
      <c r="O17" s="61">
        <v>0.19</v>
      </c>
    </row>
    <row r="18" spans="2:23" ht="18.75" customHeight="1" x14ac:dyDescent="0.3">
      <c r="B18" s="96" t="s">
        <v>23</v>
      </c>
      <c r="C18" s="97"/>
      <c r="D18" s="29" t="e">
        <f>D16/D17</f>
        <v>#DIV/0!</v>
      </c>
      <c r="F18" s="56" t="s">
        <v>42</v>
      </c>
      <c r="G18" s="57">
        <f t="shared" si="0"/>
        <v>720000.01</v>
      </c>
      <c r="H18" s="58">
        <v>0.20499999999999999</v>
      </c>
      <c r="I18" s="59">
        <v>17100</v>
      </c>
      <c r="J18" s="60">
        <v>0.21</v>
      </c>
      <c r="K18" s="60">
        <v>0.15</v>
      </c>
      <c r="L18" s="60">
        <v>0.15740000000000001</v>
      </c>
      <c r="M18" s="60">
        <v>3.4099999999999998E-2</v>
      </c>
      <c r="N18" s="60">
        <v>0.23849999999999999</v>
      </c>
      <c r="O18" s="61">
        <v>0.21</v>
      </c>
    </row>
    <row r="19" spans="2:23" ht="18.75" customHeight="1" x14ac:dyDescent="0.3">
      <c r="B19" s="96" t="s">
        <v>27</v>
      </c>
      <c r="C19" s="97"/>
      <c r="D19" s="30" t="e">
        <f>D18*12</f>
        <v>#DIV/0!</v>
      </c>
      <c r="F19" s="56" t="s">
        <v>43</v>
      </c>
      <c r="G19" s="57">
        <f t="shared" si="0"/>
        <v>1800000.01</v>
      </c>
      <c r="H19" s="58">
        <v>0.23</v>
      </c>
      <c r="I19" s="59">
        <v>62100</v>
      </c>
      <c r="J19" s="60">
        <v>0.23</v>
      </c>
      <c r="K19" s="60">
        <v>0.125</v>
      </c>
      <c r="L19" s="60">
        <v>0.14099999999999999</v>
      </c>
      <c r="M19" s="60">
        <v>3.0499999999999999E-2</v>
      </c>
      <c r="N19" s="60">
        <v>0.23849999999999999</v>
      </c>
      <c r="O19" s="61">
        <v>0.23499999999999999</v>
      </c>
    </row>
    <row r="20" spans="2:23" ht="18.75" customHeight="1" thickBot="1" x14ac:dyDescent="0.35">
      <c r="F20" s="62" t="s">
        <v>44</v>
      </c>
      <c r="G20" s="63">
        <f t="shared" si="0"/>
        <v>3600000.01</v>
      </c>
      <c r="H20" s="64">
        <v>0.30499999999999999</v>
      </c>
      <c r="I20" s="65">
        <v>540000</v>
      </c>
      <c r="J20" s="66">
        <v>0.35</v>
      </c>
      <c r="K20" s="66">
        <v>0.155</v>
      </c>
      <c r="L20" s="66">
        <v>0.16439999999999999</v>
      </c>
      <c r="M20" s="66">
        <v>3.56E-2</v>
      </c>
      <c r="N20" s="66">
        <v>0.29499999999999998</v>
      </c>
      <c r="O20" s="67">
        <v>0</v>
      </c>
      <c r="U20" s="3"/>
      <c r="V20" s="3"/>
      <c r="W20" s="3"/>
    </row>
    <row r="21" spans="2:23" ht="16.5" customHeight="1" thickBot="1" x14ac:dyDescent="0.35">
      <c r="I21" s="17"/>
      <c r="U21" s="3"/>
      <c r="V21" s="3"/>
      <c r="W21" s="3"/>
    </row>
    <row r="22" spans="2:23" ht="18.75" customHeight="1" thickBot="1" x14ac:dyDescent="0.35">
      <c r="B22" s="111" t="s">
        <v>26</v>
      </c>
      <c r="C22" s="111"/>
      <c r="D22" s="111"/>
      <c r="F22" s="112" t="s">
        <v>3</v>
      </c>
      <c r="G22" s="113"/>
      <c r="H22" s="113"/>
      <c r="I22" s="114"/>
      <c r="M22" s="118" t="s">
        <v>10</v>
      </c>
      <c r="N22" s="119"/>
      <c r="O22" s="119"/>
      <c r="P22" s="119"/>
      <c r="Q22" s="119"/>
      <c r="R22" s="119"/>
      <c r="S22" s="120"/>
      <c r="U22" s="3"/>
      <c r="V22" s="3"/>
      <c r="W22" s="3"/>
    </row>
    <row r="23" spans="2:23" ht="17.25" customHeight="1" thickBot="1" x14ac:dyDescent="0.35">
      <c r="B23" s="31" t="s">
        <v>13</v>
      </c>
      <c r="C23" s="25" t="s">
        <v>54</v>
      </c>
      <c r="D23" s="31" t="s">
        <v>14</v>
      </c>
      <c r="F23" s="40">
        <v>1</v>
      </c>
      <c r="G23" s="117" t="s">
        <v>16</v>
      </c>
      <c r="H23" s="117"/>
      <c r="I23" s="41" t="e">
        <f>D39</f>
        <v>#DIV/0!</v>
      </c>
      <c r="M23" s="84" t="s">
        <v>4</v>
      </c>
      <c r="N23" s="85" t="s">
        <v>5</v>
      </c>
      <c r="O23" s="85" t="s">
        <v>6</v>
      </c>
      <c r="P23" s="85" t="s">
        <v>7</v>
      </c>
      <c r="Q23" s="85" t="s">
        <v>8</v>
      </c>
      <c r="R23" s="85" t="s">
        <v>11</v>
      </c>
      <c r="S23" s="86" t="s">
        <v>9</v>
      </c>
      <c r="U23" s="3"/>
      <c r="V23" s="3"/>
      <c r="W23" s="3"/>
    </row>
    <row r="24" spans="2:23" ht="18.75" customHeight="1" x14ac:dyDescent="0.3">
      <c r="B24" s="32">
        <f t="shared" ref="B24:C35" si="1">B4</f>
        <v>42736</v>
      </c>
      <c r="C24" s="33">
        <f t="shared" si="1"/>
        <v>0</v>
      </c>
      <c r="D24" s="9"/>
      <c r="F24" s="42">
        <v>2</v>
      </c>
      <c r="G24" s="105" t="s">
        <v>17</v>
      </c>
      <c r="H24" s="105"/>
      <c r="I24" s="43" t="e">
        <f>IF(D43&gt;=28%,VLOOKUP(D39,G5:I10,2,TRUE),VLOOKUP(D39,G15:I20,2,TRUE))</f>
        <v>#DIV/0!</v>
      </c>
      <c r="K24" s="106" t="s">
        <v>17</v>
      </c>
      <c r="L24" s="107"/>
      <c r="M24" s="87" t="e">
        <f>IF($D$43&gt;=28%,VLOOKUP($D$39,G5:O10,4,TRUE),VLOOKUP($D$39,G15:O20,4,TRUE))</f>
        <v>#DIV/0!</v>
      </c>
      <c r="N24" s="87" t="e">
        <f>IF($D$43&gt;=28%,VLOOKUP($D$39,G5:O10,5,TRUE),VLOOKUP($D$39,G15:O20,5,TRUE))</f>
        <v>#DIV/0!</v>
      </c>
      <c r="O24" s="87" t="e">
        <f>IF($D$43&gt;=28%,VLOOKUP($D$39,G5:O10,6,TRUE),VLOOKUP($D$39,G15:O20,6,TRUE))</f>
        <v>#DIV/0!</v>
      </c>
      <c r="P24" s="87" t="e">
        <f>IF($D$43&gt;=28%,VLOOKUP($D$39,G5:O10,7,TRUE),VLOOKUP($D$39,G15:O20,7,TRUE))</f>
        <v>#DIV/0!</v>
      </c>
      <c r="Q24" s="87" t="e">
        <f>IF($D$43&gt;=28%,VLOOKUP($D$39,G5:O10,8,TRUE),VLOOKUP($D$39,G15:O20,8,TRUE))</f>
        <v>#DIV/0!</v>
      </c>
      <c r="R24" s="87" t="e">
        <f>IF($D$43&gt;=28%,VLOOKUP($D$39,G5:O10,9,TRUE),VLOOKUP($D$39,G15:O20,9,TRUE))</f>
        <v>#DIV/0!</v>
      </c>
      <c r="S24" s="88" t="e">
        <f>SUM(M24:R24)</f>
        <v>#DIV/0!</v>
      </c>
      <c r="U24" s="3"/>
      <c r="V24" s="3"/>
      <c r="W24" s="3"/>
    </row>
    <row r="25" spans="2:23" ht="19.5" thickBot="1" x14ac:dyDescent="0.35">
      <c r="B25" s="32">
        <f t="shared" si="1"/>
        <v>42767</v>
      </c>
      <c r="C25" s="33">
        <f t="shared" si="1"/>
        <v>0</v>
      </c>
      <c r="D25" s="9"/>
      <c r="F25" s="44">
        <v>3</v>
      </c>
      <c r="G25" s="108" t="s">
        <v>18</v>
      </c>
      <c r="H25" s="108"/>
      <c r="I25" s="45" t="e">
        <f>I23*I24</f>
        <v>#DIV/0!</v>
      </c>
      <c r="K25" s="109" t="s">
        <v>21</v>
      </c>
      <c r="L25" s="110"/>
      <c r="M25" s="89" t="e">
        <f>M24*$I$28</f>
        <v>#DIV/0!</v>
      </c>
      <c r="N25" s="89" t="e">
        <f>$I$28*N24</f>
        <v>#DIV/0!</v>
      </c>
      <c r="O25" s="89" t="e">
        <f>$I$28*O24</f>
        <v>#DIV/0!</v>
      </c>
      <c r="P25" s="89" t="e">
        <f>$I$28*P24</f>
        <v>#DIV/0!</v>
      </c>
      <c r="Q25" s="89" t="e">
        <f>$I$28*Q24</f>
        <v>#DIV/0!</v>
      </c>
      <c r="R25" s="89" t="e">
        <f>R24*I28</f>
        <v>#DIV/0!</v>
      </c>
      <c r="S25" s="90" t="e">
        <f>I28*S24</f>
        <v>#DIV/0!</v>
      </c>
      <c r="U25" s="3"/>
      <c r="V25" s="3"/>
      <c r="W25" s="3"/>
    </row>
    <row r="26" spans="2:23" ht="19.5" thickBot="1" x14ac:dyDescent="0.35">
      <c r="B26" s="32">
        <f t="shared" si="1"/>
        <v>42795</v>
      </c>
      <c r="C26" s="33">
        <f t="shared" si="1"/>
        <v>0</v>
      </c>
      <c r="D26" s="9"/>
      <c r="F26" s="44">
        <v>4</v>
      </c>
      <c r="G26" s="108" t="s">
        <v>19</v>
      </c>
      <c r="H26" s="108"/>
      <c r="I26" s="46" t="e">
        <f>IF(D43&gt;=28%,VLOOKUP(D39,G5:I10,3,TRUE),VLOOKUP(D39,G15:I20,3,TRUE))</f>
        <v>#DIV/0!</v>
      </c>
      <c r="K26" s="122" t="s">
        <v>68</v>
      </c>
      <c r="L26" s="123"/>
      <c r="M26" s="91" t="e">
        <f>IF(R25&gt;5%,((R25-5%)*6.02%),0)</f>
        <v>#DIV/0!</v>
      </c>
      <c r="N26" s="91" t="e">
        <f>IF(R25&gt;5%,((R25-5%)*5.26%),0)</f>
        <v>#DIV/0!</v>
      </c>
      <c r="O26" s="91" t="e">
        <f>IF(R25&gt;5%,((R25-5%)*19.28%),0)</f>
        <v>#DIV/0!</v>
      </c>
      <c r="P26" s="91" t="e">
        <f>IF(R25&gt;5%,((R25-5%)*4.18%),0)</f>
        <v>#DIV/0!</v>
      </c>
      <c r="Q26" s="91" t="e">
        <f>IF(R25&gt;5%,((R25-5%)*65.26%),0)</f>
        <v>#DIV/0!</v>
      </c>
      <c r="R26" s="92" t="e">
        <f>IF(R25&lt;5%,0,R25-5%)</f>
        <v>#DIV/0!</v>
      </c>
      <c r="S26" s="12"/>
      <c r="T26" s="3"/>
      <c r="U26" s="3"/>
      <c r="V26" s="3"/>
      <c r="W26" s="3"/>
    </row>
    <row r="27" spans="2:23" ht="19.5" thickBot="1" x14ac:dyDescent="0.35">
      <c r="B27" s="32">
        <f t="shared" si="1"/>
        <v>42826</v>
      </c>
      <c r="C27" s="33">
        <f t="shared" si="1"/>
        <v>0</v>
      </c>
      <c r="D27" s="9"/>
      <c r="F27" s="44">
        <v>5</v>
      </c>
      <c r="G27" s="108" t="s">
        <v>20</v>
      </c>
      <c r="H27" s="108"/>
      <c r="I27" s="47" t="e">
        <f>I25-I26</f>
        <v>#DIV/0!</v>
      </c>
      <c r="K27" s="109" t="s">
        <v>21</v>
      </c>
      <c r="L27" s="110"/>
      <c r="M27" s="93" t="e">
        <f>M25+M26</f>
        <v>#DIV/0!</v>
      </c>
      <c r="N27" s="93" t="e">
        <f>N25+N26</f>
        <v>#DIV/0!</v>
      </c>
      <c r="O27" s="93" t="e">
        <f>O25+O26</f>
        <v>#DIV/0!</v>
      </c>
      <c r="P27" s="93" t="e">
        <f>P25+P26</f>
        <v>#DIV/0!</v>
      </c>
      <c r="Q27" s="93" t="e">
        <f>Q25+Q26</f>
        <v>#DIV/0!</v>
      </c>
      <c r="R27" s="93" t="e">
        <f>R25-R26</f>
        <v>#DIV/0!</v>
      </c>
      <c r="S27" s="94" t="e">
        <f>SUM(M27:R27)</f>
        <v>#DIV/0!</v>
      </c>
      <c r="T27" s="11"/>
      <c r="U27" s="3"/>
      <c r="V27" s="3"/>
      <c r="W27" s="3"/>
    </row>
    <row r="28" spans="2:23" ht="18.75" customHeight="1" thickBot="1" x14ac:dyDescent="0.35">
      <c r="B28" s="32">
        <f t="shared" si="1"/>
        <v>42856</v>
      </c>
      <c r="C28" s="33">
        <f t="shared" si="1"/>
        <v>0</v>
      </c>
      <c r="D28" s="9"/>
      <c r="F28" s="38">
        <v>6</v>
      </c>
      <c r="G28" s="121" t="s">
        <v>21</v>
      </c>
      <c r="H28" s="121"/>
      <c r="I28" s="48" t="e">
        <f>I27/I23</f>
        <v>#DIV/0!</v>
      </c>
      <c r="T28" s="11"/>
    </row>
    <row r="29" spans="2:23" ht="19.5" thickBot="1" x14ac:dyDescent="0.35">
      <c r="B29" s="32">
        <f t="shared" si="1"/>
        <v>42887</v>
      </c>
      <c r="C29" s="33">
        <f t="shared" si="1"/>
        <v>0</v>
      </c>
      <c r="D29" s="9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spans="2:23" ht="19.5" thickBot="1" x14ac:dyDescent="0.35">
      <c r="B30" s="32">
        <f t="shared" si="1"/>
        <v>42917</v>
      </c>
      <c r="C30" s="33">
        <f t="shared" si="1"/>
        <v>0</v>
      </c>
      <c r="D30" s="9"/>
      <c r="F30" s="112" t="s">
        <v>2</v>
      </c>
      <c r="G30" s="113"/>
      <c r="H30" s="113"/>
      <c r="I30" s="114"/>
      <c r="K30" s="23" t="s">
        <v>14</v>
      </c>
      <c r="L30" s="126">
        <v>3600000</v>
      </c>
      <c r="M30" s="126"/>
    </row>
    <row r="31" spans="2:23" x14ac:dyDescent="0.3">
      <c r="B31" s="32">
        <f t="shared" si="1"/>
        <v>42948</v>
      </c>
      <c r="C31" s="33">
        <f t="shared" si="1"/>
        <v>0</v>
      </c>
      <c r="D31" s="9"/>
      <c r="F31" s="35">
        <v>8</v>
      </c>
      <c r="G31" s="36" t="s">
        <v>65</v>
      </c>
      <c r="H31" s="95" t="e">
        <f>I28</f>
        <v>#DIV/0!</v>
      </c>
      <c r="I31" s="37" t="e">
        <f>D45*H31</f>
        <v>#DIV/0!</v>
      </c>
      <c r="K31" s="23" t="s">
        <v>71</v>
      </c>
      <c r="L31" s="127">
        <v>1100000</v>
      </c>
      <c r="M31" s="127"/>
      <c r="N31" s="2" t="s">
        <v>72</v>
      </c>
    </row>
    <row r="32" spans="2:23" x14ac:dyDescent="0.3">
      <c r="B32" s="32">
        <f t="shared" si="1"/>
        <v>42979</v>
      </c>
      <c r="C32" s="33">
        <f t="shared" si="1"/>
        <v>0</v>
      </c>
      <c r="D32" s="9"/>
      <c r="F32" s="35">
        <v>9</v>
      </c>
      <c r="G32" s="36" t="s">
        <v>66</v>
      </c>
      <c r="H32" s="95" t="e">
        <f>H31-R25</f>
        <v>#DIV/0!</v>
      </c>
      <c r="I32" s="37" t="e">
        <f>D46*H32</f>
        <v>#DIV/0!</v>
      </c>
    </row>
    <row r="33" spans="2:20" x14ac:dyDescent="0.3">
      <c r="B33" s="32">
        <f t="shared" si="1"/>
        <v>43009</v>
      </c>
      <c r="C33" s="33">
        <f t="shared" si="1"/>
        <v>0</v>
      </c>
      <c r="D33" s="9"/>
      <c r="F33" s="35">
        <v>10</v>
      </c>
      <c r="G33" s="36" t="s">
        <v>67</v>
      </c>
      <c r="H33" s="95" t="e">
        <f>H31-R25</f>
        <v>#DIV/0!</v>
      </c>
      <c r="I33" s="37" t="e">
        <f>D47*H33</f>
        <v>#DIV/0!</v>
      </c>
    </row>
    <row r="34" spans="2:20" ht="19.5" thickBot="1" x14ac:dyDescent="0.35">
      <c r="B34" s="32">
        <f t="shared" si="1"/>
        <v>43040</v>
      </c>
      <c r="C34" s="33">
        <f t="shared" si="1"/>
        <v>0</v>
      </c>
      <c r="D34" s="9"/>
      <c r="F34" s="38">
        <v>11</v>
      </c>
      <c r="G34" s="128" t="s">
        <v>59</v>
      </c>
      <c r="H34" s="129"/>
      <c r="I34" s="39" t="e">
        <f>SUM(I31:I33)</f>
        <v>#DIV/0!</v>
      </c>
    </row>
    <row r="35" spans="2:20" x14ac:dyDescent="0.3">
      <c r="B35" s="32">
        <f t="shared" si="1"/>
        <v>43070</v>
      </c>
      <c r="C35" s="33">
        <f t="shared" si="1"/>
        <v>0</v>
      </c>
      <c r="D35" s="9"/>
      <c r="T35" s="3"/>
    </row>
    <row r="36" spans="2:20" x14ac:dyDescent="0.3">
      <c r="B36" s="124" t="s">
        <v>9</v>
      </c>
      <c r="C36" s="125"/>
      <c r="D36" s="27">
        <f>SUM(D24:D35)</f>
        <v>0</v>
      </c>
      <c r="J36" s="4"/>
      <c r="T36" s="3"/>
    </row>
    <row r="37" spans="2:20" x14ac:dyDescent="0.3">
      <c r="B37" s="124" t="s">
        <v>22</v>
      </c>
      <c r="C37" s="125"/>
      <c r="D37" s="29">
        <f>SUM(C24:C35)</f>
        <v>0</v>
      </c>
      <c r="J37" s="4"/>
      <c r="T37" s="3"/>
    </row>
    <row r="38" spans="2:20" x14ac:dyDescent="0.3">
      <c r="B38" s="124" t="s">
        <v>23</v>
      </c>
      <c r="C38" s="125"/>
      <c r="D38" s="29" t="e">
        <f>D36/D37</f>
        <v>#DIV/0!</v>
      </c>
      <c r="P38" s="5"/>
      <c r="R38" s="3"/>
      <c r="S38" s="3"/>
      <c r="T38" s="3"/>
    </row>
    <row r="39" spans="2:20" x14ac:dyDescent="0.3">
      <c r="B39" s="124" t="s">
        <v>15</v>
      </c>
      <c r="C39" s="125"/>
      <c r="D39" s="30" t="e">
        <f>D38*12</f>
        <v>#DIV/0!</v>
      </c>
      <c r="F39" s="7" t="e">
        <f>IF(D39&gt;=AM4,AM3,0)</f>
        <v>#DIV/0!</v>
      </c>
    </row>
    <row r="41" spans="2:20" x14ac:dyDescent="0.3">
      <c r="B41" s="124" t="s">
        <v>24</v>
      </c>
      <c r="C41" s="125"/>
      <c r="D41" s="29" t="e">
        <f>D19</f>
        <v>#DIV/0!</v>
      </c>
    </row>
    <row r="42" spans="2:20" x14ac:dyDescent="0.3">
      <c r="B42" s="124" t="s">
        <v>25</v>
      </c>
      <c r="C42" s="125"/>
      <c r="D42" s="29" t="e">
        <f>D39</f>
        <v>#DIV/0!</v>
      </c>
    </row>
    <row r="43" spans="2:20" x14ac:dyDescent="0.3">
      <c r="B43" s="124" t="s">
        <v>1</v>
      </c>
      <c r="C43" s="125"/>
      <c r="D43" s="34" t="e">
        <f>D41/D42</f>
        <v>#DIV/0!</v>
      </c>
    </row>
    <row r="44" spans="2:20" x14ac:dyDescent="0.3">
      <c r="B44" s="10"/>
      <c r="C44" s="10"/>
    </row>
    <row r="45" spans="2:20" x14ac:dyDescent="0.3">
      <c r="B45" s="124" t="s">
        <v>61</v>
      </c>
      <c r="C45" s="125"/>
      <c r="D45" s="22"/>
      <c r="F45" s="7" t="e">
        <f>IF(D39&gt;=AM4,AM3,0)</f>
        <v>#DIV/0!</v>
      </c>
    </row>
    <row r="46" spans="2:20" x14ac:dyDescent="0.3">
      <c r="B46" s="124" t="s">
        <v>62</v>
      </c>
      <c r="C46" s="125"/>
      <c r="D46" s="22"/>
    </row>
    <row r="47" spans="2:20" x14ac:dyDescent="0.3">
      <c r="B47" s="124" t="s">
        <v>63</v>
      </c>
      <c r="C47" s="125"/>
      <c r="D47" s="22"/>
    </row>
    <row r="48" spans="2:20" x14ac:dyDescent="0.3">
      <c r="B48" s="124" t="s">
        <v>64</v>
      </c>
      <c r="C48" s="125"/>
      <c r="D48" s="29">
        <f>SUM(D45:D47)</f>
        <v>0</v>
      </c>
    </row>
  </sheetData>
  <sheetProtection algorithmName="SHA-512" hashValue="B0Cng/MEaGGzN/jxYMPDBZqL9+z3EdtDde2VzhTye8gXrbaWtdmWAzprYfeftuSSQsbrx/uY8q6E7IEb641kmA==" saltValue="HZFc3n8GgvrQCClSuL9TcA==" spinCount="100000" sheet="1" objects="1" scenarios="1"/>
  <mergeCells count="41">
    <mergeCell ref="B45:C45"/>
    <mergeCell ref="B46:C46"/>
    <mergeCell ref="B47:C47"/>
    <mergeCell ref="B48:C48"/>
    <mergeCell ref="L30:M30"/>
    <mergeCell ref="L31:M31"/>
    <mergeCell ref="B37:C37"/>
    <mergeCell ref="B38:C38"/>
    <mergeCell ref="B39:C39"/>
    <mergeCell ref="B41:C41"/>
    <mergeCell ref="B42:C42"/>
    <mergeCell ref="B43:C43"/>
    <mergeCell ref="B36:C36"/>
    <mergeCell ref="G34:H34"/>
    <mergeCell ref="F30:I30"/>
    <mergeCell ref="G27:H27"/>
    <mergeCell ref="K27:L27"/>
    <mergeCell ref="G28:H28"/>
    <mergeCell ref="G26:H26"/>
    <mergeCell ref="K26:L26"/>
    <mergeCell ref="G25:H25"/>
    <mergeCell ref="K25:L25"/>
    <mergeCell ref="B22:D22"/>
    <mergeCell ref="F22:I22"/>
    <mergeCell ref="F12:O12"/>
    <mergeCell ref="F13:I13"/>
    <mergeCell ref="J13:O13"/>
    <mergeCell ref="F14:G14"/>
    <mergeCell ref="G23:H23"/>
    <mergeCell ref="M22:S22"/>
    <mergeCell ref="F2:O2"/>
    <mergeCell ref="F3:I3"/>
    <mergeCell ref="J3:O3"/>
    <mergeCell ref="F4:G4"/>
    <mergeCell ref="G24:H24"/>
    <mergeCell ref="K24:L24"/>
    <mergeCell ref="B16:C16"/>
    <mergeCell ref="B17:C17"/>
    <mergeCell ref="B18:C18"/>
    <mergeCell ref="B19:C19"/>
    <mergeCell ref="B2:C2"/>
  </mergeCells>
  <pageMargins left="0.31496062992125984" right="0.31496062992125984" top="0.39370078740157483" bottom="0.39370078740157483" header="0.31496062992125984" footer="0.31496062992125984"/>
  <pageSetup paperSize="9" orientation="portrait" horizont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Orientações</vt:lpstr>
      <vt:lpstr>Anexo III ou V</vt:lpstr>
    </vt:vector>
  </TitlesOfParts>
  <Company>mega.info@uol.com.br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leonardark@hotmail.com</dc:creator>
  <cp:lastModifiedBy>Adriano</cp:lastModifiedBy>
  <cp:lastPrinted>2011-07-28T13:40:48Z</cp:lastPrinted>
  <dcterms:created xsi:type="dcterms:W3CDTF">2011-07-28T13:16:20Z</dcterms:created>
  <dcterms:modified xsi:type="dcterms:W3CDTF">2018-02-09T14:38:17Z</dcterms:modified>
</cp:coreProperties>
</file>