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00\Documents\1.Contabilidade Geral\1.Empresas Clientes\1.Contare\0.Controle Contare\Planilhas Simples Nacional\"/>
    </mc:Choice>
  </mc:AlternateContent>
  <bookViews>
    <workbookView xWindow="0" yWindow="0" windowWidth="20490" windowHeight="7620" tabRatio="787" activeTab="1"/>
  </bookViews>
  <sheets>
    <sheet name="Orientações" sheetId="108" r:id="rId1"/>
    <sheet name="Anexo III" sheetId="107" r:id="rId2"/>
  </sheets>
  <definedNames>
    <definedName name="Anexo3">#REF!</definedName>
    <definedName name="Anexo5">#REF!</definedName>
    <definedName name="Anexos">#REF!</definedName>
  </definedNames>
  <calcPr calcId="162913"/>
</workbook>
</file>

<file path=xl/calcChain.xml><?xml version="1.0" encoding="utf-8"?>
<calcChain xmlns="http://schemas.openxmlformats.org/spreadsheetml/2006/main">
  <c r="J25" i="107" l="1"/>
  <c r="J24" i="107"/>
  <c r="J23" i="107"/>
  <c r="J22" i="107"/>
  <c r="D24" i="107"/>
  <c r="D17" i="107" l="1"/>
  <c r="D16" i="107"/>
  <c r="D18" i="107" s="1"/>
  <c r="D19" i="107" s="1"/>
  <c r="S15" i="107" l="1"/>
  <c r="O15" i="107"/>
  <c r="R15" i="107"/>
  <c r="N15" i="107"/>
  <c r="P15" i="107"/>
  <c r="J15" i="107"/>
  <c r="J17" i="107"/>
  <c r="Q15" i="107"/>
  <c r="J14" i="107"/>
  <c r="F37" i="107" l="1"/>
  <c r="F30" i="107"/>
  <c r="F11" i="107"/>
  <c r="J16" i="107" l="1"/>
  <c r="J18" i="107" l="1"/>
  <c r="J19" i="107" s="1"/>
  <c r="I22" i="107" s="1"/>
  <c r="T15" i="107"/>
  <c r="S16" i="107" l="1"/>
  <c r="S17" i="107" s="1"/>
  <c r="T16" i="107"/>
  <c r="P16" i="107"/>
  <c r="Q16" i="107"/>
  <c r="R16" i="107"/>
  <c r="O16" i="107"/>
  <c r="N16" i="107"/>
  <c r="I23" i="107" l="1"/>
  <c r="I24" i="107"/>
  <c r="S18" i="107"/>
  <c r="R17" i="107"/>
  <c r="R18" i="107" s="1"/>
  <c r="N17" i="107"/>
  <c r="N18" i="107" s="1"/>
  <c r="O17" i="107"/>
  <c r="O18" i="107" s="1"/>
  <c r="P17" i="107"/>
  <c r="P18" i="107" s="1"/>
  <c r="Q17" i="107"/>
  <c r="Q18" i="107" s="1"/>
  <c r="T18" i="107" l="1"/>
</calcChain>
</file>

<file path=xl/comments1.xml><?xml version="1.0" encoding="utf-8"?>
<comments xmlns="http://schemas.openxmlformats.org/spreadsheetml/2006/main">
  <authors>
    <author>Adriano</author>
  </authors>
  <commentList>
    <comment ref="L17" authorId="0" shapeId="0">
      <text>
        <r>
          <rPr>
            <b/>
            <sz val="9"/>
            <color indexed="81"/>
            <rFont val="Segoe UI"/>
            <family val="2"/>
          </rPr>
          <t xml:space="preserve">Quando valor Aproximado de R$ 2.068.290,00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<sst xmlns="http://schemas.openxmlformats.org/spreadsheetml/2006/main" count="68" uniqueCount="59">
  <si>
    <t>Alíquota</t>
  </si>
  <si>
    <t>Cálculo do Simples a pagar no mês:</t>
  </si>
  <si>
    <t>Cálculo da Alíquota Efetiva:</t>
  </si>
  <si>
    <t>IRPJ</t>
  </si>
  <si>
    <t>CSLL</t>
  </si>
  <si>
    <t>Cofins</t>
  </si>
  <si>
    <t>PIS/Pasep</t>
  </si>
  <si>
    <t>CPP</t>
  </si>
  <si>
    <t>Total</t>
  </si>
  <si>
    <t>Percentual de Repartição dos Tributos - Anexo III</t>
  </si>
  <si>
    <t>ISS</t>
  </si>
  <si>
    <t>Percentual de Repartição dos Tributos</t>
  </si>
  <si>
    <t>Mês</t>
  </si>
  <si>
    <t>Receita</t>
  </si>
  <si>
    <t>RBT ultimos 12 meses</t>
  </si>
  <si>
    <t>Receita de Enquadramento</t>
  </si>
  <si>
    <t>Aliquota Nominal</t>
  </si>
  <si>
    <t>Valor Nominal</t>
  </si>
  <si>
    <t>Valor a Deduzir</t>
  </si>
  <si>
    <t>Valor base p/ alíquota efetiva</t>
  </si>
  <si>
    <t>Aliquota Efetiva</t>
  </si>
  <si>
    <t>Quant. meses abertura</t>
  </si>
  <si>
    <t>Média mensal</t>
  </si>
  <si>
    <t>1)</t>
  </si>
  <si>
    <t>Preencher somente os campos na cor bege, os outros estão automatizados</t>
  </si>
  <si>
    <t>2)</t>
  </si>
  <si>
    <t>Na coluna mês informar o mês do faturamento</t>
  </si>
  <si>
    <t>3)</t>
  </si>
  <si>
    <t>Na coluna 1/0 informar 1 se a empresa estava aberta e 0 se ainda ão estava aberta (ver dat do CNPJ)</t>
  </si>
  <si>
    <t>Ex:</t>
  </si>
  <si>
    <t xml:space="preserve">OBS: </t>
  </si>
  <si>
    <t>A coluna 1/0 deve estar devidamente preenchida para permitir calculo da RBT nos casos de estimativa</t>
  </si>
  <si>
    <t>isso só ocorrerá para empresas até 12 meses de abertura.</t>
  </si>
  <si>
    <t>4)</t>
  </si>
  <si>
    <t>Na coluna receita, informar a receita do mês correspondente</t>
  </si>
  <si>
    <t>Deduzir (R$)</t>
  </si>
  <si>
    <t>PIS</t>
  </si>
  <si>
    <r>
      <t>1</t>
    </r>
    <r>
      <rPr>
        <u/>
        <vertAlign val="superscript"/>
        <sz val="12"/>
        <rFont val="Arial"/>
        <family val="2"/>
      </rPr>
      <t>a</t>
    </r>
    <r>
      <rPr>
        <sz val="12"/>
        <rFont val="Arial"/>
        <family val="2"/>
      </rPr>
      <t> Faixa</t>
    </r>
  </si>
  <si>
    <r>
      <t>2</t>
    </r>
    <r>
      <rPr>
        <u/>
        <vertAlign val="superscript"/>
        <sz val="12"/>
        <rFont val="Arial"/>
        <family val="2"/>
      </rPr>
      <t>a</t>
    </r>
    <r>
      <rPr>
        <sz val="12"/>
        <rFont val="Arial"/>
        <family val="2"/>
      </rPr>
      <t> Faixa</t>
    </r>
  </si>
  <si>
    <r>
      <t>3</t>
    </r>
    <r>
      <rPr>
        <u/>
        <vertAlign val="superscript"/>
        <sz val="12"/>
        <rFont val="Arial"/>
        <family val="2"/>
      </rPr>
      <t>a</t>
    </r>
    <r>
      <rPr>
        <sz val="12"/>
        <rFont val="Arial"/>
        <family val="2"/>
      </rPr>
      <t> Faixa</t>
    </r>
  </si>
  <si>
    <r>
      <t>4</t>
    </r>
    <r>
      <rPr>
        <u/>
        <vertAlign val="superscript"/>
        <sz val="12"/>
        <rFont val="Arial"/>
        <family val="2"/>
      </rPr>
      <t>a</t>
    </r>
    <r>
      <rPr>
        <sz val="12"/>
        <rFont val="Arial"/>
        <family val="2"/>
      </rPr>
      <t> Faixa</t>
    </r>
  </si>
  <si>
    <r>
      <t>5</t>
    </r>
    <r>
      <rPr>
        <u/>
        <vertAlign val="superscript"/>
        <sz val="12"/>
        <rFont val="Arial"/>
        <family val="2"/>
      </rPr>
      <t>a</t>
    </r>
    <r>
      <rPr>
        <sz val="12"/>
        <rFont val="Arial"/>
        <family val="2"/>
      </rPr>
      <t> Faixa</t>
    </r>
  </si>
  <si>
    <r>
      <t>6</t>
    </r>
    <r>
      <rPr>
        <u/>
        <vertAlign val="superscript"/>
        <sz val="12"/>
        <rFont val="Arial"/>
        <family val="2"/>
      </rPr>
      <t>a</t>
    </r>
    <r>
      <rPr>
        <sz val="12"/>
        <rFont val="Arial"/>
        <family val="2"/>
      </rPr>
      <t> Faixa</t>
    </r>
  </si>
  <si>
    <t>0/1</t>
  </si>
  <si>
    <t>Alíquotas Simples Nacional – Serviços</t>
  </si>
  <si>
    <t>Receita Bruta 12 Meses R$</t>
  </si>
  <si>
    <t>Simples a Recolher</t>
  </si>
  <si>
    <t>ATENÇÃO PRÓXIMO DO SUBLIMITE</t>
  </si>
  <si>
    <t>Receita do mês ISS Normal</t>
  </si>
  <si>
    <t>Receita do mês ISS Retida</t>
  </si>
  <si>
    <t>Receita do Mês ISS Isento</t>
  </si>
  <si>
    <t>Receita do Mês Total</t>
  </si>
  <si>
    <t>Aliquota ISS Normal</t>
  </si>
  <si>
    <t>Aliquota ISS Retido</t>
  </si>
  <si>
    <t>Aliquota ISS Isento</t>
  </si>
  <si>
    <t>SE ISS &gt; 5% (Anexo III)</t>
  </si>
  <si>
    <t>Se a empresa foi aberta em Julho/2017, porém soteve folha em Novembro a situação de ve ficar assim</t>
  </si>
  <si>
    <t>Data de Abertura</t>
  </si>
  <si>
    <r>
      <t>Senha 123              -          ANEXO III DA LEI COMPLEMENTAR N</t>
    </r>
    <r>
      <rPr>
        <b/>
        <u/>
        <vertAlign val="superscript"/>
        <sz val="12"/>
        <rFont val="Arial"/>
        <family val="2"/>
      </rPr>
      <t>o</t>
    </r>
    <r>
      <rPr>
        <b/>
        <sz val="12"/>
        <rFont val="Arial"/>
        <family val="2"/>
      </rPr>
      <t> 123, DE 14 DE DEZEMBRO DE 2006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</si>
</sst>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00"/>
    <numFmt numFmtId="166" formatCode="0.0000%"/>
    <numFmt numFmtId="167" formatCode="0.0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</font>
    <font>
      <b/>
      <sz val="14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u/>
      <vertAlign val="superscript"/>
      <sz val="12"/>
      <name val="Arial"/>
      <family val="2"/>
    </font>
    <font>
      <sz val="12"/>
      <name val="Arial"/>
      <family val="2"/>
    </font>
    <font>
      <u/>
      <vertAlign val="superscript"/>
      <sz val="12"/>
      <name val="Arial"/>
      <family val="2"/>
    </font>
    <font>
      <sz val="12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7F577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6" fillId="0" borderId="0" xfId="0" applyFont="1" applyFill="1" applyAlignment="1">
      <alignment horizontal="left" vertical="center" wrapText="1"/>
    </xf>
    <xf numFmtId="0" fontId="4" fillId="0" borderId="0" xfId="0" applyFont="1" applyFill="1"/>
    <xf numFmtId="0" fontId="4" fillId="0" borderId="0" xfId="0" applyFont="1" applyFill="1" applyBorder="1" applyAlignment="1">
      <alignment vertical="center"/>
    </xf>
    <xf numFmtId="10" fontId="4" fillId="0" borderId="0" xfId="0" applyNumberFormat="1" applyFont="1" applyFill="1"/>
    <xf numFmtId="43" fontId="4" fillId="0" borderId="0" xfId="0" applyNumberFormat="1" applyFont="1" applyFill="1"/>
    <xf numFmtId="0" fontId="14" fillId="0" borderId="0" xfId="0" applyFont="1" applyFill="1"/>
    <xf numFmtId="0" fontId="5" fillId="0" borderId="0" xfId="0" applyFont="1"/>
    <xf numFmtId="43" fontId="4" fillId="0" borderId="0" xfId="4" applyFont="1"/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166" fontId="8" fillId="0" borderId="0" xfId="1" applyNumberFormat="1" applyFont="1" applyFill="1" applyBorder="1" applyAlignment="1"/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/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2" fillId="3" borderId="25" xfId="0" applyFont="1" applyFill="1" applyBorder="1" applyAlignment="1">
      <alignment horizontal="center"/>
    </xf>
    <xf numFmtId="43" fontId="2" fillId="3" borderId="1" xfId="4" applyFont="1" applyFill="1" applyBorder="1"/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17" fontId="4" fillId="2" borderId="10" xfId="0" applyNumberFormat="1" applyFont="1" applyFill="1" applyBorder="1" applyAlignment="1" applyProtection="1">
      <alignment horizontal="center"/>
      <protection locked="0"/>
    </xf>
    <xf numFmtId="43" fontId="4" fillId="2" borderId="40" xfId="4" applyFont="1" applyFill="1" applyBorder="1" applyProtection="1">
      <protection locked="0"/>
    </xf>
    <xf numFmtId="43" fontId="2" fillId="3" borderId="11" xfId="4" applyFont="1" applyFill="1" applyBorder="1" applyAlignment="1">
      <alignment horizontal="center"/>
    </xf>
    <xf numFmtId="43" fontId="2" fillId="3" borderId="11" xfId="4" applyFont="1" applyFill="1" applyBorder="1"/>
    <xf numFmtId="43" fontId="2" fillId="3" borderId="14" xfId="0" applyNumberFormat="1" applyFont="1" applyFill="1" applyBorder="1"/>
    <xf numFmtId="0" fontId="8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vertical="center" wrapText="1"/>
    </xf>
    <xf numFmtId="43" fontId="12" fillId="3" borderId="20" xfId="4" applyFont="1" applyFill="1" applyBorder="1" applyAlignment="1">
      <alignment vertical="center" wrapText="1"/>
    </xf>
    <xf numFmtId="10" fontId="12" fillId="3" borderId="20" xfId="0" applyNumberFormat="1" applyFont="1" applyFill="1" applyBorder="1" applyAlignment="1">
      <alignment horizontal="center" vertical="center" wrapText="1"/>
    </xf>
    <xf numFmtId="41" fontId="12" fillId="3" borderId="20" xfId="0" applyNumberFormat="1" applyFont="1" applyFill="1" applyBorder="1" applyAlignment="1">
      <alignment horizontal="center" vertical="center" wrapText="1"/>
    </xf>
    <xf numFmtId="10" fontId="12" fillId="3" borderId="1" xfId="0" applyNumberFormat="1" applyFont="1" applyFill="1" applyBorder="1" applyAlignment="1">
      <alignment horizontal="center" vertical="center" wrapText="1"/>
    </xf>
    <xf numFmtId="10" fontId="12" fillId="3" borderId="11" xfId="0" applyNumberFormat="1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vertical="center" wrapText="1"/>
    </xf>
    <xf numFmtId="43" fontId="12" fillId="3" borderId="21" xfId="4" applyFont="1" applyFill="1" applyBorder="1" applyAlignment="1">
      <alignment vertical="center" wrapText="1"/>
    </xf>
    <xf numFmtId="10" fontId="12" fillId="3" borderId="21" xfId="0" applyNumberFormat="1" applyFont="1" applyFill="1" applyBorder="1" applyAlignment="1">
      <alignment horizontal="center" vertical="center" wrapText="1"/>
    </xf>
    <xf numFmtId="4" fontId="12" fillId="3" borderId="21" xfId="0" applyNumberFormat="1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vertical="center" wrapText="1"/>
    </xf>
    <xf numFmtId="43" fontId="12" fillId="3" borderId="22" xfId="4" applyFont="1" applyFill="1" applyBorder="1" applyAlignment="1">
      <alignment vertical="center" wrapText="1"/>
    </xf>
    <xf numFmtId="10" fontId="12" fillId="3" borderId="22" xfId="0" applyNumberFormat="1" applyFont="1" applyFill="1" applyBorder="1" applyAlignment="1">
      <alignment horizontal="center" vertical="center" wrapText="1"/>
    </xf>
    <xf numFmtId="4" fontId="12" fillId="3" borderId="22" xfId="0" applyNumberFormat="1" applyFont="1" applyFill="1" applyBorder="1" applyAlignment="1">
      <alignment horizontal="center" vertical="center" wrapText="1"/>
    </xf>
    <xf numFmtId="10" fontId="12" fillId="3" borderId="13" xfId="0" applyNumberFormat="1" applyFont="1" applyFill="1" applyBorder="1" applyAlignment="1">
      <alignment horizontal="center" vertical="center" wrapText="1"/>
    </xf>
    <xf numFmtId="41" fontId="12" fillId="3" borderId="14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/>
    </xf>
    <xf numFmtId="164" fontId="7" fillId="3" borderId="11" xfId="0" applyNumberFormat="1" applyFont="1" applyFill="1" applyBorder="1"/>
    <xf numFmtId="10" fontId="2" fillId="3" borderId="11" xfId="0" applyNumberFormat="1" applyFont="1" applyFill="1" applyBorder="1" applyAlignment="1" applyProtection="1"/>
    <xf numFmtId="43" fontId="2" fillId="3" borderId="11" xfId="0" applyNumberFormat="1" applyFont="1" applyFill="1" applyBorder="1"/>
    <xf numFmtId="43" fontId="2" fillId="3" borderId="11" xfId="4" applyFont="1" applyFill="1" applyBorder="1" applyAlignment="1" applyProtection="1"/>
    <xf numFmtId="4" fontId="2" fillId="3" borderId="11" xfId="0" applyNumberFormat="1" applyFont="1" applyFill="1" applyBorder="1"/>
    <xf numFmtId="0" fontId="2" fillId="3" borderId="12" xfId="0" applyFont="1" applyFill="1" applyBorder="1" applyAlignment="1">
      <alignment horizontal="center"/>
    </xf>
    <xf numFmtId="167" fontId="2" fillId="3" borderId="14" xfId="1" applyNumberFormat="1" applyFont="1" applyFill="1" applyBorder="1"/>
    <xf numFmtId="0" fontId="4" fillId="3" borderId="17" xfId="0" applyFont="1" applyFill="1" applyBorder="1" applyAlignment="1">
      <alignment horizontal="center"/>
    </xf>
    <xf numFmtId="166" fontId="2" fillId="3" borderId="18" xfId="4" applyNumberFormat="1" applyFont="1" applyFill="1" applyBorder="1"/>
    <xf numFmtId="43" fontId="2" fillId="3" borderId="14" xfId="4" applyFont="1" applyFill="1" applyBorder="1"/>
    <xf numFmtId="167" fontId="2" fillId="3" borderId="26" xfId="0" applyNumberFormat="1" applyFont="1" applyFill="1" applyBorder="1"/>
    <xf numFmtId="166" fontId="2" fillId="3" borderId="24" xfId="0" applyNumberFormat="1" applyFont="1" applyFill="1" applyBorder="1"/>
    <xf numFmtId="167" fontId="17" fillId="3" borderId="31" xfId="0" applyNumberFormat="1" applyFont="1" applyFill="1" applyBorder="1"/>
    <xf numFmtId="167" fontId="7" fillId="3" borderId="31" xfId="0" applyNumberFormat="1" applyFont="1" applyFill="1" applyBorder="1"/>
    <xf numFmtId="10" fontId="4" fillId="3" borderId="29" xfId="0" applyNumberFormat="1" applyFont="1" applyFill="1" applyBorder="1" applyAlignment="1" applyProtection="1"/>
    <xf numFmtId="10" fontId="4" fillId="3" borderId="16" xfId="0" applyNumberFormat="1" applyFont="1" applyFill="1" applyBorder="1" applyAlignment="1" applyProtection="1"/>
    <xf numFmtId="167" fontId="8" fillId="3" borderId="13" xfId="1" applyNumberFormat="1" applyFont="1" applyFill="1" applyBorder="1" applyAlignment="1"/>
    <xf numFmtId="166" fontId="8" fillId="3" borderId="14" xfId="1" applyNumberFormat="1" applyFont="1" applyFill="1" applyBorder="1" applyAlignment="1"/>
    <xf numFmtId="0" fontId="9" fillId="3" borderId="17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/>
    </xf>
    <xf numFmtId="14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27" xfId="0" applyFont="1" applyFill="1" applyBorder="1" applyAlignment="1">
      <alignment horizontal="center"/>
    </xf>
    <xf numFmtId="0" fontId="7" fillId="3" borderId="38" xfId="0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4" fillId="3" borderId="35" xfId="0" applyFont="1" applyFill="1" applyBorder="1" applyAlignment="1">
      <alignment horizontal="left"/>
    </xf>
    <xf numFmtId="0" fontId="4" fillId="3" borderId="33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3" borderId="32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2" fillId="3" borderId="36" xfId="0" applyFont="1" applyFill="1" applyBorder="1" applyAlignment="1">
      <alignment horizontal="left"/>
    </xf>
    <xf numFmtId="0" fontId="2" fillId="3" borderId="37" xfId="0" applyFont="1" applyFill="1" applyBorder="1" applyAlignment="1">
      <alignment horizontal="left"/>
    </xf>
    <xf numFmtId="0" fontId="2" fillId="3" borderId="34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9" xfId="0" applyFont="1" applyFill="1" applyBorder="1" applyAlignment="1"/>
    <xf numFmtId="0" fontId="2" fillId="3" borderId="2" xfId="0" applyFont="1" applyFill="1" applyBorder="1" applyAlignment="1"/>
    <xf numFmtId="0" fontId="7" fillId="3" borderId="7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/>
    </xf>
    <xf numFmtId="0" fontId="2" fillId="3" borderId="41" xfId="0" applyFont="1" applyFill="1" applyBorder="1" applyAlignment="1"/>
    <xf numFmtId="0" fontId="2" fillId="3" borderId="34" xfId="0" applyFont="1" applyFill="1" applyBorder="1" applyAlignment="1"/>
    <xf numFmtId="43" fontId="4" fillId="2" borderId="1" xfId="4" applyFont="1" applyFill="1" applyBorder="1" applyProtection="1">
      <protection locked="0"/>
    </xf>
    <xf numFmtId="0" fontId="2" fillId="3" borderId="18" xfId="4" applyNumberFormat="1" applyFont="1" applyFill="1" applyBorder="1"/>
  </cellXfs>
  <cellStyles count="8">
    <cellStyle name="Normal" xfId="0" builtinId="0"/>
    <cellStyle name="Normal 2" xfId="2"/>
    <cellStyle name="Porcentagem" xfId="1" builtinId="5"/>
    <cellStyle name="Separador de milhares 2" xfId="3"/>
    <cellStyle name="Vírgula" xfId="4" builtinId="3"/>
    <cellStyle name="Vírgula 2" xfId="5"/>
    <cellStyle name="Vírgula 2 2" xfId="7"/>
    <cellStyle name="Vírgula 3" xfId="6"/>
  </cellStyles>
  <dxfs count="0"/>
  <tableStyles count="0" defaultTableStyle="TableStyleMedium9" defaultPivotStyle="PivotStyleLight16"/>
  <colors>
    <mruColors>
      <color rgb="FF77F577"/>
      <color rgb="FF00CC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8</xdr:row>
      <xdr:rowOff>9525</xdr:rowOff>
    </xdr:from>
    <xdr:to>
      <xdr:col>9</xdr:col>
      <xdr:colOff>256743</xdr:colOff>
      <xdr:row>28</xdr:row>
      <xdr:rowOff>37620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1533525"/>
          <a:ext cx="3457143" cy="38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438150</xdr:colOff>
      <xdr:row>33</xdr:row>
      <xdr:rowOff>152400</xdr:rowOff>
    </xdr:from>
    <xdr:to>
      <xdr:col>9</xdr:col>
      <xdr:colOff>218645</xdr:colOff>
      <xdr:row>53</xdr:row>
      <xdr:rowOff>47162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6950" y="6438900"/>
          <a:ext cx="3438095" cy="37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56"/>
  <sheetViews>
    <sheetView workbookViewId="0">
      <selection activeCell="K14" sqref="K14"/>
    </sheetView>
  </sheetViews>
  <sheetFormatPr defaultRowHeight="15" x14ac:dyDescent="0.25"/>
  <cols>
    <col min="3" max="3" width="9.140625" style="13"/>
  </cols>
  <sheetData>
    <row r="4" spans="3:5" x14ac:dyDescent="0.25">
      <c r="C4" s="13" t="s">
        <v>23</v>
      </c>
      <c r="D4" s="14" t="s">
        <v>24</v>
      </c>
      <c r="E4" s="14"/>
    </row>
    <row r="5" spans="3:5" x14ac:dyDescent="0.25">
      <c r="C5" s="13" t="s">
        <v>25</v>
      </c>
      <c r="D5" s="14" t="s">
        <v>26</v>
      </c>
      <c r="E5" s="14"/>
    </row>
    <row r="6" spans="3:5" x14ac:dyDescent="0.25">
      <c r="C6" s="13" t="s">
        <v>27</v>
      </c>
      <c r="D6" s="14" t="s">
        <v>28</v>
      </c>
      <c r="E6" s="14"/>
    </row>
    <row r="7" spans="3:5" x14ac:dyDescent="0.25">
      <c r="D7" s="15" t="s">
        <v>29</v>
      </c>
      <c r="E7" s="14" t="s">
        <v>56</v>
      </c>
    </row>
    <row r="30" spans="4:5" x14ac:dyDescent="0.25">
      <c r="D30" s="14" t="s">
        <v>30</v>
      </c>
      <c r="E30" s="14" t="s">
        <v>31</v>
      </c>
    </row>
    <row r="31" spans="4:5" x14ac:dyDescent="0.25">
      <c r="D31" s="14"/>
      <c r="E31" s="14" t="s">
        <v>32</v>
      </c>
    </row>
    <row r="33" spans="3:5" x14ac:dyDescent="0.25">
      <c r="C33" s="13" t="s">
        <v>33</v>
      </c>
      <c r="D33" s="14" t="s">
        <v>34</v>
      </c>
      <c r="E33" s="14"/>
    </row>
    <row r="56" spans="1:3" x14ac:dyDescent="0.25">
      <c r="A56" s="17"/>
      <c r="C56" s="16"/>
    </row>
  </sheetData>
  <sheetProtection algorithmName="SHA-512" hashValue="JEgceWgrSLUZImDwAdHg0C2Trl479GUlM6kCAVFX6FtbkoDxoznAmTrc/jYMGLvju2cpcrlJa8VFTZhD4V79Lw==" saltValue="/GAC8Ypj3F6i8KwK2OfIdg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6699"/>
  </sheetPr>
  <dimension ref="A1:AN37"/>
  <sheetViews>
    <sheetView showGridLines="0" tabSelected="1" topLeftCell="A9" zoomScale="85" zoomScaleNormal="85" workbookViewId="0">
      <selection activeCell="J26" sqref="J26"/>
    </sheetView>
  </sheetViews>
  <sheetFormatPr defaultRowHeight="18.75" x14ac:dyDescent="0.3"/>
  <cols>
    <col min="1" max="1" width="6.42578125" style="2" customWidth="1"/>
    <col min="2" max="2" width="30.7109375" style="2" customWidth="1"/>
    <col min="3" max="3" width="6.42578125" style="2" customWidth="1"/>
    <col min="4" max="4" width="23.42578125" style="2" customWidth="1"/>
    <col min="5" max="5" width="5.28515625" style="2" customWidth="1"/>
    <col min="6" max="6" width="11.28515625" style="2" customWidth="1"/>
    <col min="7" max="7" width="20.85546875" style="2" customWidth="1"/>
    <col min="8" max="8" width="16.7109375" style="2" customWidth="1"/>
    <col min="9" max="9" width="16" style="2" customWidth="1"/>
    <col min="10" max="10" width="20.85546875" style="2" customWidth="1"/>
    <col min="11" max="11" width="9.42578125" style="2" customWidth="1"/>
    <col min="12" max="12" width="14.7109375" style="2" customWidth="1"/>
    <col min="13" max="13" width="11.85546875" style="2" customWidth="1"/>
    <col min="14" max="14" width="15.5703125" style="2" bestFit="1" customWidth="1"/>
    <col min="15" max="15" width="12.28515625" style="2" customWidth="1"/>
    <col min="16" max="18" width="13.140625" style="2" bestFit="1" customWidth="1"/>
    <col min="19" max="19" width="13" style="2" customWidth="1"/>
    <col min="20" max="20" width="13.42578125" style="2" customWidth="1"/>
    <col min="21" max="21" width="12" style="2" customWidth="1"/>
    <col min="22" max="39" width="9.140625" style="2"/>
    <col min="40" max="40" width="17.140625" style="2" customWidth="1"/>
    <col min="41" max="45" width="9.140625" style="2"/>
    <col min="46" max="46" width="9.7109375" style="2" bestFit="1" customWidth="1"/>
    <col min="47" max="16384" width="9.140625" style="2"/>
  </cols>
  <sheetData>
    <row r="1" spans="1:40" ht="5.25" customHeight="1" thickBot="1" x14ac:dyDescent="0.35">
      <c r="A1" s="1"/>
      <c r="B1" s="1"/>
      <c r="C1" s="1"/>
      <c r="D1" s="1"/>
      <c r="E1" s="1"/>
    </row>
    <row r="2" spans="1:40" ht="19.5" thickBot="1" x14ac:dyDescent="0.35">
      <c r="A2" s="1"/>
      <c r="B2" s="102" t="s">
        <v>57</v>
      </c>
      <c r="C2" s="103"/>
      <c r="D2" s="66"/>
      <c r="E2" s="1"/>
      <c r="F2" s="74" t="s">
        <v>58</v>
      </c>
      <c r="G2" s="75"/>
      <c r="H2" s="75"/>
      <c r="I2" s="75"/>
      <c r="J2" s="75"/>
      <c r="K2" s="75"/>
      <c r="L2" s="75"/>
      <c r="M2" s="75"/>
      <c r="N2" s="75"/>
      <c r="O2" s="75"/>
      <c r="P2" s="76"/>
    </row>
    <row r="3" spans="1:40" ht="19.5" customHeight="1" thickBot="1" x14ac:dyDescent="0.35">
      <c r="A3" s="1"/>
      <c r="B3" s="20" t="s">
        <v>12</v>
      </c>
      <c r="C3" s="18" t="s">
        <v>43</v>
      </c>
      <c r="D3" s="21" t="s">
        <v>13</v>
      </c>
      <c r="E3" s="1"/>
      <c r="F3" s="74" t="s">
        <v>44</v>
      </c>
      <c r="G3" s="75"/>
      <c r="H3" s="75"/>
      <c r="I3" s="75"/>
      <c r="J3" s="76"/>
      <c r="K3" s="74" t="s">
        <v>11</v>
      </c>
      <c r="L3" s="75"/>
      <c r="M3" s="75"/>
      <c r="N3" s="75"/>
      <c r="O3" s="75"/>
      <c r="P3" s="76"/>
      <c r="AN3" s="7" t="s">
        <v>47</v>
      </c>
    </row>
    <row r="4" spans="1:40" ht="19.5" customHeight="1" thickBot="1" x14ac:dyDescent="0.35">
      <c r="B4" s="22">
        <v>42736</v>
      </c>
      <c r="C4" s="12"/>
      <c r="D4" s="23"/>
      <c r="F4" s="77" t="s">
        <v>45</v>
      </c>
      <c r="G4" s="78"/>
      <c r="H4" s="79"/>
      <c r="I4" s="27" t="s">
        <v>0</v>
      </c>
      <c r="J4" s="27" t="s">
        <v>35</v>
      </c>
      <c r="K4" s="27" t="s">
        <v>3</v>
      </c>
      <c r="L4" s="27" t="s">
        <v>4</v>
      </c>
      <c r="M4" s="27" t="s">
        <v>5</v>
      </c>
      <c r="N4" s="27" t="s">
        <v>36</v>
      </c>
      <c r="O4" s="27" t="s">
        <v>7</v>
      </c>
      <c r="P4" s="27" t="s">
        <v>10</v>
      </c>
      <c r="AN4" s="8">
        <v>3000000</v>
      </c>
    </row>
    <row r="5" spans="1:40" ht="19.5" customHeight="1" x14ac:dyDescent="0.3">
      <c r="B5" s="22">
        <v>42767</v>
      </c>
      <c r="C5" s="12"/>
      <c r="D5" s="23"/>
      <c r="F5" s="28" t="s">
        <v>37</v>
      </c>
      <c r="G5" s="29">
        <v>0</v>
      </c>
      <c r="H5" s="29">
        <v>180000</v>
      </c>
      <c r="I5" s="30">
        <v>0.06</v>
      </c>
      <c r="J5" s="31">
        <v>0</v>
      </c>
      <c r="K5" s="32">
        <v>0.04</v>
      </c>
      <c r="L5" s="32">
        <v>3.5000000000000003E-2</v>
      </c>
      <c r="M5" s="32">
        <v>0.12820000000000001</v>
      </c>
      <c r="N5" s="32">
        <v>2.7799999999999998E-2</v>
      </c>
      <c r="O5" s="32">
        <v>0.434</v>
      </c>
      <c r="P5" s="33">
        <v>0.33500000000000002</v>
      </c>
    </row>
    <row r="6" spans="1:40" ht="19.5" customHeight="1" x14ac:dyDescent="0.3">
      <c r="B6" s="22">
        <v>42795</v>
      </c>
      <c r="C6" s="12"/>
      <c r="D6" s="23"/>
      <c r="F6" s="34" t="s">
        <v>38</v>
      </c>
      <c r="G6" s="35">
        <v>180000.01</v>
      </c>
      <c r="H6" s="35">
        <v>360000</v>
      </c>
      <c r="I6" s="36">
        <v>0.112</v>
      </c>
      <c r="J6" s="37">
        <v>9360</v>
      </c>
      <c r="K6" s="32">
        <v>0.04</v>
      </c>
      <c r="L6" s="32">
        <v>3.5000000000000003E-2</v>
      </c>
      <c r="M6" s="32">
        <v>0.14050000000000001</v>
      </c>
      <c r="N6" s="32">
        <v>3.0499999999999999E-2</v>
      </c>
      <c r="O6" s="32">
        <v>0.434</v>
      </c>
      <c r="P6" s="33">
        <v>0.32</v>
      </c>
    </row>
    <row r="7" spans="1:40" ht="16.5" customHeight="1" x14ac:dyDescent="0.3">
      <c r="B7" s="22">
        <v>42826</v>
      </c>
      <c r="C7" s="12"/>
      <c r="D7" s="23"/>
      <c r="F7" s="34" t="s">
        <v>39</v>
      </c>
      <c r="G7" s="35">
        <v>360000.01</v>
      </c>
      <c r="H7" s="35">
        <v>720000</v>
      </c>
      <c r="I7" s="36">
        <v>0.13500000000000001</v>
      </c>
      <c r="J7" s="37">
        <v>17640</v>
      </c>
      <c r="K7" s="32">
        <v>0.04</v>
      </c>
      <c r="L7" s="32">
        <v>3.5000000000000003E-2</v>
      </c>
      <c r="M7" s="32">
        <v>0.13639999999999999</v>
      </c>
      <c r="N7" s="32">
        <v>2.9600000000000001E-2</v>
      </c>
      <c r="O7" s="32">
        <v>0.434</v>
      </c>
      <c r="P7" s="33">
        <v>0.32500000000000001</v>
      </c>
    </row>
    <row r="8" spans="1:40" ht="16.5" customHeight="1" x14ac:dyDescent="0.3">
      <c r="B8" s="22">
        <v>42856</v>
      </c>
      <c r="C8" s="12"/>
      <c r="D8" s="23"/>
      <c r="F8" s="34" t="s">
        <v>40</v>
      </c>
      <c r="G8" s="35">
        <v>720000.01</v>
      </c>
      <c r="H8" s="35">
        <v>1800000</v>
      </c>
      <c r="I8" s="36">
        <v>0.16</v>
      </c>
      <c r="J8" s="37">
        <v>35640</v>
      </c>
      <c r="K8" s="32">
        <v>0.04</v>
      </c>
      <c r="L8" s="32">
        <v>3.5000000000000003E-2</v>
      </c>
      <c r="M8" s="32">
        <v>0.13639999999999999</v>
      </c>
      <c r="N8" s="32">
        <v>2.9600000000000001E-2</v>
      </c>
      <c r="O8" s="32">
        <v>0.434</v>
      </c>
      <c r="P8" s="33">
        <v>0.32500000000000001</v>
      </c>
    </row>
    <row r="9" spans="1:40" ht="17.25" customHeight="1" x14ac:dyDescent="0.3">
      <c r="B9" s="22">
        <v>42887</v>
      </c>
      <c r="C9" s="12"/>
      <c r="D9" s="23"/>
      <c r="F9" s="34" t="s">
        <v>41</v>
      </c>
      <c r="G9" s="35">
        <v>1800000.01</v>
      </c>
      <c r="H9" s="35">
        <v>3600000</v>
      </c>
      <c r="I9" s="36">
        <v>0.21</v>
      </c>
      <c r="J9" s="37">
        <v>125640</v>
      </c>
      <c r="K9" s="32">
        <v>0.04</v>
      </c>
      <c r="L9" s="32">
        <v>3.5000000000000003E-2</v>
      </c>
      <c r="M9" s="32">
        <v>0.12820000000000001</v>
      </c>
      <c r="N9" s="32">
        <v>2.7799999999999998E-2</v>
      </c>
      <c r="O9" s="32">
        <v>0.434</v>
      </c>
      <c r="P9" s="33">
        <v>0.33500000000000002</v>
      </c>
    </row>
    <row r="10" spans="1:40" ht="16.5" customHeight="1" thickBot="1" x14ac:dyDescent="0.35">
      <c r="B10" s="22">
        <v>42917</v>
      </c>
      <c r="C10" s="12"/>
      <c r="D10" s="23"/>
      <c r="F10" s="38" t="s">
        <v>42</v>
      </c>
      <c r="G10" s="39">
        <v>3600000.01</v>
      </c>
      <c r="H10" s="39">
        <v>4800000</v>
      </c>
      <c r="I10" s="40">
        <v>0.33</v>
      </c>
      <c r="J10" s="41">
        <v>648000</v>
      </c>
      <c r="K10" s="42">
        <v>0.35</v>
      </c>
      <c r="L10" s="42">
        <v>0.15</v>
      </c>
      <c r="M10" s="42">
        <v>0.1603</v>
      </c>
      <c r="N10" s="42">
        <v>3.4700000000000002E-2</v>
      </c>
      <c r="O10" s="42">
        <v>0.30499999999999999</v>
      </c>
      <c r="P10" s="43">
        <v>0</v>
      </c>
    </row>
    <row r="11" spans="1:40" ht="18" customHeight="1" x14ac:dyDescent="0.3">
      <c r="B11" s="22">
        <v>42948</v>
      </c>
      <c r="C11" s="12"/>
      <c r="D11" s="23"/>
      <c r="F11" s="7" t="e">
        <f>IF(D19&gt;=AN4,AN3,0)</f>
        <v>#DIV/0!</v>
      </c>
      <c r="G11" s="7"/>
      <c r="H11" s="6"/>
      <c r="I11" s="6"/>
      <c r="J11" s="6"/>
      <c r="K11" s="6"/>
      <c r="L11" s="6"/>
      <c r="M11" s="6"/>
      <c r="N11" s="6"/>
      <c r="O11" s="6"/>
      <c r="P11" s="6"/>
    </row>
    <row r="12" spans="1:40" ht="16.5" customHeight="1" thickBot="1" x14ac:dyDescent="0.35">
      <c r="B12" s="22">
        <v>42979</v>
      </c>
      <c r="C12" s="12"/>
      <c r="D12" s="23"/>
      <c r="J12"/>
      <c r="V12" s="3"/>
      <c r="W12" s="3"/>
      <c r="X12" s="3"/>
    </row>
    <row r="13" spans="1:40" ht="18.75" customHeight="1" x14ac:dyDescent="0.3">
      <c r="B13" s="22">
        <v>43009</v>
      </c>
      <c r="C13" s="12"/>
      <c r="D13" s="23"/>
      <c r="F13" s="67" t="s">
        <v>2</v>
      </c>
      <c r="G13" s="68"/>
      <c r="H13" s="68"/>
      <c r="I13" s="68"/>
      <c r="J13" s="69"/>
      <c r="N13" s="83" t="s">
        <v>9</v>
      </c>
      <c r="O13" s="84"/>
      <c r="P13" s="84"/>
      <c r="Q13" s="84"/>
      <c r="R13" s="84"/>
      <c r="S13" s="84"/>
      <c r="T13" s="85"/>
      <c r="V13" s="3"/>
      <c r="W13" s="3"/>
      <c r="X13" s="3"/>
    </row>
    <row r="14" spans="1:40" ht="17.25" customHeight="1" thickBot="1" x14ac:dyDescent="0.35">
      <c r="B14" s="22">
        <v>43040</v>
      </c>
      <c r="C14" s="12"/>
      <c r="D14" s="23"/>
      <c r="F14" s="44">
        <v>1</v>
      </c>
      <c r="G14" s="86" t="s">
        <v>15</v>
      </c>
      <c r="H14" s="86"/>
      <c r="I14" s="86"/>
      <c r="J14" s="45" t="e">
        <f>D19</f>
        <v>#DIV/0!</v>
      </c>
      <c r="N14" s="63" t="s">
        <v>3</v>
      </c>
      <c r="O14" s="64" t="s">
        <v>4</v>
      </c>
      <c r="P14" s="64" t="s">
        <v>5</v>
      </c>
      <c r="Q14" s="64" t="s">
        <v>6</v>
      </c>
      <c r="R14" s="64" t="s">
        <v>7</v>
      </c>
      <c r="S14" s="64" t="s">
        <v>10</v>
      </c>
      <c r="T14" s="65" t="s">
        <v>8</v>
      </c>
      <c r="V14" s="3"/>
      <c r="W14" s="3"/>
      <c r="X14" s="3"/>
    </row>
    <row r="15" spans="1:40" ht="18.75" customHeight="1" x14ac:dyDescent="0.3">
      <c r="B15" s="22">
        <v>43070</v>
      </c>
      <c r="C15" s="12"/>
      <c r="D15" s="23"/>
      <c r="F15" s="44">
        <v>2</v>
      </c>
      <c r="G15" s="70" t="s">
        <v>16</v>
      </c>
      <c r="H15" s="70"/>
      <c r="I15" s="70"/>
      <c r="J15" s="46" t="e">
        <f>IF(D19&gt;=28%,VLOOKUP(D19,G5:J10,3,TRUE))</f>
        <v>#DIV/0!</v>
      </c>
      <c r="L15" s="91" t="s">
        <v>16</v>
      </c>
      <c r="M15" s="92"/>
      <c r="N15" s="59" t="e">
        <f>IF(D19&gt;=28%,VLOOKUP($D$19,G5:P10,5,TRUE))</f>
        <v>#DIV/0!</v>
      </c>
      <c r="O15" s="59" t="e">
        <f>IF(D19&gt;=28%,VLOOKUP($D$19,G5:P10,6,TRUE))</f>
        <v>#DIV/0!</v>
      </c>
      <c r="P15" s="59" t="e">
        <f>IF($D$19&gt;=28%,VLOOKUP($D$19,G5:P10,7,TRUE))</f>
        <v>#DIV/0!</v>
      </c>
      <c r="Q15" s="59" t="e">
        <f>IF($D$19&gt;=28%,VLOOKUP($D$19,G5:P10,8,TRUE))</f>
        <v>#DIV/0!</v>
      </c>
      <c r="R15" s="59" t="e">
        <f>IF($D$19&gt;=28%,VLOOKUP($D$19,G5:P10,9,TRUE))</f>
        <v>#DIV/0!</v>
      </c>
      <c r="S15" s="59" t="e">
        <f>IF($D$19&gt;=28%,VLOOKUP($D$19,G5:P10,10,TRUE))</f>
        <v>#DIV/0!</v>
      </c>
      <c r="T15" s="60" t="e">
        <f>SUM(N15:S15)</f>
        <v>#DIV/0!</v>
      </c>
      <c r="V15" s="3"/>
      <c r="W15" s="3"/>
      <c r="X15" s="3"/>
    </row>
    <row r="16" spans="1:40" ht="19.5" thickBot="1" x14ac:dyDescent="0.35">
      <c r="B16" s="100" t="s">
        <v>8</v>
      </c>
      <c r="C16" s="101"/>
      <c r="D16" s="24">
        <f>SUM(D4:D15)</f>
        <v>0</v>
      </c>
      <c r="F16" s="44">
        <v>3</v>
      </c>
      <c r="G16" s="70" t="s">
        <v>17</v>
      </c>
      <c r="H16" s="70"/>
      <c r="I16" s="70"/>
      <c r="J16" s="47" t="e">
        <f>J14*J15</f>
        <v>#DIV/0!</v>
      </c>
      <c r="L16" s="89" t="s">
        <v>20</v>
      </c>
      <c r="M16" s="90"/>
      <c r="N16" s="61" t="e">
        <f>N15*$J$19</f>
        <v>#DIV/0!</v>
      </c>
      <c r="O16" s="61" t="e">
        <f>$J$19*O15</f>
        <v>#DIV/0!</v>
      </c>
      <c r="P16" s="61" t="e">
        <f>$J$19*P15</f>
        <v>#DIV/0!</v>
      </c>
      <c r="Q16" s="61" t="e">
        <f>$J$19*Q15</f>
        <v>#DIV/0!</v>
      </c>
      <c r="R16" s="61" t="e">
        <f>$J$19*R15</f>
        <v>#DIV/0!</v>
      </c>
      <c r="S16" s="61" t="e">
        <f>S15*J19</f>
        <v>#DIV/0!</v>
      </c>
      <c r="T16" s="62" t="e">
        <f>J19*T15</f>
        <v>#DIV/0!</v>
      </c>
      <c r="V16" s="3"/>
      <c r="W16" s="3"/>
      <c r="X16" s="3"/>
    </row>
    <row r="17" spans="2:24" ht="19.5" thickBot="1" x14ac:dyDescent="0.35">
      <c r="B17" s="100" t="s">
        <v>21</v>
      </c>
      <c r="C17" s="101"/>
      <c r="D17" s="25">
        <f>SUM(C4:C15)</f>
        <v>0</v>
      </c>
      <c r="F17" s="44">
        <v>4</v>
      </c>
      <c r="G17" s="70" t="s">
        <v>18</v>
      </c>
      <c r="H17" s="70"/>
      <c r="I17" s="70"/>
      <c r="J17" s="48" t="e">
        <f>IF(D19&gt;=28%,VLOOKUP(D19,G5:J10,4,TRUE))</f>
        <v>#DIV/0!</v>
      </c>
      <c r="L17" s="87" t="s">
        <v>55</v>
      </c>
      <c r="M17" s="88"/>
      <c r="N17" s="57" t="e">
        <f>IF(S16&gt;5%,((S16-5%)*6.02%),0)</f>
        <v>#DIV/0!</v>
      </c>
      <c r="O17" s="57" t="e">
        <f>IF(S16&gt;5%,((S16-5%)*5.26%),0)</f>
        <v>#DIV/0!</v>
      </c>
      <c r="P17" s="57" t="e">
        <f>IF(S16&gt;5%,((S16-5%)*19.28%),0)</f>
        <v>#DIV/0!</v>
      </c>
      <c r="Q17" s="57" t="e">
        <f>IF(S16&gt;5%,((S16-5%)*4.18%),0)</f>
        <v>#DIV/0!</v>
      </c>
      <c r="R17" s="57" t="e">
        <f>IF(S16&gt;5%,((S16-5%)*65.26%),0)</f>
        <v>#DIV/0!</v>
      </c>
      <c r="S17" s="58" t="e">
        <f>IF(S16&lt;5%,0,S16-5%)</f>
        <v>#DIV/0!</v>
      </c>
      <c r="T17" s="11"/>
      <c r="U17" s="3"/>
      <c r="V17" s="3"/>
      <c r="W17" s="3"/>
      <c r="X17" s="3"/>
    </row>
    <row r="18" spans="2:24" ht="19.5" thickBot="1" x14ac:dyDescent="0.35">
      <c r="B18" s="100" t="s">
        <v>22</v>
      </c>
      <c r="C18" s="101"/>
      <c r="D18" s="25" t="e">
        <f>D16/D17</f>
        <v>#DIV/0!</v>
      </c>
      <c r="F18" s="44">
        <v>5</v>
      </c>
      <c r="G18" s="70" t="s">
        <v>19</v>
      </c>
      <c r="H18" s="70"/>
      <c r="I18" s="70"/>
      <c r="J18" s="49" t="e">
        <f>J16-J17</f>
        <v>#DIV/0!</v>
      </c>
      <c r="L18" s="89" t="s">
        <v>20</v>
      </c>
      <c r="M18" s="90"/>
      <c r="N18" s="55" t="e">
        <f>N16+N17</f>
        <v>#DIV/0!</v>
      </c>
      <c r="O18" s="55" t="e">
        <f>O16+O17</f>
        <v>#DIV/0!</v>
      </c>
      <c r="P18" s="55" t="e">
        <f>P16+P17</f>
        <v>#DIV/0!</v>
      </c>
      <c r="Q18" s="55" t="e">
        <f>Q16+Q17</f>
        <v>#DIV/0!</v>
      </c>
      <c r="R18" s="55" t="e">
        <f>R16+R17</f>
        <v>#DIV/0!</v>
      </c>
      <c r="S18" s="55" t="e">
        <f>S16-S17</f>
        <v>#DIV/0!</v>
      </c>
      <c r="T18" s="56" t="e">
        <f>SUM(N18:S18)</f>
        <v>#DIV/0!</v>
      </c>
      <c r="U18" s="10"/>
      <c r="V18" s="3"/>
      <c r="W18" s="3"/>
      <c r="X18" s="3"/>
    </row>
    <row r="19" spans="2:24" ht="18.75" customHeight="1" thickBot="1" x14ac:dyDescent="0.35">
      <c r="B19" s="104" t="s">
        <v>14</v>
      </c>
      <c r="C19" s="105"/>
      <c r="D19" s="26" t="e">
        <f>D18*12</f>
        <v>#DIV/0!</v>
      </c>
      <c r="F19" s="50">
        <v>6</v>
      </c>
      <c r="G19" s="71" t="s">
        <v>20</v>
      </c>
      <c r="H19" s="71"/>
      <c r="I19" s="71"/>
      <c r="J19" s="51" t="e">
        <f>J18/J14</f>
        <v>#DIV/0!</v>
      </c>
      <c r="U19" s="10"/>
    </row>
    <row r="20" spans="2:24" ht="19.5" thickBot="1" x14ac:dyDescent="0.35"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2:24" ht="19.5" thickBot="1" x14ac:dyDescent="0.35">
      <c r="B21" s="98" t="s">
        <v>48</v>
      </c>
      <c r="C21" s="99"/>
      <c r="D21" s="106"/>
      <c r="F21" s="80" t="s">
        <v>1</v>
      </c>
      <c r="G21" s="81"/>
      <c r="H21" s="81"/>
      <c r="I21" s="81"/>
      <c r="J21" s="82"/>
    </row>
    <row r="22" spans="2:24" x14ac:dyDescent="0.3">
      <c r="B22" s="98" t="s">
        <v>49</v>
      </c>
      <c r="C22" s="99"/>
      <c r="D22" s="106"/>
      <c r="F22" s="52">
        <v>7</v>
      </c>
      <c r="G22" s="72" t="s">
        <v>52</v>
      </c>
      <c r="H22" s="73"/>
      <c r="I22" s="53" t="e">
        <f>J19</f>
        <v>#DIV/0!</v>
      </c>
      <c r="J22" s="107" t="e">
        <f>D21*I22</f>
        <v>#DIV/0!</v>
      </c>
    </row>
    <row r="23" spans="2:24" x14ac:dyDescent="0.3">
      <c r="B23" s="98" t="s">
        <v>50</v>
      </c>
      <c r="C23" s="99"/>
      <c r="D23" s="106"/>
      <c r="F23" s="52">
        <v>8</v>
      </c>
      <c r="G23" s="93" t="s">
        <v>53</v>
      </c>
      <c r="H23" s="94"/>
      <c r="I23" s="53" t="e">
        <f>I22-S16</f>
        <v>#DIV/0!</v>
      </c>
      <c r="J23" s="107" t="e">
        <f>D22*I23</f>
        <v>#DIV/0!</v>
      </c>
    </row>
    <row r="24" spans="2:24" x14ac:dyDescent="0.3">
      <c r="B24" s="98" t="s">
        <v>51</v>
      </c>
      <c r="C24" s="99"/>
      <c r="D24" s="19">
        <f>SUM(D21:D23)</f>
        <v>0</v>
      </c>
      <c r="F24" s="52">
        <v>9</v>
      </c>
      <c r="G24" s="93" t="s">
        <v>54</v>
      </c>
      <c r="H24" s="94"/>
      <c r="I24" s="53" t="e">
        <f>I22-S16</f>
        <v>#DIV/0!</v>
      </c>
      <c r="J24" s="107" t="e">
        <f>D23*I24</f>
        <v>#DIV/0!</v>
      </c>
    </row>
    <row r="25" spans="2:24" ht="19.5" thickBot="1" x14ac:dyDescent="0.35">
      <c r="B25" s="9"/>
      <c r="C25" s="9"/>
      <c r="F25" s="50">
        <v>10</v>
      </c>
      <c r="G25" s="95" t="s">
        <v>46</v>
      </c>
      <c r="H25" s="96"/>
      <c r="I25" s="97"/>
      <c r="J25" s="54" t="e">
        <f>SUM(J22:J24)</f>
        <v>#DIV/0!</v>
      </c>
    </row>
    <row r="26" spans="2:24" x14ac:dyDescent="0.3">
      <c r="U26" s="3"/>
    </row>
    <row r="27" spans="2:24" x14ac:dyDescent="0.3">
      <c r="K27" s="4"/>
      <c r="U27" s="3"/>
    </row>
    <row r="28" spans="2:24" x14ac:dyDescent="0.3">
      <c r="K28" s="4"/>
      <c r="U28" s="3"/>
    </row>
    <row r="29" spans="2:24" x14ac:dyDescent="0.3">
      <c r="Q29" s="5"/>
      <c r="S29" s="3"/>
      <c r="T29" s="3"/>
      <c r="U29" s="3"/>
    </row>
    <row r="30" spans="2:24" x14ac:dyDescent="0.3">
      <c r="F30" s="7" t="e">
        <f>IF(D19&gt;=AN4,AN3,0)</f>
        <v>#DIV/0!</v>
      </c>
      <c r="G30" s="7"/>
    </row>
    <row r="37" spans="6:7" x14ac:dyDescent="0.3">
      <c r="F37" s="7" t="e">
        <f>IF(D19&gt;=AN4,AN3,0)</f>
        <v>#DIV/0!</v>
      </c>
      <c r="G37" s="7"/>
    </row>
  </sheetData>
  <sheetProtection algorithmName="SHA-512" hashValue="D2i6fuHtx5iPQcHkpsiTEMzOzTvM1+67BrAFn3C2YkmkmfbxykJapWyA9xLD8hc8bc35hb2QISQPeItrlAqIWg==" saltValue="8ci5HqK+cH2zqbh8DMruSA==" spinCount="100000" sheet="1" objects="1" scenarios="1"/>
  <mergeCells count="30">
    <mergeCell ref="B24:C24"/>
    <mergeCell ref="B22:C22"/>
    <mergeCell ref="B23:C23"/>
    <mergeCell ref="B16:C16"/>
    <mergeCell ref="B2:C2"/>
    <mergeCell ref="B17:C17"/>
    <mergeCell ref="B18:C18"/>
    <mergeCell ref="B21:C21"/>
    <mergeCell ref="B19:C19"/>
    <mergeCell ref="L16:M16"/>
    <mergeCell ref="L15:M15"/>
    <mergeCell ref="G23:H23"/>
    <mergeCell ref="G24:H24"/>
    <mergeCell ref="G25:I25"/>
    <mergeCell ref="F13:J13"/>
    <mergeCell ref="G18:I18"/>
    <mergeCell ref="G19:I19"/>
    <mergeCell ref="G22:H22"/>
    <mergeCell ref="F2:P2"/>
    <mergeCell ref="F3:J3"/>
    <mergeCell ref="F4:H4"/>
    <mergeCell ref="K3:P3"/>
    <mergeCell ref="F21:J21"/>
    <mergeCell ref="N13:T13"/>
    <mergeCell ref="G14:I14"/>
    <mergeCell ref="G15:I15"/>
    <mergeCell ref="G16:I16"/>
    <mergeCell ref="G17:I17"/>
    <mergeCell ref="L17:M17"/>
    <mergeCell ref="L18:M18"/>
  </mergeCells>
  <pageMargins left="0.31496062992125984" right="0.31496062992125984" top="0.39370078740157483" bottom="0.39370078740157483" header="0.31496062992125984" footer="0.31496062992125984"/>
  <pageSetup paperSize="9" orientation="portrait" horizont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Orientações</vt:lpstr>
      <vt:lpstr>Anexo III</vt:lpstr>
    </vt:vector>
  </TitlesOfParts>
  <Company>mega.info@uol.com.br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leonardark@hotmail.com</dc:creator>
  <cp:lastModifiedBy>Adriano</cp:lastModifiedBy>
  <cp:lastPrinted>2011-07-28T13:40:48Z</cp:lastPrinted>
  <dcterms:created xsi:type="dcterms:W3CDTF">2011-07-28T13:16:20Z</dcterms:created>
  <dcterms:modified xsi:type="dcterms:W3CDTF">2018-02-09T14:39:50Z</dcterms:modified>
</cp:coreProperties>
</file>