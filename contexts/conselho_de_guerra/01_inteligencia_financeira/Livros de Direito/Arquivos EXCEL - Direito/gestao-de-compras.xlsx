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85" windowWidth="8520" windowHeight="3990"/>
  </bookViews>
  <sheets>
    <sheet name="Início" sheetId="6" r:id="rId1"/>
    <sheet name="Cadastramento" sheetId="1" r:id="rId2"/>
    <sheet name="Compras" sheetId="2" r:id="rId3"/>
    <sheet name="Referências de Cálculo" sheetId="3" state="hidden" r:id="rId4"/>
    <sheet name="Gráfico Mensal" sheetId="4" r:id="rId5"/>
    <sheet name="Gráfico por Fornecedor" sheetId="5" r:id="rId6"/>
  </sheets>
  <calcPr calcId="145621"/>
</workbook>
</file>

<file path=xl/calcChain.xml><?xml version="1.0" encoding="utf-8"?>
<calcChain xmlns="http://schemas.openxmlformats.org/spreadsheetml/2006/main">
  <c r="C5" i="2" l="1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F10" i="3" l="1"/>
  <c r="G10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" i="3"/>
  <c r="G2" i="3" s="1"/>
  <c r="C13" i="3"/>
  <c r="C12" i="3"/>
  <c r="C11" i="3"/>
  <c r="C10" i="3"/>
  <c r="C9" i="3"/>
  <c r="C8" i="3"/>
  <c r="C7" i="3"/>
  <c r="C6" i="3"/>
  <c r="C5" i="3"/>
  <c r="C4" i="3"/>
  <c r="C3" i="3"/>
  <c r="C2" i="3"/>
  <c r="G22" i="3" l="1"/>
  <c r="C14" i="3"/>
</calcChain>
</file>

<file path=xl/sharedStrings.xml><?xml version="1.0" encoding="utf-8"?>
<sst xmlns="http://schemas.openxmlformats.org/spreadsheetml/2006/main" count="89" uniqueCount="29">
  <si>
    <t>Relação de Materiais</t>
  </si>
  <si>
    <t>Materiais</t>
  </si>
  <si>
    <t>Fornecedor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</si>
  <si>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</si>
  <si>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</si>
  <si>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</si>
  <si>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</si>
  <si>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</si>
  <si>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</si>
  <si>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</si>
  <si>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</si>
  <si>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</si>
  <si>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</si>
  <si>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</si>
  <si>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</si>
  <si>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Quantidade</t>
  </si>
  <si>
    <t>Preço</t>
  </si>
  <si>
    <t>Fornecedores</t>
  </si>
  <si>
    <t>Nome</t>
  </si>
  <si>
    <t>Telefone</t>
  </si>
  <si>
    <t>e-mail</t>
  </si>
  <si>
    <t>Total</t>
  </si>
  <si>
    <t>Gasto por Fornecedor</t>
  </si>
  <si>
    <t>Gasto Por Mês</t>
  </si>
  <si>
    <r>
      <rPr>
        <b/>
        <i/>
        <sz val="18"/>
        <color theme="0"/>
        <rFont val="Calibri"/>
        <family val="2"/>
        <scheme val="minor"/>
      </rPr>
      <t xml:space="preserve">GERENCIAMENTO DE COMPRAS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</si>
  <si>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GERENCIAMENTO DE COMPRAS </t>
    </r>
    <r>
      <rPr>
        <i/>
        <sz val="16"/>
        <color theme="0"/>
        <rFont val="Calibri"/>
        <family val="2"/>
        <scheme val="minor"/>
      </rPr>
      <t>- CADASTRAMENTO</t>
    </r>
  </si>
  <si>
    <r>
      <rPr>
        <b/>
        <i/>
        <sz val="18"/>
        <color theme="0"/>
        <rFont val="Calibri"/>
        <family val="2"/>
        <scheme val="minor"/>
      </rPr>
      <t xml:space="preserve">GERENCIAMENTO DE COMPRAS </t>
    </r>
    <r>
      <rPr>
        <i/>
        <sz val="16"/>
        <color theme="0"/>
        <rFont val="Calibri"/>
        <family val="2"/>
        <scheme val="minor"/>
      </rPr>
      <t>- COMPRAS</t>
    </r>
  </si>
  <si>
    <r>
      <rPr>
        <b/>
        <i/>
        <sz val="18"/>
        <color theme="0"/>
        <rFont val="Calibri"/>
        <family val="2"/>
        <scheme val="minor"/>
      </rPr>
      <t xml:space="preserve">GERENCIAMENTO DE COMPRAS </t>
    </r>
    <r>
      <rPr>
        <i/>
        <sz val="16"/>
        <color theme="0"/>
        <rFont val="Calibri"/>
        <family val="2"/>
        <scheme val="minor"/>
      </rPr>
      <t>- GRÁFICO MENSAL</t>
    </r>
  </si>
  <si>
    <r>
      <rPr>
        <b/>
        <i/>
        <sz val="18"/>
        <color theme="0"/>
        <rFont val="Calibri"/>
        <family val="2"/>
        <scheme val="minor"/>
      </rPr>
      <t xml:space="preserve">GERENCIAMENTO DE COMPRAS </t>
    </r>
    <r>
      <rPr>
        <i/>
        <sz val="16"/>
        <color theme="0"/>
        <rFont val="Calibri"/>
        <family val="2"/>
        <scheme val="minor"/>
      </rPr>
      <t xml:space="preserve">- GRÁFICO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</si>
</sst>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R_$_-;\-* #,##0.00\ _R_$_-;_-* &quot;-&quot;??\ _R_$_-;_-@_-"/>
    <numFmt numFmtId="165" formatCode="_-* #,##0.0\ _R_$_-;\-* #,##0.0\ _R_$_-;_-* &quot;-&quot;??\ _R_$_-;_-@_-"/>
  </numFmts>
  <fonts count="10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808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164" fontId="1" fillId="2" borderId="5" xfId="1" applyFont="1" applyFill="1" applyBorder="1" applyAlignment="1">
      <alignment horizontal="center" vertical="center"/>
    </xf>
    <xf numFmtId="164" fontId="0" fillId="0" borderId="20" xfId="1" applyFont="1" applyFill="1" applyBorder="1" applyAlignment="1">
      <alignment horizontal="center" vertical="center"/>
    </xf>
    <xf numFmtId="164" fontId="0" fillId="0" borderId="2" xfId="1" applyFont="1" applyFill="1" applyBorder="1" applyAlignment="1">
      <alignment horizontal="center" vertical="center"/>
    </xf>
    <xf numFmtId="164" fontId="0" fillId="0" borderId="21" xfId="1" applyFont="1" applyFill="1" applyBorder="1" applyAlignment="1">
      <alignment horizontal="center" vertical="center"/>
    </xf>
    <xf numFmtId="164" fontId="0" fillId="0" borderId="0" xfId="1" applyFont="1" applyFill="1" applyAlignment="1">
      <alignment horizontal="center" vertical="center"/>
    </xf>
    <xf numFmtId="164" fontId="0" fillId="4" borderId="11" xfId="1" applyFont="1" applyFill="1" applyBorder="1" applyAlignment="1">
      <alignment horizontal="center" vertical="center"/>
    </xf>
    <xf numFmtId="164" fontId="0" fillId="4" borderId="12" xfId="1" applyFont="1" applyFill="1" applyBorder="1" applyAlignment="1">
      <alignment horizontal="center" vertical="center"/>
    </xf>
    <xf numFmtId="164" fontId="0" fillId="4" borderId="13" xfId="1" applyFont="1" applyFill="1" applyBorder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1" fillId="3" borderId="2" xfId="1" applyFont="1" applyFill="1" applyBorder="1" applyAlignment="1">
      <alignment horizontal="center" vertical="center"/>
    </xf>
    <xf numFmtId="164" fontId="0" fillId="0" borderId="6" xfId="1" applyFont="1" applyFill="1" applyBorder="1" applyAlignment="1">
      <alignment horizontal="center" vertical="center"/>
    </xf>
    <xf numFmtId="164" fontId="0" fillId="0" borderId="7" xfId="1" applyFont="1" applyFill="1" applyBorder="1" applyAlignment="1">
      <alignment horizontal="center" vertical="center"/>
    </xf>
    <xf numFmtId="164" fontId="0" fillId="0" borderId="8" xfId="1" applyFont="1" applyFill="1" applyBorder="1" applyAlignment="1">
      <alignment horizontal="center" vertical="center"/>
    </xf>
    <xf numFmtId="164" fontId="0" fillId="0" borderId="9" xfId="1" applyFont="1" applyFill="1" applyBorder="1" applyAlignment="1">
      <alignment horizontal="center" vertical="center"/>
    </xf>
    <xf numFmtId="164" fontId="0" fillId="0" borderId="1" xfId="1" applyFont="1" applyFill="1" applyBorder="1" applyAlignment="1">
      <alignment horizontal="center" vertical="center"/>
    </xf>
    <xf numFmtId="164" fontId="0" fillId="0" borderId="10" xfId="1" applyFont="1" applyFill="1" applyBorder="1" applyAlignment="1">
      <alignment horizontal="center" vertical="center"/>
    </xf>
    <xf numFmtId="165" fontId="1" fillId="2" borderId="5" xfId="1" applyNumberFormat="1" applyFont="1" applyFill="1" applyBorder="1" applyAlignment="1">
      <alignment horizontal="center" vertical="center"/>
    </xf>
    <xf numFmtId="165" fontId="0" fillId="0" borderId="9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0" borderId="10" xfId="1" applyNumberFormat="1" applyFon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64" fontId="1" fillId="2" borderId="1" xfId="1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vertical="center"/>
    </xf>
    <xf numFmtId="0" fontId="5" fillId="7" borderId="24" xfId="0" applyFont="1" applyFill="1" applyBorder="1"/>
    <xf numFmtId="0" fontId="6" fillId="7" borderId="23" xfId="0" applyFont="1" applyFill="1" applyBorder="1" applyAlignment="1">
      <alignment vertical="center"/>
    </xf>
    <xf numFmtId="164" fontId="1" fillId="2" borderId="5" xfId="1" applyFont="1" applyFill="1" applyBorder="1" applyAlignment="1">
      <alignment vertical="center"/>
    </xf>
    <xf numFmtId="164" fontId="1" fillId="2" borderId="25" xfId="1" applyFont="1" applyFill="1" applyBorder="1" applyAlignment="1">
      <alignment vertical="center"/>
    </xf>
    <xf numFmtId="164" fontId="1" fillId="2" borderId="26" xfId="1" applyFont="1" applyFill="1" applyBorder="1" applyAlignment="1">
      <alignment vertical="center"/>
    </xf>
    <xf numFmtId="164" fontId="2" fillId="2" borderId="2" xfId="1" applyFont="1" applyFill="1" applyBorder="1" applyAlignment="1">
      <alignment vertical="center"/>
    </xf>
    <xf numFmtId="164" fontId="2" fillId="2" borderId="3" xfId="1" applyFont="1" applyFill="1" applyBorder="1" applyAlignment="1">
      <alignment vertical="center"/>
    </xf>
    <xf numFmtId="164" fontId="2" fillId="2" borderId="4" xfId="1" applyFont="1" applyFill="1" applyBorder="1" applyAlignment="1">
      <alignment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Gastos por Mês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Gatos por Mês</c:v>
          </c:tx>
          <c:invertIfNegative val="0"/>
          <c:dLbls>
            <c:numFmt formatCode="\ &quot;R$&quot;\ #,##0.00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'Referências de Cálculo'!$B$2:$B$13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'Referências de Cálculo'!$C$2:$C$3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79936"/>
        <c:axId val="56493184"/>
      </c:barChart>
      <c:catAx>
        <c:axId val="51879936"/>
        <c:scaling>
          <c:orientation val="minMax"/>
        </c:scaling>
        <c:delete val="0"/>
        <c:axPos val="b"/>
        <c:majorTickMark val="out"/>
        <c:minorTickMark val="none"/>
        <c:tickLblPos val="nextTo"/>
        <c:crossAx val="56493184"/>
        <c:crosses val="autoZero"/>
        <c:auto val="1"/>
        <c:lblAlgn val="ctr"/>
        <c:lblOffset val="100"/>
        <c:noMultiLvlLbl val="0"/>
      </c:catAx>
      <c:valAx>
        <c:axId val="56493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1879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Gastos por Fornecedor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'Referências de Cálculo'!$F$1</c:f>
              <c:strCache>
                <c:ptCount val="1"/>
                <c:pt idx="0">
                  <c:v>Gasto por Fornecedor</c:v>
                </c:pt>
              </c:strCache>
            </c:strRef>
          </c:tx>
          <c:invertIfNegative val="0"/>
          <c:dLbls>
            <c:numFmt formatCode="\ &quot;R$&quot;\ #,##0.00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'Referências de Cálculo'!$F$2:$F$21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'Referências de Cálculo'!$G$2:$G$4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784384"/>
        <c:axId val="78807424"/>
      </c:barChart>
      <c:catAx>
        <c:axId val="7878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807424"/>
        <c:crosses val="autoZero"/>
        <c:auto val="1"/>
        <c:lblAlgn val="ctr"/>
        <c:lblOffset val="100"/>
        <c:noMultiLvlLbl val="0"/>
      </c:catAx>
      <c:valAx>
        <c:axId val="78807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8784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Gastos por Mês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Gatos por Mês</c:v>
          </c:tx>
          <c:invertIfNegative val="0"/>
          <c:dLbls>
            <c:numFmt formatCode="&quot;R$&quot;\ #,##0.0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'Referências de Cálculo'!$B$2:$B$13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'Referências de Cálculo'!$C$2:$C$13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42144"/>
        <c:axId val="80318848"/>
      </c:barChart>
      <c:catAx>
        <c:axId val="79542144"/>
        <c:scaling>
          <c:orientation val="minMax"/>
        </c:scaling>
        <c:delete val="0"/>
        <c:axPos val="b"/>
        <c:majorTickMark val="out"/>
        <c:minorTickMark val="none"/>
        <c:tickLblPos val="nextTo"/>
        <c:crossAx val="80318848"/>
        <c:crosses val="autoZero"/>
        <c:auto val="1"/>
        <c:lblAlgn val="ctr"/>
        <c:lblOffset val="100"/>
        <c:noMultiLvlLbl val="0"/>
      </c:catAx>
      <c:valAx>
        <c:axId val="80318848"/>
        <c:scaling>
          <c:orientation val="minMax"/>
        </c:scaling>
        <c:delete val="0"/>
        <c:axPos val="l"/>
        <c:numFmt formatCode="&quot;R$&quot;\ #,##0.0" sourceLinked="0"/>
        <c:majorTickMark val="out"/>
        <c:minorTickMark val="none"/>
        <c:tickLblPos val="nextTo"/>
        <c:crossAx val="79542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Gastos por Fornecedor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'Referências de Cálculo'!$F$1</c:f>
              <c:strCache>
                <c:ptCount val="1"/>
                <c:pt idx="0">
                  <c:v>Gasto por Fornecedor</c:v>
                </c:pt>
              </c:strCache>
            </c:strRef>
          </c:tx>
          <c:invertIfNegative val="0"/>
          <c:dLbls>
            <c:numFmt formatCode="&quot;R$&quot;\ #,##0.0" sourceLinked="0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'Referências de Cálculo'!$F$2:$F$21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'Referências de Cálculo'!$G$2:$G$21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70592"/>
        <c:axId val="115053696"/>
      </c:barChart>
      <c:catAx>
        <c:axId val="9627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053696"/>
        <c:crosses val="autoZero"/>
        <c:auto val="1"/>
        <c:lblAlgn val="ctr"/>
        <c:lblOffset val="100"/>
        <c:noMultiLvlLbl val="0"/>
      </c:catAx>
      <c:valAx>
        <c:axId val="115053696"/>
        <c:scaling>
          <c:orientation val="minMax"/>
        </c:scaling>
        <c:delete val="0"/>
        <c:axPos val="l"/>
        <c:numFmt formatCode="&quot;R$&quot;\ #,##0.0" sourceLinked="0"/>
        <c:majorTickMark val="out"/>
        <c:minorTickMark val="none"/>
        <c:tickLblPos val="nextTo"/>
        <c:crossAx val="96270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Gr&#225;fico Mensal'!A1"/><Relationship Id="rId3" Type="http://schemas.openxmlformats.org/officeDocument/2006/relationships/hyperlink" Target="http://www.acelere.vc" TargetMode="External"/><Relationship Id="rId7" Type="http://schemas.openxmlformats.org/officeDocument/2006/relationships/hyperlink" Target="#Cadastramento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hyperlink" Target="#An&#225;lise!A1"/><Relationship Id="rId10" Type="http://schemas.openxmlformats.org/officeDocument/2006/relationships/hyperlink" Target="#'Gr&#225;fico por Fornecedor'!A1"/><Relationship Id="rId4" Type="http://schemas.openxmlformats.org/officeDocument/2006/relationships/image" Target="../media/image1.png"/><Relationship Id="rId9" Type="http://schemas.openxmlformats.org/officeDocument/2006/relationships/hyperlink" Target="#Compr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In&#237;cio!A1"/><Relationship Id="rId1" Type="http://schemas.openxmlformats.org/officeDocument/2006/relationships/chart" Target="../charts/chart3.xml"/><Relationship Id="rId5" Type="http://schemas.openxmlformats.org/officeDocument/2006/relationships/image" Target="../media/image1.png"/><Relationship Id="rId4" Type="http://schemas.openxmlformats.org/officeDocument/2006/relationships/hyperlink" Target="http://www.acelere.vc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In&#237;cio!A1"/><Relationship Id="rId1" Type="http://schemas.openxmlformats.org/officeDocument/2006/relationships/chart" Target="../charts/chart4.xml"/><Relationship Id="rId5" Type="http://schemas.openxmlformats.org/officeDocument/2006/relationships/image" Target="../media/image1.png"/><Relationship Id="rId4" Type="http://schemas.openxmlformats.org/officeDocument/2006/relationships/hyperlink" Target="http://www.acelere.v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11</xdr:row>
      <xdr:rowOff>114301</xdr:rowOff>
    </xdr:from>
    <xdr:to>
      <xdr:col>9</xdr:col>
      <xdr:colOff>609600</xdr:colOff>
      <xdr:row>25</xdr:row>
      <xdr:rowOff>95251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600073</xdr:colOff>
      <xdr:row>11</xdr:row>
      <xdr:rowOff>104775</xdr:rowOff>
    </xdr:from>
    <xdr:to>
      <xdr:col>17</xdr:col>
      <xdr:colOff>466724</xdr:colOff>
      <xdr:row>25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257175</xdr:colOff>
      <xdr:row>0</xdr:row>
      <xdr:rowOff>0</xdr:rowOff>
    </xdr:from>
    <xdr:to>
      <xdr:col>18</xdr:col>
      <xdr:colOff>238125</xdr:colOff>
      <xdr:row>1</xdr:row>
      <xdr:rowOff>22779</xdr:rowOff>
    </xdr:to>
    <xdr:pic>
      <xdr:nvPicPr>
        <xdr:cNvPr id="14" name="Imagem 1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975" y="0"/>
          <a:ext cx="1352550" cy="479979"/>
        </a:xfrm>
        <a:prstGeom prst="rect">
          <a:avLst/>
        </a:prstGeom>
      </xdr:spPr>
    </xdr:pic>
    <xdr:clientData/>
  </xdr:twoCellAnchor>
  <xdr:twoCellAnchor>
    <xdr:from>
      <xdr:col>0</xdr:col>
      <xdr:colOff>582706</xdr:colOff>
      <xdr:row>5</xdr:row>
      <xdr:rowOff>67234</xdr:rowOff>
    </xdr:from>
    <xdr:to>
      <xdr:col>3</xdr:col>
      <xdr:colOff>427505</xdr:colOff>
      <xdr:row>8</xdr:row>
      <xdr:rowOff>68390</xdr:rowOff>
    </xdr:to>
    <xdr:grpSp>
      <xdr:nvGrpSpPr>
        <xdr:cNvPr id="15" name="Grupo 14">
          <a:hlinkClick xmlns:r="http://schemas.openxmlformats.org/officeDocument/2006/relationships" r:id="rId5"/>
        </xdr:cNvPr>
        <xdr:cNvGrpSpPr/>
      </xdr:nvGrpSpPr>
      <xdr:grpSpPr>
        <a:xfrm>
          <a:off x="582706" y="1248334"/>
          <a:ext cx="1902199" cy="544081"/>
          <a:chOff x="285750" y="2400300"/>
          <a:chExt cx="1895475" cy="539038"/>
        </a:xfrm>
      </xdr:grpSpPr>
      <xdr:pic>
        <xdr:nvPicPr>
          <xdr:cNvPr id="16" name="Imagem 15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CaixaDeTexto 16">
            <a:hlinkClick xmlns:r="http://schemas.openxmlformats.org/officeDocument/2006/relationships" r:id="rId7"/>
          </xdr:cNvPr>
          <xdr:cNvSpPr txBox="1"/>
        </xdr:nvSpPr>
        <xdr:spPr>
          <a:xfrm>
            <a:off x="509867" y="2524125"/>
            <a:ext cx="1423707" cy="245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CADASTRAMENTO</a:t>
            </a:r>
          </a:p>
        </xdr:txBody>
      </xdr:sp>
    </xdr:grpSp>
    <xdr:clientData/>
  </xdr:twoCellAnchor>
  <xdr:twoCellAnchor>
    <xdr:from>
      <xdr:col>5</xdr:col>
      <xdr:colOff>515472</xdr:colOff>
      <xdr:row>5</xdr:row>
      <xdr:rowOff>56028</xdr:rowOff>
    </xdr:from>
    <xdr:to>
      <xdr:col>8</xdr:col>
      <xdr:colOff>360270</xdr:colOff>
      <xdr:row>8</xdr:row>
      <xdr:rowOff>57184</xdr:rowOff>
    </xdr:to>
    <xdr:grpSp>
      <xdr:nvGrpSpPr>
        <xdr:cNvPr id="18" name="Grupo 17">
          <a:hlinkClick xmlns:r="http://schemas.openxmlformats.org/officeDocument/2006/relationships" r:id="rId5"/>
        </xdr:cNvPr>
        <xdr:cNvGrpSpPr/>
      </xdr:nvGrpSpPr>
      <xdr:grpSpPr>
        <a:xfrm>
          <a:off x="3944472" y="1237128"/>
          <a:ext cx="1902198" cy="544081"/>
          <a:chOff x="285750" y="2400300"/>
          <a:chExt cx="1895475" cy="539038"/>
        </a:xfrm>
      </xdr:grpSpPr>
      <xdr:pic>
        <xdr:nvPicPr>
          <xdr:cNvPr id="19" name="Imagem 18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CaixaDeTexto 19">
            <a:hlinkClick xmlns:r="http://schemas.openxmlformats.org/officeDocument/2006/relationships" r:id="rId8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 MENSAL</a:t>
            </a:r>
          </a:p>
        </xdr:txBody>
      </xdr:sp>
    </xdr:grpSp>
    <xdr:clientData/>
  </xdr:twoCellAnchor>
  <xdr:twoCellAnchor>
    <xdr:from>
      <xdr:col>0</xdr:col>
      <xdr:colOff>637615</xdr:colOff>
      <xdr:row>16</xdr:row>
      <xdr:rowOff>11205</xdr:rowOff>
    </xdr:from>
    <xdr:to>
      <xdr:col>3</xdr:col>
      <xdr:colOff>482414</xdr:colOff>
      <xdr:row>19</xdr:row>
      <xdr:rowOff>12361</xdr:rowOff>
    </xdr:to>
    <xdr:grpSp>
      <xdr:nvGrpSpPr>
        <xdr:cNvPr id="21" name="Grupo 20">
          <a:hlinkClick xmlns:r="http://schemas.openxmlformats.org/officeDocument/2006/relationships" r:id="rId5"/>
        </xdr:cNvPr>
        <xdr:cNvGrpSpPr/>
      </xdr:nvGrpSpPr>
      <xdr:grpSpPr>
        <a:xfrm>
          <a:off x="637615" y="3183030"/>
          <a:ext cx="1902199" cy="544081"/>
          <a:chOff x="285750" y="2400300"/>
          <a:chExt cx="1895475" cy="539038"/>
        </a:xfrm>
      </xdr:grpSpPr>
      <xdr:pic>
        <xdr:nvPicPr>
          <xdr:cNvPr id="22" name="Imagem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22">
            <a:hlinkClick xmlns:r="http://schemas.openxmlformats.org/officeDocument/2006/relationships" r:id="rId9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COMPRAS</a:t>
            </a:r>
          </a:p>
        </xdr:txBody>
      </xdr:sp>
    </xdr:grpSp>
    <xdr:clientData/>
  </xdr:twoCellAnchor>
  <xdr:twoCellAnchor>
    <xdr:from>
      <xdr:col>12</xdr:col>
      <xdr:colOff>560295</xdr:colOff>
      <xdr:row>5</xdr:row>
      <xdr:rowOff>56030</xdr:rowOff>
    </xdr:from>
    <xdr:to>
      <xdr:col>15</xdr:col>
      <xdr:colOff>405094</xdr:colOff>
      <xdr:row>8</xdr:row>
      <xdr:rowOff>57186</xdr:rowOff>
    </xdr:to>
    <xdr:grpSp>
      <xdr:nvGrpSpPr>
        <xdr:cNvPr id="24" name="Grupo 23">
          <a:hlinkClick xmlns:r="http://schemas.openxmlformats.org/officeDocument/2006/relationships" r:id="rId5"/>
        </xdr:cNvPr>
        <xdr:cNvGrpSpPr/>
      </xdr:nvGrpSpPr>
      <xdr:grpSpPr>
        <a:xfrm>
          <a:off x="8789895" y="1237130"/>
          <a:ext cx="1902199" cy="544081"/>
          <a:chOff x="285750" y="2400300"/>
          <a:chExt cx="1895475" cy="539038"/>
        </a:xfrm>
      </xdr:grpSpPr>
      <xdr:pic>
        <xdr:nvPicPr>
          <xdr:cNvPr id="25" name="Imagem 24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6" name="CaixaDeTexto 25">
            <a:hlinkClick xmlns:r="http://schemas.openxmlformats.org/officeDocument/2006/relationships" r:id="rId10"/>
          </xdr:cNvPr>
          <xdr:cNvSpPr txBox="1"/>
        </xdr:nvSpPr>
        <xdr:spPr>
          <a:xfrm>
            <a:off x="410810" y="2524125"/>
            <a:ext cx="1623018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POR FORNECEDOR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59391</xdr:rowOff>
    </xdr:from>
    <xdr:to>
      <xdr:col>0</xdr:col>
      <xdr:colOff>609600</xdr:colOff>
      <xdr:row>0</xdr:row>
      <xdr:rowOff>389440</xdr:rowOff>
    </xdr:to>
    <xdr:pic>
      <xdr:nvPicPr>
        <xdr:cNvPr id="9" name="Imagem 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9391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9</xdr:col>
      <xdr:colOff>338978</xdr:colOff>
      <xdr:row>0</xdr:row>
      <xdr:rowOff>0</xdr:rowOff>
    </xdr:from>
    <xdr:to>
      <xdr:col>11</xdr:col>
      <xdr:colOff>315445</xdr:colOff>
      <xdr:row>1</xdr:row>
      <xdr:rowOff>0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9853" y="0"/>
          <a:ext cx="1348067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68916</xdr:rowOff>
    </xdr:from>
    <xdr:to>
      <xdr:col>0</xdr:col>
      <xdr:colOff>638175</xdr:colOff>
      <xdr:row>0</xdr:row>
      <xdr:rowOff>398965</xdr:rowOff>
    </xdr:to>
    <xdr:pic>
      <xdr:nvPicPr>
        <xdr:cNvPr id="10" name="Imagem 9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916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8</xdr:col>
      <xdr:colOff>862853</xdr:colOff>
      <xdr:row>0</xdr:row>
      <xdr:rowOff>9525</xdr:rowOff>
    </xdr:from>
    <xdr:to>
      <xdr:col>9</xdr:col>
      <xdr:colOff>629770</xdr:colOff>
      <xdr:row>1</xdr:row>
      <xdr:rowOff>9525</xdr:rowOff>
    </xdr:to>
    <xdr:pic>
      <xdr:nvPicPr>
        <xdr:cNvPr id="11" name="Imagem 10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8428" y="9525"/>
          <a:ext cx="1348067" cy="45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138319</xdr:colOff>
      <xdr:row>2</xdr:row>
      <xdr:rowOff>116369</xdr:rowOff>
    </xdr:from>
    <xdr:to>
      <xdr:col>17</xdr:col>
      <xdr:colOff>328819</xdr:colOff>
      <xdr:row>19</xdr:row>
      <xdr:rowOff>10353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59391</xdr:rowOff>
    </xdr:from>
    <xdr:to>
      <xdr:col>0</xdr:col>
      <xdr:colOff>609600</xdr:colOff>
      <xdr:row>0</xdr:row>
      <xdr:rowOff>389440</xdr:rowOff>
    </xdr:to>
    <xdr:pic>
      <xdr:nvPicPr>
        <xdr:cNvPr id="9" name="Imagem 8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9391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16</xdr:col>
      <xdr:colOff>177053</xdr:colOff>
      <xdr:row>0</xdr:row>
      <xdr:rowOff>0</xdr:rowOff>
    </xdr:from>
    <xdr:to>
      <xdr:col>18</xdr:col>
      <xdr:colOff>153520</xdr:colOff>
      <xdr:row>1</xdr:row>
      <xdr:rowOff>0</xdr:rowOff>
    </xdr:to>
    <xdr:pic>
      <xdr:nvPicPr>
        <xdr:cNvPr id="10" name="Imagem 9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9853" y="0"/>
          <a:ext cx="1348067" cy="457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161925</xdr:rowOff>
    </xdr:from>
    <xdr:to>
      <xdr:col>18</xdr:col>
      <xdr:colOff>257175</xdr:colOff>
      <xdr:row>20</xdr:row>
      <xdr:rowOff>56736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68916</xdr:rowOff>
    </xdr:from>
    <xdr:to>
      <xdr:col>0</xdr:col>
      <xdr:colOff>619125</xdr:colOff>
      <xdr:row>0</xdr:row>
      <xdr:rowOff>398965</xdr:rowOff>
    </xdr:to>
    <xdr:pic>
      <xdr:nvPicPr>
        <xdr:cNvPr id="9" name="Imagem 8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8916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16</xdr:col>
      <xdr:colOff>186578</xdr:colOff>
      <xdr:row>0</xdr:row>
      <xdr:rowOff>9525</xdr:rowOff>
    </xdr:from>
    <xdr:to>
      <xdr:col>18</xdr:col>
      <xdr:colOff>163045</xdr:colOff>
      <xdr:row>1</xdr:row>
      <xdr:rowOff>9525</xdr:rowOff>
    </xdr:to>
    <xdr:pic>
      <xdr:nvPicPr>
        <xdr:cNvPr id="10" name="Imagem 9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9378" y="9525"/>
          <a:ext cx="1348067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showGridLines="0" tabSelected="1" zoomScaleNormal="100" workbookViewId="0">
      <selection activeCell="E4" sqref="E4"/>
    </sheetView>
  </sheetViews>
  <sheetFormatPr defaultRowHeight="14.25" x14ac:dyDescent="0.2"/>
  <sheetData>
    <row r="1" spans="1:25" s="36" customFormat="1" ht="36" customHeight="1" x14ac:dyDescent="0.25">
      <c r="A1" s="44" t="s">
        <v>24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37"/>
      <c r="T1" s="37"/>
      <c r="U1" s="35"/>
      <c r="V1" s="35"/>
      <c r="W1" s="35"/>
      <c r="X1" s="35"/>
      <c r="Y1" s="35"/>
    </row>
    <row r="2" spans="1:25" s="32" customForma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25" s="32" customFormat="1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25" s="32" customFormat="1" x14ac:dyDescent="0.2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25" s="32" customFormat="1" x14ac:dyDescent="0.2"/>
  </sheetData>
  <mergeCells count="1">
    <mergeCell ref="A1:R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showGridLines="0" zoomScaleNormal="100" workbookViewId="0">
      <selection activeCell="B7" sqref="B7:G13"/>
    </sheetView>
  </sheetViews>
  <sheetFormatPr defaultRowHeight="14.25" x14ac:dyDescent="0.2"/>
  <cols>
    <col min="1" max="1" width="9" style="1"/>
    <col min="2" max="3" width="20.125" style="1" customWidth="1"/>
    <col min="4" max="4" width="21" style="1" bestFit="1" customWidth="1"/>
    <col min="5" max="7" width="17.875" style="1" customWidth="1"/>
    <col min="8" max="16384" width="9" style="1"/>
  </cols>
  <sheetData>
    <row r="1" spans="1:25" s="36" customFormat="1" ht="36" customHeight="1" x14ac:dyDescent="0.25">
      <c r="A1" s="44" t="s">
        <v>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37"/>
      <c r="M1" s="37"/>
      <c r="N1" s="37"/>
      <c r="O1" s="37"/>
      <c r="P1" s="37"/>
      <c r="Q1" s="37"/>
      <c r="R1" s="37"/>
      <c r="S1" s="37"/>
      <c r="T1" s="37"/>
      <c r="U1" s="35"/>
      <c r="V1" s="35"/>
      <c r="W1" s="35"/>
      <c r="X1" s="35"/>
      <c r="Y1" s="35"/>
    </row>
    <row r="5" spans="1:25" ht="17.25" customHeight="1" x14ac:dyDescent="0.2">
      <c r="B5" s="8" t="s">
        <v>1</v>
      </c>
      <c r="D5" s="46" t="s">
        <v>17</v>
      </c>
      <c r="E5" s="46"/>
      <c r="F5" s="46"/>
      <c r="G5" s="46"/>
    </row>
    <row r="6" spans="1:25" ht="17.25" customHeight="1" x14ac:dyDescent="0.2">
      <c r="B6" s="9" t="s">
        <v>0</v>
      </c>
      <c r="D6" s="9" t="s">
        <v>18</v>
      </c>
      <c r="E6" s="9" t="s">
        <v>19</v>
      </c>
      <c r="F6" s="9" t="s">
        <v>20</v>
      </c>
      <c r="G6" s="9" t="s">
        <v>1</v>
      </c>
    </row>
    <row r="7" spans="1:25" ht="17.25" customHeight="1" x14ac:dyDescent="0.2">
      <c r="B7" s="3"/>
      <c r="D7" s="3"/>
      <c r="E7" s="3"/>
      <c r="F7" s="10"/>
      <c r="G7" s="3"/>
    </row>
    <row r="8" spans="1:25" ht="17.25" customHeight="1" x14ac:dyDescent="0.2">
      <c r="B8" s="3"/>
      <c r="D8" s="3"/>
      <c r="E8" s="3"/>
      <c r="F8" s="10"/>
      <c r="G8" s="3"/>
    </row>
    <row r="9" spans="1:25" ht="17.25" customHeight="1" x14ac:dyDescent="0.2">
      <c r="B9" s="3"/>
      <c r="D9" s="3"/>
      <c r="E9" s="3"/>
      <c r="F9" s="10"/>
      <c r="G9" s="3"/>
    </row>
    <row r="10" spans="1:25" ht="17.25" customHeight="1" x14ac:dyDescent="0.2">
      <c r="B10" s="3"/>
      <c r="D10" s="3"/>
      <c r="E10" s="3"/>
      <c r="F10" s="10"/>
      <c r="G10" s="3"/>
    </row>
    <row r="11" spans="1:25" ht="17.25" customHeight="1" x14ac:dyDescent="0.2">
      <c r="B11" s="3"/>
      <c r="D11" s="3"/>
      <c r="E11" s="3"/>
      <c r="F11" s="10"/>
      <c r="G11" s="3"/>
    </row>
    <row r="12" spans="1:25" ht="17.25" customHeight="1" x14ac:dyDescent="0.2">
      <c r="B12" s="3"/>
      <c r="D12" s="3"/>
      <c r="E12" s="3"/>
      <c r="F12" s="10"/>
      <c r="G12" s="3"/>
    </row>
    <row r="13" spans="1:25" ht="17.25" customHeight="1" x14ac:dyDescent="0.2">
      <c r="B13" s="3"/>
      <c r="D13" s="3"/>
      <c r="E13" s="3"/>
      <c r="F13" s="10"/>
      <c r="G13" s="3"/>
    </row>
    <row r="14" spans="1:25" ht="17.25" customHeight="1" x14ac:dyDescent="0.2">
      <c r="B14" s="3"/>
      <c r="D14" s="3"/>
      <c r="E14" s="3"/>
      <c r="F14" s="3"/>
      <c r="G14" s="3"/>
    </row>
    <row r="15" spans="1:25" ht="17.25" customHeight="1" x14ac:dyDescent="0.2">
      <c r="B15" s="3"/>
      <c r="D15" s="3"/>
      <c r="E15" s="3"/>
      <c r="F15" s="3"/>
      <c r="G15" s="3"/>
    </row>
    <row r="16" spans="1:25" ht="17.25" customHeight="1" x14ac:dyDescent="0.2">
      <c r="B16" s="3"/>
      <c r="D16" s="3"/>
      <c r="E16" s="3"/>
      <c r="F16" s="3"/>
      <c r="G16" s="3"/>
    </row>
    <row r="17" spans="2:7" ht="17.25" customHeight="1" x14ac:dyDescent="0.2">
      <c r="B17" s="3"/>
      <c r="D17" s="3"/>
      <c r="E17" s="3"/>
      <c r="F17" s="3"/>
      <c r="G17" s="3"/>
    </row>
    <row r="18" spans="2:7" ht="17.25" customHeight="1" x14ac:dyDescent="0.2">
      <c r="B18" s="3"/>
      <c r="D18" s="3"/>
      <c r="E18" s="3"/>
      <c r="F18" s="3"/>
      <c r="G18" s="3"/>
    </row>
    <row r="19" spans="2:7" ht="17.25" customHeight="1" x14ac:dyDescent="0.2">
      <c r="B19" s="3"/>
      <c r="D19" s="3"/>
      <c r="E19" s="3"/>
      <c r="F19" s="3"/>
      <c r="G19" s="3"/>
    </row>
    <row r="20" spans="2:7" ht="17.25" customHeight="1" x14ac:dyDescent="0.2">
      <c r="B20" s="3"/>
      <c r="D20" s="3"/>
      <c r="E20" s="3"/>
      <c r="F20" s="3"/>
      <c r="G20" s="3"/>
    </row>
    <row r="21" spans="2:7" ht="17.25" customHeight="1" x14ac:dyDescent="0.2">
      <c r="B21" s="3"/>
      <c r="D21" s="3"/>
      <c r="E21" s="3"/>
      <c r="F21" s="3"/>
      <c r="G21" s="3"/>
    </row>
    <row r="22" spans="2:7" ht="17.25" customHeight="1" x14ac:dyDescent="0.2">
      <c r="B22" s="3"/>
      <c r="D22" s="3"/>
      <c r="E22" s="3"/>
      <c r="F22" s="3"/>
      <c r="G22" s="3"/>
    </row>
    <row r="23" spans="2:7" ht="17.25" customHeight="1" x14ac:dyDescent="0.2">
      <c r="B23" s="3"/>
      <c r="D23" s="3"/>
      <c r="E23" s="3"/>
      <c r="F23" s="3"/>
      <c r="G23" s="3"/>
    </row>
    <row r="24" spans="2:7" ht="17.25" customHeight="1" x14ac:dyDescent="0.2">
      <c r="B24" s="3"/>
      <c r="D24" s="3"/>
      <c r="E24" s="3"/>
      <c r="F24" s="3"/>
      <c r="G24" s="3"/>
    </row>
    <row r="25" spans="2:7" ht="17.25" customHeight="1" x14ac:dyDescent="0.2">
      <c r="B25" s="3"/>
      <c r="D25" s="3"/>
      <c r="E25" s="3"/>
      <c r="F25" s="3"/>
      <c r="G25" s="3"/>
    </row>
    <row r="26" spans="2:7" ht="17.25" customHeight="1" x14ac:dyDescent="0.2">
      <c r="B26" s="3"/>
      <c r="D26" s="3"/>
      <c r="E26" s="3"/>
      <c r="F26" s="3"/>
      <c r="G26" s="3"/>
    </row>
  </sheetData>
  <mergeCells count="2">
    <mergeCell ref="D5:G5"/>
    <mergeCell ref="A1:K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3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2" sqref="E12"/>
    </sheetView>
  </sheetViews>
  <sheetFormatPr defaultRowHeight="14.25" x14ac:dyDescent="0.2"/>
  <cols>
    <col min="1" max="1" width="18.875" style="1" bestFit="1" customWidth="1"/>
    <col min="2" max="2" width="11.75" style="1" customWidth="1"/>
    <col min="3" max="3" width="16.5" style="1" bestFit="1" customWidth="1"/>
    <col min="4" max="4" width="16.875" style="1" bestFit="1" customWidth="1"/>
    <col min="5" max="5" width="18.625" style="1" bestFit="1" customWidth="1"/>
    <col min="6" max="6" width="15.25" style="1" bestFit="1" customWidth="1"/>
    <col min="7" max="7" width="21.125" style="1" bestFit="1" customWidth="1"/>
    <col min="8" max="8" width="17.5" style="1" bestFit="1" customWidth="1"/>
    <col min="9" max="9" width="20.75" style="1" bestFit="1" customWidth="1"/>
    <col min="10" max="25" width="11.75" style="1" customWidth="1"/>
    <col min="26" max="16384" width="9" style="1"/>
  </cols>
  <sheetData>
    <row r="1" spans="1:25" s="36" customFormat="1" ht="36" customHeight="1" x14ac:dyDescent="0.25">
      <c r="A1" s="44" t="s">
        <v>26</v>
      </c>
      <c r="B1" s="45"/>
      <c r="C1" s="45"/>
      <c r="D1" s="45"/>
      <c r="E1" s="45"/>
      <c r="F1" s="45"/>
      <c r="G1" s="45"/>
      <c r="H1" s="45"/>
      <c r="I1" s="45"/>
      <c r="J1" s="45"/>
      <c r="K1" s="37"/>
      <c r="L1" s="37"/>
      <c r="M1" s="37"/>
      <c r="N1" s="37"/>
      <c r="O1" s="37"/>
      <c r="P1" s="37"/>
      <c r="Q1" s="37"/>
      <c r="R1" s="37"/>
      <c r="S1" s="37"/>
      <c r="T1" s="37"/>
      <c r="U1" s="35"/>
      <c r="V1" s="35"/>
      <c r="W1" s="35"/>
      <c r="X1" s="35"/>
      <c r="Y1" s="35"/>
    </row>
    <row r="4" spans="1:25" ht="22.5" customHeight="1" x14ac:dyDescent="0.2">
      <c r="A4" s="19"/>
      <c r="B4" s="19"/>
      <c r="C4" s="38" t="s">
        <v>1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40"/>
    </row>
    <row r="5" spans="1:25" ht="22.5" customHeight="1" thickBot="1" x14ac:dyDescent="0.25">
      <c r="A5" s="19"/>
      <c r="B5" s="19"/>
      <c r="C5" s="20">
        <f>Cadastramento!B7</f>
        <v>0</v>
      </c>
      <c r="D5" s="20">
        <f>Cadastramento!B8</f>
        <v>0</v>
      </c>
      <c r="E5" s="20">
        <f>Cadastramento!B9</f>
        <v>0</v>
      </c>
      <c r="F5" s="20">
        <f>Cadastramento!B10</f>
        <v>0</v>
      </c>
      <c r="G5" s="20">
        <f>Cadastramento!B11</f>
        <v>0</v>
      </c>
      <c r="H5" s="20">
        <f>Cadastramento!B12</f>
        <v>0</v>
      </c>
      <c r="I5" s="20">
        <f>Cadastramento!B13</f>
        <v>0</v>
      </c>
      <c r="J5" s="20">
        <f>Cadastramento!B14</f>
        <v>0</v>
      </c>
      <c r="K5" s="20">
        <f>Cadastramento!B15</f>
        <v>0</v>
      </c>
      <c r="L5" s="20">
        <f>Cadastramento!B16</f>
        <v>0</v>
      </c>
      <c r="M5" s="20">
        <f>Cadastramento!B17</f>
        <v>0</v>
      </c>
      <c r="N5" s="20">
        <f>Cadastramento!B18</f>
        <v>0</v>
      </c>
      <c r="O5" s="20">
        <f>Cadastramento!B19</f>
        <v>0</v>
      </c>
      <c r="P5" s="20">
        <f>Cadastramento!B20</f>
        <v>0</v>
      </c>
      <c r="Q5" s="20">
        <f>Cadastramento!B21</f>
        <v>0</v>
      </c>
      <c r="R5" s="20">
        <f>Cadastramento!B22</f>
        <v>0</v>
      </c>
      <c r="S5" s="20">
        <f>Cadastramento!B23</f>
        <v>0</v>
      </c>
      <c r="T5" s="20">
        <f>Cadastramento!B24</f>
        <v>0</v>
      </c>
      <c r="U5" s="20">
        <f>Cadastramento!B25</f>
        <v>0</v>
      </c>
      <c r="V5" s="20">
        <f>Cadastramento!B26</f>
        <v>0</v>
      </c>
    </row>
    <row r="6" spans="1:25" s="2" customFormat="1" ht="22.5" customHeight="1" x14ac:dyDescent="0.2">
      <c r="A6" s="41" t="s">
        <v>3</v>
      </c>
      <c r="B6" s="11" t="s">
        <v>2</v>
      </c>
      <c r="C6" s="21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</row>
    <row r="7" spans="1:25" s="31" customFormat="1" ht="22.5" customHeight="1" x14ac:dyDescent="0.2">
      <c r="A7" s="42"/>
      <c r="B7" s="27" t="s">
        <v>15</v>
      </c>
      <c r="C7" s="28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0"/>
    </row>
    <row r="8" spans="1:25" s="15" customFormat="1" ht="22.5" customHeight="1" x14ac:dyDescent="0.2">
      <c r="A8" s="42"/>
      <c r="B8" s="11" t="s">
        <v>16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</row>
    <row r="9" spans="1:25" s="15" customFormat="1" ht="22.5" customHeight="1" thickBot="1" x14ac:dyDescent="0.25">
      <c r="A9" s="43"/>
      <c r="B9" s="11" t="s">
        <v>21</v>
      </c>
      <c r="C9" s="16">
        <f>C8*C7</f>
        <v>0</v>
      </c>
      <c r="D9" s="17">
        <f t="shared" ref="D9:V9" si="0">D8*D7</f>
        <v>0</v>
      </c>
      <c r="E9" s="17">
        <f t="shared" si="0"/>
        <v>0</v>
      </c>
      <c r="F9" s="17">
        <f t="shared" si="0"/>
        <v>0</v>
      </c>
      <c r="G9" s="17">
        <f t="shared" si="0"/>
        <v>0</v>
      </c>
      <c r="H9" s="17">
        <f t="shared" si="0"/>
        <v>0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17">
        <f t="shared" si="0"/>
        <v>0</v>
      </c>
      <c r="M9" s="17">
        <f t="shared" si="0"/>
        <v>0</v>
      </c>
      <c r="N9" s="17">
        <f t="shared" si="0"/>
        <v>0</v>
      </c>
      <c r="O9" s="17">
        <f t="shared" si="0"/>
        <v>0</v>
      </c>
      <c r="P9" s="17">
        <f t="shared" si="0"/>
        <v>0</v>
      </c>
      <c r="Q9" s="17">
        <f t="shared" si="0"/>
        <v>0</v>
      </c>
      <c r="R9" s="17">
        <f t="shared" si="0"/>
        <v>0</v>
      </c>
      <c r="S9" s="17">
        <f t="shared" si="0"/>
        <v>0</v>
      </c>
      <c r="T9" s="17">
        <f t="shared" si="0"/>
        <v>0</v>
      </c>
      <c r="U9" s="17">
        <f t="shared" si="0"/>
        <v>0</v>
      </c>
      <c r="V9" s="18">
        <f t="shared" si="0"/>
        <v>0</v>
      </c>
    </row>
    <row r="10" spans="1:25" s="2" customFormat="1" ht="22.5" customHeight="1" x14ac:dyDescent="0.2">
      <c r="A10" s="41" t="s">
        <v>4</v>
      </c>
      <c r="B10" s="34" t="s">
        <v>2</v>
      </c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3"/>
    </row>
    <row r="11" spans="1:25" s="2" customFormat="1" ht="22.5" customHeight="1" x14ac:dyDescent="0.2">
      <c r="A11" s="42"/>
      <c r="B11" s="34" t="s">
        <v>15</v>
      </c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6"/>
    </row>
    <row r="12" spans="1:25" s="2" customFormat="1" ht="22.5" customHeight="1" x14ac:dyDescent="0.2">
      <c r="A12" s="42"/>
      <c r="B12" s="34" t="s">
        <v>16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spans="1:25" s="2" customFormat="1" ht="22.5" customHeight="1" thickBot="1" x14ac:dyDescent="0.25">
      <c r="A13" s="43"/>
      <c r="B13" s="34" t="s">
        <v>21</v>
      </c>
      <c r="C13" s="16">
        <f>C12*C11</f>
        <v>0</v>
      </c>
      <c r="D13" s="17">
        <f t="shared" ref="D13:V13" si="1">D12*D11</f>
        <v>0</v>
      </c>
      <c r="E13" s="17">
        <f t="shared" si="1"/>
        <v>0</v>
      </c>
      <c r="F13" s="17">
        <f t="shared" si="1"/>
        <v>0</v>
      </c>
      <c r="G13" s="17">
        <f t="shared" si="1"/>
        <v>0</v>
      </c>
      <c r="H13" s="17">
        <f t="shared" si="1"/>
        <v>0</v>
      </c>
      <c r="I13" s="17">
        <f t="shared" si="1"/>
        <v>0</v>
      </c>
      <c r="J13" s="17">
        <f t="shared" si="1"/>
        <v>0</v>
      </c>
      <c r="K13" s="17">
        <f t="shared" si="1"/>
        <v>0</v>
      </c>
      <c r="L13" s="17">
        <f t="shared" si="1"/>
        <v>0</v>
      </c>
      <c r="M13" s="17">
        <f t="shared" si="1"/>
        <v>0</v>
      </c>
      <c r="N13" s="17">
        <f t="shared" si="1"/>
        <v>0</v>
      </c>
      <c r="O13" s="17">
        <f t="shared" si="1"/>
        <v>0</v>
      </c>
      <c r="P13" s="17">
        <f t="shared" si="1"/>
        <v>0</v>
      </c>
      <c r="Q13" s="17">
        <f t="shared" si="1"/>
        <v>0</v>
      </c>
      <c r="R13" s="17">
        <f t="shared" si="1"/>
        <v>0</v>
      </c>
      <c r="S13" s="17">
        <f t="shared" si="1"/>
        <v>0</v>
      </c>
      <c r="T13" s="17">
        <f t="shared" si="1"/>
        <v>0</v>
      </c>
      <c r="U13" s="17">
        <f t="shared" si="1"/>
        <v>0</v>
      </c>
      <c r="V13" s="18">
        <f t="shared" si="1"/>
        <v>0</v>
      </c>
    </row>
    <row r="14" spans="1:25" s="2" customFormat="1" ht="22.5" customHeight="1" x14ac:dyDescent="0.2">
      <c r="A14" s="41" t="s">
        <v>5</v>
      </c>
      <c r="B14" s="34" t="s">
        <v>2</v>
      </c>
      <c r="C14" s="21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3"/>
    </row>
    <row r="15" spans="1:25" s="2" customFormat="1" ht="22.5" customHeight="1" x14ac:dyDescent="0.2">
      <c r="A15" s="42"/>
      <c r="B15" s="34" t="s">
        <v>15</v>
      </c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6"/>
    </row>
    <row r="16" spans="1:25" s="2" customFormat="1" ht="22.5" customHeight="1" x14ac:dyDescent="0.2">
      <c r="A16" s="42"/>
      <c r="B16" s="34" t="s">
        <v>16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</row>
    <row r="17" spans="1:22" s="2" customFormat="1" ht="22.5" customHeight="1" thickBot="1" x14ac:dyDescent="0.25">
      <c r="A17" s="43"/>
      <c r="B17" s="34" t="s">
        <v>21</v>
      </c>
      <c r="C17" s="16">
        <f>C16*C15</f>
        <v>0</v>
      </c>
      <c r="D17" s="17">
        <f t="shared" ref="D17:V17" si="2">D16*D15</f>
        <v>0</v>
      </c>
      <c r="E17" s="17">
        <f t="shared" si="2"/>
        <v>0</v>
      </c>
      <c r="F17" s="17">
        <f t="shared" si="2"/>
        <v>0</v>
      </c>
      <c r="G17" s="17">
        <f t="shared" si="2"/>
        <v>0</v>
      </c>
      <c r="H17" s="17">
        <f t="shared" si="2"/>
        <v>0</v>
      </c>
      <c r="I17" s="17">
        <f t="shared" si="2"/>
        <v>0</v>
      </c>
      <c r="J17" s="17">
        <f t="shared" si="2"/>
        <v>0</v>
      </c>
      <c r="K17" s="17">
        <f t="shared" si="2"/>
        <v>0</v>
      </c>
      <c r="L17" s="17">
        <f t="shared" si="2"/>
        <v>0</v>
      </c>
      <c r="M17" s="17">
        <f t="shared" si="2"/>
        <v>0</v>
      </c>
      <c r="N17" s="17">
        <f t="shared" si="2"/>
        <v>0</v>
      </c>
      <c r="O17" s="17">
        <f t="shared" si="2"/>
        <v>0</v>
      </c>
      <c r="P17" s="17">
        <f t="shared" si="2"/>
        <v>0</v>
      </c>
      <c r="Q17" s="17">
        <f t="shared" si="2"/>
        <v>0</v>
      </c>
      <c r="R17" s="17">
        <f t="shared" si="2"/>
        <v>0</v>
      </c>
      <c r="S17" s="17">
        <f t="shared" si="2"/>
        <v>0</v>
      </c>
      <c r="T17" s="17">
        <f t="shared" si="2"/>
        <v>0</v>
      </c>
      <c r="U17" s="17">
        <f t="shared" si="2"/>
        <v>0</v>
      </c>
      <c r="V17" s="18">
        <f t="shared" si="2"/>
        <v>0</v>
      </c>
    </row>
    <row r="18" spans="1:22" s="2" customFormat="1" ht="22.5" customHeight="1" x14ac:dyDescent="0.2">
      <c r="A18" s="41" t="s">
        <v>6</v>
      </c>
      <c r="B18" s="34" t="s">
        <v>2</v>
      </c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3"/>
    </row>
    <row r="19" spans="1:22" s="2" customFormat="1" ht="22.5" customHeight="1" x14ac:dyDescent="0.2">
      <c r="A19" s="42"/>
      <c r="B19" s="34" t="s">
        <v>15</v>
      </c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6"/>
    </row>
    <row r="20" spans="1:22" s="2" customFormat="1" ht="22.5" customHeight="1" x14ac:dyDescent="0.2">
      <c r="A20" s="42"/>
      <c r="B20" s="34" t="s">
        <v>16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/>
    </row>
    <row r="21" spans="1:22" s="2" customFormat="1" ht="22.5" customHeight="1" thickBot="1" x14ac:dyDescent="0.25">
      <c r="A21" s="43"/>
      <c r="B21" s="34" t="s">
        <v>21</v>
      </c>
      <c r="C21" s="16">
        <f>C20*C19</f>
        <v>0</v>
      </c>
      <c r="D21" s="17">
        <f t="shared" ref="D21:V21" si="3">D20*D19</f>
        <v>0</v>
      </c>
      <c r="E21" s="17">
        <f t="shared" si="3"/>
        <v>0</v>
      </c>
      <c r="F21" s="17">
        <f t="shared" si="3"/>
        <v>0</v>
      </c>
      <c r="G21" s="17">
        <f t="shared" si="3"/>
        <v>0</v>
      </c>
      <c r="H21" s="17">
        <f t="shared" si="3"/>
        <v>0</v>
      </c>
      <c r="I21" s="17">
        <f t="shared" si="3"/>
        <v>0</v>
      </c>
      <c r="J21" s="17">
        <f t="shared" si="3"/>
        <v>0</v>
      </c>
      <c r="K21" s="17">
        <f t="shared" si="3"/>
        <v>0</v>
      </c>
      <c r="L21" s="17">
        <f t="shared" si="3"/>
        <v>0</v>
      </c>
      <c r="M21" s="17">
        <f t="shared" si="3"/>
        <v>0</v>
      </c>
      <c r="N21" s="17">
        <f t="shared" si="3"/>
        <v>0</v>
      </c>
      <c r="O21" s="17">
        <f t="shared" si="3"/>
        <v>0</v>
      </c>
      <c r="P21" s="17">
        <f t="shared" si="3"/>
        <v>0</v>
      </c>
      <c r="Q21" s="17">
        <f t="shared" si="3"/>
        <v>0</v>
      </c>
      <c r="R21" s="17">
        <f t="shared" si="3"/>
        <v>0</v>
      </c>
      <c r="S21" s="17">
        <f t="shared" si="3"/>
        <v>0</v>
      </c>
      <c r="T21" s="17">
        <f t="shared" si="3"/>
        <v>0</v>
      </c>
      <c r="U21" s="17">
        <f t="shared" si="3"/>
        <v>0</v>
      </c>
      <c r="V21" s="18">
        <f t="shared" si="3"/>
        <v>0</v>
      </c>
    </row>
    <row r="22" spans="1:22" s="2" customFormat="1" ht="22.5" customHeight="1" x14ac:dyDescent="0.2">
      <c r="A22" s="41" t="s">
        <v>7</v>
      </c>
      <c r="B22" s="34" t="s">
        <v>2</v>
      </c>
      <c r="C22" s="21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3"/>
    </row>
    <row r="23" spans="1:22" s="2" customFormat="1" ht="22.5" customHeight="1" x14ac:dyDescent="0.2">
      <c r="A23" s="42"/>
      <c r="B23" s="34" t="s">
        <v>15</v>
      </c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6"/>
    </row>
    <row r="24" spans="1:22" s="2" customFormat="1" ht="22.5" customHeight="1" x14ac:dyDescent="0.2">
      <c r="A24" s="42"/>
      <c r="B24" s="34" t="s">
        <v>16</v>
      </c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/>
    </row>
    <row r="25" spans="1:22" s="2" customFormat="1" ht="22.5" customHeight="1" thickBot="1" x14ac:dyDescent="0.25">
      <c r="A25" s="43"/>
      <c r="B25" s="34" t="s">
        <v>21</v>
      </c>
      <c r="C25" s="16">
        <f>C24*C23</f>
        <v>0</v>
      </c>
      <c r="D25" s="17">
        <f t="shared" ref="D25:V25" si="4">D24*D23</f>
        <v>0</v>
      </c>
      <c r="E25" s="17">
        <f t="shared" si="4"/>
        <v>0</v>
      </c>
      <c r="F25" s="17">
        <f t="shared" si="4"/>
        <v>0</v>
      </c>
      <c r="G25" s="17">
        <f t="shared" si="4"/>
        <v>0</v>
      </c>
      <c r="H25" s="17">
        <f t="shared" si="4"/>
        <v>0</v>
      </c>
      <c r="I25" s="17">
        <f t="shared" si="4"/>
        <v>0</v>
      </c>
      <c r="J25" s="17">
        <f t="shared" si="4"/>
        <v>0</v>
      </c>
      <c r="K25" s="17">
        <f t="shared" si="4"/>
        <v>0</v>
      </c>
      <c r="L25" s="17">
        <f t="shared" si="4"/>
        <v>0</v>
      </c>
      <c r="M25" s="17">
        <f t="shared" si="4"/>
        <v>0</v>
      </c>
      <c r="N25" s="17">
        <f t="shared" si="4"/>
        <v>0</v>
      </c>
      <c r="O25" s="17">
        <f t="shared" si="4"/>
        <v>0</v>
      </c>
      <c r="P25" s="17">
        <f t="shared" si="4"/>
        <v>0</v>
      </c>
      <c r="Q25" s="17">
        <f t="shared" si="4"/>
        <v>0</v>
      </c>
      <c r="R25" s="17">
        <f t="shared" si="4"/>
        <v>0</v>
      </c>
      <c r="S25" s="17">
        <f t="shared" si="4"/>
        <v>0</v>
      </c>
      <c r="T25" s="17">
        <f t="shared" si="4"/>
        <v>0</v>
      </c>
      <c r="U25" s="17">
        <f t="shared" si="4"/>
        <v>0</v>
      </c>
      <c r="V25" s="18">
        <f t="shared" si="4"/>
        <v>0</v>
      </c>
    </row>
    <row r="26" spans="1:22" s="2" customFormat="1" ht="22.5" customHeight="1" x14ac:dyDescent="0.2">
      <c r="A26" s="41" t="s">
        <v>8</v>
      </c>
      <c r="B26" s="34" t="s">
        <v>2</v>
      </c>
      <c r="C26" s="21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3"/>
    </row>
    <row r="27" spans="1:22" s="2" customFormat="1" ht="22.5" customHeight="1" x14ac:dyDescent="0.2">
      <c r="A27" s="42"/>
      <c r="B27" s="34" t="s">
        <v>15</v>
      </c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6"/>
    </row>
    <row r="28" spans="1:22" s="2" customFormat="1" ht="22.5" customHeight="1" x14ac:dyDescent="0.2">
      <c r="A28" s="42"/>
      <c r="B28" s="34" t="s">
        <v>16</v>
      </c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4"/>
    </row>
    <row r="29" spans="1:22" s="2" customFormat="1" ht="22.5" customHeight="1" thickBot="1" x14ac:dyDescent="0.25">
      <c r="A29" s="43"/>
      <c r="B29" s="34" t="s">
        <v>21</v>
      </c>
      <c r="C29" s="16">
        <f>C28*C27</f>
        <v>0</v>
      </c>
      <c r="D29" s="17">
        <f t="shared" ref="D29:V29" si="5">D28*D27</f>
        <v>0</v>
      </c>
      <c r="E29" s="17">
        <f t="shared" si="5"/>
        <v>0</v>
      </c>
      <c r="F29" s="17">
        <f t="shared" si="5"/>
        <v>0</v>
      </c>
      <c r="G29" s="17">
        <f t="shared" si="5"/>
        <v>0</v>
      </c>
      <c r="H29" s="17">
        <f t="shared" si="5"/>
        <v>0</v>
      </c>
      <c r="I29" s="17">
        <f t="shared" si="5"/>
        <v>0</v>
      </c>
      <c r="J29" s="17">
        <f t="shared" si="5"/>
        <v>0</v>
      </c>
      <c r="K29" s="17">
        <f t="shared" si="5"/>
        <v>0</v>
      </c>
      <c r="L29" s="17">
        <f t="shared" si="5"/>
        <v>0</v>
      </c>
      <c r="M29" s="17">
        <f t="shared" si="5"/>
        <v>0</v>
      </c>
      <c r="N29" s="17">
        <f t="shared" si="5"/>
        <v>0</v>
      </c>
      <c r="O29" s="17">
        <f t="shared" si="5"/>
        <v>0</v>
      </c>
      <c r="P29" s="17">
        <f t="shared" si="5"/>
        <v>0</v>
      </c>
      <c r="Q29" s="17">
        <f t="shared" si="5"/>
        <v>0</v>
      </c>
      <c r="R29" s="17">
        <f t="shared" si="5"/>
        <v>0</v>
      </c>
      <c r="S29" s="17">
        <f t="shared" si="5"/>
        <v>0</v>
      </c>
      <c r="T29" s="17">
        <f t="shared" si="5"/>
        <v>0</v>
      </c>
      <c r="U29" s="17">
        <f t="shared" si="5"/>
        <v>0</v>
      </c>
      <c r="V29" s="18">
        <f t="shared" si="5"/>
        <v>0</v>
      </c>
    </row>
    <row r="30" spans="1:22" s="2" customFormat="1" ht="22.5" customHeight="1" x14ac:dyDescent="0.2">
      <c r="A30" s="41" t="s">
        <v>9</v>
      </c>
      <c r="B30" s="34" t="s">
        <v>2</v>
      </c>
      <c r="C30" s="21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3"/>
    </row>
    <row r="31" spans="1:22" s="2" customFormat="1" ht="22.5" customHeight="1" x14ac:dyDescent="0.2">
      <c r="A31" s="42"/>
      <c r="B31" s="34" t="s">
        <v>15</v>
      </c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6"/>
    </row>
    <row r="32" spans="1:22" s="2" customFormat="1" ht="22.5" customHeight="1" x14ac:dyDescent="0.2">
      <c r="A32" s="42"/>
      <c r="B32" s="34" t="s">
        <v>16</v>
      </c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4"/>
    </row>
    <row r="33" spans="1:22" s="2" customFormat="1" ht="22.5" customHeight="1" thickBot="1" x14ac:dyDescent="0.25">
      <c r="A33" s="43"/>
      <c r="B33" s="34" t="s">
        <v>21</v>
      </c>
      <c r="C33" s="16">
        <f>C32*C31</f>
        <v>0</v>
      </c>
      <c r="D33" s="17">
        <f t="shared" ref="D33:V33" si="6">D32*D31</f>
        <v>0</v>
      </c>
      <c r="E33" s="17">
        <f t="shared" si="6"/>
        <v>0</v>
      </c>
      <c r="F33" s="17">
        <f t="shared" si="6"/>
        <v>0</v>
      </c>
      <c r="G33" s="17">
        <f t="shared" si="6"/>
        <v>0</v>
      </c>
      <c r="H33" s="17">
        <f t="shared" si="6"/>
        <v>0</v>
      </c>
      <c r="I33" s="17">
        <f t="shared" si="6"/>
        <v>0</v>
      </c>
      <c r="J33" s="17">
        <f t="shared" si="6"/>
        <v>0</v>
      </c>
      <c r="K33" s="17">
        <f t="shared" si="6"/>
        <v>0</v>
      </c>
      <c r="L33" s="17">
        <f t="shared" si="6"/>
        <v>0</v>
      </c>
      <c r="M33" s="17">
        <f t="shared" si="6"/>
        <v>0</v>
      </c>
      <c r="N33" s="17">
        <f t="shared" si="6"/>
        <v>0</v>
      </c>
      <c r="O33" s="17">
        <f t="shared" si="6"/>
        <v>0</v>
      </c>
      <c r="P33" s="17">
        <f t="shared" si="6"/>
        <v>0</v>
      </c>
      <c r="Q33" s="17">
        <f t="shared" si="6"/>
        <v>0</v>
      </c>
      <c r="R33" s="17">
        <f t="shared" si="6"/>
        <v>0</v>
      </c>
      <c r="S33" s="17">
        <f t="shared" si="6"/>
        <v>0</v>
      </c>
      <c r="T33" s="17">
        <f t="shared" si="6"/>
        <v>0</v>
      </c>
      <c r="U33" s="17">
        <f t="shared" si="6"/>
        <v>0</v>
      </c>
      <c r="V33" s="18">
        <f t="shared" si="6"/>
        <v>0</v>
      </c>
    </row>
    <row r="34" spans="1:22" s="2" customFormat="1" ht="22.5" customHeight="1" x14ac:dyDescent="0.2">
      <c r="A34" s="41" t="s">
        <v>10</v>
      </c>
      <c r="B34" s="34" t="s">
        <v>2</v>
      </c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3"/>
    </row>
    <row r="35" spans="1:22" s="2" customFormat="1" ht="22.5" customHeight="1" x14ac:dyDescent="0.2">
      <c r="A35" s="42"/>
      <c r="B35" s="34" t="s">
        <v>15</v>
      </c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6"/>
    </row>
    <row r="36" spans="1:22" s="2" customFormat="1" ht="22.5" customHeight="1" x14ac:dyDescent="0.2">
      <c r="A36" s="42"/>
      <c r="B36" s="34" t="s">
        <v>16</v>
      </c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4"/>
    </row>
    <row r="37" spans="1:22" s="2" customFormat="1" ht="22.5" customHeight="1" thickBot="1" x14ac:dyDescent="0.25">
      <c r="A37" s="43"/>
      <c r="B37" s="34" t="s">
        <v>21</v>
      </c>
      <c r="C37" s="16">
        <f>C36*C35</f>
        <v>0</v>
      </c>
      <c r="D37" s="17">
        <f t="shared" ref="D37:V37" si="7">D36*D35</f>
        <v>0</v>
      </c>
      <c r="E37" s="17">
        <f t="shared" si="7"/>
        <v>0</v>
      </c>
      <c r="F37" s="17">
        <f t="shared" si="7"/>
        <v>0</v>
      </c>
      <c r="G37" s="17">
        <f t="shared" si="7"/>
        <v>0</v>
      </c>
      <c r="H37" s="17">
        <f t="shared" si="7"/>
        <v>0</v>
      </c>
      <c r="I37" s="17">
        <f t="shared" si="7"/>
        <v>0</v>
      </c>
      <c r="J37" s="17">
        <f t="shared" si="7"/>
        <v>0</v>
      </c>
      <c r="K37" s="17">
        <f t="shared" si="7"/>
        <v>0</v>
      </c>
      <c r="L37" s="17">
        <f t="shared" si="7"/>
        <v>0</v>
      </c>
      <c r="M37" s="17">
        <f t="shared" si="7"/>
        <v>0</v>
      </c>
      <c r="N37" s="17">
        <f t="shared" si="7"/>
        <v>0</v>
      </c>
      <c r="O37" s="17">
        <f t="shared" si="7"/>
        <v>0</v>
      </c>
      <c r="P37" s="17">
        <f t="shared" si="7"/>
        <v>0</v>
      </c>
      <c r="Q37" s="17">
        <f t="shared" si="7"/>
        <v>0</v>
      </c>
      <c r="R37" s="17">
        <f t="shared" si="7"/>
        <v>0</v>
      </c>
      <c r="S37" s="17">
        <f t="shared" si="7"/>
        <v>0</v>
      </c>
      <c r="T37" s="17">
        <f t="shared" si="7"/>
        <v>0</v>
      </c>
      <c r="U37" s="17">
        <f t="shared" si="7"/>
        <v>0</v>
      </c>
      <c r="V37" s="18">
        <f t="shared" si="7"/>
        <v>0</v>
      </c>
    </row>
    <row r="38" spans="1:22" s="2" customFormat="1" ht="22.5" customHeight="1" x14ac:dyDescent="0.2">
      <c r="A38" s="41" t="s">
        <v>11</v>
      </c>
      <c r="B38" s="34" t="s">
        <v>2</v>
      </c>
      <c r="C38" s="21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3"/>
    </row>
    <row r="39" spans="1:22" s="2" customFormat="1" ht="22.5" customHeight="1" x14ac:dyDescent="0.2">
      <c r="A39" s="42"/>
      <c r="B39" s="34" t="s">
        <v>15</v>
      </c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6"/>
    </row>
    <row r="40" spans="1:22" s="2" customFormat="1" ht="22.5" customHeight="1" x14ac:dyDescent="0.2">
      <c r="A40" s="42"/>
      <c r="B40" s="34" t="s">
        <v>16</v>
      </c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4"/>
    </row>
    <row r="41" spans="1:22" s="2" customFormat="1" ht="22.5" customHeight="1" thickBot="1" x14ac:dyDescent="0.25">
      <c r="A41" s="43"/>
      <c r="B41" s="34" t="s">
        <v>21</v>
      </c>
      <c r="C41" s="16">
        <f>C40*C39</f>
        <v>0</v>
      </c>
      <c r="D41" s="17">
        <f t="shared" ref="D41:V41" si="8">D40*D39</f>
        <v>0</v>
      </c>
      <c r="E41" s="17">
        <f t="shared" si="8"/>
        <v>0</v>
      </c>
      <c r="F41" s="17">
        <f t="shared" si="8"/>
        <v>0</v>
      </c>
      <c r="G41" s="17">
        <f t="shared" si="8"/>
        <v>0</v>
      </c>
      <c r="H41" s="17">
        <f t="shared" si="8"/>
        <v>0</v>
      </c>
      <c r="I41" s="17">
        <f t="shared" si="8"/>
        <v>0</v>
      </c>
      <c r="J41" s="17">
        <f t="shared" si="8"/>
        <v>0</v>
      </c>
      <c r="K41" s="17">
        <f t="shared" si="8"/>
        <v>0</v>
      </c>
      <c r="L41" s="17">
        <f t="shared" si="8"/>
        <v>0</v>
      </c>
      <c r="M41" s="17">
        <f t="shared" si="8"/>
        <v>0</v>
      </c>
      <c r="N41" s="17">
        <f t="shared" si="8"/>
        <v>0</v>
      </c>
      <c r="O41" s="17">
        <f t="shared" si="8"/>
        <v>0</v>
      </c>
      <c r="P41" s="17">
        <f t="shared" si="8"/>
        <v>0</v>
      </c>
      <c r="Q41" s="17">
        <f t="shared" si="8"/>
        <v>0</v>
      </c>
      <c r="R41" s="17">
        <f t="shared" si="8"/>
        <v>0</v>
      </c>
      <c r="S41" s="17">
        <f t="shared" si="8"/>
        <v>0</v>
      </c>
      <c r="T41" s="17">
        <f t="shared" si="8"/>
        <v>0</v>
      </c>
      <c r="U41" s="17">
        <f t="shared" si="8"/>
        <v>0</v>
      </c>
      <c r="V41" s="18">
        <f t="shared" si="8"/>
        <v>0</v>
      </c>
    </row>
    <row r="42" spans="1:22" s="2" customFormat="1" ht="22.5" customHeight="1" x14ac:dyDescent="0.2">
      <c r="A42" s="41" t="s">
        <v>12</v>
      </c>
      <c r="B42" s="34" t="s">
        <v>2</v>
      </c>
      <c r="C42" s="2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3"/>
    </row>
    <row r="43" spans="1:22" s="2" customFormat="1" ht="22.5" customHeight="1" x14ac:dyDescent="0.2">
      <c r="A43" s="42"/>
      <c r="B43" s="34" t="s">
        <v>15</v>
      </c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6"/>
    </row>
    <row r="44" spans="1:22" s="2" customFormat="1" ht="22.5" customHeight="1" x14ac:dyDescent="0.2">
      <c r="A44" s="42"/>
      <c r="B44" s="34" t="s">
        <v>16</v>
      </c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4"/>
    </row>
    <row r="45" spans="1:22" s="2" customFormat="1" ht="22.5" customHeight="1" thickBot="1" x14ac:dyDescent="0.25">
      <c r="A45" s="43"/>
      <c r="B45" s="34" t="s">
        <v>21</v>
      </c>
      <c r="C45" s="16">
        <f>C44*C43</f>
        <v>0</v>
      </c>
      <c r="D45" s="17">
        <f t="shared" ref="D45:V45" si="9">D44*D43</f>
        <v>0</v>
      </c>
      <c r="E45" s="17">
        <f t="shared" si="9"/>
        <v>0</v>
      </c>
      <c r="F45" s="17">
        <f t="shared" si="9"/>
        <v>0</v>
      </c>
      <c r="G45" s="17">
        <f t="shared" si="9"/>
        <v>0</v>
      </c>
      <c r="H45" s="17">
        <f t="shared" si="9"/>
        <v>0</v>
      </c>
      <c r="I45" s="17">
        <f t="shared" si="9"/>
        <v>0</v>
      </c>
      <c r="J45" s="17">
        <f t="shared" si="9"/>
        <v>0</v>
      </c>
      <c r="K45" s="17">
        <f t="shared" si="9"/>
        <v>0</v>
      </c>
      <c r="L45" s="17">
        <f t="shared" si="9"/>
        <v>0</v>
      </c>
      <c r="M45" s="17">
        <f t="shared" si="9"/>
        <v>0</v>
      </c>
      <c r="N45" s="17">
        <f t="shared" si="9"/>
        <v>0</v>
      </c>
      <c r="O45" s="17">
        <f t="shared" si="9"/>
        <v>0</v>
      </c>
      <c r="P45" s="17">
        <f t="shared" si="9"/>
        <v>0</v>
      </c>
      <c r="Q45" s="17">
        <f t="shared" si="9"/>
        <v>0</v>
      </c>
      <c r="R45" s="17">
        <f t="shared" si="9"/>
        <v>0</v>
      </c>
      <c r="S45" s="17">
        <f t="shared" si="9"/>
        <v>0</v>
      </c>
      <c r="T45" s="17">
        <f t="shared" si="9"/>
        <v>0</v>
      </c>
      <c r="U45" s="17">
        <f t="shared" si="9"/>
        <v>0</v>
      </c>
      <c r="V45" s="18">
        <f t="shared" si="9"/>
        <v>0</v>
      </c>
    </row>
    <row r="46" spans="1:22" s="2" customFormat="1" ht="22.5" customHeight="1" x14ac:dyDescent="0.2">
      <c r="A46" s="41" t="s">
        <v>13</v>
      </c>
      <c r="B46" s="34" t="s">
        <v>2</v>
      </c>
      <c r="C46" s="21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3"/>
    </row>
    <row r="47" spans="1:22" s="2" customFormat="1" ht="22.5" customHeight="1" x14ac:dyDescent="0.2">
      <c r="A47" s="42"/>
      <c r="B47" s="34" t="s">
        <v>15</v>
      </c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6"/>
    </row>
    <row r="48" spans="1:22" s="2" customFormat="1" ht="22.5" customHeight="1" x14ac:dyDescent="0.2">
      <c r="A48" s="42"/>
      <c r="B48" s="34" t="s">
        <v>16</v>
      </c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4"/>
    </row>
    <row r="49" spans="1:22" s="2" customFormat="1" ht="22.5" customHeight="1" thickBot="1" x14ac:dyDescent="0.25">
      <c r="A49" s="43"/>
      <c r="B49" s="34" t="s">
        <v>21</v>
      </c>
      <c r="C49" s="16">
        <f>C48*C47</f>
        <v>0</v>
      </c>
      <c r="D49" s="17">
        <f t="shared" ref="D49:V49" si="10">D48*D47</f>
        <v>0</v>
      </c>
      <c r="E49" s="17">
        <f t="shared" si="10"/>
        <v>0</v>
      </c>
      <c r="F49" s="17">
        <f t="shared" si="10"/>
        <v>0</v>
      </c>
      <c r="G49" s="17">
        <f t="shared" si="10"/>
        <v>0</v>
      </c>
      <c r="H49" s="17">
        <f t="shared" si="10"/>
        <v>0</v>
      </c>
      <c r="I49" s="17">
        <f t="shared" si="10"/>
        <v>0</v>
      </c>
      <c r="J49" s="17">
        <f t="shared" si="10"/>
        <v>0</v>
      </c>
      <c r="K49" s="17">
        <f t="shared" si="10"/>
        <v>0</v>
      </c>
      <c r="L49" s="17">
        <f t="shared" si="10"/>
        <v>0</v>
      </c>
      <c r="M49" s="17">
        <f t="shared" si="10"/>
        <v>0</v>
      </c>
      <c r="N49" s="17">
        <f t="shared" si="10"/>
        <v>0</v>
      </c>
      <c r="O49" s="17">
        <f t="shared" si="10"/>
        <v>0</v>
      </c>
      <c r="P49" s="17">
        <f t="shared" si="10"/>
        <v>0</v>
      </c>
      <c r="Q49" s="17">
        <f t="shared" si="10"/>
        <v>0</v>
      </c>
      <c r="R49" s="17">
        <f t="shared" si="10"/>
        <v>0</v>
      </c>
      <c r="S49" s="17">
        <f t="shared" si="10"/>
        <v>0</v>
      </c>
      <c r="T49" s="17">
        <f t="shared" si="10"/>
        <v>0</v>
      </c>
      <c r="U49" s="17">
        <f t="shared" si="10"/>
        <v>0</v>
      </c>
      <c r="V49" s="18">
        <f t="shared" si="10"/>
        <v>0</v>
      </c>
    </row>
    <row r="50" spans="1:22" s="2" customFormat="1" ht="22.5" customHeight="1" x14ac:dyDescent="0.2">
      <c r="A50" s="41" t="s">
        <v>14</v>
      </c>
      <c r="B50" s="34" t="s">
        <v>2</v>
      </c>
      <c r="C50" s="21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3"/>
    </row>
    <row r="51" spans="1:22" s="2" customFormat="1" ht="22.5" customHeight="1" x14ac:dyDescent="0.2">
      <c r="A51" s="42"/>
      <c r="B51" s="34" t="s">
        <v>15</v>
      </c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6"/>
    </row>
    <row r="52" spans="1:22" s="2" customFormat="1" ht="22.5" customHeight="1" x14ac:dyDescent="0.2">
      <c r="A52" s="42"/>
      <c r="B52" s="34" t="s">
        <v>16</v>
      </c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4"/>
    </row>
    <row r="53" spans="1:22" s="2" customFormat="1" ht="22.5" customHeight="1" thickBot="1" x14ac:dyDescent="0.25">
      <c r="A53" s="43"/>
      <c r="B53" s="34" t="s">
        <v>21</v>
      </c>
      <c r="C53" s="16">
        <f>C52*C51</f>
        <v>0</v>
      </c>
      <c r="D53" s="17">
        <f t="shared" ref="D53:V53" si="11">D52*D51</f>
        <v>0</v>
      </c>
      <c r="E53" s="17">
        <f t="shared" si="11"/>
        <v>0</v>
      </c>
      <c r="F53" s="17">
        <f t="shared" si="11"/>
        <v>0</v>
      </c>
      <c r="G53" s="17">
        <f t="shared" si="11"/>
        <v>0</v>
      </c>
      <c r="H53" s="17">
        <f t="shared" si="11"/>
        <v>0</v>
      </c>
      <c r="I53" s="17">
        <f t="shared" si="11"/>
        <v>0</v>
      </c>
      <c r="J53" s="17">
        <f t="shared" si="11"/>
        <v>0</v>
      </c>
      <c r="K53" s="17">
        <f t="shared" si="11"/>
        <v>0</v>
      </c>
      <c r="L53" s="17">
        <f t="shared" si="11"/>
        <v>0</v>
      </c>
      <c r="M53" s="17">
        <f t="shared" si="11"/>
        <v>0</v>
      </c>
      <c r="N53" s="17">
        <f t="shared" si="11"/>
        <v>0</v>
      </c>
      <c r="O53" s="17">
        <f t="shared" si="11"/>
        <v>0</v>
      </c>
      <c r="P53" s="17">
        <f t="shared" si="11"/>
        <v>0</v>
      </c>
      <c r="Q53" s="17">
        <f t="shared" si="11"/>
        <v>0</v>
      </c>
      <c r="R53" s="17">
        <f t="shared" si="11"/>
        <v>0</v>
      </c>
      <c r="S53" s="17">
        <f t="shared" si="11"/>
        <v>0</v>
      </c>
      <c r="T53" s="17">
        <f t="shared" si="11"/>
        <v>0</v>
      </c>
      <c r="U53" s="17">
        <f t="shared" si="11"/>
        <v>0</v>
      </c>
      <c r="V53" s="18">
        <f t="shared" si="11"/>
        <v>0</v>
      </c>
    </row>
  </sheetData>
  <dataConsolidate/>
  <mergeCells count="1">
    <mergeCell ref="A1:J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Cadastramento!$D$7:$D$26</xm:f>
          </x14:formula1>
          <xm:sqref>C10:V10 C14:V14 C18:V18 C22:V22 C26:V26 C30:V30 C34:V34 C38:V38 C42:V42 C46:V46 C50:V50</xm:sqref>
        </x14:dataValidation>
        <x14:dataValidation type="list" allowBlank="1" showInputMessage="1" showErrorMessage="1">
          <x14:formula1>
            <xm:f>Cadastramento!$D$7:$D$26</xm:f>
          </x14:formula1>
          <xm:sqref>C6:V6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3"/>
  <sheetViews>
    <sheetView showGridLines="0" zoomScale="85" zoomScaleNormal="85" workbookViewId="0">
      <selection activeCell="F2" sqref="F2"/>
    </sheetView>
  </sheetViews>
  <sheetFormatPr defaultRowHeight="14.25" x14ac:dyDescent="0.2"/>
  <cols>
    <col min="2" max="2" width="12.125" customWidth="1"/>
    <col min="3" max="3" width="12.625" customWidth="1"/>
    <col min="6" max="6" width="21.125" bestFit="1" customWidth="1"/>
    <col min="7" max="7" width="12.625" customWidth="1"/>
  </cols>
  <sheetData>
    <row r="1" spans="2:7" ht="23.25" customHeight="1" x14ac:dyDescent="0.2">
      <c r="B1" s="47" t="s">
        <v>23</v>
      </c>
      <c r="C1" s="48"/>
      <c r="F1" s="47" t="s">
        <v>22</v>
      </c>
      <c r="G1" s="48"/>
    </row>
    <row r="2" spans="2:7" ht="23.25" customHeight="1" x14ac:dyDescent="0.2">
      <c r="B2" s="4" t="s">
        <v>3</v>
      </c>
      <c r="C2" s="5">
        <f>SUM(Compras!C9:V9)</f>
        <v>0</v>
      </c>
      <c r="F2" s="4">
        <f>Cadastramento!D7</f>
        <v>0</v>
      </c>
      <c r="G2" s="5">
        <f>SUM(SUMIF(Compras!$C$6:$V$6,F2,Compras!$C$9:$V$9),SUMIF(Compras!$C$10:$V$10,F2,Compras!$C$13:$V$13),SUMIF(Compras!C14:V14,F2,Compras!$C$17:$V$17),SUMIF(Compras!$C$18:$V$18,F2,Compras!$C$21:$V$21),SUMIF(Compras!$C$22:$V$22,F2,Compras!$C$25:$V$25),SUMIF(Compras!$C$26:$V$26,F2,Compras!$C$29:$V$29),SUMIF(Compras!$C$30:$V$30,F2,Compras!$C$33:$V$33),SUMIF(Compras!$C$34:$V$34,F2,Compras!$C$37:$V$37),SUMIF(Compras!$C$38:$V$38,F2,Compras!$C$41:$V$41),SUMIF(Compras!$C$42:$V$42,F2,Compras!$C$45:$V$45),SUMIF(Compras!$C$46:$V$46,F2,Compras!$C$49:$V$49),SUMIF(Compras!$C$50:$V$50,F2,Compras!$C$53:$V$53),)</f>
        <v>0</v>
      </c>
    </row>
    <row r="3" spans="2:7" ht="23.25" customHeight="1" x14ac:dyDescent="0.2">
      <c r="B3" s="4" t="s">
        <v>4</v>
      </c>
      <c r="C3" s="5">
        <f>SUM(Compras!C13:V13)</f>
        <v>0</v>
      </c>
      <c r="F3" s="4">
        <f>Cadastramento!D8</f>
        <v>0</v>
      </c>
      <c r="G3" s="5">
        <f>SUM(SUMIF(Compras!$C$6:$V$6,F3,Compras!$C$9:$V$9),SUMIF(Compras!$C$10:$V$10,F3,Compras!$C$13:$V$13),SUMIF(Compras!C15:V15,F3,Compras!$C$17:$V$17),SUMIF(Compras!$C$18:$V$18,F3,Compras!$C$21:$V$21),SUMIF(Compras!$C$22:$V$22,F3,Compras!$C$25:$V$25),SUMIF(Compras!$C$26:$V$26,F3,Compras!$C$29:$V$29),SUMIF(Compras!$C$30:$V$30,F3,Compras!$C$33:$V$33),SUMIF(Compras!$C$34:$V$34,F3,Compras!$C$37:$V$37),SUMIF(Compras!$C$38:$V$38,F3,Compras!$C$41:$V$41),SUMIF(Compras!$C$42:$V$42,F3,Compras!$C$45:$V$45),SUMIF(Compras!$C$46:$V$46,F3,Compras!$C$49:$V$49),SUMIF(Compras!$C$50:$V$50,F3,Compras!$C$53:$V$53),)</f>
        <v>0</v>
      </c>
    </row>
    <row r="4" spans="2:7" ht="23.25" customHeight="1" x14ac:dyDescent="0.2">
      <c r="B4" s="4" t="s">
        <v>5</v>
      </c>
      <c r="C4" s="5">
        <f>SUM(Compras!C17:V17)</f>
        <v>0</v>
      </c>
      <c r="F4" s="4">
        <f>Cadastramento!D9</f>
        <v>0</v>
      </c>
      <c r="G4" s="5">
        <f>SUM(SUMIF(Compras!$C$6:$V$6,F4,Compras!$C$9:$V$9),SUMIF(Compras!$C$10:$V$10,F4,Compras!$C$13:$V$13),SUMIF(Compras!C17:V17,F4,Compras!$C$17:$V$17),SUMIF(Compras!$C$18:$V$18,F4,Compras!$C$21:$V$21),SUMIF(Compras!$C$22:$V$22,F4,Compras!$C$25:$V$25),SUMIF(Compras!$C$26:$V$26,F4,Compras!$C$29:$V$29),SUMIF(Compras!$C$30:$V$30,F4,Compras!$C$33:$V$33),SUMIF(Compras!$C$34:$V$34,F4,Compras!$C$37:$V$37),SUMIF(Compras!$C$38:$V$38,F4,Compras!$C$41:$V$41),SUMIF(Compras!$C$42:$V$42,F4,Compras!$C$45:$V$45),SUMIF(Compras!$C$46:$V$46,F4,Compras!$C$49:$V$49),SUMIF(Compras!$C$50:$V$50,F4,Compras!$C$53:$V$53),)</f>
        <v>0</v>
      </c>
    </row>
    <row r="5" spans="2:7" ht="23.25" customHeight="1" x14ac:dyDescent="0.2">
      <c r="B5" s="4" t="s">
        <v>6</v>
      </c>
      <c r="C5" s="5">
        <f>SUM(Compras!C21:V21)</f>
        <v>0</v>
      </c>
      <c r="F5" s="4">
        <f>Cadastramento!D10</f>
        <v>0</v>
      </c>
      <c r="G5" s="5">
        <f>SUM(SUMIF(Compras!$C$6:$V$6,F5,Compras!$C$9:$V$9),SUMIF(Compras!$C$10:$V$10,F5,Compras!$C$13:$V$13),SUMIF(Compras!C18:V18,F5,Compras!$C$17:$V$17),SUMIF(Compras!$C$18:$V$18,F5,Compras!$C$21:$V$21),SUMIF(Compras!$C$22:$V$22,F5,Compras!$C$25:$V$25),SUMIF(Compras!$C$26:$V$26,F5,Compras!$C$29:$V$29),SUMIF(Compras!$C$30:$V$30,F5,Compras!$C$33:$V$33),SUMIF(Compras!$C$34:$V$34,F5,Compras!$C$37:$V$37),SUMIF(Compras!$C$38:$V$38,F5,Compras!$C$41:$V$41),SUMIF(Compras!$C$42:$V$42,F5,Compras!$C$45:$V$45),SUMIF(Compras!$C$46:$V$46,F5,Compras!$C$49:$V$49),SUMIF(Compras!$C$50:$V$50,F5,Compras!$C$53:$V$53),)</f>
        <v>0</v>
      </c>
    </row>
    <row r="6" spans="2:7" ht="23.25" customHeight="1" x14ac:dyDescent="0.2">
      <c r="B6" s="4" t="s">
        <v>7</v>
      </c>
      <c r="C6" s="5">
        <f>SUM(Compras!C25:V25)</f>
        <v>0</v>
      </c>
      <c r="F6" s="4">
        <f>Cadastramento!D11</f>
        <v>0</v>
      </c>
      <c r="G6" s="5">
        <f>SUM(SUMIF(Compras!$C$6:$V$6,F6,Compras!$C$9:$V$9),SUMIF(Compras!$C$10:$V$10,F6,Compras!$C$13:$V$13),SUMIF(Compras!C19:V19,F6,Compras!$C$17:$V$17),SUMIF(Compras!$C$18:$V$18,F6,Compras!$C$21:$V$21),SUMIF(Compras!$C$22:$V$22,F6,Compras!$C$25:$V$25),SUMIF(Compras!$C$26:$V$26,F6,Compras!$C$29:$V$29),SUMIF(Compras!$C$30:$V$30,F6,Compras!$C$33:$V$33),SUMIF(Compras!$C$34:$V$34,F6,Compras!$C$37:$V$37),SUMIF(Compras!$C$38:$V$38,F6,Compras!$C$41:$V$41),SUMIF(Compras!$C$42:$V$42,F6,Compras!$C$45:$V$45),SUMIF(Compras!$C$46:$V$46,F6,Compras!$C$49:$V$49),SUMIF(Compras!$C$50:$V$50,F6,Compras!$C$53:$V$53),)</f>
        <v>0</v>
      </c>
    </row>
    <row r="7" spans="2:7" ht="23.25" customHeight="1" x14ac:dyDescent="0.2">
      <c r="B7" s="4" t="s">
        <v>8</v>
      </c>
      <c r="C7" s="5">
        <f>SUM(Compras!C29:V29)</f>
        <v>0</v>
      </c>
      <c r="F7" s="4">
        <f>Cadastramento!D12</f>
        <v>0</v>
      </c>
      <c r="G7" s="5">
        <f>SUM(SUMIF(Compras!$C$6:$V$6,F7,Compras!$C$9:$V$9),SUMIF(Compras!$C$10:$V$10,F7,Compras!$C$13:$V$13),SUMIF(Compras!C21:V21,F7,Compras!$C$17:$V$17),SUMIF(Compras!$C$18:$V$18,F7,Compras!$C$21:$V$21),SUMIF(Compras!$C$22:$V$22,F7,Compras!$C$25:$V$25),SUMIF(Compras!$C$26:$V$26,F7,Compras!$C$29:$V$29),SUMIF(Compras!$C$30:$V$30,F7,Compras!$C$33:$V$33),SUMIF(Compras!$C$34:$V$34,F7,Compras!$C$37:$V$37),SUMIF(Compras!$C$38:$V$38,F7,Compras!$C$41:$V$41),SUMIF(Compras!$C$42:$V$42,F7,Compras!$C$45:$V$45),SUMIF(Compras!$C$46:$V$46,F7,Compras!$C$49:$V$49),SUMIF(Compras!$C$50:$V$50,F7,Compras!$C$53:$V$53),)</f>
        <v>0</v>
      </c>
    </row>
    <row r="8" spans="2:7" ht="23.25" customHeight="1" x14ac:dyDescent="0.2">
      <c r="B8" s="4" t="s">
        <v>9</v>
      </c>
      <c r="C8" s="5">
        <f>SUM(Compras!C33:V33)</f>
        <v>0</v>
      </c>
      <c r="F8" s="4">
        <f>Cadastramento!D13</f>
        <v>0</v>
      </c>
      <c r="G8" s="5">
        <f>SUM(SUMIF(Compras!$C$6:$V$6,F8,Compras!$C$9:$V$9),SUMIF(Compras!$C$10:$V$10,F8,Compras!$C$13:$V$13),SUMIF(Compras!C22:V22,F8,Compras!$C$17:$V$17),SUMIF(Compras!$C$18:$V$18,F8,Compras!$C$21:$V$21),SUMIF(Compras!$C$22:$V$22,F8,Compras!$C$25:$V$25),SUMIF(Compras!$C$26:$V$26,F8,Compras!$C$29:$V$29),SUMIF(Compras!$C$30:$V$30,F8,Compras!$C$33:$V$33),SUMIF(Compras!$C$34:$V$34,F8,Compras!$C$37:$V$37),SUMIF(Compras!$C$38:$V$38,F8,Compras!$C$41:$V$41),SUMIF(Compras!$C$42:$V$42,F8,Compras!$C$45:$V$45),SUMIF(Compras!$C$46:$V$46,F8,Compras!$C$49:$V$49),SUMIF(Compras!$C$50:$V$50,F8,Compras!$C$53:$V$53),)</f>
        <v>0</v>
      </c>
    </row>
    <row r="9" spans="2:7" ht="23.25" customHeight="1" x14ac:dyDescent="0.2">
      <c r="B9" s="4" t="s">
        <v>10</v>
      </c>
      <c r="C9" s="5">
        <f>SUM(Compras!C37:V37)</f>
        <v>0</v>
      </c>
      <c r="F9" s="4">
        <f>Cadastramento!D14</f>
        <v>0</v>
      </c>
      <c r="G9" s="5">
        <f>SUM(SUMIF(Compras!$C$6:$V$6,F9,Compras!$C$9:$V$9),SUMIF(Compras!$C$10:$V$10,F9,Compras!$C$13:$V$13),SUMIF(Compras!C23:V23,F9,Compras!$C$17:$V$17),SUMIF(Compras!$C$18:$V$18,F9,Compras!$C$21:$V$21),SUMIF(Compras!$C$22:$V$22,F9,Compras!$C$25:$V$25),SUMIF(Compras!$C$26:$V$26,F9,Compras!$C$29:$V$29),SUMIF(Compras!$C$30:$V$30,F9,Compras!$C$33:$V$33),SUMIF(Compras!$C$34:$V$34,F9,Compras!$C$37:$V$37),SUMIF(Compras!$C$38:$V$38,F9,Compras!$C$41:$V$41),SUMIF(Compras!$C$42:$V$42,F9,Compras!$C$45:$V$45),SUMIF(Compras!$C$46:$V$46,F9,Compras!$C$49:$V$49),SUMIF(Compras!$C$50:$V$50,F9,Compras!$C$53:$V$53),)</f>
        <v>0</v>
      </c>
    </row>
    <row r="10" spans="2:7" ht="23.25" customHeight="1" x14ac:dyDescent="0.2">
      <c r="B10" s="4" t="s">
        <v>11</v>
      </c>
      <c r="C10" s="5">
        <f>SUM(Compras!C41:V41)</f>
        <v>0</v>
      </c>
      <c r="F10" s="4">
        <f>Cadastramento!D15</f>
        <v>0</v>
      </c>
      <c r="G10" s="5">
        <f>SUM(SUMIF(Compras!$C$6:$V$6,F10,Compras!$C$9:$V$9),SUMIF(Compras!$C$10:$V$10,F10,Compras!$C$13:$V$13),SUMIF(Compras!C25:V25,F10,Compras!$C$17:$V$17),SUMIF(Compras!$C$18:$V$18,F10,Compras!$C$21:$V$21),SUMIF(Compras!$C$22:$V$22,F10,Compras!$C$25:$V$25),SUMIF(Compras!$C$26:$V$26,F10,Compras!$C$29:$V$29),SUMIF(Compras!$C$30:$V$30,F10,Compras!$C$33:$V$33),SUMIF(Compras!$C$34:$V$34,F10,Compras!$C$37:$V$37),SUMIF(Compras!$C$38:$V$38,F10,Compras!$C$41:$V$41),SUMIF(Compras!$C$42:$V$42,F10,Compras!$C$45:$V$45),SUMIF(Compras!$C$46:$V$46,F10,Compras!$C$49:$V$49),SUMIF(Compras!$C$50:$V$50,F10,Compras!$C$53:$V$53),)</f>
        <v>0</v>
      </c>
    </row>
    <row r="11" spans="2:7" ht="23.25" customHeight="1" x14ac:dyDescent="0.2">
      <c r="B11" s="4" t="s">
        <v>12</v>
      </c>
      <c r="C11" s="5">
        <f>SUM(Compras!C45:V45)</f>
        <v>0</v>
      </c>
      <c r="F11" s="4">
        <f>Cadastramento!D16</f>
        <v>0</v>
      </c>
      <c r="G11" s="5">
        <f>SUM(SUMIF(Compras!$C$6:$V$6,F11,Compras!$C$9:$V$9),SUMIF(Compras!$C$10:$V$10,F11,Compras!$C$13:$V$13),SUMIF(Compras!C26:V26,F11,Compras!$C$17:$V$17),SUMIF(Compras!$C$18:$V$18,F11,Compras!$C$21:$V$21),SUMIF(Compras!$C$22:$V$22,F11,Compras!$C$25:$V$25),SUMIF(Compras!$C$26:$V$26,F11,Compras!$C$29:$V$29),SUMIF(Compras!$C$30:$V$30,F11,Compras!$C$33:$V$33),SUMIF(Compras!$C$34:$V$34,F11,Compras!$C$37:$V$37),SUMIF(Compras!$C$38:$V$38,F11,Compras!$C$41:$V$41),SUMIF(Compras!$C$42:$V$42,F11,Compras!$C$45:$V$45),SUMIF(Compras!$C$46:$V$46,F11,Compras!$C$49:$V$49),SUMIF(Compras!$C$50:$V$50,F11,Compras!$C$53:$V$53),)</f>
        <v>0</v>
      </c>
    </row>
    <row r="12" spans="2:7" ht="23.25" customHeight="1" x14ac:dyDescent="0.2">
      <c r="B12" s="4" t="s">
        <v>13</v>
      </c>
      <c r="C12" s="5">
        <f>SUM(Compras!C49:V49)</f>
        <v>0</v>
      </c>
      <c r="F12" s="4">
        <f>Cadastramento!D17</f>
        <v>0</v>
      </c>
      <c r="G12" s="5">
        <f>SUM(SUMIF(Compras!$C$6:$V$6,F12,Compras!$C$9:$V$9),SUMIF(Compras!$C$10:$V$10,F12,Compras!$C$13:$V$13),SUMIF(Compras!C27:V27,F12,Compras!$C$17:$V$17),SUMIF(Compras!$C$18:$V$18,F12,Compras!$C$21:$V$21),SUMIF(Compras!$C$22:$V$22,F12,Compras!$C$25:$V$25),SUMIF(Compras!$C$26:$V$26,F12,Compras!$C$29:$V$29),SUMIF(Compras!$C$30:$V$30,F12,Compras!$C$33:$V$33),SUMIF(Compras!$C$34:$V$34,F12,Compras!$C$37:$V$37),SUMIF(Compras!$C$38:$V$38,F12,Compras!$C$41:$V$41),SUMIF(Compras!$C$42:$V$42,F12,Compras!$C$45:$V$45),SUMIF(Compras!$C$46:$V$46,F12,Compras!$C$49:$V$49),SUMIF(Compras!$C$50:$V$50,F12,Compras!$C$53:$V$53),)</f>
        <v>0</v>
      </c>
    </row>
    <row r="13" spans="2:7" ht="23.25" customHeight="1" x14ac:dyDescent="0.2">
      <c r="B13" s="4" t="s">
        <v>14</v>
      </c>
      <c r="C13" s="5">
        <f>SUM(Compras!C53:V53)</f>
        <v>0</v>
      </c>
      <c r="F13" s="4">
        <f>Cadastramento!D18</f>
        <v>0</v>
      </c>
      <c r="G13" s="5">
        <f>SUM(SUMIF(Compras!$C$6:$V$6,F13,Compras!$C$9:$V$9),SUMIF(Compras!$C$10:$V$10,F13,Compras!$C$13:$V$13),SUMIF(Compras!C29:V29,F13,Compras!$C$17:$V$17),SUMIF(Compras!$C$18:$V$18,F13,Compras!$C$21:$V$21),SUMIF(Compras!$C$22:$V$22,F13,Compras!$C$25:$V$25),SUMIF(Compras!$C$26:$V$26,F13,Compras!$C$29:$V$29),SUMIF(Compras!$C$30:$V$30,F13,Compras!$C$33:$V$33),SUMIF(Compras!$C$34:$V$34,F13,Compras!$C$37:$V$37),SUMIF(Compras!$C$38:$V$38,F13,Compras!$C$41:$V$41),SUMIF(Compras!$C$42:$V$42,F13,Compras!$C$45:$V$45),SUMIF(Compras!$C$46:$V$46,F13,Compras!$C$49:$V$49),SUMIF(Compras!$C$50:$V$50,F13,Compras!$C$53:$V$53),)</f>
        <v>0</v>
      </c>
    </row>
    <row r="14" spans="2:7" ht="23.25" customHeight="1" thickBot="1" x14ac:dyDescent="0.25">
      <c r="B14" s="6" t="s">
        <v>21</v>
      </c>
      <c r="C14" s="7">
        <f>SUM(C2:C13)</f>
        <v>0</v>
      </c>
      <c r="F14" s="4">
        <f>Cadastramento!D19</f>
        <v>0</v>
      </c>
      <c r="G14" s="5">
        <f>SUM(SUMIF(Compras!$C$6:$V$6,F14,Compras!$C$9:$V$9),SUMIF(Compras!$C$10:$V$10,F14,Compras!$C$13:$V$13),SUMIF(Compras!C30:V30,F14,Compras!$C$17:$V$17),SUMIF(Compras!$C$18:$V$18,F14,Compras!$C$21:$V$21),SUMIF(Compras!$C$22:$V$22,F14,Compras!$C$25:$V$25),SUMIF(Compras!$C$26:$V$26,F14,Compras!$C$29:$V$29),SUMIF(Compras!$C$30:$V$30,F14,Compras!$C$33:$V$33),SUMIF(Compras!$C$34:$V$34,F14,Compras!$C$37:$V$37),SUMIF(Compras!$C$38:$V$38,F14,Compras!$C$41:$V$41),SUMIF(Compras!$C$42:$V$42,F14,Compras!$C$45:$V$45),SUMIF(Compras!$C$46:$V$46,F14,Compras!$C$49:$V$49),SUMIF(Compras!$C$50:$V$50,F14,Compras!$C$53:$V$53),)</f>
        <v>0</v>
      </c>
    </row>
    <row r="15" spans="2:7" ht="22.5" customHeight="1" x14ac:dyDescent="0.2">
      <c r="F15" s="4">
        <f>Cadastramento!D20</f>
        <v>0</v>
      </c>
      <c r="G15" s="5">
        <f>SUM(SUMIF(Compras!$C$6:$V$6,F15,Compras!$C$9:$V$9),SUMIF(Compras!$C$10:$V$10,F15,Compras!$C$13:$V$13),SUMIF(Compras!C31:V31,F15,Compras!$C$17:$V$17),SUMIF(Compras!$C$18:$V$18,F15,Compras!$C$21:$V$21),SUMIF(Compras!$C$22:$V$22,F15,Compras!$C$25:$V$25),SUMIF(Compras!$C$26:$V$26,F15,Compras!$C$29:$V$29),SUMIF(Compras!$C$30:$V$30,F15,Compras!$C$33:$V$33),SUMIF(Compras!$C$34:$V$34,F15,Compras!$C$37:$V$37),SUMIF(Compras!$C$38:$V$38,F15,Compras!$C$41:$V$41),SUMIF(Compras!$C$42:$V$42,F15,Compras!$C$45:$V$45),SUMIF(Compras!$C$46:$V$46,F15,Compras!$C$49:$V$49),SUMIF(Compras!$C$50:$V$50,F15,Compras!$C$53:$V$53),)</f>
        <v>0</v>
      </c>
    </row>
    <row r="16" spans="2:7" ht="22.5" customHeight="1" x14ac:dyDescent="0.2">
      <c r="F16" s="4">
        <f>Cadastramento!D21</f>
        <v>0</v>
      </c>
      <c r="G16" s="5">
        <f>SUM(SUMIF(Compras!$C$6:$V$6,F16,Compras!$C$9:$V$9),SUMIF(Compras!$C$10:$V$10,F16,Compras!$C$13:$V$13),SUMIF(Compras!C33:V33,F16,Compras!$C$17:$V$17),SUMIF(Compras!$C$18:$V$18,F16,Compras!$C$21:$V$21),SUMIF(Compras!$C$22:$V$22,F16,Compras!$C$25:$V$25),SUMIF(Compras!$C$26:$V$26,F16,Compras!$C$29:$V$29),SUMIF(Compras!$C$30:$V$30,F16,Compras!$C$33:$V$33),SUMIF(Compras!$C$34:$V$34,F16,Compras!$C$37:$V$37),SUMIF(Compras!$C$38:$V$38,F16,Compras!$C$41:$V$41),SUMIF(Compras!$C$42:$V$42,F16,Compras!$C$45:$V$45),SUMIF(Compras!$C$46:$V$46,F16,Compras!$C$49:$V$49),SUMIF(Compras!$C$50:$V$50,F16,Compras!$C$53:$V$53),)</f>
        <v>0</v>
      </c>
    </row>
    <row r="17" spans="6:7" ht="22.5" customHeight="1" x14ac:dyDescent="0.2">
      <c r="F17" s="4">
        <f>Cadastramento!D22</f>
        <v>0</v>
      </c>
      <c r="G17" s="5">
        <f>SUM(SUMIF(Compras!$C$6:$V$6,F17,Compras!$C$9:$V$9),SUMIF(Compras!$C$10:$V$10,F17,Compras!$C$13:$V$13),SUMIF(Compras!C34:V34,F17,Compras!$C$17:$V$17),SUMIF(Compras!$C$18:$V$18,F17,Compras!$C$21:$V$21),SUMIF(Compras!$C$22:$V$22,F17,Compras!$C$25:$V$25),SUMIF(Compras!$C$26:$V$26,F17,Compras!$C$29:$V$29),SUMIF(Compras!$C$30:$V$30,F17,Compras!$C$33:$V$33),SUMIF(Compras!$C$34:$V$34,F17,Compras!$C$37:$V$37),SUMIF(Compras!$C$38:$V$38,F17,Compras!$C$41:$V$41),SUMIF(Compras!$C$42:$V$42,F17,Compras!$C$45:$V$45),SUMIF(Compras!$C$46:$V$46,F17,Compras!$C$49:$V$49),SUMIF(Compras!$C$50:$V$50,F17,Compras!$C$53:$V$53),)</f>
        <v>0</v>
      </c>
    </row>
    <row r="18" spans="6:7" ht="22.5" customHeight="1" x14ac:dyDescent="0.2">
      <c r="F18" s="4">
        <f>Cadastramento!D23</f>
        <v>0</v>
      </c>
      <c r="G18" s="5">
        <f>SUM(SUMIF(Compras!$C$6:$V$6,F18,Compras!$C$9:$V$9),SUMIF(Compras!$C$10:$V$10,F18,Compras!$C$13:$V$13),SUMIF(Compras!C35:V35,F18,Compras!$C$17:$V$17),SUMIF(Compras!$C$18:$V$18,F18,Compras!$C$21:$V$21),SUMIF(Compras!$C$22:$V$22,F18,Compras!$C$25:$V$25),SUMIF(Compras!$C$26:$V$26,F18,Compras!$C$29:$V$29),SUMIF(Compras!$C$30:$V$30,F18,Compras!$C$33:$V$33),SUMIF(Compras!$C$34:$V$34,F18,Compras!$C$37:$V$37),SUMIF(Compras!$C$38:$V$38,F18,Compras!$C$41:$V$41),SUMIF(Compras!$C$42:$V$42,F18,Compras!$C$45:$V$45),SUMIF(Compras!$C$46:$V$46,F18,Compras!$C$49:$V$49),SUMIF(Compras!$C$50:$V$50,F18,Compras!$C$53:$V$53),)</f>
        <v>0</v>
      </c>
    </row>
    <row r="19" spans="6:7" ht="22.5" customHeight="1" x14ac:dyDescent="0.2">
      <c r="F19" s="4">
        <f>Cadastramento!D24</f>
        <v>0</v>
      </c>
      <c r="G19" s="5">
        <f>SUM(SUMIF(Compras!$C$6:$V$6,F19,Compras!$C$9:$V$9),SUMIF(Compras!$C$10:$V$10,F19,Compras!$C$13:$V$13),SUMIF(Compras!C37:V37,F19,Compras!$C$17:$V$17),SUMIF(Compras!$C$18:$V$18,F19,Compras!$C$21:$V$21),SUMIF(Compras!$C$22:$V$22,F19,Compras!$C$25:$V$25),SUMIF(Compras!$C$26:$V$26,F19,Compras!$C$29:$V$29),SUMIF(Compras!$C$30:$V$30,F19,Compras!$C$33:$V$33),SUMIF(Compras!$C$34:$V$34,F19,Compras!$C$37:$V$37),SUMIF(Compras!$C$38:$V$38,F19,Compras!$C$41:$V$41),SUMIF(Compras!$C$42:$V$42,F19,Compras!$C$45:$V$45),SUMIF(Compras!$C$46:$V$46,F19,Compras!$C$49:$V$49),SUMIF(Compras!$C$50:$V$50,F19,Compras!$C$53:$V$53),)</f>
        <v>0</v>
      </c>
    </row>
    <row r="20" spans="6:7" ht="22.5" customHeight="1" x14ac:dyDescent="0.2">
      <c r="F20" s="4">
        <f>Cadastramento!D25</f>
        <v>0</v>
      </c>
      <c r="G20" s="5">
        <f>SUM(SUMIF(Compras!$C$6:$V$6,F20,Compras!$C$9:$V$9),SUMIF(Compras!$C$10:$V$10,F20,Compras!$C$13:$V$13),SUMIF(Compras!C38:V38,F20,Compras!$C$17:$V$17),SUMIF(Compras!$C$18:$V$18,F20,Compras!$C$21:$V$21),SUMIF(Compras!$C$22:$V$22,F20,Compras!$C$25:$V$25),SUMIF(Compras!$C$26:$V$26,F20,Compras!$C$29:$V$29),SUMIF(Compras!$C$30:$V$30,F20,Compras!$C$33:$V$33),SUMIF(Compras!$C$34:$V$34,F20,Compras!$C$37:$V$37),SUMIF(Compras!$C$38:$V$38,F20,Compras!$C$41:$V$41),SUMIF(Compras!$C$42:$V$42,F20,Compras!$C$45:$V$45),SUMIF(Compras!$C$46:$V$46,F20,Compras!$C$49:$V$49),SUMIF(Compras!$C$50:$V$50,F20,Compras!$C$53:$V$53),)</f>
        <v>0</v>
      </c>
    </row>
    <row r="21" spans="6:7" ht="22.5" customHeight="1" x14ac:dyDescent="0.2">
      <c r="F21" s="4">
        <f>Cadastramento!D26</f>
        <v>0</v>
      </c>
      <c r="G21" s="5">
        <f>SUM(SUMIF(Compras!$C$6:$V$6,F21,Compras!$C$9:$V$9),SUMIF(Compras!$C$10:$V$10,F21,Compras!$C$13:$V$13),SUMIF(Compras!C39:V39,F21,Compras!$C$17:$V$17),SUMIF(Compras!$C$18:$V$18,F21,Compras!$C$21:$V$21),SUMIF(Compras!$C$22:$V$22,F21,Compras!$C$25:$V$25),SUMIF(Compras!$C$26:$V$26,F21,Compras!$C$29:$V$29),SUMIF(Compras!$C$30:$V$30,F21,Compras!$C$33:$V$33),SUMIF(Compras!$C$34:$V$34,F21,Compras!$C$37:$V$37),SUMIF(Compras!$C$38:$V$38,F21,Compras!$C$41:$V$41),SUMIF(Compras!$C$42:$V$42,F21,Compras!$C$45:$V$45),SUMIF(Compras!$C$46:$V$46,F21,Compras!$C$49:$V$49),SUMIF(Compras!$C$50:$V$50,F21,Compras!$C$53:$V$53),)</f>
        <v>0</v>
      </c>
    </row>
    <row r="22" spans="6:7" ht="21.75" customHeight="1" thickBot="1" x14ac:dyDescent="0.25">
      <c r="F22" s="6" t="s">
        <v>21</v>
      </c>
      <c r="G22" s="7">
        <f>SUM(G2:G21)</f>
        <v>0</v>
      </c>
    </row>
    <row r="23" spans="6:7" x14ac:dyDescent="0.2">
      <c r="F23" s="1"/>
      <c r="G23" s="1"/>
    </row>
  </sheetData>
  <mergeCells count="2">
    <mergeCell ref="B1:C1"/>
    <mergeCell ref="F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showGridLines="0" zoomScaleNormal="100" workbookViewId="0">
      <selection activeCell="A2" sqref="A2"/>
    </sheetView>
  </sheetViews>
  <sheetFormatPr defaultColWidth="0" defaultRowHeight="14.25" zeroHeight="1" x14ac:dyDescent="0.2"/>
  <cols>
    <col min="1" max="19" width="9" customWidth="1"/>
    <col min="20" max="16384" width="9" hidden="1"/>
  </cols>
  <sheetData>
    <row r="1" spans="1:25" s="36" customFormat="1" ht="36" customHeight="1" x14ac:dyDescent="0.25">
      <c r="A1" s="44" t="s">
        <v>27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37"/>
      <c r="T1" s="37"/>
      <c r="U1" s="35"/>
      <c r="V1" s="35"/>
      <c r="W1" s="35"/>
      <c r="X1" s="35"/>
      <c r="Y1" s="35"/>
    </row>
    <row r="2" spans="1:25" x14ac:dyDescent="0.2"/>
    <row r="3" spans="1:25" x14ac:dyDescent="0.2"/>
    <row r="4" spans="1:25" x14ac:dyDescent="0.2"/>
    <row r="5" spans="1:25" x14ac:dyDescent="0.2"/>
    <row r="6" spans="1:25" x14ac:dyDescent="0.2"/>
    <row r="7" spans="1:25" x14ac:dyDescent="0.2"/>
    <row r="8" spans="1:25" x14ac:dyDescent="0.2"/>
    <row r="9" spans="1:25" x14ac:dyDescent="0.2"/>
    <row r="10" spans="1:25" x14ac:dyDescent="0.2"/>
    <row r="11" spans="1:25" x14ac:dyDescent="0.2"/>
    <row r="12" spans="1:25" x14ac:dyDescent="0.2"/>
    <row r="13" spans="1:25" x14ac:dyDescent="0.2"/>
    <row r="14" spans="1:25" x14ac:dyDescent="0.2"/>
    <row r="15" spans="1:25" x14ac:dyDescent="0.2"/>
    <row r="16" spans="1:25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</sheetData>
  <mergeCells count="1">
    <mergeCell ref="A1:R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showGridLines="0" zoomScaleNormal="100" workbookViewId="0">
      <selection sqref="A1:R1"/>
    </sheetView>
  </sheetViews>
  <sheetFormatPr defaultColWidth="0" defaultRowHeight="14.25" zeroHeight="1" x14ac:dyDescent="0.2"/>
  <cols>
    <col min="1" max="20" width="9" customWidth="1"/>
    <col min="21" max="16384" width="9" hidden="1"/>
  </cols>
  <sheetData>
    <row r="1" spans="1:25" s="36" customFormat="1" ht="36" customHeight="1" x14ac:dyDescent="0.25">
      <c r="A1" s="44" t="s">
        <v>28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37"/>
      <c r="T1" s="37"/>
      <c r="U1" s="35"/>
      <c r="V1" s="35"/>
      <c r="W1" s="35"/>
      <c r="X1" s="35"/>
      <c r="Y1" s="35"/>
    </row>
    <row r="2" spans="1:25" x14ac:dyDescent="0.2"/>
    <row r="3" spans="1:25" x14ac:dyDescent="0.2"/>
    <row r="4" spans="1:25" x14ac:dyDescent="0.2"/>
    <row r="5" spans="1:25" x14ac:dyDescent="0.2"/>
    <row r="6" spans="1:25" x14ac:dyDescent="0.2"/>
    <row r="7" spans="1:25" x14ac:dyDescent="0.2"/>
    <row r="8" spans="1:25" x14ac:dyDescent="0.2"/>
    <row r="9" spans="1:25" x14ac:dyDescent="0.2"/>
    <row r="10" spans="1:25" x14ac:dyDescent="0.2"/>
    <row r="11" spans="1:25" x14ac:dyDescent="0.2"/>
    <row r="12" spans="1:25" x14ac:dyDescent="0.2"/>
    <row r="13" spans="1:25" x14ac:dyDescent="0.2"/>
    <row r="14" spans="1:25" x14ac:dyDescent="0.2"/>
    <row r="15" spans="1:25" x14ac:dyDescent="0.2"/>
    <row r="16" spans="1:25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</sheetData>
  <mergeCells count="1">
    <mergeCell ref="A1:R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Início</vt:lpstr>
      <vt:lpstr>Cadastramento</vt:lpstr>
      <vt:lpstr>Compras</vt:lpstr>
      <vt:lpstr>Referências de Cálculo</vt:lpstr>
      <vt:lpstr>Gráfico Mensal</vt:lpstr>
      <vt:lpstr>Gráfico por Fornecedor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Win7</cp:lastModifiedBy>
  <dcterms:created xsi:type="dcterms:W3CDTF">2013-11-30T00:58:06Z</dcterms:created>
  <dcterms:modified xsi:type="dcterms:W3CDTF">2014-06-02T13:18:50Z</dcterms:modified>
</cp:coreProperties>
</file>