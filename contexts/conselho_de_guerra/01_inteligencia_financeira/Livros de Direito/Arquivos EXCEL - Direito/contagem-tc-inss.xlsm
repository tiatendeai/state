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00000000-0000-0000-0000-000000000000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Windows\ServiceProfiles\NetworkService\AppData\Local\Packages\oice_16_974fa576_32c1d314_3677\AC\Temp\"/>
    </mc:Choice>
  </mc:AlternateContent>
  <bookViews>
    <workbookView xWindow="0" yWindow="255" windowWidth="9720" windowHeight="7320" xr2:uid="{00000000-000D-0000-FFFF-FFFF00000000}"/>
  </bookViews>
  <sheets>
    <sheet name="AJUDA" sheetId="2" r:id="rId1"/>
    <sheet name="CONTAGEM TEMPO DE CONTRIBUIÇÃO" sheetId="1" r:id="rId2"/>
  </sheets>
  <definedNames>
    <definedName name="_xlnm._FilterDatabase" localSheetId="1" hidden="1">'CONTAGEM TEMPO DE CONTRIBUIÇÃO'!$B$7:$K$38</definedName>
  </definedNames>
  <calcPr calcId="171026"/>
</workbook>
</file>

<file path=xl/calcChain.xml><?xml version="1.0" encoding="utf-8"?>
<calcChain xmlns="http://schemas.openxmlformats.org/spreadsheetml/2006/main">
  <c r="K28" i="1" l="1"/>
  <c r="K29" i="1"/>
  <c r="K30" i="1"/>
  <c r="K31" i="1"/>
  <c r="K32" i="1"/>
  <c r="H28" i="1"/>
  <c r="H29" i="1"/>
  <c r="H30" i="1"/>
  <c r="H31" i="1"/>
  <c r="H32" i="1"/>
  <c r="H27" i="1"/>
  <c r="E28" i="1"/>
  <c r="F28" i="1"/>
  <c r="E29" i="1"/>
  <c r="F29" i="1"/>
  <c r="E30" i="1"/>
  <c r="F30" i="1"/>
  <c r="E31" i="1"/>
  <c r="F31" i="1"/>
  <c r="E32" i="1"/>
  <c r="F32" i="1"/>
  <c r="E11" i="1"/>
  <c r="F11" i="1"/>
  <c r="M43" i="1"/>
  <c r="M44" i="1"/>
  <c r="P45" i="1"/>
  <c r="E8" i="1"/>
  <c r="E9" i="1"/>
  <c r="F9" i="1"/>
  <c r="G9" i="1"/>
  <c r="E10" i="1"/>
  <c r="F10" i="1"/>
  <c r="E12" i="1"/>
  <c r="F12" i="1"/>
  <c r="E13" i="1"/>
  <c r="F13" i="1"/>
  <c r="G13" i="1"/>
  <c r="E14" i="1"/>
  <c r="F14" i="1"/>
  <c r="E15" i="1"/>
  <c r="F15" i="1"/>
  <c r="E16" i="1"/>
  <c r="F16" i="1"/>
  <c r="G16" i="1"/>
  <c r="E17" i="1"/>
  <c r="F17" i="1"/>
  <c r="E18" i="1"/>
  <c r="F18" i="1"/>
  <c r="G18" i="1"/>
  <c r="E19" i="1"/>
  <c r="F19" i="1"/>
  <c r="G19" i="1"/>
  <c r="E20" i="1"/>
  <c r="F20" i="1"/>
  <c r="G20" i="1"/>
  <c r="E21" i="1"/>
  <c r="F21" i="1"/>
  <c r="G21" i="1"/>
  <c r="E22" i="1"/>
  <c r="F22" i="1"/>
  <c r="E23" i="1"/>
  <c r="F23" i="1"/>
  <c r="E24" i="1"/>
  <c r="F24" i="1"/>
  <c r="E25" i="1"/>
  <c r="F25" i="1"/>
  <c r="G25" i="1"/>
  <c r="E26" i="1"/>
  <c r="F26" i="1"/>
  <c r="E27" i="1"/>
  <c r="F2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O45" i="1"/>
  <c r="F8" i="1"/>
  <c r="I8" i="1"/>
  <c r="K33" i="1"/>
  <c r="K38" i="1"/>
  <c r="H33" i="1"/>
  <c r="E33" i="1"/>
  <c r="G26" i="1"/>
  <c r="I26" i="1"/>
  <c r="L26" i="1"/>
  <c r="G24" i="1"/>
  <c r="I24" i="1"/>
  <c r="J24" i="1"/>
  <c r="G22" i="1"/>
  <c r="I22" i="1"/>
  <c r="J22" i="1"/>
  <c r="G14" i="1"/>
  <c r="I14" i="1"/>
  <c r="L14" i="1"/>
  <c r="G12" i="1"/>
  <c r="I12" i="1"/>
  <c r="G31" i="1"/>
  <c r="I31" i="1"/>
  <c r="I29" i="1"/>
  <c r="G29" i="1"/>
  <c r="G27" i="1"/>
  <c r="I27" i="1"/>
  <c r="J27" i="1"/>
  <c r="G23" i="1"/>
  <c r="I23" i="1"/>
  <c r="L23" i="1"/>
  <c r="G17" i="1"/>
  <c r="I17" i="1"/>
  <c r="J17" i="1"/>
  <c r="G15" i="1"/>
  <c r="I15" i="1"/>
  <c r="L15" i="1"/>
  <c r="G32" i="1"/>
  <c r="I32" i="1"/>
  <c r="J32" i="1"/>
  <c r="G30" i="1"/>
  <c r="I30" i="1"/>
  <c r="J30" i="1"/>
  <c r="G28" i="1"/>
  <c r="I28" i="1"/>
  <c r="J28" i="1"/>
  <c r="F33" i="1"/>
  <c r="J23" i="1"/>
  <c r="I20" i="1"/>
  <c r="L20" i="1"/>
  <c r="I16" i="1"/>
  <c r="J26" i="1"/>
  <c r="I18" i="1"/>
  <c r="I9" i="1"/>
  <c r="J9" i="1"/>
  <c r="I19" i="1"/>
  <c r="I25" i="1"/>
  <c r="I21" i="1"/>
  <c r="I13" i="1"/>
  <c r="L8" i="1"/>
  <c r="J8" i="1"/>
  <c r="G8" i="1"/>
  <c r="I11" i="1"/>
  <c r="G11" i="1"/>
  <c r="I10" i="1"/>
  <c r="G10" i="1"/>
  <c r="L22" i="1"/>
  <c r="L17" i="1"/>
  <c r="J20" i="1"/>
  <c r="L27" i="1"/>
  <c r="J14" i="1"/>
  <c r="L24" i="1"/>
  <c r="L9" i="1"/>
  <c r="G33" i="1"/>
  <c r="J15" i="1"/>
  <c r="L30" i="1"/>
  <c r="I33" i="1"/>
  <c r="L29" i="1"/>
  <c r="J29" i="1"/>
  <c r="L28" i="1"/>
  <c r="L32" i="1"/>
  <c r="L31" i="1"/>
  <c r="J31" i="1"/>
  <c r="J12" i="1"/>
  <c r="L12" i="1"/>
  <c r="J18" i="1"/>
  <c r="L18" i="1"/>
  <c r="L16" i="1"/>
  <c r="J16" i="1"/>
  <c r="J21" i="1"/>
  <c r="L21" i="1"/>
  <c r="J19" i="1"/>
  <c r="L19" i="1"/>
  <c r="J13" i="1"/>
  <c r="L13" i="1"/>
  <c r="J25" i="1"/>
  <c r="L25" i="1"/>
  <c r="G34" i="1"/>
  <c r="G35" i="1"/>
  <c r="H34" i="1"/>
  <c r="H35" i="1"/>
  <c r="H36" i="1"/>
  <c r="H37" i="1"/>
  <c r="L11" i="1"/>
  <c r="J11" i="1"/>
  <c r="L10" i="1"/>
  <c r="J10" i="1"/>
  <c r="I35" i="1"/>
  <c r="J33" i="1"/>
  <c r="L33" i="1"/>
  <c r="G38" i="1"/>
  <c r="G45" i="1"/>
  <c r="I36" i="1"/>
  <c r="I37" i="1"/>
  <c r="I38" i="1"/>
  <c r="J34" i="1"/>
  <c r="H38" i="1"/>
  <c r="J35" i="1"/>
  <c r="J36" i="1"/>
  <c r="J37" i="1"/>
  <c r="L34" i="1"/>
  <c r="L38" i="1"/>
  <c r="L45" i="1"/>
  <c r="J38" i="1"/>
  <c r="J45" i="1"/>
  <c r="M45" i="1"/>
  <c r="O46" i="1"/>
  <c r="O47" i="1"/>
  <c r="P46" i="1"/>
  <c r="P47" i="1"/>
  <c r="Q47" i="1"/>
  <c r="P48" i="1"/>
  <c r="P49" i="1"/>
  <c r="P50" i="1"/>
  <c r="N47" i="1"/>
  <c r="Q50" i="1"/>
  <c r="P51" i="1"/>
  <c r="P52" i="1"/>
  <c r="Q52" i="1"/>
  <c r="G39" i="1"/>
  <c r="G43" i="1"/>
  <c r="L40" i="1"/>
  <c r="L44" i="1"/>
  <c r="J39" i="1"/>
  <c r="J43" i="1"/>
  <c r="L39" i="1"/>
  <c r="L43" i="1"/>
  <c r="O48" i="1"/>
  <c r="O49" i="1"/>
  <c r="O50" i="1"/>
  <c r="N50" i="1"/>
  <c r="O51" i="1"/>
  <c r="O52" i="1"/>
  <c r="N52" i="1"/>
  <c r="G40" i="1"/>
  <c r="G44" i="1"/>
  <c r="J40" i="1"/>
  <c r="J44" i="1"/>
</calcChain>
</file>

<file path=xl/sharedStrings.xml><?xml version="1.0" encoding="utf-8"?>
<sst xmlns="http://schemas.openxmlformats.org/spreadsheetml/2006/main" count="91" uniqueCount="84">
  <si>
    <t>dia</t>
  </si>
  <si>
    <t>mês</t>
  </si>
  <si>
    <t>dias</t>
  </si>
  <si>
    <t>EMPRESAS</t>
  </si>
  <si>
    <t>DIA</t>
  </si>
  <si>
    <t>MÊS</t>
  </si>
  <si>
    <t>ANO</t>
  </si>
  <si>
    <t>O PROGRAMA EFETUARÁ DO CÁLCULO DO SEU TEMPO DE CONTRIBUIÇÃO</t>
  </si>
  <si>
    <t>NOME:-</t>
  </si>
  <si>
    <t>CTPS</t>
  </si>
  <si>
    <t>SÉRIE</t>
  </si>
  <si>
    <t>CONTAGEM DE TEMPO DE CONTRIBUIÇÃO (SETOR PRIVADO)</t>
  </si>
  <si>
    <t>DATA ADMISSÃO</t>
  </si>
  <si>
    <t>DATA DEMISSÃO</t>
  </si>
  <si>
    <t>Ao lado é somente a sistemática usada pra chegar ao tempo de trabalho</t>
  </si>
  <si>
    <t>SUB- TOTAL DO TEMPO DE TRABALHO</t>
  </si>
  <si>
    <t>CONTAGEM SIMPLES PARA EFEITOS DE APOSENTADORIA POR TEMPO DE CONTRIBUIÇÃO.</t>
  </si>
  <si>
    <t>ano</t>
  </si>
  <si>
    <t>tempo que falta para aposentadoria</t>
  </si>
  <si>
    <t>Mulher</t>
  </si>
  <si>
    <t>HOMEM</t>
  </si>
  <si>
    <t xml:space="preserve">Quando a coluna dia, mês e ano estiver "zero" significa que você já completou o tempo para aposentar-se, procure uma agência da </t>
  </si>
  <si>
    <t>Previdência Social.</t>
  </si>
  <si>
    <r>
      <t xml:space="preserve">NESTA PLANILHA VOCÊ INFORMA A </t>
    </r>
    <r>
      <rPr>
        <b/>
        <sz val="10"/>
        <rFont val="Arial"/>
        <family val="2"/>
      </rPr>
      <t>DATA DE ADMISSÃO</t>
    </r>
    <r>
      <rPr>
        <sz val="10"/>
        <rFont val="Arial"/>
      </rPr>
      <t xml:space="preserve"> E </t>
    </r>
    <r>
      <rPr>
        <b/>
        <sz val="10"/>
        <rFont val="Arial"/>
        <family val="2"/>
      </rPr>
      <t>DATA DE DEMISSÃO</t>
    </r>
  </si>
  <si>
    <t xml:space="preserve">MASCULINO  (QUANTO TEMPO FALTA PARA SUA APOSENTADORIA) </t>
  </si>
  <si>
    <t xml:space="preserve">FEMININO  (QUANTO TEMPO FALTA PARA SUA APOSENTADORIA) </t>
  </si>
  <si>
    <t>TEMPO DE CONTRIBUIÇÃO</t>
  </si>
  <si>
    <r>
      <t xml:space="preserve">QUANDO APARECER MENSAGEM DIA. MÊS E ANO, DESTA FORMA </t>
    </r>
    <r>
      <rPr>
        <b/>
        <sz val="10"/>
        <color indexed="10"/>
        <rFont val="Arial"/>
        <family val="2"/>
      </rPr>
      <t>#NÚM!</t>
    </r>
    <r>
      <rPr>
        <b/>
        <sz val="10"/>
        <rFont val="Arial"/>
        <family val="2"/>
      </rPr>
      <t xml:space="preserve"> É SINAL QUE ESTÁ FALTANDO A DATA DE DEMISSÃO DO EMPREGO</t>
    </r>
  </si>
  <si>
    <t>ANGELO ADALBERTO TONON</t>
  </si>
  <si>
    <t>PLANILHA DE CONTAGEM DE TEMPO DE CONTRIBUIÇÃO PARA O SETOR PRIVADO</t>
  </si>
  <si>
    <t>AUTOR</t>
  </si>
  <si>
    <t>VERSÃO</t>
  </si>
  <si>
    <t xml:space="preserve"> ATUALIZADA</t>
  </si>
  <si>
    <r>
      <t xml:space="preserve">QUANDO APARECER MENSAGEM DIA. MÊS E ANO, DESTA FORMA </t>
    </r>
    <r>
      <rPr>
        <b/>
        <sz val="10"/>
        <rFont val="Arial"/>
        <family val="2"/>
      </rPr>
      <t>#VALOR!</t>
    </r>
    <r>
      <rPr>
        <b/>
        <sz val="10"/>
        <color indexed="10"/>
        <rFont val="Arial"/>
        <family val="2"/>
      </rPr>
      <t xml:space="preserve"> VOCÊ USOU A BARRA DO TECLADO PARA LIMPAR A DATA DE ADMISSÃO OU DEMISSÃO, USE SOMENTE A </t>
    </r>
    <r>
      <rPr>
        <b/>
        <sz val="10"/>
        <rFont val="Arial"/>
        <family val="2"/>
      </rPr>
      <t>TECLA DELETE</t>
    </r>
    <r>
      <rPr>
        <b/>
        <sz val="10"/>
        <color indexed="10"/>
        <rFont val="Arial"/>
        <family val="2"/>
      </rPr>
      <t xml:space="preserve"> PARA LIMPAR A DATA OU A DATA DE DEMISSÃO É MAIOR QUE A DATA DE ADMISSÃO.</t>
    </r>
  </si>
  <si>
    <t>Informe o sexo da pessoa identificada para o cálculo.</t>
  </si>
  <si>
    <t>A referida planilha tem o objetivo de ajudar na contagem do tempo de contribuição.</t>
  </si>
  <si>
    <t>Identifique o nome da pessoa que você ira fazer os cálculos, Carteira de Trabalho e a Série.</t>
  </si>
  <si>
    <t>Na linha 33  do programa aparece os dias, os meses e os anos já contribuidos.</t>
  </si>
  <si>
    <t xml:space="preserve">Contribuinte do sexo masculino, aparece na linha 38 o tempo que falta para aposentar-se, no caso </t>
  </si>
  <si>
    <t>de sexo feminino o resultado do tempo que falta para a aposentadoria aparece na linha 39.</t>
  </si>
  <si>
    <t>Informe as datas na ordem de Admissão e Demissão de cada um dos empregos.</t>
  </si>
  <si>
    <t>EM DIA, MÊS E ANO.</t>
  </si>
  <si>
    <t xml:space="preserve">VEJA NO QUADRO ABAIXO QUANTO TEMPO FALTA PARA SUA APOSENTADORIA </t>
  </si>
  <si>
    <t>TOTAL DO TEMPO DE CONTRIBUIÇÃO/TRABALHO</t>
  </si>
  <si>
    <t>PERÍODOS TRABALHADOS</t>
  </si>
  <si>
    <t>1º EMPREGO</t>
  </si>
  <si>
    <t>2º EMPREGO</t>
  </si>
  <si>
    <t>3º EMPREGO</t>
  </si>
  <si>
    <t>4º EMPREGO</t>
  </si>
  <si>
    <t>5º EMPREGO</t>
  </si>
  <si>
    <t>6º EMPREGO</t>
  </si>
  <si>
    <t>7º EMPREGO</t>
  </si>
  <si>
    <t>8º EMPREGO</t>
  </si>
  <si>
    <t>9º EMPREGO</t>
  </si>
  <si>
    <t>10º EMPREGO</t>
  </si>
  <si>
    <t>11º EMPREGO</t>
  </si>
  <si>
    <t>12º EMPREGO</t>
  </si>
  <si>
    <t>13º EMPREGO</t>
  </si>
  <si>
    <t>14º EMPREGO</t>
  </si>
  <si>
    <t>15º EMPREGO</t>
  </si>
  <si>
    <t>16º EMPREGO</t>
  </si>
  <si>
    <t>17º EMPREGO</t>
  </si>
  <si>
    <t>18º EMPREGO</t>
  </si>
  <si>
    <t>19º EMPREGO</t>
  </si>
  <si>
    <t>20º EMPREGO</t>
  </si>
  <si>
    <r>
      <t xml:space="preserve">28/12/2009 </t>
    </r>
    <r>
      <rPr>
        <b/>
        <sz val="10"/>
        <rFont val="Arial"/>
        <family val="2"/>
      </rPr>
      <t xml:space="preserve">- </t>
    </r>
    <r>
      <rPr>
        <sz val="10"/>
        <rFont val="Arial"/>
        <family val="2"/>
      </rPr>
      <t>Foi implantado uma correção nas colunas datas de admissão e datas de demissão.</t>
    </r>
  </si>
  <si>
    <t>Na versão anterior o usuário poderia colocar a data de admissão do emprego n° 02, menor que a data</t>
  </si>
  <si>
    <t>de demissão do emprego n° 01, o sistema não fazia nenhuma critica. Sendo assim soma duas vezes a mesma data.</t>
  </si>
  <si>
    <t>Na versão atual a data de admissão do emprego n° 02, tem que ser maior que a demissão do emprego n° 01</t>
  </si>
  <si>
    <r>
      <t>data da saída foi (</t>
    </r>
    <r>
      <rPr>
        <b/>
        <u/>
        <sz val="10"/>
        <rFont val="Arial"/>
        <family val="2"/>
      </rPr>
      <t>20/12/2009</t>
    </r>
    <r>
      <rPr>
        <sz val="10"/>
        <rFont val="Arial"/>
      </rPr>
      <t>).</t>
    </r>
  </si>
  <si>
    <r>
      <t>Exemplo</t>
    </r>
    <r>
      <rPr>
        <sz val="10"/>
        <rFont val="Arial"/>
      </rPr>
      <t xml:space="preserve">:- </t>
    </r>
    <r>
      <rPr>
        <b/>
        <sz val="10"/>
        <color indexed="10"/>
        <rFont val="Arial"/>
        <family val="2"/>
      </rPr>
      <t xml:space="preserve">Admissão emprego n° 01 </t>
    </r>
    <r>
      <rPr>
        <sz val="10"/>
        <rFont val="Arial"/>
      </rPr>
      <t>(</t>
    </r>
    <r>
      <rPr>
        <b/>
        <u/>
        <sz val="10"/>
        <rFont val="Arial"/>
        <family val="2"/>
      </rPr>
      <t>12/10/2009</t>
    </r>
    <r>
      <rPr>
        <sz val="10"/>
        <rFont val="Arial"/>
      </rPr>
      <t>), data da saída tem que ser igual ou maior que (12/10/2009)</t>
    </r>
  </si>
  <si>
    <r>
      <t xml:space="preserve">Para lançar </t>
    </r>
    <r>
      <rPr>
        <b/>
        <sz val="10"/>
        <color indexed="10"/>
        <rFont val="Arial"/>
        <family val="2"/>
      </rPr>
      <t>data admissão no emprego n° 02,</t>
    </r>
    <r>
      <rPr>
        <sz val="10"/>
        <rFont val="Arial"/>
      </rPr>
      <t xml:space="preserve"> ela tem que ser maior que (20/12/2009), caso tente lançar </t>
    </r>
  </si>
  <si>
    <t>uma data menor, o sistema irá bloquear e dará uma critica.</t>
  </si>
  <si>
    <t>angelo.tonon@ig.com.br.</t>
  </si>
  <si>
    <t>PROGRAMA V03 - 30/06/2013</t>
  </si>
  <si>
    <t>V03</t>
  </si>
  <si>
    <t>21º EMPREGO</t>
  </si>
  <si>
    <t>22º EMPREGO</t>
  </si>
  <si>
    <t>23º EMPREGO</t>
  </si>
  <si>
    <t>24º EMPREGO</t>
  </si>
  <si>
    <t>25º EMPREGO</t>
  </si>
  <si>
    <t>angelo.tonon@ig.com.br</t>
  </si>
  <si>
    <t>A VERSÃO V3 - NÃO NECESSITA DE ATUALIZAÇÃO ANUAL - (SÓ ENVIAREI ALTERAÇÃO CASO A PREVIDÊNCIA MUDE A REGRA DE CONTAGEM)</t>
  </si>
  <si>
    <t>30/06/2013 - VERSÃO V03 - NÃO TEM ATUALIZAÇÃO ANUAL (SÓ HAVERÁ NECESSIDADE DE ALTERAÇÃO CASO A PREVIDÊNCIA SOCIAL ALTERE A POLITICA DE CONTAGEM DE TEMPO DE SERVIÇO)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</si>
</sst>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%"/>
  </numFmts>
  <fonts count="14" x14ac:knownFonts="1">
    <font>
      <sz val="10"/>
      <name val="Arial"/>
    </font>
    <font>
      <sz val="8"/>
      <name val="Arial"/>
    </font>
    <font>
      <sz val="10"/>
      <color indexed="10"/>
      <name val="Arial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u/>
      <sz val="10"/>
      <color indexed="12"/>
      <name val="Arial"/>
    </font>
    <font>
      <b/>
      <u/>
      <sz val="10"/>
      <color indexed="10"/>
      <name val="Arial"/>
      <family val="2"/>
    </font>
    <font>
      <b/>
      <sz val="9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u/>
      <sz val="10"/>
      <name val="Arial"/>
      <family val="2"/>
    </font>
    <font>
      <b/>
      <sz val="10"/>
      <color indexed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6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88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/>
    <xf numFmtId="0" fontId="3" fillId="3" borderId="1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0" fillId="2" borderId="2" xfId="0" applyFill="1" applyBorder="1"/>
    <xf numFmtId="0" fontId="0" fillId="2" borderId="1" xfId="0" applyFill="1" applyBorder="1" applyAlignment="1" applyProtection="1">
      <alignment horizontal="center"/>
      <protection hidden="1"/>
    </xf>
    <xf numFmtId="0" fontId="2" fillId="2" borderId="1" xfId="0" applyFont="1" applyFill="1" applyBorder="1" applyAlignment="1" applyProtection="1">
      <alignment horizontal="center"/>
      <protection hidden="1"/>
    </xf>
    <xf numFmtId="1" fontId="2" fillId="4" borderId="1" xfId="0" applyNumberFormat="1" applyFont="1" applyFill="1" applyBorder="1" applyAlignment="1" applyProtection="1">
      <alignment horizontal="center"/>
      <protection hidden="1"/>
    </xf>
    <xf numFmtId="0" fontId="0" fillId="2" borderId="1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0" fillId="2" borderId="5" xfId="0" applyFill="1" applyBorder="1" applyProtection="1">
      <protection hidden="1"/>
    </xf>
    <xf numFmtId="0" fontId="5" fillId="4" borderId="1" xfId="0" applyFont="1" applyFill="1" applyBorder="1" applyAlignment="1" applyProtection="1">
      <alignment horizontal="center"/>
      <protection hidden="1"/>
    </xf>
    <xf numFmtId="1" fontId="5" fillId="4" borderId="1" xfId="0" applyNumberFormat="1" applyFont="1" applyFill="1" applyBorder="1" applyAlignment="1" applyProtection="1">
      <alignment horizontal="center"/>
      <protection hidden="1"/>
    </xf>
    <xf numFmtId="0" fontId="3" fillId="2" borderId="1" xfId="0" applyFont="1" applyFill="1" applyBorder="1" applyAlignment="1" applyProtection="1">
      <alignment horizontal="center"/>
      <protection hidden="1"/>
    </xf>
    <xf numFmtId="0" fontId="5" fillId="3" borderId="1" xfId="0" applyFont="1" applyFill="1" applyBorder="1" applyAlignment="1">
      <alignment horizontal="center"/>
    </xf>
    <xf numFmtId="0" fontId="5" fillId="2" borderId="1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applyFill="1" applyBorder="1"/>
    <xf numFmtId="10" fontId="0" fillId="0" borderId="0" xfId="0" applyNumberFormat="1"/>
    <xf numFmtId="164" fontId="0" fillId="0" borderId="0" xfId="0" applyNumberFormat="1"/>
    <xf numFmtId="165" fontId="0" fillId="0" borderId="0" xfId="0" applyNumberFormat="1" applyAlignment="1">
      <alignment shrinkToFit="1"/>
    </xf>
    <xf numFmtId="0" fontId="8" fillId="2" borderId="6" xfId="0" applyFont="1" applyFill="1" applyBorder="1" applyAlignment="1">
      <alignment vertical="center" wrapText="1"/>
    </xf>
    <xf numFmtId="0" fontId="8" fillId="2" borderId="7" xfId="0" applyFont="1" applyFill="1" applyBorder="1" applyAlignment="1">
      <alignment vertical="center" wrapText="1"/>
    </xf>
    <xf numFmtId="0" fontId="8" fillId="2" borderId="8" xfId="0" applyFont="1" applyFill="1" applyBorder="1" applyAlignment="1">
      <alignment vertical="center" wrapText="1"/>
    </xf>
    <xf numFmtId="0" fontId="8" fillId="2" borderId="9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 wrapText="1"/>
    </xf>
    <xf numFmtId="0" fontId="8" fillId="2" borderId="10" xfId="0" applyFont="1" applyFill="1" applyBorder="1" applyAlignment="1">
      <alignment vertical="center" wrapText="1"/>
    </xf>
    <xf numFmtId="0" fontId="0" fillId="5" borderId="1" xfId="0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0" fillId="4" borderId="0" xfId="0" applyFill="1"/>
    <xf numFmtId="0" fontId="3" fillId="6" borderId="1" xfId="0" applyFont="1" applyFill="1" applyBorder="1" applyAlignment="1">
      <alignment horizontal="center"/>
    </xf>
    <xf numFmtId="0" fontId="0" fillId="6" borderId="1" xfId="0" applyFill="1" applyBorder="1"/>
    <xf numFmtId="1" fontId="3" fillId="4" borderId="1" xfId="0" applyNumberFormat="1" applyFont="1" applyFill="1" applyBorder="1" applyAlignment="1">
      <alignment horizontal="center"/>
    </xf>
    <xf numFmtId="0" fontId="3" fillId="4" borderId="0" xfId="0" applyFont="1" applyFill="1"/>
    <xf numFmtId="0" fontId="3" fillId="4" borderId="1" xfId="0" applyFont="1" applyFill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2" xfId="0" applyFill="1" applyBorder="1" applyAlignment="1">
      <alignment horizontal="center"/>
    </xf>
    <xf numFmtId="17" fontId="0" fillId="6" borderId="0" xfId="0" applyNumberFormat="1" applyFill="1"/>
    <xf numFmtId="0" fontId="0" fillId="6" borderId="0" xfId="0" applyFill="1"/>
    <xf numFmtId="0" fontId="0" fillId="4" borderId="2" xfId="0" applyFill="1" applyBorder="1"/>
    <xf numFmtId="0" fontId="0" fillId="4" borderId="5" xfId="0" applyFill="1" applyBorder="1" applyAlignment="1">
      <alignment horizontal="center"/>
    </xf>
    <xf numFmtId="0" fontId="6" fillId="4" borderId="1" xfId="0" applyFont="1" applyFill="1" applyBorder="1"/>
    <xf numFmtId="0" fontId="0" fillId="2" borderId="8" xfId="0" applyFill="1" applyBorder="1" applyAlignment="1">
      <alignment horizontal="center"/>
    </xf>
    <xf numFmtId="1" fontId="3" fillId="4" borderId="3" xfId="0" applyNumberFormat="1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4" borderId="5" xfId="0" applyFill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6" borderId="5" xfId="0" applyFill="1" applyBorder="1"/>
    <xf numFmtId="0" fontId="3" fillId="7" borderId="1" xfId="0" applyFont="1" applyFill="1" applyBorder="1"/>
    <xf numFmtId="0" fontId="0" fillId="2" borderId="3" xfId="0" applyFill="1" applyBorder="1"/>
    <xf numFmtId="49" fontId="3" fillId="8" borderId="4" xfId="0" applyNumberFormat="1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4" fontId="3" fillId="8" borderId="1" xfId="0" applyNumberFormat="1" applyFont="1" applyFill="1" applyBorder="1" applyAlignment="1" applyProtection="1">
      <alignment horizontal="center"/>
      <protection locked="0"/>
    </xf>
    <xf numFmtId="0" fontId="5" fillId="3" borderId="2" xfId="0" applyFont="1" applyFill="1" applyBorder="1" applyAlignment="1">
      <alignment horizontal="center"/>
    </xf>
    <xf numFmtId="0" fontId="5" fillId="2" borderId="6" xfId="0" applyFont="1" applyFill="1" applyBorder="1" applyAlignment="1">
      <alignment vertical="center" wrapText="1"/>
    </xf>
    <xf numFmtId="0" fontId="5" fillId="2" borderId="7" xfId="0" applyFont="1" applyFill="1" applyBorder="1" applyAlignment="1">
      <alignment vertical="center" wrapText="1"/>
    </xf>
    <xf numFmtId="0" fontId="5" fillId="2" borderId="8" xfId="0" applyFont="1" applyFill="1" applyBorder="1" applyAlignment="1">
      <alignment vertical="center" wrapText="1"/>
    </xf>
    <xf numFmtId="0" fontId="5" fillId="2" borderId="9" xfId="0" applyFont="1" applyFill="1" applyBorder="1" applyAlignment="1">
      <alignment vertical="center" wrapText="1"/>
    </xf>
    <xf numFmtId="0" fontId="5" fillId="2" borderId="0" xfId="0" applyFont="1" applyFill="1" applyBorder="1" applyAlignment="1">
      <alignment vertical="center" wrapText="1"/>
    </xf>
    <xf numFmtId="0" fontId="5" fillId="2" borderId="10" xfId="0" applyFont="1" applyFill="1" applyBorder="1" applyAlignment="1">
      <alignment vertical="center" wrapText="1"/>
    </xf>
    <xf numFmtId="0" fontId="5" fillId="2" borderId="13" xfId="0" applyFont="1" applyFill="1" applyBorder="1" applyAlignment="1">
      <alignment vertical="center" wrapText="1"/>
    </xf>
    <xf numFmtId="0" fontId="5" fillId="2" borderId="14" xfId="0" applyFont="1" applyFill="1" applyBorder="1" applyAlignment="1">
      <alignment vertical="center" wrapText="1"/>
    </xf>
    <xf numFmtId="0" fontId="5" fillId="2" borderId="15" xfId="0" applyFont="1" applyFill="1" applyBorder="1" applyAlignment="1">
      <alignment vertical="center" wrapText="1"/>
    </xf>
    <xf numFmtId="0" fontId="0" fillId="8" borderId="0" xfId="0" applyFill="1"/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0" xfId="0" applyProtection="1">
      <protection hidden="1"/>
    </xf>
    <xf numFmtId="0" fontId="3" fillId="2" borderId="1" xfId="0" applyFont="1" applyFill="1" applyBorder="1" applyAlignment="1">
      <alignment horizontal="center" vertical="center" shrinkToFit="1"/>
    </xf>
    <xf numFmtId="0" fontId="11" fillId="9" borderId="1" xfId="0" applyFont="1" applyFill="1" applyBorder="1" applyAlignment="1">
      <alignment vertical="center"/>
    </xf>
    <xf numFmtId="0" fontId="12" fillId="2" borderId="16" xfId="0" applyFont="1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3" fillId="2" borderId="19" xfId="0" applyFont="1" applyFill="1" applyBorder="1"/>
    <xf numFmtId="0" fontId="13" fillId="2" borderId="1" xfId="0" applyFont="1" applyFill="1" applyBorder="1"/>
    <xf numFmtId="0" fontId="13" fillId="2" borderId="1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left"/>
    </xf>
    <xf numFmtId="0" fontId="3" fillId="2" borderId="17" xfId="0" applyFont="1" applyFill="1" applyBorder="1" applyAlignment="1">
      <alignment horizontal="left"/>
    </xf>
    <xf numFmtId="0" fontId="3" fillId="2" borderId="18" xfId="0" applyFont="1" applyFill="1" applyBorder="1" applyAlignment="1">
      <alignment horizontal="left"/>
    </xf>
    <xf numFmtId="0" fontId="3" fillId="2" borderId="0" xfId="0" applyFont="1" applyFill="1" applyBorder="1"/>
    <xf numFmtId="0" fontId="7" fillId="2" borderId="0" xfId="1" applyFill="1" applyBorder="1" applyAlignment="1" applyProtection="1"/>
    <xf numFmtId="14" fontId="0" fillId="2" borderId="0" xfId="0" applyNumberFormat="1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4" fillId="10" borderId="24" xfId="0" applyFont="1" applyFill="1" applyBorder="1" applyAlignment="1">
      <alignment horizontal="center"/>
    </xf>
    <xf numFmtId="0" fontId="4" fillId="10" borderId="25" xfId="0" applyFont="1" applyFill="1" applyBorder="1" applyAlignment="1">
      <alignment horizontal="center"/>
    </xf>
    <xf numFmtId="0" fontId="4" fillId="10" borderId="26" xfId="0" applyFont="1" applyFill="1" applyBorder="1" applyAlignment="1">
      <alignment horizontal="center"/>
    </xf>
    <xf numFmtId="0" fontId="0" fillId="2" borderId="21" xfId="0" applyFill="1" applyBorder="1" applyAlignment="1">
      <alignment horizontal="left"/>
    </xf>
    <xf numFmtId="0" fontId="0" fillId="2" borderId="22" xfId="0" applyFill="1" applyBorder="1" applyAlignment="1">
      <alignment horizontal="left"/>
    </xf>
    <xf numFmtId="0" fontId="0" fillId="2" borderId="23" xfId="0" applyFill="1" applyBorder="1" applyAlignment="1">
      <alignment horizontal="left"/>
    </xf>
    <xf numFmtId="0" fontId="3" fillId="2" borderId="16" xfId="0" applyFont="1" applyFill="1" applyBorder="1" applyAlignment="1">
      <alignment horizontal="justify" vertical="justify" wrapText="1"/>
    </xf>
    <xf numFmtId="0" fontId="3" fillId="2" borderId="17" xfId="0" applyFont="1" applyFill="1" applyBorder="1" applyAlignment="1">
      <alignment horizontal="justify" vertical="justify" wrapText="1"/>
    </xf>
    <xf numFmtId="0" fontId="3" fillId="2" borderId="18" xfId="0" applyFont="1" applyFill="1" applyBorder="1" applyAlignment="1">
      <alignment horizontal="justify" vertical="justify" wrapText="1"/>
    </xf>
    <xf numFmtId="0" fontId="3" fillId="2" borderId="21" xfId="0" applyFont="1" applyFill="1" applyBorder="1" applyAlignment="1">
      <alignment horizontal="justify" vertical="justify" wrapText="1"/>
    </xf>
    <xf numFmtId="0" fontId="3" fillId="2" borderId="22" xfId="0" applyFont="1" applyFill="1" applyBorder="1" applyAlignment="1">
      <alignment horizontal="justify" vertical="justify" wrapText="1"/>
    </xf>
    <xf numFmtId="0" fontId="3" fillId="2" borderId="23" xfId="0" applyFont="1" applyFill="1" applyBorder="1" applyAlignment="1">
      <alignment horizontal="justify" vertical="justify" wrapText="1"/>
    </xf>
    <xf numFmtId="0" fontId="9" fillId="7" borderId="11" xfId="0" applyFont="1" applyFill="1" applyBorder="1" applyAlignment="1">
      <alignment horizontal="justify" vertical="justify" wrapText="1"/>
    </xf>
    <xf numFmtId="0" fontId="9" fillId="7" borderId="12" xfId="0" applyFont="1" applyFill="1" applyBorder="1" applyAlignment="1">
      <alignment horizontal="justify" vertical="justify" wrapText="1"/>
    </xf>
    <xf numFmtId="0" fontId="9" fillId="7" borderId="2" xfId="0" applyFont="1" applyFill="1" applyBorder="1" applyAlignment="1">
      <alignment horizontal="justify" vertical="justify" wrapText="1"/>
    </xf>
    <xf numFmtId="0" fontId="5" fillId="3" borderId="13" xfId="0" applyFont="1" applyFill="1" applyBorder="1" applyAlignment="1">
      <alignment horizontal="left"/>
    </xf>
    <xf numFmtId="0" fontId="5" fillId="3" borderId="14" xfId="0" applyFont="1" applyFill="1" applyBorder="1" applyAlignment="1">
      <alignment horizontal="left"/>
    </xf>
    <xf numFmtId="0" fontId="5" fillId="3" borderId="15" xfId="0" applyFont="1" applyFill="1" applyBorder="1" applyAlignment="1">
      <alignment horizontal="left"/>
    </xf>
    <xf numFmtId="0" fontId="5" fillId="3" borderId="6" xfId="0" applyFont="1" applyFill="1" applyBorder="1" applyAlignment="1">
      <alignment horizontal="left"/>
    </xf>
    <xf numFmtId="0" fontId="5" fillId="3" borderId="7" xfId="0" applyFont="1" applyFill="1" applyBorder="1" applyAlignment="1">
      <alignment horizontal="left"/>
    </xf>
    <xf numFmtId="0" fontId="5" fillId="3" borderId="12" xfId="0" applyFont="1" applyFill="1" applyBorder="1" applyAlignment="1">
      <alignment horizontal="left"/>
    </xf>
    <xf numFmtId="0" fontId="5" fillId="3" borderId="2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 vertical="center" wrapText="1"/>
    </xf>
    <xf numFmtId="0" fontId="3" fillId="2" borderId="13" xfId="0" applyFont="1" applyFill="1" applyBorder="1" applyAlignment="1">
      <alignment horizontal="center"/>
    </xf>
    <xf numFmtId="0" fontId="3" fillId="2" borderId="14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9" fillId="4" borderId="13" xfId="0" applyFont="1" applyFill="1" applyBorder="1" applyAlignment="1">
      <alignment horizontal="justify" vertical="justify" wrapText="1"/>
    </xf>
    <xf numFmtId="0" fontId="9" fillId="4" borderId="14" xfId="0" applyFont="1" applyFill="1" applyBorder="1" applyAlignment="1">
      <alignment horizontal="justify" vertical="justify" wrapText="1"/>
    </xf>
    <xf numFmtId="0" fontId="9" fillId="4" borderId="15" xfId="0" applyFont="1" applyFill="1" applyBorder="1" applyAlignment="1">
      <alignment horizontal="justify" vertical="justify" wrapText="1"/>
    </xf>
    <xf numFmtId="0" fontId="3" fillId="2" borderId="6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3" fillId="8" borderId="1" xfId="0" applyFont="1" applyFill="1" applyBorder="1" applyAlignment="1" applyProtection="1">
      <alignment horizontal="center"/>
      <protection locked="0"/>
    </xf>
    <xf numFmtId="0" fontId="3" fillId="8" borderId="11" xfId="0" applyFont="1" applyFill="1" applyBorder="1" applyAlignment="1" applyProtection="1">
      <alignment horizontal="center"/>
      <protection locked="0"/>
    </xf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49" fontId="10" fillId="9" borderId="11" xfId="0" applyNumberFormat="1" applyFont="1" applyFill="1" applyBorder="1" applyAlignment="1" applyProtection="1">
      <alignment horizontal="center" vertical="center"/>
      <protection locked="0"/>
    </xf>
    <xf numFmtId="0" fontId="11" fillId="9" borderId="12" xfId="0" applyFont="1" applyFill="1" applyBorder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9" borderId="11" xfId="0" applyFont="1" applyFill="1" applyBorder="1" applyAlignment="1">
      <alignment horizontal="center" vertical="center" shrinkToFit="1"/>
    </xf>
    <xf numFmtId="0" fontId="10" fillId="9" borderId="2" xfId="0" applyFont="1" applyFill="1" applyBorder="1" applyAlignment="1">
      <alignment horizontal="center" vertical="center" shrinkToFit="1"/>
    </xf>
    <xf numFmtId="0" fontId="7" fillId="2" borderId="13" xfId="1" applyFill="1" applyBorder="1" applyAlignment="1" applyProtection="1">
      <alignment horizontal="center" vertical="center" wrapText="1"/>
    </xf>
    <xf numFmtId="0" fontId="8" fillId="2" borderId="14" xfId="0" applyFont="1" applyFill="1" applyBorder="1" applyAlignment="1">
      <alignment horizontal="center" vertical="center" wrapText="1"/>
    </xf>
    <xf numFmtId="0" fontId="8" fillId="2" borderId="15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</cellXfs>
  <cellStyles count="2">
    <cellStyle name="Hiperlink" xfId="1" builtinId="8"/>
    <cellStyle name="Normal" xfId="0" builtinId="0"/>
  </cellStyles>
  <dxfs count="5">
    <dxf>
      <fill>
        <patternFill>
          <bgColor indexed="26"/>
        </patternFill>
      </fill>
    </dxf>
    <dxf>
      <fill>
        <patternFill>
          <bgColor indexed="27"/>
        </patternFill>
      </fill>
    </dxf>
    <dxf>
      <fill>
        <patternFill>
          <bgColor indexed="26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 /><Relationship Id="rId7" Type="http://schemas.microsoft.com/office/2006/relationships/vbaProject" Target="vbaProject.bin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calcChain" Target="calcChain.xml" /><Relationship Id="rId5" Type="http://schemas.openxmlformats.org/officeDocument/2006/relationships/sharedStrings" Target="sharedStrings.xml" /><Relationship Id="rId4" Type="http://schemas.openxmlformats.org/officeDocument/2006/relationships/styles" Target="styles.xml" /></Relationships>
</file>

<file path=xl/ctrlProps/ctrlProp1.xml><?xml version="1.0" encoding="utf-8"?>
<formControlPr xmlns="http://schemas.microsoft.com/office/spreadsheetml/2009/9/main" objectType="Radio" checked="Checked" firstButton="1" fmlaLink="$R$1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34</xdr:row>
      <xdr:rowOff>0</xdr:rowOff>
    </xdr:from>
    <xdr:to>
      <xdr:col>9</xdr:col>
      <xdr:colOff>190500</xdr:colOff>
      <xdr:row>35</xdr:row>
      <xdr:rowOff>0</xdr:rowOff>
    </xdr:to>
    <xdr:sp macro="" textlink="">
      <xdr:nvSpPr>
        <xdr:cNvPr id="1080" name="AutoShape 7">
          <a:extLst>
            <a:ext uri="{FF2B5EF4-FFF2-40B4-BE49-F238E27FC236}">
              <a16:creationId xmlns:a16="http://schemas.microsoft.com/office/drawing/2014/main" id="{D496B26E-D258-40FE-9114-58AD1B37314F}"/>
            </a:ext>
          </a:extLst>
        </xdr:cNvPr>
        <xdr:cNvSpPr>
          <a:spLocks noChangeArrowheads="1"/>
        </xdr:cNvSpPr>
      </xdr:nvSpPr>
      <xdr:spPr bwMode="auto">
        <a:xfrm>
          <a:off x="4019550" y="4762500"/>
          <a:ext cx="180975" cy="0"/>
        </a:xfrm>
        <a:custGeom>
          <a:avLst/>
          <a:gdLst>
            <a:gd name="T0" fmla="*/ 2147483647 w 21600"/>
            <a:gd name="T1" fmla="*/ 0 h 21600"/>
            <a:gd name="T2" fmla="*/ 2147483647 w 21600"/>
            <a:gd name="T3" fmla="*/ 0 h 21600"/>
            <a:gd name="T4" fmla="*/ 0 w 21600"/>
            <a:gd name="T5" fmla="*/ 0 h 21600"/>
            <a:gd name="T6" fmla="*/ 2147483647 w 21600"/>
            <a:gd name="T7" fmla="*/ 0 h 21600"/>
            <a:gd name="T8" fmla="*/ 2147483647 w 21600"/>
            <a:gd name="T9" fmla="*/ 0 h 21600"/>
            <a:gd name="T10" fmla="*/ 2147483647 w 21600"/>
            <a:gd name="T11" fmla="*/ 0 h 21600"/>
            <a:gd name="T12" fmla="*/ 17694720 60000 65536"/>
            <a:gd name="T13" fmla="*/ 11796480 60000 65536"/>
            <a:gd name="T14" fmla="*/ 11796480 60000 65536"/>
            <a:gd name="T15" fmla="*/ 5898240 60000 65536"/>
            <a:gd name="T16" fmla="*/ 0 60000 65536"/>
            <a:gd name="T17" fmla="*/ 0 60000 65536"/>
            <a:gd name="T18" fmla="*/ 0 w 21600"/>
            <a:gd name="T19" fmla="*/ 0 h 21600"/>
            <a:gd name="T20" fmla="*/ 18514 w 21600"/>
            <a:gd name="T21" fmla="*/ 0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5429" y="0"/>
              </a:moveTo>
              <a:lnTo>
                <a:pt x="9257" y="7200"/>
              </a:lnTo>
              <a:lnTo>
                <a:pt x="12343" y="7200"/>
              </a:lnTo>
              <a:lnTo>
                <a:pt x="12343" y="14400"/>
              </a:lnTo>
              <a:lnTo>
                <a:pt x="0" y="14400"/>
              </a:lnTo>
              <a:lnTo>
                <a:pt x="0" y="21600"/>
              </a:lnTo>
              <a:lnTo>
                <a:pt x="18514" y="21600"/>
              </a:lnTo>
              <a:lnTo>
                <a:pt x="18514" y="7200"/>
              </a:lnTo>
              <a:lnTo>
                <a:pt x="21600" y="7200"/>
              </a:lnTo>
              <a:close/>
            </a:path>
          </a:pathLst>
        </a:cu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0</xdr:colOff>
      <xdr:row>34</xdr:row>
      <xdr:rowOff>66675</xdr:rowOff>
    </xdr:from>
    <xdr:to>
      <xdr:col>11</xdr:col>
      <xdr:colOff>523875</xdr:colOff>
      <xdr:row>36</xdr:row>
      <xdr:rowOff>161925</xdr:rowOff>
    </xdr:to>
    <xdr:sp macro="" textlink="">
      <xdr:nvSpPr>
        <xdr:cNvPr id="1081" name="AutoShape 8">
          <a:extLst>
            <a:ext uri="{FF2B5EF4-FFF2-40B4-BE49-F238E27FC236}">
              <a16:creationId xmlns:a16="http://schemas.microsoft.com/office/drawing/2014/main" id="{87438982-A207-41C2-94A4-D1E9A955F8E4}"/>
            </a:ext>
          </a:extLst>
        </xdr:cNvPr>
        <xdr:cNvSpPr>
          <a:spLocks noChangeArrowheads="1"/>
        </xdr:cNvSpPr>
      </xdr:nvSpPr>
      <xdr:spPr bwMode="auto">
        <a:xfrm>
          <a:off x="4657725" y="4762500"/>
          <a:ext cx="523875" cy="0"/>
        </a:xfrm>
        <a:custGeom>
          <a:avLst/>
          <a:gdLst>
            <a:gd name="T0" fmla="*/ 2147483647 w 21600"/>
            <a:gd name="T1" fmla="*/ 0 h 21600"/>
            <a:gd name="T2" fmla="*/ 2147483647 w 21600"/>
            <a:gd name="T3" fmla="*/ 0 h 21600"/>
            <a:gd name="T4" fmla="*/ 0 w 21600"/>
            <a:gd name="T5" fmla="*/ 0 h 21600"/>
            <a:gd name="T6" fmla="*/ 2147483647 w 21600"/>
            <a:gd name="T7" fmla="*/ 0 h 21600"/>
            <a:gd name="T8" fmla="*/ 2147483647 w 21600"/>
            <a:gd name="T9" fmla="*/ 0 h 21600"/>
            <a:gd name="T10" fmla="*/ 2147483647 w 21600"/>
            <a:gd name="T11" fmla="*/ 0 h 21600"/>
            <a:gd name="T12" fmla="*/ 17694720 60000 65536"/>
            <a:gd name="T13" fmla="*/ 11796480 60000 65536"/>
            <a:gd name="T14" fmla="*/ 11796480 60000 65536"/>
            <a:gd name="T15" fmla="*/ 5898240 60000 65536"/>
            <a:gd name="T16" fmla="*/ 0 60000 65536"/>
            <a:gd name="T17" fmla="*/ 0 60000 65536"/>
            <a:gd name="T18" fmla="*/ 0 w 21600"/>
            <a:gd name="T19" fmla="*/ 0 h 21600"/>
            <a:gd name="T20" fmla="*/ 18514 w 21600"/>
            <a:gd name="T21" fmla="*/ 0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5429" y="0"/>
              </a:moveTo>
              <a:lnTo>
                <a:pt x="9257" y="7200"/>
              </a:lnTo>
              <a:lnTo>
                <a:pt x="12343" y="7200"/>
              </a:lnTo>
              <a:lnTo>
                <a:pt x="12343" y="14400"/>
              </a:lnTo>
              <a:lnTo>
                <a:pt x="0" y="14400"/>
              </a:lnTo>
              <a:lnTo>
                <a:pt x="0" y="21600"/>
              </a:lnTo>
              <a:lnTo>
                <a:pt x="18514" y="21600"/>
              </a:lnTo>
              <a:lnTo>
                <a:pt x="18514" y="7200"/>
              </a:lnTo>
              <a:lnTo>
                <a:pt x="21600" y="7200"/>
              </a:lnTo>
              <a:close/>
            </a:path>
          </a:pathLst>
        </a:cu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</xdr:row>
          <xdr:rowOff>133350</xdr:rowOff>
        </xdr:from>
        <xdr:to>
          <xdr:col>13</xdr:col>
          <xdr:colOff>485775</xdr:colOff>
          <xdr:row>3</xdr:row>
          <xdr:rowOff>190500</xdr:rowOff>
        </xdr:to>
        <xdr:sp macro="" textlink="">
          <xdr:nvSpPr>
            <xdr:cNvPr id="1033" name="Option Button 9" descr="SEXO MASCULIN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C5DE079F-1E70-4603-A8AF-AE8ACCECE2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CC" mc:Ignorable="a14" a14:legacySpreadsheetColorIndex="42">
                <a:alpha val="92999"/>
              </a:srgbClr>
            </a:solidFill>
            <a:ln w="25400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MASCULINO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590550</xdr:colOff>
          <xdr:row>2</xdr:row>
          <xdr:rowOff>133350</xdr:rowOff>
        </xdr:from>
        <xdr:to>
          <xdr:col>15</xdr:col>
          <xdr:colOff>447675</xdr:colOff>
          <xdr:row>3</xdr:row>
          <xdr:rowOff>180975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41C8C888-43F3-4B37-BECF-370338F7F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FFFF" mc:Ignorable="a14" a14:legacySpreadsheetColorIndex="41"/>
            </a:solidFill>
            <a:ln w="2857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FEMININO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390525</xdr:colOff>
          <xdr:row>0</xdr:row>
          <xdr:rowOff>142875</xdr:rowOff>
        </xdr:from>
        <xdr:ext cx="1232535" cy="209551"/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3EAF9C1-158F-4286-9848-6511E998A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LIMPAR CONTEÚDO</a:t>
              </a:r>
            </a:p>
          </xdr:txBody>
        </xdr:sp>
        <xdr:clientData fPrintsWithSheet="0"/>
      </xdr:one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 /><Relationship Id="rId1" Type="http://schemas.openxmlformats.org/officeDocument/2006/relationships/hyperlink" Target="mailto:angelo.tonon@ig.com.br." TargetMode="External" 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 /><Relationship Id="rId7" Type="http://schemas.openxmlformats.org/officeDocument/2006/relationships/ctrlProp" Target="../ctrlProps/ctrlProp3.xml" /><Relationship Id="rId2" Type="http://schemas.openxmlformats.org/officeDocument/2006/relationships/printerSettings" Target="../printerSettings/printerSettings2.bin" /><Relationship Id="rId1" Type="http://schemas.openxmlformats.org/officeDocument/2006/relationships/hyperlink" Target="mailto:angelo.tonon@ig.com.br" TargetMode="External" /><Relationship Id="rId6" Type="http://schemas.openxmlformats.org/officeDocument/2006/relationships/ctrlProp" Target="../ctrlProps/ctrlProp2.xml" /><Relationship Id="rId5" Type="http://schemas.openxmlformats.org/officeDocument/2006/relationships/ctrlProp" Target="../ctrlProps/ctrlProp1.xml" /><Relationship Id="rId4" Type="http://schemas.openxmlformats.org/officeDocument/2006/relationships/vmlDrawing" Target="../drawings/vmlDrawing1.vm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34"/>
  <sheetViews>
    <sheetView tabSelected="1" workbookViewId="0" xr3:uid="{AEA406A1-0E4B-5B11-9CD5-51D6E497D94C}">
      <selection activeCell="N10" sqref="N10"/>
    </sheetView>
  </sheetViews>
  <sheetFormatPr defaultRowHeight="12.75" x14ac:dyDescent="0.15"/>
  <cols>
    <col min="1" max="1" width="0.1328125" customWidth="1"/>
    <col min="5" max="5" width="10.11328125" bestFit="1" customWidth="1"/>
    <col min="9" max="9" width="10.11328125" customWidth="1"/>
    <col min="10" max="10" width="23.734375" customWidth="1"/>
    <col min="11" max="12" width="9.16796875" style="80" hidden="1" customWidth="1"/>
  </cols>
  <sheetData>
    <row r="1" spans="1:10" ht="13.5" thickBot="1" x14ac:dyDescent="0.2">
      <c r="A1" s="1"/>
      <c r="B1" s="1"/>
      <c r="C1" s="1"/>
      <c r="D1" s="1"/>
      <c r="E1" s="1"/>
      <c r="F1" s="1"/>
      <c r="G1" s="1"/>
      <c r="H1" s="1"/>
      <c r="I1" s="1"/>
      <c r="J1" s="1"/>
    </row>
    <row r="2" spans="1:10" ht="15" thickBot="1" x14ac:dyDescent="0.2">
      <c r="A2" s="1"/>
      <c r="B2" s="106" t="s">
        <v>29</v>
      </c>
      <c r="C2" s="107"/>
      <c r="D2" s="107"/>
      <c r="E2" s="107"/>
      <c r="F2" s="107"/>
      <c r="G2" s="107"/>
      <c r="H2" s="107"/>
      <c r="I2" s="107"/>
      <c r="J2" s="108"/>
    </row>
    <row r="3" spans="1:10" x14ac:dyDescent="0.15">
      <c r="A3" s="1"/>
      <c r="B3" s="97"/>
      <c r="C3" s="98"/>
      <c r="D3" s="98"/>
      <c r="E3" s="98"/>
      <c r="F3" s="98"/>
      <c r="G3" s="98"/>
      <c r="H3" s="98"/>
      <c r="I3" s="98"/>
      <c r="J3" s="99"/>
    </row>
    <row r="4" spans="1:10" x14ac:dyDescent="0.15">
      <c r="A4" s="1"/>
      <c r="B4" s="92"/>
      <c r="C4" s="100" t="s">
        <v>30</v>
      </c>
      <c r="D4" s="28" t="s">
        <v>28</v>
      </c>
      <c r="E4" s="28"/>
      <c r="F4" s="28"/>
      <c r="G4" s="101" t="s">
        <v>73</v>
      </c>
      <c r="H4" s="28"/>
      <c r="I4" s="28"/>
      <c r="J4" s="93"/>
    </row>
    <row r="5" spans="1:10" x14ac:dyDescent="0.15">
      <c r="A5" s="1"/>
      <c r="B5" s="92"/>
      <c r="C5" s="100" t="s">
        <v>31</v>
      </c>
      <c r="D5" s="28" t="s">
        <v>75</v>
      </c>
      <c r="E5" s="102">
        <v>41455</v>
      </c>
      <c r="F5" s="28" t="s">
        <v>32</v>
      </c>
      <c r="G5" s="28"/>
      <c r="H5" s="28"/>
      <c r="I5" s="28"/>
      <c r="J5" s="93"/>
    </row>
    <row r="6" spans="1:10" x14ac:dyDescent="0.15">
      <c r="A6" s="1"/>
      <c r="B6" s="94" t="s">
        <v>35</v>
      </c>
      <c r="C6" s="28"/>
      <c r="D6" s="28"/>
      <c r="E6" s="28"/>
      <c r="F6" s="28"/>
      <c r="G6" s="28"/>
      <c r="H6" s="28"/>
      <c r="I6" s="28"/>
      <c r="J6" s="93"/>
    </row>
    <row r="7" spans="1:10" x14ac:dyDescent="0.15">
      <c r="A7" s="1"/>
      <c r="B7" s="92" t="s">
        <v>36</v>
      </c>
      <c r="C7" s="28"/>
      <c r="D7" s="28"/>
      <c r="E7" s="28"/>
      <c r="F7" s="28"/>
      <c r="G7" s="28"/>
      <c r="H7" s="28"/>
      <c r="I7" s="28"/>
      <c r="J7" s="93"/>
    </row>
    <row r="8" spans="1:10" x14ac:dyDescent="0.15">
      <c r="A8" s="1"/>
      <c r="B8" s="94" t="s">
        <v>34</v>
      </c>
      <c r="C8" s="28"/>
      <c r="D8" s="28"/>
      <c r="E8" s="28"/>
      <c r="F8" s="28"/>
      <c r="G8" s="28"/>
      <c r="H8" s="28"/>
      <c r="I8" s="28"/>
      <c r="J8" s="93"/>
    </row>
    <row r="9" spans="1:10" x14ac:dyDescent="0.15">
      <c r="A9" s="1"/>
      <c r="B9" s="92" t="s">
        <v>40</v>
      </c>
      <c r="C9" s="28"/>
      <c r="D9" s="28"/>
      <c r="E9" s="28"/>
      <c r="F9" s="28"/>
      <c r="G9" s="28"/>
      <c r="H9" s="28"/>
      <c r="I9" s="28"/>
      <c r="J9" s="93"/>
    </row>
    <row r="10" spans="1:10" x14ac:dyDescent="0.15">
      <c r="A10" s="1"/>
      <c r="B10" s="94" t="s">
        <v>37</v>
      </c>
      <c r="C10" s="28"/>
      <c r="D10" s="28"/>
      <c r="E10" s="28"/>
      <c r="F10" s="28"/>
      <c r="G10" s="28"/>
      <c r="H10" s="28"/>
      <c r="I10" s="28"/>
      <c r="J10" s="93"/>
    </row>
    <row r="11" spans="1:10" x14ac:dyDescent="0.15">
      <c r="A11" s="1"/>
      <c r="B11" s="92" t="s">
        <v>38</v>
      </c>
      <c r="C11" s="28"/>
      <c r="D11" s="28"/>
      <c r="E11" s="28"/>
      <c r="F11" s="28"/>
      <c r="G11" s="28"/>
      <c r="H11" s="28"/>
      <c r="I11" s="28"/>
      <c r="J11" s="93"/>
    </row>
    <row r="12" spans="1:10" ht="13.5" thickBot="1" x14ac:dyDescent="0.2">
      <c r="A12" s="1"/>
      <c r="B12" s="103" t="s">
        <v>39</v>
      </c>
      <c r="C12" s="104"/>
      <c r="D12" s="104"/>
      <c r="E12" s="104"/>
      <c r="F12" s="104"/>
      <c r="G12" s="104"/>
      <c r="H12" s="104"/>
      <c r="I12" s="104"/>
      <c r="J12" s="105"/>
    </row>
    <row r="13" spans="1:10" x14ac:dyDescent="0.15">
      <c r="A13" s="1"/>
      <c r="B13" s="89" t="s">
        <v>65</v>
      </c>
      <c r="C13" s="90"/>
      <c r="D13" s="90"/>
      <c r="E13" s="90"/>
      <c r="F13" s="90"/>
      <c r="G13" s="90"/>
      <c r="H13" s="90"/>
      <c r="I13" s="90"/>
      <c r="J13" s="91"/>
    </row>
    <row r="14" spans="1:10" x14ac:dyDescent="0.15">
      <c r="A14" s="1"/>
      <c r="B14" s="92" t="s">
        <v>66</v>
      </c>
      <c r="C14" s="28"/>
      <c r="D14" s="28"/>
      <c r="E14" s="28"/>
      <c r="F14" s="28"/>
      <c r="G14" s="28"/>
      <c r="H14" s="28"/>
      <c r="I14" s="28"/>
      <c r="J14" s="93"/>
    </row>
    <row r="15" spans="1:10" x14ac:dyDescent="0.15">
      <c r="A15" s="1"/>
      <c r="B15" s="92" t="s">
        <v>67</v>
      </c>
      <c r="C15" s="28"/>
      <c r="D15" s="28"/>
      <c r="E15" s="28"/>
      <c r="F15" s="28"/>
      <c r="G15" s="28"/>
      <c r="H15" s="28"/>
      <c r="I15" s="28"/>
      <c r="J15" s="93"/>
    </row>
    <row r="16" spans="1:10" x14ac:dyDescent="0.15">
      <c r="A16" s="1"/>
      <c r="B16" s="92" t="s">
        <v>68</v>
      </c>
      <c r="C16" s="28"/>
      <c r="D16" s="28"/>
      <c r="E16" s="28"/>
      <c r="F16" s="28"/>
      <c r="G16" s="28"/>
      <c r="H16" s="28"/>
      <c r="I16" s="28"/>
      <c r="J16" s="93"/>
    </row>
    <row r="17" spans="1:10" x14ac:dyDescent="0.15">
      <c r="A17" s="1"/>
      <c r="B17" s="94" t="s">
        <v>70</v>
      </c>
      <c r="C17" s="28"/>
      <c r="D17" s="28"/>
      <c r="E17" s="28"/>
      <c r="F17" s="28"/>
      <c r="G17" s="28"/>
      <c r="H17" s="28"/>
      <c r="I17" s="28"/>
      <c r="J17" s="93"/>
    </row>
    <row r="18" spans="1:10" x14ac:dyDescent="0.15">
      <c r="A18" s="1"/>
      <c r="B18" s="92"/>
      <c r="C18" s="28" t="s">
        <v>69</v>
      </c>
      <c r="D18" s="28"/>
      <c r="E18" s="28"/>
      <c r="F18" s="28"/>
      <c r="G18" s="28"/>
      <c r="H18" s="28"/>
      <c r="I18" s="28"/>
      <c r="J18" s="93"/>
    </row>
    <row r="19" spans="1:10" x14ac:dyDescent="0.15">
      <c r="A19" s="1"/>
      <c r="B19" s="92"/>
      <c r="C19" s="28" t="s">
        <v>71</v>
      </c>
      <c r="D19" s="28"/>
      <c r="E19" s="28"/>
      <c r="F19" s="28"/>
      <c r="G19" s="28"/>
      <c r="H19" s="28"/>
      <c r="I19" s="28"/>
      <c r="J19" s="93"/>
    </row>
    <row r="20" spans="1:10" ht="13.5" thickBot="1" x14ac:dyDescent="0.2">
      <c r="A20" s="1"/>
      <c r="B20" s="109" t="s">
        <v>72</v>
      </c>
      <c r="C20" s="110"/>
      <c r="D20" s="110"/>
      <c r="E20" s="110"/>
      <c r="F20" s="110"/>
      <c r="G20" s="110"/>
      <c r="H20" s="110"/>
      <c r="I20" s="110"/>
      <c r="J20" s="111"/>
    </row>
    <row r="21" spans="1:10" x14ac:dyDescent="0.15">
      <c r="A21" s="1"/>
      <c r="B21" s="112" t="s">
        <v>83</v>
      </c>
      <c r="C21" s="113"/>
      <c r="D21" s="113"/>
      <c r="E21" s="113"/>
      <c r="F21" s="113"/>
      <c r="G21" s="113"/>
      <c r="H21" s="113"/>
      <c r="I21" s="113"/>
      <c r="J21" s="114"/>
    </row>
    <row r="22" spans="1:10" ht="13.5" thickBot="1" x14ac:dyDescent="0.2">
      <c r="A22" s="1"/>
      <c r="B22" s="115"/>
      <c r="C22" s="116"/>
      <c r="D22" s="116"/>
      <c r="E22" s="116"/>
      <c r="F22" s="116"/>
      <c r="G22" s="116"/>
      <c r="H22" s="116"/>
      <c r="I22" s="116"/>
      <c r="J22" s="117"/>
    </row>
    <row r="23" spans="1:10" x14ac:dyDescent="0.15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 x14ac:dyDescent="0.15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 x14ac:dyDescent="0.15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 x14ac:dyDescent="0.15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 x14ac:dyDescent="0.15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 x14ac:dyDescent="0.1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 x14ac:dyDescent="0.15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 x14ac:dyDescent="0.15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 x14ac:dyDescent="0.15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 x14ac:dyDescent="0.15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 x14ac:dyDescent="0.15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 x14ac:dyDescent="0.15">
      <c r="A34" s="1"/>
      <c r="B34" s="1"/>
      <c r="C34" s="1"/>
      <c r="D34" s="1"/>
      <c r="E34" s="1"/>
      <c r="F34" s="1"/>
      <c r="G34" s="1"/>
      <c r="H34" s="1"/>
      <c r="I34" s="1"/>
      <c r="J34" s="1"/>
    </row>
  </sheetData>
  <sheetProtection password="CEBA" sheet="1" objects="1" scenarios="1" selectLockedCells="1"/>
  <mergeCells count="3">
    <mergeCell ref="B2:J2"/>
    <mergeCell ref="B20:J20"/>
    <mergeCell ref="B21:J22"/>
  </mergeCells>
  <phoneticPr fontId="1" type="noConversion"/>
  <hyperlinks>
    <hyperlink ref="G4" r:id="rId1" xr:uid="{00000000-0004-0000-0000-000000000000}"/>
  </hyperlinks>
  <pageMargins left="0.75" right="0.75" top="1" bottom="1" header="0.49212598499999999" footer="0.49212598499999999"/>
  <pageSetup paperSize="9" scale="85"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A1:T56"/>
  <sheetViews>
    <sheetView zoomScaleNormal="100" workbookViewId="0" xr3:uid="{958C4451-9541-5A59-BF78-D2F731DF1C81}">
      <selection activeCell="C21" sqref="C21"/>
    </sheetView>
  </sheetViews>
  <sheetFormatPr defaultRowHeight="12.75" x14ac:dyDescent="0.15"/>
  <cols>
    <col min="1" max="1" width="1.75" customWidth="1"/>
    <col min="2" max="2" width="19.6875" customWidth="1"/>
    <col min="3" max="3" width="14.0234375" customWidth="1"/>
    <col min="4" max="4" width="14.5625" customWidth="1"/>
    <col min="5" max="5" width="9.70703125" hidden="1" customWidth="1"/>
    <col min="6" max="6" width="4.71875" hidden="1" customWidth="1"/>
    <col min="7" max="7" width="10.11328125" customWidth="1"/>
    <col min="8" max="8" width="0.1328125" hidden="1" customWidth="1"/>
    <col min="9" max="9" width="6.60546875" hidden="1" customWidth="1"/>
    <col min="10" max="10" width="9.70703125" customWidth="1"/>
    <col min="11" max="11" width="6.7421875" hidden="1" customWidth="1"/>
    <col min="12" max="12" width="10.24609375" customWidth="1"/>
    <col min="17" max="17" width="7.4140625" customWidth="1"/>
    <col min="18" max="18" width="4.58203125" hidden="1" customWidth="1"/>
    <col min="19" max="19" width="5.52734375" hidden="1" customWidth="1"/>
  </cols>
  <sheetData>
    <row r="1" spans="1:20" ht="15.75" customHeight="1" x14ac:dyDescent="0.15">
      <c r="A1" s="1"/>
      <c r="B1" s="144" t="s">
        <v>11</v>
      </c>
      <c r="C1" s="145"/>
      <c r="D1" s="145"/>
      <c r="E1" s="145"/>
      <c r="F1" s="145"/>
      <c r="G1" s="145"/>
      <c r="H1" s="145"/>
      <c r="I1" s="145"/>
      <c r="J1" s="145"/>
      <c r="K1" s="145"/>
      <c r="L1" s="146"/>
      <c r="M1" s="71"/>
      <c r="N1" s="72"/>
      <c r="O1" s="72"/>
      <c r="P1" s="73"/>
    </row>
    <row r="2" spans="1:20" x14ac:dyDescent="0.15">
      <c r="A2" s="1"/>
      <c r="B2" s="138" t="s">
        <v>23</v>
      </c>
      <c r="C2" s="139"/>
      <c r="D2" s="139"/>
      <c r="E2" s="139"/>
      <c r="F2" s="139"/>
      <c r="G2" s="139"/>
      <c r="H2" s="139"/>
      <c r="I2" s="139"/>
      <c r="J2" s="139"/>
      <c r="K2" s="139"/>
      <c r="L2" s="140"/>
      <c r="M2" s="74"/>
      <c r="N2" s="75"/>
      <c r="O2" s="75"/>
      <c r="P2" s="76"/>
    </row>
    <row r="3" spans="1:20" x14ac:dyDescent="0.15">
      <c r="A3" s="1"/>
      <c r="B3" s="141" t="s">
        <v>7</v>
      </c>
      <c r="C3" s="142"/>
      <c r="D3" s="142"/>
      <c r="E3" s="142"/>
      <c r="F3" s="142"/>
      <c r="G3" s="142"/>
      <c r="H3" s="142"/>
      <c r="I3" s="142"/>
      <c r="J3" s="142"/>
      <c r="K3" s="142"/>
      <c r="L3" s="143"/>
      <c r="M3" s="74"/>
      <c r="N3" s="75"/>
      <c r="O3" s="75"/>
      <c r="P3" s="76"/>
    </row>
    <row r="4" spans="1:20" ht="19.5" customHeight="1" x14ac:dyDescent="0.15">
      <c r="A4" s="1"/>
      <c r="B4" s="6" t="s">
        <v>8</v>
      </c>
      <c r="C4" s="147"/>
      <c r="D4" s="147"/>
      <c r="E4" s="147"/>
      <c r="F4" s="147"/>
      <c r="G4" s="147"/>
      <c r="H4" s="147"/>
      <c r="I4" s="147"/>
      <c r="J4" s="147"/>
      <c r="K4" s="147"/>
      <c r="L4" s="148"/>
      <c r="M4" s="74"/>
      <c r="N4" s="75"/>
      <c r="O4" s="75"/>
      <c r="P4" s="76"/>
    </row>
    <row r="5" spans="1:20" ht="18" customHeight="1" x14ac:dyDescent="0.15">
      <c r="A5" s="1"/>
      <c r="B5" s="65" t="s">
        <v>9</v>
      </c>
      <c r="C5" s="66"/>
      <c r="D5" s="8" t="s">
        <v>10</v>
      </c>
      <c r="E5" s="1"/>
      <c r="F5" s="1"/>
      <c r="G5" s="66"/>
      <c r="H5" s="1"/>
      <c r="I5" s="1"/>
      <c r="J5" s="24"/>
      <c r="K5" s="25"/>
      <c r="L5" s="26"/>
      <c r="M5" s="74"/>
      <c r="N5" s="75"/>
      <c r="O5" s="75"/>
      <c r="P5" s="76"/>
    </row>
    <row r="6" spans="1:20" x14ac:dyDescent="0.15">
      <c r="A6" s="1"/>
      <c r="B6" s="149" t="s">
        <v>3</v>
      </c>
      <c r="C6" s="154" t="s">
        <v>44</v>
      </c>
      <c r="D6" s="155"/>
      <c r="E6" s="88"/>
      <c r="F6" s="88"/>
      <c r="G6" s="151" t="s">
        <v>26</v>
      </c>
      <c r="H6" s="152"/>
      <c r="I6" s="152"/>
      <c r="J6" s="152"/>
      <c r="K6" s="152"/>
      <c r="L6" s="153"/>
      <c r="M6" s="77"/>
      <c r="N6" s="78"/>
      <c r="O6" s="78"/>
      <c r="P6" s="79"/>
      <c r="T6" s="86"/>
    </row>
    <row r="7" spans="1:20" ht="13.5" customHeight="1" x14ac:dyDescent="0.15">
      <c r="A7" s="1"/>
      <c r="B7" s="150"/>
      <c r="C7" s="87" t="s">
        <v>12</v>
      </c>
      <c r="D7" s="87" t="s">
        <v>13</v>
      </c>
      <c r="E7" s="68" t="s">
        <v>0</v>
      </c>
      <c r="F7" s="67" t="s">
        <v>2</v>
      </c>
      <c r="G7" s="67" t="s">
        <v>4</v>
      </c>
      <c r="H7" s="68" t="s">
        <v>1</v>
      </c>
      <c r="I7" s="68" t="s">
        <v>5</v>
      </c>
      <c r="J7" s="67" t="s">
        <v>5</v>
      </c>
      <c r="K7" s="67" t="s">
        <v>6</v>
      </c>
      <c r="L7" s="67" t="s">
        <v>6</v>
      </c>
      <c r="M7" s="159" t="s">
        <v>33</v>
      </c>
      <c r="N7" s="160"/>
      <c r="O7" s="160"/>
      <c r="P7" s="161"/>
    </row>
    <row r="8" spans="1:20" ht="13.5" customHeight="1" x14ac:dyDescent="0.15">
      <c r="A8" s="1"/>
      <c r="B8" s="2" t="s">
        <v>45</v>
      </c>
      <c r="C8" s="69"/>
      <c r="D8" s="69"/>
      <c r="E8" s="95">
        <f>DATEDIF(C8,D8,"MD")</f>
        <v>0</v>
      </c>
      <c r="F8" s="96">
        <f>IF(C8=0,0,IF(C8&gt;0,E8+1))</f>
        <v>0</v>
      </c>
      <c r="G8" s="2">
        <f>IF(F8&lt;30,F8,IF(F8&gt;=30,0))</f>
        <v>0</v>
      </c>
      <c r="H8" s="3">
        <f>DATEDIF(C8,D8,"Ym")</f>
        <v>0</v>
      </c>
      <c r="I8" s="22">
        <f t="shared" ref="I8:I32" si="0">IF(F8=30,H8+1,IF(F8=31,H8+1,IF(F8&lt;30,H8,IF(I8=0,0))))</f>
        <v>0</v>
      </c>
      <c r="J8" s="9">
        <f>IF(I8&lt;12,I8,IF(I8=12,0))</f>
        <v>0</v>
      </c>
      <c r="K8" s="2">
        <f t="shared" ref="K8:K15" si="1">DATEDIF(C8,D8,"Y")</f>
        <v>0</v>
      </c>
      <c r="L8" s="2">
        <f>IF(I8&lt;12,K8,IF(I8=12,K8+1))</f>
        <v>0</v>
      </c>
      <c r="M8" s="162"/>
      <c r="N8" s="163"/>
      <c r="O8" s="163"/>
      <c r="P8" s="164"/>
    </row>
    <row r="9" spans="1:20" ht="13.5" customHeight="1" x14ac:dyDescent="0.15">
      <c r="A9" s="1"/>
      <c r="B9" s="2" t="s">
        <v>46</v>
      </c>
      <c r="C9" s="69"/>
      <c r="D9" s="69"/>
      <c r="E9" s="95">
        <f t="shared" ref="E9:E15" si="2">DATEDIF(C9,D9,"MD")</f>
        <v>0</v>
      </c>
      <c r="F9" s="96">
        <f t="shared" ref="F9:F32" si="3">IF(C9=0,0,IF(C9&gt;0,E9+1))</f>
        <v>0</v>
      </c>
      <c r="G9" s="2">
        <f>IF(F9&lt;30,F9,IF(F9&gt;=30,0))</f>
        <v>0</v>
      </c>
      <c r="H9" s="3">
        <f t="shared" ref="H9:H15" si="4">DATEDIF(C9,D9,"Ym")</f>
        <v>0</v>
      </c>
      <c r="I9" s="22">
        <f t="shared" si="0"/>
        <v>0</v>
      </c>
      <c r="J9" s="9">
        <f>IF(I9&lt;12,I9,IF(I9=12,0))</f>
        <v>0</v>
      </c>
      <c r="K9" s="2">
        <f t="shared" si="1"/>
        <v>0</v>
      </c>
      <c r="L9" s="2">
        <f t="shared" ref="L9:L32" si="5">IF(I9&lt;12,K9,IF(I9=12,K9+1))</f>
        <v>0</v>
      </c>
      <c r="M9" s="162"/>
      <c r="N9" s="163"/>
      <c r="O9" s="163"/>
      <c r="P9" s="164"/>
    </row>
    <row r="10" spans="1:20" ht="13.5" customHeight="1" x14ac:dyDescent="0.15">
      <c r="A10" s="1"/>
      <c r="B10" s="2" t="s">
        <v>47</v>
      </c>
      <c r="C10" s="69"/>
      <c r="D10" s="69"/>
      <c r="E10" s="95">
        <f>DATEDIF(C10,D10,"MD")</f>
        <v>0</v>
      </c>
      <c r="F10" s="96">
        <f t="shared" si="3"/>
        <v>0</v>
      </c>
      <c r="G10" s="2">
        <f>IF(F10&lt;30,F10,IF(F10&gt;=30,0,IF(F10&gt;=30,I10+1)))</f>
        <v>0</v>
      </c>
      <c r="H10" s="3">
        <f t="shared" si="4"/>
        <v>0</v>
      </c>
      <c r="I10" s="22">
        <f t="shared" si="0"/>
        <v>0</v>
      </c>
      <c r="J10" s="9">
        <f t="shared" ref="J10:J32" si="6">IF(I10&lt;12,I10,IF(I10=12,0))</f>
        <v>0</v>
      </c>
      <c r="K10" s="2">
        <f t="shared" si="1"/>
        <v>0</v>
      </c>
      <c r="L10" s="2">
        <f t="shared" si="5"/>
        <v>0</v>
      </c>
      <c r="M10" s="162"/>
      <c r="N10" s="163"/>
      <c r="O10" s="163"/>
      <c r="P10" s="164"/>
    </row>
    <row r="11" spans="1:20" ht="13.5" customHeight="1" x14ac:dyDescent="0.15">
      <c r="A11" s="1"/>
      <c r="B11" s="2" t="s">
        <v>48</v>
      </c>
      <c r="C11" s="69"/>
      <c r="D11" s="69"/>
      <c r="E11" s="95">
        <f>DATEDIF(C11,D11,"MD")</f>
        <v>0</v>
      </c>
      <c r="F11" s="96">
        <f>IF(C11=0,0,IF(C11&gt;0,E11+1))</f>
        <v>0</v>
      </c>
      <c r="G11" s="2">
        <f t="shared" ref="G11:G32" si="7">IF(F11&lt;30,F11,IF(F11&gt;=30,0))</f>
        <v>0</v>
      </c>
      <c r="H11" s="3">
        <f t="shared" si="4"/>
        <v>0</v>
      </c>
      <c r="I11" s="22">
        <f t="shared" si="0"/>
        <v>0</v>
      </c>
      <c r="J11" s="9">
        <f t="shared" si="6"/>
        <v>0</v>
      </c>
      <c r="K11" s="2">
        <f t="shared" si="1"/>
        <v>0</v>
      </c>
      <c r="L11" s="2">
        <f t="shared" si="5"/>
        <v>0</v>
      </c>
      <c r="M11" s="162"/>
      <c r="N11" s="163"/>
      <c r="O11" s="163"/>
      <c r="P11" s="164"/>
    </row>
    <row r="12" spans="1:20" ht="13.5" customHeight="1" x14ac:dyDescent="0.15">
      <c r="A12" s="1"/>
      <c r="B12" s="2" t="s">
        <v>49</v>
      </c>
      <c r="C12" s="69"/>
      <c r="D12" s="69"/>
      <c r="E12" s="95">
        <f t="shared" si="2"/>
        <v>0</v>
      </c>
      <c r="F12" s="96">
        <f t="shared" si="3"/>
        <v>0</v>
      </c>
      <c r="G12" s="2">
        <f t="shared" si="7"/>
        <v>0</v>
      </c>
      <c r="H12" s="3">
        <f>DATEDIF(C12,D12,"Ym")</f>
        <v>0</v>
      </c>
      <c r="I12" s="22">
        <f t="shared" si="0"/>
        <v>0</v>
      </c>
      <c r="J12" s="9">
        <f t="shared" si="6"/>
        <v>0</v>
      </c>
      <c r="K12" s="2">
        <f t="shared" si="1"/>
        <v>0</v>
      </c>
      <c r="L12" s="2">
        <f t="shared" si="5"/>
        <v>0</v>
      </c>
      <c r="M12" s="162"/>
      <c r="N12" s="163"/>
      <c r="O12" s="163"/>
      <c r="P12" s="164"/>
    </row>
    <row r="13" spans="1:20" ht="13.5" customHeight="1" x14ac:dyDescent="0.15">
      <c r="A13" s="1"/>
      <c r="B13" s="2" t="s">
        <v>50</v>
      </c>
      <c r="C13" s="69"/>
      <c r="D13" s="69"/>
      <c r="E13" s="95">
        <f t="shared" si="2"/>
        <v>0</v>
      </c>
      <c r="F13" s="96">
        <f t="shared" si="3"/>
        <v>0</v>
      </c>
      <c r="G13" s="2">
        <f t="shared" si="7"/>
        <v>0</v>
      </c>
      <c r="H13" s="3">
        <f>DATEDIF(C13,D13,"Ym")</f>
        <v>0</v>
      </c>
      <c r="I13" s="22">
        <f t="shared" si="0"/>
        <v>0</v>
      </c>
      <c r="J13" s="9">
        <f t="shared" si="6"/>
        <v>0</v>
      </c>
      <c r="K13" s="2">
        <f t="shared" si="1"/>
        <v>0</v>
      </c>
      <c r="L13" s="2">
        <f t="shared" si="5"/>
        <v>0</v>
      </c>
      <c r="M13" s="162"/>
      <c r="N13" s="163"/>
      <c r="O13" s="163"/>
      <c r="P13" s="164"/>
    </row>
    <row r="14" spans="1:20" ht="13.5" customHeight="1" x14ac:dyDescent="0.15">
      <c r="A14" s="1"/>
      <c r="B14" s="2" t="s">
        <v>51</v>
      </c>
      <c r="C14" s="69"/>
      <c r="D14" s="69"/>
      <c r="E14" s="95">
        <f t="shared" si="2"/>
        <v>0</v>
      </c>
      <c r="F14" s="96">
        <f t="shared" si="3"/>
        <v>0</v>
      </c>
      <c r="G14" s="2">
        <f t="shared" si="7"/>
        <v>0</v>
      </c>
      <c r="H14" s="3">
        <f t="shared" si="4"/>
        <v>0</v>
      </c>
      <c r="I14" s="22">
        <f t="shared" si="0"/>
        <v>0</v>
      </c>
      <c r="J14" s="9">
        <f t="shared" si="6"/>
        <v>0</v>
      </c>
      <c r="K14" s="2">
        <f t="shared" si="1"/>
        <v>0</v>
      </c>
      <c r="L14" s="2">
        <f t="shared" si="5"/>
        <v>0</v>
      </c>
      <c r="M14" s="165"/>
      <c r="N14" s="166"/>
      <c r="O14" s="166"/>
      <c r="P14" s="167"/>
    </row>
    <row r="15" spans="1:20" ht="13.5" customHeight="1" x14ac:dyDescent="0.15">
      <c r="A15" s="1"/>
      <c r="B15" s="2" t="s">
        <v>52</v>
      </c>
      <c r="C15" s="69"/>
      <c r="D15" s="69"/>
      <c r="E15" s="95">
        <f t="shared" si="2"/>
        <v>0</v>
      </c>
      <c r="F15" s="96">
        <f t="shared" si="3"/>
        <v>0</v>
      </c>
      <c r="G15" s="2">
        <f>IF(F15&lt;31,F15,IF(F15&gt;=30,0))</f>
        <v>0</v>
      </c>
      <c r="H15" s="3">
        <f t="shared" si="4"/>
        <v>0</v>
      </c>
      <c r="I15" s="22">
        <f t="shared" si="0"/>
        <v>0</v>
      </c>
      <c r="J15" s="9">
        <f t="shared" si="6"/>
        <v>0</v>
      </c>
      <c r="K15" s="2">
        <f t="shared" si="1"/>
        <v>0</v>
      </c>
      <c r="L15" s="2">
        <f t="shared" si="5"/>
        <v>0</v>
      </c>
      <c r="M15" s="168" t="s">
        <v>27</v>
      </c>
      <c r="N15" s="169"/>
      <c r="O15" s="169"/>
      <c r="P15" s="170"/>
    </row>
    <row r="16" spans="1:20" ht="13.5" customHeight="1" x14ac:dyDescent="0.15">
      <c r="A16" s="1"/>
      <c r="B16" s="2" t="s">
        <v>53</v>
      </c>
      <c r="C16" s="69"/>
      <c r="D16" s="69"/>
      <c r="E16" s="95">
        <f t="shared" ref="E16:E32" si="8">DATEDIF(C16,D16,"MD")</f>
        <v>0</v>
      </c>
      <c r="F16" s="96">
        <f t="shared" si="3"/>
        <v>0</v>
      </c>
      <c r="G16" s="2">
        <f>IF(F16&lt;30,F16,IF(F16&gt;=30,0))</f>
        <v>0</v>
      </c>
      <c r="H16" s="3">
        <f t="shared" ref="H16:H26" si="9">DATEDIF(C16,D16,"Ym")</f>
        <v>0</v>
      </c>
      <c r="I16" s="22">
        <f t="shared" si="0"/>
        <v>0</v>
      </c>
      <c r="J16" s="9">
        <f t="shared" si="6"/>
        <v>0</v>
      </c>
      <c r="K16" s="2">
        <f t="shared" ref="K16:K32" si="10">DATEDIF(C16,D16,"Y")</f>
        <v>0</v>
      </c>
      <c r="L16" s="2">
        <f t="shared" si="5"/>
        <v>0</v>
      </c>
      <c r="M16" s="171"/>
      <c r="N16" s="172"/>
      <c r="O16" s="172"/>
      <c r="P16" s="173"/>
      <c r="R16" s="23">
        <v>1</v>
      </c>
    </row>
    <row r="17" spans="1:16" ht="13.5" customHeight="1" x14ac:dyDescent="0.15">
      <c r="A17" s="1"/>
      <c r="B17" s="2" t="s">
        <v>54</v>
      </c>
      <c r="C17" s="69"/>
      <c r="D17" s="69"/>
      <c r="E17" s="95">
        <f t="shared" si="8"/>
        <v>0</v>
      </c>
      <c r="F17" s="96">
        <f t="shared" si="3"/>
        <v>0</v>
      </c>
      <c r="G17" s="2">
        <f t="shared" si="7"/>
        <v>0</v>
      </c>
      <c r="H17" s="3">
        <f t="shared" si="9"/>
        <v>0</v>
      </c>
      <c r="I17" s="22">
        <f t="shared" si="0"/>
        <v>0</v>
      </c>
      <c r="J17" s="9">
        <f t="shared" si="6"/>
        <v>0</v>
      </c>
      <c r="K17" s="2">
        <f t="shared" si="10"/>
        <v>0</v>
      </c>
      <c r="L17" s="2">
        <f t="shared" si="5"/>
        <v>0</v>
      </c>
      <c r="M17" s="171"/>
      <c r="N17" s="172"/>
      <c r="O17" s="172"/>
      <c r="P17" s="173"/>
    </row>
    <row r="18" spans="1:16" ht="13.5" customHeight="1" x14ac:dyDescent="0.15">
      <c r="A18" s="1"/>
      <c r="B18" s="2" t="s">
        <v>55</v>
      </c>
      <c r="C18" s="69"/>
      <c r="D18" s="69"/>
      <c r="E18" s="95">
        <f t="shared" si="8"/>
        <v>0</v>
      </c>
      <c r="F18" s="96">
        <f t="shared" si="3"/>
        <v>0</v>
      </c>
      <c r="G18" s="2">
        <f t="shared" si="7"/>
        <v>0</v>
      </c>
      <c r="H18" s="3">
        <f t="shared" si="9"/>
        <v>0</v>
      </c>
      <c r="I18" s="22">
        <f t="shared" si="0"/>
        <v>0</v>
      </c>
      <c r="J18" s="9">
        <f t="shared" si="6"/>
        <v>0</v>
      </c>
      <c r="K18" s="2">
        <f t="shared" si="10"/>
        <v>0</v>
      </c>
      <c r="L18" s="2">
        <f t="shared" si="5"/>
        <v>0</v>
      </c>
      <c r="M18" s="171"/>
      <c r="N18" s="172"/>
      <c r="O18" s="172"/>
      <c r="P18" s="173"/>
    </row>
    <row r="19" spans="1:16" ht="13.5" customHeight="1" x14ac:dyDescent="0.15">
      <c r="A19" s="1"/>
      <c r="B19" s="2" t="s">
        <v>56</v>
      </c>
      <c r="C19" s="69"/>
      <c r="D19" s="69"/>
      <c r="E19" s="95">
        <f t="shared" si="8"/>
        <v>0</v>
      </c>
      <c r="F19" s="96">
        <f t="shared" si="3"/>
        <v>0</v>
      </c>
      <c r="G19" s="2">
        <f t="shared" si="7"/>
        <v>0</v>
      </c>
      <c r="H19" s="3">
        <f t="shared" si="9"/>
        <v>0</v>
      </c>
      <c r="I19" s="22">
        <f t="shared" si="0"/>
        <v>0</v>
      </c>
      <c r="J19" s="9">
        <f t="shared" si="6"/>
        <v>0</v>
      </c>
      <c r="K19" s="2">
        <f t="shared" si="10"/>
        <v>0</v>
      </c>
      <c r="L19" s="2">
        <f t="shared" si="5"/>
        <v>0</v>
      </c>
      <c r="M19" s="171"/>
      <c r="N19" s="172"/>
      <c r="O19" s="172"/>
      <c r="P19" s="173"/>
    </row>
    <row r="20" spans="1:16" ht="13.5" customHeight="1" x14ac:dyDescent="0.15">
      <c r="A20" s="1"/>
      <c r="B20" s="2" t="s">
        <v>57</v>
      </c>
      <c r="C20" s="69"/>
      <c r="D20" s="69"/>
      <c r="E20" s="95">
        <f t="shared" si="8"/>
        <v>0</v>
      </c>
      <c r="F20" s="96">
        <f t="shared" si="3"/>
        <v>0</v>
      </c>
      <c r="G20" s="2">
        <f t="shared" si="7"/>
        <v>0</v>
      </c>
      <c r="H20" s="3">
        <f t="shared" si="9"/>
        <v>0</v>
      </c>
      <c r="I20" s="22">
        <f t="shared" si="0"/>
        <v>0</v>
      </c>
      <c r="J20" s="9">
        <f t="shared" si="6"/>
        <v>0</v>
      </c>
      <c r="K20" s="2">
        <f t="shared" si="10"/>
        <v>0</v>
      </c>
      <c r="L20" s="2">
        <f t="shared" si="5"/>
        <v>0</v>
      </c>
      <c r="M20" s="174" t="s">
        <v>16</v>
      </c>
      <c r="N20" s="174"/>
      <c r="O20" s="174"/>
      <c r="P20" s="174"/>
    </row>
    <row r="21" spans="1:16" ht="13.5" customHeight="1" x14ac:dyDescent="0.15">
      <c r="A21" s="1"/>
      <c r="B21" s="2" t="s">
        <v>58</v>
      </c>
      <c r="C21" s="69"/>
      <c r="D21" s="69"/>
      <c r="E21" s="95">
        <f t="shared" si="8"/>
        <v>0</v>
      </c>
      <c r="F21" s="96">
        <f t="shared" si="3"/>
        <v>0</v>
      </c>
      <c r="G21" s="2">
        <f t="shared" si="7"/>
        <v>0</v>
      </c>
      <c r="H21" s="3">
        <f t="shared" si="9"/>
        <v>0</v>
      </c>
      <c r="I21" s="22">
        <f t="shared" si="0"/>
        <v>0</v>
      </c>
      <c r="J21" s="9">
        <f t="shared" si="6"/>
        <v>0</v>
      </c>
      <c r="K21" s="2">
        <f t="shared" si="10"/>
        <v>0</v>
      </c>
      <c r="L21" s="2">
        <f t="shared" si="5"/>
        <v>0</v>
      </c>
      <c r="M21" s="174"/>
      <c r="N21" s="174"/>
      <c r="O21" s="174"/>
      <c r="P21" s="174"/>
    </row>
    <row r="22" spans="1:16" ht="13.5" customHeight="1" x14ac:dyDescent="0.15">
      <c r="A22" s="1"/>
      <c r="B22" s="2" t="s">
        <v>59</v>
      </c>
      <c r="C22" s="69"/>
      <c r="D22" s="69"/>
      <c r="E22" s="95">
        <f t="shared" si="8"/>
        <v>0</v>
      </c>
      <c r="F22" s="96">
        <f t="shared" si="3"/>
        <v>0</v>
      </c>
      <c r="G22" s="2">
        <f t="shared" si="7"/>
        <v>0</v>
      </c>
      <c r="H22" s="3">
        <f t="shared" si="9"/>
        <v>0</v>
      </c>
      <c r="I22" s="22">
        <f t="shared" si="0"/>
        <v>0</v>
      </c>
      <c r="J22" s="9">
        <f t="shared" si="6"/>
        <v>0</v>
      </c>
      <c r="K22" s="2">
        <f t="shared" si="10"/>
        <v>0</v>
      </c>
      <c r="L22" s="2">
        <f t="shared" si="5"/>
        <v>0</v>
      </c>
      <c r="M22" s="174"/>
      <c r="N22" s="174"/>
      <c r="O22" s="174"/>
      <c r="P22" s="174"/>
    </row>
    <row r="23" spans="1:16" ht="13.5" customHeight="1" x14ac:dyDescent="0.15">
      <c r="A23" s="1"/>
      <c r="B23" s="2" t="s">
        <v>60</v>
      </c>
      <c r="C23" s="69"/>
      <c r="D23" s="69"/>
      <c r="E23" s="95">
        <f t="shared" si="8"/>
        <v>0</v>
      </c>
      <c r="F23" s="96">
        <f t="shared" si="3"/>
        <v>0</v>
      </c>
      <c r="G23" s="2">
        <f t="shared" si="7"/>
        <v>0</v>
      </c>
      <c r="H23" s="3">
        <f t="shared" si="9"/>
        <v>0</v>
      </c>
      <c r="I23" s="22">
        <f t="shared" si="0"/>
        <v>0</v>
      </c>
      <c r="J23" s="9">
        <f t="shared" si="6"/>
        <v>0</v>
      </c>
      <c r="K23" s="2">
        <f t="shared" si="10"/>
        <v>0</v>
      </c>
      <c r="L23" s="2">
        <f t="shared" si="5"/>
        <v>0</v>
      </c>
      <c r="M23" s="174"/>
      <c r="N23" s="174"/>
      <c r="O23" s="174"/>
      <c r="P23" s="174"/>
    </row>
    <row r="24" spans="1:16" ht="13.5" customHeight="1" x14ac:dyDescent="0.15">
      <c r="A24" s="1"/>
      <c r="B24" s="2" t="s">
        <v>61</v>
      </c>
      <c r="C24" s="69"/>
      <c r="D24" s="69"/>
      <c r="E24" s="95">
        <f t="shared" si="8"/>
        <v>0</v>
      </c>
      <c r="F24" s="96">
        <f t="shared" si="3"/>
        <v>0</v>
      </c>
      <c r="G24" s="2">
        <f t="shared" si="7"/>
        <v>0</v>
      </c>
      <c r="H24" s="3">
        <f t="shared" si="9"/>
        <v>0</v>
      </c>
      <c r="I24" s="22">
        <f t="shared" si="0"/>
        <v>0</v>
      </c>
      <c r="J24" s="9">
        <f t="shared" si="6"/>
        <v>0</v>
      </c>
      <c r="K24" s="2">
        <f t="shared" si="10"/>
        <v>0</v>
      </c>
      <c r="L24" s="2">
        <f t="shared" si="5"/>
        <v>0</v>
      </c>
      <c r="M24" s="159" t="s">
        <v>82</v>
      </c>
      <c r="N24" s="160"/>
      <c r="O24" s="160"/>
      <c r="P24" s="161"/>
    </row>
    <row r="25" spans="1:16" ht="13.5" customHeight="1" x14ac:dyDescent="0.15">
      <c r="A25" s="1"/>
      <c r="B25" s="2" t="s">
        <v>62</v>
      </c>
      <c r="C25" s="69"/>
      <c r="D25" s="69"/>
      <c r="E25" s="95">
        <f t="shared" si="8"/>
        <v>0</v>
      </c>
      <c r="F25" s="96">
        <f t="shared" si="3"/>
        <v>0</v>
      </c>
      <c r="G25" s="2">
        <f t="shared" si="7"/>
        <v>0</v>
      </c>
      <c r="H25" s="3">
        <f t="shared" si="9"/>
        <v>0</v>
      </c>
      <c r="I25" s="22">
        <f t="shared" si="0"/>
        <v>0</v>
      </c>
      <c r="J25" s="9">
        <f t="shared" si="6"/>
        <v>0</v>
      </c>
      <c r="K25" s="2">
        <f t="shared" si="10"/>
        <v>0</v>
      </c>
      <c r="L25" s="2">
        <f t="shared" si="5"/>
        <v>0</v>
      </c>
      <c r="M25" s="162"/>
      <c r="N25" s="163"/>
      <c r="O25" s="163"/>
      <c r="P25" s="164"/>
    </row>
    <row r="26" spans="1:16" ht="13.5" customHeight="1" x14ac:dyDescent="0.15">
      <c r="A26" s="1"/>
      <c r="B26" s="2" t="s">
        <v>63</v>
      </c>
      <c r="C26" s="69"/>
      <c r="D26" s="69"/>
      <c r="E26" s="95">
        <f t="shared" si="8"/>
        <v>0</v>
      </c>
      <c r="F26" s="96">
        <f t="shared" si="3"/>
        <v>0</v>
      </c>
      <c r="G26" s="2">
        <f t="shared" si="7"/>
        <v>0</v>
      </c>
      <c r="H26" s="3">
        <f t="shared" si="9"/>
        <v>0</v>
      </c>
      <c r="I26" s="22">
        <f t="shared" si="0"/>
        <v>0</v>
      </c>
      <c r="J26" s="9">
        <f t="shared" si="6"/>
        <v>0</v>
      </c>
      <c r="K26" s="2">
        <f t="shared" si="10"/>
        <v>0</v>
      </c>
      <c r="L26" s="2">
        <f t="shared" si="5"/>
        <v>0</v>
      </c>
      <c r="M26" s="162"/>
      <c r="N26" s="163"/>
      <c r="O26" s="163"/>
      <c r="P26" s="164"/>
    </row>
    <row r="27" spans="1:16" x14ac:dyDescent="0.15">
      <c r="A27" s="1"/>
      <c r="B27" s="2" t="s">
        <v>64</v>
      </c>
      <c r="C27" s="69"/>
      <c r="D27" s="69"/>
      <c r="E27" s="95">
        <f t="shared" si="8"/>
        <v>0</v>
      </c>
      <c r="F27" s="96">
        <f t="shared" si="3"/>
        <v>0</v>
      </c>
      <c r="G27" s="2">
        <f t="shared" si="7"/>
        <v>0</v>
      </c>
      <c r="H27" s="3">
        <f t="shared" ref="H27:H32" si="11">DATEDIF(C27,D27,"Ym")</f>
        <v>0</v>
      </c>
      <c r="I27" s="22">
        <f t="shared" si="0"/>
        <v>0</v>
      </c>
      <c r="J27" s="9">
        <f t="shared" si="6"/>
        <v>0</v>
      </c>
      <c r="K27" s="2">
        <f t="shared" si="10"/>
        <v>0</v>
      </c>
      <c r="L27" s="2">
        <f t="shared" si="5"/>
        <v>0</v>
      </c>
      <c r="M27" s="162"/>
      <c r="N27" s="163"/>
      <c r="O27" s="163"/>
      <c r="P27" s="164"/>
    </row>
    <row r="28" spans="1:16" ht="0.75" customHeight="1" x14ac:dyDescent="0.15">
      <c r="A28" s="1"/>
      <c r="B28" s="2" t="s">
        <v>76</v>
      </c>
      <c r="C28" s="69"/>
      <c r="D28" s="69"/>
      <c r="E28" s="95">
        <f t="shared" si="8"/>
        <v>0</v>
      </c>
      <c r="F28" s="96">
        <f t="shared" si="3"/>
        <v>0</v>
      </c>
      <c r="G28" s="2">
        <f t="shared" si="7"/>
        <v>0</v>
      </c>
      <c r="H28" s="3">
        <f t="shared" si="11"/>
        <v>0</v>
      </c>
      <c r="I28" s="22">
        <f t="shared" si="0"/>
        <v>0</v>
      </c>
      <c r="J28" s="9">
        <f t="shared" si="6"/>
        <v>0</v>
      </c>
      <c r="K28" s="2">
        <f t="shared" si="10"/>
        <v>0</v>
      </c>
      <c r="L28" s="2">
        <f t="shared" si="5"/>
        <v>0</v>
      </c>
      <c r="M28" s="162"/>
      <c r="N28" s="163"/>
      <c r="O28" s="163"/>
      <c r="P28" s="164"/>
    </row>
    <row r="29" spans="1:16" hidden="1" x14ac:dyDescent="0.15">
      <c r="A29" s="1"/>
      <c r="B29" s="2" t="s">
        <v>77</v>
      </c>
      <c r="C29" s="69"/>
      <c r="D29" s="69"/>
      <c r="E29" s="95">
        <f t="shared" si="8"/>
        <v>0</v>
      </c>
      <c r="F29" s="96">
        <f t="shared" si="3"/>
        <v>0</v>
      </c>
      <c r="G29" s="2">
        <f t="shared" si="7"/>
        <v>0</v>
      </c>
      <c r="H29" s="3">
        <f t="shared" si="11"/>
        <v>0</v>
      </c>
      <c r="I29" s="22">
        <f t="shared" si="0"/>
        <v>0</v>
      </c>
      <c r="J29" s="9">
        <f t="shared" si="6"/>
        <v>0</v>
      </c>
      <c r="K29" s="2">
        <f t="shared" si="10"/>
        <v>0</v>
      </c>
      <c r="L29" s="2">
        <f t="shared" si="5"/>
        <v>0</v>
      </c>
      <c r="M29" s="162"/>
      <c r="N29" s="163"/>
      <c r="O29" s="163"/>
      <c r="P29" s="164"/>
    </row>
    <row r="30" spans="1:16" hidden="1" x14ac:dyDescent="0.15">
      <c r="A30" s="1"/>
      <c r="B30" s="2" t="s">
        <v>78</v>
      </c>
      <c r="C30" s="69"/>
      <c r="D30" s="69"/>
      <c r="E30" s="95">
        <f t="shared" si="8"/>
        <v>0</v>
      </c>
      <c r="F30" s="96">
        <f t="shared" si="3"/>
        <v>0</v>
      </c>
      <c r="G30" s="2">
        <f t="shared" si="7"/>
        <v>0</v>
      </c>
      <c r="H30" s="3">
        <f t="shared" si="11"/>
        <v>0</v>
      </c>
      <c r="I30" s="22">
        <f t="shared" si="0"/>
        <v>0</v>
      </c>
      <c r="J30" s="9">
        <f t="shared" si="6"/>
        <v>0</v>
      </c>
      <c r="K30" s="2">
        <f t="shared" si="10"/>
        <v>0</v>
      </c>
      <c r="L30" s="2">
        <f t="shared" si="5"/>
        <v>0</v>
      </c>
      <c r="M30" s="162"/>
      <c r="N30" s="163"/>
      <c r="O30" s="163"/>
      <c r="P30" s="164"/>
    </row>
    <row r="31" spans="1:16" hidden="1" x14ac:dyDescent="0.15">
      <c r="A31" s="1"/>
      <c r="B31" s="2" t="s">
        <v>79</v>
      </c>
      <c r="C31" s="69"/>
      <c r="D31" s="69"/>
      <c r="E31" s="95">
        <f t="shared" si="8"/>
        <v>0</v>
      </c>
      <c r="F31" s="96">
        <f t="shared" si="3"/>
        <v>0</v>
      </c>
      <c r="G31" s="2">
        <f t="shared" si="7"/>
        <v>0</v>
      </c>
      <c r="H31" s="3">
        <f t="shared" si="11"/>
        <v>0</v>
      </c>
      <c r="I31" s="22">
        <f t="shared" si="0"/>
        <v>0</v>
      </c>
      <c r="J31" s="9">
        <f t="shared" si="6"/>
        <v>0</v>
      </c>
      <c r="K31" s="2">
        <f t="shared" si="10"/>
        <v>0</v>
      </c>
      <c r="L31" s="2">
        <f t="shared" si="5"/>
        <v>0</v>
      </c>
      <c r="M31" s="162"/>
      <c r="N31" s="163"/>
      <c r="O31" s="163"/>
      <c r="P31" s="164"/>
    </row>
    <row r="32" spans="1:16" hidden="1" x14ac:dyDescent="0.15">
      <c r="A32" s="1"/>
      <c r="B32" s="2" t="s">
        <v>80</v>
      </c>
      <c r="C32" s="69"/>
      <c r="D32" s="69"/>
      <c r="E32" s="95">
        <f t="shared" si="8"/>
        <v>0</v>
      </c>
      <c r="F32" s="96">
        <f t="shared" si="3"/>
        <v>0</v>
      </c>
      <c r="G32" s="2">
        <f t="shared" si="7"/>
        <v>0</v>
      </c>
      <c r="H32" s="3">
        <f t="shared" si="11"/>
        <v>0</v>
      </c>
      <c r="I32" s="22">
        <f t="shared" si="0"/>
        <v>0</v>
      </c>
      <c r="J32" s="9">
        <f t="shared" si="6"/>
        <v>0</v>
      </c>
      <c r="K32" s="2">
        <f t="shared" si="10"/>
        <v>0</v>
      </c>
      <c r="L32" s="2">
        <f t="shared" si="5"/>
        <v>0</v>
      </c>
      <c r="M32" s="162"/>
      <c r="N32" s="163"/>
      <c r="O32" s="163"/>
      <c r="P32" s="164"/>
    </row>
    <row r="33" spans="1:17" ht="1.5" hidden="1" customHeight="1" x14ac:dyDescent="0.15">
      <c r="A33" s="1"/>
      <c r="B33" s="184" t="s">
        <v>15</v>
      </c>
      <c r="C33" s="184"/>
      <c r="D33" s="184"/>
      <c r="E33" s="95">
        <f>SUM(E8:E32)</f>
        <v>0</v>
      </c>
      <c r="F33" s="96">
        <f>SUM(F8:F32)</f>
        <v>0</v>
      </c>
      <c r="G33" s="7">
        <f>SUM(G8:G32)</f>
        <v>0</v>
      </c>
      <c r="H33" s="21">
        <f>SUM(H8:H27)</f>
        <v>0</v>
      </c>
      <c r="I33" s="21">
        <f>SUM(I8:I27)</f>
        <v>0</v>
      </c>
      <c r="J33" s="21">
        <f>SUM(J8:J27)</f>
        <v>0</v>
      </c>
      <c r="K33" s="7">
        <f>SUM(K8:K32)</f>
        <v>0</v>
      </c>
      <c r="L33" s="7">
        <f>SUM(L8:L32)</f>
        <v>0</v>
      </c>
      <c r="M33" s="165"/>
      <c r="N33" s="166"/>
      <c r="O33" s="166"/>
      <c r="P33" s="167"/>
    </row>
    <row r="34" spans="1:17" ht="12" hidden="1" customHeight="1" x14ac:dyDescent="0.15">
      <c r="A34" s="1"/>
      <c r="B34" s="175" t="s">
        <v>14</v>
      </c>
      <c r="C34" s="176"/>
      <c r="D34" s="177"/>
      <c r="E34" s="10"/>
      <c r="F34" s="4"/>
      <c r="G34" s="11">
        <f>G33/30</f>
        <v>0</v>
      </c>
      <c r="H34" s="12">
        <f>G35/30</f>
        <v>0</v>
      </c>
      <c r="I34" s="13"/>
      <c r="J34" s="19">
        <f>G35/30</f>
        <v>0</v>
      </c>
      <c r="K34" s="11"/>
      <c r="L34" s="18">
        <f>J37/12</f>
        <v>0</v>
      </c>
      <c r="M34" s="33"/>
      <c r="N34" s="34"/>
      <c r="O34" s="34"/>
      <c r="P34" s="35"/>
    </row>
    <row r="35" spans="1:17" ht="12.75" hidden="1" customHeight="1" x14ac:dyDescent="0.15">
      <c r="A35" s="1"/>
      <c r="B35" s="178"/>
      <c r="C35" s="179"/>
      <c r="D35" s="180"/>
      <c r="E35" s="10"/>
      <c r="F35" s="5"/>
      <c r="G35" s="18">
        <f>INT(G34)*30</f>
        <v>0</v>
      </c>
      <c r="H35" s="11">
        <f>SUM(H33:H34)</f>
        <v>0</v>
      </c>
      <c r="I35" s="11">
        <f>SUM(I33:I34)</f>
        <v>0</v>
      </c>
      <c r="J35" s="20">
        <f>SUM(J33:J34)</f>
        <v>0</v>
      </c>
      <c r="K35" s="14"/>
      <c r="L35" s="15"/>
      <c r="M35" s="36"/>
      <c r="N35" s="37"/>
      <c r="O35" s="37"/>
      <c r="P35" s="38"/>
    </row>
    <row r="36" spans="1:17" ht="13.5" hidden="1" customHeight="1" x14ac:dyDescent="0.15">
      <c r="A36" s="1"/>
      <c r="B36" s="178"/>
      <c r="C36" s="179"/>
      <c r="D36" s="180"/>
      <c r="E36" s="10"/>
      <c r="F36" s="6"/>
      <c r="G36" s="14"/>
      <c r="H36" s="11">
        <f>SUM(H35)/12</f>
        <v>0</v>
      </c>
      <c r="I36" s="14">
        <f>SUM(I35)/12</f>
        <v>0</v>
      </c>
      <c r="J36" s="20">
        <f>SUM(J35)/12</f>
        <v>0</v>
      </c>
      <c r="K36" s="14"/>
      <c r="L36" s="16"/>
      <c r="M36" s="36"/>
      <c r="N36" s="37"/>
      <c r="O36" s="37"/>
      <c r="P36" s="38"/>
    </row>
    <row r="37" spans="1:17" ht="12" hidden="1" customHeight="1" x14ac:dyDescent="0.15">
      <c r="A37" s="1"/>
      <c r="B37" s="181"/>
      <c r="C37" s="182"/>
      <c r="D37" s="183"/>
      <c r="E37" s="10"/>
      <c r="F37" s="6"/>
      <c r="G37" s="14"/>
      <c r="H37" s="12">
        <f>INT(H36)*12</f>
        <v>0</v>
      </c>
      <c r="I37" s="12">
        <f>INT(I36)*12</f>
        <v>0</v>
      </c>
      <c r="J37" s="18">
        <f>INT(J36)*12</f>
        <v>0</v>
      </c>
      <c r="K37" s="14"/>
      <c r="L37" s="17"/>
      <c r="M37" s="36"/>
      <c r="N37" s="37"/>
      <c r="O37" s="37"/>
      <c r="P37" s="38"/>
    </row>
    <row r="38" spans="1:17" ht="16.5" customHeight="1" x14ac:dyDescent="0.15">
      <c r="A38" s="1"/>
      <c r="B38" s="185" t="s">
        <v>43</v>
      </c>
      <c r="C38" s="186"/>
      <c r="D38" s="187"/>
      <c r="E38" s="6"/>
      <c r="F38" s="4"/>
      <c r="G38" s="85">
        <f>G33-G35</f>
        <v>0</v>
      </c>
      <c r="H38" s="85">
        <f>H35-H37</f>
        <v>0</v>
      </c>
      <c r="I38" s="85">
        <f>I35-I37</f>
        <v>0</v>
      </c>
      <c r="J38" s="85">
        <f>J35-J37</f>
        <v>0</v>
      </c>
      <c r="K38" s="85">
        <f>K33+K34</f>
        <v>0</v>
      </c>
      <c r="L38" s="85">
        <f>L33+L34</f>
        <v>0</v>
      </c>
      <c r="M38" s="156" t="s">
        <v>81</v>
      </c>
      <c r="N38" s="157"/>
      <c r="O38" s="157"/>
      <c r="P38" s="158"/>
    </row>
    <row r="39" spans="1:17" ht="0.75" customHeight="1" x14ac:dyDescent="0.15">
      <c r="A39" s="1"/>
      <c r="B39" s="48" t="s">
        <v>18</v>
      </c>
      <c r="C39" s="49"/>
      <c r="D39" s="50" t="s">
        <v>20</v>
      </c>
      <c r="E39" s="42"/>
      <c r="F39" s="42"/>
      <c r="G39" s="45">
        <f>IF(Q47&lt;0,0,IF(Q47&gt;=0,Q52))</f>
        <v>0</v>
      </c>
      <c r="H39" s="46"/>
      <c r="I39" s="46"/>
      <c r="J39" s="47">
        <f>IF(Q47&lt;0,0,IF(Q47&gt;=0,Q50))</f>
        <v>0</v>
      </c>
      <c r="K39" s="42"/>
      <c r="L39" s="47">
        <f>IF(Q47&lt;0,0,IF(Q47&gt;=0,Q47))</f>
        <v>35</v>
      </c>
      <c r="M39" s="1"/>
      <c r="N39" s="1"/>
      <c r="O39" s="1"/>
      <c r="P39" s="1"/>
    </row>
    <row r="40" spans="1:17" ht="15.75" hidden="1" customHeight="1" x14ac:dyDescent="0.15">
      <c r="A40" s="1"/>
      <c r="B40" s="24" t="s">
        <v>18</v>
      </c>
      <c r="C40" s="25"/>
      <c r="D40" s="56" t="s">
        <v>19</v>
      </c>
      <c r="E40" s="1"/>
      <c r="F40" s="1"/>
      <c r="G40" s="57">
        <f>IF(N47&lt;0,0,IF(N47&gt;=0,N52))</f>
        <v>0</v>
      </c>
      <c r="H40" s="1"/>
      <c r="I40" s="1"/>
      <c r="J40" s="58">
        <f>IF(N47&lt;0,0,IF(N47&gt;=0,N50))</f>
        <v>0</v>
      </c>
      <c r="K40" s="1"/>
      <c r="L40" s="58">
        <f>IF(N47&lt;0,0,IF(N47&gt;=0,N47))</f>
        <v>30</v>
      </c>
      <c r="M40" s="1"/>
      <c r="N40" s="1"/>
      <c r="O40" s="1"/>
      <c r="P40" s="1"/>
    </row>
    <row r="41" spans="1:17" ht="15" customHeight="1" x14ac:dyDescent="0.15">
      <c r="A41" s="28"/>
      <c r="B41" s="124" t="s">
        <v>42</v>
      </c>
      <c r="C41" s="125"/>
      <c r="D41" s="125"/>
      <c r="E41" s="126"/>
      <c r="F41" s="126"/>
      <c r="G41" s="126"/>
      <c r="H41" s="126"/>
      <c r="I41" s="126"/>
      <c r="J41" s="126"/>
      <c r="K41" s="126"/>
      <c r="L41" s="127"/>
      <c r="M41" s="135"/>
      <c r="N41" s="136"/>
      <c r="O41" s="136"/>
      <c r="P41" s="137"/>
    </row>
    <row r="42" spans="1:17" ht="12" customHeight="1" x14ac:dyDescent="0.15">
      <c r="A42" s="28"/>
      <c r="B42" s="121" t="s">
        <v>41</v>
      </c>
      <c r="C42" s="122"/>
      <c r="D42" s="123"/>
      <c r="E42" s="70"/>
      <c r="F42" s="21"/>
      <c r="G42" s="7" t="s">
        <v>4</v>
      </c>
      <c r="H42" s="21"/>
      <c r="I42" s="21"/>
      <c r="J42" s="7" t="s">
        <v>5</v>
      </c>
      <c r="K42" s="21"/>
      <c r="L42" s="7" t="s">
        <v>6</v>
      </c>
      <c r="M42" s="129" t="s">
        <v>74</v>
      </c>
      <c r="N42" s="130"/>
      <c r="O42" s="130"/>
      <c r="P42" s="131"/>
    </row>
    <row r="43" spans="1:17" ht="24" customHeight="1" x14ac:dyDescent="0.15">
      <c r="A43" s="1"/>
      <c r="B43" s="132" t="s">
        <v>24</v>
      </c>
      <c r="C43" s="133"/>
      <c r="D43" s="134"/>
      <c r="E43" s="55"/>
      <c r="F43" s="41"/>
      <c r="G43" s="83">
        <f>IF(R16=1,G39,IF(R16=2," "))</f>
        <v>0</v>
      </c>
      <c r="H43" s="84"/>
      <c r="I43" s="84"/>
      <c r="J43" s="83">
        <f>IF(R16=1,J39,IF(R16=2," "))</f>
        <v>0</v>
      </c>
      <c r="K43" s="84"/>
      <c r="L43" s="83">
        <f>IF(R16=1,L39,IF(R16=2," "))</f>
        <v>35</v>
      </c>
      <c r="M43" s="128" t="str">
        <f>IF(R16=2,"",IF(R16=1,"MASCULINO - PRECISA DE 35 ANOS DE CONTRIBUIÇÃO."))</f>
        <v>MASCULINO - PRECISA DE 35 ANOS DE CONTRIBUIÇÃO.</v>
      </c>
      <c r="N43" s="128"/>
      <c r="O43" s="128"/>
      <c r="P43" s="128"/>
    </row>
    <row r="44" spans="1:17" ht="24" customHeight="1" x14ac:dyDescent="0.15">
      <c r="A44" s="1"/>
      <c r="B44" s="118" t="s">
        <v>25</v>
      </c>
      <c r="C44" s="119"/>
      <c r="D44" s="120"/>
      <c r="E44" s="64"/>
      <c r="F44" s="64"/>
      <c r="G44" s="81" t="str">
        <f>IF(R16=2,G40,IF(R16=1," "))</f>
        <v xml:space="preserve"> </v>
      </c>
      <c r="H44" s="82"/>
      <c r="I44" s="82"/>
      <c r="J44" s="81" t="str">
        <f>IF(R16=2,J40,IF(R16=1," "))</f>
        <v xml:space="preserve"> </v>
      </c>
      <c r="K44" s="82"/>
      <c r="L44" s="81" t="str">
        <f>IF(R16=2,L40,IF(R16=1," "))</f>
        <v xml:space="preserve"> </v>
      </c>
      <c r="M44" s="128" t="str">
        <f>IF(R16=1,"",IF(R16=2,"FEMININO - PRECISA DE 30 ANOS DE CONTRIBUIÇÃO"))</f>
        <v/>
      </c>
      <c r="N44" s="128"/>
      <c r="O44" s="128"/>
      <c r="P44" s="128"/>
    </row>
    <row r="45" spans="1:17" ht="0.75" customHeight="1" x14ac:dyDescent="0.15">
      <c r="A45" s="1"/>
      <c r="B45" s="47">
        <v>35</v>
      </c>
      <c r="C45" s="40" t="s">
        <v>17</v>
      </c>
      <c r="D45" s="40" t="s">
        <v>1</v>
      </c>
      <c r="G45" s="54">
        <f>G38</f>
        <v>0</v>
      </c>
      <c r="H45" s="42"/>
      <c r="I45" s="42"/>
      <c r="J45" s="54">
        <f>J38*D46</f>
        <v>0</v>
      </c>
      <c r="K45" s="42"/>
      <c r="L45" s="54">
        <f>L38*C46</f>
        <v>0</v>
      </c>
      <c r="M45" s="54">
        <f>SUM(G45+J45+L45)</f>
        <v>0</v>
      </c>
      <c r="N45" s="51"/>
      <c r="O45" s="63">
        <f>B46*C46</f>
        <v>10800</v>
      </c>
      <c r="P45" s="59">
        <f>B45*C46</f>
        <v>12600</v>
      </c>
    </row>
    <row r="46" spans="1:17" hidden="1" x14ac:dyDescent="0.15">
      <c r="A46" s="1"/>
      <c r="B46" s="43">
        <v>30</v>
      </c>
      <c r="C46" s="40">
        <v>360</v>
      </c>
      <c r="D46" s="40">
        <v>30</v>
      </c>
      <c r="N46" s="52"/>
      <c r="O46" s="44">
        <f>O45-M45</f>
        <v>10800</v>
      </c>
      <c r="P46" s="53">
        <f>P45-M45</f>
        <v>12600</v>
      </c>
    </row>
    <row r="47" spans="1:17" hidden="1" x14ac:dyDescent="0.15">
      <c r="A47" s="1"/>
      <c r="N47" s="52">
        <f>INT(O47)</f>
        <v>30</v>
      </c>
      <c r="O47" s="44">
        <f>O46/C46</f>
        <v>30</v>
      </c>
      <c r="P47" s="53">
        <f>P46/C46</f>
        <v>35</v>
      </c>
      <c r="Q47" s="39">
        <f>INT(P47)</f>
        <v>35</v>
      </c>
    </row>
    <row r="48" spans="1:17" hidden="1" x14ac:dyDescent="0.15">
      <c r="A48" s="1"/>
      <c r="J48" s="32"/>
      <c r="L48" s="30"/>
      <c r="N48" s="52"/>
      <c r="O48" s="44">
        <f>(O47-N47)*100</f>
        <v>0</v>
      </c>
      <c r="P48">
        <f>(P47-Q47)*100</f>
        <v>0</v>
      </c>
    </row>
    <row r="49" spans="1:17" hidden="1" x14ac:dyDescent="0.15">
      <c r="A49" s="1"/>
      <c r="N49" s="52"/>
      <c r="O49" s="44">
        <f>C46*O48%</f>
        <v>0</v>
      </c>
      <c r="P49">
        <f>C46*P48%</f>
        <v>0</v>
      </c>
    </row>
    <row r="50" spans="1:17" hidden="1" x14ac:dyDescent="0.15">
      <c r="A50" s="1"/>
      <c r="J50" s="31"/>
      <c r="N50" s="52">
        <f>INT(O50)</f>
        <v>0</v>
      </c>
      <c r="O50" s="44">
        <f>O49/30</f>
        <v>0</v>
      </c>
      <c r="P50">
        <f>P49/30</f>
        <v>0</v>
      </c>
      <c r="Q50">
        <f>INT(P50)</f>
        <v>0</v>
      </c>
    </row>
    <row r="51" spans="1:17" hidden="1" x14ac:dyDescent="0.15">
      <c r="A51" s="1"/>
      <c r="N51" s="52"/>
      <c r="O51" s="44">
        <f>O50-N50</f>
        <v>0</v>
      </c>
      <c r="P51">
        <f>P50-Q50</f>
        <v>0</v>
      </c>
    </row>
    <row r="52" spans="1:17" hidden="1" x14ac:dyDescent="0.15">
      <c r="A52" s="1"/>
      <c r="N52" s="52">
        <f>O52</f>
        <v>0</v>
      </c>
      <c r="O52" s="44">
        <f>O51*D46</f>
        <v>0</v>
      </c>
      <c r="P52">
        <f>P51*30</f>
        <v>0</v>
      </c>
      <c r="Q52">
        <f>P52</f>
        <v>0</v>
      </c>
    </row>
    <row r="53" spans="1:17" hidden="1" x14ac:dyDescent="0.15">
      <c r="A53" s="1"/>
    </row>
    <row r="54" spans="1:17" x14ac:dyDescent="0.15">
      <c r="A54" s="1"/>
      <c r="B54" s="24" t="s">
        <v>21</v>
      </c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6"/>
    </row>
    <row r="55" spans="1:17" x14ac:dyDescent="0.15">
      <c r="A55" s="1"/>
      <c r="B55" s="27" t="s">
        <v>22</v>
      </c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9"/>
    </row>
    <row r="56" spans="1:17" ht="1.5" customHeight="1" x14ac:dyDescent="0.15">
      <c r="A56" s="1"/>
      <c r="B56" s="60"/>
      <c r="C56" s="61"/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2"/>
    </row>
  </sheetData>
  <sheetProtection password="CEBA" sheet="1" objects="1" scenarios="1" selectLockedCells="1"/>
  <mergeCells count="23">
    <mergeCell ref="B34:D37"/>
    <mergeCell ref="B33:D33"/>
    <mergeCell ref="B38:D38"/>
    <mergeCell ref="M38:P38"/>
    <mergeCell ref="M7:P14"/>
    <mergeCell ref="M15:P19"/>
    <mergeCell ref="M20:P23"/>
    <mergeCell ref="M24:P33"/>
    <mergeCell ref="B2:L2"/>
    <mergeCell ref="B3:L3"/>
    <mergeCell ref="B1:L1"/>
    <mergeCell ref="C4:L4"/>
    <mergeCell ref="B6:B7"/>
    <mergeCell ref="G6:L6"/>
    <mergeCell ref="C6:D6"/>
    <mergeCell ref="B44:D44"/>
    <mergeCell ref="B42:D42"/>
    <mergeCell ref="B41:L41"/>
    <mergeCell ref="M43:P43"/>
    <mergeCell ref="M44:P44"/>
    <mergeCell ref="M42:P42"/>
    <mergeCell ref="B43:D43"/>
    <mergeCell ref="M41:P41"/>
  </mergeCells>
  <phoneticPr fontId="1" type="noConversion"/>
  <conditionalFormatting sqref="G5 C4:L4 C5 C8:D32">
    <cfRule type="cellIs" dxfId="4" priority="1" stopIfTrue="1" operator="notEqual">
      <formula>0</formula>
    </cfRule>
  </conditionalFormatting>
  <conditionalFormatting sqref="B43:P43">
    <cfRule type="expression" dxfId="3" priority="2" stopIfTrue="1">
      <formula>IF($R$16=1,1)</formula>
    </cfRule>
    <cfRule type="expression" dxfId="2" priority="3" stopIfTrue="1">
      <formula>IF($R$16=2,2)</formula>
    </cfRule>
  </conditionalFormatting>
  <conditionalFormatting sqref="B44:P44">
    <cfRule type="expression" dxfId="1" priority="4" stopIfTrue="1">
      <formula>IF($R$16=2,2)</formula>
    </cfRule>
    <cfRule type="expression" dxfId="0" priority="5" stopIfTrue="1">
      <formula>IF($R$16=1,1)</formula>
    </cfRule>
  </conditionalFormatting>
  <dataValidations xWindow="213" yWindow="436" count="1">
    <dataValidation type="date" operator="greaterThanOrEqual" allowBlank="1" showInputMessage="1" showErrorMessage="1" errorTitle="DATA IRREGULAR" error="=&gt;MÊS DE FEVEREIRO (CORRETO 28 OU 29);_x000a_=&gt;TENTANDO IMPLANTAR DATA MENOR QUE A DATA DE ADMISSÃO;_x000a__x000a_" promptTitle="LIMPAR DATA" prompt="UTILIZE A TECLA DELETE_x000a__x000a_FORMATO  DD/MM/AAAA" sqref="D8:D32" xr:uid="{00000000-0002-0000-0100-000000000000}">
      <formula1>C8</formula1>
    </dataValidation>
  </dataValidations>
  <hyperlinks>
    <hyperlink ref="M38" r:id="rId1" xr:uid="{00000000-0004-0000-0100-000000000000}"/>
  </hyperlinks>
  <printOptions horizontalCentered="1" verticalCentered="1"/>
  <pageMargins left="0.78740157480314965" right="0.78740157480314965" top="0.78740157480314965" bottom="0.78740157480314965" header="0.51181102362204722" footer="0.51181102362204722"/>
  <pageSetup paperSize="9" scale="85" orientation="landscape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5" name="Option Button 9">
              <controlPr defaultSize="0" autoFill="0" autoLine="0" autoPict="0" altText="SEXO MASCULINO">
                <anchor moveWithCells="1">
                  <from>
                    <xdr:col>12</xdr:col>
                    <xdr:colOff>47625</xdr:colOff>
                    <xdr:row>2</xdr:row>
                    <xdr:rowOff>133350</xdr:rowOff>
                  </from>
                  <to>
                    <xdr:col>13</xdr:col>
                    <xdr:colOff>485775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Option Button 10">
              <controlPr defaultSize="0" autoFill="0" autoLine="0" autoPict="0">
                <anchor moveWithCells="1">
                  <from>
                    <xdr:col>13</xdr:col>
                    <xdr:colOff>590550</xdr:colOff>
                    <xdr:row>2</xdr:row>
                    <xdr:rowOff>133350</xdr:rowOff>
                  </from>
                  <to>
                    <xdr:col>15</xdr:col>
                    <xdr:colOff>447675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 15">
              <controlPr defaultSize="0" print="0" autoFill="0" autoPict="0" macro="[0]!Botão15_Clique">
                <anchor moveWithCells="1">
                  <from>
                    <xdr:col>12</xdr:col>
                    <xdr:colOff>390525</xdr:colOff>
                    <xdr:row>0</xdr:row>
                    <xdr:rowOff>142875</xdr:rowOff>
                  </from>
                  <to>
                    <xdr:col>14</xdr:col>
                    <xdr:colOff>400050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AJUDA</vt:lpstr>
      <vt:lpstr>CONTAGEM TEMPO DE CONTRIBUIÇÃO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ANGELO</dc:creator>
  <cp:lastModifiedBy>X</cp:lastModifiedBy>
  <cp:lastPrinted>2013-06-30T19:49:04Z</cp:lastPrinted>
  <dcterms:created xsi:type="dcterms:W3CDTF">2008-05-22T18:05:20Z</dcterms:created>
  <dcterms:modified xsi:type="dcterms:W3CDTF">2018-02-12T14:35:11Z</dcterms:modified>
</cp:coreProperties>
</file>