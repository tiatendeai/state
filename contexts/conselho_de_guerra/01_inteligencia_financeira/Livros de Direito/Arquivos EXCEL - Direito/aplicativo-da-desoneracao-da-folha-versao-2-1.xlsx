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940\AC\Temp\"/>
    </mc:Choice>
  </mc:AlternateContent>
  <bookViews>
    <workbookView xWindow="360" yWindow="1635" windowWidth="17400" windowHeight="8835" tabRatio="993" xr2:uid="{00000000-000D-0000-FFFF-FFFF00000000}"/>
  </bookViews>
  <sheets>
    <sheet name="DESONERAÇÃO DA FOLHA" sheetId="4" r:id="rId1"/>
  </sheets>
  <calcPr calcId="171026"/>
</workbook>
</file>

<file path=xl/calcChain.xml><?xml version="1.0" encoding="utf-8"?>
<calcChain xmlns="http://schemas.openxmlformats.org/spreadsheetml/2006/main">
  <c r="C12" i="4" l="1"/>
  <c r="D12" i="4"/>
  <c r="D16" i="4"/>
  <c r="C16" i="4"/>
  <c r="E16" i="4"/>
  <c r="C20" i="4"/>
  <c r="E10" i="4"/>
  <c r="E1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  <author>Daniel Pinheiro</author>
  </authors>
  <commentList>
    <comment ref="C8" authorId="0" shapeId="0" xr:uid="{00000000-0006-0000-0000-000001000000}">
      <text>
        <r>
          <rPr>
            <b/>
            <sz val="8"/>
            <color indexed="81"/>
            <rFont val="Tahoma"/>
          </rPr>
          <t>Digite Faturamento Bruto do mês</t>
        </r>
        <r>
          <rPr>
            <sz val="8"/>
            <color indexed="81"/>
            <rFont val="Tahoma"/>
          </rPr>
          <t xml:space="preserve">
</t>
        </r>
      </text>
    </comment>
    <comment ref="C10" authorId="0" shapeId="0" xr:uid="{00000000-0006-0000-0000-000002000000}">
      <text>
        <r>
          <rPr>
            <b/>
            <sz val="8"/>
            <color indexed="81"/>
            <rFont val="Tahoma"/>
          </rPr>
          <t>Digite faturamento das atividades alcançadas pela Lei 12.546/2011</t>
        </r>
        <r>
          <rPr>
            <sz val="8"/>
            <color indexed="81"/>
            <rFont val="Tahoma"/>
          </rPr>
          <t xml:space="preserve">
</t>
        </r>
      </text>
    </comment>
    <comment ref="D10" authorId="0" shapeId="0" xr:uid="{00000000-0006-0000-0000-000003000000}">
      <text>
        <r>
          <rPr>
            <b/>
            <u/>
            <sz val="8"/>
            <color indexed="10"/>
            <rFont val="Tahoma"/>
            <family val="2"/>
          </rPr>
          <t>Digite a Alíquota:</t>
        </r>
        <r>
          <rPr>
            <b/>
            <sz val="8"/>
            <color indexed="81"/>
            <rFont val="Tahoma"/>
          </rPr>
          <t xml:space="preserve">
Março a Julho:
</t>
        </r>
        <r>
          <rPr>
            <b/>
            <sz val="8"/>
            <color indexed="12"/>
            <rFont val="Tahoma"/>
            <family val="2"/>
          </rPr>
          <t>1,5 %</t>
        </r>
        <r>
          <rPr>
            <b/>
            <sz val="8"/>
            <color indexed="81"/>
            <rFont val="Tahoma"/>
          </rPr>
          <t xml:space="preserve"> para INDÚSTRIAS
</t>
        </r>
        <r>
          <rPr>
            <b/>
            <sz val="8"/>
            <color indexed="12"/>
            <rFont val="Tahoma"/>
            <family val="2"/>
          </rPr>
          <t>2,5%</t>
        </r>
        <r>
          <rPr>
            <b/>
            <sz val="8"/>
            <color indexed="81"/>
            <rFont val="Tahoma"/>
          </rPr>
          <t xml:space="preserve">  para TI e TIC
</t>
        </r>
        <r>
          <rPr>
            <b/>
            <u/>
            <sz val="8"/>
            <color indexed="10"/>
            <rFont val="Tahoma"/>
            <family val="2"/>
          </rPr>
          <t>A partir de AGOSTO:</t>
        </r>
        <r>
          <rPr>
            <b/>
            <sz val="8"/>
            <color indexed="81"/>
            <rFont val="Tahoma"/>
          </rPr>
          <t xml:space="preserve">
</t>
        </r>
        <r>
          <rPr>
            <b/>
            <sz val="8"/>
            <color indexed="12"/>
            <rFont val="Tahoma"/>
            <family val="2"/>
          </rPr>
          <t>1%</t>
        </r>
        <r>
          <rPr>
            <b/>
            <sz val="8"/>
            <color indexed="81"/>
            <rFont val="Tahoma"/>
          </rPr>
          <t xml:space="preserve"> para INDÚSTRIAS
</t>
        </r>
        <r>
          <rPr>
            <b/>
            <sz val="8"/>
            <color indexed="12"/>
            <rFont val="Tahoma"/>
            <family val="2"/>
          </rPr>
          <t>2%</t>
        </r>
        <r>
          <rPr>
            <b/>
            <sz val="8"/>
            <color indexed="81"/>
            <rFont val="Tahoma"/>
          </rPr>
          <t xml:space="preserve"> para TI, TIC, HOTEIS e CALL CENTERS</t>
        </r>
        <r>
          <rPr>
            <sz val="8"/>
            <color indexed="81"/>
            <rFont val="Tahoma"/>
          </rPr>
          <t xml:space="preserve">
</t>
        </r>
      </text>
    </comment>
    <comment ref="F10" authorId="1" shapeId="0" xr:uid="{00000000-0006-0000-0000-000004000000}">
      <text>
        <r>
          <rPr>
            <b/>
            <sz val="9"/>
            <color indexed="81"/>
            <rFont val="Tahoma"/>
            <charset val="1"/>
          </rPr>
          <t>Código do DARF: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sz val="6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charset val="1"/>
          </rPr>
          <t>2985 para TI e TIC;
2991 para Indústrias e demais</t>
        </r>
      </text>
    </comment>
    <comment ref="C14" authorId="0" shapeId="0" xr:uid="{00000000-0006-0000-0000-000005000000}">
      <text>
        <r>
          <rPr>
            <b/>
            <sz val="8"/>
            <color indexed="81"/>
            <rFont val="Tahoma"/>
          </rPr>
          <t>Digite o valor bruto da FOLHA DE PAGAMENTO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<sst xmlns="http://schemas.openxmlformats.org/spreadsheetml/2006/main" count="21" uniqueCount="21">
  <si>
    <r>
      <t>FAT. OUTRAS ATIVIDADES (</t>
    </r>
    <r>
      <rPr>
        <sz val="10"/>
        <color indexed="10"/>
        <rFont val="Arial Narrow"/>
        <family val="2"/>
      </rPr>
      <t>Preenchimento Automático Sistema</t>
    </r>
    <r>
      <rPr>
        <sz val="10"/>
        <rFont val="Arial Narrow"/>
        <family val="2"/>
      </rPr>
      <t>)</t>
    </r>
  </si>
  <si>
    <t>VALOR DA FOHA DE PAGAMENTO</t>
  </si>
  <si>
    <t>DADOS REQUERIDOS</t>
  </si>
  <si>
    <t>Valores em R$</t>
  </si>
  <si>
    <t>Pago no CAMPO 6 da GPS com os demais valores</t>
  </si>
  <si>
    <t>DESONERAÇÃO DA FOLHA - LEI Nº 12.546/2011</t>
  </si>
  <si>
    <t>Digite     Alíquota</t>
  </si>
  <si>
    <t>&lt;=== Compensação necessária apenas para a atual versão 8.4 do SEFIP.</t>
  </si>
  <si>
    <r>
      <t xml:space="preserve">PREENCHA OS DADOS ABAIXO ( </t>
    </r>
    <r>
      <rPr>
        <b/>
        <sz val="11"/>
        <color indexed="10"/>
        <rFont val="Arial"/>
        <family val="2"/>
      </rPr>
      <t xml:space="preserve">Apenas os CAMPOS  não automáticos </t>
    </r>
    <r>
      <rPr>
        <b/>
        <sz val="11"/>
        <rFont val="Arial"/>
        <family val="2"/>
      </rPr>
      <t>)</t>
    </r>
  </si>
  <si>
    <r>
      <t xml:space="preserve">VALOR TOTAL PAGO À PREVIDÊNCIA </t>
    </r>
    <r>
      <rPr>
        <b/>
        <sz val="10"/>
        <rFont val="Arial Narrow"/>
        <family val="2"/>
      </rPr>
      <t>=======================================================&gt;</t>
    </r>
  </si>
  <si>
    <r>
      <t>FATURAMENTO BRUTO DO MÊS  (</t>
    </r>
    <r>
      <rPr>
        <sz val="10"/>
        <color indexed="10"/>
        <rFont val="Arial Narrow"/>
        <family val="2"/>
      </rPr>
      <t>Preenchimento Automático Sistema</t>
    </r>
    <r>
      <rPr>
        <sz val="10"/>
        <rFont val="Arial Narrow"/>
        <family val="2"/>
      </rPr>
      <t>)</t>
    </r>
  </si>
  <si>
    <r>
      <t>VALOR DO 20% SOBRE A FOLHA (</t>
    </r>
    <r>
      <rPr>
        <sz val="10"/>
        <color indexed="10"/>
        <rFont val="Arial Narrow"/>
        <family val="2"/>
      </rPr>
      <t>Preenchimento Automático Sistema</t>
    </r>
    <r>
      <rPr>
        <sz val="10"/>
        <rFont val="Arial Narrow"/>
        <family val="2"/>
      </rPr>
      <t>)</t>
    </r>
  </si>
  <si>
    <r>
      <t xml:space="preserve">VALOR A SER COMPENSADO NA </t>
    </r>
    <r>
      <rPr>
        <b/>
        <sz val="10"/>
        <color indexed="12"/>
        <rFont val="Arial Narrow"/>
        <family val="2"/>
      </rPr>
      <t>FOLHA</t>
    </r>
    <r>
      <rPr>
        <sz val="10"/>
        <rFont val="Arial Narrow"/>
        <family val="2"/>
      </rPr>
      <t xml:space="preserve"> E NA </t>
    </r>
    <r>
      <rPr>
        <b/>
        <sz val="10"/>
        <color indexed="12"/>
        <rFont val="Arial Narrow"/>
        <family val="2"/>
      </rPr>
      <t xml:space="preserve">SEFIP </t>
    </r>
    <r>
      <rPr>
        <sz val="10"/>
        <rFont val="Arial Narrow"/>
        <family val="2"/>
      </rPr>
      <t>(</t>
    </r>
    <r>
      <rPr>
        <sz val="10"/>
        <color indexed="10"/>
        <rFont val="Arial Narrow"/>
        <family val="2"/>
      </rPr>
      <t>Automático</t>
    </r>
    <r>
      <rPr>
        <sz val="10"/>
        <rFont val="Arial Narrow"/>
        <family val="2"/>
      </rPr>
      <t>)</t>
    </r>
  </si>
  <si>
    <t xml:space="preserve">FATURAMENTO TI, TIC, INDUSTRIA, CALL CENTERS e HOTEIS etc. </t>
  </si>
  <si>
    <r>
      <t xml:space="preserve">Desenvolvido por </t>
    </r>
    <r>
      <rPr>
        <b/>
        <i/>
        <sz val="10"/>
        <rFont val="Arial Narrow"/>
        <family val="2"/>
      </rPr>
      <t>Daniel Pinheiro</t>
    </r>
    <r>
      <rPr>
        <sz val="10"/>
        <rFont val="Arial Narrow"/>
        <family val="2"/>
      </rPr>
      <t xml:space="preserve"> - Grupo Mundial</t>
    </r>
  </si>
  <si>
    <r>
      <t>Fundamentação Legal</t>
    </r>
    <r>
      <rPr>
        <sz val="10"/>
        <rFont val="Arial Narrow"/>
        <family val="2"/>
      </rPr>
      <t>:</t>
    </r>
  </si>
  <si>
    <t>MP nº 540/2011</t>
  </si>
  <si>
    <t>Lei nº 12.546/2011</t>
  </si>
  <si>
    <t>MP nº 563/2012</t>
  </si>
  <si>
    <t>Ato Declaratório Codac nº 95/2012</t>
  </si>
  <si>
    <r>
      <t xml:space="preserve">Pago DARF Cod. </t>
    </r>
    <r>
      <rPr>
        <b/>
        <sz val="10"/>
        <color indexed="10"/>
        <rFont val="Arial"/>
        <family val="2"/>
      </rPr>
      <t>2985 ou 2991</t>
    </r>
    <r>
      <rPr>
        <b/>
        <sz val="10"/>
        <rFont val="Arial"/>
        <family val="2"/>
      </rPr>
      <t xml:space="preserve"> Venc: dia </t>
    </r>
    <r>
      <rPr>
        <b/>
        <sz val="10"/>
        <color indexed="10"/>
        <rFont val="Arial"/>
        <family val="2"/>
      </rPr>
      <t>20</t>
    </r>
    <r>
      <rPr>
        <b/>
        <sz val="1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</si>
</sst>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3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indexed="10"/>
      <name val="Arial Narrow"/>
      <family val="2"/>
    </font>
    <font>
      <b/>
      <sz val="10"/>
      <color indexed="12"/>
      <name val="Arial Narrow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b/>
      <sz val="14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b/>
      <u/>
      <sz val="8"/>
      <color indexed="10"/>
      <name val="Tahoma"/>
      <family val="2"/>
    </font>
    <font>
      <b/>
      <sz val="8"/>
      <color indexed="12"/>
      <name val="Tahoma"/>
      <family val="2"/>
    </font>
    <font>
      <sz val="9"/>
      <name val="Arial"/>
      <family val="2"/>
    </font>
    <font>
      <b/>
      <i/>
      <sz val="10"/>
      <name val="Arial Narrow"/>
      <family val="2"/>
    </font>
    <font>
      <u/>
      <sz val="10"/>
      <name val="Arial Narrow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6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 style="medium">
        <color indexed="23"/>
      </right>
      <top/>
      <bottom/>
      <diagonal/>
    </border>
    <border>
      <left style="medium">
        <color indexed="23"/>
      </left>
      <right style="medium">
        <color indexed="23"/>
      </right>
      <top/>
      <bottom style="medium">
        <color indexed="2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0" fillId="2" borderId="0" xfId="0" applyFill="1"/>
    <xf numFmtId="0" fontId="4" fillId="0" borderId="0" xfId="0" applyFont="1"/>
    <xf numFmtId="0" fontId="4" fillId="2" borderId="0" xfId="0" applyFont="1" applyFill="1"/>
    <xf numFmtId="0" fontId="0" fillId="3" borderId="0" xfId="0" applyFill="1"/>
    <xf numFmtId="0" fontId="0" fillId="2" borderId="0" xfId="0" applyFill="1" applyBorder="1"/>
    <xf numFmtId="0" fontId="4" fillId="4" borderId="0" xfId="0" applyFont="1" applyFill="1"/>
    <xf numFmtId="0" fontId="0" fillId="4" borderId="0" xfId="0" applyFill="1"/>
    <xf numFmtId="0" fontId="0" fillId="0" borderId="0" xfId="0" applyBorder="1" applyProtection="1">
      <protection locked="0"/>
    </xf>
    <xf numFmtId="0" fontId="0" fillId="0" borderId="0" xfId="0" applyBorder="1" applyAlignment="1" applyProtection="1">
      <alignment horizontal="left"/>
      <protection locked="0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3" fillId="0" borderId="0" xfId="0" applyNumberFormat="1" applyFont="1"/>
    <xf numFmtId="0" fontId="3" fillId="2" borderId="0" xfId="0" applyFont="1" applyFill="1"/>
    <xf numFmtId="0" fontId="3" fillId="0" borderId="0" xfId="0" applyFont="1" applyAlignment="1">
      <alignment horizontal="center"/>
    </xf>
    <xf numFmtId="164" fontId="3" fillId="0" borderId="0" xfId="0" applyNumberFormat="1" applyFont="1" applyProtection="1">
      <protection locked="0"/>
    </xf>
    <xf numFmtId="10" fontId="3" fillId="0" borderId="0" xfId="0" applyNumberFormat="1" applyFont="1" applyAlignment="1" applyProtection="1">
      <alignment horizontal="center"/>
      <protection locked="0"/>
    </xf>
    <xf numFmtId="164" fontId="8" fillId="0" borderId="0" xfId="0" applyNumberFormat="1" applyFont="1" applyProtection="1">
      <protection hidden="1"/>
    </xf>
    <xf numFmtId="10" fontId="8" fillId="0" borderId="0" xfId="0" applyNumberFormat="1" applyFont="1" applyAlignment="1" applyProtection="1">
      <alignment horizontal="center"/>
      <protection hidden="1"/>
    </xf>
    <xf numFmtId="164" fontId="9" fillId="0" borderId="0" xfId="0" applyNumberFormat="1" applyFont="1" applyProtection="1">
      <protection hidden="1"/>
    </xf>
    <xf numFmtId="0" fontId="2" fillId="0" borderId="0" xfId="0" applyFont="1"/>
    <xf numFmtId="0" fontId="17" fillId="0" borderId="0" xfId="0" applyFont="1" applyAlignment="1">
      <alignment horizontal="center"/>
    </xf>
    <xf numFmtId="0" fontId="4" fillId="4" borderId="1" xfId="0" applyFont="1" applyFill="1" applyBorder="1" applyAlignment="1">
      <alignment horizontal="right"/>
    </xf>
    <xf numFmtId="0" fontId="19" fillId="4" borderId="2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10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7</xdr:row>
      <xdr:rowOff>38100</xdr:rowOff>
    </xdr:from>
    <xdr:to>
      <xdr:col>3</xdr:col>
      <xdr:colOff>438150</xdr:colOff>
      <xdr:row>8</xdr:row>
      <xdr:rowOff>47625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11E8BA47-CDC1-42EB-9A48-B0D255D7B459}"/>
            </a:ext>
          </a:extLst>
        </xdr:cNvPr>
        <xdr:cNvSpPr>
          <a:spLocks noChangeShapeType="1"/>
        </xdr:cNvSpPr>
      </xdr:nvSpPr>
      <xdr:spPr bwMode="auto">
        <a:xfrm>
          <a:off x="4733925" y="809625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R52"/>
  <sheetViews>
    <sheetView showRowColHeaders="0" tabSelected="1" topLeftCell="A2" workbookViewId="0" xr3:uid="{AEA406A1-0E4B-5B11-9CD5-51D6E497D94C}">
      <selection activeCell="C12" sqref="C12"/>
    </sheetView>
  </sheetViews>
  <sheetFormatPr defaultColWidth="0" defaultRowHeight="12.75" zeroHeight="1" x14ac:dyDescent="0.15"/>
  <cols>
    <col min="1" max="1" width="1.078125" customWidth="1"/>
    <col min="2" max="2" width="50.03125" style="3" customWidth="1"/>
    <col min="3" max="3" width="13.34765625" style="3" customWidth="1"/>
    <col min="4" max="4" width="14.96875" style="3" customWidth="1"/>
    <col min="5" max="5" width="11.19140625" style="3" customWidth="1"/>
    <col min="6" max="6" width="41.53515625" style="3" customWidth="1"/>
    <col min="7" max="7" width="12.5390625" hidden="1" customWidth="1"/>
    <col min="8" max="8" width="1.48046875" style="5" hidden="1" customWidth="1"/>
    <col min="9" max="9" width="1.078125" customWidth="1"/>
    <col min="10" max="18" width="0" hidden="1" customWidth="1"/>
    <col min="19" max="16384" width="9.16796875" hidden="1"/>
  </cols>
  <sheetData>
    <row r="1" spans="1:18" s="2" customFormat="1" ht="3.75" customHeight="1" x14ac:dyDescent="0.15">
      <c r="A1" s="8"/>
      <c r="B1" s="4"/>
      <c r="C1" s="4"/>
      <c r="D1" s="4"/>
      <c r="E1" s="4"/>
      <c r="F1" s="4"/>
      <c r="H1" s="5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18" x14ac:dyDescent="0.2">
      <c r="A2" s="8"/>
      <c r="B2" s="29" t="s">
        <v>5</v>
      </c>
      <c r="C2" s="29"/>
      <c r="D2" s="29"/>
      <c r="E2" s="29"/>
      <c r="F2" s="29"/>
      <c r="G2" s="29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s="2" customFormat="1" ht="3.75" customHeight="1" x14ac:dyDescent="0.15">
      <c r="A3" s="8"/>
      <c r="B3" s="4"/>
      <c r="C3" s="4"/>
      <c r="D3" s="4"/>
      <c r="E3" s="4"/>
      <c r="F3" s="4"/>
      <c r="H3" s="5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3.5" x14ac:dyDescent="0.15">
      <c r="A4" s="8"/>
      <c r="B4" s="27" t="s">
        <v>8</v>
      </c>
      <c r="C4" s="27"/>
      <c r="D4" s="27"/>
      <c r="E4" s="27"/>
      <c r="F4" s="27"/>
      <c r="G4" s="27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s="2" customFormat="1" ht="3.75" customHeight="1" x14ac:dyDescent="0.15">
      <c r="A5" s="8"/>
      <c r="B5" s="4"/>
      <c r="C5" s="4"/>
      <c r="D5" s="4"/>
      <c r="E5" s="4"/>
      <c r="F5" s="4"/>
      <c r="H5" s="5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s="2" customFormat="1" ht="12.75" customHeight="1" x14ac:dyDescent="0.15">
      <c r="A6" s="8"/>
      <c r="B6" s="11" t="s">
        <v>2</v>
      </c>
      <c r="C6" s="12" t="s">
        <v>3</v>
      </c>
      <c r="D6" s="11"/>
      <c r="E6" s="3"/>
      <c r="F6" s="3"/>
      <c r="G6" s="9"/>
      <c r="H6" s="5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s="2" customFormat="1" ht="3.75" customHeight="1" x14ac:dyDescent="0.15">
      <c r="A7" s="8"/>
      <c r="B7" s="4"/>
      <c r="C7" s="4"/>
      <c r="D7" s="4"/>
      <c r="H7" s="5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x14ac:dyDescent="0.15">
      <c r="A8" s="8"/>
      <c r="B8" s="3" t="s">
        <v>10</v>
      </c>
      <c r="C8" s="16">
        <v>1000</v>
      </c>
      <c r="D8" s="14" t="s">
        <v>6</v>
      </c>
      <c r="E8" s="4"/>
      <c r="F8" s="4"/>
      <c r="G8" s="2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s="2" customFormat="1" ht="5.0999999999999996" customHeight="1" x14ac:dyDescent="0.15">
      <c r="A9" s="8"/>
      <c r="B9" s="4"/>
      <c r="C9" s="14"/>
      <c r="D9" s="14"/>
      <c r="E9" s="4"/>
      <c r="F9" s="4"/>
      <c r="G9" s="6"/>
      <c r="H9" s="5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x14ac:dyDescent="0.15">
      <c r="A10" s="8"/>
      <c r="B10" s="3" t="s">
        <v>13</v>
      </c>
      <c r="C10" s="16">
        <v>700</v>
      </c>
      <c r="D10" s="17">
        <v>0.01</v>
      </c>
      <c r="E10" s="18">
        <f>C10*D10</f>
        <v>7</v>
      </c>
      <c r="F10" s="15" t="s">
        <v>20</v>
      </c>
      <c r="G10" s="9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s="2" customFormat="1" ht="5.0999999999999996" customHeight="1" x14ac:dyDescent="0.15">
      <c r="A11" s="8"/>
      <c r="B11" s="4"/>
      <c r="C11" s="14"/>
      <c r="D11" s="14"/>
      <c r="E11" s="14"/>
      <c r="F11" s="4"/>
      <c r="G11" s="6"/>
      <c r="H11" s="5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x14ac:dyDescent="0.15">
      <c r="A12" s="8"/>
      <c r="B12" s="3" t="s">
        <v>0</v>
      </c>
      <c r="C12" s="18">
        <f>C8-C10</f>
        <v>300</v>
      </c>
      <c r="D12" s="19">
        <f>C12/C8</f>
        <v>0.3</v>
      </c>
      <c r="E12" s="1"/>
      <c r="G12" s="9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 s="2" customFormat="1" ht="5.0999999999999996" customHeight="1" x14ac:dyDescent="0.15">
      <c r="A13" s="8"/>
      <c r="B13" s="4"/>
      <c r="C13" s="14"/>
      <c r="D13" s="14"/>
      <c r="E13" s="14"/>
      <c r="F13" s="4"/>
      <c r="G13" s="6"/>
      <c r="H13" s="5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x14ac:dyDescent="0.15">
      <c r="A14" s="8"/>
      <c r="B14" s="3" t="s">
        <v>1</v>
      </c>
      <c r="C14" s="16">
        <v>200</v>
      </c>
      <c r="D14" s="1"/>
      <c r="E14" s="1"/>
      <c r="G14" s="9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 s="2" customFormat="1" ht="5.0999999999999996" customHeight="1" x14ac:dyDescent="0.15">
      <c r="A15" s="8"/>
      <c r="B15" s="4"/>
      <c r="C15" s="14"/>
      <c r="D15" s="14"/>
      <c r="E15" s="14"/>
      <c r="F15" s="4"/>
      <c r="G15" s="6"/>
      <c r="H15" s="5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x14ac:dyDescent="0.15">
      <c r="A16" s="8"/>
      <c r="B16" s="3" t="s">
        <v>11</v>
      </c>
      <c r="C16" s="18">
        <f>C14*20%</f>
        <v>40</v>
      </c>
      <c r="D16" s="19">
        <f>D12</f>
        <v>0.3</v>
      </c>
      <c r="E16" s="18">
        <f>C16*D16</f>
        <v>12</v>
      </c>
      <c r="F16" s="22" t="s">
        <v>4</v>
      </c>
      <c r="G16" s="9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s="2" customFormat="1" ht="5.0999999999999996" customHeight="1" x14ac:dyDescent="0.15">
      <c r="A17" s="8"/>
      <c r="B17" s="4"/>
      <c r="C17" s="14"/>
      <c r="D17" s="14"/>
      <c r="E17" s="14"/>
      <c r="F17" s="4"/>
      <c r="G17" s="6"/>
      <c r="H17" s="5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x14ac:dyDescent="0.15">
      <c r="A18" s="8"/>
      <c r="B18" s="3" t="s">
        <v>9</v>
      </c>
      <c r="C18" s="13"/>
      <c r="D18" s="1"/>
      <c r="E18" s="20">
        <f>E10+E16</f>
        <v>19</v>
      </c>
      <c r="G18" s="9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s="2" customFormat="1" ht="5.0999999999999996" customHeight="1" x14ac:dyDescent="0.15">
      <c r="A19" s="8"/>
      <c r="B19" s="4"/>
      <c r="C19" s="14"/>
      <c r="D19" s="14"/>
      <c r="E19" s="14"/>
      <c r="F19" s="4"/>
      <c r="G19" s="6"/>
      <c r="H19" s="5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x14ac:dyDescent="0.15">
      <c r="A20" s="8"/>
      <c r="B20" s="3" t="s">
        <v>12</v>
      </c>
      <c r="C20" s="18">
        <f>C16-E16</f>
        <v>28</v>
      </c>
      <c r="D20" s="21" t="s">
        <v>7</v>
      </c>
      <c r="E20" s="1"/>
      <c r="G20" s="9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1:18" s="2" customFormat="1" ht="5.0999999999999996" customHeight="1" x14ac:dyDescent="0.15">
      <c r="A21" s="8"/>
      <c r="B21" s="4"/>
      <c r="C21" s="14"/>
      <c r="D21" s="14"/>
      <c r="E21" s="14"/>
      <c r="F21" s="4"/>
      <c r="G21" s="6"/>
      <c r="H21" s="5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x14ac:dyDescent="0.15">
      <c r="A22" s="8"/>
      <c r="C22" s="13"/>
      <c r="D22" s="1"/>
      <c r="E22" s="1"/>
      <c r="G22" s="10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s="2" customFormat="1" ht="5.0999999999999996" customHeight="1" x14ac:dyDescent="0.15">
      <c r="A23" s="8"/>
      <c r="B23" s="4"/>
      <c r="C23" s="14"/>
      <c r="D23" s="14"/>
      <c r="E23" s="14"/>
      <c r="F23" s="4"/>
      <c r="G23" s="6"/>
      <c r="H23" s="5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x14ac:dyDescent="0.15">
      <c r="A24" s="8"/>
      <c r="C24" s="13"/>
      <c r="D24" s="1"/>
      <c r="E24" s="1"/>
      <c r="G24" s="9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 s="2" customFormat="1" ht="5.0999999999999996" customHeight="1" x14ac:dyDescent="0.15">
      <c r="A25" s="8"/>
      <c r="B25" s="4"/>
      <c r="C25" s="4"/>
      <c r="D25" s="4"/>
      <c r="E25" s="4"/>
      <c r="F25" s="4"/>
      <c r="H25" s="5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x14ac:dyDescent="0.15">
      <c r="A26" s="8"/>
      <c r="B26" s="28"/>
      <c r="C26" s="28"/>
      <c r="D26" s="28"/>
      <c r="E26" s="28"/>
      <c r="F26" s="28"/>
      <c r="G26" s="2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 s="2" customFormat="1" ht="5.0999999999999996" customHeight="1" x14ac:dyDescent="0.15">
      <c r="A27" s="8"/>
      <c r="B27" s="4"/>
      <c r="C27" s="4"/>
      <c r="D27" s="4"/>
      <c r="E27" s="4"/>
      <c r="F27" s="4"/>
      <c r="H27" s="5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 s="5" customFormat="1" ht="3.75" customHeight="1" x14ac:dyDescent="0.15">
      <c r="A28" s="8"/>
      <c r="B28" s="7"/>
      <c r="C28" s="7"/>
      <c r="D28" s="7"/>
      <c r="E28" s="7"/>
      <c r="F28" s="7"/>
      <c r="G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ht="12.75" customHeight="1" thickBot="1" x14ac:dyDescent="0.2">
      <c r="A29" s="8"/>
      <c r="B29" s="7"/>
      <c r="C29" s="7"/>
      <c r="D29" s="7"/>
      <c r="E29" s="7"/>
      <c r="F29" s="7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ht="12.75" customHeight="1" x14ac:dyDescent="0.15">
      <c r="A30" s="8"/>
      <c r="B30" s="24" t="s">
        <v>15</v>
      </c>
      <c r="C30" s="7"/>
      <c r="D30" s="7"/>
      <c r="E30" s="7"/>
      <c r="F30" s="7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ht="12.75" customHeight="1" x14ac:dyDescent="0.15">
      <c r="A31" s="8"/>
      <c r="B31" s="25"/>
      <c r="C31" s="7"/>
      <c r="D31" s="7"/>
      <c r="E31" s="7"/>
      <c r="F31" s="7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ht="12.75" customHeight="1" x14ac:dyDescent="0.15">
      <c r="A32" s="8"/>
      <c r="B32" s="25" t="s">
        <v>16</v>
      </c>
      <c r="C32" s="7"/>
      <c r="D32" s="7"/>
      <c r="E32" s="7"/>
      <c r="F32" s="7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 ht="12.75" customHeight="1" x14ac:dyDescent="0.15">
      <c r="A33" s="8"/>
      <c r="B33" s="25" t="s">
        <v>17</v>
      </c>
      <c r="C33" s="7"/>
      <c r="D33" s="7"/>
      <c r="E33" s="7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 ht="12.75" customHeight="1" x14ac:dyDescent="0.15">
      <c r="A34" s="8"/>
      <c r="B34" s="25" t="s">
        <v>18</v>
      </c>
      <c r="C34" s="7"/>
      <c r="D34" s="7"/>
      <c r="E34" s="7"/>
      <c r="F34" s="7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ht="12.75" customHeight="1" thickBot="1" x14ac:dyDescent="0.2">
      <c r="A35" s="8"/>
      <c r="B35" s="26" t="s">
        <v>19</v>
      </c>
      <c r="C35" s="7"/>
      <c r="D35" s="7"/>
      <c r="E35" s="7"/>
      <c r="F35" s="7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 ht="12.75" customHeight="1" x14ac:dyDescent="0.15">
      <c r="A36" s="8"/>
      <c r="B36" s="7"/>
      <c r="C36" s="7"/>
      <c r="D36" s="7"/>
      <c r="E36" s="7"/>
      <c r="F36" s="7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 ht="12.75" customHeight="1" x14ac:dyDescent="0.15">
      <c r="A37" s="8"/>
      <c r="B37" s="7"/>
      <c r="C37" s="7"/>
      <c r="D37" s="7"/>
      <c r="E37" s="7"/>
      <c r="F37" s="7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ht="12.75" customHeight="1" thickBot="1" x14ac:dyDescent="0.2">
      <c r="A38" s="8"/>
      <c r="B38" s="7"/>
      <c r="C38" s="7"/>
      <c r="D38" s="7"/>
      <c r="E38" s="7"/>
      <c r="F38" s="7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 ht="12.75" customHeight="1" thickBot="1" x14ac:dyDescent="0.2">
      <c r="A39" s="8"/>
      <c r="B39" s="7"/>
      <c r="C39" s="7"/>
      <c r="D39" s="7"/>
      <c r="E39" s="7"/>
      <c r="F39" s="23" t="s">
        <v>14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ht="12.75" customHeight="1" x14ac:dyDescent="0.15">
      <c r="A40" s="8"/>
      <c r="B40" s="7"/>
      <c r="C40" s="7"/>
      <c r="D40" s="7"/>
      <c r="E40" s="7"/>
      <c r="F40" s="7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 ht="12.75" hidden="1" customHeight="1" x14ac:dyDescent="0.15"/>
    <row r="42" spans="1:18" ht="12.75" hidden="1" customHeight="1" x14ac:dyDescent="0.15"/>
    <row r="43" spans="1:18" ht="12.75" hidden="1" customHeight="1" x14ac:dyDescent="0.15"/>
    <row r="44" spans="1:18" ht="12.75" hidden="1" customHeight="1" x14ac:dyDescent="0.15"/>
    <row r="45" spans="1:18" ht="12.75" hidden="1" customHeight="1" x14ac:dyDescent="0.15"/>
    <row r="46" spans="1:18" ht="12.75" hidden="1" customHeight="1" x14ac:dyDescent="0.15"/>
    <row r="47" spans="1:18" ht="12.75" hidden="1" customHeight="1" x14ac:dyDescent="0.15"/>
    <row r="48" spans="1:18" ht="12.75" hidden="1" customHeight="1" x14ac:dyDescent="0.15"/>
    <row r="49" ht="12.75" hidden="1" customHeight="1" x14ac:dyDescent="0.15"/>
    <row r="50" ht="12.75" hidden="1" customHeight="1" x14ac:dyDescent="0.15"/>
    <row r="51" ht="12.75" hidden="1" customHeight="1" x14ac:dyDescent="0.15"/>
    <row r="52" ht="12.75" hidden="1" customHeight="1" x14ac:dyDescent="0.15"/>
  </sheetData>
  <sheetProtection password="CB7C" sheet="1" objects="1" scenarios="1"/>
  <mergeCells count="3">
    <mergeCell ref="B4:G4"/>
    <mergeCell ref="B26:G26"/>
    <mergeCell ref="B2:G2"/>
  </mergeCells>
  <phoneticPr fontId="1" type="noConversion"/>
  <pageMargins left="0.19685039370078741" right="0.19685039370078741" top="0.19685039370078741" bottom="0.19685039370078741" header="0.51181102362204722" footer="0.51181102362204722"/>
  <pageSetup paperSize="9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DESONERAÇÃO DA FOLHA</vt:lpstr>
    </vt:vector>
  </TitlesOfParts>
  <Company>Haisa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pessoal</dc:creator>
  <cp:lastModifiedBy>X</cp:lastModifiedBy>
  <cp:lastPrinted>2012-06-26T20:50:56Z</cp:lastPrinted>
  <dcterms:created xsi:type="dcterms:W3CDTF">2011-01-13T14:21:16Z</dcterms:created>
  <dcterms:modified xsi:type="dcterms:W3CDTF">2018-02-07T13:17:15Z</dcterms:modified>
</cp:coreProperties>
</file>