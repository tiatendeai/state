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00\Documents\1.Contabilidade Geral\1.Empresas Clientes\1.Contare\0.Controle Contare\Planilhas Simples Nacional\"/>
    </mc:Choice>
  </mc:AlternateContent>
  <bookViews>
    <workbookView xWindow="0" yWindow="0" windowWidth="20490" windowHeight="7620" tabRatio="787" activeTab="1"/>
  </bookViews>
  <sheets>
    <sheet name="Orientações" sheetId="90" r:id="rId1"/>
    <sheet name="Anexo IV Serviços" sheetId="89" r:id="rId2"/>
  </sheets>
  <calcPr calcId="162913"/>
</workbook>
</file>

<file path=xl/calcChain.xml><?xml version="1.0" encoding="utf-8"?>
<calcChain xmlns="http://schemas.openxmlformats.org/spreadsheetml/2006/main">
  <c r="D24" i="89" l="1"/>
  <c r="D17" i="89" l="1"/>
  <c r="D16" i="89" l="1"/>
  <c r="D18" i="89" l="1"/>
  <c r="D19" i="89" s="1"/>
  <c r="R16" i="89" l="1"/>
  <c r="N16" i="89"/>
  <c r="Q16" i="89"/>
  <c r="P16" i="89"/>
  <c r="O16" i="89"/>
  <c r="J15" i="89"/>
  <c r="J17" i="89"/>
  <c r="F12" i="89"/>
  <c r="L20" i="89"/>
  <c r="B27" i="89"/>
  <c r="J14" i="89"/>
  <c r="J16" i="89" l="1"/>
  <c r="J18" i="89" s="1"/>
  <c r="J19" i="89" s="1"/>
  <c r="I22" i="89" l="1"/>
  <c r="J22" i="89" s="1"/>
  <c r="N17" i="89"/>
  <c r="N18" i="89" s="1"/>
  <c r="Q17" i="89" l="1"/>
  <c r="Q18" i="89" s="1"/>
  <c r="P17" i="89"/>
  <c r="P18" i="89" s="1"/>
  <c r="O17" i="89"/>
  <c r="O18" i="89" s="1"/>
  <c r="R17" i="89"/>
  <c r="S16" i="89"/>
  <c r="S17" i="89" s="1"/>
  <c r="R18" i="89" l="1"/>
  <c r="S18" i="89" s="1"/>
  <c r="I23" i="89"/>
  <c r="J23" i="89" l="1"/>
  <c r="I24" i="89"/>
  <c r="J24" i="89" s="1"/>
  <c r="J25" i="89" l="1"/>
</calcChain>
</file>

<file path=xl/sharedStrings.xml><?xml version="1.0" encoding="utf-8"?>
<sst xmlns="http://schemas.openxmlformats.org/spreadsheetml/2006/main" count="65" uniqueCount="57">
  <si>
    <t>Alíquota</t>
  </si>
  <si>
    <t>Receita Bruta em 12 Meses (em R$)</t>
  </si>
  <si>
    <t>Valor a Deduzir (R$)</t>
  </si>
  <si>
    <r>
      <t>1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</si>
  <si>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r>
      <t>2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</si>
  <si>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r>
      <t>4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</si>
  <si>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r>
      <t>5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</si>
  <si>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r>
      <t>6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</si>
  <si>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t>Cálculo do Simples a pagar no mês:</t>
  </si>
  <si>
    <t>Cálculo da Alíquota Efetiva:</t>
  </si>
  <si>
    <t>IRPJ</t>
  </si>
  <si>
    <t>CSLL</t>
  </si>
  <si>
    <t>Cofins</t>
  </si>
  <si>
    <t>PIS/Pasep</t>
  </si>
  <si>
    <t>Total</t>
  </si>
  <si>
    <r>
      <t>3</t>
    </r>
    <r>
      <rPr>
        <u/>
        <vertAlign val="superscript"/>
        <sz val="14"/>
        <color rgb="FF000000"/>
        <rFont val="Arial"/>
        <family val="2"/>
      </rPr>
      <t>a</t>
    </r>
    <r>
      <rPr>
        <sz val="14"/>
        <color rgb="FF000000"/>
        <rFont val="Arial"/>
        <family val="2"/>
      </rPr>
      <t> Faixa</t>
    </r>
  </si>
  <si>
    <t>Percentual de Repartição dos Tributos</t>
  </si>
  <si>
    <t>Mês</t>
  </si>
  <si>
    <t>Receita</t>
  </si>
  <si>
    <t>RBT ultimos 12 meses</t>
  </si>
  <si>
    <t>Receita de Enquadramento</t>
  </si>
  <si>
    <t>Aliquota Nominal</t>
  </si>
  <si>
    <t>Valor Nominal</t>
  </si>
  <si>
    <t>Valor a Deduzir</t>
  </si>
  <si>
    <t>Valor base p/ alíquota efetiva</t>
  </si>
  <si>
    <t>Aliquota Efetiva</t>
  </si>
  <si>
    <t>Valor em R$</t>
  </si>
  <si>
    <t>Quant. meses abertura</t>
  </si>
  <si>
    <t>Média mensal</t>
  </si>
  <si>
    <t>1/0</t>
  </si>
  <si>
    <t>ATENÇÃO PRÓXIMO DO SUBLIMITE</t>
  </si>
  <si>
    <t>Alíquotas e Partilha do Simples Nacional –  Serviços</t>
  </si>
  <si>
    <t>Percentual de Repartição dos Tributos - Anexo IV</t>
  </si>
  <si>
    <t>ISS</t>
  </si>
  <si>
    <t>1)</t>
  </si>
  <si>
    <t>Preencher somente os campos na cor bege, os outros estão automatizados</t>
  </si>
  <si>
    <t>2)</t>
  </si>
  <si>
    <t>Na coluna mês informar o mês do faturamento</t>
  </si>
  <si>
    <t>3)</t>
  </si>
  <si>
    <t>Na coluna 1/0 informar 1 se a empresa estava aberta e 0 se ainda ão estava aberta (ver dat do CNPJ)</t>
  </si>
  <si>
    <t>Ex:</t>
  </si>
  <si>
    <t>Se a empresa foi aberta em Julho/2017, porém so faturou a em Novembro a situação de ve ficar assim</t>
  </si>
  <si>
    <t xml:space="preserve">OBS: </t>
  </si>
  <si>
    <t>A coluna 1/0 deve estar devidamente preenchida para permitir calculo da RBT nos casos de estimativa</t>
  </si>
  <si>
    <t>isso só ocorrerá para empresas até 12 meses de abertura.</t>
  </si>
  <si>
    <t>4)</t>
  </si>
  <si>
    <t>Na coluna receita, informar a receita do mês correspondente</t>
  </si>
  <si>
    <r>
      <t>Senha 123 - ANEXO IV DA LEI COMPLEMENTAR N</t>
    </r>
    <r>
      <rPr>
        <b/>
        <u/>
        <vertAlign val="superscript"/>
        <sz val="14"/>
        <rFont val="Arial"/>
        <family val="2"/>
      </rPr>
      <t>o</t>
    </r>
    <r>
      <rPr>
        <b/>
        <sz val="14"/>
        <rFont val="Arial"/>
        <family val="2"/>
      </rPr>
      <t> 123, DE 14 DE DEZEMBRO DE 2006  - CPP em guia separada</t>
    </r>
  </si>
  <si>
    <t>Simples a Recolher</t>
  </si>
  <si>
    <t>Data de Abertura</t>
  </si>
  <si>
    <t>Receita do mês ISS Normal</t>
  </si>
  <si>
    <t>Receita do mês ISS Retida</t>
  </si>
  <si>
    <t>Receita do Mês ISS Isento</t>
  </si>
  <si>
    <t>Receita do Mês Total</t>
  </si>
  <si>
    <t>Aliquota ISS Normal</t>
  </si>
  <si>
    <t>Aliquota ISS Retido</t>
  </si>
  <si>
    <t>Aliquota ISS Isento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</si>
</sst>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00"/>
    <numFmt numFmtId="166" formatCode="0.0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</font>
    <font>
      <sz val="10"/>
      <color rgb="FF000000"/>
      <name val="Arial"/>
      <family val="2"/>
    </font>
    <font>
      <sz val="14"/>
      <color rgb="FF000000"/>
      <name val="Arial"/>
      <family val="2"/>
    </font>
    <font>
      <u/>
      <vertAlign val="superscript"/>
      <sz val="14"/>
      <color rgb="FF000000"/>
      <name val="Arial"/>
      <family val="2"/>
    </font>
    <font>
      <b/>
      <sz val="14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b/>
      <u/>
      <vertAlign val="superscript"/>
      <sz val="14"/>
      <name val="Arial"/>
      <family val="2"/>
    </font>
    <font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DF5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7F577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0" fontId="6" fillId="0" borderId="0" xfId="0" applyFont="1" applyAlignment="1">
      <alignment horizontal="left" vertical="center" wrapText="1"/>
    </xf>
    <xf numFmtId="0" fontId="4" fillId="0" borderId="0" xfId="0" applyFont="1"/>
    <xf numFmtId="10" fontId="4" fillId="0" borderId="0" xfId="0" applyNumberFormat="1" applyFont="1"/>
    <xf numFmtId="43" fontId="4" fillId="0" borderId="0" xfId="0" applyNumberFormat="1" applyFont="1"/>
    <xf numFmtId="0" fontId="4" fillId="0" borderId="0" xfId="0" applyFont="1" applyBorder="1" applyAlignment="1">
      <alignment vertical="center"/>
    </xf>
    <xf numFmtId="0" fontId="5" fillId="0" borderId="0" xfId="0" applyFont="1"/>
    <xf numFmtId="0" fontId="4" fillId="0" borderId="0" xfId="0" applyFont="1" applyAlignment="1"/>
    <xf numFmtId="0" fontId="4" fillId="0" borderId="0" xfId="0" applyFont="1" applyProtection="1">
      <protection locked="0"/>
    </xf>
    <xf numFmtId="43" fontId="4" fillId="0" borderId="0" xfId="4" applyFont="1"/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Fill="1"/>
    <xf numFmtId="0" fontId="4" fillId="0" borderId="0" xfId="0" applyFont="1" applyAlignment="1">
      <alignment horizontal="left"/>
    </xf>
    <xf numFmtId="14" fontId="17" fillId="3" borderId="1" xfId="0" applyNumberFormat="1" applyFont="1" applyFill="1" applyBorder="1" applyProtection="1">
      <protection locked="0"/>
    </xf>
    <xf numFmtId="0" fontId="2" fillId="4" borderId="1" xfId="0" applyFont="1" applyFill="1" applyBorder="1" applyAlignment="1">
      <alignment horizontal="center"/>
    </xf>
    <xf numFmtId="43" fontId="2" fillId="4" borderId="1" xfId="4" applyFont="1" applyFill="1" applyBorder="1" applyAlignment="1">
      <alignment horizontal="center"/>
    </xf>
    <xf numFmtId="1" fontId="4" fillId="4" borderId="1" xfId="4" applyNumberFormat="1" applyFont="1" applyFill="1" applyBorder="1" applyAlignment="1">
      <alignment horizontal="center"/>
    </xf>
    <xf numFmtId="43" fontId="2" fillId="4" borderId="1" xfId="4" applyFont="1" applyFill="1" applyBorder="1"/>
    <xf numFmtId="43" fontId="2" fillId="4" borderId="1" xfId="0" applyNumberFormat="1" applyFont="1" applyFill="1" applyBorder="1"/>
    <xf numFmtId="0" fontId="14" fillId="4" borderId="29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vertical="center" wrapText="1"/>
    </xf>
    <xf numFmtId="41" fontId="4" fillId="4" borderId="31" xfId="0" applyNumberFormat="1" applyFont="1" applyFill="1" applyBorder="1"/>
    <xf numFmtId="43" fontId="8" fillId="4" borderId="31" xfId="4" applyFont="1" applyFill="1" applyBorder="1" applyAlignment="1">
      <alignment vertical="center" wrapText="1"/>
    </xf>
    <xf numFmtId="10" fontId="8" fillId="4" borderId="31" xfId="0" applyNumberFormat="1" applyFont="1" applyFill="1" applyBorder="1" applyAlignment="1">
      <alignment horizontal="center" vertical="center" wrapText="1"/>
    </xf>
    <xf numFmtId="41" fontId="8" fillId="4" borderId="30" xfId="0" applyNumberFormat="1" applyFont="1" applyFill="1" applyBorder="1" applyAlignment="1">
      <alignment horizontal="center" vertical="center" wrapText="1"/>
    </xf>
    <xf numFmtId="10" fontId="7" fillId="4" borderId="1" xfId="0" applyNumberFormat="1" applyFont="1" applyFill="1" applyBorder="1" applyAlignment="1">
      <alignment horizontal="center" vertical="center" wrapText="1"/>
    </xf>
    <xf numFmtId="10" fontId="7" fillId="4" borderId="10" xfId="0" applyNumberFormat="1" applyFont="1" applyFill="1" applyBorder="1" applyAlignment="1">
      <alignment horizontal="center" vertical="center" wrapText="1"/>
    </xf>
    <xf numFmtId="0" fontId="8" fillId="4" borderId="34" xfId="0" applyFont="1" applyFill="1" applyBorder="1" applyAlignment="1">
      <alignment vertical="center" wrapText="1"/>
    </xf>
    <xf numFmtId="4" fontId="8" fillId="4" borderId="32" xfId="0" applyNumberFormat="1" applyFont="1" applyFill="1" applyBorder="1" applyAlignment="1">
      <alignment vertical="center" wrapText="1"/>
    </xf>
    <xf numFmtId="43" fontId="8" fillId="4" borderId="32" xfId="4" applyFont="1" applyFill="1" applyBorder="1" applyAlignment="1">
      <alignment vertical="center" wrapText="1"/>
    </xf>
    <xf numFmtId="10" fontId="8" fillId="4" borderId="32" xfId="0" applyNumberFormat="1" applyFont="1" applyFill="1" applyBorder="1" applyAlignment="1">
      <alignment horizontal="center" vertical="center" wrapText="1"/>
    </xf>
    <xf numFmtId="4" fontId="8" fillId="4" borderId="2" xfId="0" applyNumberFormat="1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vertical="center" wrapText="1"/>
    </xf>
    <xf numFmtId="4" fontId="8" fillId="4" borderId="33" xfId="0" applyNumberFormat="1" applyFont="1" applyFill="1" applyBorder="1" applyAlignment="1">
      <alignment vertical="center" wrapText="1"/>
    </xf>
    <xf numFmtId="43" fontId="8" fillId="4" borderId="33" xfId="4" applyFont="1" applyFill="1" applyBorder="1" applyAlignment="1">
      <alignment vertical="center" wrapText="1"/>
    </xf>
    <xf numFmtId="10" fontId="8" fillId="4" borderId="33" xfId="0" applyNumberFormat="1" applyFont="1" applyFill="1" applyBorder="1" applyAlignment="1">
      <alignment horizontal="center" vertical="center" wrapText="1"/>
    </xf>
    <xf numFmtId="4" fontId="8" fillId="4" borderId="17" xfId="0" applyNumberFormat="1" applyFont="1" applyFill="1" applyBorder="1" applyAlignment="1">
      <alignment horizontal="center" vertical="center" wrapText="1"/>
    </xf>
    <xf numFmtId="10" fontId="7" fillId="4" borderId="12" xfId="0" applyNumberFormat="1" applyFont="1" applyFill="1" applyBorder="1" applyAlignment="1">
      <alignment horizontal="center" vertical="center" wrapText="1"/>
    </xf>
    <xf numFmtId="41" fontId="7" fillId="4" borderId="13" xfId="0" applyNumberFormat="1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/>
    </xf>
    <xf numFmtId="164" fontId="10" fillId="4" borderId="21" xfId="0" applyNumberFormat="1" applyFont="1" applyFill="1" applyBorder="1"/>
    <xf numFmtId="0" fontId="4" fillId="4" borderId="9" xfId="0" applyFont="1" applyFill="1" applyBorder="1" applyAlignment="1">
      <alignment horizontal="center"/>
    </xf>
    <xf numFmtId="10" fontId="2" fillId="4" borderId="10" xfId="0" applyNumberFormat="1" applyFont="1" applyFill="1" applyBorder="1" applyAlignment="1" applyProtection="1"/>
    <xf numFmtId="43" fontId="2" fillId="4" borderId="10" xfId="0" applyNumberFormat="1" applyFont="1" applyFill="1" applyBorder="1"/>
    <xf numFmtId="43" fontId="2" fillId="4" borderId="10" xfId="4" applyFont="1" applyFill="1" applyBorder="1" applyAlignment="1" applyProtection="1"/>
    <xf numFmtId="4" fontId="2" fillId="4" borderId="10" xfId="0" applyNumberFormat="1" applyFont="1" applyFill="1" applyBorder="1"/>
    <xf numFmtId="0" fontId="4" fillId="4" borderId="11" xfId="0" applyFont="1" applyFill="1" applyBorder="1" applyAlignment="1">
      <alignment horizontal="center"/>
    </xf>
    <xf numFmtId="10" fontId="2" fillId="4" borderId="13" xfId="1" applyNumberFormat="1" applyFont="1" applyFill="1" applyBorder="1"/>
    <xf numFmtId="43" fontId="2" fillId="4" borderId="13" xfId="4" applyFont="1" applyFill="1" applyBorder="1"/>
    <xf numFmtId="10" fontId="4" fillId="4" borderId="10" xfId="1" applyNumberFormat="1" applyFont="1" applyFill="1" applyBorder="1" applyAlignment="1" applyProtection="1"/>
    <xf numFmtId="10" fontId="11" fillId="4" borderId="29" xfId="1" applyNumberFormat="1" applyFont="1" applyFill="1" applyBorder="1" applyAlignment="1"/>
    <xf numFmtId="43" fontId="12" fillId="4" borderId="29" xfId="0" applyNumberFormat="1" applyFont="1" applyFill="1" applyBorder="1"/>
    <xf numFmtId="0" fontId="14" fillId="4" borderId="29" xfId="0" applyFont="1" applyFill="1" applyBorder="1" applyAlignment="1">
      <alignment horizontal="center"/>
    </xf>
    <xf numFmtId="43" fontId="4" fillId="3" borderId="1" xfId="4" applyFont="1" applyFill="1" applyBorder="1" applyProtection="1">
      <protection locked="0"/>
    </xf>
    <xf numFmtId="17" fontId="4" fillId="3" borderId="1" xfId="0" applyNumberFormat="1" applyFont="1" applyFill="1" applyBorder="1" applyAlignment="1" applyProtection="1">
      <alignment horizontal="center"/>
      <protection locked="0"/>
    </xf>
    <xf numFmtId="1" fontId="4" fillId="3" borderId="1" xfId="0" applyNumberFormat="1" applyFont="1" applyFill="1" applyBorder="1" applyAlignment="1" applyProtection="1">
      <alignment horizontal="center"/>
      <protection locked="0"/>
    </xf>
    <xf numFmtId="43" fontId="4" fillId="3" borderId="1" xfId="6" applyFont="1" applyFill="1" applyBorder="1" applyProtection="1">
      <protection locked="0"/>
    </xf>
    <xf numFmtId="43" fontId="2" fillId="4" borderId="1" xfId="6" applyFont="1" applyFill="1" applyBorder="1"/>
    <xf numFmtId="0" fontId="2" fillId="4" borderId="11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43" fontId="2" fillId="4" borderId="20" xfId="4" applyFont="1" applyFill="1" applyBorder="1"/>
    <xf numFmtId="166" fontId="2" fillId="4" borderId="20" xfId="4" applyNumberFormat="1" applyFont="1" applyFill="1" applyBorder="1" applyAlignment="1">
      <alignment horizontal="center"/>
    </xf>
    <xf numFmtId="0" fontId="10" fillId="4" borderId="5" xfId="0" applyFont="1" applyFill="1" applyBorder="1" applyAlignment="1"/>
    <xf numFmtId="0" fontId="10" fillId="4" borderId="6" xfId="0" applyFont="1" applyFill="1" applyBorder="1" applyAlignment="1"/>
    <xf numFmtId="0" fontId="10" fillId="2" borderId="3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5" fillId="4" borderId="22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 wrapText="1"/>
    </xf>
    <xf numFmtId="0" fontId="15" fillId="4" borderId="23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/>
    </xf>
    <xf numFmtId="0" fontId="10" fillId="4" borderId="24" xfId="0" applyFont="1" applyFill="1" applyBorder="1" applyAlignment="1">
      <alignment horizontal="center"/>
    </xf>
    <xf numFmtId="0" fontId="10" fillId="4" borderId="15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4" fillId="4" borderId="28" xfId="0" applyFont="1" applyFill="1" applyBorder="1" applyAlignment="1">
      <alignment horizontal="left" vertical="center" wrapText="1"/>
    </xf>
    <xf numFmtId="0" fontId="4" fillId="4" borderId="26" xfId="0" applyFont="1" applyFill="1" applyBorder="1" applyAlignment="1">
      <alignment horizontal="left" vertical="center" wrapText="1"/>
    </xf>
    <xf numFmtId="0" fontId="4" fillId="4" borderId="25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2" fillId="4" borderId="18" xfId="0" applyFont="1" applyFill="1" applyBorder="1" applyAlignment="1">
      <alignment horizontal="left"/>
    </xf>
    <xf numFmtId="0" fontId="2" fillId="4" borderId="16" xfId="0" applyFont="1" applyFill="1" applyBorder="1" applyAlignment="1">
      <alignment horizontal="left"/>
    </xf>
    <xf numFmtId="0" fontId="2" fillId="4" borderId="17" xfId="0" applyFont="1" applyFill="1" applyBorder="1" applyAlignment="1">
      <alignment horizontal="left"/>
    </xf>
    <xf numFmtId="0" fontId="4" fillId="4" borderId="18" xfId="0" applyFont="1" applyFill="1" applyBorder="1" applyAlignment="1">
      <alignment horizontal="left"/>
    </xf>
    <xf numFmtId="0" fontId="4" fillId="4" borderId="16" xfId="0" applyFont="1" applyFill="1" applyBorder="1" applyAlignment="1">
      <alignment horizontal="left"/>
    </xf>
    <xf numFmtId="0" fontId="4" fillId="4" borderId="17" xfId="0" applyFont="1" applyFill="1" applyBorder="1" applyAlignment="1">
      <alignment horizontal="left"/>
    </xf>
    <xf numFmtId="0" fontId="4" fillId="4" borderId="36" xfId="0" applyFont="1" applyFill="1" applyBorder="1" applyAlignment="1">
      <alignment horizontal="left"/>
    </xf>
    <xf numFmtId="0" fontId="4" fillId="4" borderId="30" xfId="0" applyFont="1" applyFill="1" applyBorder="1" applyAlignment="1">
      <alignment horizontal="left"/>
    </xf>
  </cellXfs>
  <cellStyles count="10">
    <cellStyle name="Normal" xfId="0" builtinId="0"/>
    <cellStyle name="Normal 2" xfId="2"/>
    <cellStyle name="Porcentagem" xfId="1" builtinId="5"/>
    <cellStyle name="Separador de milhares 2" xfId="3"/>
    <cellStyle name="Vírgula" xfId="4" builtinId="3"/>
    <cellStyle name="Vírgula 2" xfId="5"/>
    <cellStyle name="Vírgula 2 2" xfId="9"/>
    <cellStyle name="Vírgula 2 3" xfId="7"/>
    <cellStyle name="Vírgula 3" xfId="8"/>
    <cellStyle name="Vírgula 4" xfId="6"/>
  </cellStyles>
  <dxfs count="0"/>
  <tableStyles count="0" defaultTableStyle="TableStyleMedium9" defaultPivotStyle="PivotStyleLight16"/>
  <colors>
    <mruColors>
      <color rgb="FF00CC0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5</xdr:row>
      <xdr:rowOff>66675</xdr:rowOff>
    </xdr:from>
    <xdr:to>
      <xdr:col>8</xdr:col>
      <xdr:colOff>323438</xdr:colOff>
      <xdr:row>22</xdr:row>
      <xdr:rowOff>9525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75" y="1209675"/>
          <a:ext cx="3295238" cy="3181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7"/>
  <sheetViews>
    <sheetView workbookViewId="0">
      <selection activeCell="B10" sqref="B1:B1048576"/>
    </sheetView>
  </sheetViews>
  <sheetFormatPr defaultRowHeight="15" x14ac:dyDescent="0.25"/>
  <cols>
    <col min="2" max="2" width="9.140625" style="11"/>
  </cols>
  <sheetData>
    <row r="2" spans="2:4" x14ac:dyDescent="0.25">
      <c r="B2" s="11" t="s">
        <v>34</v>
      </c>
      <c r="C2" t="s">
        <v>35</v>
      </c>
    </row>
    <row r="3" spans="2:4" x14ac:dyDescent="0.25">
      <c r="B3" s="11" t="s">
        <v>36</v>
      </c>
      <c r="C3" t="s">
        <v>37</v>
      </c>
    </row>
    <row r="4" spans="2:4" x14ac:dyDescent="0.25">
      <c r="B4" s="11" t="s">
        <v>38</v>
      </c>
      <c r="C4" t="s">
        <v>39</v>
      </c>
    </row>
    <row r="5" spans="2:4" x14ac:dyDescent="0.25">
      <c r="C5" s="10" t="s">
        <v>40</v>
      </c>
      <c r="D5" t="s">
        <v>41</v>
      </c>
    </row>
    <row r="24" spans="2:4" x14ac:dyDescent="0.25">
      <c r="C24" t="s">
        <v>42</v>
      </c>
      <c r="D24" t="s">
        <v>43</v>
      </c>
    </row>
    <row r="25" spans="2:4" x14ac:dyDescent="0.25">
      <c r="D25" t="s">
        <v>44</v>
      </c>
    </row>
    <row r="27" spans="2:4" x14ac:dyDescent="0.25">
      <c r="B27" s="11" t="s">
        <v>45</v>
      </c>
      <c r="C27" t="s">
        <v>46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99"/>
  </sheetPr>
  <dimension ref="A1:AK27"/>
  <sheetViews>
    <sheetView showGridLines="0" tabSelected="1" topLeftCell="B19" zoomScale="85" zoomScaleNormal="85" workbookViewId="0">
      <selection activeCell="D40" sqref="D40"/>
    </sheetView>
  </sheetViews>
  <sheetFormatPr defaultRowHeight="18.75" x14ac:dyDescent="0.3"/>
  <cols>
    <col min="1" max="1" width="3" style="2" customWidth="1"/>
    <col min="2" max="2" width="28.140625" style="2" customWidth="1"/>
    <col min="3" max="3" width="5.5703125" style="2" customWidth="1"/>
    <col min="4" max="4" width="23.42578125" style="2" customWidth="1"/>
    <col min="5" max="5" width="5.28515625" style="2" customWidth="1"/>
    <col min="6" max="6" width="13.42578125" style="2" customWidth="1"/>
    <col min="7" max="7" width="17.85546875" style="2" bestFit="1" customWidth="1"/>
    <col min="8" max="8" width="19.28515625" style="2" bestFit="1" customWidth="1"/>
    <col min="9" max="9" width="12.140625" style="2" bestFit="1" customWidth="1"/>
    <col min="10" max="10" width="19.42578125" style="2" bestFit="1" customWidth="1"/>
    <col min="11" max="11" width="8.5703125" style="2" customWidth="1"/>
    <col min="12" max="12" width="9.5703125" style="2" customWidth="1"/>
    <col min="13" max="14" width="11.85546875" style="2" customWidth="1"/>
    <col min="15" max="16" width="12" style="2" customWidth="1"/>
    <col min="17" max="17" width="12.28515625" style="2" bestFit="1" customWidth="1"/>
    <col min="18" max="18" width="12.140625" style="2" customWidth="1"/>
    <col min="19" max="19" width="12.42578125" style="2" customWidth="1"/>
    <col min="20" max="20" width="12" style="2" customWidth="1"/>
    <col min="21" max="36" width="9.140625" style="2"/>
    <col min="37" max="37" width="19.7109375" style="2" bestFit="1" customWidth="1"/>
    <col min="38" max="16384" width="9.140625" style="2"/>
  </cols>
  <sheetData>
    <row r="1" spans="1:37" ht="5.25" customHeight="1" x14ac:dyDescent="0.3">
      <c r="A1" s="1"/>
      <c r="B1" s="1"/>
      <c r="C1" s="1"/>
      <c r="D1" s="1"/>
      <c r="E1" s="1"/>
    </row>
    <row r="2" spans="1:37" ht="19.5" thickBot="1" x14ac:dyDescent="0.35">
      <c r="A2" s="1"/>
      <c r="B2" s="65" t="s">
        <v>49</v>
      </c>
      <c r="C2" s="66"/>
      <c r="D2" s="14"/>
      <c r="E2" s="1"/>
    </row>
    <row r="3" spans="1:37" ht="19.5" customHeight="1" thickBot="1" x14ac:dyDescent="0.35">
      <c r="B3" s="15" t="s">
        <v>17</v>
      </c>
      <c r="C3" s="15" t="s">
        <v>29</v>
      </c>
      <c r="D3" s="15" t="s">
        <v>18</v>
      </c>
      <c r="F3" s="72" t="s">
        <v>47</v>
      </c>
      <c r="G3" s="73"/>
      <c r="H3" s="73"/>
      <c r="I3" s="73"/>
      <c r="J3" s="73"/>
      <c r="K3" s="73"/>
      <c r="L3" s="73"/>
      <c r="M3" s="73"/>
      <c r="N3" s="73"/>
      <c r="O3" s="74"/>
      <c r="AK3" s="6" t="s">
        <v>30</v>
      </c>
    </row>
    <row r="4" spans="1:37" ht="19.5" customHeight="1" thickBot="1" x14ac:dyDescent="0.35">
      <c r="B4" s="55">
        <v>42736</v>
      </c>
      <c r="C4" s="56"/>
      <c r="D4" s="54"/>
      <c r="F4" s="69" t="s">
        <v>31</v>
      </c>
      <c r="G4" s="70"/>
      <c r="H4" s="70"/>
      <c r="I4" s="70"/>
      <c r="J4" s="71"/>
      <c r="K4" s="75" t="s">
        <v>16</v>
      </c>
      <c r="L4" s="76"/>
      <c r="M4" s="76"/>
      <c r="N4" s="76"/>
      <c r="O4" s="77"/>
      <c r="AK4" s="9">
        <v>3000000</v>
      </c>
    </row>
    <row r="5" spans="1:37" ht="19.5" customHeight="1" thickBot="1" x14ac:dyDescent="0.35">
      <c r="B5" s="55">
        <v>42767</v>
      </c>
      <c r="C5" s="56"/>
      <c r="D5" s="54"/>
      <c r="F5" s="78" t="s">
        <v>1</v>
      </c>
      <c r="G5" s="79"/>
      <c r="H5" s="80"/>
      <c r="I5" s="20" t="s">
        <v>0</v>
      </c>
      <c r="J5" s="20" t="s">
        <v>2</v>
      </c>
      <c r="K5" s="20" t="s">
        <v>10</v>
      </c>
      <c r="L5" s="20" t="s">
        <v>11</v>
      </c>
      <c r="M5" s="20" t="s">
        <v>12</v>
      </c>
      <c r="N5" s="20" t="s">
        <v>13</v>
      </c>
      <c r="O5" s="20" t="s">
        <v>33</v>
      </c>
      <c r="AK5" s="4"/>
    </row>
    <row r="6" spans="1:37" ht="16.5" customHeight="1" x14ac:dyDescent="0.3">
      <c r="B6" s="55">
        <v>42795</v>
      </c>
      <c r="C6" s="56"/>
      <c r="D6" s="54"/>
      <c r="F6" s="21" t="s">
        <v>3</v>
      </c>
      <c r="G6" s="22">
        <v>0</v>
      </c>
      <c r="H6" s="23">
        <v>180000</v>
      </c>
      <c r="I6" s="24">
        <v>4.4999999999999998E-2</v>
      </c>
      <c r="J6" s="25">
        <v>0</v>
      </c>
      <c r="K6" s="26">
        <v>0.188</v>
      </c>
      <c r="L6" s="26">
        <v>0.152</v>
      </c>
      <c r="M6" s="26">
        <v>0.1767</v>
      </c>
      <c r="N6" s="26">
        <v>3.8300000000000001E-2</v>
      </c>
      <c r="O6" s="27">
        <v>0.44500000000000001</v>
      </c>
    </row>
    <row r="7" spans="1:37" ht="16.5" customHeight="1" x14ac:dyDescent="0.3">
      <c r="B7" s="55">
        <v>42826</v>
      </c>
      <c r="C7" s="56"/>
      <c r="D7" s="54"/>
      <c r="F7" s="28" t="s">
        <v>4</v>
      </c>
      <c r="G7" s="29">
        <v>180000.01</v>
      </c>
      <c r="H7" s="30">
        <v>360000</v>
      </c>
      <c r="I7" s="31">
        <v>0.09</v>
      </c>
      <c r="J7" s="32">
        <v>8100</v>
      </c>
      <c r="K7" s="26">
        <v>0.19800000000000001</v>
      </c>
      <c r="L7" s="26">
        <v>0.152</v>
      </c>
      <c r="M7" s="26">
        <v>0.20549999999999999</v>
      </c>
      <c r="N7" s="26">
        <v>4.4499999999999998E-2</v>
      </c>
      <c r="O7" s="27">
        <v>0.4</v>
      </c>
    </row>
    <row r="8" spans="1:37" ht="17.25" customHeight="1" x14ac:dyDescent="0.3">
      <c r="B8" s="55">
        <v>42856</v>
      </c>
      <c r="C8" s="56"/>
      <c r="D8" s="54"/>
      <c r="F8" s="28" t="s">
        <v>15</v>
      </c>
      <c r="G8" s="29">
        <v>360000.01</v>
      </c>
      <c r="H8" s="30">
        <v>720000</v>
      </c>
      <c r="I8" s="31">
        <v>0.10199999999999999</v>
      </c>
      <c r="J8" s="32">
        <v>12420</v>
      </c>
      <c r="K8" s="26">
        <v>0.20799999999999999</v>
      </c>
      <c r="L8" s="26">
        <v>0.152</v>
      </c>
      <c r="M8" s="26">
        <v>0.1973</v>
      </c>
      <c r="N8" s="26">
        <v>4.2700000000000002E-2</v>
      </c>
      <c r="O8" s="27">
        <v>0.4</v>
      </c>
      <c r="V8" s="8"/>
    </row>
    <row r="9" spans="1:37" ht="16.5" customHeight="1" x14ac:dyDescent="0.3">
      <c r="B9" s="55">
        <v>42887</v>
      </c>
      <c r="C9" s="56"/>
      <c r="D9" s="54"/>
      <c r="F9" s="28" t="s">
        <v>5</v>
      </c>
      <c r="G9" s="29">
        <v>720000.01</v>
      </c>
      <c r="H9" s="30">
        <v>1800000</v>
      </c>
      <c r="I9" s="31">
        <v>0.14000000000000001</v>
      </c>
      <c r="J9" s="32">
        <v>39780</v>
      </c>
      <c r="K9" s="26">
        <v>0.17799999999999999</v>
      </c>
      <c r="L9" s="26">
        <v>0.192</v>
      </c>
      <c r="M9" s="26">
        <v>0.189</v>
      </c>
      <c r="N9" s="26">
        <v>4.1000000000000002E-2</v>
      </c>
      <c r="O9" s="27">
        <v>0.4</v>
      </c>
    </row>
    <row r="10" spans="1:37" ht="18" customHeight="1" x14ac:dyDescent="0.3">
      <c r="B10" s="55">
        <v>42917</v>
      </c>
      <c r="C10" s="56"/>
      <c r="D10" s="54"/>
      <c r="F10" s="28" t="s">
        <v>6</v>
      </c>
      <c r="G10" s="29">
        <v>1800000.01</v>
      </c>
      <c r="H10" s="30">
        <v>3600000</v>
      </c>
      <c r="I10" s="31">
        <v>0.22</v>
      </c>
      <c r="J10" s="32">
        <v>183780</v>
      </c>
      <c r="K10" s="26">
        <v>0.188</v>
      </c>
      <c r="L10" s="26">
        <v>0.192</v>
      </c>
      <c r="M10" s="26">
        <v>0.18079999999999999</v>
      </c>
      <c r="N10" s="26">
        <v>3.9199999999999999E-2</v>
      </c>
      <c r="O10" s="27">
        <v>0.4</v>
      </c>
    </row>
    <row r="11" spans="1:37" ht="18" customHeight="1" thickBot="1" x14ac:dyDescent="0.35">
      <c r="B11" s="55">
        <v>42948</v>
      </c>
      <c r="C11" s="56"/>
      <c r="D11" s="54"/>
      <c r="F11" s="33" t="s">
        <v>7</v>
      </c>
      <c r="G11" s="34">
        <v>3600000.01</v>
      </c>
      <c r="H11" s="35">
        <v>4800000</v>
      </c>
      <c r="I11" s="36">
        <v>0.33</v>
      </c>
      <c r="J11" s="37">
        <v>828000</v>
      </c>
      <c r="K11" s="38">
        <v>0.53500000000000003</v>
      </c>
      <c r="L11" s="38">
        <v>0.215</v>
      </c>
      <c r="M11" s="38">
        <v>0.20549999999999999</v>
      </c>
      <c r="N11" s="38">
        <v>4.4499999999999998E-2</v>
      </c>
      <c r="O11" s="39">
        <v>0</v>
      </c>
    </row>
    <row r="12" spans="1:37" ht="19.5" thickBot="1" x14ac:dyDescent="0.35">
      <c r="B12" s="55">
        <v>42979</v>
      </c>
      <c r="C12" s="56"/>
      <c r="D12" s="54"/>
      <c r="F12" s="6" t="e">
        <f>IF(D19&gt;=AK4,AK3,0)</f>
        <v>#DIV/0!</v>
      </c>
    </row>
    <row r="13" spans="1:37" ht="19.5" thickBot="1" x14ac:dyDescent="0.35">
      <c r="B13" s="55">
        <v>43009</v>
      </c>
      <c r="C13" s="56"/>
      <c r="D13" s="54"/>
      <c r="F13" s="81" t="s">
        <v>9</v>
      </c>
      <c r="G13" s="82"/>
      <c r="H13" s="82"/>
      <c r="I13" s="82"/>
      <c r="J13" s="83"/>
    </row>
    <row r="14" spans="1:37" ht="18.75" customHeight="1" thickBot="1" x14ac:dyDescent="0.35">
      <c r="B14" s="55">
        <v>43040</v>
      </c>
      <c r="C14" s="56"/>
      <c r="D14" s="54"/>
      <c r="F14" s="40">
        <v>1</v>
      </c>
      <c r="G14" s="86" t="s">
        <v>20</v>
      </c>
      <c r="H14" s="87"/>
      <c r="I14" s="88"/>
      <c r="J14" s="41" t="e">
        <f>D19</f>
        <v>#DIV/0!</v>
      </c>
      <c r="L14" s="12"/>
      <c r="M14" s="12"/>
      <c r="N14" s="75" t="s">
        <v>32</v>
      </c>
      <c r="O14" s="76"/>
      <c r="P14" s="76"/>
      <c r="Q14" s="76"/>
      <c r="R14" s="76"/>
      <c r="S14" s="77"/>
    </row>
    <row r="15" spans="1:37" ht="17.25" customHeight="1" thickBot="1" x14ac:dyDescent="0.35">
      <c r="B15" s="55">
        <v>43070</v>
      </c>
      <c r="C15" s="56"/>
      <c r="D15" s="54"/>
      <c r="F15" s="42">
        <v>2</v>
      </c>
      <c r="G15" s="89" t="s">
        <v>21</v>
      </c>
      <c r="H15" s="90"/>
      <c r="I15" s="91"/>
      <c r="J15" s="43" t="e">
        <f>VLOOKUP(D19,G6:I11,3,TRUE)</f>
        <v>#DIV/0!</v>
      </c>
      <c r="L15" s="12"/>
      <c r="M15" s="12"/>
      <c r="N15" s="20" t="s">
        <v>10</v>
      </c>
      <c r="O15" s="20" t="s">
        <v>11</v>
      </c>
      <c r="P15" s="20" t="s">
        <v>12</v>
      </c>
      <c r="Q15" s="20" t="s">
        <v>13</v>
      </c>
      <c r="R15" s="20" t="s">
        <v>33</v>
      </c>
      <c r="S15" s="53" t="s">
        <v>14</v>
      </c>
    </row>
    <row r="16" spans="1:37" ht="18.75" customHeight="1" thickBot="1" x14ac:dyDescent="0.35">
      <c r="B16" s="84" t="s">
        <v>14</v>
      </c>
      <c r="C16" s="85"/>
      <c r="D16" s="16">
        <f>SUM(D4:D15)</f>
        <v>0</v>
      </c>
      <c r="F16" s="42">
        <v>3</v>
      </c>
      <c r="G16" s="89" t="s">
        <v>22</v>
      </c>
      <c r="H16" s="90"/>
      <c r="I16" s="91"/>
      <c r="J16" s="44" t="e">
        <f>J14*J15</f>
        <v>#DIV/0!</v>
      </c>
      <c r="L16" s="67" t="s">
        <v>21</v>
      </c>
      <c r="M16" s="68"/>
      <c r="N16" s="50" t="e">
        <f>VLOOKUP($D$19,$G$6:$O$11,5,TRUE)</f>
        <v>#DIV/0!</v>
      </c>
      <c r="O16" s="50" t="e">
        <f>VLOOKUP($D$19,$G$6:$O$11,6,TRUE)</f>
        <v>#DIV/0!</v>
      </c>
      <c r="P16" s="50" t="e">
        <f>VLOOKUP($D$19,$G$6:$O$11,7,TRUE)</f>
        <v>#DIV/0!</v>
      </c>
      <c r="Q16" s="50" t="e">
        <f>VLOOKUP($D$19,$G$6:$O$11,8,TRUE)</f>
        <v>#DIV/0!</v>
      </c>
      <c r="R16" s="50" t="e">
        <f>VLOOKUP($D$19,$G$6:$O$11,9,TRUE)</f>
        <v>#DIV/0!</v>
      </c>
      <c r="S16" s="51" t="e">
        <f>SUM(N16:R16)</f>
        <v>#DIV/0!</v>
      </c>
    </row>
    <row r="17" spans="2:23" ht="18.75" customHeight="1" thickBot="1" x14ac:dyDescent="0.35">
      <c r="B17" s="84" t="s">
        <v>27</v>
      </c>
      <c r="C17" s="85"/>
      <c r="D17" s="17">
        <f>SUM(C4:C15)</f>
        <v>0</v>
      </c>
      <c r="E17" s="2">
        <v>0</v>
      </c>
      <c r="F17" s="42">
        <v>4</v>
      </c>
      <c r="G17" s="89" t="s">
        <v>23</v>
      </c>
      <c r="H17" s="90"/>
      <c r="I17" s="91"/>
      <c r="J17" s="45" t="e">
        <f>VLOOKUP(D19,G6:J11,4,TRUE)</f>
        <v>#DIV/0!</v>
      </c>
      <c r="L17" s="67" t="s">
        <v>25</v>
      </c>
      <c r="M17" s="68"/>
      <c r="N17" s="51" t="e">
        <f>N16*$J$19</f>
        <v>#DIV/0!</v>
      </c>
      <c r="O17" s="51" t="e">
        <f>$J$19*O16</f>
        <v>#DIV/0!</v>
      </c>
      <c r="P17" s="51" t="e">
        <f>$J$19*P16</f>
        <v>#DIV/0!</v>
      </c>
      <c r="Q17" s="51" t="e">
        <f>$J$19*Q16</f>
        <v>#DIV/0!</v>
      </c>
      <c r="R17" s="51" t="e">
        <f>R16*J19</f>
        <v>#DIV/0!</v>
      </c>
      <c r="S17" s="51" t="e">
        <f>J19*S16</f>
        <v>#DIV/0!</v>
      </c>
    </row>
    <row r="18" spans="2:23" ht="18.75" customHeight="1" thickBot="1" x14ac:dyDescent="0.35">
      <c r="B18" s="84" t="s">
        <v>28</v>
      </c>
      <c r="C18" s="85"/>
      <c r="D18" s="18" t="e">
        <f>D16/D17</f>
        <v>#DIV/0!</v>
      </c>
      <c r="F18" s="42">
        <v>5</v>
      </c>
      <c r="G18" s="89" t="s">
        <v>24</v>
      </c>
      <c r="H18" s="90"/>
      <c r="I18" s="91"/>
      <c r="J18" s="46" t="e">
        <f>J16-J17</f>
        <v>#DIV/0!</v>
      </c>
      <c r="L18" s="63" t="s">
        <v>26</v>
      </c>
      <c r="M18" s="64"/>
      <c r="N18" s="52" t="e">
        <f>$D$24*N17</f>
        <v>#DIV/0!</v>
      </c>
      <c r="O18" s="52" t="e">
        <f t="shared" ref="O18:Q18" si="0">$D$24*O17</f>
        <v>#DIV/0!</v>
      </c>
      <c r="P18" s="52" t="e">
        <f t="shared" si="0"/>
        <v>#DIV/0!</v>
      </c>
      <c r="Q18" s="52" t="e">
        <f t="shared" si="0"/>
        <v>#DIV/0!</v>
      </c>
      <c r="R18" s="52" t="e">
        <f>$D$21*R17</f>
        <v>#DIV/0!</v>
      </c>
      <c r="S18" s="52" t="e">
        <f>SUM(N18:R18)</f>
        <v>#DIV/0!</v>
      </c>
    </row>
    <row r="19" spans="2:23" ht="18.75" customHeight="1" thickBot="1" x14ac:dyDescent="0.35">
      <c r="B19" s="84" t="s">
        <v>19</v>
      </c>
      <c r="C19" s="85"/>
      <c r="D19" s="19" t="e">
        <f>D18*12</f>
        <v>#DIV/0!</v>
      </c>
      <c r="F19" s="47">
        <v>6</v>
      </c>
      <c r="G19" s="95" t="s">
        <v>25</v>
      </c>
      <c r="H19" s="96"/>
      <c r="I19" s="97"/>
      <c r="J19" s="48" t="e">
        <f>J18/J14</f>
        <v>#DIV/0!</v>
      </c>
      <c r="U19" s="5"/>
      <c r="V19" s="5"/>
      <c r="W19" s="5"/>
    </row>
    <row r="20" spans="2:23" ht="16.5" customHeight="1" thickBot="1" x14ac:dyDescent="0.35">
      <c r="B20" s="13"/>
      <c r="C20" s="13"/>
      <c r="L20" s="6" t="e">
        <f>IF(D19&gt;=AK4,AK3,0)</f>
        <v>#DIV/0!</v>
      </c>
      <c r="U20" s="5"/>
      <c r="V20" s="5"/>
      <c r="W20" s="5"/>
    </row>
    <row r="21" spans="2:23" ht="18.75" customHeight="1" thickBot="1" x14ac:dyDescent="0.35">
      <c r="B21" s="84" t="s">
        <v>50</v>
      </c>
      <c r="C21" s="85"/>
      <c r="D21" s="57"/>
      <c r="F21" s="81" t="s">
        <v>8</v>
      </c>
      <c r="G21" s="82"/>
      <c r="H21" s="82"/>
      <c r="I21" s="82"/>
      <c r="J21" s="83"/>
      <c r="T21" s="5"/>
      <c r="U21" s="5"/>
      <c r="V21" s="5"/>
      <c r="W21" s="5"/>
    </row>
    <row r="22" spans="2:23" ht="17.25" customHeight="1" x14ac:dyDescent="0.3">
      <c r="B22" s="84" t="s">
        <v>51</v>
      </c>
      <c r="C22" s="85"/>
      <c r="D22" s="57">
        <v>0</v>
      </c>
      <c r="F22" s="60">
        <v>7</v>
      </c>
      <c r="G22" s="98" t="s">
        <v>54</v>
      </c>
      <c r="H22" s="99"/>
      <c r="I22" s="62" t="e">
        <f>J19</f>
        <v>#DIV/0!</v>
      </c>
      <c r="J22" s="61" t="e">
        <f>D21*I22</f>
        <v>#DIV/0!</v>
      </c>
      <c r="K22" s="3"/>
      <c r="T22" s="5"/>
      <c r="U22" s="5"/>
      <c r="V22" s="5"/>
      <c r="W22" s="5"/>
    </row>
    <row r="23" spans="2:23" x14ac:dyDescent="0.3">
      <c r="B23" s="84" t="s">
        <v>52</v>
      </c>
      <c r="C23" s="85"/>
      <c r="D23" s="57">
        <v>0</v>
      </c>
      <c r="F23" s="60">
        <v>8</v>
      </c>
      <c r="G23" s="89" t="s">
        <v>55</v>
      </c>
      <c r="H23" s="91"/>
      <c r="I23" s="62" t="e">
        <f>J19-R17</f>
        <v>#DIV/0!</v>
      </c>
      <c r="J23" s="61" t="e">
        <f>D22*I23</f>
        <v>#DIV/0!</v>
      </c>
      <c r="K23" s="3"/>
      <c r="T23" s="5"/>
      <c r="U23" s="5"/>
      <c r="V23" s="5"/>
      <c r="W23" s="5"/>
    </row>
    <row r="24" spans="2:23" x14ac:dyDescent="0.3">
      <c r="B24" s="84" t="s">
        <v>53</v>
      </c>
      <c r="C24" s="85"/>
      <c r="D24" s="58">
        <f>SUM(D21:D23)</f>
        <v>0</v>
      </c>
      <c r="F24" s="60">
        <v>9</v>
      </c>
      <c r="G24" s="89" t="s">
        <v>56</v>
      </c>
      <c r="H24" s="91"/>
      <c r="I24" s="62" t="e">
        <f>I23</f>
        <v>#DIV/0!</v>
      </c>
      <c r="J24" s="61" t="e">
        <f>D23*I24</f>
        <v>#DIV/0!</v>
      </c>
      <c r="Q24" s="4"/>
      <c r="R24" s="5"/>
      <c r="S24" s="5"/>
      <c r="T24" s="5"/>
      <c r="U24" s="5"/>
      <c r="V24" s="5"/>
      <c r="W24" s="5"/>
    </row>
    <row r="25" spans="2:23" ht="19.5" thickBot="1" x14ac:dyDescent="0.35">
      <c r="F25" s="59">
        <v>10</v>
      </c>
      <c r="G25" s="92" t="s">
        <v>48</v>
      </c>
      <c r="H25" s="93"/>
      <c r="I25" s="94"/>
      <c r="J25" s="49" t="e">
        <f>SUM(J22:J24)</f>
        <v>#DIV/0!</v>
      </c>
      <c r="R25" s="5"/>
      <c r="S25" s="5"/>
      <c r="T25" s="5"/>
      <c r="U25" s="5"/>
      <c r="V25" s="5"/>
      <c r="W25" s="5"/>
    </row>
    <row r="26" spans="2:23" x14ac:dyDescent="0.3">
      <c r="K26" s="7"/>
      <c r="R26" s="5"/>
      <c r="S26" s="5"/>
      <c r="T26" s="5"/>
      <c r="U26" s="5"/>
      <c r="V26" s="5"/>
      <c r="W26" s="5"/>
    </row>
    <row r="27" spans="2:23" x14ac:dyDescent="0.3">
      <c r="B27" s="6" t="e">
        <f>IF(D19&gt;=AK4,AK3,0)</f>
        <v>#DIV/0!</v>
      </c>
    </row>
  </sheetData>
  <sheetProtection algorithmName="SHA-512" hashValue="ROF6vk5uwFTFYqmy2OHaAl7+6a3J2nD/COzx7stabSbg2ia5yCgPEhTVrh5K0NXfoCKxw1Lm79oLSrIG+XrCEQ==" saltValue="6WBmwXG2yqEEXROU9ROYGg==" spinCount="100000" sheet="1" objects="1" scenarios="1"/>
  <mergeCells count="28">
    <mergeCell ref="G25:I25"/>
    <mergeCell ref="B19:C19"/>
    <mergeCell ref="B16:C16"/>
    <mergeCell ref="B24:C24"/>
    <mergeCell ref="B22:C22"/>
    <mergeCell ref="B23:C23"/>
    <mergeCell ref="B21:C21"/>
    <mergeCell ref="G19:I19"/>
    <mergeCell ref="F21:J21"/>
    <mergeCell ref="G22:H22"/>
    <mergeCell ref="G23:H23"/>
    <mergeCell ref="G24:H24"/>
    <mergeCell ref="B18:C18"/>
    <mergeCell ref="G14:I14"/>
    <mergeCell ref="G17:I17"/>
    <mergeCell ref="G15:I15"/>
    <mergeCell ref="G16:I16"/>
    <mergeCell ref="G18:I18"/>
    <mergeCell ref="B2:C2"/>
    <mergeCell ref="L17:M17"/>
    <mergeCell ref="F4:J4"/>
    <mergeCell ref="F3:O3"/>
    <mergeCell ref="K4:O4"/>
    <mergeCell ref="F5:H5"/>
    <mergeCell ref="F13:J13"/>
    <mergeCell ref="L16:M16"/>
    <mergeCell ref="N14:S14"/>
    <mergeCell ref="B17:C17"/>
  </mergeCells>
  <pageMargins left="0.31496062992125984" right="0.31496062992125984" top="0.39370078740157483" bottom="0.39370078740157483" header="0.31496062992125984" footer="0.31496062992125984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Orientações</vt:lpstr>
      <vt:lpstr>Anexo IV Serviços</vt:lpstr>
    </vt:vector>
  </TitlesOfParts>
  <Company>mega.info@uol.com.br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leonardark@hotmail.com</dc:creator>
  <cp:lastModifiedBy>Adriano</cp:lastModifiedBy>
  <cp:lastPrinted>2011-07-28T13:40:48Z</cp:lastPrinted>
  <dcterms:created xsi:type="dcterms:W3CDTF">2011-07-28T13:16:20Z</dcterms:created>
  <dcterms:modified xsi:type="dcterms:W3CDTF">2018-02-09T14:38:45Z</dcterms:modified>
</cp:coreProperties>
</file>