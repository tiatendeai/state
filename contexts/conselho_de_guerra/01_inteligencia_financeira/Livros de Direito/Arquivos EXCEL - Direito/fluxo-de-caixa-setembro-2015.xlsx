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balho\Fechamento Contábil 2015\09 - Setembro\POOL\"/>
    </mc:Choice>
  </mc:AlternateContent>
  <xr:revisionPtr revIDLastSave="0" documentId="8_{C37CCDA1-34C6-F945-88C3-AFD895139EE3}" xr6:coauthVersionLast="40" xr6:coauthVersionMax="40" xr10:uidLastSave="{00000000-0000-0000-0000-000000000000}"/>
  <bookViews>
    <workbookView xWindow="120" yWindow="2955" windowWidth="15195" windowHeight="5250" tabRatio="880" activeTab="9" xr2:uid="{00000000-000D-0000-FFFF-FFFF00000000}"/>
  </bookViews>
  <sheets>
    <sheet name="Jan" sheetId="25" r:id="rId1"/>
    <sheet name="Fev" sheetId="28" r:id="rId2"/>
    <sheet name="Março" sheetId="29" r:id="rId3"/>
    <sheet name="Abril" sheetId="30" r:id="rId4"/>
    <sheet name="Maio" sheetId="31" r:id="rId5"/>
    <sheet name="Junho" sheetId="32" r:id="rId6"/>
    <sheet name="Julho" sheetId="33" r:id="rId7"/>
    <sheet name="Agosto" sheetId="34" r:id="rId8"/>
    <sheet name="Setembro" sheetId="35" r:id="rId9"/>
    <sheet name="Outubro" sheetId="36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7" i="36" l="1"/>
  <c r="E26" i="36"/>
  <c r="E11" i="36"/>
  <c r="D72" i="36"/>
  <c r="D7" i="36"/>
  <c r="D11" i="36"/>
  <c r="V17" i="36"/>
  <c r="AG12" i="35"/>
  <c r="AG72" i="35"/>
  <c r="AG7" i="35"/>
  <c r="AG8" i="35"/>
  <c r="AG11" i="35"/>
  <c r="AI82" i="36"/>
  <c r="AI81" i="36"/>
  <c r="AI80" i="36"/>
  <c r="AH74" i="36"/>
  <c r="AF74" i="36"/>
  <c r="AD74" i="36"/>
  <c r="AC47" i="36"/>
  <c r="AC50" i="36"/>
  <c r="AC59" i="36"/>
  <c r="AC69" i="36"/>
  <c r="AC74" i="36"/>
  <c r="AA74" i="36"/>
  <c r="W74" i="36"/>
  <c r="V74" i="36"/>
  <c r="U74" i="36"/>
  <c r="T74" i="36"/>
  <c r="P74" i="36"/>
  <c r="O74" i="36"/>
  <c r="N74" i="36"/>
  <c r="J74" i="36"/>
  <c r="I74" i="36"/>
  <c r="F74" i="36"/>
  <c r="E74" i="36"/>
  <c r="D74" i="36"/>
  <c r="AI73" i="36"/>
  <c r="Y74" i="36"/>
  <c r="AI71" i="36"/>
  <c r="L70" i="36"/>
  <c r="AI70" i="36"/>
  <c r="AI69" i="36"/>
  <c r="R68" i="36"/>
  <c r="AI68" i="36"/>
  <c r="Z67" i="36"/>
  <c r="AI67" i="36"/>
  <c r="AI66" i="36"/>
  <c r="AG65" i="36"/>
  <c r="AI65" i="36"/>
  <c r="H64" i="36"/>
  <c r="AI64" i="36"/>
  <c r="Q63" i="36"/>
  <c r="AI63" i="36"/>
  <c r="AI62" i="36"/>
  <c r="AI61" i="36"/>
  <c r="AI60" i="36"/>
  <c r="AG59" i="36"/>
  <c r="Z59" i="36"/>
  <c r="R59" i="36"/>
  <c r="L59" i="36"/>
  <c r="AI58" i="36"/>
  <c r="AI57" i="36"/>
  <c r="AI56" i="36"/>
  <c r="L55" i="36"/>
  <c r="AI55" i="36"/>
  <c r="AI54" i="36"/>
  <c r="AI53" i="36"/>
  <c r="AI52" i="36"/>
  <c r="S51" i="36"/>
  <c r="AI51" i="36"/>
  <c r="AI50" i="36"/>
  <c r="AI49" i="36"/>
  <c r="AI48" i="36"/>
  <c r="AE47" i="36"/>
  <c r="AE74" i="36"/>
  <c r="Z47" i="36"/>
  <c r="S47" i="36"/>
  <c r="S43" i="36"/>
  <c r="S74" i="36"/>
  <c r="Q47" i="36"/>
  <c r="Q74" i="36"/>
  <c r="L47" i="36"/>
  <c r="K47" i="36"/>
  <c r="K74" i="36"/>
  <c r="H47" i="36"/>
  <c r="G74" i="36"/>
  <c r="L46" i="36"/>
  <c r="AI46" i="36"/>
  <c r="AI45" i="36"/>
  <c r="AI44" i="36"/>
  <c r="AI43" i="36"/>
  <c r="AI42" i="36"/>
  <c r="X41" i="36"/>
  <c r="X74" i="36"/>
  <c r="AH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L40" i="36"/>
  <c r="K40" i="36"/>
  <c r="J40" i="36"/>
  <c r="I40" i="36"/>
  <c r="H40" i="36"/>
  <c r="G40" i="36"/>
  <c r="F40" i="36"/>
  <c r="E40" i="36"/>
  <c r="D40" i="36"/>
  <c r="AI39" i="36"/>
  <c r="AG38" i="36"/>
  <c r="AG40" i="36"/>
  <c r="AI37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26" i="36"/>
  <c r="V27" i="36"/>
  <c r="V36" i="36"/>
  <c r="U36" i="36"/>
  <c r="T36" i="36"/>
  <c r="S36" i="36"/>
  <c r="R36" i="36"/>
  <c r="Q36" i="36"/>
  <c r="P36" i="36"/>
  <c r="O36" i="36"/>
  <c r="N36" i="36"/>
  <c r="K36" i="36"/>
  <c r="J36" i="36"/>
  <c r="I36" i="36"/>
  <c r="H36" i="36"/>
  <c r="G36" i="36"/>
  <c r="F36" i="36"/>
  <c r="E36" i="36"/>
  <c r="D36" i="36"/>
  <c r="AI35" i="36"/>
  <c r="AI34" i="36"/>
  <c r="AI33" i="36"/>
  <c r="AI32" i="36"/>
  <c r="L31" i="36"/>
  <c r="AI31" i="36"/>
  <c r="AI30" i="36"/>
  <c r="AI29" i="36"/>
  <c r="AI28" i="36"/>
  <c r="AI27" i="36"/>
  <c r="AI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I24" i="36"/>
  <c r="AI23" i="36"/>
  <c r="AI22" i="36"/>
  <c r="R21" i="36"/>
  <c r="AI21" i="36"/>
  <c r="AI20" i="36"/>
  <c r="AI19" i="36"/>
  <c r="J18" i="36"/>
  <c r="I18" i="36"/>
  <c r="H18" i="36"/>
  <c r="E18" i="36"/>
  <c r="D90" i="36"/>
  <c r="AI17" i="36"/>
  <c r="AI16" i="36"/>
  <c r="AI15" i="36"/>
  <c r="AI14" i="36"/>
  <c r="AI12" i="36"/>
  <c r="AG11" i="36"/>
  <c r="AF11" i="36"/>
  <c r="AE11" i="36"/>
  <c r="AD11" i="36"/>
  <c r="AC11" i="36"/>
  <c r="Z11" i="36"/>
  <c r="Y11" i="36"/>
  <c r="X11" i="36"/>
  <c r="W11" i="36"/>
  <c r="V11" i="36"/>
  <c r="S11" i="36"/>
  <c r="R11" i="36"/>
  <c r="Q11" i="36"/>
  <c r="P11" i="36"/>
  <c r="O11" i="36"/>
  <c r="L11" i="36"/>
  <c r="K11" i="36"/>
  <c r="D18" i="36"/>
  <c r="AI10" i="36"/>
  <c r="AI9" i="36"/>
  <c r="Y8" i="36"/>
  <c r="W8" i="36"/>
  <c r="L8" i="36"/>
  <c r="AE7" i="36"/>
  <c r="AD7" i="36"/>
  <c r="AB18" i="36"/>
  <c r="AC7" i="36"/>
  <c r="Z7" i="36"/>
  <c r="X18" i="36"/>
  <c r="Y7" i="36"/>
  <c r="X7" i="36"/>
  <c r="V18" i="36"/>
  <c r="W7" i="36"/>
  <c r="V7" i="36"/>
  <c r="R18" i="36"/>
  <c r="S7" i="36"/>
  <c r="R7" i="36"/>
  <c r="P18" i="36"/>
  <c r="Q7" i="36"/>
  <c r="O18" i="36"/>
  <c r="P7" i="36"/>
  <c r="N18" i="36"/>
  <c r="O7" i="36"/>
  <c r="L7" i="36"/>
  <c r="L18" i="36"/>
  <c r="K7" i="36"/>
  <c r="G18" i="36"/>
  <c r="F18" i="36"/>
  <c r="E5" i="36"/>
  <c r="T18" i="36"/>
  <c r="H74" i="36"/>
  <c r="U18" i="36"/>
  <c r="AF18" i="36"/>
  <c r="AD18" i="36"/>
  <c r="R74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AG5" i="36"/>
  <c r="AH5" i="36"/>
  <c r="D88" i="36"/>
  <c r="AI8" i="36"/>
  <c r="K18" i="36"/>
  <c r="AA18" i="36"/>
  <c r="AG18" i="36"/>
  <c r="AE18" i="36"/>
  <c r="R25" i="36"/>
  <c r="Z74" i="36"/>
  <c r="L74" i="36"/>
  <c r="M18" i="36"/>
  <c r="S18" i="36"/>
  <c r="Q18" i="36"/>
  <c r="Y18" i="36"/>
  <c r="W18" i="36"/>
  <c r="AC18" i="36"/>
  <c r="AI25" i="36"/>
  <c r="L36" i="36"/>
  <c r="L75" i="36"/>
  <c r="O75" i="36"/>
  <c r="U75" i="36"/>
  <c r="AC75" i="36"/>
  <c r="V75" i="36"/>
  <c r="W75" i="36"/>
  <c r="AD75" i="36"/>
  <c r="AA75" i="36"/>
  <c r="G75" i="36"/>
  <c r="F75" i="36"/>
  <c r="N75" i="36"/>
  <c r="I75" i="36"/>
  <c r="E75" i="36"/>
  <c r="D91" i="36"/>
  <c r="Q75" i="36"/>
  <c r="J75" i="36"/>
  <c r="R75" i="36"/>
  <c r="AH75" i="36"/>
  <c r="Y75" i="36"/>
  <c r="Z75" i="36"/>
  <c r="K75" i="36"/>
  <c r="S75" i="36"/>
  <c r="AE75" i="36"/>
  <c r="AI36" i="36"/>
  <c r="M36" i="36"/>
  <c r="M74" i="36"/>
  <c r="Z18" i="36"/>
  <c r="AI7" i="36"/>
  <c r="AI11" i="36"/>
  <c r="AB74" i="36"/>
  <c r="AB75" i="36"/>
  <c r="AI59" i="36"/>
  <c r="AI72" i="36"/>
  <c r="AG74" i="36"/>
  <c r="AG75" i="36"/>
  <c r="AI13" i="36"/>
  <c r="D75" i="36"/>
  <c r="H75" i="36"/>
  <c r="P75" i="36"/>
  <c r="T75" i="36"/>
  <c r="X75" i="36"/>
  <c r="AF75" i="36"/>
  <c r="AI38" i="36"/>
  <c r="AI40" i="36"/>
  <c r="M40" i="36"/>
  <c r="AI41" i="36"/>
  <c r="AI47" i="36"/>
  <c r="AG38" i="35"/>
  <c r="AG59" i="35"/>
  <c r="M75" i="36"/>
  <c r="AI74" i="36"/>
  <c r="AI75" i="36"/>
  <c r="AI18" i="36"/>
  <c r="AF11" i="35"/>
  <c r="AG65" i="35"/>
  <c r="AE72" i="35"/>
  <c r="AE15" i="35"/>
  <c r="AE11" i="35"/>
  <c r="AE14" i="35"/>
  <c r="AE47" i="35"/>
  <c r="AE7" i="35"/>
  <c r="AB72" i="35"/>
  <c r="AB11" i="35"/>
  <c r="AB7" i="35"/>
  <c r="AB47" i="35"/>
  <c r="AB69" i="35"/>
  <c r="AB59" i="35"/>
  <c r="AA11" i="35"/>
  <c r="AA7" i="35"/>
  <c r="Z15" i="35"/>
  <c r="Z11" i="35"/>
  <c r="Z7" i="35"/>
  <c r="Z47" i="35"/>
  <c r="Z59" i="35"/>
  <c r="Z67" i="35"/>
  <c r="Y72" i="35"/>
  <c r="Y11" i="35"/>
  <c r="Y7" i="35"/>
  <c r="Y8" i="35"/>
  <c r="X41" i="35"/>
  <c r="X17" i="35"/>
  <c r="X15" i="35"/>
  <c r="X13" i="35"/>
  <c r="X11" i="35"/>
  <c r="X14" i="35"/>
  <c r="X7" i="35"/>
  <c r="U11" i="35"/>
  <c r="U43" i="35"/>
  <c r="U27" i="35"/>
  <c r="U26" i="35"/>
  <c r="U51" i="35"/>
  <c r="U64" i="35"/>
  <c r="U47" i="35"/>
  <c r="U7" i="35"/>
  <c r="U8" i="35"/>
  <c r="U15" i="35"/>
  <c r="T11" i="35"/>
  <c r="T7" i="35"/>
  <c r="T15" i="35"/>
  <c r="T17" i="35"/>
  <c r="S72" i="35"/>
  <c r="S7" i="35"/>
  <c r="S15" i="35"/>
  <c r="S11" i="35"/>
  <c r="R72" i="35"/>
  <c r="R7" i="35"/>
  <c r="R15" i="35"/>
  <c r="R14" i="35"/>
  <c r="R16" i="35"/>
  <c r="R11" i="35"/>
  <c r="Q13" i="35"/>
  <c r="Q15" i="35"/>
  <c r="Q17" i="35"/>
  <c r="Q11" i="35"/>
  <c r="Q14" i="35"/>
  <c r="Q7" i="35"/>
  <c r="R68" i="35"/>
  <c r="S47" i="35"/>
  <c r="AB50" i="35"/>
  <c r="R59" i="35"/>
  <c r="Q47" i="35"/>
  <c r="R21" i="35"/>
  <c r="Q63" i="35"/>
  <c r="N72" i="35"/>
  <c r="N15" i="35"/>
  <c r="N11" i="35"/>
  <c r="N7" i="35"/>
  <c r="N47" i="35"/>
  <c r="M82" i="35"/>
  <c r="M72" i="35"/>
  <c r="M17" i="35"/>
  <c r="M7" i="35"/>
  <c r="M11" i="35"/>
  <c r="M16" i="35"/>
  <c r="M38" i="35"/>
  <c r="M47" i="35"/>
  <c r="M31" i="35"/>
  <c r="L72" i="35"/>
  <c r="L11" i="35"/>
  <c r="L7" i="35"/>
  <c r="L8" i="35"/>
  <c r="N70" i="35"/>
  <c r="K15" i="35"/>
  <c r="K17" i="35"/>
  <c r="K13" i="35"/>
  <c r="K14" i="35"/>
  <c r="K7" i="35"/>
  <c r="K11" i="35"/>
  <c r="K16" i="35"/>
  <c r="K47" i="35"/>
  <c r="M46" i="35"/>
  <c r="G72" i="35"/>
  <c r="G11" i="35"/>
  <c r="G7" i="35"/>
  <c r="G47" i="35"/>
  <c r="N59" i="35"/>
  <c r="M55" i="35"/>
  <c r="G64" i="35"/>
  <c r="F72" i="35"/>
  <c r="F11" i="35"/>
  <c r="F7" i="35"/>
  <c r="E72" i="35"/>
  <c r="E7" i="35"/>
  <c r="E11" i="35"/>
  <c r="E45" i="35"/>
  <c r="E47" i="35"/>
  <c r="E59" i="35"/>
  <c r="E51" i="35"/>
  <c r="E68" i="35"/>
  <c r="D15" i="35"/>
  <c r="D11" i="35"/>
  <c r="D7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D90" i="35"/>
  <c r="AI15" i="35"/>
  <c r="D14" i="35"/>
  <c r="AI14" i="35"/>
  <c r="AI11" i="35"/>
  <c r="AI82" i="35"/>
  <c r="AI81" i="35"/>
  <c r="AI80" i="35"/>
  <c r="AH74" i="35"/>
  <c r="AG74" i="35"/>
  <c r="AF74" i="35"/>
  <c r="AB74" i="35"/>
  <c r="Z74" i="35"/>
  <c r="Y74" i="35"/>
  <c r="V74" i="35"/>
  <c r="S74" i="35"/>
  <c r="R74" i="35"/>
  <c r="P74" i="35"/>
  <c r="N74" i="35"/>
  <c r="L74" i="35"/>
  <c r="K74" i="35"/>
  <c r="J74" i="35"/>
  <c r="F74" i="35"/>
  <c r="E74" i="35"/>
  <c r="D74" i="35"/>
  <c r="AI73" i="35"/>
  <c r="AD74" i="35"/>
  <c r="X74" i="35"/>
  <c r="U74" i="35"/>
  <c r="I74" i="35"/>
  <c r="G74" i="35"/>
  <c r="AI71" i="35"/>
  <c r="AI70" i="35"/>
  <c r="AI69" i="35"/>
  <c r="AI68" i="35"/>
  <c r="AI67" i="35"/>
  <c r="AI66" i="35"/>
  <c r="AI65" i="35"/>
  <c r="AI63" i="35"/>
  <c r="AI62" i="35"/>
  <c r="AI61" i="35"/>
  <c r="AI60" i="35"/>
  <c r="AI59" i="35"/>
  <c r="AI58" i="35"/>
  <c r="AI57" i="35"/>
  <c r="AI56" i="35"/>
  <c r="AI55" i="35"/>
  <c r="AI53" i="35"/>
  <c r="AI52" i="35"/>
  <c r="AI51" i="35"/>
  <c r="AI50" i="35"/>
  <c r="AI49" i="35"/>
  <c r="AI48" i="35"/>
  <c r="AE74" i="35"/>
  <c r="AC74" i="35"/>
  <c r="T74" i="35"/>
  <c r="AI45" i="35"/>
  <c r="AI44" i="35"/>
  <c r="AI42" i="35"/>
  <c r="AI41" i="35"/>
  <c r="AA74" i="35"/>
  <c r="W74" i="35"/>
  <c r="AH40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G40" i="35"/>
  <c r="F40" i="35"/>
  <c r="E40" i="35"/>
  <c r="D40" i="35"/>
  <c r="AI39" i="35"/>
  <c r="AI37" i="35"/>
  <c r="AH36" i="35"/>
  <c r="AG36" i="35"/>
  <c r="AF36" i="35"/>
  <c r="AD36" i="35"/>
  <c r="AC36" i="35"/>
  <c r="AB36" i="35"/>
  <c r="AA36" i="35"/>
  <c r="Z36" i="35"/>
  <c r="Y36" i="35"/>
  <c r="X36" i="35"/>
  <c r="W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AI35" i="35"/>
  <c r="AI34" i="35"/>
  <c r="AI33" i="35"/>
  <c r="AI32" i="35"/>
  <c r="AI31" i="35"/>
  <c r="AI30" i="35"/>
  <c r="AI29" i="35"/>
  <c r="AI28" i="35"/>
  <c r="AI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T75" i="35"/>
  <c r="S25" i="35"/>
  <c r="R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I24" i="35"/>
  <c r="AI23" i="35"/>
  <c r="AI22" i="35"/>
  <c r="AI21" i="35"/>
  <c r="Q25" i="35"/>
  <c r="AI20" i="35"/>
  <c r="AI19" i="35"/>
  <c r="AI17" i="35"/>
  <c r="AI16" i="35"/>
  <c r="AI12" i="35"/>
  <c r="AI10" i="35"/>
  <c r="AI9" i="35"/>
  <c r="AI7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72" i="34"/>
  <c r="AH51" i="34"/>
  <c r="AH15" i="34"/>
  <c r="AH7" i="34"/>
  <c r="AH14" i="34"/>
  <c r="AH8" i="34"/>
  <c r="AH11" i="34"/>
  <c r="AD75" i="35"/>
  <c r="AH5" i="35"/>
  <c r="D88" i="35"/>
  <c r="D18" i="35"/>
  <c r="AI18" i="35"/>
  <c r="Z75" i="35"/>
  <c r="R75" i="35"/>
  <c r="J75" i="35"/>
  <c r="F75" i="35"/>
  <c r="N75" i="35"/>
  <c r="AC75" i="35"/>
  <c r="AB75" i="35"/>
  <c r="AI25" i="35"/>
  <c r="AH75" i="35"/>
  <c r="K75" i="35"/>
  <c r="D75" i="35"/>
  <c r="L75" i="35"/>
  <c r="AF75" i="35"/>
  <c r="Y75" i="35"/>
  <c r="P75" i="35"/>
  <c r="AG75" i="35"/>
  <c r="D91" i="35"/>
  <c r="G75" i="35"/>
  <c r="I75" i="35"/>
  <c r="X75" i="35"/>
  <c r="AI8" i="35"/>
  <c r="E75" i="35"/>
  <c r="AI46" i="35"/>
  <c r="M74" i="35"/>
  <c r="M75" i="35"/>
  <c r="AI72" i="35"/>
  <c r="S75" i="35"/>
  <c r="W75" i="35"/>
  <c r="AA75" i="35"/>
  <c r="AE36" i="35"/>
  <c r="AE75" i="35"/>
  <c r="AI43" i="35"/>
  <c r="Q74" i="35"/>
  <c r="Q75" i="35"/>
  <c r="AI47" i="35"/>
  <c r="AI54" i="35"/>
  <c r="H74" i="35"/>
  <c r="V36" i="35"/>
  <c r="V75" i="35"/>
  <c r="AI27" i="35"/>
  <c r="AI36" i="35"/>
  <c r="AI13" i="35"/>
  <c r="U75" i="35"/>
  <c r="AI38" i="35"/>
  <c r="AI40" i="35"/>
  <c r="H40" i="35"/>
  <c r="O74" i="35"/>
  <c r="O75" i="35"/>
  <c r="AI64" i="35"/>
  <c r="AI74" i="35"/>
  <c r="AI75" i="35"/>
  <c r="H75" i="35"/>
  <c r="AH13" i="34"/>
  <c r="AE17" i="34"/>
  <c r="AE15" i="34"/>
  <c r="AE11" i="34"/>
  <c r="AE7" i="34"/>
  <c r="AE47" i="34"/>
  <c r="AD72" i="34"/>
  <c r="AD11" i="34"/>
  <c r="AC72" i="34"/>
  <c r="AC11" i="34"/>
  <c r="AC7" i="34"/>
  <c r="AE55" i="34"/>
  <c r="AH47" i="34"/>
  <c r="AH21" i="34"/>
  <c r="AC47" i="34"/>
  <c r="AB72" i="34"/>
  <c r="AB11" i="34"/>
  <c r="AB47" i="34"/>
  <c r="AA12" i="34"/>
  <c r="AA72" i="34"/>
  <c r="AA15" i="34"/>
  <c r="AA11" i="34"/>
  <c r="AA14" i="34"/>
  <c r="AA8" i="34"/>
  <c r="AA7" i="34"/>
  <c r="AA47" i="34"/>
  <c r="AA64" i="34"/>
  <c r="AA41" i="34"/>
  <c r="X72" i="34"/>
  <c r="X41" i="34"/>
  <c r="X11" i="34"/>
  <c r="X7" i="34"/>
  <c r="AA59" i="34"/>
  <c r="W72" i="34"/>
  <c r="W11" i="34"/>
  <c r="W7" i="34"/>
  <c r="W8" i="34"/>
  <c r="W41" i="34"/>
  <c r="W15" i="34"/>
  <c r="V7" i="34"/>
  <c r="V11" i="34"/>
  <c r="V47" i="34"/>
  <c r="V27" i="34"/>
  <c r="V15" i="34"/>
  <c r="U72" i="34"/>
  <c r="U11" i="34"/>
  <c r="U7" i="34"/>
  <c r="AE26" i="34"/>
  <c r="AB64" i="34"/>
  <c r="X68" i="34"/>
  <c r="V70" i="34"/>
  <c r="T72" i="34"/>
  <c r="T17" i="34"/>
  <c r="T7" i="34"/>
  <c r="T11" i="34"/>
  <c r="Q12" i="34"/>
  <c r="T47" i="34"/>
  <c r="T59" i="34"/>
  <c r="T63" i="34"/>
  <c r="T53" i="34"/>
  <c r="T50" i="34"/>
  <c r="T69" i="34"/>
  <c r="Q72" i="34"/>
  <c r="Q15" i="34"/>
  <c r="Q7" i="34"/>
  <c r="Q11" i="34"/>
  <c r="Q21" i="34"/>
  <c r="Q47" i="34"/>
  <c r="Q54" i="34"/>
  <c r="Q59" i="34"/>
  <c r="Q51" i="34"/>
  <c r="Q65" i="34"/>
  <c r="Q43" i="34"/>
  <c r="P72" i="34"/>
  <c r="P7" i="34"/>
  <c r="P8" i="34"/>
  <c r="P11" i="34"/>
  <c r="O72" i="34"/>
  <c r="O7" i="34"/>
  <c r="O11" i="34"/>
  <c r="N72" i="34"/>
  <c r="N17" i="34"/>
  <c r="N15" i="34"/>
  <c r="N11" i="34"/>
  <c r="N7" i="34"/>
  <c r="O47" i="34"/>
  <c r="O59" i="34"/>
  <c r="O64" i="34"/>
  <c r="M12" i="34"/>
  <c r="M72" i="34"/>
  <c r="M17" i="34"/>
  <c r="M15" i="34"/>
  <c r="M11" i="34"/>
  <c r="M7" i="34"/>
  <c r="M47" i="34"/>
  <c r="M63" i="34"/>
  <c r="M57" i="34"/>
  <c r="M28" i="34"/>
  <c r="M46" i="34"/>
  <c r="M59" i="34"/>
  <c r="M64" i="34"/>
  <c r="M54" i="34"/>
  <c r="J72" i="34"/>
  <c r="J15" i="34"/>
  <c r="J11" i="34"/>
  <c r="J55" i="34"/>
  <c r="I72" i="34"/>
  <c r="I15" i="34"/>
  <c r="I11" i="34"/>
  <c r="I7" i="34"/>
  <c r="I16" i="34"/>
  <c r="H72" i="34"/>
  <c r="H11" i="34"/>
  <c r="H7" i="34"/>
  <c r="H38" i="34"/>
  <c r="H59" i="34"/>
  <c r="H47" i="34"/>
  <c r="H48" i="34"/>
  <c r="H13" i="34"/>
  <c r="G72" i="34"/>
  <c r="G7" i="34"/>
  <c r="G11" i="34"/>
  <c r="F72" i="34"/>
  <c r="F15" i="34"/>
  <c r="F11" i="34"/>
  <c r="F7" i="34"/>
  <c r="T64" i="34"/>
  <c r="V65" i="34"/>
  <c r="H70" i="34"/>
  <c r="F59" i="34"/>
  <c r="F64" i="34"/>
  <c r="AI82" i="34"/>
  <c r="AI81" i="34"/>
  <c r="AI80" i="34"/>
  <c r="AH74" i="34"/>
  <c r="AC74" i="34"/>
  <c r="AB74" i="34"/>
  <c r="AA74" i="34"/>
  <c r="W74" i="34"/>
  <c r="V74" i="34"/>
  <c r="U74" i="34"/>
  <c r="S74" i="34"/>
  <c r="O74" i="34"/>
  <c r="N74" i="34"/>
  <c r="J74" i="34"/>
  <c r="H74" i="34"/>
  <c r="G74" i="34"/>
  <c r="E74" i="34"/>
  <c r="AI73" i="34"/>
  <c r="AG74" i="34"/>
  <c r="AE74" i="34"/>
  <c r="Y74" i="34"/>
  <c r="X74" i="34"/>
  <c r="Q74" i="34"/>
  <c r="L74" i="34"/>
  <c r="AI72" i="34"/>
  <c r="AI71" i="34"/>
  <c r="K74" i="34"/>
  <c r="AI70" i="34"/>
  <c r="AI69" i="34"/>
  <c r="AI68" i="34"/>
  <c r="AI67" i="34"/>
  <c r="AI66" i="34"/>
  <c r="AI65" i="34"/>
  <c r="AD74" i="34"/>
  <c r="AI64" i="34"/>
  <c r="AI63" i="34"/>
  <c r="AI62" i="34"/>
  <c r="AI61" i="34"/>
  <c r="AI60" i="34"/>
  <c r="AI58" i="34"/>
  <c r="AI57" i="34"/>
  <c r="AI56" i="34"/>
  <c r="AI55" i="34"/>
  <c r="AI54" i="34"/>
  <c r="AI53" i="34"/>
  <c r="AI52" i="34"/>
  <c r="AI51" i="34"/>
  <c r="AI50" i="34"/>
  <c r="AI49" i="34"/>
  <c r="AI48" i="34"/>
  <c r="Z74" i="34"/>
  <c r="T74" i="34"/>
  <c r="M74" i="34"/>
  <c r="AI47" i="34"/>
  <c r="D74" i="34"/>
  <c r="AI45" i="34"/>
  <c r="AI44" i="34"/>
  <c r="AI43" i="34"/>
  <c r="AI42" i="34"/>
  <c r="AI41" i="34"/>
  <c r="AH40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AI39" i="34"/>
  <c r="AI38" i="34"/>
  <c r="AI37" i="34"/>
  <c r="AH36" i="34"/>
  <c r="AG36" i="34"/>
  <c r="AF36" i="34"/>
  <c r="AE36" i="34"/>
  <c r="AD36" i="34"/>
  <c r="AC36" i="34"/>
  <c r="AB36" i="34"/>
  <c r="AA36" i="34"/>
  <c r="Z36" i="34"/>
  <c r="Y36" i="34"/>
  <c r="X36" i="34"/>
  <c r="W36" i="34"/>
  <c r="V36" i="34"/>
  <c r="U36" i="34"/>
  <c r="S36" i="34"/>
  <c r="R36" i="34"/>
  <c r="Q36" i="34"/>
  <c r="P36" i="34"/>
  <c r="O36" i="34"/>
  <c r="N36" i="34"/>
  <c r="L36" i="34"/>
  <c r="K36" i="34"/>
  <c r="J36" i="34"/>
  <c r="I36" i="34"/>
  <c r="H36" i="34"/>
  <c r="G36" i="34"/>
  <c r="F36" i="34"/>
  <c r="E36" i="34"/>
  <c r="D36" i="34"/>
  <c r="AI35" i="34"/>
  <c r="AI34" i="34"/>
  <c r="AI33" i="34"/>
  <c r="AI32" i="34"/>
  <c r="AI31" i="34"/>
  <c r="AI30" i="34"/>
  <c r="AI29" i="34"/>
  <c r="AI28" i="34"/>
  <c r="AI27" i="34"/>
  <c r="T36" i="34"/>
  <c r="AI26" i="34"/>
  <c r="AH25" i="34"/>
  <c r="AG25" i="34"/>
  <c r="AF25" i="34"/>
  <c r="AE25" i="34"/>
  <c r="AD25" i="34"/>
  <c r="AC25" i="34"/>
  <c r="AB25" i="34"/>
  <c r="AA25" i="34"/>
  <c r="Z25" i="34"/>
  <c r="Y25" i="34"/>
  <c r="X25" i="34"/>
  <c r="V25" i="34"/>
  <c r="U25" i="34"/>
  <c r="T25" i="34"/>
  <c r="S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D75" i="34"/>
  <c r="AI24" i="34"/>
  <c r="AI23" i="34"/>
  <c r="AI22" i="34"/>
  <c r="AI21" i="34"/>
  <c r="AI20" i="34"/>
  <c r="AI19" i="34"/>
  <c r="AE18" i="34"/>
  <c r="AC18" i="34"/>
  <c r="AB18" i="34"/>
  <c r="Z18" i="34"/>
  <c r="V18" i="34"/>
  <c r="U18" i="34"/>
  <c r="S18" i="34"/>
  <c r="R18" i="34"/>
  <c r="O18" i="34"/>
  <c r="N18" i="34"/>
  <c r="K18" i="34"/>
  <c r="H18" i="34"/>
  <c r="G18" i="34"/>
  <c r="F18" i="34"/>
  <c r="AI17" i="34"/>
  <c r="AH18" i="34"/>
  <c r="D90" i="34"/>
  <c r="AI16" i="34"/>
  <c r="J18" i="34"/>
  <c r="AI14" i="34"/>
  <c r="AI13" i="34"/>
  <c r="AI12" i="34"/>
  <c r="Y18" i="34"/>
  <c r="X18" i="34"/>
  <c r="W18" i="34"/>
  <c r="E18" i="34"/>
  <c r="AI10" i="34"/>
  <c r="AI9" i="34"/>
  <c r="AD18" i="34"/>
  <c r="AI8" i="34"/>
  <c r="AF18" i="34"/>
  <c r="AA18" i="34"/>
  <c r="T18" i="34"/>
  <c r="M18" i="34"/>
  <c r="L18" i="34"/>
  <c r="AI7" i="34"/>
  <c r="E5" i="34"/>
  <c r="F5" i="34"/>
  <c r="AH15" i="33"/>
  <c r="AH17" i="33"/>
  <c r="AH13" i="33"/>
  <c r="AH7" i="33"/>
  <c r="AH11" i="33"/>
  <c r="AH8" i="33"/>
  <c r="AD75" i="34"/>
  <c r="E75" i="34"/>
  <c r="S7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AG5" i="34"/>
  <c r="AH5" i="34"/>
  <c r="D88" i="34"/>
  <c r="AA75" i="34"/>
  <c r="H75" i="34"/>
  <c r="L75" i="34"/>
  <c r="X75" i="34"/>
  <c r="AB75" i="34"/>
  <c r="AI40" i="34"/>
  <c r="T75" i="34"/>
  <c r="Y75" i="34"/>
  <c r="AC75" i="34"/>
  <c r="AG75" i="34"/>
  <c r="U75" i="34"/>
  <c r="Q75" i="34"/>
  <c r="V75" i="34"/>
  <c r="N75" i="34"/>
  <c r="AI25" i="34"/>
  <c r="J75" i="34"/>
  <c r="AH75" i="34"/>
  <c r="D91" i="34"/>
  <c r="G75" i="34"/>
  <c r="O75" i="34"/>
  <c r="Z75" i="34"/>
  <c r="K75" i="34"/>
  <c r="AE75" i="34"/>
  <c r="AI15" i="34"/>
  <c r="AI46" i="34"/>
  <c r="P74" i="34"/>
  <c r="P75" i="34"/>
  <c r="I18" i="34"/>
  <c r="AF74" i="34"/>
  <c r="AF75" i="34"/>
  <c r="R74" i="34"/>
  <c r="Q18" i="34"/>
  <c r="AG18" i="34"/>
  <c r="R25" i="34"/>
  <c r="AI36" i="34"/>
  <c r="M36" i="34"/>
  <c r="M75" i="34"/>
  <c r="I74" i="34"/>
  <c r="I75" i="34"/>
  <c r="AI59" i="34"/>
  <c r="F74" i="34"/>
  <c r="F75" i="34"/>
  <c r="P18" i="34"/>
  <c r="AI11" i="34"/>
  <c r="D18" i="34"/>
  <c r="W25" i="34"/>
  <c r="W75" i="34"/>
  <c r="AH72" i="33"/>
  <c r="AI74" i="34"/>
  <c r="AI75" i="34"/>
  <c r="R75" i="34"/>
  <c r="AI18" i="34"/>
  <c r="AI42" i="33"/>
  <c r="AI43" i="33"/>
  <c r="AI44" i="33"/>
  <c r="AI48" i="33"/>
  <c r="AI49" i="33"/>
  <c r="AI52" i="33"/>
  <c r="AI56" i="33"/>
  <c r="AI58" i="33"/>
  <c r="AI60" i="33"/>
  <c r="AI61" i="33"/>
  <c r="AI62" i="33"/>
  <c r="AI66" i="33"/>
  <c r="AI67" i="33"/>
  <c r="AI68" i="33"/>
  <c r="AI70" i="33"/>
  <c r="AI73" i="33"/>
  <c r="AI38" i="33"/>
  <c r="AI39" i="33"/>
  <c r="AI37" i="33"/>
  <c r="AI28" i="33"/>
  <c r="AI29" i="33"/>
  <c r="AI30" i="33"/>
  <c r="AI32" i="33"/>
  <c r="AI33" i="33"/>
  <c r="AI34" i="33"/>
  <c r="AI35" i="33"/>
  <c r="AI26" i="33"/>
  <c r="AI20" i="33"/>
  <c r="AI22" i="33"/>
  <c r="AI23" i="33"/>
  <c r="AI24" i="33"/>
  <c r="AI9" i="33"/>
  <c r="AI10" i="33"/>
  <c r="AI12" i="33"/>
  <c r="Q40" i="33"/>
  <c r="R40" i="33"/>
  <c r="S40" i="33"/>
  <c r="T40" i="33"/>
  <c r="U40" i="33"/>
  <c r="V40" i="33"/>
  <c r="W40" i="33"/>
  <c r="X40" i="33"/>
  <c r="Y40" i="33"/>
  <c r="Z40" i="33"/>
  <c r="AA40" i="33"/>
  <c r="AB40" i="33"/>
  <c r="AC40" i="33"/>
  <c r="AD40" i="33"/>
  <c r="AE40" i="33"/>
  <c r="AF40" i="33"/>
  <c r="AG40" i="33"/>
  <c r="AH40" i="33"/>
  <c r="E40" i="33"/>
  <c r="F40" i="33"/>
  <c r="G40" i="33"/>
  <c r="H40" i="33"/>
  <c r="I40" i="33"/>
  <c r="J40" i="33"/>
  <c r="K40" i="33"/>
  <c r="L40" i="33"/>
  <c r="M40" i="33"/>
  <c r="N40" i="33"/>
  <c r="O40" i="33"/>
  <c r="P40" i="33"/>
  <c r="AI40" i="33"/>
  <c r="W19" i="33"/>
  <c r="AI19" i="33"/>
  <c r="AH21" i="33"/>
  <c r="AH69" i="33"/>
  <c r="AH47" i="33"/>
  <c r="AH51" i="33"/>
  <c r="AI51" i="33"/>
  <c r="AH14" i="33"/>
  <c r="AG72" i="33"/>
  <c r="AG7" i="33"/>
  <c r="AG11" i="33"/>
  <c r="AF11" i="33"/>
  <c r="AF7" i="33"/>
  <c r="AF72" i="33"/>
  <c r="AF69" i="33"/>
  <c r="AF47" i="33"/>
  <c r="AE72" i="33"/>
  <c r="AE15" i="33"/>
  <c r="AE7" i="33"/>
  <c r="AE11" i="33"/>
  <c r="AF54" i="33"/>
  <c r="AD72" i="33"/>
  <c r="AD15" i="33"/>
  <c r="AD11" i="33"/>
  <c r="AD8" i="33"/>
  <c r="AD7" i="33"/>
  <c r="AD64" i="33"/>
  <c r="AD47" i="33"/>
  <c r="AA72" i="33"/>
  <c r="AA15" i="33"/>
  <c r="AA7" i="33"/>
  <c r="AA11" i="33"/>
  <c r="Z72" i="33"/>
  <c r="Z11" i="33"/>
  <c r="Z47" i="33"/>
  <c r="Z59" i="33"/>
  <c r="Y72" i="33"/>
  <c r="Y11" i="33"/>
  <c r="X72" i="33"/>
  <c r="X11" i="33"/>
  <c r="W41" i="33"/>
  <c r="AI41" i="33"/>
  <c r="W17" i="33"/>
  <c r="W15" i="33"/>
  <c r="W7" i="33"/>
  <c r="W46" i="33"/>
  <c r="W69" i="33"/>
  <c r="AI69" i="33"/>
  <c r="W11" i="33"/>
  <c r="T47" i="33"/>
  <c r="T72" i="33"/>
  <c r="T17" i="33"/>
  <c r="T15" i="33"/>
  <c r="T13" i="33"/>
  <c r="AI13" i="33"/>
  <c r="T11" i="33"/>
  <c r="T14" i="33"/>
  <c r="AI14" i="33"/>
  <c r="T7" i="33"/>
  <c r="T16" i="33"/>
  <c r="T64" i="33"/>
  <c r="T27" i="33"/>
  <c r="AI27" i="33"/>
  <c r="R72" i="33"/>
  <c r="R21" i="33"/>
  <c r="AI21" i="33"/>
  <c r="R11" i="33"/>
  <c r="R7" i="33"/>
  <c r="R45" i="33"/>
  <c r="AI45" i="33"/>
  <c r="Q72" i="33"/>
  <c r="Q11" i="33"/>
  <c r="Q7" i="33"/>
  <c r="Q16" i="33"/>
  <c r="AI16" i="33"/>
  <c r="R59" i="33"/>
  <c r="R47" i="33"/>
  <c r="R57" i="33"/>
  <c r="AI57" i="33"/>
  <c r="R55" i="33"/>
  <c r="AI55" i="33"/>
  <c r="R54" i="33"/>
  <c r="AI54" i="33"/>
  <c r="R65" i="33"/>
  <c r="AI65" i="33"/>
  <c r="R53" i="33"/>
  <c r="AI53" i="33"/>
  <c r="R50" i="33"/>
  <c r="AI50" i="33"/>
  <c r="R64" i="33"/>
  <c r="P11" i="33"/>
  <c r="P72" i="33"/>
  <c r="P17" i="33"/>
  <c r="P15" i="33"/>
  <c r="P7" i="33"/>
  <c r="P64" i="33"/>
  <c r="AI64" i="33"/>
  <c r="P63" i="33"/>
  <c r="AI63" i="33"/>
  <c r="P46" i="33"/>
  <c r="AI46" i="33"/>
  <c r="M11" i="33"/>
  <c r="L72" i="33"/>
  <c r="K72" i="33"/>
  <c r="K7" i="33"/>
  <c r="K11" i="33"/>
  <c r="F72" i="33"/>
  <c r="F11" i="33"/>
  <c r="AG72" i="32"/>
  <c r="AF72" i="32"/>
  <c r="AF7" i="32"/>
  <c r="AF11" i="32"/>
  <c r="AC15" i="32"/>
  <c r="AC11" i="32"/>
  <c r="AC7" i="32"/>
  <c r="AC16" i="32"/>
  <c r="AB11" i="32"/>
  <c r="AB7" i="32"/>
  <c r="AB72" i="32"/>
  <c r="AA74" i="32"/>
  <c r="AB17" i="32"/>
  <c r="AB14" i="32"/>
  <c r="Z15" i="32"/>
  <c r="Z11" i="32"/>
  <c r="Z7" i="32"/>
  <c r="M72" i="33"/>
  <c r="M47" i="33"/>
  <c r="M31" i="33"/>
  <c r="AI31" i="33"/>
  <c r="M7" i="33"/>
  <c r="M8" i="33"/>
  <c r="AI8" i="33"/>
  <c r="L7" i="33"/>
  <c r="K71" i="33"/>
  <c r="AI71" i="33"/>
  <c r="J72" i="33"/>
  <c r="AI72" i="33"/>
  <c r="J15" i="33"/>
  <c r="J11" i="33"/>
  <c r="I11" i="33"/>
  <c r="I7" i="33"/>
  <c r="I15" i="33"/>
  <c r="AI15" i="33"/>
  <c r="I59" i="33"/>
  <c r="AI59" i="33"/>
  <c r="F17" i="33"/>
  <c r="AI17" i="33"/>
  <c r="F47" i="33"/>
  <c r="E11" i="33"/>
  <c r="D7" i="33"/>
  <c r="AI7" i="33"/>
  <c r="D11" i="33"/>
  <c r="AI11" i="33"/>
  <c r="D47" i="33"/>
  <c r="AI47" i="33"/>
  <c r="AI82" i="33"/>
  <c r="AI81" i="33"/>
  <c r="AI80" i="33"/>
  <c r="AH74" i="33"/>
  <c r="AG74" i="33"/>
  <c r="AF74" i="33"/>
  <c r="AE74" i="33"/>
  <c r="AD74" i="33"/>
  <c r="AA74" i="33"/>
  <c r="X74" i="33"/>
  <c r="W74" i="33"/>
  <c r="V74" i="33"/>
  <c r="Q74" i="33"/>
  <c r="P74" i="33"/>
  <c r="J74" i="33"/>
  <c r="I74" i="33"/>
  <c r="G74" i="33"/>
  <c r="F74" i="33"/>
  <c r="D74" i="33"/>
  <c r="AC74" i="33"/>
  <c r="Z74" i="33"/>
  <c r="U74" i="33"/>
  <c r="T74" i="33"/>
  <c r="S74" i="33"/>
  <c r="N74" i="33"/>
  <c r="L74" i="33"/>
  <c r="E74" i="33"/>
  <c r="AB74" i="33"/>
  <c r="H74" i="33"/>
  <c r="O74" i="33"/>
  <c r="M74" i="33"/>
  <c r="Y74" i="33"/>
  <c r="D40" i="33"/>
  <c r="AH36" i="33"/>
  <c r="AG36" i="33"/>
  <c r="AF36" i="33"/>
  <c r="AE36" i="33"/>
  <c r="AD36" i="33"/>
  <c r="AC36" i="33"/>
  <c r="AB36" i="33"/>
  <c r="AA36" i="33"/>
  <c r="Z36" i="33"/>
  <c r="Y36" i="33"/>
  <c r="X36" i="33"/>
  <c r="W36" i="33"/>
  <c r="V36" i="33"/>
  <c r="U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T36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S7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R25" i="33"/>
  <c r="AH18" i="33"/>
  <c r="AF18" i="33"/>
  <c r="AE18" i="33"/>
  <c r="AD18" i="33"/>
  <c r="AA18" i="33"/>
  <c r="X18" i="33"/>
  <c r="W18" i="33"/>
  <c r="Q18" i="33"/>
  <c r="P18" i="33"/>
  <c r="J18" i="33"/>
  <c r="I18" i="33"/>
  <c r="G18" i="33"/>
  <c r="F18" i="33"/>
  <c r="D18" i="33"/>
  <c r="Y18" i="33"/>
  <c r="V18" i="33"/>
  <c r="AC18" i="33"/>
  <c r="Z18" i="33"/>
  <c r="U18" i="33"/>
  <c r="T18" i="33"/>
  <c r="S18" i="33"/>
  <c r="R18" i="33"/>
  <c r="O18" i="33"/>
  <c r="N18" i="33"/>
  <c r="M18" i="33"/>
  <c r="L18" i="33"/>
  <c r="H18" i="33"/>
  <c r="E18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G8" i="32"/>
  <c r="AG16" i="32"/>
  <c r="AG17" i="32"/>
  <c r="AG11" i="32"/>
  <c r="AF15" i="32"/>
  <c r="J75" i="33"/>
  <c r="V75" i="33"/>
  <c r="T75" i="33"/>
  <c r="D90" i="33"/>
  <c r="U75" i="33"/>
  <c r="N75" i="33"/>
  <c r="P75" i="33"/>
  <c r="AH75" i="33"/>
  <c r="D91" i="33"/>
  <c r="O75" i="33"/>
  <c r="AF75" i="33"/>
  <c r="AB75" i="33"/>
  <c r="Z75" i="33"/>
  <c r="Q75" i="33"/>
  <c r="G75" i="33"/>
  <c r="X75" i="33"/>
  <c r="W75" i="33"/>
  <c r="AD75" i="33"/>
  <c r="AI36" i="33"/>
  <c r="I75" i="33"/>
  <c r="H75" i="33"/>
  <c r="F75" i="33"/>
  <c r="D75" i="33"/>
  <c r="AH5" i="33"/>
  <c r="D88" i="33"/>
  <c r="L75" i="33"/>
  <c r="AB18" i="33"/>
  <c r="R74" i="33"/>
  <c r="R75" i="33"/>
  <c r="AI25" i="33"/>
  <c r="AA75" i="33"/>
  <c r="AE75" i="33"/>
  <c r="K74" i="33"/>
  <c r="K75" i="33"/>
  <c r="K18" i="33"/>
  <c r="AG18" i="33"/>
  <c r="AI18" i="33"/>
  <c r="E75" i="33"/>
  <c r="M75" i="33"/>
  <c r="Y75" i="33"/>
  <c r="AC75" i="33"/>
  <c r="AG75" i="33"/>
  <c r="AF21" i="32"/>
  <c r="AI74" i="33"/>
  <c r="AI75" i="33"/>
  <c r="AC72" i="32"/>
  <c r="AC74" i="32"/>
  <c r="AB16" i="32"/>
  <c r="AB15" i="32"/>
  <c r="AB13" i="32"/>
  <c r="AB64" i="32"/>
  <c r="AB74" i="32"/>
  <c r="AF64" i="32"/>
  <c r="Z72" i="32"/>
  <c r="Z74" i="32"/>
  <c r="Y11" i="32"/>
  <c r="Y15" i="32"/>
  <c r="Y47" i="32"/>
  <c r="V41" i="32"/>
  <c r="Y41" i="32"/>
  <c r="V11" i="32"/>
  <c r="V8" i="32"/>
  <c r="V71" i="32"/>
  <c r="U72" i="32"/>
  <c r="U7" i="32"/>
  <c r="U11" i="32"/>
  <c r="T7" i="32"/>
  <c r="T47" i="32"/>
  <c r="T72" i="32"/>
  <c r="T11" i="32"/>
  <c r="T51" i="32"/>
  <c r="T27" i="32"/>
  <c r="T59" i="32"/>
  <c r="T64" i="32"/>
  <c r="S72" i="32"/>
  <c r="S11" i="32"/>
  <c r="S7" i="32"/>
  <c r="R11" i="32"/>
  <c r="R72" i="32"/>
  <c r="R54" i="32"/>
  <c r="R59" i="32"/>
  <c r="R15" i="32"/>
  <c r="R7" i="32"/>
  <c r="R21" i="32"/>
  <c r="R47" i="32"/>
  <c r="O11" i="32"/>
  <c r="O7" i="32"/>
  <c r="O8" i="32"/>
  <c r="O72" i="32"/>
  <c r="O47" i="32"/>
  <c r="N72" i="32"/>
  <c r="N11" i="32"/>
  <c r="N7" i="32"/>
  <c r="O67" i="32"/>
  <c r="O59" i="32"/>
  <c r="M72" i="32"/>
  <c r="M15" i="32"/>
  <c r="M11" i="32"/>
  <c r="M7" i="32"/>
  <c r="M28" i="32"/>
  <c r="M47" i="32"/>
  <c r="M59" i="32"/>
  <c r="M46" i="32"/>
  <c r="M31" i="32"/>
  <c r="L72" i="32"/>
  <c r="L7" i="32"/>
  <c r="L11" i="32"/>
  <c r="O64" i="32"/>
  <c r="L15" i="32"/>
  <c r="K72" i="32"/>
  <c r="K17" i="32"/>
  <c r="K15" i="32"/>
  <c r="K11" i="32"/>
  <c r="K7" i="32"/>
  <c r="K51" i="32"/>
  <c r="K67" i="32"/>
  <c r="G74" i="32"/>
  <c r="I74" i="32"/>
  <c r="J74" i="32"/>
  <c r="K74" i="32"/>
  <c r="L74" i="32"/>
  <c r="M74" i="32"/>
  <c r="N74" i="32"/>
  <c r="P74" i="32"/>
  <c r="Q74" i="32"/>
  <c r="F40" i="32"/>
  <c r="G40" i="32"/>
  <c r="H40" i="32"/>
  <c r="I40" i="32"/>
  <c r="J40" i="32"/>
  <c r="K40" i="32"/>
  <c r="L40" i="32"/>
  <c r="M40" i="32"/>
  <c r="E25" i="32"/>
  <c r="G25" i="32"/>
  <c r="I25" i="32"/>
  <c r="J25" i="32"/>
  <c r="K25" i="32"/>
  <c r="L25" i="32"/>
  <c r="M25" i="32"/>
  <c r="H72" i="32"/>
  <c r="H16" i="32"/>
  <c r="H11" i="32"/>
  <c r="H7" i="32"/>
  <c r="H68" i="32"/>
  <c r="H64" i="32"/>
  <c r="H19" i="32"/>
  <c r="H25" i="32"/>
  <c r="F12" i="32"/>
  <c r="F72" i="32"/>
  <c r="F11" i="32"/>
  <c r="F7" i="32"/>
  <c r="F21" i="32"/>
  <c r="F25" i="32"/>
  <c r="F16" i="32"/>
  <c r="E72" i="32"/>
  <c r="E11" i="32"/>
  <c r="E7" i="32"/>
  <c r="D72" i="32"/>
  <c r="D15" i="32"/>
  <c r="D11" i="32"/>
  <c r="D7" i="32"/>
  <c r="D47" i="32"/>
  <c r="D54" i="32"/>
  <c r="AF72" i="31"/>
  <c r="AF15" i="31"/>
  <c r="AF11" i="31"/>
  <c r="AF7" i="31"/>
  <c r="AF47" i="31"/>
  <c r="AF21" i="31"/>
  <c r="G93" i="31"/>
  <c r="R50" i="32"/>
  <c r="R64" i="32"/>
  <c r="R67" i="32"/>
  <c r="O65" i="32"/>
  <c r="O74" i="32"/>
  <c r="R74" i="32"/>
  <c r="AI12" i="32"/>
  <c r="AI13" i="32"/>
  <c r="AI14" i="32"/>
  <c r="AI15" i="32"/>
  <c r="AI16" i="32"/>
  <c r="AI17" i="32"/>
  <c r="F64" i="32"/>
  <c r="F74" i="32"/>
  <c r="H70" i="32"/>
  <c r="H74" i="32"/>
  <c r="AF80" i="31"/>
  <c r="AI82" i="32"/>
  <c r="AI81" i="32"/>
  <c r="AI80" i="32"/>
  <c r="AH74" i="32"/>
  <c r="AG74" i="32"/>
  <c r="AG25" i="32"/>
  <c r="AG36" i="32"/>
  <c r="AG40" i="32"/>
  <c r="AG75" i="32"/>
  <c r="D91" i="32"/>
  <c r="AE74" i="32"/>
  <c r="X74" i="32"/>
  <c r="V74" i="32"/>
  <c r="T74" i="32"/>
  <c r="S74" i="32"/>
  <c r="E74" i="32"/>
  <c r="D74" i="32"/>
  <c r="AI73" i="32"/>
  <c r="AI72" i="32"/>
  <c r="AI71" i="32"/>
  <c r="AI70" i="32"/>
  <c r="AI69" i="32"/>
  <c r="AI68" i="32"/>
  <c r="AI67" i="32"/>
  <c r="AI66" i="32"/>
  <c r="AI65" i="32"/>
  <c r="AD74" i="32"/>
  <c r="AI63" i="32"/>
  <c r="AI62" i="32"/>
  <c r="AI61" i="32"/>
  <c r="AI60" i="32"/>
  <c r="AI59" i="32"/>
  <c r="AI58" i="32"/>
  <c r="AI57" i="32"/>
  <c r="AI56" i="32"/>
  <c r="AI55" i="32"/>
  <c r="AI54" i="32"/>
  <c r="AI53" i="32"/>
  <c r="AI52" i="32"/>
  <c r="AI51" i="32"/>
  <c r="AI50" i="32"/>
  <c r="AI49" i="32"/>
  <c r="AI48" i="32"/>
  <c r="AF74" i="32"/>
  <c r="W74" i="32"/>
  <c r="AI45" i="32"/>
  <c r="AI44" i="32"/>
  <c r="AI43" i="32"/>
  <c r="AI42" i="32"/>
  <c r="AI41" i="32"/>
  <c r="AH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E40" i="32"/>
  <c r="D40" i="32"/>
  <c r="AI39" i="32"/>
  <c r="AI37" i="32"/>
  <c r="AH36" i="32"/>
  <c r="AF36" i="32"/>
  <c r="AE36" i="32"/>
  <c r="AD36" i="32"/>
  <c r="AC36" i="32"/>
  <c r="AB36" i="32"/>
  <c r="AA36" i="32"/>
  <c r="Z36" i="32"/>
  <c r="Y36" i="32"/>
  <c r="X36" i="32"/>
  <c r="W36" i="32"/>
  <c r="V36" i="32"/>
  <c r="T36" i="32"/>
  <c r="S36" i="32"/>
  <c r="R36" i="32"/>
  <c r="Q36" i="32"/>
  <c r="P36" i="32"/>
  <c r="O36" i="32"/>
  <c r="N36" i="32"/>
  <c r="M36" i="32"/>
  <c r="M75" i="32"/>
  <c r="L36" i="32"/>
  <c r="L75" i="32"/>
  <c r="K36" i="32"/>
  <c r="K75" i="32"/>
  <c r="J36" i="32"/>
  <c r="J75" i="32"/>
  <c r="I36" i="32"/>
  <c r="I75" i="32"/>
  <c r="H36" i="32"/>
  <c r="G36" i="32"/>
  <c r="F36" i="32"/>
  <c r="F75" i="32"/>
  <c r="E36" i="32"/>
  <c r="D36" i="32"/>
  <c r="AI35" i="32"/>
  <c r="AI34" i="32"/>
  <c r="AI33" i="32"/>
  <c r="AI32" i="32"/>
  <c r="AI31" i="32"/>
  <c r="AI30" i="32"/>
  <c r="AI29" i="32"/>
  <c r="AI28" i="32"/>
  <c r="U36" i="32"/>
  <c r="AI26" i="32"/>
  <c r="AH25" i="32"/>
  <c r="AF25" i="32"/>
  <c r="AE25" i="32"/>
  <c r="AD25" i="32"/>
  <c r="AD75" i="32"/>
  <c r="AC25" i="32"/>
  <c r="AC75" i="32"/>
  <c r="AB25" i="32"/>
  <c r="AB75" i="32"/>
  <c r="AA25" i="32"/>
  <c r="Z25" i="32"/>
  <c r="Z75" i="32"/>
  <c r="Y25" i="32"/>
  <c r="X25" i="32"/>
  <c r="X75" i="32"/>
  <c r="W25" i="32"/>
  <c r="V25" i="32"/>
  <c r="T25" i="32"/>
  <c r="S25" i="32"/>
  <c r="R25" i="32"/>
  <c r="R75" i="32"/>
  <c r="Q25" i="32"/>
  <c r="Q75" i="32"/>
  <c r="P25" i="32"/>
  <c r="O25" i="32"/>
  <c r="N25" i="32"/>
  <c r="D25" i="32"/>
  <c r="AI24" i="32"/>
  <c r="AI23" i="32"/>
  <c r="AI22" i="32"/>
  <c r="AI21" i="32"/>
  <c r="U25" i="32"/>
  <c r="AI20" i="32"/>
  <c r="AI19" i="32"/>
  <c r="AH18" i="32"/>
  <c r="AG18" i="32"/>
  <c r="D90" i="32"/>
  <c r="AD18" i="32"/>
  <c r="AC18" i="32"/>
  <c r="AA18" i="32"/>
  <c r="Z18" i="32"/>
  <c r="V18" i="32"/>
  <c r="U18" i="32"/>
  <c r="T18" i="32"/>
  <c r="S18" i="32"/>
  <c r="M18" i="32"/>
  <c r="L18" i="32"/>
  <c r="K18" i="32"/>
  <c r="F18" i="32"/>
  <c r="E18" i="32"/>
  <c r="D18" i="32"/>
  <c r="Y18" i="32"/>
  <c r="R18" i="32"/>
  <c r="N18" i="32"/>
  <c r="AF18" i="32"/>
  <c r="Q18" i="32"/>
  <c r="J18" i="32"/>
  <c r="AI11" i="32"/>
  <c r="AI10" i="32"/>
  <c r="AI9" i="32"/>
  <c r="AI8" i="32"/>
  <c r="AE18" i="32"/>
  <c r="X18" i="32"/>
  <c r="P18" i="32"/>
  <c r="O18" i="32"/>
  <c r="H18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O75" i="32"/>
  <c r="P75" i="32"/>
  <c r="AH75" i="32"/>
  <c r="AF75" i="32"/>
  <c r="W75" i="32"/>
  <c r="AA75" i="32"/>
  <c r="AE75" i="32"/>
  <c r="N75" i="32"/>
  <c r="S75" i="32"/>
  <c r="T75" i="32"/>
  <c r="V75" i="32"/>
  <c r="AI25" i="32"/>
  <c r="E75" i="32"/>
  <c r="AI47" i="32"/>
  <c r="AE5" i="32"/>
  <c r="AF5" i="32"/>
  <c r="AG5" i="32"/>
  <c r="I18" i="32"/>
  <c r="G75" i="32"/>
  <c r="G18" i="32"/>
  <c r="AI7" i="32"/>
  <c r="AI46" i="32"/>
  <c r="Y74" i="32"/>
  <c r="Y75" i="32"/>
  <c r="AI64" i="32"/>
  <c r="AB18" i="32"/>
  <c r="W18" i="32"/>
  <c r="D75" i="32"/>
  <c r="H75" i="32"/>
  <c r="U74" i="32"/>
  <c r="U75" i="32"/>
  <c r="AI27" i="32"/>
  <c r="AI36" i="32"/>
  <c r="AI38" i="32"/>
  <c r="AI40" i="32"/>
  <c r="AE7" i="31"/>
  <c r="AE8" i="31"/>
  <c r="AE72" i="31"/>
  <c r="AE11" i="31"/>
  <c r="AH5" i="32"/>
  <c r="D88" i="32"/>
  <c r="AI74" i="32"/>
  <c r="AI75" i="32"/>
  <c r="AI18" i="32"/>
  <c r="AD72" i="31"/>
  <c r="AD11" i="31"/>
  <c r="AI81" i="31"/>
  <c r="AI82" i="31"/>
  <c r="AF63" i="31"/>
  <c r="AF55" i="31"/>
  <c r="AD47" i="31"/>
  <c r="AD64" i="31"/>
  <c r="AD15" i="31"/>
  <c r="AC72" i="31"/>
  <c r="AC11" i="31"/>
  <c r="AC7" i="31"/>
  <c r="AC15" i="31"/>
  <c r="AB12" i="31"/>
  <c r="AB31" i="31"/>
  <c r="AB72" i="31"/>
  <c r="AB11" i="31"/>
  <c r="AB7" i="31"/>
  <c r="AB63" i="31"/>
  <c r="AB59" i="31"/>
  <c r="AB46" i="31"/>
  <c r="AB47" i="31"/>
  <c r="AB48" i="31"/>
  <c r="Y15" i="31"/>
  <c r="Y11" i="31"/>
  <c r="Y7" i="31"/>
  <c r="Y51" i="31"/>
  <c r="Y72" i="31"/>
  <c r="Y80" i="31"/>
  <c r="AI80" i="31"/>
  <c r="Y47" i="31"/>
  <c r="Y59" i="31"/>
  <c r="X7" i="31"/>
  <c r="X11" i="31"/>
  <c r="W8" i="31"/>
  <c r="W11" i="31"/>
  <c r="W10" i="31"/>
  <c r="W72" i="31"/>
  <c r="W41" i="31"/>
  <c r="W15" i="31"/>
  <c r="V72" i="31"/>
  <c r="V15" i="31"/>
  <c r="V11" i="31"/>
  <c r="V7" i="31"/>
  <c r="W46" i="31"/>
  <c r="K72" i="31"/>
  <c r="U21" i="31"/>
  <c r="U72" i="31"/>
  <c r="U15" i="31"/>
  <c r="U11" i="31"/>
  <c r="U7" i="31"/>
  <c r="U47" i="31"/>
  <c r="U67" i="31"/>
  <c r="U27" i="31"/>
  <c r="R69" i="31"/>
  <c r="R15" i="31"/>
  <c r="R11" i="31"/>
  <c r="R7" i="31"/>
  <c r="Q72" i="31"/>
  <c r="Q15" i="31"/>
  <c r="Q11" i="31"/>
  <c r="P72" i="31"/>
  <c r="P15" i="31"/>
  <c r="P7" i="31"/>
  <c r="P11" i="31"/>
  <c r="R47" i="31"/>
  <c r="O15" i="31"/>
  <c r="O7" i="31"/>
  <c r="O11" i="31"/>
  <c r="N15" i="31"/>
  <c r="N7" i="31"/>
  <c r="N8" i="31"/>
  <c r="K47" i="31"/>
  <c r="N11" i="31"/>
  <c r="N59" i="31"/>
  <c r="N46" i="31"/>
  <c r="K24" i="31"/>
  <c r="J72" i="31"/>
  <c r="J11" i="31"/>
  <c r="I47" i="31"/>
  <c r="I15" i="31"/>
  <c r="I7" i="31"/>
  <c r="I11" i="31"/>
  <c r="I38" i="31"/>
  <c r="I59" i="31"/>
  <c r="H72" i="31"/>
  <c r="H7" i="31"/>
  <c r="H11" i="31"/>
  <c r="G72" i="31"/>
  <c r="G15" i="31"/>
  <c r="G11" i="31"/>
  <c r="G7" i="31"/>
  <c r="G21" i="31"/>
  <c r="G64" i="31"/>
  <c r="G47" i="31"/>
  <c r="AB50" i="31"/>
  <c r="U65" i="31"/>
  <c r="K54" i="31"/>
  <c r="G63" i="31"/>
  <c r="G69" i="31"/>
  <c r="G59" i="31"/>
  <c r="I48" i="31"/>
  <c r="G41" i="31"/>
  <c r="AG72" i="30"/>
  <c r="AG11" i="30"/>
  <c r="AG8" i="30"/>
  <c r="AG7" i="30"/>
  <c r="AF7" i="30"/>
  <c r="AF47" i="30"/>
  <c r="AF72" i="30"/>
  <c r="AF69" i="30"/>
  <c r="AF51" i="30"/>
  <c r="AF64" i="30"/>
  <c r="AF11" i="30"/>
  <c r="AE12" i="30"/>
  <c r="AE72" i="30"/>
  <c r="AE15" i="30"/>
  <c r="AE7" i="30"/>
  <c r="AE11" i="30"/>
  <c r="AH74" i="31"/>
  <c r="AG74" i="31"/>
  <c r="AC74" i="31"/>
  <c r="AB74" i="31"/>
  <c r="AA74" i="31"/>
  <c r="Y74" i="31"/>
  <c r="X74" i="31"/>
  <c r="V74" i="31"/>
  <c r="U74" i="31"/>
  <c r="T74" i="31"/>
  <c r="Q74" i="31"/>
  <c r="O74" i="31"/>
  <c r="N74" i="31"/>
  <c r="I74" i="31"/>
  <c r="H74" i="31"/>
  <c r="G74" i="31"/>
  <c r="F74" i="31"/>
  <c r="E74" i="31"/>
  <c r="AI73" i="31"/>
  <c r="Z74" i="31"/>
  <c r="S74" i="31"/>
  <c r="L74" i="31"/>
  <c r="J74" i="31"/>
  <c r="AI72" i="31"/>
  <c r="AI71" i="31"/>
  <c r="AI70" i="31"/>
  <c r="AI69" i="31"/>
  <c r="AI68" i="31"/>
  <c r="AI67" i="31"/>
  <c r="AI66" i="31"/>
  <c r="AI65" i="31"/>
  <c r="AI64" i="31"/>
  <c r="AI63" i="31"/>
  <c r="AI62" i="31"/>
  <c r="AI61" i="31"/>
  <c r="AI60" i="31"/>
  <c r="M74" i="31"/>
  <c r="AI59" i="31"/>
  <c r="AI58" i="31"/>
  <c r="AI57" i="31"/>
  <c r="AI56" i="31"/>
  <c r="AI55" i="31"/>
  <c r="AI53" i="31"/>
  <c r="AI52" i="31"/>
  <c r="AI51" i="31"/>
  <c r="AI49" i="31"/>
  <c r="AI48" i="31"/>
  <c r="AF74" i="31"/>
  <c r="R74" i="31"/>
  <c r="P74" i="31"/>
  <c r="K74" i="31"/>
  <c r="D74" i="31"/>
  <c r="AI46" i="31"/>
  <c r="AI45" i="31"/>
  <c r="AI44" i="31"/>
  <c r="AI43" i="31"/>
  <c r="AI42" i="31"/>
  <c r="AE74" i="31"/>
  <c r="AD74" i="31"/>
  <c r="W74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AI39" i="31"/>
  <c r="AI38" i="31"/>
  <c r="AI37" i="31"/>
  <c r="AH36" i="31"/>
  <c r="AG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AI35" i="31"/>
  <c r="AI34" i="31"/>
  <c r="AF36" i="31"/>
  <c r="AI33" i="31"/>
  <c r="AI32" i="31"/>
  <c r="AI31" i="31"/>
  <c r="AI30" i="31"/>
  <c r="AI29" i="31"/>
  <c r="AI28" i="31"/>
  <c r="AI27" i="31"/>
  <c r="AI26" i="31"/>
  <c r="AH25" i="31"/>
  <c r="AG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Q25" i="31"/>
  <c r="P25" i="31"/>
  <c r="O25" i="31"/>
  <c r="N25" i="31"/>
  <c r="M25" i="31"/>
  <c r="L25" i="31"/>
  <c r="K25" i="31"/>
  <c r="J25" i="31"/>
  <c r="H25" i="31"/>
  <c r="G25" i="31"/>
  <c r="F25" i="31"/>
  <c r="F75" i="31"/>
  <c r="E25" i="31"/>
  <c r="D25" i="31"/>
  <c r="AI24" i="31"/>
  <c r="AI23" i="31"/>
  <c r="AI22" i="31"/>
  <c r="AF25" i="31"/>
  <c r="R25" i="31"/>
  <c r="AI20" i="31"/>
  <c r="AI19" i="31"/>
  <c r="I25" i="31"/>
  <c r="AH18" i="31"/>
  <c r="AG18" i="31"/>
  <c r="AF18" i="31"/>
  <c r="G90" i="31"/>
  <c r="AD18" i="31"/>
  <c r="AC18" i="31"/>
  <c r="AB18" i="31"/>
  <c r="Y18" i="31"/>
  <c r="X18" i="31"/>
  <c r="V18" i="31"/>
  <c r="U18" i="31"/>
  <c r="Q18" i="31"/>
  <c r="O18" i="31"/>
  <c r="N18" i="31"/>
  <c r="M18" i="31"/>
  <c r="H18" i="31"/>
  <c r="G18" i="31"/>
  <c r="F18" i="31"/>
  <c r="AI16" i="31"/>
  <c r="R18" i="31"/>
  <c r="AI14" i="31"/>
  <c r="Z18" i="31"/>
  <c r="AI12" i="31"/>
  <c r="AA18" i="31"/>
  <c r="J18" i="31"/>
  <c r="I18" i="31"/>
  <c r="AI11" i="31"/>
  <c r="AI10" i="31"/>
  <c r="AI9" i="31"/>
  <c r="AI8" i="31"/>
  <c r="S18" i="31"/>
  <c r="L18" i="31"/>
  <c r="AI7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X75" i="31"/>
  <c r="W75" i="31"/>
  <c r="D75" i="31"/>
  <c r="V75" i="31"/>
  <c r="I75" i="31"/>
  <c r="G75" i="31"/>
  <c r="AH75" i="31"/>
  <c r="E75" i="31"/>
  <c r="H75" i="31"/>
  <c r="N75" i="31"/>
  <c r="AA75" i="31"/>
  <c r="AI40" i="31"/>
  <c r="K75" i="31"/>
  <c r="O75" i="31"/>
  <c r="L75" i="31"/>
  <c r="P75" i="31"/>
  <c r="AI36" i="31"/>
  <c r="T75" i="31"/>
  <c r="AB75" i="31"/>
  <c r="AG75" i="31"/>
  <c r="M75" i="31"/>
  <c r="Q75" i="31"/>
  <c r="U75" i="31"/>
  <c r="Y75" i="31"/>
  <c r="AC75" i="31"/>
  <c r="AF5" i="31"/>
  <c r="AF75" i="31"/>
  <c r="G91" i="31"/>
  <c r="AI47" i="31"/>
  <c r="P18" i="31"/>
  <c r="T18" i="31"/>
  <c r="AI13" i="31"/>
  <c r="AI17" i="31"/>
  <c r="AI21" i="31"/>
  <c r="AI25" i="31"/>
  <c r="Z75" i="31"/>
  <c r="AD75" i="31"/>
  <c r="D18" i="31"/>
  <c r="K18" i="31"/>
  <c r="W18" i="31"/>
  <c r="AE18" i="31"/>
  <c r="E18" i="31"/>
  <c r="J75" i="31"/>
  <c r="S75" i="31"/>
  <c r="AE75" i="31"/>
  <c r="AI54" i="31"/>
  <c r="AI15" i="31"/>
  <c r="R75" i="31"/>
  <c r="AI50" i="31"/>
  <c r="AI41" i="31"/>
  <c r="AG5" i="31"/>
  <c r="AH5" i="31"/>
  <c r="G88" i="31"/>
  <c r="AI18" i="31"/>
  <c r="AI74" i="31"/>
  <c r="AI75" i="31"/>
  <c r="AD12" i="30"/>
  <c r="AD41" i="30"/>
  <c r="AD72" i="30"/>
  <c r="AD15" i="30"/>
  <c r="AD7" i="30"/>
  <c r="AD69" i="30"/>
  <c r="AD11" i="30"/>
  <c r="AA17" i="30"/>
  <c r="AA11" i="30"/>
  <c r="AE41" i="30"/>
  <c r="Z72" i="30"/>
  <c r="Z17" i="30"/>
  <c r="Z13" i="30"/>
  <c r="Z7" i="30"/>
  <c r="Z16" i="30"/>
  <c r="Z11" i="30"/>
  <c r="Y12" i="30"/>
  <c r="Y72" i="30"/>
  <c r="Y17" i="30"/>
  <c r="Y11" i="30"/>
  <c r="Y7" i="30"/>
  <c r="Y33" i="30"/>
  <c r="Y32" i="30"/>
  <c r="Y16" i="30"/>
  <c r="W72" i="30"/>
  <c r="W17" i="30"/>
  <c r="W15" i="30"/>
  <c r="W11" i="30"/>
  <c r="W7" i="30"/>
  <c r="W8" i="30"/>
  <c r="W16" i="30"/>
  <c r="W41" i="30"/>
  <c r="T27" i="30"/>
  <c r="T72" i="30"/>
  <c r="T11" i="30"/>
  <c r="T7" i="30"/>
  <c r="T47" i="30"/>
  <c r="T64" i="30"/>
  <c r="S72" i="30"/>
  <c r="S17" i="30"/>
  <c r="S11" i="30"/>
  <c r="S7" i="30"/>
  <c r="R72" i="30"/>
  <c r="R17" i="30"/>
  <c r="R7" i="30"/>
  <c r="R11" i="30"/>
  <c r="R16" i="30"/>
  <c r="Q11" i="30"/>
  <c r="Q7" i="30"/>
  <c r="R47" i="30"/>
  <c r="R59" i="30"/>
  <c r="R67" i="30"/>
  <c r="R21" i="30"/>
  <c r="R50" i="30"/>
  <c r="R53" i="30"/>
  <c r="R51" i="30"/>
  <c r="R69" i="30"/>
  <c r="AF35" i="30"/>
  <c r="AF34" i="30"/>
  <c r="AD47" i="30"/>
  <c r="AD65" i="30"/>
  <c r="AD50" i="30"/>
  <c r="F74" i="30"/>
  <c r="G74" i="30"/>
  <c r="H74" i="30"/>
  <c r="N74" i="30"/>
  <c r="N25" i="30"/>
  <c r="N36" i="30"/>
  <c r="N40" i="30"/>
  <c r="N75" i="30"/>
  <c r="O74" i="30"/>
  <c r="Q74" i="30"/>
  <c r="E25" i="30"/>
  <c r="F25" i="30"/>
  <c r="G25" i="30"/>
  <c r="H25" i="30"/>
  <c r="J25" i="30"/>
  <c r="K25" i="30"/>
  <c r="L25" i="30"/>
  <c r="M25" i="30"/>
  <c r="O25" i="30"/>
  <c r="E36" i="30"/>
  <c r="F36" i="30"/>
  <c r="G36" i="30"/>
  <c r="H36" i="30"/>
  <c r="I36" i="30"/>
  <c r="J36" i="30"/>
  <c r="K36" i="30"/>
  <c r="L36" i="30"/>
  <c r="M36" i="30"/>
  <c r="O36" i="30"/>
  <c r="P36" i="30"/>
  <c r="E40" i="30"/>
  <c r="F40" i="30"/>
  <c r="G40" i="30"/>
  <c r="H40" i="30"/>
  <c r="I40" i="30"/>
  <c r="J40" i="30"/>
  <c r="K40" i="30"/>
  <c r="L40" i="30"/>
  <c r="M40" i="30"/>
  <c r="O40" i="30"/>
  <c r="P40" i="30"/>
  <c r="P12" i="30"/>
  <c r="P11" i="30"/>
  <c r="P72" i="30"/>
  <c r="H75" i="30"/>
  <c r="F75" i="30"/>
  <c r="O75" i="30"/>
  <c r="G75" i="30"/>
  <c r="P17" i="30"/>
  <c r="P15" i="30"/>
  <c r="P7" i="30"/>
  <c r="P47" i="30"/>
  <c r="P59" i="30"/>
  <c r="P24" i="30"/>
  <c r="P25" i="30"/>
  <c r="P74" i="30"/>
  <c r="P75" i="30"/>
  <c r="M59" i="30"/>
  <c r="M72" i="30"/>
  <c r="M15" i="30"/>
  <c r="M17" i="30"/>
  <c r="M7" i="30"/>
  <c r="M11" i="30"/>
  <c r="M64" i="30"/>
  <c r="M46" i="30"/>
  <c r="M69" i="30"/>
  <c r="M74" i="30"/>
  <c r="M75" i="30"/>
  <c r="L72" i="30"/>
  <c r="L74" i="30"/>
  <c r="L75" i="30"/>
  <c r="L15" i="30"/>
  <c r="L7" i="30"/>
  <c r="L11" i="30"/>
  <c r="K47" i="30"/>
  <c r="K11" i="30"/>
  <c r="K7" i="30"/>
  <c r="K16" i="30"/>
  <c r="K69" i="30"/>
  <c r="K55" i="30"/>
  <c r="K54" i="30"/>
  <c r="K65" i="30"/>
  <c r="K74" i="30"/>
  <c r="K75" i="30"/>
  <c r="J72" i="30"/>
  <c r="J74" i="30"/>
  <c r="J75" i="30"/>
  <c r="J17" i="30"/>
  <c r="J15" i="30"/>
  <c r="J7" i="30"/>
  <c r="J11" i="30"/>
  <c r="I12" i="30"/>
  <c r="I69" i="30"/>
  <c r="I72" i="30"/>
  <c r="I15" i="30"/>
  <c r="I11" i="30"/>
  <c r="I7" i="30"/>
  <c r="I47" i="30"/>
  <c r="I64" i="30"/>
  <c r="I70" i="30"/>
  <c r="I67" i="30"/>
  <c r="I20" i="30"/>
  <c r="E72" i="30"/>
  <c r="E74" i="30"/>
  <c r="E15" i="30"/>
  <c r="E7" i="30"/>
  <c r="E11" i="30"/>
  <c r="I19" i="30"/>
  <c r="I59" i="30"/>
  <c r="I74" i="30"/>
  <c r="I24" i="30"/>
  <c r="I23" i="30"/>
  <c r="I22" i="30"/>
  <c r="I25" i="30"/>
  <c r="I75" i="30"/>
  <c r="D12" i="30"/>
  <c r="D72" i="30"/>
  <c r="D11" i="30"/>
  <c r="D7" i="30"/>
  <c r="D47" i="30"/>
  <c r="AG12" i="29"/>
  <c r="AG8" i="29"/>
  <c r="AG15" i="29"/>
  <c r="AG11" i="29"/>
  <c r="AI82" i="30"/>
  <c r="AI81" i="30"/>
  <c r="AI80" i="30"/>
  <c r="AH74" i="30"/>
  <c r="AG74" i="30"/>
  <c r="AE74" i="30"/>
  <c r="AD74" i="30"/>
  <c r="AC74" i="30"/>
  <c r="AB74" i="30"/>
  <c r="X74" i="30"/>
  <c r="W74" i="30"/>
  <c r="U74" i="30"/>
  <c r="T74" i="30"/>
  <c r="S74" i="30"/>
  <c r="D74" i="30"/>
  <c r="AI73" i="30"/>
  <c r="Z74" i="30"/>
  <c r="AI71" i="30"/>
  <c r="AI70" i="30"/>
  <c r="AI68" i="30"/>
  <c r="AI67" i="30"/>
  <c r="AI66" i="30"/>
  <c r="Y74" i="30"/>
  <c r="AI63" i="30"/>
  <c r="AI62" i="30"/>
  <c r="AI61" i="30"/>
  <c r="AI60" i="30"/>
  <c r="AI59" i="30"/>
  <c r="AI58" i="30"/>
  <c r="AI57" i="30"/>
  <c r="AI56" i="30"/>
  <c r="AI55" i="30"/>
  <c r="AI54" i="30"/>
  <c r="AI53" i="30"/>
  <c r="AI52" i="30"/>
  <c r="AI51" i="30"/>
  <c r="AI50" i="30"/>
  <c r="AI49" i="30"/>
  <c r="AI48" i="30"/>
  <c r="AA74" i="30"/>
  <c r="AI47" i="30"/>
  <c r="AI46" i="30"/>
  <c r="AI44" i="30"/>
  <c r="AI43" i="30"/>
  <c r="AF74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D40" i="30"/>
  <c r="AI39" i="30"/>
  <c r="AI38" i="30"/>
  <c r="AI37" i="30"/>
  <c r="AH36" i="30"/>
  <c r="AG36" i="30"/>
  <c r="AF36" i="30"/>
  <c r="AE36" i="30"/>
  <c r="AD36" i="30"/>
  <c r="AC36" i="30"/>
  <c r="AB36" i="30"/>
  <c r="Z36" i="30"/>
  <c r="Y36" i="30"/>
  <c r="X36" i="30"/>
  <c r="W36" i="30"/>
  <c r="V36" i="30"/>
  <c r="U36" i="30"/>
  <c r="T36" i="30"/>
  <c r="S36" i="30"/>
  <c r="R36" i="30"/>
  <c r="Q36" i="30"/>
  <c r="D36" i="30"/>
  <c r="AI35" i="30"/>
  <c r="AI34" i="30"/>
  <c r="AI33" i="30"/>
  <c r="AI32" i="30"/>
  <c r="AA36" i="30"/>
  <c r="AI31" i="30"/>
  <c r="AI30" i="30"/>
  <c r="AI29" i="30"/>
  <c r="AI28" i="30"/>
  <c r="AI27" i="30"/>
  <c r="AI26" i="30"/>
  <c r="AH25" i="30"/>
  <c r="AG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D25" i="30"/>
  <c r="AI24" i="30"/>
  <c r="AI23" i="30"/>
  <c r="AI22" i="30"/>
  <c r="AI21" i="30"/>
  <c r="AI20" i="30"/>
  <c r="AI19" i="30"/>
  <c r="AH18" i="30"/>
  <c r="AG18" i="30"/>
  <c r="D90" i="30"/>
  <c r="AE18" i="30"/>
  <c r="AD18" i="30"/>
  <c r="X18" i="30"/>
  <c r="W18" i="30"/>
  <c r="V18" i="30"/>
  <c r="U18" i="30"/>
  <c r="R18" i="30"/>
  <c r="Q18" i="30"/>
  <c r="P18" i="30"/>
  <c r="J18" i="30"/>
  <c r="I18" i="30"/>
  <c r="E18" i="30"/>
  <c r="AI16" i="30"/>
  <c r="Z18" i="30"/>
  <c r="AI15" i="30"/>
  <c r="AI14" i="30"/>
  <c r="AI13" i="30"/>
  <c r="AC18" i="30"/>
  <c r="AB18" i="30"/>
  <c r="AA18" i="30"/>
  <c r="T18" i="30"/>
  <c r="S18" i="30"/>
  <c r="M18" i="30"/>
  <c r="L18" i="30"/>
  <c r="H18" i="30"/>
  <c r="AI10" i="30"/>
  <c r="AI9" i="30"/>
  <c r="AF18" i="30"/>
  <c r="Y18" i="30"/>
  <c r="N18" i="30"/>
  <c r="K18" i="30"/>
  <c r="F18" i="30"/>
  <c r="AI7" i="30"/>
  <c r="D18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75" i="30"/>
  <c r="AB75" i="30"/>
  <c r="AD75" i="30"/>
  <c r="S75" i="30"/>
  <c r="W75" i="30"/>
  <c r="AE75" i="30"/>
  <c r="AI40" i="30"/>
  <c r="Z75" i="30"/>
  <c r="AI36" i="30"/>
  <c r="T75" i="30"/>
  <c r="X75" i="30"/>
  <c r="AG75" i="30"/>
  <c r="D91" i="30"/>
  <c r="Y75" i="30"/>
  <c r="D75" i="30"/>
  <c r="AI25" i="30"/>
  <c r="Q75" i="30"/>
  <c r="E75" i="30"/>
  <c r="U75" i="30"/>
  <c r="AC75" i="30"/>
  <c r="O18" i="30"/>
  <c r="AI8" i="30"/>
  <c r="AI12" i="30"/>
  <c r="AI45" i="30"/>
  <c r="R74" i="30"/>
  <c r="R75" i="30"/>
  <c r="AI69" i="30"/>
  <c r="G18" i="30"/>
  <c r="AI17" i="30"/>
  <c r="AA75" i="30"/>
  <c r="AI42" i="30"/>
  <c r="AI65" i="30"/>
  <c r="AI72" i="30"/>
  <c r="AF25" i="30"/>
  <c r="AF75" i="30"/>
  <c r="V74" i="30"/>
  <c r="V75" i="30"/>
  <c r="AI41" i="30"/>
  <c r="AI11" i="30"/>
  <c r="AI64" i="30"/>
  <c r="AF12" i="29"/>
  <c r="AF72" i="29"/>
  <c r="AF15" i="29"/>
  <c r="AF11" i="29"/>
  <c r="AF7" i="29"/>
  <c r="AH5" i="30"/>
  <c r="D88" i="30"/>
  <c r="AI18" i="30"/>
  <c r="AI74" i="30"/>
  <c r="AI75" i="30"/>
  <c r="AC7" i="29"/>
  <c r="AC11" i="29"/>
  <c r="AF21" i="29"/>
  <c r="AF65" i="29"/>
  <c r="AC12" i="29"/>
  <c r="AC47" i="29"/>
  <c r="AC72" i="29"/>
  <c r="AC15" i="29"/>
  <c r="AF42" i="29"/>
  <c r="AF47" i="29"/>
  <c r="AC46" i="29"/>
  <c r="AF59" i="29"/>
  <c r="AC18" i="29"/>
  <c r="AD18" i="29"/>
  <c r="AE18" i="29"/>
  <c r="AF18" i="29"/>
  <c r="D90" i="29"/>
  <c r="AG18" i="29"/>
  <c r="AB12" i="29"/>
  <c r="AB11" i="29"/>
  <c r="AB74" i="29"/>
  <c r="AA47" i="29"/>
  <c r="AA72" i="29"/>
  <c r="AA32" i="29"/>
  <c r="Z72" i="29"/>
  <c r="AA15" i="29"/>
  <c r="AA11" i="29"/>
  <c r="Z15" i="29"/>
  <c r="Z11" i="29"/>
  <c r="Z14" i="29"/>
  <c r="Y72" i="29"/>
  <c r="Y47" i="29"/>
  <c r="Y15" i="29"/>
  <c r="Y11" i="29"/>
  <c r="Y7" i="29"/>
  <c r="Y65" i="29"/>
  <c r="Y13" i="29"/>
  <c r="V41" i="29"/>
  <c r="V72" i="29"/>
  <c r="V7" i="29"/>
  <c r="V11" i="29"/>
  <c r="U72" i="29"/>
  <c r="U15" i="29"/>
  <c r="U7" i="29"/>
  <c r="U11" i="29"/>
  <c r="T47" i="29"/>
  <c r="T7" i="29"/>
  <c r="T27" i="29"/>
  <c r="T45" i="29"/>
  <c r="T11" i="29"/>
  <c r="S72" i="29"/>
  <c r="S17" i="29"/>
  <c r="S11" i="29"/>
  <c r="AF63" i="29"/>
  <c r="AF55" i="29"/>
  <c r="AF54" i="29"/>
  <c r="R17" i="29"/>
  <c r="R15" i="29"/>
  <c r="R11" i="29"/>
  <c r="R7" i="29"/>
  <c r="R69" i="29"/>
  <c r="O72" i="29"/>
  <c r="O8" i="29"/>
  <c r="O51" i="29"/>
  <c r="O11" i="29"/>
  <c r="O16" i="29"/>
  <c r="O21" i="29"/>
  <c r="O24" i="29"/>
  <c r="O45" i="29"/>
  <c r="N12" i="29"/>
  <c r="N38" i="29"/>
  <c r="N72" i="29"/>
  <c r="N11" i="29"/>
  <c r="N7" i="29"/>
  <c r="M64" i="29"/>
  <c r="M72" i="29"/>
  <c r="M47" i="29"/>
  <c r="M11" i="29"/>
  <c r="L72" i="29"/>
  <c r="L17" i="29"/>
  <c r="L11" i="29"/>
  <c r="L46" i="29"/>
  <c r="L16" i="29"/>
  <c r="I18" i="29"/>
  <c r="J18" i="29"/>
  <c r="K72" i="29"/>
  <c r="K17" i="29"/>
  <c r="K15" i="29"/>
  <c r="K11" i="29"/>
  <c r="K7" i="29"/>
  <c r="K42" i="29"/>
  <c r="K47" i="29"/>
  <c r="K54" i="29"/>
  <c r="K70" i="29"/>
  <c r="K14" i="29"/>
  <c r="K18" i="29"/>
  <c r="H11" i="29"/>
  <c r="G72" i="29"/>
  <c r="G15" i="29"/>
  <c r="G7" i="29"/>
  <c r="G11" i="29"/>
  <c r="T69" i="29"/>
  <c r="F11" i="29"/>
  <c r="F7" i="29"/>
  <c r="F19" i="29"/>
  <c r="F24" i="29"/>
  <c r="F23" i="29"/>
  <c r="F22" i="29"/>
  <c r="F20" i="29"/>
  <c r="E72" i="29"/>
  <c r="E15" i="29"/>
  <c r="E11" i="29"/>
  <c r="E7" i="29"/>
  <c r="D72" i="29"/>
  <c r="D17" i="29"/>
  <c r="D15" i="29"/>
  <c r="D11" i="29"/>
  <c r="D7" i="29"/>
  <c r="D59" i="29"/>
  <c r="D64" i="29"/>
  <c r="AI81" i="29"/>
  <c r="AI82" i="29"/>
  <c r="AI80" i="29"/>
  <c r="AI42" i="29"/>
  <c r="AI43" i="29"/>
  <c r="AI44" i="29"/>
  <c r="AI45" i="29"/>
  <c r="AI46" i="29"/>
  <c r="AI48" i="29"/>
  <c r="D49" i="29"/>
  <c r="AI49" i="29"/>
  <c r="AI51" i="29"/>
  <c r="AI52" i="29"/>
  <c r="AI53" i="29"/>
  <c r="AI54" i="29"/>
  <c r="AI55" i="29"/>
  <c r="AI56" i="29"/>
  <c r="AI57" i="29"/>
  <c r="AI58" i="29"/>
  <c r="AI60" i="29"/>
  <c r="AI61" i="29"/>
  <c r="AI62" i="29"/>
  <c r="AI64" i="29"/>
  <c r="O65" i="29"/>
  <c r="AA65" i="29"/>
  <c r="AI65" i="29"/>
  <c r="AI66" i="29"/>
  <c r="AI68" i="29"/>
  <c r="AI69" i="29"/>
  <c r="AI70" i="29"/>
  <c r="AI71" i="29"/>
  <c r="AI72" i="29"/>
  <c r="AI73" i="29"/>
  <c r="AI41" i="29"/>
  <c r="AI38" i="29"/>
  <c r="AI39" i="29"/>
  <c r="AI37" i="29"/>
  <c r="AI27" i="29"/>
  <c r="AI28" i="29"/>
  <c r="AI29" i="29"/>
  <c r="AI30" i="29"/>
  <c r="AI31" i="29"/>
  <c r="AI32" i="29"/>
  <c r="AI33" i="29"/>
  <c r="AI34" i="29"/>
  <c r="AI35" i="29"/>
  <c r="AI26" i="29"/>
  <c r="AI20" i="29"/>
  <c r="AI21" i="29"/>
  <c r="AI22" i="29"/>
  <c r="AI23" i="29"/>
  <c r="AI24" i="29"/>
  <c r="AI19" i="29"/>
  <c r="AI8" i="29"/>
  <c r="AI9" i="29"/>
  <c r="AI10" i="29"/>
  <c r="AI11" i="29"/>
  <c r="AI12" i="29"/>
  <c r="AI13" i="29"/>
  <c r="AI14" i="29"/>
  <c r="AI15" i="29"/>
  <c r="AI17" i="29"/>
  <c r="AI7" i="29"/>
  <c r="AC50" i="29"/>
  <c r="AC74" i="29"/>
  <c r="AA74" i="29"/>
  <c r="AA36" i="29"/>
  <c r="O59" i="29"/>
  <c r="AI59" i="29"/>
  <c r="O50" i="29"/>
  <c r="AI50" i="29"/>
  <c r="M63" i="29"/>
  <c r="AI63" i="29"/>
  <c r="F47" i="29"/>
  <c r="H67" i="29"/>
  <c r="AI67" i="29"/>
  <c r="D47" i="29"/>
  <c r="AI47" i="29"/>
  <c r="D16" i="29"/>
  <c r="AI16" i="29"/>
  <c r="AC72" i="28"/>
  <c r="AC45" i="28"/>
  <c r="AC15" i="28"/>
  <c r="AC8" i="28"/>
  <c r="AC7" i="28"/>
  <c r="AC16" i="28"/>
  <c r="AC21" i="28"/>
  <c r="AC11" i="28"/>
  <c r="AB72" i="28"/>
  <c r="AB11" i="28"/>
  <c r="AA11" i="28"/>
  <c r="AA72" i="28"/>
  <c r="AA33" i="28"/>
  <c r="AA63" i="28"/>
  <c r="Z72" i="28"/>
  <c r="AA59" i="28"/>
  <c r="AA47" i="28"/>
  <c r="Z41" i="28"/>
  <c r="Y51" i="28"/>
  <c r="Z11" i="28"/>
  <c r="Y41" i="28"/>
  <c r="Y72" i="28"/>
  <c r="Y15" i="28"/>
  <c r="Y11" i="28"/>
  <c r="Y7" i="28"/>
  <c r="Y47" i="28"/>
  <c r="V41" i="28"/>
  <c r="V72" i="28"/>
  <c r="V7" i="28"/>
  <c r="V9" i="28"/>
  <c r="V8" i="28"/>
  <c r="U72" i="28"/>
  <c r="V11" i="28"/>
  <c r="U15" i="28"/>
  <c r="U11" i="28"/>
  <c r="U7" i="28"/>
  <c r="U47" i="28"/>
  <c r="T17" i="28"/>
  <c r="T15" i="28"/>
  <c r="T7" i="28"/>
  <c r="T16" i="28"/>
  <c r="T11" i="28"/>
  <c r="AA32" i="28"/>
  <c r="AC69" i="28"/>
  <c r="AA50" i="28"/>
  <c r="AA65" i="28"/>
  <c r="U61" i="28"/>
  <c r="U27" i="28"/>
  <c r="O17" i="28"/>
  <c r="O51" i="28"/>
  <c r="O31" i="28"/>
  <c r="O72" i="28"/>
  <c r="O11" i="28"/>
  <c r="O8" i="28"/>
  <c r="O59" i="28"/>
  <c r="O47" i="28"/>
  <c r="O50" i="28"/>
  <c r="O53" i="28"/>
  <c r="O21" i="28"/>
  <c r="O69" i="28"/>
  <c r="O24" i="28"/>
  <c r="N72" i="28"/>
  <c r="N11" i="28"/>
  <c r="N7" i="28"/>
  <c r="M11" i="28"/>
  <c r="M7" i="28"/>
  <c r="M38" i="28"/>
  <c r="M72" i="28"/>
  <c r="M47" i="28"/>
  <c r="M68" i="28"/>
  <c r="M64" i="28"/>
  <c r="M63" i="28"/>
  <c r="M55" i="28"/>
  <c r="M54" i="28"/>
  <c r="M67" i="28"/>
  <c r="M51" i="28"/>
  <c r="L72" i="28"/>
  <c r="L11" i="28"/>
  <c r="K72" i="28"/>
  <c r="K17" i="28"/>
  <c r="K15" i="28"/>
  <c r="K11" i="28"/>
  <c r="K7" i="28"/>
  <c r="K47" i="28"/>
  <c r="K57" i="28"/>
  <c r="K46" i="28"/>
  <c r="K59" i="28"/>
  <c r="H12" i="28"/>
  <c r="H72" i="28"/>
  <c r="H47" i="28"/>
  <c r="H15" i="28"/>
  <c r="H7" i="28"/>
  <c r="H28" i="28"/>
  <c r="H51" i="28"/>
  <c r="H59" i="28"/>
  <c r="H70" i="28"/>
  <c r="H65" i="28"/>
  <c r="H11" i="28"/>
  <c r="G7" i="28"/>
  <c r="G11" i="28"/>
  <c r="F72" i="28"/>
  <c r="F7" i="28"/>
  <c r="F11" i="28"/>
  <c r="F59" i="28"/>
  <c r="F54" i="28"/>
  <c r="F67" i="28"/>
  <c r="F47" i="28"/>
  <c r="E72" i="28"/>
  <c r="E15" i="28"/>
  <c r="E7" i="28"/>
  <c r="E11" i="28"/>
  <c r="D72" i="28"/>
  <c r="D17" i="28"/>
  <c r="D15" i="28"/>
  <c r="D11" i="28"/>
  <c r="D7" i="28"/>
  <c r="D24" i="28"/>
  <c r="D23" i="28"/>
  <c r="D20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D19" i="28"/>
  <c r="D25" i="28"/>
  <c r="D65" i="28"/>
  <c r="AF12" i="25"/>
  <c r="AF47" i="25"/>
  <c r="AF8" i="25"/>
  <c r="AF72" i="25"/>
  <c r="AF11" i="25"/>
  <c r="AE72" i="25"/>
  <c r="AE11" i="25"/>
  <c r="AF21" i="25"/>
  <c r="AF54" i="25"/>
  <c r="AF59" i="25"/>
  <c r="AH82" i="25"/>
  <c r="AH81" i="25"/>
  <c r="AH80" i="25"/>
  <c r="AD12" i="25"/>
  <c r="AD72" i="25"/>
  <c r="AD15" i="25"/>
  <c r="AD7" i="25"/>
  <c r="AC11" i="25"/>
  <c r="AC7" i="25"/>
  <c r="AD11" i="25"/>
  <c r="AC12" i="25"/>
  <c r="AB51" i="25"/>
  <c r="AB72" i="25"/>
  <c r="AB8" i="25"/>
  <c r="AB7" i="25"/>
  <c r="AB11" i="25"/>
  <c r="AB42" i="25"/>
  <c r="AB61" i="25"/>
  <c r="AB47" i="25"/>
  <c r="Y72" i="25"/>
  <c r="Y11" i="25"/>
  <c r="Y7" i="25"/>
  <c r="X11" i="25"/>
  <c r="X7" i="25"/>
  <c r="W72" i="25"/>
  <c r="W11" i="25"/>
  <c r="W7" i="25"/>
  <c r="AF53" i="25"/>
  <c r="AD35" i="25"/>
  <c r="AD34" i="25"/>
  <c r="AB50" i="25"/>
  <c r="W41" i="25"/>
  <c r="W47" i="25"/>
  <c r="W51" i="25"/>
  <c r="V11" i="25"/>
  <c r="V41" i="25"/>
  <c r="V72" i="25"/>
  <c r="V8" i="25"/>
  <c r="U72" i="25"/>
  <c r="U15" i="25"/>
  <c r="U11" i="25"/>
  <c r="U7" i="25"/>
  <c r="U47" i="25"/>
  <c r="R11" i="25"/>
  <c r="R7" i="25"/>
  <c r="R8" i="25"/>
  <c r="U27" i="25"/>
  <c r="Q12" i="25"/>
  <c r="Q72" i="25"/>
  <c r="Q11" i="25"/>
  <c r="P59" i="25"/>
  <c r="P72" i="25"/>
  <c r="P15" i="25"/>
  <c r="P7" i="25"/>
  <c r="P11" i="25"/>
  <c r="O15" i="25"/>
  <c r="O11" i="25"/>
  <c r="Y33" i="25"/>
  <c r="Y32" i="25"/>
  <c r="U63" i="25"/>
  <c r="U67" i="25"/>
  <c r="P47" i="25"/>
  <c r="P46" i="25"/>
  <c r="P54" i="25"/>
  <c r="P53" i="25"/>
  <c r="P24" i="25"/>
  <c r="N11" i="25"/>
  <c r="N72" i="25"/>
  <c r="N15" i="25"/>
  <c r="K12" i="25"/>
  <c r="K72" i="25"/>
  <c r="K15" i="25"/>
  <c r="K11" i="25"/>
  <c r="K8" i="25"/>
  <c r="K46" i="25"/>
  <c r="K45" i="25"/>
  <c r="K51" i="25"/>
  <c r="K64" i="25"/>
  <c r="K47" i="25"/>
  <c r="K68" i="25"/>
  <c r="K70" i="25"/>
  <c r="K28" i="25"/>
  <c r="K55" i="25"/>
  <c r="K59" i="25"/>
  <c r="J72" i="25"/>
  <c r="J7" i="25"/>
  <c r="J11" i="25"/>
  <c r="I12" i="25"/>
  <c r="I11" i="25"/>
  <c r="I7" i="25"/>
  <c r="H72" i="25"/>
  <c r="H7" i="25"/>
  <c r="H43" i="25"/>
  <c r="G43" i="25"/>
  <c r="G72" i="25"/>
  <c r="H47" i="25"/>
  <c r="H11" i="25"/>
  <c r="G47" i="25"/>
  <c r="G15" i="25"/>
  <c r="G13" i="25"/>
  <c r="G7" i="25"/>
  <c r="G11" i="25"/>
  <c r="G51" i="25"/>
  <c r="G63" i="25"/>
  <c r="G59" i="25"/>
  <c r="G24" i="25"/>
  <c r="G23" i="25"/>
  <c r="G20" i="25"/>
  <c r="D72" i="25"/>
  <c r="D17" i="25"/>
  <c r="D11" i="25"/>
  <c r="D47" i="25"/>
  <c r="G67" i="25"/>
  <c r="D62" i="25"/>
  <c r="D61" i="25"/>
  <c r="D63" i="25"/>
  <c r="D59" i="25"/>
  <c r="AD74" i="29"/>
  <c r="AA40" i="29"/>
  <c r="AB40" i="29"/>
  <c r="AC40" i="29"/>
  <c r="AD40" i="29"/>
  <c r="AB36" i="29"/>
  <c r="AC36" i="29"/>
  <c r="AD36" i="29"/>
  <c r="AA25" i="29"/>
  <c r="AA75" i="29"/>
  <c r="AB25" i="29"/>
  <c r="AC25" i="29"/>
  <c r="AD25" i="29"/>
  <c r="AB75" i="29"/>
  <c r="AC75" i="29"/>
  <c r="AD75" i="29"/>
  <c r="AG74" i="29"/>
  <c r="AE74" i="29"/>
  <c r="X74" i="29"/>
  <c r="W74" i="29"/>
  <c r="V74" i="29"/>
  <c r="T74" i="29"/>
  <c r="S74" i="29"/>
  <c r="Q74" i="29"/>
  <c r="P74" i="29"/>
  <c r="O74" i="29"/>
  <c r="L74" i="29"/>
  <c r="J74" i="29"/>
  <c r="I74" i="29"/>
  <c r="G74" i="29"/>
  <c r="D74" i="29"/>
  <c r="Z74" i="29"/>
  <c r="K74" i="29"/>
  <c r="AH74" i="29"/>
  <c r="AF74" i="29"/>
  <c r="R74" i="29"/>
  <c r="H74" i="29"/>
  <c r="Y74" i="29"/>
  <c r="AH40" i="29"/>
  <c r="AG40" i="29"/>
  <c r="AF40" i="29"/>
  <c r="AE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AH36" i="29"/>
  <c r="AG36" i="29"/>
  <c r="AE36" i="29"/>
  <c r="Z36" i="29"/>
  <c r="Y36" i="29"/>
  <c r="X36" i="29"/>
  <c r="W36" i="29"/>
  <c r="V36" i="29"/>
  <c r="U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AF36" i="29"/>
  <c r="AG25" i="29"/>
  <c r="AF25" i="29"/>
  <c r="AE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L25" i="29"/>
  <c r="K25" i="29"/>
  <c r="J25" i="29"/>
  <c r="I25" i="29"/>
  <c r="H25" i="29"/>
  <c r="G25" i="29"/>
  <c r="F25" i="29"/>
  <c r="E25" i="29"/>
  <c r="D25" i="29"/>
  <c r="AH25" i="29"/>
  <c r="M25" i="29"/>
  <c r="X18" i="29"/>
  <c r="W18" i="29"/>
  <c r="V18" i="29"/>
  <c r="Q18" i="29"/>
  <c r="P18" i="29"/>
  <c r="M18" i="29"/>
  <c r="G18" i="29"/>
  <c r="E18" i="29"/>
  <c r="AH18" i="29"/>
  <c r="S18" i="29"/>
  <c r="AB18" i="29"/>
  <c r="AA18" i="29"/>
  <c r="Z18" i="29"/>
  <c r="U18" i="29"/>
  <c r="N18" i="29"/>
  <c r="L18" i="29"/>
  <c r="H18" i="29"/>
  <c r="R18" i="29"/>
  <c r="Y18" i="29"/>
  <c r="E5" i="29"/>
  <c r="F5" i="29"/>
  <c r="G5" i="29"/>
  <c r="H5" i="29"/>
  <c r="I5" i="29"/>
  <c r="AE75" i="29"/>
  <c r="AH7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J75" i="29"/>
  <c r="P75" i="29"/>
  <c r="Q75" i="29"/>
  <c r="I75" i="29"/>
  <c r="X75" i="29"/>
  <c r="AI36" i="29"/>
  <c r="Y75" i="29"/>
  <c r="V75" i="29"/>
  <c r="D75" i="29"/>
  <c r="H75" i="29"/>
  <c r="L75" i="29"/>
  <c r="F18" i="29"/>
  <c r="F74" i="29"/>
  <c r="F75" i="29"/>
  <c r="O18" i="29"/>
  <c r="D18" i="29"/>
  <c r="AG75" i="29"/>
  <c r="M74" i="29"/>
  <c r="M75" i="29"/>
  <c r="R75" i="29"/>
  <c r="Z75" i="29"/>
  <c r="AF75" i="29"/>
  <c r="D91" i="29"/>
  <c r="N74" i="29"/>
  <c r="N75" i="29"/>
  <c r="T18" i="29"/>
  <c r="O75" i="29"/>
  <c r="S75" i="29"/>
  <c r="W75" i="29"/>
  <c r="AI40" i="29"/>
  <c r="AI25" i="29"/>
  <c r="G75" i="29"/>
  <c r="K75" i="29"/>
  <c r="U74" i="29"/>
  <c r="U75" i="29"/>
  <c r="T36" i="29"/>
  <c r="T75" i="29"/>
  <c r="E74" i="29"/>
  <c r="E75" i="29"/>
  <c r="AI18" i="29"/>
  <c r="AC5" i="29"/>
  <c r="AD5" i="29"/>
  <c r="AI74" i="29"/>
  <c r="AI75" i="29"/>
  <c r="AE5" i="29"/>
  <c r="AF5" i="29"/>
  <c r="AH81" i="28"/>
  <c r="AH82" i="28"/>
  <c r="AH80" i="28"/>
  <c r="AH42" i="28"/>
  <c r="AH43" i="28"/>
  <c r="AH44" i="28"/>
  <c r="AH45" i="28"/>
  <c r="AH46" i="28"/>
  <c r="AH47" i="28"/>
  <c r="AH48" i="28"/>
  <c r="AH49" i="28"/>
  <c r="AH50" i="28"/>
  <c r="AH51" i="28"/>
  <c r="AH52" i="28"/>
  <c r="AH53" i="28"/>
  <c r="AH54" i="28"/>
  <c r="AH55" i="28"/>
  <c r="AH56" i="28"/>
  <c r="AH57" i="28"/>
  <c r="AH58" i="28"/>
  <c r="AH59" i="28"/>
  <c r="AH60" i="28"/>
  <c r="AH61" i="28"/>
  <c r="AH62" i="28"/>
  <c r="AH63" i="28"/>
  <c r="AH64" i="28"/>
  <c r="AH65" i="28"/>
  <c r="AH66" i="28"/>
  <c r="AH67" i="28"/>
  <c r="AH68" i="28"/>
  <c r="AH69" i="28"/>
  <c r="AH70" i="28"/>
  <c r="AH71" i="28"/>
  <c r="AH72" i="28"/>
  <c r="AH73" i="28"/>
  <c r="AH41" i="28"/>
  <c r="AH38" i="28"/>
  <c r="AH39" i="28"/>
  <c r="AH37" i="28"/>
  <c r="AH27" i="28"/>
  <c r="AH28" i="28"/>
  <c r="AH29" i="28"/>
  <c r="AH30" i="28"/>
  <c r="AH31" i="28"/>
  <c r="AH32" i="28"/>
  <c r="AH33" i="28"/>
  <c r="AH34" i="28"/>
  <c r="AH35" i="28"/>
  <c r="AH26" i="28"/>
  <c r="AH20" i="28"/>
  <c r="AH21" i="28"/>
  <c r="AH22" i="28"/>
  <c r="AH23" i="28"/>
  <c r="AH24" i="28"/>
  <c r="AH19" i="28"/>
  <c r="AH8" i="28"/>
  <c r="AH9" i="28"/>
  <c r="AH10" i="28"/>
  <c r="AH11" i="28"/>
  <c r="AH12" i="28"/>
  <c r="AH13" i="28"/>
  <c r="AH14" i="28"/>
  <c r="AH15" i="28"/>
  <c r="AH16" i="28"/>
  <c r="AH17" i="28"/>
  <c r="AH7" i="28"/>
  <c r="AG5" i="29"/>
  <c r="AH5" i="29"/>
  <c r="D88" i="29"/>
  <c r="AH25" i="28"/>
  <c r="AF82" i="28"/>
  <c r="AE82" i="28"/>
  <c r="AD82" i="28"/>
  <c r="AF74" i="28"/>
  <c r="AD74" i="28"/>
  <c r="AB74" i="28"/>
  <c r="AA74" i="28"/>
  <c r="Y74" i="28"/>
  <c r="W74" i="28"/>
  <c r="V74" i="28"/>
  <c r="U74" i="28"/>
  <c r="T74" i="28"/>
  <c r="S74" i="28"/>
  <c r="R74" i="28"/>
  <c r="P74" i="28"/>
  <c r="N74" i="28"/>
  <c r="M74" i="28"/>
  <c r="L74" i="28"/>
  <c r="K74" i="28"/>
  <c r="J74" i="28"/>
  <c r="H74" i="28"/>
  <c r="G74" i="28"/>
  <c r="F74" i="28"/>
  <c r="E74" i="28"/>
  <c r="D74" i="28"/>
  <c r="AG72" i="28"/>
  <c r="AE72" i="28"/>
  <c r="O74" i="28"/>
  <c r="Z74" i="28"/>
  <c r="AE63" i="28"/>
  <c r="AG59" i="28"/>
  <c r="AE47" i="28"/>
  <c r="Q74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AH40" i="28"/>
  <c r="AG36" i="28"/>
  <c r="AF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AE35" i="28"/>
  <c r="AE34" i="28"/>
  <c r="AG21" i="28"/>
  <c r="AG25" i="28"/>
  <c r="AB18" i="28"/>
  <c r="AA18" i="28"/>
  <c r="W18" i="28"/>
  <c r="U18" i="28"/>
  <c r="T18" i="28"/>
  <c r="Q18" i="28"/>
  <c r="P18" i="28"/>
  <c r="O18" i="28"/>
  <c r="N18" i="28"/>
  <c r="M18" i="28"/>
  <c r="L18" i="28"/>
  <c r="K18" i="28"/>
  <c r="G18" i="28"/>
  <c r="F18" i="28"/>
  <c r="D18" i="28"/>
  <c r="AG17" i="28"/>
  <c r="AE17" i="28"/>
  <c r="AC18" i="28"/>
  <c r="D90" i="28"/>
  <c r="E18" i="28"/>
  <c r="AG11" i="28"/>
  <c r="AF11" i="28"/>
  <c r="AE11" i="28"/>
  <c r="AD11" i="28"/>
  <c r="Y18" i="28"/>
  <c r="X18" i="28"/>
  <c r="V18" i="28"/>
  <c r="H18" i="28"/>
  <c r="AF9" i="28"/>
  <c r="I18" i="28"/>
  <c r="AD8" i="28"/>
  <c r="AG7" i="28"/>
  <c r="Z18" i="28"/>
  <c r="S18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AF18" i="28"/>
  <c r="AE18" i="28"/>
  <c r="S75" i="28"/>
  <c r="W5" i="28"/>
  <c r="X5" i="28"/>
  <c r="Y5" i="28"/>
  <c r="Z5" i="28"/>
  <c r="AA5" i="28"/>
  <c r="AB5" i="28"/>
  <c r="AC5" i="28"/>
  <c r="AG18" i="28"/>
  <c r="AE74" i="28"/>
  <c r="O75" i="28"/>
  <c r="W75" i="28"/>
  <c r="M75" i="28"/>
  <c r="E75" i="28"/>
  <c r="G75" i="28"/>
  <c r="AD75" i="28"/>
  <c r="AF75" i="28"/>
  <c r="K75" i="28"/>
  <c r="AA75" i="28"/>
  <c r="L75" i="28"/>
  <c r="P75" i="28"/>
  <c r="T75" i="28"/>
  <c r="R75" i="28"/>
  <c r="V75" i="28"/>
  <c r="Z75" i="28"/>
  <c r="AB75" i="28"/>
  <c r="D75" i="28"/>
  <c r="H75" i="28"/>
  <c r="AE36" i="28"/>
  <c r="AH36" i="28"/>
  <c r="X74" i="28"/>
  <c r="X75" i="28"/>
  <c r="N75" i="28"/>
  <c r="AC74" i="28"/>
  <c r="AC75" i="28"/>
  <c r="D91" i="28"/>
  <c r="AG74" i="28"/>
  <c r="AG75" i="28"/>
  <c r="R18" i="28"/>
  <c r="J18" i="28"/>
  <c r="J75" i="28"/>
  <c r="F75" i="28"/>
  <c r="AH83" i="28"/>
  <c r="AD18" i="28"/>
  <c r="Q75" i="28"/>
  <c r="U75" i="28"/>
  <c r="Y75" i="28"/>
  <c r="I74" i="28"/>
  <c r="I75" i="28"/>
  <c r="AF18" i="25"/>
  <c r="D90" i="25"/>
  <c r="AG18" i="25"/>
  <c r="AD5" i="28"/>
  <c r="AE5" i="28"/>
  <c r="AF5" i="28"/>
  <c r="AG5" i="28"/>
  <c r="D88" i="28"/>
  <c r="AE75" i="28"/>
  <c r="AH18" i="28"/>
  <c r="AH74" i="28"/>
  <c r="AH75" i="28"/>
  <c r="D83" i="25"/>
  <c r="E79" i="25"/>
  <c r="U25" i="25"/>
  <c r="AH42" i="25"/>
  <c r="AH43" i="25"/>
  <c r="AH6" i="25"/>
  <c r="AH9" i="25"/>
  <c r="AH10" i="25"/>
  <c r="AH12" i="25"/>
  <c r="AH13" i="25"/>
  <c r="AH14" i="25"/>
  <c r="AH15" i="25"/>
  <c r="AH44" i="25"/>
  <c r="AH45" i="25"/>
  <c r="AH46" i="25"/>
  <c r="AH48" i="25"/>
  <c r="AH49" i="25"/>
  <c r="AH50" i="25"/>
  <c r="AH51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1" i="25"/>
  <c r="AH72" i="25"/>
  <c r="AH73" i="25"/>
  <c r="AH28" i="25"/>
  <c r="AH29" i="25"/>
  <c r="AH30" i="25"/>
  <c r="AH31" i="25"/>
  <c r="AH32" i="25"/>
  <c r="AH33" i="25"/>
  <c r="R74" i="25"/>
  <c r="J74" i="25"/>
  <c r="E74" i="25"/>
  <c r="F74" i="25"/>
  <c r="H74" i="25"/>
  <c r="I74" i="25"/>
  <c r="K74" i="25"/>
  <c r="L74" i="25"/>
  <c r="M74" i="25"/>
  <c r="N74" i="25"/>
  <c r="O74" i="25"/>
  <c r="P74" i="25"/>
  <c r="Q74" i="25"/>
  <c r="S74" i="25"/>
  <c r="T74" i="25"/>
  <c r="U74" i="25"/>
  <c r="V74" i="25"/>
  <c r="W74" i="25"/>
  <c r="X74" i="25"/>
  <c r="Y74" i="25"/>
  <c r="Z74" i="25"/>
  <c r="AA74" i="25"/>
  <c r="AB74" i="25"/>
  <c r="AC74" i="25"/>
  <c r="AD74" i="25"/>
  <c r="AE74" i="25"/>
  <c r="AF74" i="25"/>
  <c r="AG74" i="25"/>
  <c r="AH8" i="25"/>
  <c r="AH70" i="25"/>
  <c r="AH17" i="25"/>
  <c r="AH16" i="25"/>
  <c r="AH11" i="25"/>
  <c r="AH47" i="25"/>
  <c r="G74" i="25"/>
  <c r="AH52" i="25"/>
  <c r="D74" i="25"/>
  <c r="D36" i="25"/>
  <c r="D40" i="25"/>
  <c r="D18" i="25"/>
  <c r="E83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V25" i="25"/>
  <c r="W25" i="25"/>
  <c r="X25" i="25"/>
  <c r="Y25" i="25"/>
  <c r="Z25" i="25"/>
  <c r="AA25" i="25"/>
  <c r="AB25" i="25"/>
  <c r="AC25" i="25"/>
  <c r="AD25" i="25"/>
  <c r="AE25" i="25"/>
  <c r="AF25" i="25"/>
  <c r="AG25" i="25"/>
  <c r="D25" i="25"/>
  <c r="D75" i="25"/>
  <c r="E5" i="25"/>
  <c r="F5" i="25"/>
  <c r="G5" i="25"/>
  <c r="H5" i="25"/>
  <c r="I5" i="25"/>
  <c r="J5" i="25"/>
  <c r="K5" i="25"/>
  <c r="L5" i="25"/>
  <c r="M5" i="25"/>
  <c r="N5" i="25"/>
  <c r="O5" i="25"/>
  <c r="AH41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AH39" i="25"/>
  <c r="AH38" i="25"/>
  <c r="AH37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AH35" i="25"/>
  <c r="AH34" i="25"/>
  <c r="AH27" i="25"/>
  <c r="AH26" i="25"/>
  <c r="AH24" i="25"/>
  <c r="AH23" i="25"/>
  <c r="AH22" i="25"/>
  <c r="AH21" i="25"/>
  <c r="AH20" i="25"/>
  <c r="AH19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AH7" i="25"/>
  <c r="AH18" i="25"/>
  <c r="F83" i="25"/>
  <c r="F79" i="25"/>
  <c r="D77" i="25"/>
  <c r="D85" i="25"/>
  <c r="AH36" i="25"/>
  <c r="AH40" i="25"/>
  <c r="AH25" i="25"/>
  <c r="AH74" i="25"/>
  <c r="AH83" i="25"/>
  <c r="I75" i="25"/>
  <c r="Y75" i="25"/>
  <c r="AG75" i="25"/>
  <c r="Q75" i="25"/>
  <c r="G75" i="25"/>
  <c r="K75" i="25"/>
  <c r="O75" i="25"/>
  <c r="S75" i="25"/>
  <c r="W75" i="25"/>
  <c r="AA75" i="25"/>
  <c r="AC75" i="25"/>
  <c r="U75" i="25"/>
  <c r="M75" i="25"/>
  <c r="E75" i="25"/>
  <c r="AE75" i="25"/>
  <c r="F75" i="25"/>
  <c r="H75" i="25"/>
  <c r="J75" i="25"/>
  <c r="L75" i="25"/>
  <c r="N75" i="25"/>
  <c r="P75" i="25"/>
  <c r="R75" i="25"/>
  <c r="T75" i="25"/>
  <c r="V75" i="25"/>
  <c r="X75" i="25"/>
  <c r="Z75" i="25"/>
  <c r="AB75" i="25"/>
  <c r="AD75" i="25"/>
  <c r="AF75" i="25"/>
  <c r="D91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G83" i="25"/>
  <c r="G79" i="25"/>
  <c r="AF5" i="25"/>
  <c r="AH75" i="25"/>
  <c r="AH77" i="25"/>
  <c r="AH85" i="25"/>
  <c r="E6" i="25"/>
  <c r="E77" i="25"/>
  <c r="F6" i="25"/>
  <c r="F77" i="25"/>
  <c r="AG5" i="25"/>
  <c r="D88" i="25"/>
  <c r="H83" i="25"/>
  <c r="H79" i="25"/>
  <c r="E85" i="25"/>
  <c r="F85" i="25"/>
  <c r="G6" i="25"/>
  <c r="G77" i="25"/>
  <c r="I83" i="25"/>
  <c r="I79" i="25"/>
  <c r="G85" i="25"/>
  <c r="H6" i="25"/>
  <c r="H77" i="25"/>
  <c r="J83" i="25"/>
  <c r="J79" i="25"/>
  <c r="H85" i="25"/>
  <c r="I6" i="25"/>
  <c r="I77" i="25"/>
  <c r="I85" i="25"/>
  <c r="K83" i="25"/>
  <c r="K79" i="25"/>
  <c r="J6" i="25"/>
  <c r="J77" i="25"/>
  <c r="L83" i="25"/>
  <c r="L79" i="25"/>
  <c r="J85" i="25"/>
  <c r="K6" i="25"/>
  <c r="K77" i="25"/>
  <c r="M83" i="25"/>
  <c r="M79" i="25"/>
  <c r="K85" i="25"/>
  <c r="L6" i="25"/>
  <c r="L77" i="25"/>
  <c r="N83" i="25"/>
  <c r="N79" i="25"/>
  <c r="L85" i="25"/>
  <c r="M6" i="25"/>
  <c r="M77" i="25"/>
  <c r="O83" i="25"/>
  <c r="O79" i="25"/>
  <c r="M85" i="25"/>
  <c r="N6" i="25"/>
  <c r="N77" i="25"/>
  <c r="P83" i="25"/>
  <c r="P79" i="25"/>
  <c r="O6" i="25"/>
  <c r="N85" i="25"/>
  <c r="Q83" i="25"/>
  <c r="Q79" i="25"/>
  <c r="O77" i="25"/>
  <c r="O85" i="25"/>
  <c r="R83" i="25"/>
  <c r="R79" i="25"/>
  <c r="P6" i="25"/>
  <c r="P77" i="25"/>
  <c r="P85" i="25"/>
  <c r="S83" i="25"/>
  <c r="S79" i="25"/>
  <c r="Q6" i="25"/>
  <c r="Q77" i="25"/>
  <c r="Q85" i="25"/>
  <c r="T83" i="25"/>
  <c r="T79" i="25"/>
  <c r="R6" i="25"/>
  <c r="R77" i="25"/>
  <c r="U83" i="25"/>
  <c r="U79" i="25"/>
  <c r="R85" i="25"/>
  <c r="S6" i="25"/>
  <c r="S77" i="25"/>
  <c r="S85" i="25"/>
  <c r="V83" i="25"/>
  <c r="V79" i="25"/>
  <c r="T6" i="25"/>
  <c r="T77" i="25"/>
  <c r="U6" i="25"/>
  <c r="W83" i="25"/>
  <c r="W79" i="25"/>
  <c r="T85" i="25"/>
  <c r="U77" i="25"/>
  <c r="U85" i="25"/>
  <c r="X83" i="25"/>
  <c r="X79" i="25"/>
  <c r="V6" i="25"/>
  <c r="V77" i="25"/>
  <c r="V85" i="25"/>
  <c r="Y83" i="25"/>
  <c r="Y79" i="25"/>
  <c r="W6" i="25"/>
  <c r="Z83" i="25"/>
  <c r="Z79" i="25"/>
  <c r="W77" i="25"/>
  <c r="W85" i="25"/>
  <c r="AA83" i="25"/>
  <c r="AA79" i="25"/>
  <c r="X6" i="25"/>
  <c r="AB83" i="25"/>
  <c r="AB79" i="25"/>
  <c r="X77" i="25"/>
  <c r="X85" i="25"/>
  <c r="AC83" i="25"/>
  <c r="AC79" i="25"/>
  <c r="Y6" i="25"/>
  <c r="Y77" i="25"/>
  <c r="Y85" i="25"/>
  <c r="AD83" i="25"/>
  <c r="AD79" i="25"/>
  <c r="Z6" i="25"/>
  <c r="Z77" i="25"/>
  <c r="Z85" i="25"/>
  <c r="AE79" i="25"/>
  <c r="AE83" i="25"/>
  <c r="AA6" i="25"/>
  <c r="AA77" i="25"/>
  <c r="AA85" i="25"/>
  <c r="AF83" i="25"/>
  <c r="AF79" i="25"/>
  <c r="AB6" i="25"/>
  <c r="AB77" i="25"/>
  <c r="AB85" i="25"/>
  <c r="AG83" i="25"/>
  <c r="D79" i="28"/>
  <c r="D83" i="28"/>
  <c r="AG79" i="25"/>
  <c r="AC6" i="25"/>
  <c r="AC77" i="25"/>
  <c r="AC85" i="25"/>
  <c r="E83" i="28"/>
  <c r="F83" i="28"/>
  <c r="G83" i="28"/>
  <c r="H83" i="28"/>
  <c r="I83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D79" i="29"/>
  <c r="D83" i="29"/>
  <c r="E79" i="28"/>
  <c r="F79" i="28"/>
  <c r="G79" i="28"/>
  <c r="H79" i="28"/>
  <c r="I79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D6" i="25"/>
  <c r="E83" i="29"/>
  <c r="F79" i="29"/>
  <c r="E79" i="29"/>
  <c r="AD83" i="28"/>
  <c r="AD77" i="25"/>
  <c r="AE6" i="25"/>
  <c r="AE77" i="25"/>
  <c r="AF6" i="25"/>
  <c r="AD85" i="25"/>
  <c r="F83" i="29"/>
  <c r="G79" i="29"/>
  <c r="AE83" i="28"/>
  <c r="AF77" i="25"/>
  <c r="AG6" i="25"/>
  <c r="AG77" i="25"/>
  <c r="D89" i="25"/>
  <c r="D92" i="25"/>
  <c r="D96" i="25"/>
  <c r="AE85" i="25"/>
  <c r="AF85" i="25"/>
  <c r="AG85" i="25"/>
  <c r="D6" i="28"/>
  <c r="G83" i="29"/>
  <c r="H79" i="29"/>
  <c r="AF83" i="28"/>
  <c r="AH6" i="28"/>
  <c r="AH77" i="28"/>
  <c r="AH85" i="28"/>
  <c r="D77" i="28"/>
  <c r="H83" i="29"/>
  <c r="I79" i="29"/>
  <c r="AG83" i="28"/>
  <c r="E6" i="28"/>
  <c r="E77" i="28"/>
  <c r="F6" i="28"/>
  <c r="D85" i="28"/>
  <c r="I83" i="29"/>
  <c r="J79" i="29"/>
  <c r="F77" i="28"/>
  <c r="G6" i="28"/>
  <c r="E85" i="28"/>
  <c r="J83" i="29"/>
  <c r="K79" i="29"/>
  <c r="G77" i="28"/>
  <c r="H6" i="28"/>
  <c r="F85" i="28"/>
  <c r="K83" i="29"/>
  <c r="L79" i="29"/>
  <c r="H77" i="28"/>
  <c r="I6" i="28"/>
  <c r="G85" i="28"/>
  <c r="L83" i="29"/>
  <c r="M79" i="29"/>
  <c r="I77" i="28"/>
  <c r="J6" i="28"/>
  <c r="H85" i="28"/>
  <c r="M83" i="29"/>
  <c r="N79" i="29"/>
  <c r="J77" i="28"/>
  <c r="K6" i="28"/>
  <c r="I85" i="28"/>
  <c r="N83" i="29"/>
  <c r="O79" i="29"/>
  <c r="K77" i="28"/>
  <c r="L6" i="28"/>
  <c r="J85" i="28"/>
  <c r="O83" i="29"/>
  <c r="P79" i="29"/>
  <c r="L77" i="28"/>
  <c r="M6" i="28"/>
  <c r="K85" i="28"/>
  <c r="P83" i="29"/>
  <c r="Q79" i="29"/>
  <c r="M77" i="28"/>
  <c r="N6" i="28"/>
  <c r="L85" i="28"/>
  <c r="Q83" i="29"/>
  <c r="R79" i="29"/>
  <c r="N77" i="28"/>
  <c r="O6" i="28"/>
  <c r="M85" i="28"/>
  <c r="R83" i="29"/>
  <c r="S79" i="29"/>
  <c r="O77" i="28"/>
  <c r="P6" i="28"/>
  <c r="N85" i="28"/>
  <c r="S83" i="29"/>
  <c r="T79" i="29"/>
  <c r="P77" i="28"/>
  <c r="Q6" i="28"/>
  <c r="O85" i="28"/>
  <c r="T83" i="29"/>
  <c r="U79" i="29"/>
  <c r="Q77" i="28"/>
  <c r="R6" i="28"/>
  <c r="P85" i="28"/>
  <c r="U83" i="29"/>
  <c r="V79" i="29"/>
  <c r="R77" i="28"/>
  <c r="S6" i="28"/>
  <c r="Q85" i="28"/>
  <c r="V83" i="29"/>
  <c r="W79" i="29"/>
  <c r="S77" i="28"/>
  <c r="T6" i="28"/>
  <c r="R85" i="28"/>
  <c r="W83" i="29"/>
  <c r="X79" i="29"/>
  <c r="T77" i="28"/>
  <c r="U6" i="28"/>
  <c r="S85" i="28"/>
  <c r="X83" i="29"/>
  <c r="Y79" i="29"/>
  <c r="U77" i="28"/>
  <c r="V6" i="28"/>
  <c r="T85" i="28"/>
  <c r="Y83" i="29"/>
  <c r="Z79" i="29"/>
  <c r="V77" i="28"/>
  <c r="W6" i="28"/>
  <c r="U85" i="28"/>
  <c r="Z83" i="29"/>
  <c r="W77" i="28"/>
  <c r="X6" i="28"/>
  <c r="V85" i="28"/>
  <c r="AA83" i="29"/>
  <c r="AB79" i="29"/>
  <c r="AA79" i="29"/>
  <c r="X77" i="28"/>
  <c r="Y6" i="28"/>
  <c r="W85" i="28"/>
  <c r="AB83" i="29"/>
  <c r="AC79" i="29"/>
  <c r="Y77" i="28"/>
  <c r="Z6" i="28"/>
  <c r="X85" i="28"/>
  <c r="AC83" i="29"/>
  <c r="AD79" i="29"/>
  <c r="Z77" i="28"/>
  <c r="AA6" i="28"/>
  <c r="Y85" i="28"/>
  <c r="AD83" i="29"/>
  <c r="AA77" i="28"/>
  <c r="AB6" i="28"/>
  <c r="Z85" i="28"/>
  <c r="AE79" i="29"/>
  <c r="AE83" i="29"/>
  <c r="AF79" i="29"/>
  <c r="AF83" i="29"/>
  <c r="AG79" i="29"/>
  <c r="AB77" i="28"/>
  <c r="AC6" i="28"/>
  <c r="D89" i="28"/>
  <c r="D92" i="28"/>
  <c r="D96" i="28"/>
  <c r="AA85" i="28"/>
  <c r="AG83" i="29"/>
  <c r="AB85" i="28"/>
  <c r="AH79" i="29"/>
  <c r="D79" i="30"/>
  <c r="D83" i="30"/>
  <c r="AH83" i="29"/>
  <c r="AI83" i="29"/>
  <c r="AC77" i="28"/>
  <c r="E83" i="30"/>
  <c r="E79" i="30"/>
  <c r="D6" i="29"/>
  <c r="AD6" i="28"/>
  <c r="AD77" i="28"/>
  <c r="AC85" i="28"/>
  <c r="F79" i="30"/>
  <c r="F83" i="30"/>
  <c r="AE6" i="28"/>
  <c r="AE77" i="28"/>
  <c r="AD85" i="28"/>
  <c r="AI6" i="29"/>
  <c r="AI77" i="29"/>
  <c r="AI85" i="29"/>
  <c r="D77" i="29"/>
  <c r="G79" i="30"/>
  <c r="G83" i="30"/>
  <c r="AF6" i="28"/>
  <c r="AF77" i="28"/>
  <c r="AE85" i="28"/>
  <c r="E6" i="29"/>
  <c r="E77" i="29"/>
  <c r="D85" i="29"/>
  <c r="H79" i="30"/>
  <c r="H83" i="30"/>
  <c r="AG6" i="28"/>
  <c r="AG77" i="28"/>
  <c r="AG85" i="28"/>
  <c r="AF85" i="28"/>
  <c r="F6" i="29"/>
  <c r="E85" i="29"/>
  <c r="I83" i="30"/>
  <c r="I79" i="30"/>
  <c r="F77" i="29"/>
  <c r="F85" i="29"/>
  <c r="J83" i="30"/>
  <c r="J79" i="30"/>
  <c r="G6" i="29"/>
  <c r="G77" i="29"/>
  <c r="H6" i="29"/>
  <c r="K79" i="30"/>
  <c r="K83" i="30"/>
  <c r="G85" i="29"/>
  <c r="H77" i="29"/>
  <c r="L83" i="30"/>
  <c r="L79" i="30"/>
  <c r="I6" i="29"/>
  <c r="I77" i="29"/>
  <c r="H85" i="29"/>
  <c r="M79" i="30"/>
  <c r="M83" i="30"/>
  <c r="J6" i="29"/>
  <c r="J77" i="29"/>
  <c r="K6" i="29"/>
  <c r="I85" i="29"/>
  <c r="N83" i="30"/>
  <c r="N79" i="30"/>
  <c r="J85" i="29"/>
  <c r="K77" i="29"/>
  <c r="L6" i="29"/>
  <c r="O83" i="30"/>
  <c r="O79" i="30"/>
  <c r="K85" i="29"/>
  <c r="L77" i="29"/>
  <c r="P79" i="30"/>
  <c r="P83" i="30"/>
  <c r="L85" i="29"/>
  <c r="M6" i="29"/>
  <c r="Q79" i="30"/>
  <c r="Q83" i="30"/>
  <c r="M77" i="29"/>
  <c r="N6" i="29"/>
  <c r="N77" i="29"/>
  <c r="O6" i="29"/>
  <c r="R83" i="30"/>
  <c r="R79" i="30"/>
  <c r="O77" i="29"/>
  <c r="O85" i="29"/>
  <c r="N85" i="29"/>
  <c r="M85" i="29"/>
  <c r="S83" i="30"/>
  <c r="S79" i="30"/>
  <c r="P6" i="29"/>
  <c r="P77" i="29"/>
  <c r="P85" i="29"/>
  <c r="T79" i="30"/>
  <c r="T83" i="30"/>
  <c r="Q6" i="29"/>
  <c r="Q77" i="29"/>
  <c r="Q85" i="29"/>
  <c r="U79" i="30"/>
  <c r="U83" i="30"/>
  <c r="R6" i="29"/>
  <c r="V83" i="30"/>
  <c r="V79" i="30"/>
  <c r="R77" i="29"/>
  <c r="S6" i="29"/>
  <c r="S77" i="29"/>
  <c r="T6" i="29"/>
  <c r="T77" i="29"/>
  <c r="W83" i="30"/>
  <c r="W79" i="30"/>
  <c r="R85" i="29"/>
  <c r="S85" i="29"/>
  <c r="U6" i="29"/>
  <c r="U77" i="29"/>
  <c r="T85" i="29"/>
  <c r="X79" i="30"/>
  <c r="X83" i="30"/>
  <c r="V6" i="29"/>
  <c r="V77" i="29"/>
  <c r="U85" i="29"/>
  <c r="Y79" i="30"/>
  <c r="Y83" i="30"/>
  <c r="W6" i="29"/>
  <c r="W77" i="29"/>
  <c r="V85" i="29"/>
  <c r="Z83" i="30"/>
  <c r="Z79" i="30"/>
  <c r="X6" i="29"/>
  <c r="X77" i="29"/>
  <c r="W85" i="29"/>
  <c r="AA83" i="30"/>
  <c r="AA79" i="30"/>
  <c r="Y6" i="29"/>
  <c r="X85" i="29"/>
  <c r="AB79" i="30"/>
  <c r="AB83" i="30"/>
  <c r="Y77" i="29"/>
  <c r="Z6" i="29"/>
  <c r="Z77" i="29"/>
  <c r="AC79" i="30"/>
  <c r="AC83" i="30"/>
  <c r="Y85" i="29"/>
  <c r="AA6" i="29"/>
  <c r="AA77" i="29"/>
  <c r="Z85" i="29"/>
  <c r="AD83" i="30"/>
  <c r="AD79" i="30"/>
  <c r="AB6" i="29"/>
  <c r="AB77" i="29"/>
  <c r="AE79" i="30"/>
  <c r="AE83" i="30"/>
  <c r="AA85" i="29"/>
  <c r="AC6" i="29"/>
  <c r="AB85" i="29"/>
  <c r="AF83" i="30"/>
  <c r="AF79" i="30"/>
  <c r="AC77" i="29"/>
  <c r="AD6" i="29"/>
  <c r="AD77" i="29"/>
  <c r="AG83" i="30"/>
  <c r="D79" i="31"/>
  <c r="D83" i="31"/>
  <c r="AG79" i="30"/>
  <c r="AC85" i="29"/>
  <c r="E83" i="31"/>
  <c r="E79" i="31"/>
  <c r="AH83" i="30"/>
  <c r="AI83" i="30"/>
  <c r="AH79" i="30"/>
  <c r="AE6" i="29"/>
  <c r="AE77" i="29"/>
  <c r="AD85" i="29"/>
  <c r="F79" i="31"/>
  <c r="F83" i="31"/>
  <c r="AF6" i="29"/>
  <c r="AE85" i="29"/>
  <c r="G79" i="31"/>
  <c r="G83" i="31"/>
  <c r="AF77" i="29"/>
  <c r="AG6" i="29"/>
  <c r="AG77" i="29"/>
  <c r="D6" i="30"/>
  <c r="D89" i="29"/>
  <c r="D92" i="29"/>
  <c r="D96" i="29"/>
  <c r="H83" i="31"/>
  <c r="H79" i="31"/>
  <c r="AI6" i="30"/>
  <c r="AI77" i="30"/>
  <c r="AI85" i="30"/>
  <c r="D77" i="30"/>
  <c r="AF85" i="29"/>
  <c r="AH6" i="29"/>
  <c r="AH77" i="29"/>
  <c r="AH85" i="29"/>
  <c r="AG85" i="29"/>
  <c r="I83" i="31"/>
  <c r="I79" i="31"/>
  <c r="D85" i="30"/>
  <c r="E6" i="30"/>
  <c r="J79" i="31"/>
  <c r="J83" i="31"/>
  <c r="E77" i="30"/>
  <c r="F6" i="30"/>
  <c r="F77" i="30"/>
  <c r="K79" i="31"/>
  <c r="K83" i="31"/>
  <c r="E85" i="30"/>
  <c r="G6" i="30"/>
  <c r="G77" i="30"/>
  <c r="F85" i="30"/>
  <c r="L83" i="31"/>
  <c r="L79" i="31"/>
  <c r="G85" i="30"/>
  <c r="H6" i="30"/>
  <c r="H77" i="30"/>
  <c r="M83" i="31"/>
  <c r="M79" i="31"/>
  <c r="H85" i="30"/>
  <c r="I6" i="30"/>
  <c r="I77" i="30"/>
  <c r="N79" i="31"/>
  <c r="N83" i="31"/>
  <c r="I85" i="30"/>
  <c r="J6" i="30"/>
  <c r="J77" i="30"/>
  <c r="O79" i="31"/>
  <c r="O83" i="31"/>
  <c r="K6" i="30"/>
  <c r="K77" i="30"/>
  <c r="J85" i="30"/>
  <c r="P83" i="31"/>
  <c r="P79" i="31"/>
  <c r="L6" i="30"/>
  <c r="L77" i="30"/>
  <c r="K85" i="30"/>
  <c r="Q79" i="31"/>
  <c r="Q83" i="31"/>
  <c r="L85" i="30"/>
  <c r="M6" i="30"/>
  <c r="R79" i="31"/>
  <c r="R83" i="31"/>
  <c r="M77" i="30"/>
  <c r="N6" i="30"/>
  <c r="N77" i="30"/>
  <c r="S79" i="31"/>
  <c r="S83" i="31"/>
  <c r="M85" i="30"/>
  <c r="O6" i="30"/>
  <c r="O77" i="30"/>
  <c r="N85" i="30"/>
  <c r="T83" i="31"/>
  <c r="T79" i="31"/>
  <c r="P6" i="30"/>
  <c r="P77" i="30"/>
  <c r="O85" i="30"/>
  <c r="U83" i="31"/>
  <c r="U79" i="31"/>
  <c r="P85" i="30"/>
  <c r="Q6" i="30"/>
  <c r="Q77" i="30"/>
  <c r="V79" i="31"/>
  <c r="V83" i="31"/>
  <c r="Q85" i="30"/>
  <c r="R6" i="30"/>
  <c r="W83" i="31"/>
  <c r="W79" i="31"/>
  <c r="R77" i="30"/>
  <c r="S6" i="30"/>
  <c r="S77" i="30"/>
  <c r="X79" i="31"/>
  <c r="X83" i="31"/>
  <c r="R85" i="30"/>
  <c r="T6" i="30"/>
  <c r="S85" i="30"/>
  <c r="Y83" i="31"/>
  <c r="Y79" i="31"/>
  <c r="T77" i="30"/>
  <c r="T85" i="30"/>
  <c r="Z79" i="31"/>
  <c r="Z83" i="31"/>
  <c r="U6" i="30"/>
  <c r="U77" i="30"/>
  <c r="V6" i="30"/>
  <c r="V77" i="30"/>
  <c r="AA79" i="31"/>
  <c r="AA83" i="31"/>
  <c r="U85" i="30"/>
  <c r="W6" i="30"/>
  <c r="V85" i="30"/>
  <c r="AB83" i="31"/>
  <c r="AB79" i="31"/>
  <c r="W77" i="30"/>
  <c r="W85" i="30"/>
  <c r="AC83" i="31"/>
  <c r="AC79" i="31"/>
  <c r="X6" i="30"/>
  <c r="X77" i="30"/>
  <c r="Y6" i="30"/>
  <c r="AD79" i="31"/>
  <c r="AD83" i="31"/>
  <c r="X85" i="30"/>
  <c r="Y77" i="30"/>
  <c r="Z6" i="30"/>
  <c r="Z77" i="30"/>
  <c r="AE79" i="31"/>
  <c r="AE83" i="31"/>
  <c r="Y85" i="30"/>
  <c r="AA6" i="30"/>
  <c r="AA77" i="30"/>
  <c r="Z85" i="30"/>
  <c r="AF83" i="31"/>
  <c r="AF79" i="31"/>
  <c r="AA85" i="30"/>
  <c r="AB6" i="30"/>
  <c r="AB77" i="30"/>
  <c r="D79" i="32"/>
  <c r="D83" i="32"/>
  <c r="AG79" i="31"/>
  <c r="AG83" i="31"/>
  <c r="AC6" i="30"/>
  <c r="AC77" i="30"/>
  <c r="AB85" i="30"/>
  <c r="AH79" i="31"/>
  <c r="AH83" i="31"/>
  <c r="AI83" i="31"/>
  <c r="E83" i="32"/>
  <c r="E79" i="32"/>
  <c r="AC85" i="30"/>
  <c r="AD6" i="30"/>
  <c r="F83" i="32"/>
  <c r="F79" i="32"/>
  <c r="AD77" i="30"/>
  <c r="AD85" i="30"/>
  <c r="G83" i="32"/>
  <c r="G79" i="32"/>
  <c r="AE6" i="30"/>
  <c r="H79" i="32"/>
  <c r="H83" i="32"/>
  <c r="AE77" i="30"/>
  <c r="AE85" i="30"/>
  <c r="I83" i="32"/>
  <c r="I79" i="32"/>
  <c r="AF6" i="30"/>
  <c r="AF77" i="30"/>
  <c r="J79" i="32"/>
  <c r="J83" i="32"/>
  <c r="AF85" i="30"/>
  <c r="AG6" i="30"/>
  <c r="D89" i="30"/>
  <c r="D92" i="30"/>
  <c r="D96" i="30"/>
  <c r="K79" i="32"/>
  <c r="K83" i="32"/>
  <c r="AG77" i="30"/>
  <c r="AG85" i="30"/>
  <c r="D6" i="31"/>
  <c r="L79" i="32"/>
  <c r="L83" i="32"/>
  <c r="AH6" i="30"/>
  <c r="AH77" i="30"/>
  <c r="AH85" i="30"/>
  <c r="AI6" i="31"/>
  <c r="AI77" i="31"/>
  <c r="AI85" i="31"/>
  <c r="D77" i="31"/>
  <c r="M83" i="32"/>
  <c r="M79" i="32"/>
  <c r="N79" i="32"/>
  <c r="N83" i="32"/>
  <c r="D85" i="31"/>
  <c r="E6" i="31"/>
  <c r="E77" i="31"/>
  <c r="E85" i="31"/>
  <c r="F6" i="31"/>
  <c r="F77" i="31"/>
  <c r="O79" i="32"/>
  <c r="O83" i="32"/>
  <c r="P79" i="32"/>
  <c r="P83" i="32"/>
  <c r="F85" i="31"/>
  <c r="G6" i="31"/>
  <c r="G77" i="31"/>
  <c r="G85" i="31"/>
  <c r="H6" i="31"/>
  <c r="H77" i="31"/>
  <c r="Q83" i="32"/>
  <c r="Q79" i="32"/>
  <c r="R79" i="32"/>
  <c r="R83" i="32"/>
  <c r="H85" i="31"/>
  <c r="I6" i="31"/>
  <c r="I77" i="31"/>
  <c r="I85" i="31"/>
  <c r="J6" i="31"/>
  <c r="J77" i="31"/>
  <c r="S79" i="32"/>
  <c r="S83" i="32"/>
  <c r="J85" i="31"/>
  <c r="K6" i="31"/>
  <c r="K77" i="31"/>
  <c r="T79" i="32"/>
  <c r="T83" i="32"/>
  <c r="U83" i="32"/>
  <c r="U79" i="32"/>
  <c r="K85" i="31"/>
  <c r="L6" i="31"/>
  <c r="L77" i="31"/>
  <c r="M6" i="31"/>
  <c r="M77" i="31"/>
  <c r="L85" i="31"/>
  <c r="V83" i="32"/>
  <c r="V79" i="32"/>
  <c r="W79" i="32"/>
  <c r="W83" i="32"/>
  <c r="N6" i="31"/>
  <c r="N77" i="31"/>
  <c r="M85" i="31"/>
  <c r="O6" i="31"/>
  <c r="O77" i="31"/>
  <c r="N85" i="31"/>
  <c r="X83" i="32"/>
  <c r="X79" i="32"/>
  <c r="Y79" i="32"/>
  <c r="Y83" i="32"/>
  <c r="P6" i="31"/>
  <c r="P77" i="31"/>
  <c r="O85" i="31"/>
  <c r="P85" i="31"/>
  <c r="Q6" i="31"/>
  <c r="Q77" i="31"/>
  <c r="Z79" i="32"/>
  <c r="Z83" i="32"/>
  <c r="AA79" i="32"/>
  <c r="AA83" i="32"/>
  <c r="Q85" i="31"/>
  <c r="R6" i="31"/>
  <c r="R77" i="31"/>
  <c r="R85" i="31"/>
  <c r="S6" i="31"/>
  <c r="S77" i="31"/>
  <c r="AB83" i="32"/>
  <c r="AB79" i="32"/>
  <c r="AC83" i="32"/>
  <c r="AC79" i="32"/>
  <c r="S85" i="31"/>
  <c r="T6" i="31"/>
  <c r="T77" i="31"/>
  <c r="T85" i="31"/>
  <c r="U6" i="31"/>
  <c r="U77" i="31"/>
  <c r="AD83" i="32"/>
  <c r="AD79" i="32"/>
  <c r="AE83" i="32"/>
  <c r="AE79" i="32"/>
  <c r="U85" i="31"/>
  <c r="V6" i="31"/>
  <c r="V77" i="31"/>
  <c r="W6" i="31"/>
  <c r="W77" i="31"/>
  <c r="V85" i="31"/>
  <c r="AF83" i="32"/>
  <c r="AF79" i="32"/>
  <c r="AG83" i="32"/>
  <c r="AG79" i="32"/>
  <c r="W85" i="31"/>
  <c r="X6" i="31"/>
  <c r="X77" i="31"/>
  <c r="X85" i="31"/>
  <c r="Y6" i="31"/>
  <c r="Y77" i="31"/>
  <c r="D79" i="33"/>
  <c r="D83" i="33"/>
  <c r="AH83" i="32"/>
  <c r="AI83" i="32"/>
  <c r="AH79" i="32"/>
  <c r="E79" i="33"/>
  <c r="E83" i="33"/>
  <c r="Y85" i="31"/>
  <c r="Z6" i="31"/>
  <c r="Z77" i="31"/>
  <c r="F79" i="33"/>
  <c r="F83" i="33"/>
  <c r="AA6" i="31"/>
  <c r="AA77" i="31"/>
  <c r="Z85" i="31"/>
  <c r="AB6" i="31"/>
  <c r="AB77" i="31"/>
  <c r="AA85" i="31"/>
  <c r="G79" i="33"/>
  <c r="G83" i="33"/>
  <c r="H79" i="33"/>
  <c r="H83" i="33"/>
  <c r="AC6" i="31"/>
  <c r="AC77" i="31"/>
  <c r="AB85" i="31"/>
  <c r="AC85" i="31"/>
  <c r="AD6" i="31"/>
  <c r="AD77" i="31"/>
  <c r="I79" i="33"/>
  <c r="I83" i="33"/>
  <c r="J83" i="33"/>
  <c r="J79" i="33"/>
  <c r="AD85" i="31"/>
  <c r="AE6" i="31"/>
  <c r="AE77" i="31"/>
  <c r="AE85" i="31"/>
  <c r="AF6" i="31"/>
  <c r="K79" i="33"/>
  <c r="K83" i="33"/>
  <c r="L79" i="33"/>
  <c r="L83" i="33"/>
  <c r="AF77" i="31"/>
  <c r="G89" i="31"/>
  <c r="G92" i="31"/>
  <c r="G96" i="31"/>
  <c r="AG6" i="31"/>
  <c r="AG77" i="31"/>
  <c r="AF85" i="31"/>
  <c r="D6" i="32"/>
  <c r="M83" i="33"/>
  <c r="M79" i="33"/>
  <c r="AI6" i="32"/>
  <c r="AI77" i="32"/>
  <c r="AI85" i="32"/>
  <c r="D77" i="32"/>
  <c r="N79" i="33"/>
  <c r="N83" i="33"/>
  <c r="AG85" i="31"/>
  <c r="AH6" i="31"/>
  <c r="AH77" i="31"/>
  <c r="AH85" i="31"/>
  <c r="O79" i="33"/>
  <c r="O83" i="33"/>
  <c r="E6" i="32"/>
  <c r="E77" i="32"/>
  <c r="D85" i="32"/>
  <c r="F6" i="32"/>
  <c r="F77" i="32"/>
  <c r="E85" i="32"/>
  <c r="P79" i="33"/>
  <c r="P83" i="33"/>
  <c r="Q83" i="33"/>
  <c r="Q79" i="33"/>
  <c r="G6" i="32"/>
  <c r="G77" i="32"/>
  <c r="F85" i="32"/>
  <c r="H6" i="32"/>
  <c r="H77" i="32"/>
  <c r="G85" i="32"/>
  <c r="R83" i="33"/>
  <c r="R79" i="33"/>
  <c r="S79" i="33"/>
  <c r="S83" i="33"/>
  <c r="I6" i="32"/>
  <c r="I77" i="32"/>
  <c r="H85" i="32"/>
  <c r="I85" i="32"/>
  <c r="J6" i="32"/>
  <c r="J77" i="32"/>
  <c r="T79" i="33"/>
  <c r="T83" i="33"/>
  <c r="U83" i="33"/>
  <c r="U79" i="33"/>
  <c r="K6" i="32"/>
  <c r="K77" i="32"/>
  <c r="J85" i="32"/>
  <c r="K85" i="32"/>
  <c r="L6" i="32"/>
  <c r="L77" i="32"/>
  <c r="V79" i="33"/>
  <c r="V83" i="33"/>
  <c r="W79" i="33"/>
  <c r="W83" i="33"/>
  <c r="M6" i="32"/>
  <c r="M77" i="32"/>
  <c r="L85" i="32"/>
  <c r="N6" i="32"/>
  <c r="N77" i="32"/>
  <c r="M85" i="32"/>
  <c r="X79" i="33"/>
  <c r="X83" i="33"/>
  <c r="Y83" i="33"/>
  <c r="Y79" i="33"/>
  <c r="O6" i="32"/>
  <c r="O77" i="32"/>
  <c r="N85" i="32"/>
  <c r="P6" i="32"/>
  <c r="P77" i="32"/>
  <c r="O85" i="32"/>
  <c r="Z83" i="33"/>
  <c r="Z79" i="33"/>
  <c r="AA79" i="33"/>
  <c r="AA83" i="33"/>
  <c r="P85" i="32"/>
  <c r="Q6" i="32"/>
  <c r="Q77" i="32"/>
  <c r="R6" i="32"/>
  <c r="R77" i="32"/>
  <c r="Q85" i="32"/>
  <c r="AB79" i="33"/>
  <c r="AB83" i="33"/>
  <c r="AC83" i="33"/>
  <c r="AC79" i="33"/>
  <c r="S6" i="32"/>
  <c r="S77" i="32"/>
  <c r="R85" i="32"/>
  <c r="T6" i="32"/>
  <c r="T77" i="32"/>
  <c r="S85" i="32"/>
  <c r="AD79" i="33"/>
  <c r="AD83" i="33"/>
  <c r="AE79" i="33"/>
  <c r="AE83" i="33"/>
  <c r="U6" i="32"/>
  <c r="U77" i="32"/>
  <c r="T85" i="32"/>
  <c r="U85" i="32"/>
  <c r="V6" i="32"/>
  <c r="V77" i="32"/>
  <c r="AF83" i="33"/>
  <c r="AF79" i="33"/>
  <c r="AG83" i="33"/>
  <c r="AG79" i="33"/>
  <c r="W6" i="32"/>
  <c r="W77" i="32"/>
  <c r="V85" i="32"/>
  <c r="X6" i="32"/>
  <c r="X77" i="32"/>
  <c r="W85" i="32"/>
  <c r="AH79" i="33"/>
  <c r="AH83" i="33"/>
  <c r="AI83" i="33"/>
  <c r="D79" i="34"/>
  <c r="D83" i="34"/>
  <c r="Y6" i="32"/>
  <c r="Y77" i="32"/>
  <c r="X85" i="32"/>
  <c r="Z6" i="32"/>
  <c r="Z77" i="32"/>
  <c r="Y85" i="32"/>
  <c r="E79" i="34"/>
  <c r="E83" i="34"/>
  <c r="F83" i="34"/>
  <c r="F79" i="34"/>
  <c r="AA6" i="32"/>
  <c r="AA77" i="32"/>
  <c r="Z85" i="32"/>
  <c r="AB6" i="32"/>
  <c r="AB77" i="32"/>
  <c r="AA85" i="32"/>
  <c r="G83" i="34"/>
  <c r="G79" i="34"/>
  <c r="H79" i="34"/>
  <c r="H83" i="34"/>
  <c r="AC6" i="32"/>
  <c r="AC77" i="32"/>
  <c r="AB85" i="32"/>
  <c r="AD6" i="32"/>
  <c r="AD77" i="32"/>
  <c r="AC85" i="32"/>
  <c r="I79" i="34"/>
  <c r="I83" i="34"/>
  <c r="J83" i="34"/>
  <c r="J79" i="34"/>
  <c r="AE6" i="32"/>
  <c r="AE77" i="32"/>
  <c r="AD85" i="32"/>
  <c r="AF6" i="32"/>
  <c r="AF77" i="32"/>
  <c r="AE85" i="32"/>
  <c r="K83" i="34"/>
  <c r="K79" i="34"/>
  <c r="L79" i="34"/>
  <c r="L83" i="34"/>
  <c r="AF85" i="32"/>
  <c r="AG6" i="32"/>
  <c r="AG77" i="32"/>
  <c r="D89" i="32"/>
  <c r="D92" i="32"/>
  <c r="D96" i="32"/>
  <c r="M83" i="34"/>
  <c r="M79" i="34"/>
  <c r="N79" i="34"/>
  <c r="N83" i="34"/>
  <c r="AH6" i="32"/>
  <c r="AH77" i="32"/>
  <c r="AH85" i="32"/>
  <c r="D6" i="33"/>
  <c r="AG85" i="32"/>
  <c r="D77" i="33"/>
  <c r="AI6" i="33"/>
  <c r="AI77" i="33"/>
  <c r="AI85" i="33"/>
  <c r="O83" i="34"/>
  <c r="O79" i="34"/>
  <c r="P83" i="34"/>
  <c r="P79" i="34"/>
  <c r="E6" i="33"/>
  <c r="E77" i="33"/>
  <c r="D85" i="33"/>
  <c r="E85" i="33"/>
  <c r="F6" i="33"/>
  <c r="F77" i="33"/>
  <c r="Q79" i="34"/>
  <c r="Q83" i="34"/>
  <c r="R83" i="34"/>
  <c r="R79" i="34"/>
  <c r="F85" i="33"/>
  <c r="G6" i="33"/>
  <c r="G77" i="33"/>
  <c r="G85" i="33"/>
  <c r="H6" i="33"/>
  <c r="H77" i="33"/>
  <c r="S79" i="34"/>
  <c r="S83" i="34"/>
  <c r="T79" i="34"/>
  <c r="T83" i="34"/>
  <c r="I6" i="33"/>
  <c r="I77" i="33"/>
  <c r="H85" i="33"/>
  <c r="J6" i="33"/>
  <c r="J77" i="33"/>
  <c r="I85" i="33"/>
  <c r="U79" i="34"/>
  <c r="U83" i="34"/>
  <c r="V83" i="34"/>
  <c r="V79" i="34"/>
  <c r="J85" i="33"/>
  <c r="K6" i="33"/>
  <c r="K77" i="33"/>
  <c r="K85" i="33"/>
  <c r="L6" i="33"/>
  <c r="L77" i="33"/>
  <c r="W79" i="34"/>
  <c r="W83" i="34"/>
  <c r="X79" i="34"/>
  <c r="X83" i="34"/>
  <c r="L85" i="33"/>
  <c r="M6" i="33"/>
  <c r="M77" i="33"/>
  <c r="M85" i="33"/>
  <c r="N6" i="33"/>
  <c r="N77" i="33"/>
  <c r="Y79" i="34"/>
  <c r="Y83" i="34"/>
  <c r="Z83" i="34"/>
  <c r="Z79" i="34"/>
  <c r="N85" i="33"/>
  <c r="O6" i="33"/>
  <c r="O77" i="33"/>
  <c r="O85" i="33"/>
  <c r="P6" i="33"/>
  <c r="P77" i="33"/>
  <c r="AA79" i="34"/>
  <c r="AA83" i="34"/>
  <c r="AB79" i="34"/>
  <c r="AB83" i="34"/>
  <c r="Q6" i="33"/>
  <c r="Q77" i="33"/>
  <c r="P85" i="33"/>
  <c r="R6" i="33"/>
  <c r="R77" i="33"/>
  <c r="Q85" i="33"/>
  <c r="AC79" i="34"/>
  <c r="AC83" i="34"/>
  <c r="AD83" i="34"/>
  <c r="AD79" i="34"/>
  <c r="R85" i="33"/>
  <c r="S6" i="33"/>
  <c r="S77" i="33"/>
  <c r="T6" i="33"/>
  <c r="T77" i="33"/>
  <c r="S85" i="33"/>
  <c r="AE83" i="34"/>
  <c r="AE79" i="34"/>
  <c r="AF79" i="34"/>
  <c r="AF83" i="34"/>
  <c r="T85" i="33"/>
  <c r="U6" i="33"/>
  <c r="U77" i="33"/>
  <c r="V6" i="33"/>
  <c r="V77" i="33"/>
  <c r="U85" i="33"/>
  <c r="AG79" i="34"/>
  <c r="AG83" i="34"/>
  <c r="AH83" i="34"/>
  <c r="AH79" i="34"/>
  <c r="V85" i="33"/>
  <c r="W6" i="33"/>
  <c r="W77" i="33"/>
  <c r="W85" i="33"/>
  <c r="X6" i="33"/>
  <c r="X77" i="33"/>
  <c r="AI83" i="34"/>
  <c r="D79" i="35"/>
  <c r="D83" i="35"/>
  <c r="E79" i="35"/>
  <c r="E83" i="35"/>
  <c r="X85" i="33"/>
  <c r="Y6" i="33"/>
  <c r="Y77" i="33"/>
  <c r="F83" i="35"/>
  <c r="F79" i="35"/>
  <c r="Y85" i="33"/>
  <c r="Z6" i="33"/>
  <c r="Z77" i="33"/>
  <c r="AA6" i="33"/>
  <c r="AA77" i="33"/>
  <c r="Z85" i="33"/>
  <c r="G83" i="35"/>
  <c r="G79" i="35"/>
  <c r="H83" i="35"/>
  <c r="H79" i="35"/>
  <c r="AA85" i="33"/>
  <c r="AB6" i="33"/>
  <c r="AB77" i="33"/>
  <c r="AB85" i="33"/>
  <c r="AC6" i="33"/>
  <c r="AC77" i="33"/>
  <c r="I83" i="35"/>
  <c r="I79" i="35"/>
  <c r="J79" i="35"/>
  <c r="J83" i="35"/>
  <c r="AC85" i="33"/>
  <c r="AD6" i="33"/>
  <c r="AD77" i="33"/>
  <c r="AD85" i="33"/>
  <c r="AE6" i="33"/>
  <c r="AE77" i="33"/>
  <c r="K83" i="35"/>
  <c r="K79" i="35"/>
  <c r="L79" i="35"/>
  <c r="L83" i="35"/>
  <c r="AE85" i="33"/>
  <c r="AF6" i="33"/>
  <c r="AF77" i="33"/>
  <c r="AF85" i="33"/>
  <c r="AG6" i="33"/>
  <c r="AG77" i="33"/>
  <c r="M83" i="35"/>
  <c r="M79" i="35"/>
  <c r="N83" i="35"/>
  <c r="N79" i="35"/>
  <c r="AG85" i="33"/>
  <c r="AH6" i="33"/>
  <c r="D89" i="33"/>
  <c r="D92" i="33"/>
  <c r="D96" i="33"/>
  <c r="AH77" i="33"/>
  <c r="O79" i="35"/>
  <c r="O83" i="35"/>
  <c r="P83" i="35"/>
  <c r="P79" i="35"/>
  <c r="AH85" i="33"/>
  <c r="D6" i="34"/>
  <c r="AI6" i="34"/>
  <c r="AI77" i="34"/>
  <c r="AI85" i="34"/>
  <c r="D77" i="34"/>
  <c r="Q83" i="35"/>
  <c r="Q79" i="35"/>
  <c r="R79" i="35"/>
  <c r="R83" i="35"/>
  <c r="E6" i="34"/>
  <c r="E77" i="34"/>
  <c r="D85" i="34"/>
  <c r="E85" i="34"/>
  <c r="F6" i="34"/>
  <c r="F77" i="34"/>
  <c r="S79" i="35"/>
  <c r="S83" i="35"/>
  <c r="T83" i="35"/>
  <c r="T79" i="35"/>
  <c r="F85" i="34"/>
  <c r="G6" i="34"/>
  <c r="G77" i="34"/>
  <c r="G85" i="34"/>
  <c r="H6" i="34"/>
  <c r="H77" i="34"/>
  <c r="U79" i="35"/>
  <c r="U83" i="35"/>
  <c r="V79" i="35"/>
  <c r="V83" i="35"/>
  <c r="H85" i="34"/>
  <c r="I6" i="34"/>
  <c r="I77" i="34"/>
  <c r="I85" i="34"/>
  <c r="J6" i="34"/>
  <c r="J77" i="34"/>
  <c r="W79" i="35"/>
  <c r="W83" i="35"/>
  <c r="X79" i="35"/>
  <c r="X83" i="35"/>
  <c r="J85" i="34"/>
  <c r="K6" i="34"/>
  <c r="K77" i="34"/>
  <c r="K85" i="34"/>
  <c r="L6" i="34"/>
  <c r="L77" i="34"/>
  <c r="Y79" i="35"/>
  <c r="Y83" i="35"/>
  <c r="Z83" i="35"/>
  <c r="Z79" i="35"/>
  <c r="L85" i="34"/>
  <c r="M6" i="34"/>
  <c r="M77" i="34"/>
  <c r="M85" i="34"/>
  <c r="N6" i="34"/>
  <c r="N77" i="34"/>
  <c r="AA83" i="35"/>
  <c r="AA79" i="35"/>
  <c r="AB79" i="35"/>
  <c r="AB83" i="35"/>
  <c r="N85" i="34"/>
  <c r="O6" i="34"/>
  <c r="O77" i="34"/>
  <c r="P6" i="34"/>
  <c r="P77" i="34"/>
  <c r="O85" i="34"/>
  <c r="AC79" i="35"/>
  <c r="AC83" i="35"/>
  <c r="AD79" i="35"/>
  <c r="AD83" i="35"/>
  <c r="Q6" i="34"/>
  <c r="Q77" i="34"/>
  <c r="P85" i="34"/>
  <c r="R6" i="34"/>
  <c r="R77" i="34"/>
  <c r="Q85" i="34"/>
  <c r="AE79" i="35"/>
  <c r="AE83" i="35"/>
  <c r="AF83" i="35"/>
  <c r="AF79" i="35"/>
  <c r="S6" i="34"/>
  <c r="S77" i="34"/>
  <c r="R85" i="34"/>
  <c r="S85" i="34"/>
  <c r="T6" i="34"/>
  <c r="T77" i="34"/>
  <c r="AG79" i="35"/>
  <c r="AG83" i="35"/>
  <c r="D79" i="36"/>
  <c r="D83" i="36"/>
  <c r="AH83" i="35"/>
  <c r="AI83" i="35"/>
  <c r="AH79" i="35"/>
  <c r="T85" i="34"/>
  <c r="U6" i="34"/>
  <c r="U77" i="34"/>
  <c r="V6" i="34"/>
  <c r="V77" i="34"/>
  <c r="U85" i="34"/>
  <c r="E83" i="36"/>
  <c r="E79" i="36"/>
  <c r="W6" i="34"/>
  <c r="W77" i="34"/>
  <c r="V85" i="34"/>
  <c r="F79" i="36"/>
  <c r="F83" i="36"/>
  <c r="G83" i="36"/>
  <c r="G79" i="36"/>
  <c r="W85" i="34"/>
  <c r="X6" i="34"/>
  <c r="X77" i="34"/>
  <c r="Y6" i="34"/>
  <c r="Y77" i="34"/>
  <c r="X85" i="34"/>
  <c r="H79" i="36"/>
  <c r="H83" i="36"/>
  <c r="I79" i="36"/>
  <c r="I83" i="36"/>
  <c r="Y85" i="34"/>
  <c r="Z6" i="34"/>
  <c r="Z77" i="34"/>
  <c r="Z85" i="34"/>
  <c r="AA6" i="34"/>
  <c r="AA77" i="34"/>
  <c r="J79" i="36"/>
  <c r="J83" i="36"/>
  <c r="K79" i="36"/>
  <c r="K83" i="36"/>
  <c r="AA85" i="34"/>
  <c r="AB6" i="34"/>
  <c r="AB77" i="34"/>
  <c r="AB85" i="34"/>
  <c r="AC6" i="34"/>
  <c r="AC77" i="34"/>
  <c r="L83" i="36"/>
  <c r="L79" i="36"/>
  <c r="M83" i="36"/>
  <c r="M79" i="36"/>
  <c r="AD6" i="34"/>
  <c r="AD77" i="34"/>
  <c r="AC85" i="34"/>
  <c r="AE6" i="34"/>
  <c r="AE77" i="34"/>
  <c r="AD85" i="34"/>
  <c r="N79" i="36"/>
  <c r="N83" i="36"/>
  <c r="O83" i="36"/>
  <c r="O79" i="36"/>
  <c r="AE85" i="34"/>
  <c r="AF6" i="34"/>
  <c r="AF77" i="34"/>
  <c r="AF85" i="34"/>
  <c r="AG6" i="34"/>
  <c r="AG77" i="34"/>
  <c r="P83" i="36"/>
  <c r="P79" i="36"/>
  <c r="Q83" i="36"/>
  <c r="Q79" i="36"/>
  <c r="AG85" i="34"/>
  <c r="AH6" i="34"/>
  <c r="D89" i="34"/>
  <c r="D92" i="34"/>
  <c r="D96" i="34"/>
  <c r="AH77" i="34"/>
  <c r="R83" i="36"/>
  <c r="R79" i="36"/>
  <c r="S83" i="36"/>
  <c r="S79" i="36"/>
  <c r="AH85" i="34"/>
  <c r="D6" i="35"/>
  <c r="AI6" i="35"/>
  <c r="AI77" i="35"/>
  <c r="AI85" i="35"/>
  <c r="D77" i="35"/>
  <c r="T79" i="36"/>
  <c r="T83" i="36"/>
  <c r="E6" i="35"/>
  <c r="E77" i="35"/>
  <c r="D85" i="35"/>
  <c r="U83" i="36"/>
  <c r="U79" i="36"/>
  <c r="V79" i="36"/>
  <c r="V83" i="36"/>
  <c r="F6" i="35"/>
  <c r="F77" i="35"/>
  <c r="E85" i="35"/>
  <c r="F85" i="35"/>
  <c r="G6" i="35"/>
  <c r="G77" i="35"/>
  <c r="W83" i="36"/>
  <c r="W79" i="36"/>
  <c r="X79" i="36"/>
  <c r="X83" i="36"/>
  <c r="G85" i="35"/>
  <c r="H6" i="35"/>
  <c r="H77" i="35"/>
  <c r="H85" i="35"/>
  <c r="I6" i="35"/>
  <c r="I77" i="35"/>
  <c r="Y83" i="36"/>
  <c r="Y79" i="36"/>
  <c r="Z79" i="36"/>
  <c r="Z83" i="36"/>
  <c r="J6" i="35"/>
  <c r="J77" i="35"/>
  <c r="I85" i="35"/>
  <c r="K6" i="35"/>
  <c r="K77" i="35"/>
  <c r="J85" i="35"/>
  <c r="AA79" i="36"/>
  <c r="AA83" i="36"/>
  <c r="AB79" i="36"/>
  <c r="AB83" i="36"/>
  <c r="K85" i="35"/>
  <c r="L6" i="35"/>
  <c r="L77" i="35"/>
  <c r="L85" i="35"/>
  <c r="M6" i="35"/>
  <c r="M77" i="35"/>
  <c r="AC83" i="36"/>
  <c r="AC79" i="36"/>
  <c r="AD83" i="36"/>
  <c r="AD79" i="36"/>
  <c r="M85" i="35"/>
  <c r="N6" i="35"/>
  <c r="N77" i="35"/>
  <c r="N85" i="35"/>
  <c r="O6" i="35"/>
  <c r="O77" i="35"/>
  <c r="AE83" i="36"/>
  <c r="AE79" i="36"/>
  <c r="AF79" i="36"/>
  <c r="AF83" i="36"/>
  <c r="P6" i="35"/>
  <c r="P77" i="35"/>
  <c r="O85" i="35"/>
  <c r="AG83" i="36"/>
  <c r="AG79" i="36"/>
  <c r="P85" i="35"/>
  <c r="Q6" i="35"/>
  <c r="Q77" i="35"/>
  <c r="Q85" i="35"/>
  <c r="R6" i="35"/>
  <c r="R77" i="35"/>
  <c r="AH83" i="36"/>
  <c r="AI83" i="36"/>
  <c r="AH79" i="36"/>
  <c r="S6" i="35"/>
  <c r="S77" i="35"/>
  <c r="R85" i="35"/>
  <c r="S85" i="35"/>
  <c r="T6" i="35"/>
  <c r="T77" i="35"/>
  <c r="U6" i="35"/>
  <c r="U77" i="35"/>
  <c r="T85" i="35"/>
  <c r="U85" i="35"/>
  <c r="V6" i="35"/>
  <c r="V77" i="35"/>
  <c r="W6" i="35"/>
  <c r="W77" i="35"/>
  <c r="V85" i="35"/>
  <c r="W85" i="35"/>
  <c r="X6" i="35"/>
  <c r="X77" i="35"/>
  <c r="Y6" i="35"/>
  <c r="Y77" i="35"/>
  <c r="X85" i="35"/>
  <c r="Y85" i="35"/>
  <c r="Z6" i="35"/>
  <c r="Z77" i="35"/>
  <c r="Z85" i="35"/>
  <c r="AA6" i="35"/>
  <c r="AA77" i="35"/>
  <c r="AA85" i="35"/>
  <c r="AB6" i="35"/>
  <c r="AB77" i="35"/>
  <c r="AB85" i="35"/>
  <c r="AC6" i="35"/>
  <c r="AC77" i="35"/>
  <c r="AC85" i="35"/>
  <c r="AD6" i="35"/>
  <c r="AD77" i="35"/>
  <c r="AD85" i="35"/>
  <c r="AE6" i="35"/>
  <c r="AE77" i="35"/>
  <c r="AF6" i="35"/>
  <c r="AF77" i="35"/>
  <c r="AE85" i="35"/>
  <c r="AF85" i="35"/>
  <c r="AG6" i="35"/>
  <c r="AG77" i="35"/>
  <c r="D89" i="35"/>
  <c r="D92" i="35"/>
  <c r="D96" i="35"/>
  <c r="D6" i="36"/>
  <c r="AH6" i="35"/>
  <c r="AH77" i="35"/>
  <c r="AH85" i="35"/>
  <c r="AG85" i="35"/>
  <c r="AI6" i="36"/>
  <c r="AI77" i="36"/>
  <c r="AI85" i="36"/>
  <c r="D77" i="36"/>
  <c r="E6" i="36"/>
  <c r="D85" i="36"/>
  <c r="E77" i="36"/>
  <c r="D89" i="36"/>
  <c r="D92" i="36"/>
  <c r="D96" i="36"/>
  <c r="F6" i="36"/>
  <c r="F77" i="36"/>
  <c r="E85" i="36"/>
  <c r="G6" i="36"/>
  <c r="G77" i="36"/>
  <c r="F85" i="36"/>
  <c r="H6" i="36"/>
  <c r="H77" i="36"/>
  <c r="G85" i="36"/>
  <c r="H85" i="36"/>
  <c r="I6" i="36"/>
  <c r="I77" i="36"/>
  <c r="I85" i="36"/>
  <c r="J6" i="36"/>
  <c r="J77" i="36"/>
  <c r="K6" i="36"/>
  <c r="K77" i="36"/>
  <c r="J85" i="36"/>
  <c r="L6" i="36"/>
  <c r="L77" i="36"/>
  <c r="K85" i="36"/>
  <c r="L85" i="36"/>
  <c r="M6" i="36"/>
  <c r="M77" i="36"/>
  <c r="N6" i="36"/>
  <c r="N77" i="36"/>
  <c r="M85" i="36"/>
  <c r="N85" i="36"/>
  <c r="O6" i="36"/>
  <c r="O77" i="36"/>
  <c r="P6" i="36"/>
  <c r="P77" i="36"/>
  <c r="O85" i="36"/>
  <c r="P85" i="36"/>
  <c r="Q6" i="36"/>
  <c r="Q77" i="36"/>
  <c r="Q85" i="36"/>
  <c r="R6" i="36"/>
  <c r="R77" i="36"/>
  <c r="S6" i="36"/>
  <c r="S77" i="36"/>
  <c r="R85" i="36"/>
  <c r="T6" i="36"/>
  <c r="T77" i="36"/>
  <c r="S85" i="36"/>
  <c r="U6" i="36"/>
  <c r="U77" i="36"/>
  <c r="T85" i="36"/>
  <c r="V6" i="36"/>
  <c r="V77" i="36"/>
  <c r="U85" i="36"/>
  <c r="V85" i="36"/>
  <c r="W6" i="36"/>
  <c r="W77" i="36"/>
  <c r="X6" i="36"/>
  <c r="X77" i="36"/>
  <c r="W85" i="36"/>
  <c r="X85" i="36"/>
  <c r="Y6" i="36"/>
  <c r="Y77" i="36"/>
  <c r="Y85" i="36"/>
  <c r="Z6" i="36"/>
  <c r="Z77" i="36"/>
  <c r="AA6" i="36"/>
  <c r="AA77" i="36"/>
  <c r="Z85" i="36"/>
  <c r="AB6" i="36"/>
  <c r="AB77" i="36"/>
  <c r="AA85" i="36"/>
  <c r="AB85" i="36"/>
  <c r="AC6" i="36"/>
  <c r="AC77" i="36"/>
  <c r="AD6" i="36"/>
  <c r="AD77" i="36"/>
  <c r="AC85" i="36"/>
  <c r="AD85" i="36"/>
  <c r="AE6" i="36"/>
  <c r="AE77" i="36"/>
  <c r="AF6" i="36"/>
  <c r="AF77" i="36"/>
  <c r="AE85" i="36"/>
  <c r="AF85" i="36"/>
  <c r="AG6" i="36"/>
  <c r="AG77" i="36"/>
  <c r="AG85" i="36"/>
  <c r="AH6" i="36"/>
  <c r="AH77" i="36"/>
  <c r="AH85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Financeiro2</author>
  </authors>
  <commentList>
    <comment ref="M8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Financeiro2:</t>
        </r>
        <r>
          <rPr>
            <sz val="9"/>
            <color indexed="81"/>
            <rFont val="Tahoma"/>
            <family val="2"/>
          </rPr>
          <t xml:space="preserve">
Regularizaçao de lançamentos anteriores não efetuados
</t>
        </r>
      </text>
    </comment>
  </commentList>
</comments>
</file>

<file path=xl/sharedStrings.xml><?xml version="1.0" encoding="utf-8"?>
<sst xmlns="http://schemas.openxmlformats.org/spreadsheetml/2006/main" count="1268" uniqueCount="108">
  <si>
    <t>ÍTEM / DESCRIÇÃO</t>
  </si>
  <si>
    <t>ACUMULADO</t>
  </si>
  <si>
    <t>ENTRADAS</t>
  </si>
  <si>
    <t>Água e Esgoto</t>
  </si>
  <si>
    <t>Energia Elétrica</t>
  </si>
  <si>
    <t>Telefone</t>
  </si>
  <si>
    <t>Despesas Bancárias</t>
  </si>
  <si>
    <t>Gastos Diversos</t>
  </si>
  <si>
    <t>SAIDAS</t>
  </si>
  <si>
    <t>Total de Contas de Consumo</t>
  </si>
  <si>
    <t>Total de Serviços Contratados e Terceirizados</t>
  </si>
  <si>
    <t>Serviços Postais e de Entrega Rápida</t>
  </si>
  <si>
    <t>Material de Escritório/Serviços Gráficos</t>
  </si>
  <si>
    <t>SALDO DA CONTA CORRENTE</t>
  </si>
  <si>
    <t>SALDO ANTERIOR DA CONTA CORRENTE</t>
  </si>
  <si>
    <t>APLICAÇÕES</t>
  </si>
  <si>
    <t>Outros Serviços Contratados</t>
  </si>
  <si>
    <t>Repasse Diversos</t>
  </si>
  <si>
    <t>Serviço Lavanderia</t>
  </si>
  <si>
    <t>Aluguel de Equipamentos</t>
  </si>
  <si>
    <t>Ornamentação</t>
  </si>
  <si>
    <t>ISS Retido a Recolher</t>
  </si>
  <si>
    <t>INSS Retido a Recolher</t>
  </si>
  <si>
    <t>Cheques Não Compesados</t>
  </si>
  <si>
    <t>Rendimentos de Aplicações</t>
  </si>
  <si>
    <t>SALDO TOTAL</t>
  </si>
  <si>
    <t>Impostos Lei 10.833</t>
  </si>
  <si>
    <t>Cópias e Autenticações</t>
  </si>
  <si>
    <t>Assessoria Jurídica/Contábil e Auditoria</t>
  </si>
  <si>
    <t>Material de Limpeza</t>
  </si>
  <si>
    <t>SALDO DAS APLICAÇÕES</t>
  </si>
  <si>
    <t>TOTAL DAS ENTRADAS</t>
  </si>
  <si>
    <t>Serviços Contratados PJ</t>
  </si>
  <si>
    <t>Custo Ar Condicionado</t>
  </si>
  <si>
    <t>Despesa Viagens e Estadias</t>
  </si>
  <si>
    <t>Serviço Prestado Gerente Geral</t>
  </si>
  <si>
    <t>TOTAL DAS SAÍDAS</t>
  </si>
  <si>
    <t>RESUMO DO DIA</t>
  </si>
  <si>
    <t>DATA ATUAL:</t>
  </si>
  <si>
    <t>SAÍDA PREVISTA:</t>
  </si>
  <si>
    <t>ENTRADA PREVISTA:</t>
  </si>
  <si>
    <t>FUNDO REPOSIÇÃO ATIVOS:</t>
  </si>
  <si>
    <t>SALDO FINAL PREVISTO:</t>
  </si>
  <si>
    <t>Financeiro</t>
  </si>
  <si>
    <t>G. Financeiro</t>
  </si>
  <si>
    <t>Gerente Geral</t>
  </si>
  <si>
    <t>SALDO INICIAL:</t>
  </si>
  <si>
    <t>Depósito RDS</t>
  </si>
  <si>
    <t>Master Crédito</t>
  </si>
  <si>
    <t>Amex</t>
  </si>
  <si>
    <t>Adiantamento de Clientes</t>
  </si>
  <si>
    <t>Crédito Não Identificado</t>
  </si>
  <si>
    <t>Fundo de Reserva</t>
  </si>
  <si>
    <t>Faturas</t>
  </si>
  <si>
    <t>Visa Electron</t>
  </si>
  <si>
    <t>Master Débito</t>
  </si>
  <si>
    <t>Visa Crédito</t>
  </si>
  <si>
    <t>IRRF</t>
  </si>
  <si>
    <t>Repasse Aluguel de Salas e Equipamentos</t>
  </si>
  <si>
    <t>Repasse Telefonia</t>
  </si>
  <si>
    <t>Repasse Internet</t>
  </si>
  <si>
    <t>Repasse A&amp;B</t>
  </si>
  <si>
    <t>Repasse ao Condomínio</t>
  </si>
  <si>
    <t>Total de Impostos</t>
  </si>
  <si>
    <t>PIS a Recolher</t>
  </si>
  <si>
    <t>COFINS a Recolher</t>
  </si>
  <si>
    <t>IRPJ a Recolher</t>
  </si>
  <si>
    <t>CSLL a Recolher</t>
  </si>
  <si>
    <t>IPTU a Pagar</t>
  </si>
  <si>
    <t>ISS a Recolher</t>
  </si>
  <si>
    <t>Adiantamento a Fornecedor</t>
  </si>
  <si>
    <t>Gastos Gerais do Proprietário</t>
  </si>
  <si>
    <t>Taxa de Condomínio</t>
  </si>
  <si>
    <t>Custo Livros/Jornais/Revistas</t>
  </si>
  <si>
    <t>Custo com Hospedes</t>
  </si>
  <si>
    <t>Material de Apartamento</t>
  </si>
  <si>
    <t>Material de Manutenção / Pintura</t>
  </si>
  <si>
    <t>Seguro Responsabilidade Civil</t>
  </si>
  <si>
    <t>Taxa de Processamento / Administração / Reservas</t>
  </si>
  <si>
    <t>Despesa Comissão Agências de Viagens</t>
  </si>
  <si>
    <t>Reembolso KM</t>
  </si>
  <si>
    <t>Associação de Classe</t>
  </si>
  <si>
    <t>Repasse Restaurante</t>
  </si>
  <si>
    <t>Promoção de Vendas</t>
  </si>
  <si>
    <t>Repasse Salário GRV</t>
  </si>
  <si>
    <t>Dividendos a Pagar</t>
  </si>
  <si>
    <t>Fundo Reserva</t>
  </si>
  <si>
    <t>PREVISTO</t>
  </si>
  <si>
    <t>Adiantamento Dividendos</t>
  </si>
  <si>
    <t>Repasse Salários e Encargos</t>
  </si>
  <si>
    <t>Receitas Diversas</t>
  </si>
  <si>
    <t>ADIANTAMENTO CLIENTES</t>
  </si>
  <si>
    <t>ADIANTAMENTO DIVIDENDOS</t>
  </si>
  <si>
    <t>SALDO PREVISTO C/C:</t>
  </si>
  <si>
    <t>Fluxo de Caixa de Janeiro de 2015</t>
  </si>
  <si>
    <t>Fluxo de Caixa de Março de 2015</t>
  </si>
  <si>
    <t>Fluxo de Caixa de Fevereiro de 2015</t>
  </si>
  <si>
    <t>Realizado</t>
  </si>
  <si>
    <t>Repasse Salário Vendas</t>
  </si>
  <si>
    <t>Fluxo de Caixa de Abril de 2015</t>
  </si>
  <si>
    <t>Fluxo de Caixa de Maio de 2015</t>
  </si>
  <si>
    <t>Gerente Financeiro</t>
  </si>
  <si>
    <t>Fluxo de Caixa de Junho de 2015</t>
  </si>
  <si>
    <t>Fluxo de Caixa de Julho de 2015</t>
  </si>
  <si>
    <t>Previsto</t>
  </si>
  <si>
    <t>Fluxo de Caixa de Agosto de 2015</t>
  </si>
  <si>
    <t>Fluxo de Caixa de Setembro de 2015</t>
  </si>
  <si>
    <t>Fluxo de Caixa de Outubro de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</si>
</sst>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dd/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126">
    <xf numFmtId="0" fontId="0" fillId="0" borderId="0" xfId="0"/>
    <xf numFmtId="0" fontId="4" fillId="0" borderId="4" xfId="2" applyFont="1" applyFill="1" applyBorder="1" applyAlignment="1" applyProtection="1">
      <alignment vertical="center"/>
      <protection hidden="1"/>
    </xf>
    <xf numFmtId="0" fontId="7" fillId="0" borderId="5" xfId="2" applyFont="1" applyFill="1" applyBorder="1" applyAlignment="1" applyProtection="1">
      <alignment vertical="center"/>
      <protection hidden="1"/>
    </xf>
    <xf numFmtId="0" fontId="6" fillId="0" borderId="6" xfId="2" applyFont="1" applyFill="1" applyBorder="1" applyAlignment="1" applyProtection="1">
      <alignment vertical="center"/>
      <protection hidden="1"/>
    </xf>
    <xf numFmtId="0" fontId="7" fillId="0" borderId="0" xfId="0" applyFont="1" applyFill="1"/>
    <xf numFmtId="0" fontId="7" fillId="0" borderId="8" xfId="2" applyFont="1" applyFill="1" applyBorder="1" applyAlignment="1" applyProtection="1">
      <alignment vertical="center"/>
      <protection hidden="1"/>
    </xf>
    <xf numFmtId="0" fontId="6" fillId="0" borderId="9" xfId="2" applyFont="1" applyFill="1" applyBorder="1" applyAlignment="1" applyProtection="1">
      <alignment vertical="center"/>
      <protection hidden="1"/>
    </xf>
    <xf numFmtId="0" fontId="7" fillId="0" borderId="0" xfId="2" applyFont="1" applyFill="1"/>
    <xf numFmtId="0" fontId="7" fillId="0" borderId="0" xfId="2" applyFont="1" applyFill="1" applyBorder="1" applyAlignment="1" applyProtection="1">
      <alignment vertical="center"/>
      <protection hidden="1"/>
    </xf>
    <xf numFmtId="14" fontId="6" fillId="0" borderId="0" xfId="2" applyNumberFormat="1" applyFont="1" applyFill="1" applyBorder="1" applyAlignment="1" applyProtection="1">
      <alignment vertical="center"/>
      <protection hidden="1"/>
    </xf>
    <xf numFmtId="166" fontId="6" fillId="4" borderId="1" xfId="2" applyNumberFormat="1" applyFont="1" applyFill="1" applyBorder="1" applyAlignment="1" applyProtection="1">
      <alignment horizontal="center" vertical="center"/>
      <protection hidden="1"/>
    </xf>
    <xf numFmtId="166" fontId="7" fillId="0" borderId="0" xfId="0" applyNumberFormat="1" applyFont="1" applyFill="1"/>
    <xf numFmtId="0" fontId="6" fillId="4" borderId="1" xfId="2" applyFont="1" applyFill="1" applyBorder="1" applyAlignment="1" applyProtection="1">
      <alignment vertical="center"/>
      <protection hidden="1"/>
    </xf>
    <xf numFmtId="43" fontId="6" fillId="4" borderId="1" xfId="1" applyNumberFormat="1" applyFont="1" applyFill="1" applyBorder="1" applyAlignment="1" applyProtection="1">
      <alignment horizontal="right" vertical="center"/>
      <protection hidden="1"/>
    </xf>
    <xf numFmtId="0" fontId="7" fillId="0" borderId="24" xfId="2" applyFont="1" applyFill="1" applyBorder="1" applyAlignment="1" applyProtection="1">
      <alignment vertical="center"/>
      <protection hidden="1"/>
    </xf>
    <xf numFmtId="43" fontId="7" fillId="0" borderId="12" xfId="1" applyNumberFormat="1" applyFont="1" applyFill="1" applyBorder="1" applyAlignment="1" applyProtection="1">
      <alignment horizontal="right" vertical="center"/>
      <protection hidden="1"/>
    </xf>
    <xf numFmtId="43" fontId="6" fillId="0" borderId="25" xfId="1" applyNumberFormat="1" applyFont="1" applyFill="1" applyBorder="1" applyAlignment="1" applyProtection="1">
      <alignment horizontal="right" vertical="center"/>
      <protection hidden="1"/>
    </xf>
    <xf numFmtId="0" fontId="7" fillId="0" borderId="18" xfId="2" applyFont="1" applyFill="1" applyBorder="1" applyAlignment="1" applyProtection="1">
      <alignment vertical="center"/>
      <protection hidden="1"/>
    </xf>
    <xf numFmtId="43" fontId="7" fillId="0" borderId="1" xfId="1" applyNumberFormat="1" applyFont="1" applyFill="1" applyBorder="1" applyAlignment="1" applyProtection="1">
      <alignment horizontal="right" vertical="center"/>
      <protection hidden="1"/>
    </xf>
    <xf numFmtId="43" fontId="6" fillId="0" borderId="19" xfId="1" applyNumberFormat="1" applyFont="1" applyFill="1" applyBorder="1" applyAlignment="1" applyProtection="1">
      <alignment horizontal="right" vertical="center"/>
      <protection hidden="1"/>
    </xf>
    <xf numFmtId="43" fontId="6" fillId="0" borderId="1" xfId="1" applyNumberFormat="1" applyFont="1" applyFill="1" applyBorder="1" applyAlignment="1" applyProtection="1">
      <alignment horizontal="right" vertical="center"/>
      <protection hidden="1"/>
    </xf>
    <xf numFmtId="0" fontId="6" fillId="3" borderId="18" xfId="2" applyFont="1" applyFill="1" applyBorder="1" applyAlignment="1" applyProtection="1">
      <alignment vertical="center"/>
      <protection hidden="1"/>
    </xf>
    <xf numFmtId="43" fontId="6" fillId="3" borderId="1" xfId="1" applyNumberFormat="1" applyFont="1" applyFill="1" applyBorder="1" applyAlignment="1" applyProtection="1">
      <alignment horizontal="right" vertical="center"/>
      <protection hidden="1"/>
    </xf>
    <xf numFmtId="43" fontId="6" fillId="3" borderId="19" xfId="1" applyNumberFormat="1" applyFont="1" applyFill="1" applyBorder="1" applyAlignment="1" applyProtection="1">
      <alignment horizontal="right" vertical="center"/>
      <protection hidden="1"/>
    </xf>
    <xf numFmtId="0" fontId="7" fillId="4" borderId="14" xfId="2" applyFont="1" applyFill="1" applyBorder="1" applyAlignment="1" applyProtection="1">
      <alignment horizontal="center" vertical="center" textRotation="90"/>
      <protection hidden="1"/>
    </xf>
    <xf numFmtId="0" fontId="7" fillId="0" borderId="18" xfId="2" applyFont="1" applyFill="1" applyBorder="1" applyAlignment="1" applyProtection="1">
      <alignment horizontal="left" vertical="center"/>
      <protection hidden="1"/>
    </xf>
    <xf numFmtId="43" fontId="7" fillId="0" borderId="1" xfId="1" applyNumberFormat="1" applyFont="1" applyFill="1" applyBorder="1" applyAlignment="1" applyProtection="1">
      <alignment horizontal="right" vertical="center"/>
      <protection locked="0"/>
    </xf>
    <xf numFmtId="37" fontId="7" fillId="0" borderId="18" xfId="2" applyNumberFormat="1" applyFont="1" applyFill="1" applyBorder="1" applyAlignment="1" applyProtection="1">
      <alignment vertical="center"/>
      <protection hidden="1"/>
    </xf>
    <xf numFmtId="0" fontId="8" fillId="2" borderId="18" xfId="2" applyFont="1" applyFill="1" applyBorder="1" applyAlignment="1" applyProtection="1">
      <alignment vertical="center"/>
      <protection hidden="1"/>
    </xf>
    <xf numFmtId="43" fontId="8" fillId="2" borderId="1" xfId="1" applyNumberFormat="1" applyFont="1" applyFill="1" applyBorder="1" applyAlignment="1" applyProtection="1">
      <alignment horizontal="right" vertical="center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8" xfId="2" applyFont="1" applyFill="1" applyBorder="1" applyAlignment="1" applyProtection="1">
      <alignment vertical="center"/>
      <protection hidden="1"/>
    </xf>
    <xf numFmtId="43" fontId="7" fillId="3" borderId="1" xfId="1" applyNumberFormat="1" applyFont="1" applyFill="1" applyBorder="1" applyAlignment="1" applyProtection="1">
      <alignment horizontal="right" vertical="center"/>
      <protection hidden="1"/>
    </xf>
    <xf numFmtId="0" fontId="6" fillId="0" borderId="18" xfId="2" applyFont="1" applyFill="1" applyBorder="1" applyAlignment="1" applyProtection="1">
      <alignment vertical="center"/>
      <protection hidden="1"/>
    </xf>
    <xf numFmtId="0" fontId="7" fillId="4" borderId="23" xfId="2" applyFont="1" applyFill="1" applyBorder="1" applyAlignment="1" applyProtection="1">
      <alignment vertical="center"/>
      <protection hidden="1"/>
    </xf>
    <xf numFmtId="0" fontId="6" fillId="4" borderId="20" xfId="2" applyFont="1" applyFill="1" applyBorder="1" applyAlignment="1" applyProtection="1">
      <alignment horizontal="left" vertical="center"/>
      <protection hidden="1"/>
    </xf>
    <xf numFmtId="43" fontId="6" fillId="4" borderId="21" xfId="1" applyNumberFormat="1" applyFont="1" applyFill="1" applyBorder="1" applyAlignment="1" applyProtection="1">
      <alignment horizontal="right" vertical="center"/>
      <protection hidden="1"/>
    </xf>
    <xf numFmtId="0" fontId="7" fillId="0" borderId="0" xfId="2" applyFont="1" applyFill="1" applyAlignment="1" applyProtection="1">
      <alignment horizontal="left" vertical="center"/>
      <protection hidden="1"/>
    </xf>
    <xf numFmtId="0" fontId="6" fillId="0" borderId="0" xfId="2" applyFont="1" applyFill="1" applyAlignment="1" applyProtection="1">
      <alignment horizontal="left" vertical="center"/>
      <protection hidden="1"/>
    </xf>
    <xf numFmtId="0" fontId="6" fillId="0" borderId="0" xfId="2" applyFont="1" applyFill="1"/>
    <xf numFmtId="0" fontId="7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2" applyFont="1" applyFill="1" applyAlignment="1" applyProtection="1">
      <alignment vertical="center"/>
      <protection hidden="1"/>
    </xf>
    <xf numFmtId="0" fontId="7" fillId="0" borderId="0" xfId="2" applyFont="1" applyFill="1" applyBorder="1"/>
    <xf numFmtId="0" fontId="7" fillId="0" borderId="0" xfId="2" applyFont="1" applyFill="1" applyBorder="1" applyAlignment="1"/>
    <xf numFmtId="0" fontId="6" fillId="0" borderId="0" xfId="2" applyFont="1" applyFill="1" applyBorder="1" applyAlignment="1"/>
    <xf numFmtId="0" fontId="7" fillId="0" borderId="0" xfId="0" applyFont="1" applyFill="1" applyBorder="1"/>
    <xf numFmtId="0" fontId="9" fillId="0" borderId="16" xfId="0" applyFont="1" applyFill="1" applyBorder="1" applyAlignment="1">
      <alignment horizontal="left"/>
    </xf>
    <xf numFmtId="166" fontId="9" fillId="0" borderId="17" xfId="0" applyNumberFormat="1" applyFont="1" applyFill="1" applyBorder="1" applyAlignment="1">
      <alignment horizontal="center"/>
    </xf>
    <xf numFmtId="0" fontId="9" fillId="0" borderId="18" xfId="0" applyFont="1" applyFill="1" applyBorder="1" applyAlignment="1">
      <alignment horizontal="left"/>
    </xf>
    <xf numFmtId="43" fontId="9" fillId="0" borderId="19" xfId="0" applyNumberFormat="1" applyFont="1" applyFill="1" applyBorder="1" applyAlignment="1">
      <alignment horizontal="center"/>
    </xf>
    <xf numFmtId="43" fontId="9" fillId="0" borderId="19" xfId="2" applyNumberFormat="1" applyFont="1" applyFill="1" applyBorder="1" applyAlignment="1" applyProtection="1">
      <alignment horizontal="center" vertical="center"/>
      <protection hidden="1"/>
    </xf>
    <xf numFmtId="43" fontId="10" fillId="0" borderId="19" xfId="2" applyNumberFormat="1" applyFont="1" applyFill="1" applyBorder="1" applyAlignment="1" applyProtection="1">
      <alignment horizontal="center" vertical="center"/>
      <protection hidden="1"/>
    </xf>
    <xf numFmtId="0" fontId="9" fillId="0" borderId="20" xfId="0" applyFont="1" applyFill="1" applyBorder="1" applyAlignment="1">
      <alignment horizontal="left"/>
    </xf>
    <xf numFmtId="43" fontId="9" fillId="0" borderId="22" xfId="0" applyNumberFormat="1" applyFont="1" applyFill="1" applyBorder="1" applyAlignment="1">
      <alignment horizontal="center"/>
    </xf>
    <xf numFmtId="0" fontId="11" fillId="0" borderId="0" xfId="2" applyFont="1" applyFill="1" applyBorder="1" applyAlignment="1"/>
    <xf numFmtId="0" fontId="6" fillId="4" borderId="27" xfId="2" applyFont="1" applyFill="1" applyBorder="1" applyAlignment="1" applyProtection="1">
      <alignment vertical="center"/>
      <protection hidden="1"/>
    </xf>
    <xf numFmtId="0" fontId="7" fillId="0" borderId="1" xfId="0" applyFont="1" applyFill="1" applyBorder="1"/>
    <xf numFmtId="0" fontId="6" fillId="4" borderId="27" xfId="2" applyFont="1" applyFill="1" applyBorder="1" applyAlignment="1" applyProtection="1">
      <alignment horizontal="center" vertical="center"/>
      <protection hidden="1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" fontId="7" fillId="0" borderId="0" xfId="0" applyNumberFormat="1" applyFont="1" applyFill="1"/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4" fontId="7" fillId="0" borderId="1" xfId="0" applyNumberFormat="1" applyFont="1" applyFill="1" applyBorder="1"/>
    <xf numFmtId="0" fontId="6" fillId="2" borderId="27" xfId="2" applyFont="1" applyFill="1" applyBorder="1" applyAlignment="1" applyProtection="1">
      <alignment horizontal="center" vertical="center"/>
      <protection hidden="1"/>
    </xf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3" fontId="7" fillId="0" borderId="27" xfId="1" applyNumberFormat="1" applyFont="1" applyFill="1" applyBorder="1" applyAlignment="1" applyProtection="1">
      <alignment horizontal="right" vertical="center"/>
      <protection locked="0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43" fontId="7" fillId="0" borderId="0" xfId="0" applyNumberFormat="1" applyFont="1" applyFill="1"/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164" fontId="7" fillId="0" borderId="0" xfId="0" applyNumberFormat="1" applyFont="1" applyFill="1"/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3" fontId="7" fillId="0" borderId="12" xfId="1" applyNumberFormat="1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5" fillId="0" borderId="7" xfId="2" applyFont="1" applyFill="1" applyBorder="1" applyAlignment="1" applyProtection="1">
      <alignment horizontal="center" vertical="center"/>
      <protection hidden="1"/>
    </xf>
    <xf numFmtId="0" fontId="5" fillId="0" borderId="8" xfId="2" applyFont="1" applyFill="1" applyBorder="1" applyAlignment="1" applyProtection="1">
      <alignment horizontal="center" vertical="center"/>
      <protection hidden="1"/>
    </xf>
    <xf numFmtId="0" fontId="9" fillId="4" borderId="2" xfId="2" applyFont="1" applyFill="1" applyBorder="1" applyAlignment="1">
      <alignment horizontal="center"/>
    </xf>
    <xf numFmtId="0" fontId="9" fillId="4" borderId="3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7" fillId="4" borderId="1" xfId="2" applyFont="1" applyFill="1" applyBorder="1" applyProtection="1"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3" xfId="2" applyFont="1" applyFill="1" applyBorder="1" applyAlignment="1" applyProtection="1">
      <alignment horizontal="center" vertical="center" textRotation="90"/>
      <protection hidden="1"/>
    </xf>
    <xf numFmtId="0" fontId="6" fillId="4" borderId="14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7" fillId="0" borderId="0" xfId="2" applyFont="1" applyFill="1" applyBorder="1" applyAlignment="1" applyProtection="1">
      <alignment horizontal="center" vertical="center"/>
      <protection hidden="1"/>
    </xf>
    <xf numFmtId="0" fontId="11" fillId="0" borderId="0" xfId="2" applyFont="1" applyFill="1" applyBorder="1" applyAlignment="1" applyProtection="1">
      <alignment horizontal="center" vertical="center"/>
      <protection hidden="1"/>
    </xf>
    <xf numFmtId="0" fontId="11" fillId="0" borderId="26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11" fillId="0" borderId="26" xfId="2" applyFont="1" applyFill="1" applyBorder="1" applyAlignment="1" applyProtection="1">
      <alignment horizontal="center" vertical="center"/>
      <protection hidden="1"/>
    </xf>
    <xf numFmtId="0" fontId="7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11" xfId="2" applyFont="1" applyFill="1" applyBorder="1" applyAlignment="1">
      <alignment horizontal="center"/>
    </xf>
  </cellXfs>
  <cellStyles count="4">
    <cellStyle name="Normal" xfId="0" builtinId="0"/>
    <cellStyle name="Normal 2" xfId="2" xr:uid="{00000000-0005-0000-0000-000001000000}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96"/>
  <sheetViews>
    <sheetView showGridLines="0" workbookViewId="0" xr3:uid="{AEA406A1-0E4B-5B11-9CD5-51D6E497D94C}">
      <pane xSplit="3" ySplit="6" topLeftCell="D7" activePane="bottomRight" state="frozen"/>
      <selection activeCell="AK13" sqref="AK13"/>
      <selection pane="bottomLeft" activeCell="AK13" sqref="AK13"/>
      <selection pane="topRight" activeCell="AK13" sqref="AK13"/>
      <selection pane="bottomRight" activeCell="C3" sqref="C3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6" width="12.64453125" style="4" hidden="1" customWidth="1"/>
    <col min="7" max="7" width="12.64453125" style="4" customWidth="1"/>
    <col min="8" max="11" width="14.52734375" style="4" bestFit="1" customWidth="1"/>
    <col min="12" max="12" width="14.52734375" style="4" hidden="1" customWidth="1"/>
    <col min="13" max="13" width="12.64453125" style="4" hidden="1" customWidth="1"/>
    <col min="14" max="14" width="14.52734375" style="4" customWidth="1"/>
    <col min="15" max="18" width="14.52734375" style="4" bestFit="1" customWidth="1"/>
    <col min="19" max="19" width="14.52734375" style="4" hidden="1" customWidth="1"/>
    <col min="20" max="20" width="12.64453125" style="4" hidden="1" customWidth="1"/>
    <col min="21" max="21" width="12.64453125" style="4" customWidth="1"/>
    <col min="22" max="25" width="14.52734375" style="4" bestFit="1" customWidth="1"/>
    <col min="26" max="26" width="14.52734375" style="4" hidden="1" customWidth="1"/>
    <col min="27" max="27" width="12.64453125" style="4" hidden="1" customWidth="1"/>
    <col min="28" max="28" width="14.52734375" style="4" customWidth="1"/>
    <col min="29" max="32" width="14.52734375" style="4" bestFit="1" customWidth="1"/>
    <col min="33" max="33" width="14.52734375" style="4" hidden="1" customWidth="1"/>
    <col min="34" max="34" width="14.52734375" style="42" bestFit="1" customWidth="1"/>
    <col min="35" max="16384" width="9.14453125" style="4"/>
  </cols>
  <sheetData>
    <row r="1" spans="2:34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2:34" ht="24" thickBot="1" x14ac:dyDescent="0.25">
      <c r="B2" s="108" t="s">
        <v>94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2:34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  <row r="4" spans="2:34" x14ac:dyDescent="0.2">
      <c r="B4" s="112" t="s">
        <v>0</v>
      </c>
      <c r="C4" s="113"/>
      <c r="D4" s="70" t="s">
        <v>97</v>
      </c>
      <c r="E4" s="59" t="s">
        <v>87</v>
      </c>
      <c r="F4" s="59" t="s">
        <v>87</v>
      </c>
      <c r="G4" s="70" t="s">
        <v>97</v>
      </c>
      <c r="H4" s="70" t="s">
        <v>97</v>
      </c>
      <c r="I4" s="70" t="s">
        <v>97</v>
      </c>
      <c r="J4" s="70" t="s">
        <v>97</v>
      </c>
      <c r="K4" s="70" t="s">
        <v>97</v>
      </c>
      <c r="L4" s="59" t="s">
        <v>87</v>
      </c>
      <c r="M4" s="59" t="s">
        <v>87</v>
      </c>
      <c r="N4" s="70" t="s">
        <v>97</v>
      </c>
      <c r="O4" s="70" t="s">
        <v>97</v>
      </c>
      <c r="P4" s="70" t="s">
        <v>97</v>
      </c>
      <c r="Q4" s="70" t="s">
        <v>97</v>
      </c>
      <c r="R4" s="70" t="s">
        <v>97</v>
      </c>
      <c r="S4" s="59" t="s">
        <v>87</v>
      </c>
      <c r="T4" s="59" t="s">
        <v>87</v>
      </c>
      <c r="U4" s="70" t="s">
        <v>97</v>
      </c>
      <c r="V4" s="70" t="s">
        <v>97</v>
      </c>
      <c r="W4" s="70" t="s">
        <v>97</v>
      </c>
      <c r="X4" s="70" t="s">
        <v>97</v>
      </c>
      <c r="Y4" s="70" t="s">
        <v>97</v>
      </c>
      <c r="Z4" s="59" t="s">
        <v>87</v>
      </c>
      <c r="AA4" s="59" t="s">
        <v>87</v>
      </c>
      <c r="AB4" s="70" t="s">
        <v>97</v>
      </c>
      <c r="AC4" s="70" t="s">
        <v>97</v>
      </c>
      <c r="AD4" s="70" t="s">
        <v>97</v>
      </c>
      <c r="AE4" s="70" t="s">
        <v>97</v>
      </c>
      <c r="AF4" s="70" t="s">
        <v>97</v>
      </c>
      <c r="AG4" s="59" t="s">
        <v>87</v>
      </c>
      <c r="AH4" s="57"/>
    </row>
    <row r="5" spans="2:34" s="11" customFormat="1" x14ac:dyDescent="0.2">
      <c r="B5" s="113"/>
      <c r="C5" s="113"/>
      <c r="D5" s="10">
        <v>42006</v>
      </c>
      <c r="E5" s="10">
        <f>D5+1</f>
        <v>42007</v>
      </c>
      <c r="F5" s="10">
        <f t="shared" ref="F5:AG5" si="0">E5+1</f>
        <v>42008</v>
      </c>
      <c r="G5" s="10">
        <f t="shared" si="0"/>
        <v>42009</v>
      </c>
      <c r="H5" s="10">
        <f t="shared" si="0"/>
        <v>42010</v>
      </c>
      <c r="I5" s="10">
        <f t="shared" si="0"/>
        <v>42011</v>
      </c>
      <c r="J5" s="10">
        <f t="shared" si="0"/>
        <v>42012</v>
      </c>
      <c r="K5" s="10">
        <f t="shared" si="0"/>
        <v>42013</v>
      </c>
      <c r="L5" s="10">
        <f t="shared" si="0"/>
        <v>42014</v>
      </c>
      <c r="M5" s="10">
        <f t="shared" si="0"/>
        <v>42015</v>
      </c>
      <c r="N5" s="10">
        <f t="shared" si="0"/>
        <v>42016</v>
      </c>
      <c r="O5" s="10">
        <f t="shared" si="0"/>
        <v>42017</v>
      </c>
      <c r="P5" s="10">
        <f t="shared" si="0"/>
        <v>42018</v>
      </c>
      <c r="Q5" s="10">
        <f t="shared" si="0"/>
        <v>42019</v>
      </c>
      <c r="R5" s="10">
        <f t="shared" si="0"/>
        <v>42020</v>
      </c>
      <c r="S5" s="10">
        <f t="shared" si="0"/>
        <v>42021</v>
      </c>
      <c r="T5" s="10">
        <f t="shared" si="0"/>
        <v>42022</v>
      </c>
      <c r="U5" s="10">
        <f t="shared" si="0"/>
        <v>42023</v>
      </c>
      <c r="V5" s="10">
        <f t="shared" si="0"/>
        <v>42024</v>
      </c>
      <c r="W5" s="10">
        <f t="shared" si="0"/>
        <v>42025</v>
      </c>
      <c r="X5" s="10">
        <f t="shared" si="0"/>
        <v>42026</v>
      </c>
      <c r="Y5" s="10">
        <f t="shared" si="0"/>
        <v>42027</v>
      </c>
      <c r="Z5" s="10">
        <f t="shared" si="0"/>
        <v>42028</v>
      </c>
      <c r="AA5" s="10">
        <f t="shared" si="0"/>
        <v>42029</v>
      </c>
      <c r="AB5" s="10">
        <f t="shared" si="0"/>
        <v>42030</v>
      </c>
      <c r="AC5" s="10">
        <f t="shared" si="0"/>
        <v>42031</v>
      </c>
      <c r="AD5" s="10">
        <f t="shared" si="0"/>
        <v>42032</v>
      </c>
      <c r="AE5" s="10">
        <f t="shared" si="0"/>
        <v>42033</v>
      </c>
      <c r="AF5" s="10">
        <f t="shared" si="0"/>
        <v>42034</v>
      </c>
      <c r="AG5" s="10">
        <f t="shared" si="0"/>
        <v>42035</v>
      </c>
      <c r="AH5" s="10" t="s">
        <v>1</v>
      </c>
    </row>
    <row r="6" spans="2:34" ht="16.5" customHeight="1" x14ac:dyDescent="0.2">
      <c r="B6" s="12"/>
      <c r="C6" s="12" t="s">
        <v>14</v>
      </c>
      <c r="D6" s="13">
        <v>145330.03</v>
      </c>
      <c r="E6" s="13">
        <f t="shared" ref="E6:AG6" si="1">D77</f>
        <v>213824.71</v>
      </c>
      <c r="F6" s="13">
        <f t="shared" si="1"/>
        <v>213824.71</v>
      </c>
      <c r="G6" s="13">
        <f t="shared" si="1"/>
        <v>213824.71</v>
      </c>
      <c r="H6" s="13">
        <f t="shared" si="1"/>
        <v>231337.30000000002</v>
      </c>
      <c r="I6" s="13">
        <f t="shared" si="1"/>
        <v>256642.48000000004</v>
      </c>
      <c r="J6" s="13">
        <f t="shared" si="1"/>
        <v>292558.13</v>
      </c>
      <c r="K6" s="13">
        <f t="shared" si="1"/>
        <v>309064.94</v>
      </c>
      <c r="L6" s="13">
        <f t="shared" si="1"/>
        <v>228324.42000000004</v>
      </c>
      <c r="M6" s="13">
        <f t="shared" si="1"/>
        <v>228324.42000000004</v>
      </c>
      <c r="N6" s="13">
        <f t="shared" si="1"/>
        <v>228324.42000000004</v>
      </c>
      <c r="O6" s="13">
        <f t="shared" si="1"/>
        <v>288121.5</v>
      </c>
      <c r="P6" s="13">
        <f t="shared" si="1"/>
        <v>312630.77</v>
      </c>
      <c r="Q6" s="13">
        <f t="shared" si="1"/>
        <v>289439.24</v>
      </c>
      <c r="R6" s="13">
        <f t="shared" si="1"/>
        <v>240026.63</v>
      </c>
      <c r="S6" s="13">
        <f t="shared" si="1"/>
        <v>288008.77</v>
      </c>
      <c r="T6" s="13">
        <f t="shared" si="1"/>
        <v>288008.77</v>
      </c>
      <c r="U6" s="13">
        <f t="shared" si="1"/>
        <v>288008.77</v>
      </c>
      <c r="V6" s="13">
        <f t="shared" si="1"/>
        <v>393640.48</v>
      </c>
      <c r="W6" s="13">
        <f t="shared" si="1"/>
        <v>20338.369999999995</v>
      </c>
      <c r="X6" s="13">
        <f t="shared" si="1"/>
        <v>10632.549999999996</v>
      </c>
      <c r="Y6" s="13">
        <f t="shared" si="1"/>
        <v>116222.09</v>
      </c>
      <c r="Z6" s="13">
        <f t="shared" si="1"/>
        <v>117688.28000000001</v>
      </c>
      <c r="AA6" s="13">
        <f t="shared" si="1"/>
        <v>117688.28000000001</v>
      </c>
      <c r="AB6" s="13">
        <f t="shared" si="1"/>
        <v>117688.28000000001</v>
      </c>
      <c r="AC6" s="13">
        <f t="shared" si="1"/>
        <v>153029.97000000003</v>
      </c>
      <c r="AD6" s="13">
        <f t="shared" si="1"/>
        <v>296358.13</v>
      </c>
      <c r="AE6" s="13">
        <f t="shared" si="1"/>
        <v>155463</v>
      </c>
      <c r="AF6" s="13">
        <f t="shared" si="1"/>
        <v>209367.99</v>
      </c>
      <c r="AG6" s="13">
        <f t="shared" si="1"/>
        <v>68629.550000000017</v>
      </c>
      <c r="AH6" s="13">
        <f>D6</f>
        <v>145330.03</v>
      </c>
    </row>
    <row r="7" spans="2:34" ht="16.5" customHeight="1" x14ac:dyDescent="0.2">
      <c r="B7" s="114" t="s">
        <v>2</v>
      </c>
      <c r="C7" s="14" t="s">
        <v>50</v>
      </c>
      <c r="D7" s="15"/>
      <c r="E7" s="15"/>
      <c r="F7" s="15"/>
      <c r="G7" s="15">
        <f>3000+342+2660</f>
        <v>6002</v>
      </c>
      <c r="H7" s="15">
        <f>421.05</f>
        <v>421.05</v>
      </c>
      <c r="I7" s="15">
        <f>391.35</f>
        <v>391.35</v>
      </c>
      <c r="J7" s="15">
        <f>280.4</f>
        <v>280.39999999999998</v>
      </c>
      <c r="K7" s="15"/>
      <c r="L7" s="15"/>
      <c r="M7" s="15"/>
      <c r="N7" s="15"/>
      <c r="O7" s="15"/>
      <c r="P7" s="15">
        <f>2301.6+500</f>
        <v>2801.6</v>
      </c>
      <c r="Q7" s="15"/>
      <c r="R7" s="15">
        <f>440</f>
        <v>440</v>
      </c>
      <c r="S7" s="15"/>
      <c r="T7" s="15"/>
      <c r="U7" s="15">
        <f>952.35+254.1</f>
        <v>1206.45</v>
      </c>
      <c r="V7" s="15"/>
      <c r="W7" s="15">
        <f>636.3</f>
        <v>636.29999999999995</v>
      </c>
      <c r="X7" s="15">
        <f>1263+2935+825</f>
        <v>5023</v>
      </c>
      <c r="Y7" s="15">
        <f>2216.55+368.55+1986.6</f>
        <v>4571.7000000000007</v>
      </c>
      <c r="Z7" s="15"/>
      <c r="AA7" s="15"/>
      <c r="AB7" s="15">
        <f>2939.05+23100+1898.4</f>
        <v>27937.45</v>
      </c>
      <c r="AC7" s="15">
        <f>13812.45</f>
        <v>13812.45</v>
      </c>
      <c r="AD7" s="15">
        <f>1458+1052</f>
        <v>2510</v>
      </c>
      <c r="AE7" s="15"/>
      <c r="AF7" s="15"/>
      <c r="AG7" s="15"/>
      <c r="AH7" s="16">
        <f t="shared" ref="AH7:AH17" si="2">SUM(D7:AG7)</f>
        <v>66033.75</v>
      </c>
    </row>
    <row r="8" spans="2:34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>
        <f>1179.5+8+262.14+445.15+663.1+1032.15+1077.54+1147.6+2224</f>
        <v>8039.18</v>
      </c>
      <c r="L8" s="15"/>
      <c r="M8" s="15"/>
      <c r="N8" s="15"/>
      <c r="O8" s="18"/>
      <c r="P8" s="18"/>
      <c r="Q8" s="18"/>
      <c r="R8" s="18">
        <f>1079.7+1152.75+900.6+720.17+476.35+33.09+121.84+2829.4+1890.33</f>
        <v>9204.23</v>
      </c>
      <c r="S8" s="18"/>
      <c r="T8" s="18"/>
      <c r="U8" s="18"/>
      <c r="V8" s="18">
        <f>2728.35+660.45+849.25+1273.5</f>
        <v>5511.55</v>
      </c>
      <c r="W8" s="18"/>
      <c r="X8" s="18"/>
      <c r="Y8" s="18"/>
      <c r="Z8" s="18"/>
      <c r="AA8" s="18"/>
      <c r="AB8" s="18">
        <f>160.14+648.79+848.05+850.15+5296.3</f>
        <v>7803.43</v>
      </c>
      <c r="AC8" s="18"/>
      <c r="AD8" s="18"/>
      <c r="AE8" s="18"/>
      <c r="AF8" s="18">
        <f>35.09+340.45+1399.4+1443.84</f>
        <v>3218.7799999999997</v>
      </c>
      <c r="AG8" s="18"/>
      <c r="AH8" s="16">
        <f t="shared" si="2"/>
        <v>33777.17</v>
      </c>
    </row>
    <row r="9" spans="2:34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6">
        <f t="shared" si="2"/>
        <v>0</v>
      </c>
    </row>
    <row r="10" spans="2:34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8">
        <v>15000</v>
      </c>
      <c r="W10" s="20"/>
      <c r="X10" s="20"/>
      <c r="Y10" s="20"/>
      <c r="Z10" s="20"/>
      <c r="AA10" s="20"/>
      <c r="AB10" s="20"/>
      <c r="AC10" s="18"/>
      <c r="AD10" s="20"/>
      <c r="AE10" s="20"/>
      <c r="AF10" s="20"/>
      <c r="AG10" s="20"/>
      <c r="AH10" s="16">
        <f t="shared" si="2"/>
        <v>15000</v>
      </c>
    </row>
    <row r="11" spans="2:34" ht="16.5" customHeight="1" x14ac:dyDescent="0.2">
      <c r="B11" s="115"/>
      <c r="C11" s="17" t="s">
        <v>53</v>
      </c>
      <c r="D11" s="18">
        <f>8893.55+288.75+254.1</f>
        <v>9436.4</v>
      </c>
      <c r="E11" s="18"/>
      <c r="F11" s="18"/>
      <c r="G11" s="18">
        <f>6700+254.1</f>
        <v>6954.1</v>
      </c>
      <c r="H11" s="18">
        <f>15125.52</f>
        <v>15125.52</v>
      </c>
      <c r="I11" s="18">
        <f>27254.22+1934.7</f>
        <v>29188.920000000002</v>
      </c>
      <c r="J11" s="18">
        <f>5366.3+4382.52+424.9</f>
        <v>10173.719999999999</v>
      </c>
      <c r="K11" s="18">
        <f>4145.35+241.4+2098+3055.5+6111</f>
        <v>15651.25</v>
      </c>
      <c r="L11" s="18"/>
      <c r="M11" s="18"/>
      <c r="N11" s="18">
        <f>1235+1727.25+1330+613.8+1869.56+5631.56</f>
        <v>12407.170000000002</v>
      </c>
      <c r="O11" s="18">
        <f>16257.5+1884.23+618.02+1142.97+651.42+696.09</f>
        <v>21250.23</v>
      </c>
      <c r="P11" s="18">
        <f>2280.6</f>
        <v>2280.6</v>
      </c>
      <c r="Q11" s="18">
        <f>1530.75+1234.31</f>
        <v>2765.06</v>
      </c>
      <c r="R11" s="18">
        <f>4388.85+6382.5+283.36+222.33+271.81</f>
        <v>11548.85</v>
      </c>
      <c r="S11" s="18"/>
      <c r="T11" s="18"/>
      <c r="U11" s="18">
        <f>66218.67+241.4+556.72+1948.1+2066.81+271.81</f>
        <v>71303.509999999995</v>
      </c>
      <c r="V11" s="18">
        <f>67043.57+11004+1713.71+619+505.55</f>
        <v>80885.830000000016</v>
      </c>
      <c r="W11" s="18">
        <f>7654.19+2385.41+587.51</f>
        <v>10627.109999999999</v>
      </c>
      <c r="X11" s="18">
        <f>83837.17+2274.81</f>
        <v>86111.98</v>
      </c>
      <c r="Y11" s="18">
        <f>6840.56+482.8+254.1+1619.34+667.59</f>
        <v>9864.3900000000012</v>
      </c>
      <c r="Z11" s="18"/>
      <c r="AA11" s="18"/>
      <c r="AB11" s="18">
        <f>22666.73+557.55+288.75+6456.21+2657.08+842.11+1122.82+2363.82+2453+2355.65+2122.48+1806.11+3872.4+2310.97+3107.29+3221.67</f>
        <v>58204.640000000007</v>
      </c>
      <c r="AC11" s="18">
        <f>103520+6285.3+9333.45</f>
        <v>119138.75</v>
      </c>
      <c r="AD11" s="18">
        <f>76295.24+3638.95+2007.78</f>
        <v>81941.97</v>
      </c>
      <c r="AE11" s="18">
        <f>29760.76+2422.49+2441.78+2076.95</f>
        <v>36701.979999999996</v>
      </c>
      <c r="AF11" s="18">
        <f>8551.23+735</f>
        <v>9286.23</v>
      </c>
      <c r="AG11" s="18"/>
      <c r="AH11" s="16">
        <f t="shared" si="2"/>
        <v>700848.21</v>
      </c>
    </row>
    <row r="12" spans="2:34" ht="16.5" customHeight="1" x14ac:dyDescent="0.2">
      <c r="B12" s="115"/>
      <c r="C12" s="17" t="s">
        <v>90</v>
      </c>
      <c r="D12" s="18">
        <v>3.59</v>
      </c>
      <c r="E12" s="18"/>
      <c r="F12" s="18"/>
      <c r="G12" s="18">
        <v>3.89</v>
      </c>
      <c r="H12" s="18">
        <v>4.3099999999999996</v>
      </c>
      <c r="I12" s="18">
        <f>23383.92+4.94</f>
        <v>23388.859999999997</v>
      </c>
      <c r="J12" s="18">
        <v>5.12</v>
      </c>
      <c r="K12" s="18">
        <f>0.01+3.84</f>
        <v>3.8499999999999996</v>
      </c>
      <c r="L12" s="18"/>
      <c r="M12" s="18"/>
      <c r="N12" s="18">
        <v>4.8</v>
      </c>
      <c r="O12" s="18">
        <v>5.27</v>
      </c>
      <c r="P12" s="18">
        <v>4.87</v>
      </c>
      <c r="Q12" s="18">
        <f>62305.99+4.06</f>
        <v>62310.049999999996</v>
      </c>
      <c r="R12" s="18">
        <v>4.83</v>
      </c>
      <c r="S12" s="18"/>
      <c r="T12" s="18"/>
      <c r="U12" s="18">
        <v>6.61</v>
      </c>
      <c r="V12" s="18">
        <v>0.35</v>
      </c>
      <c r="W12" s="18">
        <v>0.18</v>
      </c>
      <c r="X12" s="18">
        <v>2.02</v>
      </c>
      <c r="Y12" s="18">
        <v>2.0499999999999998</v>
      </c>
      <c r="Z12" s="18"/>
      <c r="AA12" s="18"/>
      <c r="AB12" s="18">
        <v>2.67</v>
      </c>
      <c r="AC12" s="18">
        <f>180+5.2</f>
        <v>185.2</v>
      </c>
      <c r="AD12" s="18">
        <f>180.95+2.72</f>
        <v>183.67</v>
      </c>
      <c r="AE12" s="18">
        <v>3.67</v>
      </c>
      <c r="AF12" s="18">
        <f>375+1.23</f>
        <v>376.23</v>
      </c>
      <c r="AG12" s="18"/>
      <c r="AH12" s="16">
        <f t="shared" si="2"/>
        <v>86502.089999999982</v>
      </c>
    </row>
    <row r="13" spans="2:34" ht="16.5" customHeight="1" x14ac:dyDescent="0.2">
      <c r="B13" s="115"/>
      <c r="C13" s="17" t="s">
        <v>49</v>
      </c>
      <c r="D13" s="18">
        <v>6872.51</v>
      </c>
      <c r="E13" s="18"/>
      <c r="F13" s="18"/>
      <c r="G13" s="18">
        <f>6432.15</f>
        <v>6432.15</v>
      </c>
      <c r="H13" s="18">
        <v>4726.84</v>
      </c>
      <c r="I13" s="18">
        <v>3663.36</v>
      </c>
      <c r="J13" s="18">
        <v>2636.83</v>
      </c>
      <c r="K13" s="18">
        <v>1135.58</v>
      </c>
      <c r="L13" s="18"/>
      <c r="M13" s="18"/>
      <c r="N13" s="18">
        <v>3047.72</v>
      </c>
      <c r="O13" s="18">
        <v>683.06</v>
      </c>
      <c r="P13" s="18">
        <v>891.56</v>
      </c>
      <c r="Q13" s="18">
        <v>743.43</v>
      </c>
      <c r="R13" s="18">
        <v>656.39</v>
      </c>
      <c r="S13" s="18"/>
      <c r="T13" s="18"/>
      <c r="U13" s="18">
        <v>11218.06</v>
      </c>
      <c r="V13" s="18">
        <v>358.58</v>
      </c>
      <c r="W13" s="18"/>
      <c r="X13" s="18"/>
      <c r="Y13" s="18">
        <v>360.8</v>
      </c>
      <c r="Z13" s="18"/>
      <c r="AA13" s="18"/>
      <c r="AB13" s="18"/>
      <c r="AC13" s="18"/>
      <c r="AD13" s="18">
        <v>557.86</v>
      </c>
      <c r="AE13" s="18"/>
      <c r="AF13" s="18"/>
      <c r="AG13" s="18"/>
      <c r="AH13" s="16">
        <f t="shared" si="2"/>
        <v>43984.73000000001</v>
      </c>
    </row>
    <row r="14" spans="2:34" ht="16.5" customHeight="1" x14ac:dyDescent="0.2">
      <c r="B14" s="115"/>
      <c r="C14" s="17" t="s">
        <v>54</v>
      </c>
      <c r="D14" s="18">
        <v>3962.37</v>
      </c>
      <c r="E14" s="18"/>
      <c r="F14" s="18"/>
      <c r="G14" s="18">
        <v>2651.31</v>
      </c>
      <c r="H14" s="18">
        <v>586.05999999999995</v>
      </c>
      <c r="I14" s="18">
        <v>1961.41</v>
      </c>
      <c r="J14" s="18">
        <v>871.75</v>
      </c>
      <c r="K14" s="18">
        <v>1688.06</v>
      </c>
      <c r="L14" s="18"/>
      <c r="M14" s="18"/>
      <c r="N14" s="18">
        <v>3913.57</v>
      </c>
      <c r="O14" s="18">
        <v>1016.28</v>
      </c>
      <c r="P14" s="18">
        <v>90.12</v>
      </c>
      <c r="Q14" s="18">
        <v>678.89</v>
      </c>
      <c r="R14" s="18">
        <v>2025.99</v>
      </c>
      <c r="S14" s="18"/>
      <c r="T14" s="18"/>
      <c r="U14" s="18">
        <v>5426.83</v>
      </c>
      <c r="V14" s="18">
        <v>2978.83</v>
      </c>
      <c r="W14" s="18">
        <v>234.65</v>
      </c>
      <c r="X14" s="18">
        <v>165.91</v>
      </c>
      <c r="Y14" s="18">
        <v>1244.8</v>
      </c>
      <c r="Z14" s="18"/>
      <c r="AA14" s="18"/>
      <c r="AB14" s="18">
        <v>2657.85</v>
      </c>
      <c r="AC14" s="18">
        <v>1432.25</v>
      </c>
      <c r="AD14" s="18">
        <v>709.52</v>
      </c>
      <c r="AE14" s="18">
        <v>2575.3200000000002</v>
      </c>
      <c r="AF14" s="18">
        <v>740.61</v>
      </c>
      <c r="AG14" s="18"/>
      <c r="AH14" s="16">
        <f t="shared" si="2"/>
        <v>37612.379999999997</v>
      </c>
    </row>
    <row r="15" spans="2:34" ht="16.5" customHeight="1" x14ac:dyDescent="0.2">
      <c r="B15" s="115"/>
      <c r="C15" s="17" t="s">
        <v>55</v>
      </c>
      <c r="D15" s="18">
        <v>12719.38</v>
      </c>
      <c r="E15" s="18"/>
      <c r="F15" s="18"/>
      <c r="G15" s="18">
        <f>556.98+458.61</f>
        <v>1015.59</v>
      </c>
      <c r="H15" s="18">
        <v>5455.06</v>
      </c>
      <c r="I15" s="18"/>
      <c r="J15" s="18">
        <v>36.6</v>
      </c>
      <c r="K15" s="18">
        <f>3195.82+2642.86</f>
        <v>5838.68</v>
      </c>
      <c r="L15" s="18"/>
      <c r="M15" s="18"/>
      <c r="N15" s="18">
        <f>5131.47+74.08</f>
        <v>5205.55</v>
      </c>
      <c r="O15" s="18">
        <f>323.75+543.19</f>
        <v>866.94</v>
      </c>
      <c r="P15" s="18">
        <f>50.63+137.86</f>
        <v>188.49</v>
      </c>
      <c r="Q15" s="18">
        <v>3103.34</v>
      </c>
      <c r="R15" s="18">
        <v>419.95</v>
      </c>
      <c r="S15" s="18"/>
      <c r="T15" s="18"/>
      <c r="U15" s="18">
        <f>4977.5+614.96</f>
        <v>5592.46</v>
      </c>
      <c r="V15" s="18">
        <v>851.15</v>
      </c>
      <c r="W15" s="18">
        <v>114.16</v>
      </c>
      <c r="X15" s="18">
        <v>463.17</v>
      </c>
      <c r="Y15" s="18">
        <v>16.68</v>
      </c>
      <c r="Z15" s="18"/>
      <c r="AA15" s="18"/>
      <c r="AB15" s="18">
        <v>2274.59</v>
      </c>
      <c r="AC15" s="18">
        <v>2343.89</v>
      </c>
      <c r="AD15" s="18">
        <f>1188.37+12.76</f>
        <v>1201.1299999999999</v>
      </c>
      <c r="AE15" s="18">
        <v>2709.05</v>
      </c>
      <c r="AF15" s="18">
        <v>876.5</v>
      </c>
      <c r="AG15" s="18"/>
      <c r="AH15" s="16">
        <f t="shared" si="2"/>
        <v>51292.359999999993</v>
      </c>
    </row>
    <row r="16" spans="2:34" ht="16.5" customHeight="1" x14ac:dyDescent="0.2">
      <c r="B16" s="115"/>
      <c r="C16" s="17" t="s">
        <v>56</v>
      </c>
      <c r="D16" s="18">
        <v>27262.61</v>
      </c>
      <c r="E16" s="18"/>
      <c r="F16" s="18"/>
      <c r="G16" s="18">
        <v>23040.58</v>
      </c>
      <c r="H16" s="18">
        <v>8343.9500000000007</v>
      </c>
      <c r="I16" s="18">
        <v>22416.38</v>
      </c>
      <c r="J16" s="18">
        <v>5728.06</v>
      </c>
      <c r="K16" s="18">
        <v>16816.669999999998</v>
      </c>
      <c r="L16" s="18"/>
      <c r="M16" s="18"/>
      <c r="N16" s="18">
        <v>29947.47</v>
      </c>
      <c r="O16" s="18">
        <v>15031.09</v>
      </c>
      <c r="P16" s="18">
        <v>21099.34</v>
      </c>
      <c r="Q16" s="18">
        <v>868.99</v>
      </c>
      <c r="R16" s="18">
        <v>12599.17</v>
      </c>
      <c r="S16" s="18"/>
      <c r="T16" s="18"/>
      <c r="U16" s="18">
        <v>23976.14</v>
      </c>
      <c r="V16" s="18">
        <v>1347.06</v>
      </c>
      <c r="W16" s="18">
        <v>2753.93</v>
      </c>
      <c r="X16" s="18">
        <v>10546.28</v>
      </c>
      <c r="Y16" s="18">
        <v>1803.71</v>
      </c>
      <c r="Z16" s="18"/>
      <c r="AA16" s="18"/>
      <c r="AB16" s="18">
        <v>15595.73</v>
      </c>
      <c r="AC16" s="18">
        <v>1168.94</v>
      </c>
      <c r="AD16" s="18">
        <v>11465.86</v>
      </c>
      <c r="AE16" s="18">
        <v>8485.2900000000009</v>
      </c>
      <c r="AF16" s="18">
        <v>13114.01</v>
      </c>
      <c r="AG16" s="18"/>
      <c r="AH16" s="16">
        <f t="shared" si="2"/>
        <v>273411.26</v>
      </c>
    </row>
    <row r="17" spans="2:34" ht="16.5" customHeight="1" x14ac:dyDescent="0.2">
      <c r="B17" s="115"/>
      <c r="C17" s="17" t="s">
        <v>48</v>
      </c>
      <c r="D17" s="18">
        <f>17658.28+822.94</f>
        <v>18481.219999999998</v>
      </c>
      <c r="E17" s="18"/>
      <c r="F17" s="18"/>
      <c r="G17" s="18">
        <v>6060.69</v>
      </c>
      <c r="H17" s="18">
        <v>1328.64</v>
      </c>
      <c r="I17" s="18">
        <v>5764.28</v>
      </c>
      <c r="J17" s="18">
        <v>522.71</v>
      </c>
      <c r="K17" s="18">
        <v>1093.45</v>
      </c>
      <c r="L17" s="18"/>
      <c r="M17" s="18"/>
      <c r="N17" s="18">
        <v>5303.14</v>
      </c>
      <c r="O17" s="18">
        <v>3260.07</v>
      </c>
      <c r="P17" s="18">
        <v>2449.29</v>
      </c>
      <c r="Q17" s="18">
        <v>3687.63</v>
      </c>
      <c r="R17" s="18">
        <v>11082.73</v>
      </c>
      <c r="S17" s="18"/>
      <c r="T17" s="18"/>
      <c r="U17" s="18">
        <v>8221.43</v>
      </c>
      <c r="V17" s="18">
        <v>3004.22</v>
      </c>
      <c r="W17" s="18">
        <v>4352.2700000000004</v>
      </c>
      <c r="X17" s="18">
        <v>3304.9</v>
      </c>
      <c r="Y17" s="18">
        <v>2302.6</v>
      </c>
      <c r="Z17" s="18"/>
      <c r="AA17" s="18"/>
      <c r="AB17" s="18">
        <v>4874.4399999999996</v>
      </c>
      <c r="AC17" s="18">
        <v>5286.58</v>
      </c>
      <c r="AD17" s="18">
        <v>9006.42</v>
      </c>
      <c r="AE17" s="18">
        <v>3580.61</v>
      </c>
      <c r="AF17" s="18">
        <v>992.43</v>
      </c>
      <c r="AG17" s="18"/>
      <c r="AH17" s="16">
        <f t="shared" si="2"/>
        <v>103959.75</v>
      </c>
    </row>
    <row r="18" spans="2:34" ht="16.5" customHeight="1" x14ac:dyDescent="0.2">
      <c r="B18" s="115"/>
      <c r="C18" s="21" t="s">
        <v>31</v>
      </c>
      <c r="D18" s="22">
        <f t="shared" ref="D18:AG18" si="3">SUM(D7:D17)</f>
        <v>78738.080000000002</v>
      </c>
      <c r="E18" s="22">
        <f t="shared" si="3"/>
        <v>0</v>
      </c>
      <c r="F18" s="22">
        <f t="shared" si="3"/>
        <v>0</v>
      </c>
      <c r="G18" s="22">
        <f t="shared" si="3"/>
        <v>52160.310000000005</v>
      </c>
      <c r="H18" s="22">
        <f t="shared" si="3"/>
        <v>35991.430000000008</v>
      </c>
      <c r="I18" s="22">
        <f t="shared" si="3"/>
        <v>86774.56</v>
      </c>
      <c r="J18" s="22">
        <f t="shared" si="3"/>
        <v>20255.189999999999</v>
      </c>
      <c r="K18" s="22">
        <f t="shared" si="3"/>
        <v>50266.720000000001</v>
      </c>
      <c r="L18" s="22">
        <f t="shared" si="3"/>
        <v>0</v>
      </c>
      <c r="M18" s="22">
        <f t="shared" si="3"/>
        <v>0</v>
      </c>
      <c r="N18" s="22">
        <f t="shared" si="3"/>
        <v>59829.42</v>
      </c>
      <c r="O18" s="22">
        <f t="shared" si="3"/>
        <v>42112.939999999995</v>
      </c>
      <c r="P18" s="22">
        <f t="shared" si="3"/>
        <v>29805.87</v>
      </c>
      <c r="Q18" s="22">
        <f t="shared" si="3"/>
        <v>74157.39</v>
      </c>
      <c r="R18" s="22">
        <f t="shared" si="3"/>
        <v>47982.14</v>
      </c>
      <c r="S18" s="22">
        <f t="shared" si="3"/>
        <v>0</v>
      </c>
      <c r="T18" s="22">
        <f t="shared" si="3"/>
        <v>0</v>
      </c>
      <c r="U18" s="22">
        <f t="shared" si="3"/>
        <v>126951.48999999999</v>
      </c>
      <c r="V18" s="22">
        <f t="shared" si="3"/>
        <v>109937.57000000002</v>
      </c>
      <c r="W18" s="22">
        <f t="shared" si="3"/>
        <v>18718.599999999999</v>
      </c>
      <c r="X18" s="22">
        <f t="shared" si="3"/>
        <v>105617.26</v>
      </c>
      <c r="Y18" s="22">
        <f t="shared" si="3"/>
        <v>20166.73</v>
      </c>
      <c r="Z18" s="22">
        <f t="shared" si="3"/>
        <v>0</v>
      </c>
      <c r="AA18" s="22">
        <f t="shared" si="3"/>
        <v>0</v>
      </c>
      <c r="AB18" s="22">
        <f t="shared" si="3"/>
        <v>119350.80000000002</v>
      </c>
      <c r="AC18" s="22">
        <f t="shared" si="3"/>
        <v>143368.06000000003</v>
      </c>
      <c r="AD18" s="22">
        <f t="shared" si="3"/>
        <v>107576.43000000001</v>
      </c>
      <c r="AE18" s="22">
        <f t="shared" si="3"/>
        <v>54055.92</v>
      </c>
      <c r="AF18" s="22">
        <f t="shared" si="3"/>
        <v>28604.79</v>
      </c>
      <c r="AG18" s="22">
        <f t="shared" si="3"/>
        <v>0</v>
      </c>
      <c r="AH18" s="23">
        <f>SUM(AH7:AH17)</f>
        <v>1412421.7</v>
      </c>
    </row>
    <row r="19" spans="2:34" ht="16.5" customHeight="1" x14ac:dyDescent="0.2">
      <c r="B19" s="24"/>
      <c r="C19" s="17" t="s">
        <v>89</v>
      </c>
      <c r="D19" s="18"/>
      <c r="E19" s="18"/>
      <c r="F19" s="18"/>
      <c r="G19" s="18"/>
      <c r="H19" s="18"/>
      <c r="I19" s="18">
        <v>45378.91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E19" s="18"/>
      <c r="AF19" s="18">
        <v>65000</v>
      </c>
      <c r="AG19" s="18"/>
      <c r="AH19" s="19">
        <f t="shared" ref="AH19:AH24" si="4">SUM(D19:AG19)</f>
        <v>110378.91</v>
      </c>
    </row>
    <row r="20" spans="2:34" ht="16.5" customHeight="1" x14ac:dyDescent="0.2">
      <c r="B20" s="116" t="s">
        <v>8</v>
      </c>
      <c r="C20" s="25" t="s">
        <v>58</v>
      </c>
      <c r="D20" s="26"/>
      <c r="E20" s="26"/>
      <c r="F20" s="26"/>
      <c r="G20" s="26">
        <f>6820.81+945.47</f>
        <v>7766.2800000000007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19">
        <f t="shared" si="4"/>
        <v>7766.2800000000007</v>
      </c>
    </row>
    <row r="21" spans="2:34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Q21" s="26">
        <v>60343.29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(1280+40393.29+45061+833.25)-5921.3</f>
        <v>81646.240000000005</v>
      </c>
      <c r="AG21" s="26"/>
      <c r="AH21" s="19">
        <f t="shared" si="4"/>
        <v>141989.53</v>
      </c>
    </row>
    <row r="22" spans="2:34" ht="16.5" customHeight="1" x14ac:dyDescent="0.2">
      <c r="B22" s="117"/>
      <c r="C22" s="25" t="s">
        <v>59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19">
        <f t="shared" si="4"/>
        <v>0</v>
      </c>
    </row>
    <row r="23" spans="2:34" ht="16.5" customHeight="1" x14ac:dyDescent="0.2">
      <c r="B23" s="117"/>
      <c r="C23" s="25" t="s">
        <v>60</v>
      </c>
      <c r="D23" s="26"/>
      <c r="E23" s="26"/>
      <c r="F23" s="26"/>
      <c r="G23" s="26">
        <f>1261.93</f>
        <v>1261.93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19">
        <f t="shared" si="4"/>
        <v>1261.93</v>
      </c>
    </row>
    <row r="24" spans="2:34" ht="16.5" customHeight="1" x14ac:dyDescent="0.2">
      <c r="B24" s="117"/>
      <c r="C24" s="25" t="s">
        <v>17</v>
      </c>
      <c r="D24" s="26"/>
      <c r="E24" s="26"/>
      <c r="F24" s="26"/>
      <c r="G24" s="26">
        <f>693.35+1060.57+1272.93</f>
        <v>3026.8500000000004</v>
      </c>
      <c r="H24" s="26"/>
      <c r="I24" s="26"/>
      <c r="J24" s="26"/>
      <c r="K24" s="26"/>
      <c r="L24" s="26"/>
      <c r="M24" s="26"/>
      <c r="N24" s="26"/>
      <c r="O24" s="26"/>
      <c r="P24" s="26">
        <f>714.92</f>
        <v>714.92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19">
        <f t="shared" si="4"/>
        <v>3741.7700000000004</v>
      </c>
    </row>
    <row r="25" spans="2:34" ht="16.5" customHeight="1" x14ac:dyDescent="0.2">
      <c r="B25" s="117"/>
      <c r="C25" s="28" t="s">
        <v>62</v>
      </c>
      <c r="D25" s="29">
        <f t="shared" ref="D25:AG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-12055.060000000001</v>
      </c>
      <c r="H25" s="29">
        <f t="shared" si="5"/>
        <v>0</v>
      </c>
      <c r="I25" s="29">
        <f t="shared" si="5"/>
        <v>-45378.91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-714.92</v>
      </c>
      <c r="Q25" s="29">
        <f t="shared" si="5"/>
        <v>-60343.29</v>
      </c>
      <c r="R25" s="29">
        <f t="shared" si="5"/>
        <v>0</v>
      </c>
      <c r="S25" s="29">
        <f t="shared" si="5"/>
        <v>0</v>
      </c>
      <c r="T25" s="29">
        <f t="shared" si="5"/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>-SUM(AE19:AE24)</f>
        <v>0</v>
      </c>
      <c r="AF25" s="29">
        <f t="shared" si="5"/>
        <v>-146646.24</v>
      </c>
      <c r="AG25" s="29">
        <f t="shared" si="5"/>
        <v>0</v>
      </c>
      <c r="AH25" s="29">
        <f>-SUM(AH19:AH24)</f>
        <v>-265138.42</v>
      </c>
    </row>
    <row r="26" spans="2:34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19">
        <f t="shared" ref="AH26:AH35" si="6">SUM(D26:AG26)</f>
        <v>0</v>
      </c>
    </row>
    <row r="27" spans="2:34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10.8+141.93+56.25+613.6+42.67</f>
        <v>865.25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19">
        <f t="shared" si="6"/>
        <v>865.25</v>
      </c>
    </row>
    <row r="28" spans="2:34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f>55786.8</f>
        <v>55786.8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19">
        <f t="shared" si="6"/>
        <v>55786.8</v>
      </c>
    </row>
    <row r="29" spans="2:34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19">
        <f t="shared" si="6"/>
        <v>0</v>
      </c>
    </row>
    <row r="30" spans="2:34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19">
        <f t="shared" si="6"/>
        <v>0</v>
      </c>
    </row>
    <row r="31" spans="2:34" ht="16.5" customHeight="1" x14ac:dyDescent="0.2">
      <c r="B31" s="117"/>
      <c r="C31" s="25" t="s">
        <v>68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19">
        <f t="shared" si="6"/>
        <v>0</v>
      </c>
    </row>
    <row r="32" spans="2:34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8"/>
      <c r="X32" s="26"/>
      <c r="Y32" s="26">
        <f>6816.16-3626.68</f>
        <v>3189.48</v>
      </c>
      <c r="Z32" s="26"/>
      <c r="AA32" s="26"/>
      <c r="AB32" s="26"/>
      <c r="AC32" s="26"/>
      <c r="AD32" s="26"/>
      <c r="AE32" s="26"/>
      <c r="AF32" s="26"/>
      <c r="AG32" s="26"/>
      <c r="AH32" s="19">
        <f t="shared" si="6"/>
        <v>3189.48</v>
      </c>
    </row>
    <row r="33" spans="2:34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58"/>
      <c r="X33" s="26"/>
      <c r="Y33" s="26">
        <f>31459.14-15964.25</f>
        <v>15494.89</v>
      </c>
      <c r="Z33" s="26"/>
      <c r="AA33" s="26"/>
      <c r="AB33" s="26"/>
      <c r="AC33" s="26"/>
      <c r="AD33" s="26"/>
      <c r="AE33" s="26"/>
      <c r="AF33" s="26"/>
      <c r="AG33" s="26"/>
      <c r="AH33" s="19">
        <f t="shared" si="6"/>
        <v>15494.89</v>
      </c>
    </row>
    <row r="34" spans="2:34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>
        <f>(86863.53+88794.35+60425.77)-80399.88</f>
        <v>155683.76999999999</v>
      </c>
      <c r="AE34" s="26"/>
      <c r="AF34" s="26"/>
      <c r="AG34" s="26"/>
      <c r="AH34" s="19">
        <f t="shared" si="6"/>
        <v>155683.76999999999</v>
      </c>
    </row>
    <row r="35" spans="2:34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>
        <f>(39885.97+30393.28+38470.87)-16599.87</f>
        <v>92150.25</v>
      </c>
      <c r="AE35" s="26"/>
      <c r="AF35" s="26"/>
      <c r="AG35" s="26"/>
      <c r="AH35" s="19">
        <f t="shared" si="6"/>
        <v>92150.25</v>
      </c>
    </row>
    <row r="36" spans="2:34" ht="16.5" customHeight="1" x14ac:dyDescent="0.2">
      <c r="B36" s="117"/>
      <c r="C36" s="28" t="s">
        <v>63</v>
      </c>
      <c r="D36" s="29">
        <f>-SUM(D26:D35)</f>
        <v>0</v>
      </c>
      <c r="E36" s="29">
        <f t="shared" ref="E36:AG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-55786.8</v>
      </c>
      <c r="L36" s="29">
        <f t="shared" si="7"/>
        <v>0</v>
      </c>
      <c r="M36" s="29">
        <f t="shared" si="7"/>
        <v>0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si="7"/>
        <v>0</v>
      </c>
      <c r="R36" s="29">
        <f t="shared" si="7"/>
        <v>0</v>
      </c>
      <c r="S36" s="29">
        <f t="shared" si="7"/>
        <v>0</v>
      </c>
      <c r="T36" s="29">
        <f t="shared" si="7"/>
        <v>0</v>
      </c>
      <c r="U36" s="29">
        <f t="shared" si="7"/>
        <v>-865.25</v>
      </c>
      <c r="V36" s="29">
        <f t="shared" si="7"/>
        <v>0</v>
      </c>
      <c r="W36" s="29">
        <f t="shared" si="7"/>
        <v>0</v>
      </c>
      <c r="X36" s="29">
        <f t="shared" si="7"/>
        <v>0</v>
      </c>
      <c r="Y36" s="29">
        <f t="shared" si="7"/>
        <v>-18684.37</v>
      </c>
      <c r="Z36" s="29">
        <f t="shared" si="7"/>
        <v>0</v>
      </c>
      <c r="AA36" s="29">
        <f t="shared" si="7"/>
        <v>0</v>
      </c>
      <c r="AB36" s="29">
        <f t="shared" si="7"/>
        <v>0</v>
      </c>
      <c r="AC36" s="29">
        <f t="shared" si="7"/>
        <v>0</v>
      </c>
      <c r="AD36" s="29">
        <f>-SUM(AD26:AD35)</f>
        <v>-247834.02</v>
      </c>
      <c r="AE36" s="29">
        <f t="shared" si="7"/>
        <v>0</v>
      </c>
      <c r="AF36" s="29">
        <f t="shared" si="7"/>
        <v>0</v>
      </c>
      <c r="AG36" s="29">
        <f t="shared" si="7"/>
        <v>0</v>
      </c>
      <c r="AH36" s="29">
        <f>-SUM(AH26:AH35)</f>
        <v>-323170.44</v>
      </c>
    </row>
    <row r="37" spans="2:34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20"/>
      <c r="AG37" s="20"/>
      <c r="AH37" s="19">
        <f>SUM(D37:AG37)</f>
        <v>0</v>
      </c>
    </row>
    <row r="38" spans="2:34" ht="16.5" customHeight="1" x14ac:dyDescent="0.2">
      <c r="B38" s="117"/>
      <c r="C38" s="25" t="s">
        <v>4</v>
      </c>
      <c r="D38" s="18"/>
      <c r="E38" s="18"/>
      <c r="F38" s="18"/>
      <c r="G38" s="18"/>
      <c r="H38" s="18"/>
      <c r="I38" s="18"/>
      <c r="J38" s="18"/>
      <c r="K38" s="18">
        <v>11.06</v>
      </c>
      <c r="L38" s="18"/>
      <c r="M38" s="18"/>
      <c r="N38" s="18"/>
      <c r="O38" s="18">
        <v>17506.77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0"/>
      <c r="AG38" s="20"/>
      <c r="AH38" s="19">
        <f>SUM(D38:AG38)</f>
        <v>17517.830000000002</v>
      </c>
    </row>
    <row r="39" spans="2:34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20"/>
      <c r="AG39" s="20"/>
      <c r="AH39" s="19">
        <f>SUM(D39:AG39)</f>
        <v>0</v>
      </c>
    </row>
    <row r="40" spans="2:34" ht="16.5" customHeight="1" x14ac:dyDescent="0.2">
      <c r="B40" s="117"/>
      <c r="C40" s="28" t="s">
        <v>9</v>
      </c>
      <c r="D40" s="29">
        <f t="shared" ref="D40:AH40" si="8">-SUM(D37:D39)</f>
        <v>0</v>
      </c>
      <c r="E40" s="29">
        <f t="shared" si="8"/>
        <v>0</v>
      </c>
      <c r="F40" s="29">
        <f t="shared" si="8"/>
        <v>0</v>
      </c>
      <c r="G40" s="29">
        <f t="shared" si="8"/>
        <v>0</v>
      </c>
      <c r="H40" s="29">
        <f t="shared" si="8"/>
        <v>0</v>
      </c>
      <c r="I40" s="29">
        <f t="shared" si="8"/>
        <v>0</v>
      </c>
      <c r="J40" s="29">
        <f t="shared" si="8"/>
        <v>0</v>
      </c>
      <c r="K40" s="29">
        <f t="shared" si="8"/>
        <v>-11.06</v>
      </c>
      <c r="L40" s="29">
        <f t="shared" si="8"/>
        <v>0</v>
      </c>
      <c r="M40" s="29">
        <f t="shared" si="8"/>
        <v>0</v>
      </c>
      <c r="N40" s="29">
        <f t="shared" si="8"/>
        <v>0</v>
      </c>
      <c r="O40" s="29">
        <f t="shared" si="8"/>
        <v>-17506.77</v>
      </c>
      <c r="P40" s="29">
        <f t="shared" si="8"/>
        <v>0</v>
      </c>
      <c r="Q40" s="29">
        <f t="shared" si="8"/>
        <v>0</v>
      </c>
      <c r="R40" s="29">
        <f t="shared" si="8"/>
        <v>0</v>
      </c>
      <c r="S40" s="29">
        <f t="shared" si="8"/>
        <v>0</v>
      </c>
      <c r="T40" s="29">
        <f t="shared" si="8"/>
        <v>0</v>
      </c>
      <c r="U40" s="29">
        <f t="shared" si="8"/>
        <v>0</v>
      </c>
      <c r="V40" s="29">
        <f t="shared" si="8"/>
        <v>0</v>
      </c>
      <c r="W40" s="29">
        <f t="shared" si="8"/>
        <v>0</v>
      </c>
      <c r="X40" s="29">
        <f t="shared" si="8"/>
        <v>0</v>
      </c>
      <c r="Y40" s="29">
        <f t="shared" si="8"/>
        <v>0</v>
      </c>
      <c r="Z40" s="29">
        <f t="shared" si="8"/>
        <v>0</v>
      </c>
      <c r="AA40" s="29">
        <f t="shared" si="8"/>
        <v>0</v>
      </c>
      <c r="AB40" s="29">
        <f t="shared" si="8"/>
        <v>0</v>
      </c>
      <c r="AC40" s="29">
        <f t="shared" si="8"/>
        <v>0</v>
      </c>
      <c r="AD40" s="29">
        <f t="shared" si="8"/>
        <v>0</v>
      </c>
      <c r="AE40" s="29">
        <f t="shared" si="8"/>
        <v>0</v>
      </c>
      <c r="AF40" s="29">
        <f t="shared" si="8"/>
        <v>0</v>
      </c>
      <c r="AG40" s="29">
        <f t="shared" si="8"/>
        <v>0</v>
      </c>
      <c r="AH40" s="29">
        <f t="shared" si="8"/>
        <v>-17517.830000000002</v>
      </c>
    </row>
    <row r="41" spans="2:34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44367.37+55696.44+48097.69+95299.9+127253.96+60476.44</f>
        <v>431191.8</v>
      </c>
      <c r="W41" s="18">
        <f>2397.95+2860.53+3028.9</f>
        <v>8287.3799999999992</v>
      </c>
      <c r="X41" s="58"/>
      <c r="Y41" s="18"/>
      <c r="Z41" s="18"/>
      <c r="AA41" s="18"/>
      <c r="AB41" s="18"/>
      <c r="AC41" s="18"/>
      <c r="AD41" s="58"/>
      <c r="AE41" s="18"/>
      <c r="AF41" s="18"/>
      <c r="AG41" s="18"/>
      <c r="AH41" s="19">
        <f t="shared" ref="AH41:AH73" si="9">SUM(D41:AG41)</f>
        <v>439479.18</v>
      </c>
    </row>
    <row r="42" spans="2:34" ht="16.5" customHeight="1" x14ac:dyDescent="0.2">
      <c r="B42" s="117"/>
      <c r="C42" s="25" t="s">
        <v>52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Y42" s="18"/>
      <c r="Z42" s="18"/>
      <c r="AA42" s="18"/>
      <c r="AB42" s="18">
        <f>15000+18975.27</f>
        <v>33975.270000000004</v>
      </c>
      <c r="AC42" s="18"/>
      <c r="AD42" s="58"/>
      <c r="AE42" s="18"/>
      <c r="AF42" s="18"/>
      <c r="AG42" s="18"/>
      <c r="AH42" s="19">
        <f t="shared" si="9"/>
        <v>33975.270000000004</v>
      </c>
    </row>
    <row r="43" spans="2:34" ht="16.5" customHeight="1" x14ac:dyDescent="0.2">
      <c r="B43" s="117"/>
      <c r="C43" s="25" t="s">
        <v>70</v>
      </c>
      <c r="D43" s="18"/>
      <c r="E43" s="18"/>
      <c r="F43" s="18"/>
      <c r="G43" s="18">
        <f>1820.47+1200+162+631.28+66+19.72+10300.9+7.35</f>
        <v>14207.72</v>
      </c>
      <c r="H43" s="18">
        <f>8061.5+1100+(7.35*2)</f>
        <v>9176.2000000000007</v>
      </c>
      <c r="I43" s="18"/>
      <c r="J43" s="18"/>
      <c r="K43" s="18">
        <v>4512.5</v>
      </c>
      <c r="L43" s="18"/>
      <c r="M43" s="18"/>
      <c r="N43" s="18"/>
      <c r="O43" s="18"/>
      <c r="P43" s="18"/>
      <c r="Q43" s="18">
        <v>62305.99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>
        <f t="shared" si="9"/>
        <v>90202.41</v>
      </c>
    </row>
    <row r="44" spans="2:34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>
        <f t="shared" si="9"/>
        <v>0</v>
      </c>
    </row>
    <row r="45" spans="2:34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18">
        <f>40676.09</f>
        <v>40676.089999999997</v>
      </c>
      <c r="L45" s="18"/>
      <c r="M45" s="18"/>
      <c r="N45" s="18"/>
      <c r="O45" s="18"/>
      <c r="P45" s="18">
        <v>14976.24</v>
      </c>
      <c r="Q45" s="18"/>
      <c r="R45" s="18"/>
      <c r="S45" s="18"/>
      <c r="T45" s="18"/>
      <c r="U45" s="18">
        <v>10000</v>
      </c>
      <c r="V45" s="18"/>
      <c r="W45" s="18">
        <v>17372.580000000002</v>
      </c>
      <c r="X45" s="18"/>
      <c r="Y45" s="18"/>
      <c r="Z45" s="18"/>
      <c r="AA45" s="18"/>
      <c r="AB45" s="18">
        <v>43612.05</v>
      </c>
      <c r="AC45" s="18"/>
      <c r="AD45" s="18"/>
      <c r="AE45" s="18"/>
      <c r="AF45" s="18"/>
      <c r="AG45" s="18"/>
      <c r="AH45" s="19">
        <f t="shared" si="9"/>
        <v>126636.95999999999</v>
      </c>
    </row>
    <row r="46" spans="2:34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>
        <f>17229.75</f>
        <v>17229.75</v>
      </c>
      <c r="L46" s="26"/>
      <c r="M46" s="26"/>
      <c r="N46" s="26"/>
      <c r="O46" s="26"/>
      <c r="P46" s="26">
        <f>7919.79</f>
        <v>7919.79</v>
      </c>
      <c r="Q46" s="26"/>
      <c r="R46" s="26"/>
      <c r="S46" s="26"/>
      <c r="T46" s="26"/>
      <c r="U46" s="26"/>
      <c r="V46" s="26">
        <v>51293.71</v>
      </c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19">
        <f t="shared" si="9"/>
        <v>76443.25</v>
      </c>
    </row>
    <row r="47" spans="2:34" ht="16.5" customHeight="1" x14ac:dyDescent="0.2">
      <c r="B47" s="117"/>
      <c r="C47" s="25" t="s">
        <v>79</v>
      </c>
      <c r="D47" s="26">
        <f>712.1+40.3</f>
        <v>752.4</v>
      </c>
      <c r="E47" s="26"/>
      <c r="F47" s="26"/>
      <c r="G47" s="26">
        <f>315+468</f>
        <v>783</v>
      </c>
      <c r="H47" s="26">
        <f>1440</f>
        <v>1440</v>
      </c>
      <c r="I47" s="26"/>
      <c r="J47" s="26"/>
      <c r="K47" s="26">
        <f>467.64+1515.71+35+290.4+60.48</f>
        <v>2369.23</v>
      </c>
      <c r="L47" s="26"/>
      <c r="M47" s="26"/>
      <c r="N47" s="26"/>
      <c r="O47" s="26"/>
      <c r="P47" s="26">
        <f>70+259+120.9</f>
        <v>449.9</v>
      </c>
      <c r="Q47" s="26"/>
      <c r="R47" s="26"/>
      <c r="S47" s="26"/>
      <c r="T47" s="26"/>
      <c r="U47" s="26">
        <f>7181.45+154.6+35+70+341.5</f>
        <v>7782.55</v>
      </c>
      <c r="V47" s="26"/>
      <c r="W47" s="26">
        <f>1882.19+70+38.33+80.6+161.2+268.32</f>
        <v>2500.64</v>
      </c>
      <c r="X47" s="26"/>
      <c r="Y47" s="26"/>
      <c r="Z47" s="26"/>
      <c r="AA47" s="26"/>
      <c r="AB47" s="26">
        <f>1187.14+88.34+80.6</f>
        <v>1356.08</v>
      </c>
      <c r="AC47" s="58"/>
      <c r="AD47" s="26"/>
      <c r="AE47" s="26"/>
      <c r="AF47" s="26">
        <f>56+168+137.4+305.2</f>
        <v>666.59999999999991</v>
      </c>
      <c r="AG47" s="26"/>
      <c r="AH47" s="19">
        <f t="shared" si="9"/>
        <v>18100.399999999998</v>
      </c>
    </row>
    <row r="48" spans="2:34" ht="16.5" customHeight="1" x14ac:dyDescent="0.2">
      <c r="B48" s="117"/>
      <c r="C48" s="25" t="s">
        <v>35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>
        <v>7464.97</v>
      </c>
      <c r="AG48" s="26"/>
      <c r="AH48" s="19">
        <f t="shared" si="9"/>
        <v>7464.97</v>
      </c>
    </row>
    <row r="49" spans="2:34" ht="16.5" customHeight="1" x14ac:dyDescent="0.2">
      <c r="B49" s="117"/>
      <c r="C49" s="25" t="s">
        <v>84</v>
      </c>
      <c r="D49" s="26"/>
      <c r="E49" s="26"/>
      <c r="F49" s="26"/>
      <c r="G49" s="26"/>
      <c r="H49" s="26"/>
      <c r="I49" s="26"/>
      <c r="J49" s="26"/>
      <c r="K49" s="26">
        <v>7103.1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19">
        <f t="shared" si="9"/>
        <v>7103.1</v>
      </c>
    </row>
    <row r="50" spans="2:34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>
        <f>122.5+153.9</f>
        <v>276.39999999999998</v>
      </c>
      <c r="AC50" s="26"/>
      <c r="AD50" s="26"/>
      <c r="AE50" s="26"/>
      <c r="AF50" s="26"/>
      <c r="AG50" s="26"/>
      <c r="AH50" s="19">
        <f t="shared" si="9"/>
        <v>276.39999999999998</v>
      </c>
    </row>
    <row r="51" spans="2:34" ht="16.5" customHeight="1" x14ac:dyDescent="0.2">
      <c r="B51" s="117"/>
      <c r="C51" s="25" t="s">
        <v>74</v>
      </c>
      <c r="D51" s="26"/>
      <c r="E51" s="26"/>
      <c r="F51" s="26"/>
      <c r="G51" s="26">
        <f>2194.77</f>
        <v>2194.77</v>
      </c>
      <c r="H51" s="26"/>
      <c r="I51" s="26"/>
      <c r="J51" s="26"/>
      <c r="K51" s="26">
        <f>338.97+232.24</f>
        <v>571.21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>
        <f>199.9+10.07</f>
        <v>209.97</v>
      </c>
      <c r="X51" s="26"/>
      <c r="Y51" s="26"/>
      <c r="Z51" s="26"/>
      <c r="AA51" s="26"/>
      <c r="AB51" s="26">
        <f>338.01+44.6</f>
        <v>382.61</v>
      </c>
      <c r="AC51" s="26"/>
      <c r="AD51" s="26"/>
      <c r="AE51" s="26"/>
      <c r="AF51" s="26"/>
      <c r="AG51" s="26"/>
      <c r="AH51" s="19">
        <f t="shared" si="9"/>
        <v>3358.56</v>
      </c>
    </row>
    <row r="52" spans="2:34" ht="16.5" customHeight="1" x14ac:dyDescent="0.2">
      <c r="B52" s="117"/>
      <c r="C52" s="25" t="s">
        <v>82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C52" s="58"/>
      <c r="AD52" s="26"/>
      <c r="AE52" s="26"/>
      <c r="AF52" s="26"/>
      <c r="AG52" s="26"/>
      <c r="AH52" s="19">
        <f t="shared" si="9"/>
        <v>0</v>
      </c>
    </row>
    <row r="53" spans="2:34" ht="16.5" customHeight="1" x14ac:dyDescent="0.2">
      <c r="B53" s="117"/>
      <c r="C53" s="27" t="s">
        <v>18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>
        <f>15623.32</f>
        <v>15623.32</v>
      </c>
      <c r="Q53" s="26"/>
      <c r="R53" s="58"/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f>10909.11</f>
        <v>10909.11</v>
      </c>
      <c r="AG53" s="26"/>
      <c r="AH53" s="19">
        <f t="shared" si="9"/>
        <v>26532.43</v>
      </c>
    </row>
    <row r="54" spans="2:34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>
        <f>853.98+3180</f>
        <v>4033.98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26"/>
      <c r="AH54" s="19">
        <f t="shared" si="9"/>
        <v>7213.98</v>
      </c>
    </row>
    <row r="55" spans="2:34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f>224.55</f>
        <v>224.55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187.95</v>
      </c>
      <c r="AG55" s="26"/>
      <c r="AH55" s="19">
        <f t="shared" si="9"/>
        <v>412.5</v>
      </c>
    </row>
    <row r="56" spans="2:34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19">
        <f t="shared" si="9"/>
        <v>0</v>
      </c>
    </row>
    <row r="57" spans="2:34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9">
        <f t="shared" si="9"/>
        <v>0</v>
      </c>
    </row>
    <row r="58" spans="2:34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19">
        <f t="shared" si="9"/>
        <v>0</v>
      </c>
    </row>
    <row r="59" spans="2:34" ht="16.5" customHeight="1" x14ac:dyDescent="0.2">
      <c r="B59" s="117"/>
      <c r="C59" s="25" t="s">
        <v>32</v>
      </c>
      <c r="D59" s="26">
        <f>7500</f>
        <v>7500</v>
      </c>
      <c r="E59" s="26"/>
      <c r="F59" s="26"/>
      <c r="G59" s="26">
        <f>2350</f>
        <v>2350</v>
      </c>
      <c r="H59" s="26"/>
      <c r="J59" s="26">
        <v>3693.75</v>
      </c>
      <c r="K59" s="26">
        <f>709.2</f>
        <v>709.2</v>
      </c>
      <c r="L59" s="26"/>
      <c r="M59" s="26"/>
      <c r="N59" s="26"/>
      <c r="O59" s="26"/>
      <c r="P59" s="26">
        <f>1590+1444+307+5845.16</f>
        <v>9186.16</v>
      </c>
      <c r="Q59" s="26">
        <v>842.27</v>
      </c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>
        <v>456</v>
      </c>
      <c r="AE59" s="26"/>
      <c r="AF59" s="26">
        <f>180</f>
        <v>180</v>
      </c>
      <c r="AG59" s="26"/>
      <c r="AH59" s="19">
        <f t="shared" si="9"/>
        <v>24917.38</v>
      </c>
    </row>
    <row r="60" spans="2:34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19">
        <f t="shared" si="9"/>
        <v>0</v>
      </c>
    </row>
    <row r="61" spans="2:34" ht="16.5" customHeight="1" x14ac:dyDescent="0.2">
      <c r="B61" s="117"/>
      <c r="C61" s="25" t="s">
        <v>76</v>
      </c>
      <c r="D61" s="26">
        <f>190</f>
        <v>190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>
        <v>550</v>
      </c>
      <c r="V61" s="26"/>
      <c r="W61" s="26"/>
      <c r="X61" s="26"/>
      <c r="Y61" s="26"/>
      <c r="Z61" s="26"/>
      <c r="AA61" s="26"/>
      <c r="AB61" s="26">
        <f>180</f>
        <v>180</v>
      </c>
      <c r="AC61" s="26"/>
      <c r="AD61" s="26"/>
      <c r="AE61" s="26"/>
      <c r="AF61" s="26"/>
      <c r="AG61" s="26"/>
      <c r="AH61" s="19">
        <f t="shared" si="9"/>
        <v>920</v>
      </c>
    </row>
    <row r="62" spans="2:34" ht="16.5" customHeight="1" x14ac:dyDescent="0.2">
      <c r="B62" s="117"/>
      <c r="C62" s="25" t="s">
        <v>33</v>
      </c>
      <c r="D62" s="26">
        <f>544</f>
        <v>544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>
        <v>4212</v>
      </c>
      <c r="AC62" s="26"/>
      <c r="AE62" s="26"/>
      <c r="AF62" s="26"/>
      <c r="AG62" s="26"/>
      <c r="AH62" s="19">
        <f t="shared" si="9"/>
        <v>4756</v>
      </c>
    </row>
    <row r="63" spans="2:34" ht="16.5" customHeight="1" x14ac:dyDescent="0.2">
      <c r="B63" s="117"/>
      <c r="C63" s="25" t="s">
        <v>29</v>
      </c>
      <c r="D63" s="26">
        <f>488+718.45</f>
        <v>1206.45</v>
      </c>
      <c r="E63" s="26"/>
      <c r="F63" s="26"/>
      <c r="G63" s="26">
        <f>773.5</f>
        <v>773.5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>
        <f>628</f>
        <v>628</v>
      </c>
      <c r="V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19">
        <f t="shared" si="9"/>
        <v>2607.9499999999998</v>
      </c>
    </row>
    <row r="64" spans="2:34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>
        <f>1133.99</f>
        <v>1133.99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19">
        <f t="shared" si="9"/>
        <v>1133.99</v>
      </c>
    </row>
    <row r="65" spans="2:34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19">
        <f t="shared" si="9"/>
        <v>0</v>
      </c>
    </row>
    <row r="66" spans="2:34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19">
        <f t="shared" si="9"/>
        <v>0</v>
      </c>
    </row>
    <row r="67" spans="2:34" ht="16.5" customHeight="1" x14ac:dyDescent="0.2">
      <c r="B67" s="117"/>
      <c r="C67" s="25" t="s">
        <v>34</v>
      </c>
      <c r="D67" s="26"/>
      <c r="E67" s="26"/>
      <c r="F67" s="26"/>
      <c r="G67" s="26">
        <f>1977.65</f>
        <v>1977.65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>
        <f>1279.5</f>
        <v>1279.5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19">
        <f t="shared" si="9"/>
        <v>3257.15</v>
      </c>
    </row>
    <row r="68" spans="2:34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>
        <f>263.94+195.18</f>
        <v>459.12</v>
      </c>
      <c r="L68" s="26"/>
      <c r="M68" s="26"/>
      <c r="N68" s="26"/>
      <c r="O68" s="26"/>
      <c r="P68" s="26"/>
      <c r="Q68" s="26"/>
      <c r="S68" s="26"/>
      <c r="T68" s="26"/>
      <c r="U68" s="26">
        <v>149.38</v>
      </c>
      <c r="V68" s="26"/>
      <c r="W68" s="26"/>
      <c r="X68" s="26"/>
      <c r="Y68" s="26"/>
      <c r="Z68" s="26"/>
      <c r="AA68" s="26"/>
      <c r="AB68" s="26"/>
      <c r="AC68" s="26"/>
      <c r="AD68" s="26">
        <v>168.49</v>
      </c>
      <c r="AE68" s="26"/>
      <c r="AF68" s="26"/>
      <c r="AG68" s="26"/>
      <c r="AH68" s="19">
        <f t="shared" si="9"/>
        <v>776.99</v>
      </c>
    </row>
    <row r="69" spans="2:34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>
        <v>5480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19">
        <f t="shared" si="9"/>
        <v>5480</v>
      </c>
    </row>
    <row r="70" spans="2:34" ht="16.5" customHeight="1" x14ac:dyDescent="0.2">
      <c r="B70" s="117"/>
      <c r="C70" s="25" t="s">
        <v>81</v>
      </c>
      <c r="D70" s="26"/>
      <c r="E70" s="26"/>
      <c r="F70" s="26"/>
      <c r="G70" s="26">
        <v>190</v>
      </c>
      <c r="H70" s="26"/>
      <c r="I70" s="26"/>
      <c r="J70" s="26"/>
      <c r="K70" s="26">
        <f>198.59</f>
        <v>198.59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19">
        <f t="shared" si="9"/>
        <v>388.59000000000003</v>
      </c>
    </row>
    <row r="71" spans="2:34" ht="16.5" customHeight="1" x14ac:dyDescent="0.2">
      <c r="B71" s="117"/>
      <c r="C71" s="25" t="s">
        <v>7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19">
        <f t="shared" si="9"/>
        <v>0</v>
      </c>
    </row>
    <row r="72" spans="2:34" ht="16.5" customHeight="1" x14ac:dyDescent="0.2">
      <c r="B72" s="117"/>
      <c r="C72" s="25" t="s">
        <v>6</v>
      </c>
      <c r="D72" s="26">
        <f>(7.35*3)+28.5</f>
        <v>50.55</v>
      </c>
      <c r="E72" s="26"/>
      <c r="F72" s="26"/>
      <c r="G72" s="26">
        <f>(7.35*1)+16.17+28.5+64</f>
        <v>116.02000000000001</v>
      </c>
      <c r="H72" s="26">
        <f>7.35+62.7</f>
        <v>70.05</v>
      </c>
      <c r="I72" s="26"/>
      <c r="J72" s="26">
        <f>7.35+41.58+5.7</f>
        <v>54.63</v>
      </c>
      <c r="K72" s="26">
        <f>7.35*3</f>
        <v>22.049999999999997</v>
      </c>
      <c r="L72" s="26"/>
      <c r="M72" s="26"/>
      <c r="N72" s="26">
        <f>32.34</f>
        <v>32.340000000000003</v>
      </c>
      <c r="O72" s="26">
        <v>96.9</v>
      </c>
      <c r="P72" s="26">
        <f>66.99+11.4+(7.35*2)</f>
        <v>93.09</v>
      </c>
      <c r="Q72" s="26">
        <f>(7.35*3)+45+11.4</f>
        <v>78.45</v>
      </c>
      <c r="R72" s="26"/>
      <c r="S72" s="26"/>
      <c r="T72" s="26"/>
      <c r="U72" s="26">
        <f>57.75+7.35</f>
        <v>65.099999999999994</v>
      </c>
      <c r="V72" s="26">
        <f>617.4+85.47+51.3</f>
        <v>754.17</v>
      </c>
      <c r="W72" s="26">
        <f>(7.35*5)+17.1</f>
        <v>53.85</v>
      </c>
      <c r="X72" s="26">
        <v>27.72</v>
      </c>
      <c r="Y72" s="26">
        <f>16.17</f>
        <v>16.170000000000002</v>
      </c>
      <c r="Z72" s="26"/>
      <c r="AA72" s="26"/>
      <c r="AB72" s="26">
        <f>7.35*2</f>
        <v>14.7</v>
      </c>
      <c r="AC72" s="26">
        <v>39.9</v>
      </c>
      <c r="AD72" s="26">
        <f>5.7+7.35</f>
        <v>13.05</v>
      </c>
      <c r="AE72" s="26">
        <f>122.43+28.5</f>
        <v>150.93</v>
      </c>
      <c r="AF72" s="26">
        <f>(7.35*5)+71.61</f>
        <v>108.36</v>
      </c>
      <c r="AG72" s="26"/>
      <c r="AH72" s="19">
        <f t="shared" si="9"/>
        <v>1858.03</v>
      </c>
    </row>
    <row r="73" spans="2:34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19">
        <f t="shared" si="9"/>
        <v>0</v>
      </c>
    </row>
    <row r="74" spans="2:34" ht="16.5" customHeight="1" x14ac:dyDescent="0.2">
      <c r="B74" s="117"/>
      <c r="C74" s="28" t="s">
        <v>10</v>
      </c>
      <c r="D74" s="29">
        <f t="shared" ref="D74:AH74" si="10">-SUM(D41:D73)</f>
        <v>-10243.4</v>
      </c>
      <c r="E74" s="29">
        <f t="shared" si="10"/>
        <v>0</v>
      </c>
      <c r="F74" s="29">
        <f t="shared" si="10"/>
        <v>0</v>
      </c>
      <c r="G74" s="29">
        <f t="shared" si="10"/>
        <v>-22592.66</v>
      </c>
      <c r="H74" s="29">
        <f t="shared" si="10"/>
        <v>-10686.25</v>
      </c>
      <c r="I74" s="29">
        <f t="shared" si="10"/>
        <v>-5480</v>
      </c>
      <c r="J74" s="29">
        <f t="shared" si="10"/>
        <v>-3748.38</v>
      </c>
      <c r="K74" s="29">
        <f t="shared" si="10"/>
        <v>-75209.38</v>
      </c>
      <c r="L74" s="29">
        <f t="shared" si="10"/>
        <v>0</v>
      </c>
      <c r="M74" s="29">
        <f t="shared" si="10"/>
        <v>0</v>
      </c>
      <c r="N74" s="29">
        <f t="shared" si="10"/>
        <v>-32.340000000000003</v>
      </c>
      <c r="O74" s="29">
        <f t="shared" si="10"/>
        <v>-96.9</v>
      </c>
      <c r="P74" s="29">
        <f t="shared" si="10"/>
        <v>-52282.479999999996</v>
      </c>
      <c r="Q74" s="29">
        <f t="shared" si="10"/>
        <v>-63226.709999999992</v>
      </c>
      <c r="R74" s="29">
        <f t="shared" si="10"/>
        <v>0</v>
      </c>
      <c r="S74" s="29">
        <f t="shared" si="10"/>
        <v>0</v>
      </c>
      <c r="T74" s="29">
        <f t="shared" si="10"/>
        <v>0</v>
      </c>
      <c r="U74" s="29">
        <f t="shared" si="10"/>
        <v>-20454.53</v>
      </c>
      <c r="V74" s="29">
        <f t="shared" si="10"/>
        <v>-483239.67999999999</v>
      </c>
      <c r="W74" s="29">
        <f t="shared" si="10"/>
        <v>-28424.42</v>
      </c>
      <c r="X74" s="29">
        <f>-SUM(X41:X73)</f>
        <v>-27.72</v>
      </c>
      <c r="Y74" s="29">
        <f t="shared" si="10"/>
        <v>-16.170000000000002</v>
      </c>
      <c r="Z74" s="29">
        <f t="shared" si="10"/>
        <v>0</v>
      </c>
      <c r="AA74" s="29">
        <f t="shared" si="10"/>
        <v>0</v>
      </c>
      <c r="AB74" s="29">
        <f>-SUM(AB41:AB73)</f>
        <v>-84009.11</v>
      </c>
      <c r="AC74" s="29">
        <f t="shared" si="10"/>
        <v>-39.9</v>
      </c>
      <c r="AD74" s="29">
        <f t="shared" si="10"/>
        <v>-637.54</v>
      </c>
      <c r="AE74" s="29">
        <f>-SUM(AE41:AE73)</f>
        <v>-150.93</v>
      </c>
      <c r="AF74" s="29">
        <f t="shared" si="10"/>
        <v>-22696.99</v>
      </c>
      <c r="AG74" s="29">
        <f t="shared" si="10"/>
        <v>0</v>
      </c>
      <c r="AH74" s="29">
        <f t="shared" si="10"/>
        <v>-883295.49</v>
      </c>
    </row>
    <row r="75" spans="2:34" ht="16.5" customHeight="1" x14ac:dyDescent="0.2">
      <c r="B75" s="114"/>
      <c r="C75" s="28" t="s">
        <v>36</v>
      </c>
      <c r="D75" s="29">
        <f t="shared" ref="D75:AH75" si="11">D25+D36+D40+D74</f>
        <v>-10243.4</v>
      </c>
      <c r="E75" s="29">
        <f t="shared" si="11"/>
        <v>0</v>
      </c>
      <c r="F75" s="29">
        <f t="shared" si="11"/>
        <v>0</v>
      </c>
      <c r="G75" s="29">
        <f t="shared" si="11"/>
        <v>-34647.72</v>
      </c>
      <c r="H75" s="29">
        <f t="shared" si="11"/>
        <v>-10686.25</v>
      </c>
      <c r="I75" s="29">
        <f t="shared" si="11"/>
        <v>-50858.91</v>
      </c>
      <c r="J75" s="29">
        <f t="shared" si="11"/>
        <v>-3748.38</v>
      </c>
      <c r="K75" s="29">
        <f t="shared" si="11"/>
        <v>-131007.24</v>
      </c>
      <c r="L75" s="29">
        <f t="shared" si="11"/>
        <v>0</v>
      </c>
      <c r="M75" s="29">
        <f t="shared" si="11"/>
        <v>0</v>
      </c>
      <c r="N75" s="29">
        <f t="shared" si="11"/>
        <v>-32.340000000000003</v>
      </c>
      <c r="O75" s="29">
        <f t="shared" si="11"/>
        <v>-17603.670000000002</v>
      </c>
      <c r="P75" s="29">
        <f t="shared" si="11"/>
        <v>-52997.399999999994</v>
      </c>
      <c r="Q75" s="29">
        <f t="shared" si="11"/>
        <v>-123570</v>
      </c>
      <c r="R75" s="29">
        <f t="shared" si="11"/>
        <v>0</v>
      </c>
      <c r="S75" s="29">
        <f t="shared" si="11"/>
        <v>0</v>
      </c>
      <c r="T75" s="29">
        <f t="shared" si="11"/>
        <v>0</v>
      </c>
      <c r="U75" s="29">
        <f t="shared" si="11"/>
        <v>-21319.78</v>
      </c>
      <c r="V75" s="29">
        <f t="shared" si="11"/>
        <v>-483239.67999999999</v>
      </c>
      <c r="W75" s="29">
        <f t="shared" si="11"/>
        <v>-28424.42</v>
      </c>
      <c r="X75" s="29">
        <f t="shared" si="11"/>
        <v>-27.72</v>
      </c>
      <c r="Y75" s="29">
        <f t="shared" si="11"/>
        <v>-18700.539999999997</v>
      </c>
      <c r="Z75" s="29">
        <f t="shared" si="11"/>
        <v>0</v>
      </c>
      <c r="AA75" s="29">
        <f t="shared" si="11"/>
        <v>0</v>
      </c>
      <c r="AB75" s="29">
        <f t="shared" si="11"/>
        <v>-84009.11</v>
      </c>
      <c r="AC75" s="29">
        <f t="shared" si="11"/>
        <v>-39.9</v>
      </c>
      <c r="AD75" s="29">
        <f t="shared" si="11"/>
        <v>-248471.56</v>
      </c>
      <c r="AE75" s="29">
        <f t="shared" si="11"/>
        <v>-150.93</v>
      </c>
      <c r="AF75" s="29">
        <f t="shared" si="11"/>
        <v>-169343.22999999998</v>
      </c>
      <c r="AG75" s="29">
        <f t="shared" si="11"/>
        <v>0</v>
      </c>
      <c r="AH75" s="29">
        <f t="shared" si="11"/>
        <v>-1489122.18</v>
      </c>
    </row>
    <row r="76" spans="2:34" ht="7.5" customHeight="1" x14ac:dyDescent="0.2">
      <c r="B76" s="30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</row>
    <row r="77" spans="2:34" ht="16.5" customHeight="1" x14ac:dyDescent="0.2">
      <c r="B77" s="31"/>
      <c r="C77" s="32" t="s">
        <v>13</v>
      </c>
      <c r="D77" s="13">
        <f t="shared" ref="D77:AH77" si="12">D6+D18+D75</f>
        <v>213824.71</v>
      </c>
      <c r="E77" s="13">
        <f t="shared" si="12"/>
        <v>213824.71</v>
      </c>
      <c r="F77" s="13">
        <f t="shared" si="12"/>
        <v>213824.71</v>
      </c>
      <c r="G77" s="13">
        <f t="shared" si="12"/>
        <v>231337.30000000002</v>
      </c>
      <c r="H77" s="13">
        <f t="shared" si="12"/>
        <v>256642.48000000004</v>
      </c>
      <c r="I77" s="13">
        <f t="shared" si="12"/>
        <v>292558.13</v>
      </c>
      <c r="J77" s="13">
        <f t="shared" si="12"/>
        <v>309064.94</v>
      </c>
      <c r="K77" s="13">
        <f t="shared" si="12"/>
        <v>228324.42000000004</v>
      </c>
      <c r="L77" s="13">
        <f t="shared" si="12"/>
        <v>228324.42000000004</v>
      </c>
      <c r="M77" s="13">
        <f t="shared" si="12"/>
        <v>228324.42000000004</v>
      </c>
      <c r="N77" s="13">
        <f t="shared" si="12"/>
        <v>288121.5</v>
      </c>
      <c r="O77" s="13">
        <f t="shared" si="12"/>
        <v>312630.77</v>
      </c>
      <c r="P77" s="13">
        <f t="shared" si="12"/>
        <v>289439.24</v>
      </c>
      <c r="Q77" s="13">
        <f t="shared" si="12"/>
        <v>240026.63</v>
      </c>
      <c r="R77" s="13">
        <f t="shared" si="12"/>
        <v>288008.77</v>
      </c>
      <c r="S77" s="13">
        <f t="shared" si="12"/>
        <v>288008.77</v>
      </c>
      <c r="T77" s="13">
        <f t="shared" si="12"/>
        <v>288008.77</v>
      </c>
      <c r="U77" s="13">
        <f t="shared" si="12"/>
        <v>393640.48</v>
      </c>
      <c r="V77" s="13">
        <f t="shared" si="12"/>
        <v>20338.369999999995</v>
      </c>
      <c r="W77" s="13">
        <f t="shared" si="12"/>
        <v>10632.549999999996</v>
      </c>
      <c r="X77" s="13">
        <f t="shared" si="12"/>
        <v>116222.09</v>
      </c>
      <c r="Y77" s="13">
        <f t="shared" si="12"/>
        <v>117688.28000000001</v>
      </c>
      <c r="Z77" s="13">
        <f t="shared" si="12"/>
        <v>117688.28000000001</v>
      </c>
      <c r="AA77" s="13">
        <f t="shared" si="12"/>
        <v>117688.28000000001</v>
      </c>
      <c r="AB77" s="13">
        <f t="shared" si="12"/>
        <v>153029.97000000003</v>
      </c>
      <c r="AC77" s="13">
        <f t="shared" si="12"/>
        <v>296358.13</v>
      </c>
      <c r="AD77" s="13">
        <f t="shared" si="12"/>
        <v>155463</v>
      </c>
      <c r="AE77" s="13">
        <f t="shared" si="12"/>
        <v>209367.99</v>
      </c>
      <c r="AF77" s="13">
        <f t="shared" si="12"/>
        <v>68629.550000000017</v>
      </c>
      <c r="AG77" s="13">
        <f t="shared" si="12"/>
        <v>68629.550000000017</v>
      </c>
      <c r="AH77" s="13">
        <f t="shared" si="12"/>
        <v>68629.550000000047</v>
      </c>
    </row>
    <row r="78" spans="2:34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</row>
    <row r="79" spans="2:34" ht="16.5" customHeight="1" x14ac:dyDescent="0.2">
      <c r="B79" s="117"/>
      <c r="C79" s="21" t="s">
        <v>15</v>
      </c>
      <c r="D79" s="33">
        <v>527087.43999999994</v>
      </c>
      <c r="E79" s="33">
        <f>D83</f>
        <v>527422.82999999996</v>
      </c>
      <c r="F79" s="33">
        <f t="shared" ref="F79:AG79" si="13">E83</f>
        <v>527422.82999999996</v>
      </c>
      <c r="G79" s="33">
        <f t="shared" si="13"/>
        <v>527422.82999999996</v>
      </c>
      <c r="H79" s="33">
        <f t="shared" si="13"/>
        <v>527596.89</v>
      </c>
      <c r="I79" s="33">
        <f t="shared" si="13"/>
        <v>527768.09</v>
      </c>
      <c r="J79" s="33">
        <f t="shared" si="13"/>
        <v>527942.14</v>
      </c>
      <c r="K79" s="33">
        <f t="shared" si="13"/>
        <v>528100.57000000007</v>
      </c>
      <c r="L79" s="33">
        <f t="shared" si="13"/>
        <v>528267.75000000012</v>
      </c>
      <c r="M79" s="33">
        <f t="shared" si="13"/>
        <v>528267.75000000012</v>
      </c>
      <c r="N79" s="33">
        <f t="shared" si="13"/>
        <v>528267.75000000012</v>
      </c>
      <c r="O79" s="33">
        <f t="shared" si="13"/>
        <v>528428.43000000017</v>
      </c>
      <c r="P79" s="33">
        <f t="shared" si="13"/>
        <v>528590.00000000012</v>
      </c>
      <c r="Q79" s="33">
        <f t="shared" si="13"/>
        <v>528754.28000000014</v>
      </c>
      <c r="R79" s="33">
        <f t="shared" si="13"/>
        <v>528918.03000000014</v>
      </c>
      <c r="S79" s="33">
        <f t="shared" si="13"/>
        <v>529096.94000000018</v>
      </c>
      <c r="T79" s="33">
        <f t="shared" si="13"/>
        <v>529096.94000000018</v>
      </c>
      <c r="U79" s="33">
        <f t="shared" si="13"/>
        <v>529096.94000000018</v>
      </c>
      <c r="V79" s="33">
        <f t="shared" si="13"/>
        <v>529263.76000000013</v>
      </c>
      <c r="W79" s="33">
        <f t="shared" si="13"/>
        <v>514429.2300000001</v>
      </c>
      <c r="X79" s="33">
        <f t="shared" si="13"/>
        <v>514593.49000000011</v>
      </c>
      <c r="Y79" s="33">
        <f t="shared" si="13"/>
        <v>514830.71000000008</v>
      </c>
      <c r="Z79" s="33">
        <f t="shared" si="13"/>
        <v>515023.70000000007</v>
      </c>
      <c r="AA79" s="33">
        <f t="shared" si="13"/>
        <v>515023.70000000007</v>
      </c>
      <c r="AB79" s="33">
        <f t="shared" si="13"/>
        <v>515023.70000000007</v>
      </c>
      <c r="AC79" s="33">
        <f t="shared" si="13"/>
        <v>549177.77</v>
      </c>
      <c r="AD79" s="33">
        <f t="shared" si="13"/>
        <v>549355.37</v>
      </c>
      <c r="AE79" s="33">
        <f t="shared" si="13"/>
        <v>549534.53</v>
      </c>
      <c r="AF79" s="33">
        <f t="shared" si="13"/>
        <v>549705.30000000005</v>
      </c>
      <c r="AG79" s="33">
        <f t="shared" si="13"/>
        <v>549903.35000000009</v>
      </c>
      <c r="AH79" s="22"/>
    </row>
    <row r="80" spans="2:34" ht="16.5" customHeight="1" x14ac:dyDescent="0.2">
      <c r="B80" s="117"/>
      <c r="C80" s="17" t="s">
        <v>86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Y80" s="18"/>
      <c r="Z80" s="18"/>
      <c r="AA80" s="18"/>
      <c r="AB80" s="18">
        <v>18975.27</v>
      </c>
      <c r="AC80" s="18"/>
      <c r="AD80" s="58"/>
      <c r="AE80" s="18"/>
      <c r="AF80" s="18"/>
      <c r="AG80" s="18"/>
      <c r="AH80" s="19">
        <f>SUM(D80:AF80)</f>
        <v>18975.27</v>
      </c>
    </row>
    <row r="81" spans="2:34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-15000</v>
      </c>
      <c r="W81" s="58"/>
      <c r="X81" s="18"/>
      <c r="Y81" s="18"/>
      <c r="Z81" s="18"/>
      <c r="AA81" s="18"/>
      <c r="AB81" s="18">
        <v>15000</v>
      </c>
      <c r="AC81" s="18"/>
      <c r="AD81" s="58"/>
      <c r="AE81" s="18"/>
      <c r="AF81" s="18"/>
      <c r="AG81" s="18"/>
      <c r="AH81" s="19">
        <f>SUM(D81:AF81)</f>
        <v>0</v>
      </c>
    </row>
    <row r="82" spans="2:34" ht="16.5" customHeight="1" x14ac:dyDescent="0.2">
      <c r="B82" s="117"/>
      <c r="C82" s="17" t="s">
        <v>24</v>
      </c>
      <c r="D82" s="18">
        <v>335.39</v>
      </c>
      <c r="E82" s="18"/>
      <c r="F82" s="18"/>
      <c r="G82" s="18">
        <v>174.06</v>
      </c>
      <c r="H82" s="18">
        <v>171.2</v>
      </c>
      <c r="I82" s="18">
        <v>174.05</v>
      </c>
      <c r="J82" s="18">
        <v>158.43</v>
      </c>
      <c r="K82" s="18">
        <v>167.18</v>
      </c>
      <c r="L82" s="18"/>
      <c r="M82" s="18"/>
      <c r="N82" s="18">
        <v>160.68</v>
      </c>
      <c r="O82" s="18">
        <v>161.57</v>
      </c>
      <c r="P82" s="18">
        <v>164.28</v>
      </c>
      <c r="Q82" s="18">
        <v>163.75</v>
      </c>
      <c r="R82" s="18">
        <v>178.91</v>
      </c>
      <c r="S82" s="18"/>
      <c r="T82" s="18"/>
      <c r="U82" s="18">
        <v>166.82</v>
      </c>
      <c r="V82" s="18">
        <v>165.47</v>
      </c>
      <c r="W82" s="18">
        <v>164.26</v>
      </c>
      <c r="X82" s="18">
        <v>237.22</v>
      </c>
      <c r="Y82" s="18">
        <v>192.99</v>
      </c>
      <c r="Z82" s="18"/>
      <c r="AA82" s="18"/>
      <c r="AB82" s="18">
        <v>178.8</v>
      </c>
      <c r="AC82" s="18">
        <v>177.6</v>
      </c>
      <c r="AD82" s="18">
        <v>179.16</v>
      </c>
      <c r="AE82" s="18">
        <v>170.77</v>
      </c>
      <c r="AF82" s="18">
        <v>198.05</v>
      </c>
      <c r="AG82" s="18"/>
      <c r="AH82" s="19">
        <f>SUM(D82:AF82)</f>
        <v>3840.6400000000003</v>
      </c>
    </row>
    <row r="83" spans="2:34" ht="16.5" customHeight="1" x14ac:dyDescent="0.2">
      <c r="B83" s="117"/>
      <c r="C83" s="21" t="s">
        <v>30</v>
      </c>
      <c r="D83" s="22">
        <f>SUM(D80:D82)+D79</f>
        <v>527422.82999999996</v>
      </c>
      <c r="E83" s="22">
        <f t="shared" ref="E83:AG83" si="14">SUM(E80:E82)+D83</f>
        <v>527422.82999999996</v>
      </c>
      <c r="F83" s="22">
        <f t="shared" si="14"/>
        <v>527422.82999999996</v>
      </c>
      <c r="G83" s="22">
        <f t="shared" si="14"/>
        <v>527596.89</v>
      </c>
      <c r="H83" s="22">
        <f t="shared" si="14"/>
        <v>527768.09</v>
      </c>
      <c r="I83" s="22">
        <f t="shared" si="14"/>
        <v>527942.14</v>
      </c>
      <c r="J83" s="22">
        <f t="shared" si="14"/>
        <v>528100.57000000007</v>
      </c>
      <c r="K83" s="22">
        <f t="shared" si="14"/>
        <v>528267.75000000012</v>
      </c>
      <c r="L83" s="22">
        <f t="shared" si="14"/>
        <v>528267.75000000012</v>
      </c>
      <c r="M83" s="22">
        <f t="shared" si="14"/>
        <v>528267.75000000012</v>
      </c>
      <c r="N83" s="22">
        <f t="shared" si="14"/>
        <v>528428.43000000017</v>
      </c>
      <c r="O83" s="22">
        <f t="shared" si="14"/>
        <v>528590.00000000012</v>
      </c>
      <c r="P83" s="22">
        <f t="shared" si="14"/>
        <v>528754.28000000014</v>
      </c>
      <c r="Q83" s="22">
        <f t="shared" si="14"/>
        <v>528918.03000000014</v>
      </c>
      <c r="R83" s="22">
        <f t="shared" si="14"/>
        <v>529096.94000000018</v>
      </c>
      <c r="S83" s="22">
        <f t="shared" si="14"/>
        <v>529096.94000000018</v>
      </c>
      <c r="T83" s="22">
        <f t="shared" si="14"/>
        <v>529096.94000000018</v>
      </c>
      <c r="U83" s="22">
        <f t="shared" si="14"/>
        <v>529263.76000000013</v>
      </c>
      <c r="V83" s="22">
        <f t="shared" si="14"/>
        <v>514429.2300000001</v>
      </c>
      <c r="W83" s="22">
        <f t="shared" si="14"/>
        <v>514593.49000000011</v>
      </c>
      <c r="X83" s="22">
        <f t="shared" si="14"/>
        <v>514830.71000000008</v>
      </c>
      <c r="Y83" s="22">
        <f t="shared" si="14"/>
        <v>515023.70000000007</v>
      </c>
      <c r="Z83" s="22">
        <f t="shared" si="14"/>
        <v>515023.70000000007</v>
      </c>
      <c r="AA83" s="22">
        <f t="shared" si="14"/>
        <v>515023.70000000007</v>
      </c>
      <c r="AB83" s="22">
        <f t="shared" si="14"/>
        <v>549177.77</v>
      </c>
      <c r="AC83" s="22">
        <f t="shared" si="14"/>
        <v>549355.37</v>
      </c>
      <c r="AD83" s="22">
        <f>SUM(AD80:AD82)+AC83</f>
        <v>549534.53</v>
      </c>
      <c r="AE83" s="22">
        <f>SUM(AE80:AE82)+AD83</f>
        <v>549705.30000000005</v>
      </c>
      <c r="AF83" s="22">
        <f t="shared" si="14"/>
        <v>549903.35000000009</v>
      </c>
      <c r="AG83" s="22">
        <f t="shared" si="14"/>
        <v>549903.35000000009</v>
      </c>
      <c r="AH83" s="22">
        <f>SUM(AH80:AH82)</f>
        <v>22815.91</v>
      </c>
    </row>
    <row r="84" spans="2:34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</row>
    <row r="85" spans="2:34" ht="16.5" customHeight="1" thickBot="1" x14ac:dyDescent="0.25">
      <c r="B85" s="35"/>
      <c r="C85" s="36" t="s">
        <v>25</v>
      </c>
      <c r="D85" s="37">
        <f t="shared" ref="D85:AG85" si="15">D77+D83</f>
        <v>741247.53999999992</v>
      </c>
      <c r="E85" s="37">
        <f t="shared" si="15"/>
        <v>741247.53999999992</v>
      </c>
      <c r="F85" s="37">
        <f t="shared" si="15"/>
        <v>741247.53999999992</v>
      </c>
      <c r="G85" s="37">
        <f t="shared" si="15"/>
        <v>758934.19000000006</v>
      </c>
      <c r="H85" s="37">
        <f t="shared" si="15"/>
        <v>784410.57000000007</v>
      </c>
      <c r="I85" s="37">
        <f t="shared" si="15"/>
        <v>820500.27</v>
      </c>
      <c r="J85" s="37">
        <f t="shared" si="15"/>
        <v>837165.51</v>
      </c>
      <c r="K85" s="37">
        <f t="shared" si="15"/>
        <v>756592.17000000016</v>
      </c>
      <c r="L85" s="37">
        <f t="shared" si="15"/>
        <v>756592.17000000016</v>
      </c>
      <c r="M85" s="37">
        <f t="shared" si="15"/>
        <v>756592.17000000016</v>
      </c>
      <c r="N85" s="37">
        <f t="shared" si="15"/>
        <v>816549.93000000017</v>
      </c>
      <c r="O85" s="37">
        <f t="shared" si="15"/>
        <v>841220.77000000014</v>
      </c>
      <c r="P85" s="37">
        <f t="shared" si="15"/>
        <v>818193.52000000014</v>
      </c>
      <c r="Q85" s="37">
        <f t="shared" si="15"/>
        <v>768944.66000000015</v>
      </c>
      <c r="R85" s="37">
        <f t="shared" si="15"/>
        <v>817105.7100000002</v>
      </c>
      <c r="S85" s="37">
        <f t="shared" si="15"/>
        <v>817105.7100000002</v>
      </c>
      <c r="T85" s="37">
        <f t="shared" si="15"/>
        <v>817105.7100000002</v>
      </c>
      <c r="U85" s="37">
        <f t="shared" si="15"/>
        <v>922904.24000000011</v>
      </c>
      <c r="V85" s="37">
        <f t="shared" si="15"/>
        <v>534767.60000000009</v>
      </c>
      <c r="W85" s="37">
        <f t="shared" si="15"/>
        <v>525226.04000000015</v>
      </c>
      <c r="X85" s="37">
        <f t="shared" si="15"/>
        <v>631052.80000000005</v>
      </c>
      <c r="Y85" s="37">
        <f t="shared" si="15"/>
        <v>632711.9800000001</v>
      </c>
      <c r="Z85" s="37">
        <f t="shared" si="15"/>
        <v>632711.9800000001</v>
      </c>
      <c r="AA85" s="37">
        <f t="shared" si="15"/>
        <v>632711.9800000001</v>
      </c>
      <c r="AB85" s="37">
        <f t="shared" si="15"/>
        <v>702207.74</v>
      </c>
      <c r="AC85" s="37">
        <f t="shared" si="15"/>
        <v>845713.5</v>
      </c>
      <c r="AD85" s="37">
        <f t="shared" si="15"/>
        <v>704997.53</v>
      </c>
      <c r="AE85" s="37">
        <f t="shared" si="15"/>
        <v>759073.29</v>
      </c>
      <c r="AF85" s="37">
        <f t="shared" si="15"/>
        <v>618532.90000000014</v>
      </c>
      <c r="AG85" s="37">
        <f t="shared" si="15"/>
        <v>618532.90000000014</v>
      </c>
      <c r="AH85" s="37">
        <f>AH77+AH83</f>
        <v>91445.46000000005</v>
      </c>
    </row>
    <row r="86" spans="2:34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9"/>
    </row>
    <row r="87" spans="2:34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40"/>
    </row>
    <row r="88" spans="2:34" ht="18.75" x14ac:dyDescent="0.25">
      <c r="B88" s="41"/>
      <c r="C88" s="48" t="s">
        <v>38</v>
      </c>
      <c r="D88" s="49">
        <f>AF5</f>
        <v>42034</v>
      </c>
    </row>
    <row r="89" spans="2:34" ht="18.75" x14ac:dyDescent="0.25">
      <c r="B89" s="41"/>
      <c r="C89" s="50" t="s">
        <v>46</v>
      </c>
      <c r="D89" s="51">
        <f>AF6</f>
        <v>209367.99</v>
      </c>
    </row>
    <row r="90" spans="2:34" ht="18.75" x14ac:dyDescent="0.25">
      <c r="B90" s="41"/>
      <c r="C90" s="50" t="s">
        <v>40</v>
      </c>
      <c r="D90" s="52">
        <f>AF18</f>
        <v>28604.79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40"/>
    </row>
    <row r="91" spans="2:34" ht="18.75" x14ac:dyDescent="0.25">
      <c r="B91" s="41"/>
      <c r="C91" s="50" t="s">
        <v>39</v>
      </c>
      <c r="D91" s="53">
        <f>AF75</f>
        <v>-169343.22999999998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5"/>
      <c r="W91" s="46"/>
      <c r="X91" s="46"/>
      <c r="Y91" s="125"/>
      <c r="Z91" s="125"/>
      <c r="AA91" s="125"/>
      <c r="AB91" s="125"/>
      <c r="AC91" s="7"/>
      <c r="AD91" s="7"/>
      <c r="AE91" s="7"/>
      <c r="AF91" s="7"/>
      <c r="AG91" s="7"/>
      <c r="AH91" s="40"/>
    </row>
    <row r="92" spans="2:34" ht="21" x14ac:dyDescent="0.3">
      <c r="B92" s="41"/>
      <c r="C92" s="50" t="s">
        <v>93</v>
      </c>
      <c r="D92" s="51">
        <f>SUM(D89:D91)</f>
        <v>68629.550000000017</v>
      </c>
      <c r="I92" s="118"/>
      <c r="J92" s="118"/>
      <c r="K92" s="8"/>
      <c r="L92" s="8"/>
      <c r="M92" s="8"/>
      <c r="N92" s="8"/>
      <c r="O92" s="122" t="s">
        <v>43</v>
      </c>
      <c r="P92" s="122"/>
      <c r="Q92" s="119"/>
      <c r="R92" s="119"/>
      <c r="S92" s="56"/>
      <c r="T92" s="56"/>
      <c r="U92" s="120" t="s">
        <v>44</v>
      </c>
      <c r="V92" s="120"/>
      <c r="W92" s="56"/>
      <c r="X92" s="56"/>
      <c r="Y92" s="121" t="s">
        <v>45</v>
      </c>
      <c r="Z92" s="121"/>
      <c r="AA92" s="121"/>
      <c r="AB92" s="121"/>
    </row>
    <row r="93" spans="2:34" ht="18.75" x14ac:dyDescent="0.25">
      <c r="B93" s="41"/>
      <c r="C93" s="50" t="s">
        <v>91</v>
      </c>
      <c r="D93" s="51">
        <v>11855.36</v>
      </c>
      <c r="K93" s="47"/>
      <c r="L93" s="47"/>
      <c r="M93" s="47"/>
      <c r="N93" s="47"/>
      <c r="O93" s="47"/>
      <c r="P93" s="47"/>
    </row>
    <row r="94" spans="2:34" ht="18.75" x14ac:dyDescent="0.25">
      <c r="B94" s="41"/>
      <c r="C94" s="50" t="s">
        <v>92</v>
      </c>
      <c r="D94" s="51">
        <v>100637.35</v>
      </c>
      <c r="K94" s="47"/>
      <c r="L94" s="47"/>
      <c r="M94" s="47"/>
      <c r="N94" s="47"/>
      <c r="O94" s="47"/>
      <c r="P94" s="47"/>
    </row>
    <row r="95" spans="2:34" ht="18.75" x14ac:dyDescent="0.25">
      <c r="B95" s="41"/>
      <c r="C95" s="50" t="s">
        <v>41</v>
      </c>
      <c r="D95" s="51">
        <v>437212.59</v>
      </c>
    </row>
    <row r="96" spans="2:34" ht="19.5" thickBot="1" x14ac:dyDescent="0.3">
      <c r="B96" s="41"/>
      <c r="C96" s="54" t="s">
        <v>42</v>
      </c>
      <c r="D96" s="55">
        <f>SUM(D92:D95)</f>
        <v>618334.85000000009</v>
      </c>
    </row>
  </sheetData>
  <protectedRanges>
    <protectedRange sqref="D82:V82 Z82:AE82" name="Intervalo11"/>
    <protectedRange sqref="D76:AE76" name="Intervalo8"/>
    <protectedRange sqref="Q21 D20:H20 J20:AE20 D21:O24 R21:AE24 P22:Q24" name="Intervalo3"/>
    <protectedRange sqref="D10:AE10 D11:AG11 D12:AE13 D16:AE17 D14:AG15" name="Intervalo2"/>
    <protectedRange sqref="D7:AE9" name="Intervalo1"/>
    <protectedRange sqref="D37:AE39" name="Intervalo4"/>
    <protectedRange sqref="S52:T52 W64:W73 R69:U73 S68:U68 Z52:AA52 X53:AD53 S53:V53 AC46:AD46 AE46:AE52 AD47:AD52 J59 I20 AC48:AC51 R46:AB51 AG55 D46:H73 K46:Q73 I46:J58 I60:J73 V54:V73 W54:W62 R54:U67 AF48 X54:AA73 AE54:AE73 AB54:AD61 AB63:AD73 AB62:AC62" name="Intervalo5"/>
    <protectedRange sqref="AC26:AE33 W26:AB31 X32:AB33 D26:V35 AG34:AG35 AD35 W34:AC35 AE34:AE35" name="Intervalo6"/>
    <protectedRange sqref="W82:Y82" name="Intervalo11_1"/>
  </protectedRanges>
  <mergeCells count="16">
    <mergeCell ref="S90:T90"/>
    <mergeCell ref="I91:J91"/>
    <mergeCell ref="Q91:R91"/>
    <mergeCell ref="U91:V91"/>
    <mergeCell ref="Y91:AB91"/>
    <mergeCell ref="I92:J92"/>
    <mergeCell ref="Q92:R92"/>
    <mergeCell ref="U92:V92"/>
    <mergeCell ref="Y92:AB92"/>
    <mergeCell ref="O92:P92"/>
    <mergeCell ref="B2:C2"/>
    <mergeCell ref="C87:D87"/>
    <mergeCell ref="B4:C5"/>
    <mergeCell ref="B7:B18"/>
    <mergeCell ref="B20:B75"/>
    <mergeCell ref="B78:B84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H96"/>
  <sheetViews>
    <sheetView showGridLines="0" workbookViewId="0" xr3:uid="{958C4451-9541-5A59-BF78-D2F731DF1C81}">
      <pane xSplit="3" ySplit="6" topLeftCell="V5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customWidth="1"/>
    <col min="8" max="8" width="14.52734375" style="4" bestFit="1" customWidth="1"/>
    <col min="9" max="10" width="14.52734375" style="4" hidden="1" customWidth="1"/>
    <col min="11" max="12" width="14.52734375" style="4" bestFit="1" customWidth="1"/>
    <col min="13" max="13" width="12.64453125" style="4" customWidth="1"/>
    <col min="14" max="14" width="14.52734375" style="4" customWidth="1"/>
    <col min="15" max="15" width="14.52734375" style="4" bestFit="1" customWidth="1"/>
    <col min="16" max="19" width="14.52734375" style="4" hidden="1" customWidth="1"/>
    <col min="20" max="21" width="12.64453125" style="4" customWidth="1"/>
    <col min="22" max="22" width="14.52734375" style="4" bestFit="1" customWidth="1"/>
    <col min="23" max="24" width="14.52734375" style="4" hidden="1" customWidth="1"/>
    <col min="25" max="26" width="14.52734375" style="4" bestFit="1" customWidth="1"/>
    <col min="27" max="27" width="12.64453125" style="4" customWidth="1"/>
    <col min="28" max="28" width="14.52734375" style="4" customWidth="1"/>
    <col min="29" max="29" width="14.52734375" style="4" bestFit="1" customWidth="1"/>
    <col min="30" max="33" width="14.52734375" style="4" hidden="1" customWidth="1"/>
    <col min="34" max="34" width="14.52734375" style="42" bestFit="1" customWidth="1"/>
    <col min="35" max="16384" width="9.14453125" style="4"/>
  </cols>
  <sheetData>
    <row r="1" spans="2:34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2:34" ht="24" thickBot="1" x14ac:dyDescent="0.25">
      <c r="B2" s="108" t="s">
        <v>96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2:34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  <row r="4" spans="2:34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59" t="s">
        <v>87</v>
      </c>
      <c r="J4" s="59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59" t="s">
        <v>87</v>
      </c>
      <c r="Q4" s="59" t="s">
        <v>87</v>
      </c>
      <c r="R4" s="59" t="s">
        <v>87</v>
      </c>
      <c r="S4" s="59" t="s">
        <v>87</v>
      </c>
      <c r="T4" s="70" t="s">
        <v>97</v>
      </c>
      <c r="U4" s="70" t="s">
        <v>97</v>
      </c>
      <c r="V4" s="70" t="s">
        <v>97</v>
      </c>
      <c r="W4" s="59" t="s">
        <v>87</v>
      </c>
      <c r="X4" s="59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60" t="s">
        <v>87</v>
      </c>
      <c r="AE4" s="60" t="s">
        <v>87</v>
      </c>
      <c r="AF4" s="60" t="s">
        <v>87</v>
      </c>
      <c r="AG4" s="60" t="s">
        <v>87</v>
      </c>
      <c r="AH4" s="57"/>
    </row>
    <row r="5" spans="2:34" s="11" customFormat="1" x14ac:dyDescent="0.2">
      <c r="B5" s="113"/>
      <c r="C5" s="113"/>
      <c r="D5" s="10">
        <v>41672</v>
      </c>
      <c r="E5" s="10">
        <f t="shared" ref="E5:AG5" si="0">D5+1</f>
        <v>41673</v>
      </c>
      <c r="F5" s="10">
        <f t="shared" si="0"/>
        <v>41674</v>
      </c>
      <c r="G5" s="10">
        <f t="shared" si="0"/>
        <v>41675</v>
      </c>
      <c r="H5" s="10">
        <f t="shared" si="0"/>
        <v>41676</v>
      </c>
      <c r="I5" s="10">
        <f t="shared" si="0"/>
        <v>41677</v>
      </c>
      <c r="J5" s="10">
        <f t="shared" si="0"/>
        <v>41678</v>
      </c>
      <c r="K5" s="10">
        <f t="shared" si="0"/>
        <v>41679</v>
      </c>
      <c r="L5" s="10">
        <f t="shared" si="0"/>
        <v>41680</v>
      </c>
      <c r="M5" s="10">
        <f t="shared" si="0"/>
        <v>41681</v>
      </c>
      <c r="N5" s="10">
        <f t="shared" si="0"/>
        <v>41682</v>
      </c>
      <c r="O5" s="10">
        <f t="shared" si="0"/>
        <v>41683</v>
      </c>
      <c r="P5" s="10">
        <f t="shared" si="0"/>
        <v>41684</v>
      </c>
      <c r="Q5" s="10">
        <f t="shared" si="0"/>
        <v>41685</v>
      </c>
      <c r="R5" s="10">
        <f t="shared" si="0"/>
        <v>41686</v>
      </c>
      <c r="S5" s="10">
        <f t="shared" si="0"/>
        <v>41687</v>
      </c>
      <c r="T5" s="10">
        <f t="shared" si="0"/>
        <v>41688</v>
      </c>
      <c r="U5" s="10">
        <f t="shared" si="0"/>
        <v>41689</v>
      </c>
      <c r="V5" s="10">
        <f t="shared" si="0"/>
        <v>41690</v>
      </c>
      <c r="W5" s="10">
        <f t="shared" si="0"/>
        <v>41691</v>
      </c>
      <c r="X5" s="10">
        <f t="shared" si="0"/>
        <v>41692</v>
      </c>
      <c r="Y5" s="10">
        <f t="shared" si="0"/>
        <v>41693</v>
      </c>
      <c r="Z5" s="10">
        <f t="shared" si="0"/>
        <v>41694</v>
      </c>
      <c r="AA5" s="10">
        <f t="shared" si="0"/>
        <v>41695</v>
      </c>
      <c r="AB5" s="10">
        <f t="shared" si="0"/>
        <v>41696</v>
      </c>
      <c r="AC5" s="10">
        <f t="shared" si="0"/>
        <v>41697</v>
      </c>
      <c r="AD5" s="10">
        <f t="shared" si="0"/>
        <v>41698</v>
      </c>
      <c r="AE5" s="10">
        <f t="shared" si="0"/>
        <v>41699</v>
      </c>
      <c r="AF5" s="10">
        <f t="shared" si="0"/>
        <v>41700</v>
      </c>
      <c r="AG5" s="10">
        <f t="shared" si="0"/>
        <v>41701</v>
      </c>
      <c r="AH5" s="10" t="s">
        <v>1</v>
      </c>
    </row>
    <row r="6" spans="2:34" ht="16.5" customHeight="1" x14ac:dyDescent="0.2">
      <c r="B6" s="12"/>
      <c r="C6" s="12" t="s">
        <v>14</v>
      </c>
      <c r="D6" s="13">
        <f>Jan!AG77</f>
        <v>68629.550000000017</v>
      </c>
      <c r="E6" s="13">
        <f t="shared" ref="E6:AG6" si="1">D77</f>
        <v>71718.210000000021</v>
      </c>
      <c r="F6" s="13">
        <f t="shared" ref="F6" si="2">E77</f>
        <v>154558</v>
      </c>
      <c r="G6" s="13">
        <f t="shared" ref="G6" si="3">F77</f>
        <v>170153.95</v>
      </c>
      <c r="H6" s="13">
        <f t="shared" ref="H6" si="4">G77</f>
        <v>218453.82000000004</v>
      </c>
      <c r="I6" s="13">
        <f t="shared" ref="I6" si="5">H77</f>
        <v>229506.80000000002</v>
      </c>
      <c r="J6" s="13">
        <f t="shared" ref="J6" si="6">I77</f>
        <v>229506.80000000002</v>
      </c>
      <c r="K6" s="13">
        <f t="shared" ref="K6" si="7">J77</f>
        <v>229506.80000000002</v>
      </c>
      <c r="L6" s="13">
        <f t="shared" ref="L6" si="8">K77</f>
        <v>226678.59</v>
      </c>
      <c r="M6" s="13">
        <f t="shared" ref="M6" si="9">L77</f>
        <v>312108.23</v>
      </c>
      <c r="N6" s="13">
        <f t="shared" ref="N6" si="10">M77</f>
        <v>292672.45999999996</v>
      </c>
      <c r="O6" s="13">
        <f t="shared" ref="O6" si="11">N77</f>
        <v>297993.98</v>
      </c>
      <c r="P6" s="13">
        <f t="shared" ref="P6" si="12">O77</f>
        <v>116595.16869999998</v>
      </c>
      <c r="Q6" s="13">
        <f t="shared" ref="Q6" si="13">P77</f>
        <v>116595.16869999998</v>
      </c>
      <c r="R6" s="13">
        <f t="shared" ref="R6" si="14">Q77</f>
        <v>116595.16869999998</v>
      </c>
      <c r="S6" s="13">
        <f t="shared" ref="S6" si="15">R77</f>
        <v>116595.16869999998</v>
      </c>
      <c r="T6" s="13">
        <f t="shared" ref="T6" si="16">S77</f>
        <v>116595.16869999998</v>
      </c>
      <c r="U6" s="13">
        <f t="shared" ref="U6" si="17">T77</f>
        <v>248700.11869999999</v>
      </c>
      <c r="V6" s="13">
        <f t="shared" ref="V6" si="18">U77</f>
        <v>280524.52870000002</v>
      </c>
      <c r="W6" s="13">
        <f t="shared" ref="W6" si="19">V77</f>
        <v>90977.688699999941</v>
      </c>
      <c r="X6" s="13">
        <f t="shared" ref="X6" si="20">W77</f>
        <v>90977.688699999941</v>
      </c>
      <c r="Y6" s="13">
        <f t="shared" ref="Y6" si="21">X77</f>
        <v>90977.688699999941</v>
      </c>
      <c r="Z6" s="13">
        <f t="shared" ref="Z6" si="22">Y77</f>
        <v>12149.018699999957</v>
      </c>
      <c r="AA6" s="13">
        <f t="shared" ref="AA6" si="23">Z77</f>
        <v>38433.638699999967</v>
      </c>
      <c r="AB6" s="13">
        <f t="shared" ref="AB6" si="24">AA77</f>
        <v>17126.958699999952</v>
      </c>
      <c r="AC6" s="13">
        <f t="shared" ref="AC6" si="25">AB77</f>
        <v>106453.67869999996</v>
      </c>
      <c r="AD6" s="13">
        <f t="shared" si="1"/>
        <v>9114.0986999999441</v>
      </c>
      <c r="AE6" s="13">
        <f t="shared" si="1"/>
        <v>31862.608699999942</v>
      </c>
      <c r="AF6" s="13">
        <f t="shared" si="1"/>
        <v>-245275.15130000003</v>
      </c>
      <c r="AG6" s="13">
        <f t="shared" si="1"/>
        <v>-211532.21130000002</v>
      </c>
      <c r="AH6" s="13">
        <f>D6</f>
        <v>68629.550000000017</v>
      </c>
    </row>
    <row r="7" spans="2:34" ht="16.5" customHeight="1" x14ac:dyDescent="0.2">
      <c r="B7" s="114" t="s">
        <v>2</v>
      </c>
      <c r="C7" s="14" t="s">
        <v>50</v>
      </c>
      <c r="D7" s="15">
        <f>54</f>
        <v>54</v>
      </c>
      <c r="E7" s="15">
        <f>289+346.5+318+40</f>
        <v>993.5</v>
      </c>
      <c r="F7" s="15">
        <f>500+263</f>
        <v>763</v>
      </c>
      <c r="G7" s="15">
        <f>1630+160</f>
        <v>1790</v>
      </c>
      <c r="H7" s="15">
        <f>1993</f>
        <v>1993</v>
      </c>
      <c r="I7" s="15"/>
      <c r="J7" s="15"/>
      <c r="K7" s="15">
        <f>3234</f>
        <v>3234</v>
      </c>
      <c r="L7" s="15"/>
      <c r="M7" s="15">
        <f>822.15+793</f>
        <v>1615.15</v>
      </c>
      <c r="N7" s="15">
        <f>60+378</f>
        <v>438</v>
      </c>
      <c r="O7" s="15"/>
      <c r="P7" s="15"/>
      <c r="Q7" s="15"/>
      <c r="R7" s="15"/>
      <c r="S7" s="15"/>
      <c r="T7" s="15">
        <f>218.92</f>
        <v>218.92</v>
      </c>
      <c r="U7" s="15">
        <f>1512+410+263.02</f>
        <v>2185.02</v>
      </c>
      <c r="V7" s="15">
        <f>277.2</f>
        <v>277.2</v>
      </c>
      <c r="W7" s="15"/>
      <c r="X7" s="15"/>
      <c r="Y7" s="15">
        <f>419.47+302.4</f>
        <v>721.87</v>
      </c>
      <c r="Z7" s="15"/>
      <c r="AA7" s="15"/>
      <c r="AB7" s="15"/>
      <c r="AC7" s="15">
        <f>328.77+126.45</f>
        <v>455.21999999999997</v>
      </c>
      <c r="AD7" s="15"/>
      <c r="AE7" s="15">
        <v>105</v>
      </c>
      <c r="AF7" s="15"/>
      <c r="AG7" s="15">
        <f>1122</f>
        <v>1122</v>
      </c>
      <c r="AH7" s="16">
        <f t="shared" ref="AH7:AH17" si="26">SUM(D7:AC7)</f>
        <v>14738.880000000001</v>
      </c>
    </row>
    <row r="8" spans="2:34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298.3+852.9+285.9+476.8+113.58+617.4+302.6+984.95+1885.25+534.75+1011.99+124.95+463.8+128.16</f>
        <v>8081.329999999999</v>
      </c>
      <c r="P8" s="18"/>
      <c r="Q8" s="18"/>
      <c r="R8" s="18"/>
      <c r="S8" s="18"/>
      <c r="T8" s="18"/>
      <c r="U8" s="18"/>
      <c r="V8" s="18">
        <f>2412.8+1486.9+1308.86+992.17+1628.82+918.64+3375.54</f>
        <v>12123.73</v>
      </c>
      <c r="W8" s="18"/>
      <c r="X8" s="18"/>
      <c r="Y8" s="18"/>
      <c r="Z8" s="18"/>
      <c r="AA8" s="18"/>
      <c r="AB8" s="18"/>
      <c r="AC8" s="18">
        <f>112+153.69+180+241.75+316.5+1786.85+1809.16</f>
        <v>4599.95</v>
      </c>
      <c r="AD8" s="18">
        <f>60.5+261.92+445.46+522.3+976.54+1005.6+1034.88+1067.2+1525.61+1951+2957.06+2993.25+695.1</f>
        <v>15496.419999999998</v>
      </c>
      <c r="AE8" s="18"/>
      <c r="AF8" s="18"/>
      <c r="AG8" s="18"/>
      <c r="AH8" s="16">
        <f t="shared" si="26"/>
        <v>24805.01</v>
      </c>
    </row>
    <row r="9" spans="2:34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>
        <f>15608.42+14391.58</f>
        <v>30000</v>
      </c>
      <c r="W9" s="18"/>
      <c r="X9" s="18"/>
      <c r="Y9" s="18"/>
      <c r="Z9" s="18"/>
      <c r="AA9" s="18"/>
      <c r="AB9" s="18"/>
      <c r="AC9" s="18"/>
      <c r="AD9" s="18"/>
      <c r="AE9" s="18">
        <v>330.3</v>
      </c>
      <c r="AF9" s="18">
        <f>720+1155</f>
        <v>1875</v>
      </c>
      <c r="AG9" s="18"/>
      <c r="AH9" s="16">
        <f t="shared" si="26"/>
        <v>30000</v>
      </c>
    </row>
    <row r="10" spans="2:34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18">
        <v>104000</v>
      </c>
      <c r="W10" s="20"/>
      <c r="X10" s="20"/>
      <c r="Y10" s="20"/>
      <c r="Z10" s="20"/>
      <c r="AA10" s="20"/>
      <c r="AB10" s="20"/>
      <c r="AC10" s="18"/>
      <c r="AD10" s="20"/>
      <c r="AE10" s="20"/>
      <c r="AF10" s="20"/>
      <c r="AG10" s="20"/>
      <c r="AH10" s="16">
        <f t="shared" si="26"/>
        <v>104000</v>
      </c>
    </row>
    <row r="11" spans="2:34" ht="16.5" customHeight="1" x14ac:dyDescent="0.2">
      <c r="B11" s="115"/>
      <c r="C11" s="17" t="s">
        <v>53</v>
      </c>
      <c r="D11" s="18">
        <f>1794.66+3971.75+4508.7</f>
        <v>10275.11</v>
      </c>
      <c r="E11" s="18">
        <f>66160.24+2053.32+1352.45+830.18+415.09+415.09</f>
        <v>71226.37</v>
      </c>
      <c r="F11" s="18">
        <f>55550.14+466.2</f>
        <v>56016.34</v>
      </c>
      <c r="G11" s="18">
        <f>32898.79+346.5+382.85+1455.3+1997.1</f>
        <v>37080.54</v>
      </c>
      <c r="H11" s="18">
        <f>3226.36</f>
        <v>3226.36</v>
      </c>
      <c r="I11" s="18"/>
      <c r="J11" s="18"/>
      <c r="K11" s="18">
        <f>24448.23+781.2</f>
        <v>25229.43</v>
      </c>
      <c r="L11" s="18">
        <f>30338.71+280.7+6172.89+5580.98+5993.85+3139.44+2807.05+1122.82+1250.7+561.41</f>
        <v>57248.55</v>
      </c>
      <c r="M11" s="18">
        <f>4929.65+1997.1</f>
        <v>6926.75</v>
      </c>
      <c r="N11" s="18">
        <f>2865.45+330.75+374.16</f>
        <v>3570.3599999999997</v>
      </c>
      <c r="O11" s="18">
        <f>10629.72+1621.93+1102.5</f>
        <v>13354.15</v>
      </c>
      <c r="P11" s="18"/>
      <c r="Q11" s="18"/>
      <c r="R11" s="18"/>
      <c r="S11" s="18"/>
      <c r="T11" s="18">
        <f>6000.37</f>
        <v>6000.37</v>
      </c>
      <c r="U11" s="18">
        <f>59909.21+1102.5+1102.5+724.5</f>
        <v>62838.71</v>
      </c>
      <c r="V11" s="18">
        <f>6040.3</f>
        <v>6040.3</v>
      </c>
      <c r="W11" s="18"/>
      <c r="X11" s="18"/>
      <c r="Y11" s="18">
        <f>2810.42+437.85+7017.11</f>
        <v>10265.379999999999</v>
      </c>
      <c r="Z11" s="18">
        <f>29219.49</f>
        <v>29219.49</v>
      </c>
      <c r="AA11" s="18">
        <f>3445.2+4632.47+5402.44+4750.2+288.75</f>
        <v>18519.060000000001</v>
      </c>
      <c r="AB11" s="18">
        <f>61132.6+3253.08+2034.64</f>
        <v>66420.320000000007</v>
      </c>
      <c r="AC11" s="18">
        <f>12142.11</f>
        <v>12142.11</v>
      </c>
      <c r="AD11" s="18">
        <f>367.5+280.7+431.55</f>
        <v>1079.75</v>
      </c>
      <c r="AE11" s="18">
        <f>16199.5+280.7+2807.02+431.55+667.8+38762.15</f>
        <v>59148.72</v>
      </c>
      <c r="AF11" s="18">
        <f>11953.14+438.9+5099.44+347.7</f>
        <v>17839.18</v>
      </c>
      <c r="AG11" s="18">
        <f>3155.25+1150.3+1213.9+1964.93+367.5+3182.55</f>
        <v>11034.43</v>
      </c>
      <c r="AH11" s="16">
        <f t="shared" si="26"/>
        <v>495599.7</v>
      </c>
    </row>
    <row r="12" spans="2:34" ht="16.5" customHeight="1" x14ac:dyDescent="0.2">
      <c r="B12" s="115"/>
      <c r="C12" s="17" t="s">
        <v>90</v>
      </c>
      <c r="D12" s="18">
        <v>1.23</v>
      </c>
      <c r="E12" s="18">
        <v>2.63</v>
      </c>
      <c r="F12" s="18">
        <v>2.96</v>
      </c>
      <c r="G12" s="18">
        <v>3.8</v>
      </c>
      <c r="H12" s="18">
        <f>214.78+4.04</f>
        <v>218.82</v>
      </c>
      <c r="I12" s="18"/>
      <c r="J12" s="18"/>
      <c r="K12" s="18">
        <v>3.99</v>
      </c>
      <c r="L12" s="18">
        <v>5.47</v>
      </c>
      <c r="M12" s="18">
        <v>5.14</v>
      </c>
      <c r="N12" s="18">
        <v>5.21</v>
      </c>
      <c r="O12" s="18">
        <v>2.0499999999999998</v>
      </c>
      <c r="P12" s="18"/>
      <c r="Q12" s="18"/>
      <c r="R12" s="18"/>
      <c r="S12" s="18"/>
      <c r="T12" s="18">
        <v>4.3600000000000003</v>
      </c>
      <c r="U12" s="18">
        <v>4.8899999999999997</v>
      </c>
      <c r="V12" s="18">
        <v>1.6</v>
      </c>
      <c r="W12" s="18"/>
      <c r="X12" s="18"/>
      <c r="Y12" s="18">
        <v>0.21</v>
      </c>
      <c r="Z12" s="18">
        <v>0.68</v>
      </c>
      <c r="AA12" s="18">
        <v>0.3</v>
      </c>
      <c r="AB12" s="18">
        <v>1.87</v>
      </c>
      <c r="AC12" s="18">
        <v>0.16</v>
      </c>
      <c r="AD12" s="18"/>
      <c r="AE12" s="18"/>
      <c r="AF12" s="18"/>
      <c r="AG12" s="18"/>
      <c r="AH12" s="16">
        <f t="shared" si="26"/>
        <v>265.37000000000006</v>
      </c>
    </row>
    <row r="13" spans="2:34" ht="16.5" customHeight="1" x14ac:dyDescent="0.2">
      <c r="B13" s="115"/>
      <c r="C13" s="17" t="s">
        <v>49</v>
      </c>
      <c r="D13" s="18">
        <v>741.64</v>
      </c>
      <c r="E13" s="18">
        <v>0</v>
      </c>
      <c r="F13" s="18">
        <v>3975.61</v>
      </c>
      <c r="G13" s="18">
        <v>1572.35</v>
      </c>
      <c r="H13" s="18">
        <v>339.79</v>
      </c>
      <c r="I13" s="18"/>
      <c r="J13" s="18"/>
      <c r="K13" s="18">
        <v>7246.21</v>
      </c>
      <c r="L13" s="18">
        <v>0</v>
      </c>
      <c r="M13" s="18"/>
      <c r="N13" s="18">
        <v>220.09</v>
      </c>
      <c r="O13" s="18">
        <v>1955.81</v>
      </c>
      <c r="P13" s="18"/>
      <c r="Q13" s="18"/>
      <c r="R13" s="18"/>
      <c r="S13" s="18"/>
      <c r="T13" s="18">
        <v>17594.439999999999</v>
      </c>
      <c r="U13" s="18">
        <v>402.96</v>
      </c>
      <c r="V13" s="18">
        <v>2034.64</v>
      </c>
      <c r="W13" s="18"/>
      <c r="X13" s="18"/>
      <c r="Y13" s="18">
        <v>3075.6</v>
      </c>
      <c r="Z13" s="18">
        <v>202.86</v>
      </c>
      <c r="AA13" s="18">
        <v>2076.75</v>
      </c>
      <c r="AB13" s="18">
        <v>3438.18</v>
      </c>
      <c r="AC13" s="18">
        <v>3524.01</v>
      </c>
      <c r="AD13" s="18">
        <v>62.31</v>
      </c>
      <c r="AE13" s="18">
        <v>6210.32</v>
      </c>
      <c r="AF13" s="18">
        <v>386.4</v>
      </c>
      <c r="AG13" s="18">
        <v>1763.58</v>
      </c>
      <c r="AH13" s="16">
        <f t="shared" si="26"/>
        <v>48400.94</v>
      </c>
    </row>
    <row r="14" spans="2:34" ht="16.5" customHeight="1" x14ac:dyDescent="0.2">
      <c r="B14" s="115"/>
      <c r="C14" s="17" t="s">
        <v>54</v>
      </c>
      <c r="D14" s="18">
        <v>3904.38</v>
      </c>
      <c r="E14" s="18">
        <v>381.88</v>
      </c>
      <c r="F14" s="18">
        <v>1159.69</v>
      </c>
      <c r="G14" s="18">
        <v>736.35</v>
      </c>
      <c r="H14" s="18">
        <v>1110.3800000000001</v>
      </c>
      <c r="I14" s="18"/>
      <c r="J14" s="18"/>
      <c r="K14" s="18">
        <v>3289.26</v>
      </c>
      <c r="L14" s="18">
        <v>1356.62</v>
      </c>
      <c r="M14" s="18">
        <v>616.39</v>
      </c>
      <c r="N14" s="18">
        <v>2638.46</v>
      </c>
      <c r="O14" s="18">
        <v>885.87</v>
      </c>
      <c r="P14" s="18"/>
      <c r="Q14" s="18"/>
      <c r="R14" s="18"/>
      <c r="S14" s="18"/>
      <c r="T14" s="18">
        <v>4522.17</v>
      </c>
      <c r="U14" s="18">
        <v>2255.59</v>
      </c>
      <c r="V14" s="18">
        <v>1111.9000000000001</v>
      </c>
      <c r="W14" s="18"/>
      <c r="X14" s="18"/>
      <c r="Y14" s="18">
        <v>3629.83</v>
      </c>
      <c r="Z14" s="18">
        <v>1838.47</v>
      </c>
      <c r="AA14" s="18">
        <v>1364.75</v>
      </c>
      <c r="AB14" s="18">
        <v>1228.3599999999999</v>
      </c>
      <c r="AC14" s="18">
        <v>2015.44</v>
      </c>
      <c r="AD14" s="18">
        <v>339</v>
      </c>
      <c r="AE14" s="18">
        <v>1384.02</v>
      </c>
      <c r="AF14" s="18">
        <v>1043.01</v>
      </c>
      <c r="AG14" s="18">
        <v>932.33</v>
      </c>
      <c r="AH14" s="16">
        <f t="shared" si="26"/>
        <v>34045.790000000008</v>
      </c>
    </row>
    <row r="15" spans="2:34" ht="16.5" customHeight="1" x14ac:dyDescent="0.2">
      <c r="B15" s="115"/>
      <c r="C15" s="17" t="s">
        <v>55</v>
      </c>
      <c r="D15" s="18">
        <f>2561.81+678.68</f>
        <v>3240.49</v>
      </c>
      <c r="E15" s="18">
        <f>98.76+22.67</f>
        <v>121.43</v>
      </c>
      <c r="F15" s="18">
        <v>292.89</v>
      </c>
      <c r="G15" s="18">
        <v>497.65</v>
      </c>
      <c r="H15" s="18">
        <f>400.57+380.26</f>
        <v>780.82999999999993</v>
      </c>
      <c r="I15" s="18"/>
      <c r="J15" s="18"/>
      <c r="K15" s="18">
        <f>1117.21+710.53</f>
        <v>1827.74</v>
      </c>
      <c r="L15" s="18">
        <v>26.44</v>
      </c>
      <c r="M15" s="18">
        <v>13.74</v>
      </c>
      <c r="N15" s="18">
        <v>73.98</v>
      </c>
      <c r="O15" s="18">
        <v>3379.99</v>
      </c>
      <c r="P15" s="18"/>
      <c r="Q15" s="18"/>
      <c r="R15" s="18"/>
      <c r="S15" s="18"/>
      <c r="T15" s="18">
        <f>9163.06+726.33</f>
        <v>9889.39</v>
      </c>
      <c r="U15" s="18">
        <f>813.07+415.73</f>
        <v>1228.8000000000002</v>
      </c>
      <c r="V15" s="18">
        <v>509.59</v>
      </c>
      <c r="W15" s="18"/>
      <c r="X15" s="18"/>
      <c r="Y15" s="18">
        <f>623.26+972.4</f>
        <v>1595.6599999999999</v>
      </c>
      <c r="Z15" s="18">
        <v>1298.1300000000001</v>
      </c>
      <c r="AA15" s="18">
        <v>680.59</v>
      </c>
      <c r="AB15" s="18">
        <v>794.37</v>
      </c>
      <c r="AC15" s="18">
        <f>98.9+100.47</f>
        <v>199.37</v>
      </c>
      <c r="AD15" s="18">
        <v>579.5</v>
      </c>
      <c r="AE15" s="18">
        <v>591.98</v>
      </c>
      <c r="AF15" s="18">
        <v>908.79</v>
      </c>
      <c r="AG15" s="18">
        <v>722.36</v>
      </c>
      <c r="AH15" s="16">
        <f t="shared" si="26"/>
        <v>26451.079999999994</v>
      </c>
    </row>
    <row r="16" spans="2:34" ht="16.5" customHeight="1" x14ac:dyDescent="0.2">
      <c r="B16" s="115"/>
      <c r="C16" s="17" t="s">
        <v>56</v>
      </c>
      <c r="D16" s="18">
        <v>12834.6</v>
      </c>
      <c r="E16" s="18">
        <v>7694.22</v>
      </c>
      <c r="F16" s="18">
        <v>3517.95</v>
      </c>
      <c r="G16" s="18">
        <v>5767.61</v>
      </c>
      <c r="H16" s="18">
        <v>4797.8</v>
      </c>
      <c r="I16" s="18"/>
      <c r="J16" s="18"/>
      <c r="K16" s="18">
        <v>33579.269999999997</v>
      </c>
      <c r="L16" s="18">
        <v>19601.14</v>
      </c>
      <c r="M16" s="18">
        <v>13555.31</v>
      </c>
      <c r="N16" s="18">
        <v>8110.71</v>
      </c>
      <c r="O16" s="18">
        <v>7402.6</v>
      </c>
      <c r="P16" s="18"/>
      <c r="Q16" s="18"/>
      <c r="R16" s="18"/>
      <c r="S16" s="18"/>
      <c r="T16" s="18">
        <f>66920.52</f>
        <v>66920.52</v>
      </c>
      <c r="U16" s="18">
        <v>5090.9399999999996</v>
      </c>
      <c r="V16" s="18">
        <v>11608.59</v>
      </c>
      <c r="W16" s="18"/>
      <c r="X16" s="18"/>
      <c r="Y16" s="18">
        <v>19712.47</v>
      </c>
      <c r="Z16" s="18">
        <v>1431.71</v>
      </c>
      <c r="AA16" s="18">
        <v>5550.9</v>
      </c>
      <c r="AB16" s="18">
        <v>10763.38</v>
      </c>
      <c r="AC16" s="18">
        <f>411.47+33020.09</f>
        <v>33431.56</v>
      </c>
      <c r="AD16" s="18">
        <v>2469.31</v>
      </c>
      <c r="AE16" s="18">
        <v>8498.82</v>
      </c>
      <c r="AF16" s="18">
        <v>5130.87</v>
      </c>
      <c r="AG16" s="18">
        <v>3605.2</v>
      </c>
      <c r="AH16" s="16">
        <f t="shared" si="26"/>
        <v>271371.28000000003</v>
      </c>
    </row>
    <row r="17" spans="2:34" ht="16.5" customHeight="1" x14ac:dyDescent="0.2">
      <c r="B17" s="115"/>
      <c r="C17" s="17" t="s">
        <v>48</v>
      </c>
      <c r="D17" s="18">
        <f>12060.7+878.08</f>
        <v>12938.78</v>
      </c>
      <c r="E17" s="18">
        <v>2519.96</v>
      </c>
      <c r="F17" s="18">
        <v>3951.51</v>
      </c>
      <c r="G17" s="18">
        <v>950.9</v>
      </c>
      <c r="H17" s="18">
        <v>931.85</v>
      </c>
      <c r="I17" s="18"/>
      <c r="J17" s="18"/>
      <c r="K17" s="18">
        <f>17811.59+962.97</f>
        <v>18774.560000000001</v>
      </c>
      <c r="L17" s="18">
        <v>7324.5</v>
      </c>
      <c r="M17" s="18">
        <v>1875.43</v>
      </c>
      <c r="N17" s="18">
        <v>4977.75</v>
      </c>
      <c r="O17" s="18">
        <f>6840.87+21.3987</f>
        <v>6862.2686999999996</v>
      </c>
      <c r="P17" s="18"/>
      <c r="Q17" s="18"/>
      <c r="R17" s="18"/>
      <c r="S17" s="18"/>
      <c r="T17" s="18">
        <f>26595.04+359.74</f>
        <v>26954.780000000002</v>
      </c>
      <c r="U17" s="18">
        <v>2833.09</v>
      </c>
      <c r="V17" s="18">
        <v>3517.75</v>
      </c>
      <c r="W17" s="18"/>
      <c r="X17" s="18"/>
      <c r="Y17" s="18">
        <v>31550.34</v>
      </c>
      <c r="Z17" s="18">
        <v>922.12</v>
      </c>
      <c r="AA17" s="18">
        <v>2432.75</v>
      </c>
      <c r="AB17" s="18">
        <v>6749.24</v>
      </c>
      <c r="AC17" s="18">
        <v>3021.44</v>
      </c>
      <c r="AD17" s="18">
        <v>2920.6</v>
      </c>
      <c r="AE17" s="18">
        <f>1595.03</f>
        <v>1595.03</v>
      </c>
      <c r="AF17" s="18">
        <v>6574.5</v>
      </c>
      <c r="AG17" s="18">
        <f>340.34+310.06</f>
        <v>650.4</v>
      </c>
      <c r="AH17" s="16">
        <f t="shared" si="26"/>
        <v>139089.01869999999</v>
      </c>
    </row>
    <row r="18" spans="2:34" ht="16.5" customHeight="1" x14ac:dyDescent="0.2">
      <c r="B18" s="115"/>
      <c r="C18" s="21" t="s">
        <v>31</v>
      </c>
      <c r="D18" s="22">
        <f t="shared" ref="D18:AH18" si="27">SUM(D7:D17)</f>
        <v>43990.229999999996</v>
      </c>
      <c r="E18" s="22">
        <f t="shared" si="27"/>
        <v>82939.990000000005</v>
      </c>
      <c r="F18" s="22">
        <f t="shared" si="27"/>
        <v>69679.95</v>
      </c>
      <c r="G18" s="22">
        <f t="shared" si="27"/>
        <v>48399.200000000004</v>
      </c>
      <c r="H18" s="22">
        <f t="shared" si="27"/>
        <v>13398.83</v>
      </c>
      <c r="I18" s="22">
        <f t="shared" si="27"/>
        <v>0</v>
      </c>
      <c r="J18" s="22">
        <f t="shared" si="27"/>
        <v>0</v>
      </c>
      <c r="K18" s="22">
        <f t="shared" si="27"/>
        <v>93184.459999999992</v>
      </c>
      <c r="L18" s="22">
        <f t="shared" si="27"/>
        <v>85562.72</v>
      </c>
      <c r="M18" s="22">
        <f t="shared" si="27"/>
        <v>24607.909999999996</v>
      </c>
      <c r="N18" s="22">
        <f t="shared" si="27"/>
        <v>20034.559999999998</v>
      </c>
      <c r="O18" s="22">
        <f t="shared" si="27"/>
        <v>41924.068699999996</v>
      </c>
      <c r="P18" s="22">
        <f t="shared" si="27"/>
        <v>0</v>
      </c>
      <c r="Q18" s="22">
        <f t="shared" si="27"/>
        <v>0</v>
      </c>
      <c r="R18" s="22">
        <f t="shared" si="27"/>
        <v>0</v>
      </c>
      <c r="S18" s="22">
        <f t="shared" si="27"/>
        <v>0</v>
      </c>
      <c r="T18" s="22">
        <f t="shared" si="27"/>
        <v>132104.95000000001</v>
      </c>
      <c r="U18" s="22">
        <f t="shared" si="27"/>
        <v>76840</v>
      </c>
      <c r="V18" s="22">
        <f t="shared" si="27"/>
        <v>171225.3</v>
      </c>
      <c r="W18" s="22">
        <f t="shared" si="27"/>
        <v>0</v>
      </c>
      <c r="X18" s="22">
        <f t="shared" si="27"/>
        <v>0</v>
      </c>
      <c r="Y18" s="22">
        <f t="shared" si="27"/>
        <v>70551.360000000001</v>
      </c>
      <c r="Z18" s="22">
        <f t="shared" si="27"/>
        <v>34913.460000000006</v>
      </c>
      <c r="AA18" s="22">
        <f t="shared" si="27"/>
        <v>30625.1</v>
      </c>
      <c r="AB18" s="22">
        <f t="shared" si="27"/>
        <v>89395.72</v>
      </c>
      <c r="AC18" s="22">
        <f t="shared" si="27"/>
        <v>59389.259999999995</v>
      </c>
      <c r="AD18" s="22">
        <f t="shared" si="27"/>
        <v>22946.89</v>
      </c>
      <c r="AE18" s="22">
        <f t="shared" si="27"/>
        <v>77864.19</v>
      </c>
      <c r="AF18" s="22">
        <f t="shared" si="27"/>
        <v>33757.75</v>
      </c>
      <c r="AG18" s="22">
        <f t="shared" si="27"/>
        <v>19830.300000000003</v>
      </c>
      <c r="AH18" s="23">
        <f t="shared" si="27"/>
        <v>1188767.0687000002</v>
      </c>
    </row>
    <row r="19" spans="2:34" ht="16.5" customHeight="1" x14ac:dyDescent="0.2">
      <c r="B19" s="24"/>
      <c r="C19" s="17" t="s">
        <v>89</v>
      </c>
      <c r="D19" s="18">
        <f>875.6+20145.35</f>
        <v>21020.949999999997</v>
      </c>
      <c r="E19" s="18"/>
      <c r="F19" s="1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v>30000</v>
      </c>
      <c r="AE19" s="18"/>
      <c r="AF19" s="18"/>
      <c r="AG19" s="18"/>
      <c r="AH19" s="19">
        <f t="shared" ref="AH19:AH24" si="28">SUM(E19:AC19)</f>
        <v>30000</v>
      </c>
    </row>
    <row r="20" spans="2:34" ht="16.5" customHeight="1" x14ac:dyDescent="0.2">
      <c r="B20" s="116" t="s">
        <v>8</v>
      </c>
      <c r="C20" s="25" t="s">
        <v>58</v>
      </c>
      <c r="D20" s="26">
        <f>6440.17+2784.67</f>
        <v>9224.84</v>
      </c>
      <c r="E20" s="26"/>
      <c r="F20" s="26"/>
      <c r="G20" s="2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19">
        <f t="shared" si="28"/>
        <v>0</v>
      </c>
    </row>
    <row r="21" spans="2:34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N21" s="26"/>
      <c r="O21" s="26">
        <f>71641.47+190+51999+866.8</f>
        <v>124697.27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>
        <f>52159.27+40320+506-4</f>
        <v>92981.26999999999</v>
      </c>
      <c r="AD21" s="26"/>
      <c r="AE21" s="26"/>
      <c r="AF21" s="26"/>
      <c r="AG21" s="26">
        <f>45546.8+28000+470.4+266.2</f>
        <v>74283.399999999994</v>
      </c>
      <c r="AH21" s="19">
        <f t="shared" si="28"/>
        <v>217678.53999999998</v>
      </c>
    </row>
    <row r="22" spans="2:34" ht="16.5" customHeight="1" x14ac:dyDescent="0.2">
      <c r="B22" s="117"/>
      <c r="C22" s="25" t="s">
        <v>59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19">
        <f t="shared" si="28"/>
        <v>0</v>
      </c>
    </row>
    <row r="23" spans="2:34" ht="16.5" customHeight="1" x14ac:dyDescent="0.2">
      <c r="B23" s="117"/>
      <c r="C23" s="25" t="s">
        <v>60</v>
      </c>
      <c r="D23" s="26">
        <f>989.55</f>
        <v>989.55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19">
        <f t="shared" si="28"/>
        <v>0</v>
      </c>
    </row>
    <row r="24" spans="2:34" ht="16.5" customHeight="1" x14ac:dyDescent="0.2">
      <c r="B24" s="117"/>
      <c r="C24" s="25" t="s">
        <v>17</v>
      </c>
      <c r="D24" s="26">
        <f>1222.08+492.43</f>
        <v>1714.51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>
        <f>3078.2+342.07</f>
        <v>3420.27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19">
        <f t="shared" si="28"/>
        <v>3420.27</v>
      </c>
    </row>
    <row r="25" spans="2:34" ht="16.5" customHeight="1" x14ac:dyDescent="0.2">
      <c r="B25" s="117"/>
      <c r="C25" s="28" t="s">
        <v>62</v>
      </c>
      <c r="D25" s="29">
        <f t="shared" ref="D25:AH25" si="29">-SUM(D19:D24)</f>
        <v>-32949.85</v>
      </c>
      <c r="E25" s="29">
        <f t="shared" si="29"/>
        <v>0</v>
      </c>
      <c r="F25" s="29">
        <f t="shared" si="29"/>
        <v>0</v>
      </c>
      <c r="G25" s="29">
        <f t="shared" si="29"/>
        <v>0</v>
      </c>
      <c r="H25" s="29">
        <f t="shared" si="29"/>
        <v>0</v>
      </c>
      <c r="I25" s="29">
        <f t="shared" si="29"/>
        <v>0</v>
      </c>
      <c r="J25" s="29">
        <f t="shared" si="29"/>
        <v>0</v>
      </c>
      <c r="K25" s="29">
        <f t="shared" si="29"/>
        <v>0</v>
      </c>
      <c r="L25" s="29">
        <f t="shared" si="29"/>
        <v>0</v>
      </c>
      <c r="M25" s="29">
        <f t="shared" si="29"/>
        <v>0</v>
      </c>
      <c r="N25" s="29">
        <f t="shared" si="29"/>
        <v>0</v>
      </c>
      <c r="O25" s="29">
        <f t="shared" si="29"/>
        <v>-128117.54000000001</v>
      </c>
      <c r="P25" s="29">
        <f t="shared" si="29"/>
        <v>0</v>
      </c>
      <c r="Q25" s="29">
        <f t="shared" si="29"/>
        <v>0</v>
      </c>
      <c r="R25" s="29">
        <f t="shared" si="29"/>
        <v>0</v>
      </c>
      <c r="S25" s="29">
        <f t="shared" si="29"/>
        <v>0</v>
      </c>
      <c r="T25" s="29">
        <f t="shared" si="29"/>
        <v>0</v>
      </c>
      <c r="U25" s="29">
        <f t="shared" si="29"/>
        <v>0</v>
      </c>
      <c r="V25" s="29">
        <f t="shared" si="29"/>
        <v>0</v>
      </c>
      <c r="W25" s="29">
        <f t="shared" si="29"/>
        <v>0</v>
      </c>
      <c r="X25" s="29">
        <f t="shared" si="29"/>
        <v>0</v>
      </c>
      <c r="Y25" s="29">
        <f t="shared" si="29"/>
        <v>0</v>
      </c>
      <c r="Z25" s="29">
        <f t="shared" si="29"/>
        <v>0</v>
      </c>
      <c r="AA25" s="29">
        <f t="shared" si="29"/>
        <v>0</v>
      </c>
      <c r="AB25" s="29">
        <f t="shared" si="29"/>
        <v>0</v>
      </c>
      <c r="AC25" s="29">
        <f t="shared" si="29"/>
        <v>-122981.26999999999</v>
      </c>
      <c r="AD25" s="29">
        <f t="shared" si="29"/>
        <v>0</v>
      </c>
      <c r="AE25" s="29">
        <f t="shared" si="29"/>
        <v>0</v>
      </c>
      <c r="AF25" s="29">
        <f t="shared" si="29"/>
        <v>0</v>
      </c>
      <c r="AG25" s="29">
        <f t="shared" si="29"/>
        <v>-74283.399999999994</v>
      </c>
      <c r="AH25" s="29">
        <f t="shared" si="29"/>
        <v>-251098.80999999997</v>
      </c>
    </row>
    <row r="26" spans="2:34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19">
        <f t="shared" ref="AH26:AH35" si="30">SUM(D26:AC26)</f>
        <v>0</v>
      </c>
    </row>
    <row r="27" spans="2:34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10.8+13.03+28.66+13+56.25+109.36</f>
        <v>231.1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19">
        <f t="shared" si="30"/>
        <v>231.1</v>
      </c>
    </row>
    <row r="28" spans="2:34" ht="16.5" customHeight="1" x14ac:dyDescent="0.2">
      <c r="B28" s="117"/>
      <c r="C28" s="25" t="s">
        <v>69</v>
      </c>
      <c r="D28" s="26"/>
      <c r="E28" s="26"/>
      <c r="F28" s="26"/>
      <c r="G28" s="26"/>
      <c r="H28" s="26">
        <f>587.15</f>
        <v>587.15</v>
      </c>
      <c r="I28" s="26"/>
      <c r="J28" s="26"/>
      <c r="K28" s="26">
        <v>58733.01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19">
        <f t="shared" si="30"/>
        <v>59320.160000000003</v>
      </c>
    </row>
    <row r="29" spans="2:34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19">
        <f t="shared" si="30"/>
        <v>0</v>
      </c>
    </row>
    <row r="30" spans="2:34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19">
        <f t="shared" si="30"/>
        <v>0</v>
      </c>
    </row>
    <row r="31" spans="2:34" ht="16.5" customHeight="1" x14ac:dyDescent="0.2">
      <c r="B31" s="117"/>
      <c r="C31" s="25" t="s">
        <v>68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>
        <v>14678.84</v>
      </c>
      <c r="O31" s="26">
        <f>75+75</f>
        <v>150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19">
        <f t="shared" si="30"/>
        <v>14828.84</v>
      </c>
    </row>
    <row r="32" spans="2:34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8"/>
      <c r="X32" s="26"/>
      <c r="Y32" s="26"/>
      <c r="Z32" s="26"/>
      <c r="AA32" s="26">
        <f>8438.11-3431.24</f>
        <v>5006.8700000000008</v>
      </c>
      <c r="AB32" s="26"/>
      <c r="AC32" s="26"/>
      <c r="AD32" s="26"/>
      <c r="AE32" s="26"/>
      <c r="AF32" s="26"/>
      <c r="AG32" s="26"/>
      <c r="AH32" s="19">
        <f t="shared" si="30"/>
        <v>5006.8700000000008</v>
      </c>
    </row>
    <row r="33" spans="2:34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58"/>
      <c r="X33" s="26"/>
      <c r="Y33" s="26"/>
      <c r="Z33" s="26"/>
      <c r="AA33" s="26">
        <f>38945.12-15751.01</f>
        <v>23194.11</v>
      </c>
      <c r="AB33" s="26"/>
      <c r="AC33" s="26"/>
      <c r="AD33" s="26"/>
      <c r="AE33" s="26"/>
      <c r="AF33" s="26"/>
      <c r="AG33" s="26"/>
      <c r="AH33" s="19">
        <f t="shared" si="30"/>
        <v>23194.11</v>
      </c>
    </row>
    <row r="34" spans="2:34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>
        <f>55072.82+95830.65+81485.32+802.49</f>
        <v>233191.28</v>
      </c>
      <c r="AF34" s="26"/>
      <c r="AG34" s="26"/>
      <c r="AH34" s="19">
        <f t="shared" si="30"/>
        <v>0</v>
      </c>
    </row>
    <row r="35" spans="2:34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>
        <f>37604.18+28466.22+42419.03+288.89</f>
        <v>108778.31999999999</v>
      </c>
      <c r="AF35" s="26"/>
      <c r="AG35" s="26"/>
      <c r="AH35" s="19">
        <f t="shared" si="30"/>
        <v>0</v>
      </c>
    </row>
    <row r="36" spans="2:34" ht="16.5" customHeight="1" x14ac:dyDescent="0.2">
      <c r="B36" s="117"/>
      <c r="C36" s="28" t="s">
        <v>63</v>
      </c>
      <c r="D36" s="29">
        <f t="shared" ref="D36:AH36" si="31">-SUM(D26:D35)</f>
        <v>0</v>
      </c>
      <c r="E36" s="29">
        <f t="shared" si="31"/>
        <v>0</v>
      </c>
      <c r="F36" s="29">
        <f t="shared" si="31"/>
        <v>0</v>
      </c>
      <c r="G36" s="29">
        <f t="shared" si="31"/>
        <v>0</v>
      </c>
      <c r="H36" s="29">
        <f t="shared" si="31"/>
        <v>-587.15</v>
      </c>
      <c r="I36" s="29">
        <f t="shared" si="31"/>
        <v>0</v>
      </c>
      <c r="J36" s="29">
        <f t="shared" si="31"/>
        <v>0</v>
      </c>
      <c r="K36" s="29">
        <f t="shared" si="31"/>
        <v>-58733.01</v>
      </c>
      <c r="L36" s="29">
        <f t="shared" si="31"/>
        <v>0</v>
      </c>
      <c r="M36" s="29">
        <f t="shared" si="31"/>
        <v>0</v>
      </c>
      <c r="N36" s="29">
        <f t="shared" si="31"/>
        <v>-14678.84</v>
      </c>
      <c r="O36" s="29">
        <f t="shared" si="31"/>
        <v>-150</v>
      </c>
      <c r="P36" s="29">
        <f t="shared" si="31"/>
        <v>0</v>
      </c>
      <c r="Q36" s="29">
        <f t="shared" si="31"/>
        <v>0</v>
      </c>
      <c r="R36" s="29">
        <f t="shared" si="31"/>
        <v>0</v>
      </c>
      <c r="S36" s="29">
        <f t="shared" si="31"/>
        <v>0</v>
      </c>
      <c r="T36" s="29">
        <f t="shared" si="31"/>
        <v>0</v>
      </c>
      <c r="U36" s="29">
        <f t="shared" si="31"/>
        <v>-231.1</v>
      </c>
      <c r="V36" s="29">
        <f t="shared" si="31"/>
        <v>0</v>
      </c>
      <c r="W36" s="29">
        <f t="shared" si="31"/>
        <v>0</v>
      </c>
      <c r="X36" s="29">
        <f t="shared" si="31"/>
        <v>0</v>
      </c>
      <c r="Y36" s="29">
        <f t="shared" si="31"/>
        <v>0</v>
      </c>
      <c r="Z36" s="29">
        <f t="shared" si="31"/>
        <v>0</v>
      </c>
      <c r="AA36" s="29">
        <f t="shared" si="31"/>
        <v>-28200.980000000003</v>
      </c>
      <c r="AB36" s="29">
        <f t="shared" si="31"/>
        <v>0</v>
      </c>
      <c r="AC36" s="29">
        <f t="shared" si="31"/>
        <v>0</v>
      </c>
      <c r="AD36" s="29">
        <f t="shared" si="31"/>
        <v>0</v>
      </c>
      <c r="AE36" s="29">
        <f t="shared" si="31"/>
        <v>-341969.6</v>
      </c>
      <c r="AF36" s="29">
        <f t="shared" si="31"/>
        <v>0</v>
      </c>
      <c r="AG36" s="29">
        <f t="shared" si="31"/>
        <v>0</v>
      </c>
      <c r="AH36" s="29">
        <f t="shared" si="31"/>
        <v>-102581.08</v>
      </c>
    </row>
    <row r="37" spans="2:34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20"/>
      <c r="AG37" s="20"/>
      <c r="AH37" s="19">
        <f>SUM(D37:AC37)</f>
        <v>0</v>
      </c>
    </row>
    <row r="38" spans="2:34" ht="16.5" customHeight="1" x14ac:dyDescent="0.2">
      <c r="B38" s="117"/>
      <c r="C38" s="25" t="s">
        <v>4</v>
      </c>
      <c r="D38" s="18"/>
      <c r="E38" s="18"/>
      <c r="F38" s="18"/>
      <c r="G38" s="18"/>
      <c r="H38" s="18"/>
      <c r="I38" s="18"/>
      <c r="J38" s="18"/>
      <c r="L38" s="18"/>
      <c r="M38" s="18">
        <f>3028.92+2225.55+2885.16+2109.63+1764.16+2554.1+2193.97+1135.45+4451.01</f>
        <v>22347.950000000004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0"/>
      <c r="AG38" s="20"/>
      <c r="AH38" s="19">
        <f>SUM(D38:AC38)</f>
        <v>22347.950000000004</v>
      </c>
    </row>
    <row r="39" spans="2:34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20"/>
      <c r="AG39" s="20"/>
      <c r="AH39" s="19">
        <f>SUM(D39:AC39)</f>
        <v>0</v>
      </c>
    </row>
    <row r="40" spans="2:34" ht="16.5" customHeight="1" x14ac:dyDescent="0.2">
      <c r="B40" s="117"/>
      <c r="C40" s="28" t="s">
        <v>9</v>
      </c>
      <c r="D40" s="29">
        <f t="shared" ref="D40:AH40" si="32">-SUM(D37:D39)</f>
        <v>0</v>
      </c>
      <c r="E40" s="29">
        <f t="shared" si="32"/>
        <v>0</v>
      </c>
      <c r="F40" s="29">
        <f t="shared" si="32"/>
        <v>0</v>
      </c>
      <c r="G40" s="29">
        <f t="shared" si="32"/>
        <v>0</v>
      </c>
      <c r="H40" s="29">
        <f t="shared" si="32"/>
        <v>0</v>
      </c>
      <c r="I40" s="29">
        <f t="shared" si="32"/>
        <v>0</v>
      </c>
      <c r="J40" s="29">
        <f t="shared" si="32"/>
        <v>0</v>
      </c>
      <c r="K40" s="29">
        <f t="shared" si="32"/>
        <v>0</v>
      </c>
      <c r="L40" s="29">
        <f t="shared" si="32"/>
        <v>0</v>
      </c>
      <c r="M40" s="29">
        <f t="shared" si="32"/>
        <v>-22347.950000000004</v>
      </c>
      <c r="N40" s="29">
        <f t="shared" si="32"/>
        <v>0</v>
      </c>
      <c r="O40" s="29">
        <f t="shared" si="32"/>
        <v>0</v>
      </c>
      <c r="P40" s="29">
        <f t="shared" si="32"/>
        <v>0</v>
      </c>
      <c r="Q40" s="29">
        <f t="shared" si="32"/>
        <v>0</v>
      </c>
      <c r="R40" s="29">
        <f t="shared" si="32"/>
        <v>0</v>
      </c>
      <c r="S40" s="29">
        <f t="shared" si="32"/>
        <v>0</v>
      </c>
      <c r="T40" s="29">
        <f t="shared" si="32"/>
        <v>0</v>
      </c>
      <c r="U40" s="29">
        <f t="shared" si="32"/>
        <v>0</v>
      </c>
      <c r="V40" s="29">
        <f t="shared" si="32"/>
        <v>0</v>
      </c>
      <c r="W40" s="29">
        <f t="shared" si="32"/>
        <v>0</v>
      </c>
      <c r="X40" s="29">
        <f t="shared" si="32"/>
        <v>0</v>
      </c>
      <c r="Y40" s="29">
        <f t="shared" si="32"/>
        <v>0</v>
      </c>
      <c r="Z40" s="29">
        <f t="shared" si="32"/>
        <v>0</v>
      </c>
      <c r="AA40" s="29">
        <f t="shared" si="32"/>
        <v>0</v>
      </c>
      <c r="AB40" s="29">
        <f t="shared" si="32"/>
        <v>0</v>
      </c>
      <c r="AC40" s="29">
        <f t="shared" si="32"/>
        <v>0</v>
      </c>
      <c r="AD40" s="29">
        <f t="shared" si="32"/>
        <v>0</v>
      </c>
      <c r="AE40" s="29">
        <f t="shared" si="32"/>
        <v>0</v>
      </c>
      <c r="AF40" s="29">
        <f t="shared" si="32"/>
        <v>0</v>
      </c>
      <c r="AG40" s="29">
        <f t="shared" si="32"/>
        <v>0</v>
      </c>
      <c r="AH40" s="29">
        <f t="shared" si="32"/>
        <v>-22347.950000000004</v>
      </c>
    </row>
    <row r="41" spans="2:34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60476.04+35496.22+42759.96+59920.25+66029.31+43674.66</f>
        <v>308356.44000000006</v>
      </c>
      <c r="W41" s="58"/>
      <c r="X41" s="58"/>
      <c r="Y41" s="18">
        <f>7824.8+13894.25+10833.89+16711.68+14866.6+17836.66+7971.03+41183.46</f>
        <v>131122.37</v>
      </c>
      <c r="Z41" s="18">
        <f>2860.53*3</f>
        <v>8581.59</v>
      </c>
      <c r="AA41" s="18"/>
      <c r="AB41" s="18"/>
      <c r="AC41" s="18"/>
      <c r="AD41" s="58"/>
      <c r="AE41" s="18"/>
      <c r="AF41" s="18"/>
      <c r="AG41" s="18"/>
      <c r="AH41" s="19">
        <f t="shared" ref="AH41:AH47" si="33">SUM(D41:AC41)</f>
        <v>448060.40000000008</v>
      </c>
    </row>
    <row r="42" spans="2:34" ht="16.5" customHeight="1" x14ac:dyDescent="0.2">
      <c r="B42" s="117"/>
      <c r="C42" s="25" t="s">
        <v>52</v>
      </c>
      <c r="D42" s="18"/>
      <c r="E42" s="18"/>
      <c r="F42" s="18">
        <v>50000</v>
      </c>
      <c r="G42" s="18"/>
      <c r="H42" s="18"/>
      <c r="I42" s="18"/>
      <c r="J42" s="18"/>
      <c r="K42" s="18"/>
      <c r="L42" s="18"/>
      <c r="M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Y42" s="18"/>
      <c r="Z42" s="18"/>
      <c r="AA42" s="18"/>
      <c r="AB42" s="18"/>
      <c r="AC42" s="18"/>
      <c r="AD42" s="58"/>
      <c r="AE42" s="18"/>
      <c r="AF42" s="18"/>
      <c r="AG42" s="18"/>
      <c r="AH42" s="19">
        <f t="shared" si="33"/>
        <v>50000</v>
      </c>
    </row>
    <row r="43" spans="2:34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>
        <f t="shared" si="33"/>
        <v>0</v>
      </c>
    </row>
    <row r="44" spans="2:34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>
        <f t="shared" si="33"/>
        <v>0</v>
      </c>
    </row>
    <row r="45" spans="2:34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L45" s="18"/>
      <c r="M45" s="18">
        <v>14976.24</v>
      </c>
      <c r="N45" s="18"/>
      <c r="O45" s="18">
        <v>43631.85</v>
      </c>
      <c r="P45" s="18"/>
      <c r="Q45" s="18"/>
      <c r="R45" s="18"/>
      <c r="S45" s="18"/>
      <c r="T45" s="18"/>
      <c r="U45" s="18">
        <v>40676.089999999997</v>
      </c>
      <c r="V45" s="18"/>
      <c r="W45" s="18"/>
      <c r="X45" s="18"/>
      <c r="Y45" s="63">
        <v>14391.58</v>
      </c>
      <c r="Z45" s="18"/>
      <c r="AA45" s="18">
        <v>13676.39</v>
      </c>
      <c r="AB45" s="18"/>
      <c r="AC45" s="18">
        <f>1932.03+27352.78</f>
        <v>29284.809999999998</v>
      </c>
      <c r="AD45" s="18"/>
      <c r="AE45" s="18"/>
      <c r="AF45" s="18"/>
      <c r="AG45" s="18"/>
      <c r="AH45" s="19">
        <f t="shared" si="33"/>
        <v>156636.96</v>
      </c>
    </row>
    <row r="46" spans="2:34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>
        <f>7919.79+22847.31</f>
        <v>30767.100000000002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>
        <v>51827.7</v>
      </c>
      <c r="W46" s="26"/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19">
        <f t="shared" si="33"/>
        <v>82594.8</v>
      </c>
    </row>
    <row r="47" spans="2:34" ht="16.5" customHeight="1" x14ac:dyDescent="0.2">
      <c r="B47" s="117"/>
      <c r="C47" s="25" t="s">
        <v>79</v>
      </c>
      <c r="D47" s="26"/>
      <c r="E47" s="26"/>
      <c r="F47" s="4">
        <f>80.6</f>
        <v>80.599999999999994</v>
      </c>
      <c r="G47" s="26"/>
      <c r="H47" s="26">
        <f>241.92+35+198+92.68</f>
        <v>567.59999999999991</v>
      </c>
      <c r="I47" s="26"/>
      <c r="J47" s="26"/>
      <c r="K47" s="26">
        <f>800</f>
        <v>800</v>
      </c>
      <c r="L47" s="26"/>
      <c r="M47" s="26">
        <f>1490.21+115.6+130.2+210</f>
        <v>1946.01</v>
      </c>
      <c r="N47" s="26"/>
      <c r="O47" s="26">
        <f>523.97+25398.9</f>
        <v>25922.870000000003</v>
      </c>
      <c r="P47" s="26"/>
      <c r="Q47" s="26"/>
      <c r="R47" s="26"/>
      <c r="S47" s="26"/>
      <c r="T47" s="26"/>
      <c r="U47" s="26">
        <f>35+35+685.8</f>
        <v>755.8</v>
      </c>
      <c r="V47" s="26"/>
      <c r="W47" s="26"/>
      <c r="X47" s="26"/>
      <c r="Y47" s="26">
        <f>2126.96+80.6</f>
        <v>2207.56</v>
      </c>
      <c r="Z47" s="26"/>
      <c r="AA47" s="26">
        <f>3714.19+150.8</f>
        <v>3864.9900000000002</v>
      </c>
      <c r="AB47" s="26"/>
      <c r="AC47" s="26"/>
      <c r="AD47" s="26"/>
      <c r="AE47" s="26">
        <f>2510.5+54.6+59.2+29.6+184+65.8+349.8</f>
        <v>3253.5</v>
      </c>
      <c r="AF47" s="26"/>
      <c r="AG47" s="26">
        <v>102.48</v>
      </c>
      <c r="AH47" s="19">
        <f t="shared" si="33"/>
        <v>36145.43</v>
      </c>
    </row>
    <row r="48" spans="2:34" ht="16.5" customHeight="1" x14ac:dyDescent="0.2">
      <c r="B48" s="117"/>
      <c r="C48" s="25" t="s">
        <v>35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26"/>
      <c r="AE48" s="26"/>
      <c r="AF48" s="26"/>
      <c r="AG48" s="26"/>
      <c r="AH48" s="19">
        <f>SUM(D48:AB48)</f>
        <v>0</v>
      </c>
    </row>
    <row r="49" spans="2:34" ht="16.5" customHeight="1" x14ac:dyDescent="0.2">
      <c r="B49" s="117"/>
      <c r="C49" s="25" t="s">
        <v>84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58"/>
      <c r="AD49" s="26"/>
      <c r="AE49" s="26"/>
      <c r="AF49" s="26"/>
      <c r="AG49" s="26"/>
      <c r="AH49" s="19">
        <f>SUM(D49:AB49)</f>
        <v>0</v>
      </c>
    </row>
    <row r="50" spans="2:34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f>122.5</f>
        <v>122.5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>
        <f>153.9</f>
        <v>153.9</v>
      </c>
      <c r="AB50" s="26"/>
      <c r="AC50" s="26"/>
      <c r="AD50" s="26"/>
      <c r="AE50" s="26"/>
      <c r="AF50" s="26"/>
      <c r="AG50" s="26"/>
      <c r="AH50" s="19">
        <f>SUM(D50:AC50)</f>
        <v>276.39999999999998</v>
      </c>
    </row>
    <row r="51" spans="2:34" ht="16.5" customHeight="1" x14ac:dyDescent="0.2">
      <c r="B51" s="117"/>
      <c r="C51" s="25" t="s">
        <v>74</v>
      </c>
      <c r="D51" s="26"/>
      <c r="E51" s="26"/>
      <c r="F51" s="26"/>
      <c r="G51" s="26"/>
      <c r="H51" s="26">
        <f>53.65+224</f>
        <v>277.64999999999998</v>
      </c>
      <c r="I51" s="26"/>
      <c r="J51" s="26"/>
      <c r="K51" s="26"/>
      <c r="L51" s="26"/>
      <c r="M51" s="26">
        <f>46.4</f>
        <v>46.4</v>
      </c>
      <c r="N51" s="26"/>
      <c r="O51" s="26">
        <f>36.8+141.3+336</f>
        <v>514.1</v>
      </c>
      <c r="P51" s="26"/>
      <c r="Q51" s="26"/>
      <c r="R51" s="26"/>
      <c r="S51" s="26"/>
      <c r="T51" s="26"/>
      <c r="U51" s="26"/>
      <c r="V51" s="26"/>
      <c r="W51" s="26"/>
      <c r="X51" s="26"/>
      <c r="Y51" s="26">
        <f>1503.12</f>
        <v>1503.12</v>
      </c>
      <c r="Z51" s="26"/>
      <c r="AA51" s="26"/>
      <c r="AB51" s="26"/>
      <c r="AC51" s="26"/>
      <c r="AD51" s="26"/>
      <c r="AE51" s="26"/>
      <c r="AF51" s="26"/>
      <c r="AG51" s="26"/>
      <c r="AH51" s="19">
        <f>SUM(D51:AC51)</f>
        <v>2341.27</v>
      </c>
    </row>
    <row r="52" spans="2:34" ht="16.5" customHeight="1" x14ac:dyDescent="0.2">
      <c r="B52" s="117"/>
      <c r="C52" s="25" t="s">
        <v>82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C52" s="58"/>
      <c r="AD52" s="26"/>
      <c r="AE52" s="26"/>
      <c r="AF52" s="26"/>
      <c r="AG52" s="26"/>
      <c r="AH52" s="19">
        <f>SUM(D52:AC52)</f>
        <v>0</v>
      </c>
    </row>
    <row r="53" spans="2:34" ht="16.5" customHeight="1" x14ac:dyDescent="0.2">
      <c r="B53" s="117"/>
      <c r="C53" s="27" t="s">
        <v>18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>
        <f>21020.03</f>
        <v>21020.03</v>
      </c>
      <c r="P53" s="26"/>
      <c r="Q53" s="26"/>
      <c r="R53" s="58"/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>
        <v>6960.78</v>
      </c>
      <c r="AF53" s="26"/>
      <c r="AG53" s="26"/>
      <c r="AH53" s="19">
        <f>SUM(D53:AB53)</f>
        <v>21020.03</v>
      </c>
    </row>
    <row r="54" spans="2:34" ht="16.5" customHeight="1" x14ac:dyDescent="0.2">
      <c r="B54" s="117"/>
      <c r="C54" s="25" t="s">
        <v>28</v>
      </c>
      <c r="D54" s="26"/>
      <c r="E54" s="26"/>
      <c r="F54" s="26">
        <f>853.98</f>
        <v>853.98</v>
      </c>
      <c r="G54" s="26"/>
      <c r="H54" s="26"/>
      <c r="I54" s="26"/>
      <c r="J54" s="26"/>
      <c r="K54" s="26"/>
      <c r="L54" s="26"/>
      <c r="M54" s="26">
        <f>400</f>
        <v>400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>
        <v>3180</v>
      </c>
      <c r="AD54" s="26"/>
      <c r="AE54" s="26"/>
      <c r="AF54" s="26"/>
      <c r="AG54" s="26"/>
      <c r="AH54" s="19">
        <f>SUM(D54:AC54)</f>
        <v>4433.9799999999996</v>
      </c>
    </row>
    <row r="55" spans="2:34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f>293.45</f>
        <v>293.45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D55" s="26"/>
      <c r="AE55" s="26"/>
      <c r="AF55" s="26"/>
      <c r="AG55" s="26"/>
      <c r="AH55" s="19">
        <f>SUM(D55:AB55)</f>
        <v>293.45</v>
      </c>
    </row>
    <row r="56" spans="2:34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19">
        <f t="shared" ref="AH56:AH73" si="34">SUM(D56:AC56)</f>
        <v>0</v>
      </c>
    </row>
    <row r="57" spans="2:34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>
        <f>79.46</f>
        <v>79.459999999999994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9">
        <f t="shared" si="34"/>
        <v>79.459999999999994</v>
      </c>
    </row>
    <row r="58" spans="2:34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19">
        <f t="shared" si="34"/>
        <v>0</v>
      </c>
    </row>
    <row r="59" spans="2:34" ht="16.5" customHeight="1" x14ac:dyDescent="0.2">
      <c r="B59" s="117"/>
      <c r="C59" s="25" t="s">
        <v>32</v>
      </c>
      <c r="D59" s="26">
        <v>7500</v>
      </c>
      <c r="E59" s="26"/>
      <c r="F59" s="26">
        <f>307+2350</f>
        <v>2657</v>
      </c>
      <c r="G59" s="26"/>
      <c r="H59" s="26">
        <f>390</f>
        <v>390</v>
      </c>
      <c r="I59" s="26"/>
      <c r="J59" s="26"/>
      <c r="K59" s="26">
        <f>709.2+3693.75</f>
        <v>4402.95</v>
      </c>
      <c r="L59" s="26"/>
      <c r="M59" s="26"/>
      <c r="N59" s="26"/>
      <c r="O59" s="26">
        <f>1590+1444+614</f>
        <v>3648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>
        <f>24.82</f>
        <v>24.82</v>
      </c>
      <c r="AB59" s="26"/>
      <c r="AC59" s="26"/>
      <c r="AD59" s="26"/>
      <c r="AE59" s="26"/>
      <c r="AF59" s="26"/>
      <c r="AG59" s="26">
        <f>6258.9+12494.35+9154.1</f>
        <v>27907.35</v>
      </c>
      <c r="AH59" s="19">
        <f t="shared" si="34"/>
        <v>18622.77</v>
      </c>
    </row>
    <row r="60" spans="2:34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19">
        <f t="shared" si="34"/>
        <v>0</v>
      </c>
    </row>
    <row r="61" spans="2:34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>
        <f>345.6</f>
        <v>345.6</v>
      </c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19">
        <f t="shared" si="34"/>
        <v>345.6</v>
      </c>
    </row>
    <row r="62" spans="2:34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>
        <v>4212</v>
      </c>
      <c r="AB62" s="26"/>
      <c r="AC62" s="26"/>
      <c r="AD62" s="26"/>
      <c r="AE62" s="26"/>
      <c r="AF62" s="26"/>
      <c r="AG62" s="26"/>
      <c r="AH62" s="19">
        <f t="shared" si="34"/>
        <v>4212</v>
      </c>
    </row>
    <row r="63" spans="2:34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1169.75+892.45</f>
        <v>2062.1999999999998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>
        <f>1344</f>
        <v>1344</v>
      </c>
      <c r="AB63" s="26"/>
      <c r="AC63" s="26"/>
      <c r="AD63" s="26"/>
      <c r="AE63" s="26">
        <f>795+1981.12</f>
        <v>2776.12</v>
      </c>
      <c r="AF63" s="26"/>
      <c r="AG63" s="26"/>
      <c r="AH63" s="19">
        <f t="shared" si="34"/>
        <v>3406.2</v>
      </c>
    </row>
    <row r="64" spans="2:34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/>
      <c r="L64" s="26"/>
      <c r="M64" s="26">
        <f>1134+137.94</f>
        <v>1271.94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Z64" s="26"/>
      <c r="AA64" s="26"/>
      <c r="AB64" s="26"/>
      <c r="AC64" s="26"/>
      <c r="AD64" s="26"/>
      <c r="AE64" s="26"/>
      <c r="AF64" s="26"/>
      <c r="AG64" s="26"/>
      <c r="AH64" s="19">
        <f t="shared" si="34"/>
        <v>1271.94</v>
      </c>
    </row>
    <row r="65" spans="2:34" ht="16.5" customHeight="1" x14ac:dyDescent="0.2">
      <c r="B65" s="117"/>
      <c r="C65" s="25" t="s">
        <v>12</v>
      </c>
      <c r="D65" s="26">
        <f>424</f>
        <v>424</v>
      </c>
      <c r="E65" s="26"/>
      <c r="F65" s="26"/>
      <c r="G65" s="26"/>
      <c r="H65" s="26">
        <f>147</f>
        <v>147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>
        <f>440</f>
        <v>440</v>
      </c>
      <c r="AB65" s="26"/>
      <c r="AC65" s="26"/>
      <c r="AD65" s="26"/>
      <c r="AE65" s="26"/>
      <c r="AF65" s="26"/>
      <c r="AG65" s="26"/>
      <c r="AH65" s="19">
        <f t="shared" si="34"/>
        <v>1011</v>
      </c>
    </row>
    <row r="66" spans="2:34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19">
        <f t="shared" si="34"/>
        <v>0</v>
      </c>
    </row>
    <row r="67" spans="2:34" ht="16.5" customHeight="1" x14ac:dyDescent="0.2">
      <c r="B67" s="117"/>
      <c r="C67" s="25" t="s">
        <v>34</v>
      </c>
      <c r="D67" s="26"/>
      <c r="E67" s="26"/>
      <c r="F67" s="26">
        <f>266.97</f>
        <v>266.97000000000003</v>
      </c>
      <c r="G67" s="26"/>
      <c r="H67" s="26"/>
      <c r="I67" s="26"/>
      <c r="J67" s="26"/>
      <c r="K67" s="26">
        <v>1160.01</v>
      </c>
      <c r="L67" s="26"/>
      <c r="M67" s="26">
        <f>429.56</f>
        <v>429.56</v>
      </c>
      <c r="N67" s="26"/>
      <c r="O67" s="26"/>
      <c r="P67" s="26"/>
      <c r="Q67" s="26"/>
      <c r="R67" s="26"/>
      <c r="S67" s="26"/>
      <c r="T67" s="26"/>
      <c r="U67" s="26">
        <v>2500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19">
        <f t="shared" si="34"/>
        <v>4356.54</v>
      </c>
    </row>
    <row r="68" spans="2:34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>
        <f>86.23+129.46</f>
        <v>215.69</v>
      </c>
      <c r="N68" s="26"/>
      <c r="O68" s="26"/>
      <c r="P68" s="26"/>
      <c r="Q68" s="26"/>
      <c r="S68" s="26"/>
      <c r="T68" s="26"/>
      <c r="U68" s="26">
        <v>381.35</v>
      </c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19">
        <f t="shared" si="34"/>
        <v>597.04</v>
      </c>
    </row>
    <row r="69" spans="2:34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>
        <f>71.61</f>
        <v>71.61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>
        <f>1250</f>
        <v>1250</v>
      </c>
      <c r="AD69" s="26"/>
      <c r="AE69" s="26"/>
      <c r="AF69" s="26"/>
      <c r="AG69" s="26"/>
      <c r="AH69" s="19">
        <f t="shared" si="34"/>
        <v>1321.61</v>
      </c>
    </row>
    <row r="70" spans="2:34" ht="16.5" customHeight="1" x14ac:dyDescent="0.2">
      <c r="B70" s="117"/>
      <c r="C70" s="25" t="s">
        <v>81</v>
      </c>
      <c r="D70" s="26"/>
      <c r="E70" s="26"/>
      <c r="F70" s="26">
        <v>201</v>
      </c>
      <c r="G70" s="26"/>
      <c r="H70" s="26">
        <f>361.75</f>
        <v>361.75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19">
        <f t="shared" si="34"/>
        <v>562.75</v>
      </c>
    </row>
    <row r="71" spans="2:34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19">
        <f t="shared" si="34"/>
        <v>0</v>
      </c>
    </row>
    <row r="72" spans="2:34" ht="16.5" customHeight="1" x14ac:dyDescent="0.2">
      <c r="B72" s="117"/>
      <c r="C72" s="25" t="s">
        <v>6</v>
      </c>
      <c r="D72" s="26">
        <f>27.72</f>
        <v>27.72</v>
      </c>
      <c r="E72" s="26">
        <f>34.2+66</f>
        <v>100.2</v>
      </c>
      <c r="F72" s="26">
        <f>7.35+17.1</f>
        <v>24.450000000000003</v>
      </c>
      <c r="G72" s="26">
        <v>99.33</v>
      </c>
      <c r="H72" s="26">
        <f>7.35*2</f>
        <v>14.7</v>
      </c>
      <c r="I72" s="26"/>
      <c r="J72" s="26"/>
      <c r="K72" s="26">
        <f>(7.35*2)+55.44</f>
        <v>70.14</v>
      </c>
      <c r="L72" s="26">
        <f>64.68+68.4</f>
        <v>133.08000000000001</v>
      </c>
      <c r="M72" s="26">
        <f>(7.35*3)+20.79+11.4</f>
        <v>54.239999999999995</v>
      </c>
      <c r="N72" s="26">
        <f>34.2</f>
        <v>34.200000000000003</v>
      </c>
      <c r="O72" s="26">
        <f>(7.35*2)+64.68+45</f>
        <v>124.38000000000001</v>
      </c>
      <c r="P72" s="26"/>
      <c r="Q72" s="26"/>
      <c r="R72" s="26"/>
      <c r="S72" s="26"/>
      <c r="T72" s="26"/>
      <c r="U72" s="26">
        <f>67+7.35+51.3</f>
        <v>125.64999999999999</v>
      </c>
      <c r="V72" s="26">
        <f>(7.35*80)</f>
        <v>588</v>
      </c>
      <c r="W72" s="26"/>
      <c r="X72" s="26"/>
      <c r="Y72" s="26">
        <f>(7.35*7)+103.95</f>
        <v>155.4</v>
      </c>
      <c r="Z72" s="26">
        <f>39.9+7.35</f>
        <v>47.25</v>
      </c>
      <c r="AA72" s="26">
        <f>(7.35*2)</f>
        <v>14.7</v>
      </c>
      <c r="AB72" s="26">
        <f>46.2+22.8</f>
        <v>69</v>
      </c>
      <c r="AC72" s="26">
        <f>25.41+7.35</f>
        <v>32.76</v>
      </c>
      <c r="AD72" s="26">
        <v>198.38</v>
      </c>
      <c r="AE72" s="26">
        <f>34.6+7.35</f>
        <v>41.95</v>
      </c>
      <c r="AF72" s="26">
        <v>14.81</v>
      </c>
      <c r="AG72" s="26">
        <f>37.5+7.35</f>
        <v>44.85</v>
      </c>
      <c r="AH72" s="19">
        <f t="shared" si="34"/>
        <v>1715.2000000000003</v>
      </c>
    </row>
    <row r="73" spans="2:34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19">
        <f t="shared" si="34"/>
        <v>0</v>
      </c>
    </row>
    <row r="74" spans="2:34" ht="16.5" customHeight="1" x14ac:dyDescent="0.2">
      <c r="B74" s="117"/>
      <c r="C74" s="28" t="s">
        <v>10</v>
      </c>
      <c r="D74" s="29">
        <f t="shared" ref="D74:AH74" si="35">-SUM(D41:D73)</f>
        <v>-7951.72</v>
      </c>
      <c r="E74" s="29">
        <f t="shared" si="35"/>
        <v>-100.2</v>
      </c>
      <c r="F74" s="29">
        <f t="shared" si="35"/>
        <v>-54084</v>
      </c>
      <c r="G74" s="29">
        <f t="shared" si="35"/>
        <v>-99.33</v>
      </c>
      <c r="H74" s="29">
        <f t="shared" si="35"/>
        <v>-1758.7</v>
      </c>
      <c r="I74" s="29">
        <f t="shared" si="35"/>
        <v>0</v>
      </c>
      <c r="J74" s="29">
        <f t="shared" si="35"/>
        <v>0</v>
      </c>
      <c r="K74" s="29">
        <f t="shared" si="35"/>
        <v>-37279.660000000003</v>
      </c>
      <c r="L74" s="29">
        <f t="shared" si="35"/>
        <v>-133.08000000000001</v>
      </c>
      <c r="M74" s="29">
        <f t="shared" si="35"/>
        <v>-21695.730000000003</v>
      </c>
      <c r="N74" s="29">
        <f t="shared" si="35"/>
        <v>-34.200000000000003</v>
      </c>
      <c r="O74" s="29">
        <f t="shared" si="35"/>
        <v>-95055.340000000011</v>
      </c>
      <c r="P74" s="29">
        <f t="shared" si="35"/>
        <v>0</v>
      </c>
      <c r="Q74" s="29">
        <f t="shared" si="35"/>
        <v>0</v>
      </c>
      <c r="R74" s="29">
        <f t="shared" si="35"/>
        <v>0</v>
      </c>
      <c r="S74" s="29">
        <f t="shared" si="35"/>
        <v>0</v>
      </c>
      <c r="T74" s="29">
        <f t="shared" si="35"/>
        <v>0</v>
      </c>
      <c r="U74" s="29">
        <f t="shared" si="35"/>
        <v>-44784.49</v>
      </c>
      <c r="V74" s="29">
        <f t="shared" si="35"/>
        <v>-360772.14000000007</v>
      </c>
      <c r="W74" s="29">
        <f t="shared" si="35"/>
        <v>0</v>
      </c>
      <c r="X74" s="29">
        <f t="shared" si="35"/>
        <v>0</v>
      </c>
      <c r="Y74" s="29">
        <f t="shared" si="35"/>
        <v>-149380.02999999997</v>
      </c>
      <c r="Z74" s="29">
        <f t="shared" si="35"/>
        <v>-8628.84</v>
      </c>
      <c r="AA74" s="29">
        <f t="shared" si="35"/>
        <v>-23730.800000000003</v>
      </c>
      <c r="AB74" s="29">
        <f t="shared" si="35"/>
        <v>-69</v>
      </c>
      <c r="AC74" s="29">
        <f t="shared" si="35"/>
        <v>-33747.57</v>
      </c>
      <c r="AD74" s="29">
        <f t="shared" si="35"/>
        <v>-198.38</v>
      </c>
      <c r="AE74" s="29">
        <f t="shared" si="35"/>
        <v>-13032.349999999999</v>
      </c>
      <c r="AF74" s="29">
        <f t="shared" si="35"/>
        <v>-14.81</v>
      </c>
      <c r="AG74" s="29">
        <f t="shared" si="35"/>
        <v>-28054.679999999997</v>
      </c>
      <c r="AH74" s="29">
        <f t="shared" si="35"/>
        <v>-839304.83000000007</v>
      </c>
    </row>
    <row r="75" spans="2:34" ht="16.5" customHeight="1" x14ac:dyDescent="0.2">
      <c r="B75" s="114"/>
      <c r="C75" s="28" t="s">
        <v>36</v>
      </c>
      <c r="D75" s="29">
        <f t="shared" ref="D75:AH75" si="36">D25+D36+D40+D74</f>
        <v>-40901.57</v>
      </c>
      <c r="E75" s="29">
        <f t="shared" si="36"/>
        <v>-100.2</v>
      </c>
      <c r="F75" s="29">
        <f t="shared" si="36"/>
        <v>-54084</v>
      </c>
      <c r="G75" s="29">
        <f t="shared" si="36"/>
        <v>-99.33</v>
      </c>
      <c r="H75" s="29">
        <f t="shared" si="36"/>
        <v>-2345.85</v>
      </c>
      <c r="I75" s="29">
        <f t="shared" si="36"/>
        <v>0</v>
      </c>
      <c r="J75" s="29">
        <f t="shared" si="36"/>
        <v>0</v>
      </c>
      <c r="K75" s="29">
        <f t="shared" si="36"/>
        <v>-96012.670000000013</v>
      </c>
      <c r="L75" s="29">
        <f t="shared" si="36"/>
        <v>-133.08000000000001</v>
      </c>
      <c r="M75" s="29">
        <f t="shared" si="36"/>
        <v>-44043.680000000008</v>
      </c>
      <c r="N75" s="29">
        <f t="shared" si="36"/>
        <v>-14713.04</v>
      </c>
      <c r="O75" s="29">
        <f t="shared" si="36"/>
        <v>-223322.88</v>
      </c>
      <c r="P75" s="29">
        <f t="shared" si="36"/>
        <v>0</v>
      </c>
      <c r="Q75" s="29">
        <f t="shared" si="36"/>
        <v>0</v>
      </c>
      <c r="R75" s="29">
        <f t="shared" si="36"/>
        <v>0</v>
      </c>
      <c r="S75" s="29">
        <f t="shared" si="36"/>
        <v>0</v>
      </c>
      <c r="T75" s="29">
        <f t="shared" si="36"/>
        <v>0</v>
      </c>
      <c r="U75" s="29">
        <f t="shared" si="36"/>
        <v>-45015.59</v>
      </c>
      <c r="V75" s="29">
        <f t="shared" si="36"/>
        <v>-360772.14000000007</v>
      </c>
      <c r="W75" s="29">
        <f t="shared" si="36"/>
        <v>0</v>
      </c>
      <c r="X75" s="29">
        <f t="shared" si="36"/>
        <v>0</v>
      </c>
      <c r="Y75" s="29">
        <f t="shared" si="36"/>
        <v>-149380.02999999997</v>
      </c>
      <c r="Z75" s="29">
        <f t="shared" si="36"/>
        <v>-8628.84</v>
      </c>
      <c r="AA75" s="29">
        <f t="shared" si="36"/>
        <v>-51931.780000000006</v>
      </c>
      <c r="AB75" s="29">
        <f t="shared" si="36"/>
        <v>-69</v>
      </c>
      <c r="AC75" s="29">
        <f t="shared" si="36"/>
        <v>-156728.84</v>
      </c>
      <c r="AD75" s="29">
        <f t="shared" si="36"/>
        <v>-198.38</v>
      </c>
      <c r="AE75" s="29">
        <f t="shared" si="36"/>
        <v>-355001.94999999995</v>
      </c>
      <c r="AF75" s="29">
        <f t="shared" si="36"/>
        <v>-14.81</v>
      </c>
      <c r="AG75" s="29">
        <f t="shared" si="36"/>
        <v>-102338.07999999999</v>
      </c>
      <c r="AH75" s="29">
        <f t="shared" si="36"/>
        <v>-1215332.67</v>
      </c>
    </row>
    <row r="76" spans="2:34" ht="7.5" customHeight="1" x14ac:dyDescent="0.2">
      <c r="B76" s="62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</row>
    <row r="77" spans="2:34" ht="16.5" customHeight="1" x14ac:dyDescent="0.2">
      <c r="B77" s="61"/>
      <c r="C77" s="32" t="s">
        <v>13</v>
      </c>
      <c r="D77" s="13">
        <f t="shared" ref="D77:AH77" si="37">D6+D18+D75</f>
        <v>71718.210000000021</v>
      </c>
      <c r="E77" s="13">
        <f t="shared" si="37"/>
        <v>154558</v>
      </c>
      <c r="F77" s="13">
        <f t="shared" si="37"/>
        <v>170153.95</v>
      </c>
      <c r="G77" s="13">
        <f t="shared" si="37"/>
        <v>218453.82000000004</v>
      </c>
      <c r="H77" s="13">
        <f t="shared" si="37"/>
        <v>229506.80000000002</v>
      </c>
      <c r="I77" s="13">
        <f t="shared" si="37"/>
        <v>229506.80000000002</v>
      </c>
      <c r="J77" s="13">
        <f t="shared" si="37"/>
        <v>229506.80000000002</v>
      </c>
      <c r="K77" s="13">
        <f t="shared" si="37"/>
        <v>226678.59</v>
      </c>
      <c r="L77" s="13">
        <f t="shared" si="37"/>
        <v>312108.23</v>
      </c>
      <c r="M77" s="13">
        <f t="shared" si="37"/>
        <v>292672.45999999996</v>
      </c>
      <c r="N77" s="13">
        <f t="shared" si="37"/>
        <v>297993.98</v>
      </c>
      <c r="O77" s="13">
        <f t="shared" si="37"/>
        <v>116595.16869999998</v>
      </c>
      <c r="P77" s="13">
        <f t="shared" si="37"/>
        <v>116595.16869999998</v>
      </c>
      <c r="Q77" s="13">
        <f t="shared" si="37"/>
        <v>116595.16869999998</v>
      </c>
      <c r="R77" s="13">
        <f t="shared" si="37"/>
        <v>116595.16869999998</v>
      </c>
      <c r="S77" s="13">
        <f t="shared" si="37"/>
        <v>116595.16869999998</v>
      </c>
      <c r="T77" s="13">
        <f t="shared" si="37"/>
        <v>248700.11869999999</v>
      </c>
      <c r="U77" s="13">
        <f t="shared" si="37"/>
        <v>280524.52870000002</v>
      </c>
      <c r="V77" s="13">
        <f t="shared" si="37"/>
        <v>90977.688699999941</v>
      </c>
      <c r="W77" s="13">
        <f t="shared" si="37"/>
        <v>90977.688699999941</v>
      </c>
      <c r="X77" s="13">
        <f t="shared" si="37"/>
        <v>90977.688699999941</v>
      </c>
      <c r="Y77" s="13">
        <f t="shared" si="37"/>
        <v>12149.018699999957</v>
      </c>
      <c r="Z77" s="13">
        <f t="shared" si="37"/>
        <v>38433.638699999967</v>
      </c>
      <c r="AA77" s="13">
        <f t="shared" si="37"/>
        <v>17126.958699999952</v>
      </c>
      <c r="AB77" s="13">
        <f t="shared" si="37"/>
        <v>106453.67869999996</v>
      </c>
      <c r="AC77" s="13">
        <f t="shared" si="37"/>
        <v>9114.0986999999441</v>
      </c>
      <c r="AD77" s="13">
        <f t="shared" si="37"/>
        <v>31862.608699999942</v>
      </c>
      <c r="AE77" s="13">
        <f t="shared" si="37"/>
        <v>-245275.15130000003</v>
      </c>
      <c r="AF77" s="13">
        <f t="shared" si="37"/>
        <v>-211532.21130000002</v>
      </c>
      <c r="AG77" s="13">
        <f t="shared" si="37"/>
        <v>-294039.99129999999</v>
      </c>
      <c r="AH77" s="13">
        <f t="shared" si="37"/>
        <v>42063.948700000299</v>
      </c>
    </row>
    <row r="78" spans="2:34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</row>
    <row r="79" spans="2:34" ht="16.5" customHeight="1" x14ac:dyDescent="0.2">
      <c r="B79" s="117"/>
      <c r="C79" s="21" t="s">
        <v>15</v>
      </c>
      <c r="D79" s="33">
        <f>Jan!AG83</f>
        <v>549903.35000000009</v>
      </c>
      <c r="E79" s="33">
        <f>D83</f>
        <v>550140.35000000009</v>
      </c>
      <c r="F79" s="33">
        <f t="shared" ref="F79:AG79" si="38">E79</f>
        <v>550140.35000000009</v>
      </c>
      <c r="G79" s="33">
        <f t="shared" si="38"/>
        <v>550140.35000000009</v>
      </c>
      <c r="H79" s="33">
        <f t="shared" si="38"/>
        <v>550140.35000000009</v>
      </c>
      <c r="I79" s="33">
        <f t="shared" si="38"/>
        <v>550140.35000000009</v>
      </c>
      <c r="J79" s="33">
        <f t="shared" si="38"/>
        <v>550140.35000000009</v>
      </c>
      <c r="K79" s="33">
        <f t="shared" si="38"/>
        <v>550140.35000000009</v>
      </c>
      <c r="L79" s="33">
        <f t="shared" si="38"/>
        <v>550140.35000000009</v>
      </c>
      <c r="M79" s="33">
        <f t="shared" si="38"/>
        <v>550140.35000000009</v>
      </c>
      <c r="N79" s="33">
        <f t="shared" si="38"/>
        <v>550140.35000000009</v>
      </c>
      <c r="O79" s="33">
        <f t="shared" si="38"/>
        <v>550140.35000000009</v>
      </c>
      <c r="P79" s="33">
        <f t="shared" si="38"/>
        <v>550140.35000000009</v>
      </c>
      <c r="Q79" s="33">
        <f t="shared" si="38"/>
        <v>550140.35000000009</v>
      </c>
      <c r="R79" s="33">
        <f t="shared" si="38"/>
        <v>550140.35000000009</v>
      </c>
      <c r="S79" s="33">
        <f t="shared" si="38"/>
        <v>550140.35000000009</v>
      </c>
      <c r="T79" s="33">
        <f t="shared" si="38"/>
        <v>550140.35000000009</v>
      </c>
      <c r="U79" s="33">
        <f t="shared" si="38"/>
        <v>550140.35000000009</v>
      </c>
      <c r="V79" s="33">
        <f t="shared" si="38"/>
        <v>550140.35000000009</v>
      </c>
      <c r="W79" s="33">
        <f t="shared" si="38"/>
        <v>550140.35000000009</v>
      </c>
      <c r="X79" s="33">
        <f t="shared" si="38"/>
        <v>550140.35000000009</v>
      </c>
      <c r="Y79" s="33">
        <f t="shared" si="38"/>
        <v>550140.35000000009</v>
      </c>
      <c r="Z79" s="33">
        <f t="shared" si="38"/>
        <v>550140.35000000009</v>
      </c>
      <c r="AA79" s="33">
        <f t="shared" si="38"/>
        <v>550140.35000000009</v>
      </c>
      <c r="AB79" s="33">
        <f t="shared" si="38"/>
        <v>550140.35000000009</v>
      </c>
      <c r="AC79" s="33">
        <f t="shared" si="38"/>
        <v>550140.35000000009</v>
      </c>
      <c r="AD79" s="33">
        <f t="shared" si="38"/>
        <v>550140.35000000009</v>
      </c>
      <c r="AE79" s="33">
        <f t="shared" si="38"/>
        <v>550140.35000000009</v>
      </c>
      <c r="AF79" s="33">
        <f t="shared" si="38"/>
        <v>550140.35000000009</v>
      </c>
      <c r="AG79" s="33">
        <f t="shared" si="38"/>
        <v>550140.35000000009</v>
      </c>
      <c r="AH79" s="22"/>
    </row>
    <row r="80" spans="2:34" ht="16.5" customHeight="1" x14ac:dyDescent="0.2">
      <c r="B80" s="117"/>
      <c r="C80" s="17" t="s">
        <v>86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Y80" s="18"/>
      <c r="Z80" s="18"/>
      <c r="AA80" s="18"/>
      <c r="AB80" s="18"/>
      <c r="AC80" s="18"/>
      <c r="AD80" s="58"/>
      <c r="AE80" s="18"/>
      <c r="AF80" s="18"/>
      <c r="AG80" s="18"/>
      <c r="AH80" s="19">
        <f>SUM(D80:AC80)</f>
        <v>0</v>
      </c>
    </row>
    <row r="81" spans="2:34" ht="16.5" customHeight="1" x14ac:dyDescent="0.2">
      <c r="B81" s="117"/>
      <c r="C81" s="17" t="s">
        <v>85</v>
      </c>
      <c r="D81" s="18"/>
      <c r="E81" s="18"/>
      <c r="F81" s="18">
        <v>50000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-104000</v>
      </c>
      <c r="W81" s="58"/>
      <c r="X81" s="18"/>
      <c r="Y81" s="18"/>
      <c r="Z81" s="18"/>
      <c r="AA81" s="18"/>
      <c r="AB81" s="18"/>
      <c r="AC81" s="18"/>
      <c r="AD81" s="58"/>
      <c r="AE81" s="18"/>
      <c r="AF81" s="18"/>
      <c r="AG81" s="18"/>
      <c r="AH81" s="19">
        <f t="shared" ref="AH81:AH82" si="39">SUM(D81:AC81)</f>
        <v>-54000</v>
      </c>
    </row>
    <row r="82" spans="2:34" ht="16.5" customHeight="1" x14ac:dyDescent="0.2">
      <c r="B82" s="117"/>
      <c r="C82" s="17" t="s">
        <v>24</v>
      </c>
      <c r="D82" s="18">
        <v>237</v>
      </c>
      <c r="E82" s="18">
        <v>173.93</v>
      </c>
      <c r="F82" s="18">
        <v>175.87</v>
      </c>
      <c r="G82" s="18">
        <v>176.77</v>
      </c>
      <c r="H82" s="18">
        <v>187.99</v>
      </c>
      <c r="I82" s="18"/>
      <c r="J82" s="18"/>
      <c r="K82" s="18">
        <v>181.53</v>
      </c>
      <c r="L82" s="18">
        <v>184.89</v>
      </c>
      <c r="M82" s="18">
        <v>184.8</v>
      </c>
      <c r="N82" s="18">
        <v>186.34</v>
      </c>
      <c r="O82" s="18">
        <v>224.21</v>
      </c>
      <c r="P82" s="18"/>
      <c r="Q82" s="18"/>
      <c r="R82" s="18"/>
      <c r="S82" s="18"/>
      <c r="T82" s="18">
        <v>192.77</v>
      </c>
      <c r="U82" s="18">
        <v>197.43</v>
      </c>
      <c r="V82" s="18">
        <v>180.7</v>
      </c>
      <c r="W82" s="18"/>
      <c r="X82" s="18"/>
      <c r="Y82" s="18">
        <v>165.83</v>
      </c>
      <c r="Z82" s="18">
        <v>167.03</v>
      </c>
      <c r="AA82" s="18">
        <v>166.81</v>
      </c>
      <c r="AB82" s="18">
        <v>165.88</v>
      </c>
      <c r="AC82" s="18">
        <v>182.42</v>
      </c>
      <c r="AD82" s="18">
        <f>19.77+58.6+26.69</f>
        <v>105.06</v>
      </c>
      <c r="AE82" s="18">
        <f>21.36+58.63+26.81</f>
        <v>106.80000000000001</v>
      </c>
      <c r="AF82" s="18">
        <f>23.85+58.65+27.05</f>
        <v>109.55</v>
      </c>
      <c r="AG82" s="18"/>
      <c r="AH82" s="19">
        <f t="shared" si="39"/>
        <v>3332.2</v>
      </c>
    </row>
    <row r="83" spans="2:34" ht="16.5" customHeight="1" x14ac:dyDescent="0.2">
      <c r="B83" s="117"/>
      <c r="C83" s="21" t="s">
        <v>30</v>
      </c>
      <c r="D83" s="22">
        <f>SUM(D80:D82)+D79</f>
        <v>550140.35000000009</v>
      </c>
      <c r="E83" s="22">
        <f t="shared" ref="E83:AG83" si="40">SUM(E80:E82)+D83</f>
        <v>550314.28000000014</v>
      </c>
      <c r="F83" s="22">
        <f t="shared" si="40"/>
        <v>600490.15000000014</v>
      </c>
      <c r="G83" s="22">
        <f t="shared" si="40"/>
        <v>600666.92000000016</v>
      </c>
      <c r="H83" s="22">
        <f t="shared" si="40"/>
        <v>600854.91000000015</v>
      </c>
      <c r="I83" s="22">
        <f t="shared" si="40"/>
        <v>600854.91000000015</v>
      </c>
      <c r="J83" s="22">
        <f t="shared" si="40"/>
        <v>600854.91000000015</v>
      </c>
      <c r="K83" s="22">
        <f t="shared" si="40"/>
        <v>601036.44000000018</v>
      </c>
      <c r="L83" s="22">
        <f t="shared" si="40"/>
        <v>601221.33000000019</v>
      </c>
      <c r="M83" s="22">
        <f t="shared" si="40"/>
        <v>601406.13000000024</v>
      </c>
      <c r="N83" s="22">
        <f t="shared" si="40"/>
        <v>601592.4700000002</v>
      </c>
      <c r="O83" s="22">
        <f t="shared" si="40"/>
        <v>601816.68000000017</v>
      </c>
      <c r="P83" s="22">
        <f t="shared" si="40"/>
        <v>601816.68000000017</v>
      </c>
      <c r="Q83" s="22">
        <f t="shared" si="40"/>
        <v>601816.68000000017</v>
      </c>
      <c r="R83" s="22">
        <f t="shared" si="40"/>
        <v>601816.68000000017</v>
      </c>
      <c r="S83" s="22">
        <f t="shared" si="40"/>
        <v>601816.68000000017</v>
      </c>
      <c r="T83" s="22">
        <f t="shared" si="40"/>
        <v>602009.45000000019</v>
      </c>
      <c r="U83" s="22">
        <f t="shared" si="40"/>
        <v>602206.88000000024</v>
      </c>
      <c r="V83" s="22">
        <f t="shared" si="40"/>
        <v>498387.58000000025</v>
      </c>
      <c r="W83" s="22">
        <f t="shared" si="40"/>
        <v>498387.58000000025</v>
      </c>
      <c r="X83" s="22">
        <f t="shared" si="40"/>
        <v>498387.58000000025</v>
      </c>
      <c r="Y83" s="22">
        <f t="shared" si="40"/>
        <v>498553.41000000027</v>
      </c>
      <c r="Z83" s="22">
        <f t="shared" si="40"/>
        <v>498720.44000000029</v>
      </c>
      <c r="AA83" s="22">
        <f t="shared" si="40"/>
        <v>498887.25000000029</v>
      </c>
      <c r="AB83" s="22">
        <f t="shared" si="40"/>
        <v>499053.1300000003</v>
      </c>
      <c r="AC83" s="22">
        <f t="shared" si="40"/>
        <v>499235.55000000028</v>
      </c>
      <c r="AD83" s="22">
        <f>SUM(AD80:AD82)+AC83</f>
        <v>499340.61000000028</v>
      </c>
      <c r="AE83" s="22">
        <f>SUM(AE80:AE82)+AD83</f>
        <v>499447.41000000027</v>
      </c>
      <c r="AF83" s="22">
        <f t="shared" si="40"/>
        <v>499556.96000000025</v>
      </c>
      <c r="AG83" s="22">
        <f t="shared" si="40"/>
        <v>499556.96000000025</v>
      </c>
      <c r="AH83" s="22">
        <f>SUM(AH80:AH82)</f>
        <v>-50667.8</v>
      </c>
    </row>
    <row r="84" spans="2:34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</row>
    <row r="85" spans="2:34" ht="16.5" customHeight="1" thickBot="1" x14ac:dyDescent="0.25">
      <c r="B85" s="35"/>
      <c r="C85" s="36" t="s">
        <v>25</v>
      </c>
      <c r="D85" s="37">
        <f t="shared" ref="D85:AG85" si="41">D77+D83</f>
        <v>621858.56000000006</v>
      </c>
      <c r="E85" s="37">
        <f t="shared" si="41"/>
        <v>704872.28000000014</v>
      </c>
      <c r="F85" s="37">
        <f t="shared" si="41"/>
        <v>770644.10000000009</v>
      </c>
      <c r="G85" s="37">
        <f t="shared" si="41"/>
        <v>819120.74000000022</v>
      </c>
      <c r="H85" s="37">
        <f t="shared" si="41"/>
        <v>830361.7100000002</v>
      </c>
      <c r="I85" s="37">
        <f t="shared" si="41"/>
        <v>830361.7100000002</v>
      </c>
      <c r="J85" s="37">
        <f t="shared" si="41"/>
        <v>830361.7100000002</v>
      </c>
      <c r="K85" s="37">
        <f t="shared" si="41"/>
        <v>827715.03000000014</v>
      </c>
      <c r="L85" s="37">
        <f t="shared" si="41"/>
        <v>913329.56000000017</v>
      </c>
      <c r="M85" s="37">
        <f t="shared" si="41"/>
        <v>894078.5900000002</v>
      </c>
      <c r="N85" s="37">
        <f t="shared" si="41"/>
        <v>899586.45000000019</v>
      </c>
      <c r="O85" s="37">
        <f t="shared" si="41"/>
        <v>718411.84870000021</v>
      </c>
      <c r="P85" s="37">
        <f t="shared" si="41"/>
        <v>718411.84870000021</v>
      </c>
      <c r="Q85" s="37">
        <f t="shared" si="41"/>
        <v>718411.84870000021</v>
      </c>
      <c r="R85" s="37">
        <f t="shared" si="41"/>
        <v>718411.84870000021</v>
      </c>
      <c r="S85" s="37">
        <f t="shared" si="41"/>
        <v>718411.84870000021</v>
      </c>
      <c r="T85" s="37">
        <f t="shared" si="41"/>
        <v>850709.56870000018</v>
      </c>
      <c r="U85" s="37">
        <f t="shared" si="41"/>
        <v>882731.40870000026</v>
      </c>
      <c r="V85" s="37">
        <f t="shared" si="41"/>
        <v>589365.26870000013</v>
      </c>
      <c r="W85" s="37">
        <f t="shared" si="41"/>
        <v>589365.26870000013</v>
      </c>
      <c r="X85" s="37">
        <f t="shared" si="41"/>
        <v>589365.26870000013</v>
      </c>
      <c r="Y85" s="37">
        <f t="shared" si="41"/>
        <v>510702.42870000022</v>
      </c>
      <c r="Z85" s="37">
        <f t="shared" si="41"/>
        <v>537154.0787000003</v>
      </c>
      <c r="AA85" s="37">
        <f t="shared" si="41"/>
        <v>516014.20870000025</v>
      </c>
      <c r="AB85" s="37">
        <f t="shared" si="41"/>
        <v>605506.80870000029</v>
      </c>
      <c r="AC85" s="37">
        <f t="shared" si="41"/>
        <v>508349.64870000025</v>
      </c>
      <c r="AD85" s="37">
        <f t="shared" si="41"/>
        <v>531203.2187000002</v>
      </c>
      <c r="AE85" s="37">
        <f t="shared" si="41"/>
        <v>254172.25870000024</v>
      </c>
      <c r="AF85" s="37">
        <f t="shared" si="41"/>
        <v>288024.74870000023</v>
      </c>
      <c r="AG85" s="37">
        <f t="shared" si="41"/>
        <v>205516.96870000026</v>
      </c>
      <c r="AH85" s="37">
        <f>AH77+AH83</f>
        <v>-8603.8512999997038</v>
      </c>
    </row>
    <row r="86" spans="2:34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9"/>
    </row>
    <row r="87" spans="2:34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40"/>
    </row>
    <row r="88" spans="2:34" ht="18.75" x14ac:dyDescent="0.25">
      <c r="B88" s="41"/>
      <c r="C88" s="48" t="s">
        <v>38</v>
      </c>
      <c r="D88" s="49">
        <f>AC5</f>
        <v>41697</v>
      </c>
    </row>
    <row r="89" spans="2:34" ht="18.75" x14ac:dyDescent="0.25">
      <c r="B89" s="41"/>
      <c r="C89" s="50" t="s">
        <v>46</v>
      </c>
      <c r="D89" s="51">
        <f>AC6</f>
        <v>106453.67869999996</v>
      </c>
    </row>
    <row r="90" spans="2:34" ht="18.75" x14ac:dyDescent="0.25">
      <c r="B90" s="41"/>
      <c r="C90" s="50" t="s">
        <v>40</v>
      </c>
      <c r="D90" s="52">
        <f>AC18</f>
        <v>59389.259999999995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40"/>
    </row>
    <row r="91" spans="2:34" ht="18.75" x14ac:dyDescent="0.25">
      <c r="B91" s="41"/>
      <c r="C91" s="50" t="s">
        <v>39</v>
      </c>
      <c r="D91" s="53">
        <f>AC75</f>
        <v>-156728.84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7"/>
      <c r="AD91" s="7"/>
      <c r="AE91" s="7"/>
      <c r="AF91" s="7"/>
      <c r="AG91" s="7"/>
      <c r="AH91" s="40"/>
    </row>
    <row r="92" spans="2:34" ht="21" x14ac:dyDescent="0.3">
      <c r="B92" s="41"/>
      <c r="C92" s="50" t="s">
        <v>93</v>
      </c>
      <c r="D92" s="51">
        <f>SUM(D89:D91)</f>
        <v>9114.0986999999441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</row>
    <row r="93" spans="2:34" ht="18.75" x14ac:dyDescent="0.25">
      <c r="B93" s="41"/>
      <c r="C93" s="50" t="s">
        <v>91</v>
      </c>
      <c r="D93" s="51">
        <v>11907.42</v>
      </c>
      <c r="K93" s="47"/>
      <c r="L93" s="47"/>
      <c r="M93" s="47"/>
      <c r="N93" s="47"/>
      <c r="O93" s="47"/>
      <c r="P93" s="47"/>
    </row>
    <row r="94" spans="2:34" ht="18.75" x14ac:dyDescent="0.25">
      <c r="B94" s="41"/>
      <c r="C94" s="50" t="s">
        <v>92</v>
      </c>
      <c r="D94" s="51">
        <v>47201.73</v>
      </c>
      <c r="K94" s="47"/>
      <c r="L94" s="47"/>
      <c r="M94" s="47"/>
      <c r="N94" s="47"/>
      <c r="O94" s="47"/>
      <c r="P94" s="47"/>
    </row>
    <row r="95" spans="2:34" ht="18.75" x14ac:dyDescent="0.25">
      <c r="B95" s="41"/>
      <c r="C95" s="50" t="s">
        <v>41</v>
      </c>
      <c r="D95" s="51">
        <v>439943.98</v>
      </c>
    </row>
    <row r="96" spans="2:34" ht="19.5" thickBot="1" x14ac:dyDescent="0.3">
      <c r="B96" s="41"/>
      <c r="C96" s="54" t="s">
        <v>42</v>
      </c>
      <c r="D96" s="55">
        <f>SUM(D92:D95)</f>
        <v>508167.22869999992</v>
      </c>
    </row>
  </sheetData>
  <protectedRanges>
    <protectedRange sqref="D82:V82 Z82:AE82" name="Intervalo11"/>
    <protectedRange sqref="D76:AE76" name="Intervalo8"/>
    <protectedRange sqref="P21:AE24 M22:O24 N21:O21 N20:AE20 J20:L20 F21:L24 F20:H20 D20:E24" name="Intervalo3"/>
    <protectedRange sqref="D10:AE10 D11:AG11 G13 D16:AE17 D12:E13 H12:AE13 F12:G12 D14:AG15" name="Intervalo2"/>
    <protectedRange sqref="D7:AE9" name="Intervalo1"/>
    <protectedRange sqref="L38 D37:J39 M37:AE39 K37:L37 K39:L39" name="Intervalo4"/>
    <protectedRange sqref="S52:T52 R54:U67 T69 S68:U68 Z52:AA52 Z64:AC64 S53:V53 AC46:AD46 AE46:AE52 I20 Y47:Y50 AG55 D46:E73 H60 F46:H46 G47:H47 F72:H73 G71:H71 F62:H70 G61:H61 F48:G60 H48:H58 I46:Q73 R46:X51 AA46:AB51 T71:T73 Y51:Z51 R69:S73 U69:U73 Z46:Z49 AC50:AC51 V54:X73 AD54:AE73 AD47:AD53 Y65:AC73 X53:AB53 Y54:AB63 AC54 AC56:AC63" name="Intervalo5"/>
    <protectedRange sqref="AC26:AE33 W26:AB31 X32:AB33 D26:V35 AG34:AG35 W34:AE35" name="Intervalo6"/>
    <protectedRange sqref="W82:Y82" name="Intervalo11_1"/>
    <protectedRange sqref="AC53" name="Intervalo5_1_1"/>
  </protectedRanges>
  <mergeCells count="16"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B2:C2"/>
    <mergeCell ref="S90:T90"/>
    <mergeCell ref="B4:C5"/>
    <mergeCell ref="B7:B18"/>
    <mergeCell ref="B20:B75"/>
    <mergeCell ref="B78:B84"/>
    <mergeCell ref="C87:D87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I96"/>
  <sheetViews>
    <sheetView showGridLines="0" workbookViewId="0" xr3:uid="{842E5F09-E766-5B8D-85AF-A39847EA96FD}">
      <pane xSplit="3" ySplit="6" topLeftCell="L8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customWidth="1"/>
    <col min="8" max="8" width="14.52734375" style="4" customWidth="1"/>
    <col min="9" max="10" width="14.52734375" style="4" hidden="1" customWidth="1"/>
    <col min="11" max="12" width="14.52734375" style="4" bestFit="1" customWidth="1"/>
    <col min="13" max="13" width="12.64453125" style="4" customWidth="1"/>
    <col min="14" max="15" width="14.52734375" style="4" customWidth="1"/>
    <col min="16" max="17" width="14.52734375" style="4" hidden="1" customWidth="1"/>
    <col min="18" max="21" width="14.52734375" style="4" bestFit="1" customWidth="1"/>
    <col min="22" max="22" width="14.52734375" style="4" customWidth="1"/>
    <col min="23" max="24" width="14.52734375" style="4" hidden="1" customWidth="1"/>
    <col min="25" max="26" width="14.52734375" style="4" bestFit="1" customWidth="1"/>
    <col min="27" max="27" width="12.64453125" style="4" customWidth="1"/>
    <col min="28" max="29" width="14.52734375" style="4" customWidth="1"/>
    <col min="30" max="31" width="14.52734375" style="4" hidden="1" customWidth="1"/>
    <col min="32" max="33" width="14.52734375" style="4" customWidth="1"/>
    <col min="34" max="34" width="14.52734375" style="4" hidden="1" customWidth="1"/>
    <col min="35" max="35" width="14.5273437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95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59" t="s">
        <v>87</v>
      </c>
      <c r="J4" s="59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59" t="s">
        <v>87</v>
      </c>
      <c r="Q4" s="59" t="s">
        <v>87</v>
      </c>
      <c r="R4" s="70" t="s">
        <v>97</v>
      </c>
      <c r="S4" s="70" t="s">
        <v>97</v>
      </c>
      <c r="T4" s="70" t="s">
        <v>97</v>
      </c>
      <c r="U4" s="70" t="s">
        <v>97</v>
      </c>
      <c r="V4" s="70" t="s">
        <v>97</v>
      </c>
      <c r="W4" s="59" t="s">
        <v>87</v>
      </c>
      <c r="X4" s="59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59" t="s">
        <v>87</v>
      </c>
      <c r="AE4" s="64" t="s">
        <v>87</v>
      </c>
      <c r="AF4" s="70" t="s">
        <v>97</v>
      </c>
      <c r="AG4" s="70" t="s">
        <v>97</v>
      </c>
      <c r="AH4" s="64" t="s">
        <v>87</v>
      </c>
      <c r="AI4" s="57"/>
    </row>
    <row r="5" spans="2:35" s="11" customFormat="1" x14ac:dyDescent="0.2">
      <c r="B5" s="113"/>
      <c r="C5" s="113"/>
      <c r="D5" s="10">
        <v>42065</v>
      </c>
      <c r="E5" s="10">
        <f>D5+1</f>
        <v>42066</v>
      </c>
      <c r="F5" s="10">
        <f t="shared" ref="F5:AH5" si="0">E5+1</f>
        <v>42067</v>
      </c>
      <c r="G5" s="10">
        <f t="shared" si="0"/>
        <v>42068</v>
      </c>
      <c r="H5" s="10">
        <f t="shared" si="0"/>
        <v>42069</v>
      </c>
      <c r="I5" s="10">
        <f t="shared" si="0"/>
        <v>42070</v>
      </c>
      <c r="J5" s="10">
        <f t="shared" si="0"/>
        <v>42071</v>
      </c>
      <c r="K5" s="10">
        <f t="shared" si="0"/>
        <v>42072</v>
      </c>
      <c r="L5" s="10">
        <f t="shared" si="0"/>
        <v>42073</v>
      </c>
      <c r="M5" s="10">
        <f t="shared" si="0"/>
        <v>42074</v>
      </c>
      <c r="N5" s="10">
        <f t="shared" si="0"/>
        <v>42075</v>
      </c>
      <c r="O5" s="10">
        <f t="shared" si="0"/>
        <v>42076</v>
      </c>
      <c r="P5" s="10">
        <f t="shared" si="0"/>
        <v>42077</v>
      </c>
      <c r="Q5" s="10">
        <f t="shared" si="0"/>
        <v>42078</v>
      </c>
      <c r="R5" s="10">
        <f t="shared" si="0"/>
        <v>42079</v>
      </c>
      <c r="S5" s="10">
        <f t="shared" si="0"/>
        <v>42080</v>
      </c>
      <c r="T5" s="10">
        <f t="shared" si="0"/>
        <v>42081</v>
      </c>
      <c r="U5" s="10">
        <f t="shared" si="0"/>
        <v>42082</v>
      </c>
      <c r="V5" s="10">
        <f t="shared" si="0"/>
        <v>42083</v>
      </c>
      <c r="W5" s="10">
        <f t="shared" si="0"/>
        <v>42084</v>
      </c>
      <c r="X5" s="10">
        <f t="shared" si="0"/>
        <v>42085</v>
      </c>
      <c r="Y5" s="10">
        <f t="shared" si="0"/>
        <v>42086</v>
      </c>
      <c r="Z5" s="10">
        <f t="shared" si="0"/>
        <v>42087</v>
      </c>
      <c r="AA5" s="10">
        <f t="shared" si="0"/>
        <v>42088</v>
      </c>
      <c r="AB5" s="10">
        <f t="shared" si="0"/>
        <v>42089</v>
      </c>
      <c r="AC5" s="10">
        <f t="shared" ref="AC5" si="1">AB5+1</f>
        <v>42090</v>
      </c>
      <c r="AD5" s="10">
        <f t="shared" ref="AD5" si="2">AC5+1</f>
        <v>42091</v>
      </c>
      <c r="AE5" s="10">
        <f t="shared" si="0"/>
        <v>42092</v>
      </c>
      <c r="AF5" s="10">
        <f t="shared" si="0"/>
        <v>42093</v>
      </c>
      <c r="AG5" s="10">
        <f t="shared" si="0"/>
        <v>42094</v>
      </c>
      <c r="AH5" s="10">
        <f t="shared" si="0"/>
        <v>42095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Fev!AC77</f>
        <v>9114.0986999999441</v>
      </c>
      <c r="E6" s="13">
        <f t="shared" ref="E6:AH6" si="3">D77</f>
        <v>80963.658699999971</v>
      </c>
      <c r="F6" s="13">
        <f t="shared" si="3"/>
        <v>115898.68869999997</v>
      </c>
      <c r="G6" s="13">
        <f t="shared" si="3"/>
        <v>81249.328699999955</v>
      </c>
      <c r="H6" s="13">
        <f t="shared" si="3"/>
        <v>126891.72869999995</v>
      </c>
      <c r="I6" s="13">
        <f t="shared" ref="I6" si="4">H77</f>
        <v>132739.15869999997</v>
      </c>
      <c r="J6" s="13">
        <f t="shared" ref="J6" si="5">I77</f>
        <v>132739.15869999997</v>
      </c>
      <c r="K6" s="13">
        <f t="shared" ref="K6" si="6">J77</f>
        <v>132739.15869999997</v>
      </c>
      <c r="L6" s="13">
        <f t="shared" ref="L6" si="7">K77</f>
        <v>222786.48869999996</v>
      </c>
      <c r="M6" s="13">
        <f t="shared" ref="M6" si="8">L77</f>
        <v>243465.05869999994</v>
      </c>
      <c r="N6" s="13">
        <f t="shared" ref="N6" si="9">M77</f>
        <v>231140.85869999992</v>
      </c>
      <c r="O6" s="13">
        <f t="shared" si="3"/>
        <v>282289.80869999994</v>
      </c>
      <c r="P6" s="13">
        <f t="shared" si="3"/>
        <v>247709.30869999991</v>
      </c>
      <c r="Q6" s="13">
        <f t="shared" si="3"/>
        <v>247709.30869999991</v>
      </c>
      <c r="R6" s="13">
        <f t="shared" si="3"/>
        <v>247709.30869999991</v>
      </c>
      <c r="S6" s="13">
        <f t="shared" si="3"/>
        <v>393147.43869999994</v>
      </c>
      <c r="T6" s="13">
        <f t="shared" si="3"/>
        <v>517070.17869999993</v>
      </c>
      <c r="U6" s="13">
        <f t="shared" si="3"/>
        <v>453859.23869999993</v>
      </c>
      <c r="V6" s="13">
        <f t="shared" si="3"/>
        <v>484880.0186999999</v>
      </c>
      <c r="W6" s="13">
        <f t="shared" si="3"/>
        <v>43464.448699999833</v>
      </c>
      <c r="X6" s="13">
        <f t="shared" si="3"/>
        <v>43464.448699999833</v>
      </c>
      <c r="Y6" s="13">
        <f t="shared" si="3"/>
        <v>43464.448699999833</v>
      </c>
      <c r="Z6" s="13">
        <f t="shared" si="3"/>
        <v>115135.62869999983</v>
      </c>
      <c r="AA6" s="13">
        <f t="shared" ref="AA6" si="10">Z77</f>
        <v>154004.84869999983</v>
      </c>
      <c r="AB6" s="13">
        <f t="shared" ref="AB6" si="11">AA77</f>
        <v>131770.86869999982</v>
      </c>
      <c r="AC6" s="13">
        <f t="shared" ref="AC6" si="12">AB77</f>
        <v>151891.17869999981</v>
      </c>
      <c r="AD6" s="13">
        <f t="shared" ref="AD6" si="13">AC77</f>
        <v>149223.5386999998</v>
      </c>
      <c r="AE6" s="13">
        <f t="shared" si="3"/>
        <v>149223.5386999998</v>
      </c>
      <c r="AF6" s="13">
        <f t="shared" si="3"/>
        <v>149223.5386999998</v>
      </c>
      <c r="AG6" s="13">
        <f t="shared" si="3"/>
        <v>14381.178699999786</v>
      </c>
      <c r="AH6" s="13">
        <f t="shared" si="3"/>
        <v>141151.20869999981</v>
      </c>
      <c r="AI6" s="13">
        <f>D6</f>
        <v>9114.0986999999441</v>
      </c>
    </row>
    <row r="7" spans="2:35" ht="16.5" customHeight="1" x14ac:dyDescent="0.2">
      <c r="B7" s="114" t="s">
        <v>2</v>
      </c>
      <c r="C7" s="14" t="s">
        <v>50</v>
      </c>
      <c r="D7" s="15">
        <f>372+370+279.09</f>
        <v>1021.0899999999999</v>
      </c>
      <c r="E7" s="15">
        <f>1053+35.2+318.15+80</f>
        <v>1486.35</v>
      </c>
      <c r="F7" s="15">
        <f>280+409</f>
        <v>689</v>
      </c>
      <c r="G7" s="15">
        <f>11105+320</f>
        <v>11425</v>
      </c>
      <c r="H7" s="15"/>
      <c r="I7" s="15"/>
      <c r="J7" s="15"/>
      <c r="K7" s="15">
        <f>443+426.3</f>
        <v>869.3</v>
      </c>
      <c r="L7" s="15"/>
      <c r="M7" s="15"/>
      <c r="N7" s="15">
        <f>219</f>
        <v>219</v>
      </c>
      <c r="O7" s="15"/>
      <c r="P7" s="15"/>
      <c r="Q7" s="15"/>
      <c r="R7" s="15">
        <f>351+699.3</f>
        <v>1050.3</v>
      </c>
      <c r="S7" s="15"/>
      <c r="T7" s="15">
        <f>280+420</f>
        <v>700</v>
      </c>
      <c r="U7" s="15">
        <f>280+438</f>
        <v>718</v>
      </c>
      <c r="V7" s="15">
        <f>491+4604+12165+1500+280+289.8</f>
        <v>19329.8</v>
      </c>
      <c r="W7" s="15"/>
      <c r="X7" s="15"/>
      <c r="Y7" s="15">
        <f>346.5</f>
        <v>346.5</v>
      </c>
      <c r="Z7" s="15"/>
      <c r="AA7" s="15"/>
      <c r="AB7" s="15"/>
      <c r="AC7" s="15">
        <f>230+1480.5</f>
        <v>1710.5</v>
      </c>
      <c r="AD7" s="15"/>
      <c r="AE7" s="15"/>
      <c r="AF7" s="15">
        <f>2722.65+1008</f>
        <v>3730.65</v>
      </c>
      <c r="AG7" s="15"/>
      <c r="AH7" s="15"/>
      <c r="AI7" s="16">
        <f>SUM(D7:AG7)</f>
        <v>43295.49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2235.34+1121.83+312.54+468.79+77.3+147.26+199.6+204.26+274.42+288.6+664.9+1495.15+2035.88</f>
        <v>9525.8700000000026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f>2871.78+70.4+214.82+258.17+261.63+414.49+604.75+659.59+668.35+950.7+1032.46+1403.55+1444.51+1478.66+1684+2858.4+2907.43+3050.28+3253.94-1302.2</f>
        <v>24785.71</v>
      </c>
      <c r="AH8" s="18"/>
      <c r="AI8" s="16">
        <f t="shared" ref="AI8:AI17" si="14">SUM(D8:AG8)</f>
        <v>34311.58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14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20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14"/>
        <v>0</v>
      </c>
    </row>
    <row r="11" spans="2:35" ht="16.5" customHeight="1" x14ac:dyDescent="0.2">
      <c r="B11" s="115"/>
      <c r="C11" s="17" t="s">
        <v>53</v>
      </c>
      <c r="D11" s="18">
        <f>37553.29+3379.53+19759.95</f>
        <v>60692.770000000004</v>
      </c>
      <c r="E11" s="18">
        <f>13421.55+403.6+489.72</f>
        <v>14314.869999999999</v>
      </c>
      <c r="F11" s="18">
        <f>1771.02+2192.4+25000</f>
        <v>28963.42</v>
      </c>
      <c r="G11" s="18">
        <f>9212+365.4+665.7+1638.51</f>
        <v>11881.61</v>
      </c>
      <c r="H11" s="18">
        <f>1627.5+3236.89+416.35</f>
        <v>5280.74</v>
      </c>
      <c r="I11" s="18"/>
      <c r="J11" s="18"/>
      <c r="K11" s="18">
        <f>166959.54+1076.46+1208.9+2179.1+1671.9</f>
        <v>173095.9</v>
      </c>
      <c r="L11" s="18">
        <f>33959.7+16707.04</f>
        <v>50666.74</v>
      </c>
      <c r="M11" s="18">
        <f>1499.2</f>
        <v>1499.2</v>
      </c>
      <c r="N11" s="18">
        <f>15054.25+775.05</f>
        <v>15829.3</v>
      </c>
      <c r="O11" s="18">
        <f>10658.41+932.4</f>
        <v>11590.81</v>
      </c>
      <c r="P11" s="18"/>
      <c r="Q11" s="18"/>
      <c r="R11" s="18">
        <f>15096.04+5082+3954</f>
        <v>24132.04</v>
      </c>
      <c r="S11" s="18">
        <f>95977.88+708.74+14559.3</f>
        <v>111245.92000000001</v>
      </c>
      <c r="T11" s="18">
        <f>320.25</f>
        <v>320.25</v>
      </c>
      <c r="U11" s="18">
        <f>396.1</f>
        <v>396.1</v>
      </c>
      <c r="V11" s="18">
        <f>17855.61+330.75+3645.86</f>
        <v>21832.22</v>
      </c>
      <c r="W11" s="18"/>
      <c r="X11" s="18"/>
      <c r="Y11" s="18">
        <f>10743.92+4794.6+3929.87+20000</f>
        <v>39468.39</v>
      </c>
      <c r="Z11" s="18">
        <f>23793.21+274.31+744.59</f>
        <v>24812.11</v>
      </c>
      <c r="AA11" s="18">
        <f>6428.06</f>
        <v>6428.06</v>
      </c>
      <c r="AB11" s="18">
        <f>9455.06+553.63</f>
        <v>10008.689999999999</v>
      </c>
      <c r="AC11" s="18">
        <f>7013.71</f>
        <v>7013.71</v>
      </c>
      <c r="AD11" s="18"/>
      <c r="AE11" s="18"/>
      <c r="AF11" s="18">
        <f>8044.05+8400+843.92+579.6</f>
        <v>17867.569999999996</v>
      </c>
      <c r="AG11" s="18">
        <f>68285.97+5910.49+5508.21+3222.68+1875.9+3273.27+579.6</f>
        <v>88656.12000000001</v>
      </c>
      <c r="AH11" s="18"/>
      <c r="AI11" s="16">
        <f t="shared" si="14"/>
        <v>725996.5399999998</v>
      </c>
    </row>
    <row r="12" spans="2:35" ht="16.5" customHeight="1" x14ac:dyDescent="0.2">
      <c r="B12" s="115"/>
      <c r="C12" s="17" t="s">
        <v>90</v>
      </c>
      <c r="D12" s="18">
        <v>1.36</v>
      </c>
      <c r="E12" s="18">
        <v>2.0099999999999998</v>
      </c>
      <c r="F12" s="18">
        <v>1.43</v>
      </c>
      <c r="G12" s="18">
        <v>2.2799999999999998</v>
      </c>
      <c r="H12" s="18">
        <v>2.35</v>
      </c>
      <c r="I12" s="18"/>
      <c r="J12" s="18"/>
      <c r="K12" s="18">
        <v>4.05</v>
      </c>
      <c r="L12" s="18">
        <v>4.45</v>
      </c>
      <c r="M12" s="18">
        <v>4.2300000000000004</v>
      </c>
      <c r="N12" s="18">
        <f>358.56+5.15</f>
        <v>363.71</v>
      </c>
      <c r="O12" s="18">
        <v>4.5</v>
      </c>
      <c r="P12" s="18"/>
      <c r="Q12" s="18"/>
      <c r="R12" s="18">
        <v>7.16</v>
      </c>
      <c r="S12" s="18">
        <v>9.41</v>
      </c>
      <c r="T12" s="18">
        <v>8.31</v>
      </c>
      <c r="U12" s="18">
        <v>8.81</v>
      </c>
      <c r="V12" s="18">
        <v>0.79</v>
      </c>
      <c r="W12" s="18"/>
      <c r="X12" s="18"/>
      <c r="Y12" s="18">
        <v>2.13</v>
      </c>
      <c r="Z12" s="18">
        <v>2.79</v>
      </c>
      <c r="AA12" s="18">
        <v>2.41</v>
      </c>
      <c r="AB12" s="18">
        <f>366.3+2.78</f>
        <v>369.08</v>
      </c>
      <c r="AC12" s="18">
        <f>445.5+75+564.71+2.71</f>
        <v>1087.92</v>
      </c>
      <c r="AD12" s="18"/>
      <c r="AE12" s="18"/>
      <c r="AF12" s="18">
        <f>187.5+0.27</f>
        <v>187.77</v>
      </c>
      <c r="AG12" s="18">
        <f>26.24+520.82+2.57</f>
        <v>549.63000000000011</v>
      </c>
      <c r="AH12" s="18"/>
      <c r="AI12" s="16">
        <f t="shared" si="14"/>
        <v>2626.5800000000004</v>
      </c>
    </row>
    <row r="13" spans="2:35" ht="16.5" customHeight="1" x14ac:dyDescent="0.2">
      <c r="B13" s="115"/>
      <c r="C13" s="17" t="s">
        <v>49</v>
      </c>
      <c r="D13" s="18">
        <v>4042.67</v>
      </c>
      <c r="E13" s="18">
        <v>1779.38</v>
      </c>
      <c r="F13" s="18">
        <v>3884.19</v>
      </c>
      <c r="G13" s="18">
        <v>5967.15</v>
      </c>
      <c r="H13" s="18">
        <v>817.91</v>
      </c>
      <c r="I13" s="18"/>
      <c r="J13" s="18"/>
      <c r="K13" s="18">
        <v>2696</v>
      </c>
      <c r="L13" s="18">
        <v>2653.02</v>
      </c>
      <c r="M13" s="18">
        <v>5838.32</v>
      </c>
      <c r="N13" s="18">
        <v>15116.94</v>
      </c>
      <c r="O13" s="18">
        <v>4161.9799999999996</v>
      </c>
      <c r="P13" s="18"/>
      <c r="Q13" s="18"/>
      <c r="R13" s="18">
        <v>15329.67</v>
      </c>
      <c r="S13" s="18"/>
      <c r="T13" s="18">
        <v>418.19</v>
      </c>
      <c r="U13" s="18">
        <v>5189.74</v>
      </c>
      <c r="V13" s="18">
        <v>177.91</v>
      </c>
      <c r="W13" s="18"/>
      <c r="X13" s="18"/>
      <c r="Y13" s="18">
        <f>749.57</f>
        <v>749.57</v>
      </c>
      <c r="Z13" s="18">
        <v>1764.88</v>
      </c>
      <c r="AA13" s="18">
        <v>6298.27</v>
      </c>
      <c r="AB13" s="18">
        <v>630.95000000000005</v>
      </c>
      <c r="AC13" s="18">
        <v>3502.51</v>
      </c>
      <c r="AD13" s="18"/>
      <c r="AE13" s="18"/>
      <c r="AF13" s="18">
        <v>7533.97</v>
      </c>
      <c r="AG13" s="18">
        <v>14.44</v>
      </c>
      <c r="AH13" s="18"/>
      <c r="AI13" s="16">
        <f t="shared" si="14"/>
        <v>88567.660000000018</v>
      </c>
    </row>
    <row r="14" spans="2:35" ht="16.5" customHeight="1" x14ac:dyDescent="0.2">
      <c r="B14" s="115"/>
      <c r="C14" s="17" t="s">
        <v>54</v>
      </c>
      <c r="D14" s="18">
        <v>2292.23</v>
      </c>
      <c r="E14" s="18">
        <v>1932.17</v>
      </c>
      <c r="F14" s="18">
        <v>280.13</v>
      </c>
      <c r="G14" s="18">
        <v>33.36</v>
      </c>
      <c r="H14" s="18">
        <v>2080.54</v>
      </c>
      <c r="I14" s="18"/>
      <c r="J14" s="18"/>
      <c r="K14" s="18">
        <f>2438.14</f>
        <v>2438.14</v>
      </c>
      <c r="L14" s="18">
        <v>154.83000000000001</v>
      </c>
      <c r="M14" s="18">
        <v>173.43</v>
      </c>
      <c r="N14" s="18">
        <v>252.16</v>
      </c>
      <c r="O14" s="18">
        <v>1173.08</v>
      </c>
      <c r="P14" s="18"/>
      <c r="Q14" s="18"/>
      <c r="R14" s="18">
        <v>2284.33</v>
      </c>
      <c r="S14" s="18">
        <v>1395.07</v>
      </c>
      <c r="T14" s="18">
        <v>235.69</v>
      </c>
      <c r="U14" s="18">
        <v>764.03</v>
      </c>
      <c r="V14" s="18"/>
      <c r="W14" s="18"/>
      <c r="X14" s="18"/>
      <c r="Y14" s="18">
        <v>3419.3</v>
      </c>
      <c r="Z14" s="18">
        <f>1825.77</f>
        <v>1825.77</v>
      </c>
      <c r="AA14" s="18">
        <v>389.43</v>
      </c>
      <c r="AB14" s="18">
        <v>609.08000000000004</v>
      </c>
      <c r="AC14" s="18">
        <v>1954.35</v>
      </c>
      <c r="AD14" s="18"/>
      <c r="AE14" s="18"/>
      <c r="AF14" s="18">
        <v>8407.48</v>
      </c>
      <c r="AG14" s="18">
        <v>725.81</v>
      </c>
      <c r="AH14" s="18"/>
      <c r="AI14" s="16">
        <f t="shared" si="14"/>
        <v>32820.410000000003</v>
      </c>
    </row>
    <row r="15" spans="2:35" ht="16.5" customHeight="1" x14ac:dyDescent="0.2">
      <c r="B15" s="115"/>
      <c r="C15" s="17" t="s">
        <v>55</v>
      </c>
      <c r="D15" s="18">
        <f>1106.29+553.74</f>
        <v>1660.03</v>
      </c>
      <c r="E15" s="18">
        <f>26.29+555.58</f>
        <v>581.87</v>
      </c>
      <c r="F15" s="18">
        <v>1661.12</v>
      </c>
      <c r="G15" s="18">
        <f>81.73+74.57</f>
        <v>156.30000000000001</v>
      </c>
      <c r="H15" s="18">
        <v>161.13</v>
      </c>
      <c r="I15" s="18"/>
      <c r="J15" s="18"/>
      <c r="K15" s="18">
        <f>1990.08+123.38</f>
        <v>2113.46</v>
      </c>
      <c r="L15" s="18"/>
      <c r="M15" s="18">
        <v>762.88</v>
      </c>
      <c r="N15" s="18">
        <v>88.55</v>
      </c>
      <c r="O15" s="18">
        <v>356.77</v>
      </c>
      <c r="P15" s="18"/>
      <c r="Q15" s="18"/>
      <c r="R15" s="18">
        <f>4338.57+3.92</f>
        <v>4342.49</v>
      </c>
      <c r="S15" s="18">
        <v>212.28</v>
      </c>
      <c r="T15" s="18">
        <v>202.67</v>
      </c>
      <c r="U15" s="18">
        <f>1214.09+17.66</f>
        <v>1231.75</v>
      </c>
      <c r="V15" s="18"/>
      <c r="W15" s="18"/>
      <c r="X15" s="18"/>
      <c r="Y15" s="18">
        <f>845+923.51</f>
        <v>1768.51</v>
      </c>
      <c r="Z15" s="18">
        <f>643.67</f>
        <v>643.66999999999996</v>
      </c>
      <c r="AA15" s="18">
        <f>319.18</f>
        <v>319.18</v>
      </c>
      <c r="AB15" s="18">
        <v>99.83</v>
      </c>
      <c r="AC15" s="18">
        <f>535.01+103.03</f>
        <v>638.04</v>
      </c>
      <c r="AD15" s="18"/>
      <c r="AE15" s="18"/>
      <c r="AF15" s="18">
        <f>4265.26+154.54</f>
        <v>4419.8</v>
      </c>
      <c r="AG15" s="18">
        <f>630.97+459.64</f>
        <v>1090.6100000000001</v>
      </c>
      <c r="AH15" s="18"/>
      <c r="AI15" s="16">
        <f t="shared" si="14"/>
        <v>22510.940000000002</v>
      </c>
    </row>
    <row r="16" spans="2:35" ht="16.5" customHeight="1" x14ac:dyDescent="0.2">
      <c r="B16" s="115"/>
      <c r="C16" s="17" t="s">
        <v>56</v>
      </c>
      <c r="D16" s="18">
        <f>42876.1</f>
        <v>42876.1</v>
      </c>
      <c r="E16" s="18">
        <v>9151.35</v>
      </c>
      <c r="F16" s="18">
        <v>8631.59</v>
      </c>
      <c r="G16" s="18">
        <v>15369.36</v>
      </c>
      <c r="H16" s="18">
        <v>5816.61</v>
      </c>
      <c r="I16" s="18"/>
      <c r="K16" s="18">
        <v>54732</v>
      </c>
      <c r="L16" s="18">
        <f>8870.34</f>
        <v>8870.34</v>
      </c>
      <c r="M16" s="18">
        <v>24269.26</v>
      </c>
      <c r="N16" s="18">
        <v>36640.160000000003</v>
      </c>
      <c r="O16" s="18">
        <f>3909.78</f>
        <v>3909.78</v>
      </c>
      <c r="P16" s="18"/>
      <c r="Q16" s="18"/>
      <c r="R16" s="18">
        <v>63219.3</v>
      </c>
      <c r="S16" s="18">
        <v>2632.25</v>
      </c>
      <c r="T16" s="18">
        <v>8798.18</v>
      </c>
      <c r="U16" s="18">
        <v>20872.13</v>
      </c>
      <c r="V16" s="18">
        <v>3898.07</v>
      </c>
      <c r="W16" s="18"/>
      <c r="X16" s="18"/>
      <c r="Y16" s="18">
        <v>40781.769999999997</v>
      </c>
      <c r="Z16" s="18">
        <v>9543.85</v>
      </c>
      <c r="AA16" s="18">
        <v>15791.05</v>
      </c>
      <c r="AB16" s="18">
        <v>5841.73</v>
      </c>
      <c r="AC16" s="18">
        <v>8492.9699999999993</v>
      </c>
      <c r="AD16" s="18"/>
      <c r="AE16" s="18"/>
      <c r="AF16" s="18">
        <v>20832.87</v>
      </c>
      <c r="AG16" s="18">
        <v>8497.98</v>
      </c>
      <c r="AH16" s="18"/>
      <c r="AI16" s="16">
        <f t="shared" si="14"/>
        <v>419468.69999999995</v>
      </c>
    </row>
    <row r="17" spans="2:35" ht="16.5" customHeight="1" x14ac:dyDescent="0.2">
      <c r="B17" s="115"/>
      <c r="C17" s="17" t="s">
        <v>48</v>
      </c>
      <c r="D17" s="18">
        <f>14352.02+25.09</f>
        <v>14377.11</v>
      </c>
      <c r="E17" s="18">
        <v>5924.46</v>
      </c>
      <c r="F17" s="18">
        <v>3674.99</v>
      </c>
      <c r="G17" s="18">
        <v>885.28</v>
      </c>
      <c r="H17" s="18">
        <v>458.29</v>
      </c>
      <c r="I17" s="18"/>
      <c r="J17" s="18"/>
      <c r="K17" s="18">
        <f>15300.4+408.41</f>
        <v>15708.81</v>
      </c>
      <c r="L17" s="18">
        <f>120.86+763.58</f>
        <v>884.44</v>
      </c>
      <c r="M17" s="18">
        <v>2644.6</v>
      </c>
      <c r="N17" s="18">
        <v>5161.54</v>
      </c>
      <c r="O17" s="18">
        <v>29504.880000000001</v>
      </c>
      <c r="P17" s="18"/>
      <c r="Q17" s="18"/>
      <c r="R17" s="18">
        <f>48763.14+677.57</f>
        <v>49440.71</v>
      </c>
      <c r="S17" s="18">
        <f>5781.26+2767.45</f>
        <v>8548.7099999999991</v>
      </c>
      <c r="T17" s="18">
        <v>1522.68</v>
      </c>
      <c r="U17" s="18">
        <v>1880.42</v>
      </c>
      <c r="V17" s="18">
        <v>8011.83</v>
      </c>
      <c r="W17" s="18"/>
      <c r="X17" s="18"/>
      <c r="Y17" s="18">
        <v>9389.2000000000007</v>
      </c>
      <c r="Z17" s="18">
        <v>414.88</v>
      </c>
      <c r="AA17" s="18">
        <v>6996.33</v>
      </c>
      <c r="AB17" s="18">
        <v>2560.9499999999998</v>
      </c>
      <c r="AC17" s="18">
        <v>2117.77</v>
      </c>
      <c r="AD17" s="18"/>
      <c r="AE17" s="18"/>
      <c r="AF17" s="18">
        <v>7020.29</v>
      </c>
      <c r="AG17" s="18">
        <v>2759.94</v>
      </c>
      <c r="AH17" s="18"/>
      <c r="AI17" s="16">
        <f t="shared" si="14"/>
        <v>179888.11</v>
      </c>
    </row>
    <row r="18" spans="2:35" ht="16.5" customHeight="1" x14ac:dyDescent="0.2">
      <c r="B18" s="115"/>
      <c r="C18" s="21" t="s">
        <v>31</v>
      </c>
      <c r="D18" s="22">
        <f>SUM(D7:D17)</f>
        <v>126963.36</v>
      </c>
      <c r="E18" s="22">
        <f t="shared" ref="E18:AH18" si="15">SUM(E7:E17)</f>
        <v>35172.46</v>
      </c>
      <c r="F18" s="22">
        <f t="shared" si="15"/>
        <v>47785.87</v>
      </c>
      <c r="G18" s="22">
        <f t="shared" si="15"/>
        <v>45720.34</v>
      </c>
      <c r="H18" s="22">
        <f t="shared" si="15"/>
        <v>14617.57</v>
      </c>
      <c r="I18" s="22">
        <f t="shared" si="15"/>
        <v>0</v>
      </c>
      <c r="J18" s="22">
        <f t="shared" si="15"/>
        <v>0</v>
      </c>
      <c r="K18" s="22">
        <f t="shared" si="15"/>
        <v>251657.65999999997</v>
      </c>
      <c r="L18" s="22">
        <f t="shared" si="15"/>
        <v>63233.819999999992</v>
      </c>
      <c r="M18" s="22">
        <f t="shared" si="15"/>
        <v>35191.919999999998</v>
      </c>
      <c r="N18" s="22">
        <f t="shared" si="15"/>
        <v>73671.360000000001</v>
      </c>
      <c r="O18" s="22">
        <f t="shared" si="15"/>
        <v>60227.67</v>
      </c>
      <c r="P18" s="22">
        <f t="shared" si="15"/>
        <v>0</v>
      </c>
      <c r="Q18" s="22">
        <f t="shared" si="15"/>
        <v>0</v>
      </c>
      <c r="R18" s="22">
        <f t="shared" si="15"/>
        <v>159806</v>
      </c>
      <c r="S18" s="22">
        <f t="shared" si="15"/>
        <v>124043.64000000001</v>
      </c>
      <c r="T18" s="22">
        <f t="shared" si="15"/>
        <v>12205.970000000001</v>
      </c>
      <c r="U18" s="22">
        <f t="shared" si="15"/>
        <v>31060.980000000003</v>
      </c>
      <c r="V18" s="22">
        <f t="shared" si="15"/>
        <v>53250.62000000001</v>
      </c>
      <c r="W18" s="22">
        <f t="shared" si="15"/>
        <v>0</v>
      </c>
      <c r="X18" s="22">
        <f t="shared" si="15"/>
        <v>0</v>
      </c>
      <c r="Y18" s="22">
        <f t="shared" si="15"/>
        <v>95925.37</v>
      </c>
      <c r="Z18" s="22">
        <f t="shared" si="15"/>
        <v>39007.949999999997</v>
      </c>
      <c r="AA18" s="22">
        <f t="shared" si="15"/>
        <v>36224.730000000003</v>
      </c>
      <c r="AB18" s="22">
        <f t="shared" si="15"/>
        <v>20120.310000000001</v>
      </c>
      <c r="AC18" s="22">
        <f t="shared" si="15"/>
        <v>26517.77</v>
      </c>
      <c r="AD18" s="22">
        <f t="shared" si="15"/>
        <v>0</v>
      </c>
      <c r="AE18" s="22">
        <f t="shared" si="15"/>
        <v>0</v>
      </c>
      <c r="AF18" s="22">
        <f t="shared" si="15"/>
        <v>70000.399999999994</v>
      </c>
      <c r="AG18" s="22">
        <f t="shared" si="15"/>
        <v>127080.24000000002</v>
      </c>
      <c r="AH18" s="22">
        <f t="shared" si="15"/>
        <v>0</v>
      </c>
      <c r="AI18" s="23">
        <f>SUM(D18:AG18)</f>
        <v>1549486.0100000002</v>
      </c>
    </row>
    <row r="19" spans="2:35" ht="16.5" customHeight="1" x14ac:dyDescent="0.2">
      <c r="B19" s="24"/>
      <c r="C19" s="17" t="s">
        <v>89</v>
      </c>
      <c r="D19" s="18"/>
      <c r="E19" s="18"/>
      <c r="F19" s="4">
        <f>49213.04+875.6</f>
        <v>50088.639999999999</v>
      </c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>
        <v>16000</v>
      </c>
      <c r="AB19" s="18"/>
      <c r="AC19" s="18">
        <v>25000</v>
      </c>
      <c r="AD19" s="18"/>
      <c r="AF19" s="18">
        <v>50000</v>
      </c>
      <c r="AH19" s="18"/>
      <c r="AI19" s="19">
        <f>SUM(D19:AF19)</f>
        <v>141088.64000000001</v>
      </c>
    </row>
    <row r="20" spans="2:35" ht="16.5" customHeight="1" x14ac:dyDescent="0.2">
      <c r="B20" s="116" t="s">
        <v>8</v>
      </c>
      <c r="C20" s="25" t="s">
        <v>58</v>
      </c>
      <c r="D20" s="26"/>
      <c r="E20" s="26"/>
      <c r="F20" s="26">
        <f>6992.84+2756.88</f>
        <v>9749.7200000000012</v>
      </c>
      <c r="G20" s="2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16">SUM(D20:AG20)</f>
        <v>9749.7200000000012</v>
      </c>
    </row>
    <row r="21" spans="2:35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N21" s="26"/>
      <c r="O21" s="26">
        <f>34224.45+862.4+39829</f>
        <v>74915.850000000006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35727.09+2158.2+38621+1073.73-355.3</f>
        <v>77224.719999999987</v>
      </c>
      <c r="AG21" s="26"/>
      <c r="AH21" s="26"/>
      <c r="AI21" s="19">
        <f t="shared" si="16"/>
        <v>152140.57</v>
      </c>
    </row>
    <row r="22" spans="2:35" ht="16.5" customHeight="1" x14ac:dyDescent="0.2">
      <c r="B22" s="117"/>
      <c r="C22" s="25" t="s">
        <v>59</v>
      </c>
      <c r="D22" s="26"/>
      <c r="E22" s="26"/>
      <c r="F22" s="26">
        <f>1.98</f>
        <v>1.98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16"/>
        <v>1.98</v>
      </c>
    </row>
    <row r="23" spans="2:35" ht="16.5" customHeight="1" x14ac:dyDescent="0.2">
      <c r="B23" s="117"/>
      <c r="C23" s="25" t="s">
        <v>60</v>
      </c>
      <c r="D23" s="26"/>
      <c r="E23" s="26"/>
      <c r="F23" s="26">
        <f>2207.11</f>
        <v>2207.11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16"/>
        <v>2207.11</v>
      </c>
    </row>
    <row r="24" spans="2:35" ht="16.5" customHeight="1" x14ac:dyDescent="0.2">
      <c r="B24" s="117"/>
      <c r="C24" s="25" t="s">
        <v>17</v>
      </c>
      <c r="D24" s="26"/>
      <c r="E24" s="26"/>
      <c r="F24" s="26">
        <f>450.36+1073.73</f>
        <v>1524.0900000000001</v>
      </c>
      <c r="G24" s="26"/>
      <c r="H24" s="26"/>
      <c r="I24" s="26"/>
      <c r="J24" s="26"/>
      <c r="L24" s="26"/>
      <c r="M24" s="26"/>
      <c r="N24" s="26"/>
      <c r="O24" s="26">
        <f>108.49</f>
        <v>108.49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16"/>
        <v>1632.5800000000002</v>
      </c>
    </row>
    <row r="25" spans="2:35" ht="16.5" customHeight="1" x14ac:dyDescent="0.2">
      <c r="B25" s="117"/>
      <c r="C25" s="28" t="s">
        <v>62</v>
      </c>
      <c r="D25" s="29">
        <f t="shared" ref="D25:AH25" si="17">-SUM(D19:D24)</f>
        <v>0</v>
      </c>
      <c r="E25" s="29">
        <f t="shared" si="17"/>
        <v>0</v>
      </c>
      <c r="F25" s="29">
        <f t="shared" si="17"/>
        <v>-63571.540000000008</v>
      </c>
      <c r="G25" s="29">
        <f t="shared" si="17"/>
        <v>0</v>
      </c>
      <c r="H25" s="29">
        <f>-SUM(H19:H24)</f>
        <v>0</v>
      </c>
      <c r="I25" s="29">
        <f t="shared" si="17"/>
        <v>0</v>
      </c>
      <c r="J25" s="29">
        <f t="shared" si="17"/>
        <v>0</v>
      </c>
      <c r="K25" s="29">
        <f t="shared" si="17"/>
        <v>0</v>
      </c>
      <c r="L25" s="29">
        <f t="shared" si="17"/>
        <v>0</v>
      </c>
      <c r="M25" s="29">
        <f>-SUM(M19:M24)</f>
        <v>0</v>
      </c>
      <c r="N25" s="29">
        <f t="shared" si="17"/>
        <v>0</v>
      </c>
      <c r="O25" s="29">
        <f t="shared" si="17"/>
        <v>-75024.340000000011</v>
      </c>
      <c r="P25" s="29">
        <f t="shared" si="17"/>
        <v>0</v>
      </c>
      <c r="Q25" s="29">
        <f t="shared" si="17"/>
        <v>0</v>
      </c>
      <c r="R25" s="29">
        <f>-SUM(R19:R24)</f>
        <v>0</v>
      </c>
      <c r="S25" s="29">
        <f t="shared" si="17"/>
        <v>0</v>
      </c>
      <c r="T25" s="29">
        <f>-SUM(T19:T24)</f>
        <v>0</v>
      </c>
      <c r="U25" s="29">
        <f t="shared" si="17"/>
        <v>0</v>
      </c>
      <c r="V25" s="29">
        <f t="shared" si="17"/>
        <v>0</v>
      </c>
      <c r="W25" s="29">
        <f t="shared" si="17"/>
        <v>0</v>
      </c>
      <c r="X25" s="29">
        <f t="shared" si="17"/>
        <v>0</v>
      </c>
      <c r="Y25" s="29">
        <f t="shared" si="17"/>
        <v>0</v>
      </c>
      <c r="Z25" s="29">
        <f t="shared" si="17"/>
        <v>0</v>
      </c>
      <c r="AA25" s="29">
        <f t="shared" si="17"/>
        <v>-16000</v>
      </c>
      <c r="AB25" s="29">
        <f t="shared" si="17"/>
        <v>0</v>
      </c>
      <c r="AC25" s="29">
        <f t="shared" si="17"/>
        <v>-25000</v>
      </c>
      <c r="AD25" s="29">
        <f t="shared" si="17"/>
        <v>0</v>
      </c>
      <c r="AE25" s="29">
        <f t="shared" si="17"/>
        <v>0</v>
      </c>
      <c r="AF25" s="29">
        <f>-SUM(AF19:AF24)</f>
        <v>-127224.71999999999</v>
      </c>
      <c r="AG25" s="29">
        <f t="shared" si="17"/>
        <v>0</v>
      </c>
      <c r="AH25" s="29">
        <f t="shared" si="17"/>
        <v>0</v>
      </c>
      <c r="AI25" s="29">
        <f>-SUM(AI19:AI24)</f>
        <v>-306820.60000000003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56.25+386.79+10.8+32.39+22.69</f>
        <v>508.92</v>
      </c>
      <c r="U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18">SUM(D27:AG27)</f>
        <v>508.92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v>59891.9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18"/>
        <v>59891.9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18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18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>
        <v>13381.47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18"/>
        <v>13381.47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>
        <f>5776.57</f>
        <v>5776.57</v>
      </c>
      <c r="AB32" s="26"/>
      <c r="AC32" s="26"/>
      <c r="AD32" s="26"/>
      <c r="AE32" s="26"/>
      <c r="AF32" s="26"/>
      <c r="AG32" s="26"/>
      <c r="AH32" s="26"/>
      <c r="AI32" s="19">
        <f t="shared" si="18"/>
        <v>5776.57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>
        <v>26663.200000000001</v>
      </c>
      <c r="AB33" s="26"/>
      <c r="AC33" s="26"/>
      <c r="AD33" s="26"/>
      <c r="AE33" s="26"/>
      <c r="AF33" s="26"/>
      <c r="AG33" s="26"/>
      <c r="AH33" s="26"/>
      <c r="AI33" s="19">
        <f t="shared" si="18"/>
        <v>26663.200000000001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19">
        <f t="shared" si="18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19">
        <f t="shared" si="18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AH36" si="19">-SUM(E26:E35)</f>
        <v>0</v>
      </c>
      <c r="F36" s="29">
        <f t="shared" si="19"/>
        <v>0</v>
      </c>
      <c r="G36" s="29">
        <f t="shared" si="19"/>
        <v>0</v>
      </c>
      <c r="H36" s="29">
        <f t="shared" si="19"/>
        <v>0</v>
      </c>
      <c r="I36" s="29">
        <f t="shared" si="19"/>
        <v>0</v>
      </c>
      <c r="J36" s="29">
        <f t="shared" si="19"/>
        <v>0</v>
      </c>
      <c r="K36" s="29">
        <f t="shared" si="19"/>
        <v>-59891.9</v>
      </c>
      <c r="L36" s="29">
        <f t="shared" si="19"/>
        <v>-13381.47</v>
      </c>
      <c r="M36" s="29">
        <f t="shared" si="19"/>
        <v>0</v>
      </c>
      <c r="N36" s="29">
        <f t="shared" si="19"/>
        <v>0</v>
      </c>
      <c r="O36" s="29">
        <f t="shared" si="19"/>
        <v>0</v>
      </c>
      <c r="P36" s="29">
        <f t="shared" si="19"/>
        <v>0</v>
      </c>
      <c r="Q36" s="29">
        <f t="shared" si="19"/>
        <v>0</v>
      </c>
      <c r="R36" s="29">
        <f t="shared" si="19"/>
        <v>0</v>
      </c>
      <c r="S36" s="29">
        <f t="shared" si="19"/>
        <v>0</v>
      </c>
      <c r="T36" s="29">
        <f t="shared" si="19"/>
        <v>-508.92</v>
      </c>
      <c r="U36" s="29">
        <f t="shared" si="19"/>
        <v>0</v>
      </c>
      <c r="V36" s="29">
        <f t="shared" si="19"/>
        <v>0</v>
      </c>
      <c r="W36" s="29">
        <f t="shared" si="19"/>
        <v>0</v>
      </c>
      <c r="X36" s="29">
        <f t="shared" si="19"/>
        <v>0</v>
      </c>
      <c r="Y36" s="29">
        <f t="shared" si="19"/>
        <v>0</v>
      </c>
      <c r="Z36" s="29">
        <f t="shared" si="19"/>
        <v>0</v>
      </c>
      <c r="AA36" s="29">
        <f t="shared" si="19"/>
        <v>-32439.77</v>
      </c>
      <c r="AB36" s="29">
        <f t="shared" si="19"/>
        <v>0</v>
      </c>
      <c r="AC36" s="29">
        <f t="shared" si="19"/>
        <v>0</v>
      </c>
      <c r="AD36" s="29">
        <f t="shared" si="19"/>
        <v>0</v>
      </c>
      <c r="AE36" s="29">
        <f t="shared" si="19"/>
        <v>0</v>
      </c>
      <c r="AF36" s="29">
        <f t="shared" si="19"/>
        <v>0</v>
      </c>
      <c r="AG36" s="29">
        <f t="shared" si="19"/>
        <v>0</v>
      </c>
      <c r="AH36" s="29">
        <f t="shared" si="19"/>
        <v>0</v>
      </c>
      <c r="AI36" s="29">
        <f>-SUM(AI26:AI35)</f>
        <v>-106222.05999999998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/>
      <c r="M38" s="18">
        <v>12.32</v>
      </c>
      <c r="N38" s="18">
        <f>22488.21</f>
        <v>22488.21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20">SUM(D38:AG38)</f>
        <v>22500.53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20"/>
        <v>0</v>
      </c>
    </row>
    <row r="40" spans="2:35" ht="16.5" customHeight="1" x14ac:dyDescent="0.2">
      <c r="B40" s="117"/>
      <c r="C40" s="28" t="s">
        <v>9</v>
      </c>
      <c r="D40" s="29">
        <f t="shared" ref="D40:AI40" si="21">-SUM(D37:D39)</f>
        <v>0</v>
      </c>
      <c r="E40" s="29">
        <f t="shared" si="21"/>
        <v>0</v>
      </c>
      <c r="F40" s="29">
        <f t="shared" si="21"/>
        <v>0</v>
      </c>
      <c r="G40" s="29">
        <f t="shared" si="21"/>
        <v>0</v>
      </c>
      <c r="H40" s="29">
        <f t="shared" si="21"/>
        <v>0</v>
      </c>
      <c r="I40" s="29">
        <f t="shared" si="21"/>
        <v>0</v>
      </c>
      <c r="J40" s="29">
        <f t="shared" si="21"/>
        <v>0</v>
      </c>
      <c r="K40" s="29">
        <f t="shared" si="21"/>
        <v>0</v>
      </c>
      <c r="L40" s="29">
        <f t="shared" si="21"/>
        <v>0</v>
      </c>
      <c r="M40" s="29">
        <f t="shared" si="21"/>
        <v>-12.32</v>
      </c>
      <c r="N40" s="29">
        <f t="shared" si="21"/>
        <v>-22488.21</v>
      </c>
      <c r="O40" s="29">
        <f t="shared" si="21"/>
        <v>0</v>
      </c>
      <c r="P40" s="29">
        <f t="shared" si="21"/>
        <v>0</v>
      </c>
      <c r="Q40" s="29">
        <f t="shared" si="21"/>
        <v>0</v>
      </c>
      <c r="R40" s="29">
        <f t="shared" si="21"/>
        <v>0</v>
      </c>
      <c r="S40" s="29">
        <f t="shared" si="21"/>
        <v>0</v>
      </c>
      <c r="T40" s="29">
        <f t="shared" si="21"/>
        <v>0</v>
      </c>
      <c r="U40" s="29">
        <f t="shared" si="21"/>
        <v>0</v>
      </c>
      <c r="V40" s="29">
        <f t="shared" si="21"/>
        <v>0</v>
      </c>
      <c r="W40" s="29">
        <f t="shared" si="21"/>
        <v>0</v>
      </c>
      <c r="X40" s="29">
        <f t="shared" si="21"/>
        <v>0</v>
      </c>
      <c r="Y40" s="29">
        <f t="shared" si="21"/>
        <v>0</v>
      </c>
      <c r="Z40" s="29">
        <f t="shared" si="21"/>
        <v>0</v>
      </c>
      <c r="AA40" s="29">
        <f t="shared" si="21"/>
        <v>0</v>
      </c>
      <c r="AB40" s="29">
        <f t="shared" si="21"/>
        <v>0</v>
      </c>
      <c r="AC40" s="29">
        <f t="shared" si="21"/>
        <v>0</v>
      </c>
      <c r="AD40" s="29">
        <f t="shared" si="21"/>
        <v>0</v>
      </c>
      <c r="AE40" s="29">
        <f t="shared" si="21"/>
        <v>0</v>
      </c>
      <c r="AF40" s="29">
        <f t="shared" si="21"/>
        <v>0</v>
      </c>
      <c r="AG40" s="29">
        <f t="shared" si="21"/>
        <v>0</v>
      </c>
      <c r="AH40" s="29">
        <f t="shared" si="21"/>
        <v>0</v>
      </c>
      <c r="AI40" s="29">
        <f t="shared" si="21"/>
        <v>-22500.53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36631.69+35718.18+102256.65+39740.4+42032.32+46797.33+59243.27+79919.5</f>
        <v>442339.34</v>
      </c>
      <c r="W41" s="58"/>
      <c r="X41" s="58"/>
      <c r="Y41" s="18"/>
      <c r="Z41" s="18"/>
      <c r="AA41" s="18"/>
      <c r="AB41" s="18"/>
      <c r="AC41" s="18"/>
      <c r="AD41" s="18"/>
      <c r="AE41" s="58"/>
      <c r="AF41" s="18"/>
      <c r="AG41" s="18"/>
      <c r="AH41" s="18"/>
      <c r="AI41" s="19">
        <f>SUM(D41:AG41)</f>
        <v>442339.34</v>
      </c>
    </row>
    <row r="42" spans="2:35" ht="16.5" customHeight="1" x14ac:dyDescent="0.2">
      <c r="B42" s="117"/>
      <c r="C42" s="25" t="s">
        <v>52</v>
      </c>
      <c r="D42" s="18">
        <v>25960.91</v>
      </c>
      <c r="E42" s="18"/>
      <c r="F42" s="18"/>
      <c r="H42" s="18"/>
      <c r="I42" s="18"/>
      <c r="J42" s="18"/>
      <c r="K42" s="18">
        <f>16877.2+50000</f>
        <v>66877.2</v>
      </c>
      <c r="L42" s="5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Z42" s="18"/>
      <c r="AA42" s="18"/>
      <c r="AB42" s="18"/>
      <c r="AC42" s="18"/>
      <c r="AD42" s="18"/>
      <c r="AE42" s="58"/>
      <c r="AF42" s="18">
        <f>6135.55+50000</f>
        <v>56135.55</v>
      </c>
      <c r="AH42" s="18"/>
      <c r="AI42" s="19">
        <f>SUM(D42:AF42)</f>
        <v>148973.66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9">
        <f>SUM(D43:AG43)</f>
        <v>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>SUM(D44:AG44)</f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4">
        <v>27352.78</v>
      </c>
      <c r="L45" s="18"/>
      <c r="M45" s="18">
        <v>40676.089999999997</v>
      </c>
      <c r="N45" s="18"/>
      <c r="O45" s="18">
        <f>14976.24</f>
        <v>14976.24</v>
      </c>
      <c r="P45" s="18"/>
      <c r="Q45" s="18"/>
      <c r="R45" s="18"/>
      <c r="S45" s="18"/>
      <c r="T45" s="18">
        <f>43631.85</f>
        <v>43631.85</v>
      </c>
      <c r="U45" s="18"/>
      <c r="V45" s="18"/>
      <c r="W45" s="26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>SUM(D45:AG45)</f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>
        <f>21128.59+7919.79</f>
        <v>29048.38</v>
      </c>
      <c r="M46" s="26"/>
      <c r="N46" s="26"/>
      <c r="O46" s="26"/>
      <c r="P46" s="26"/>
      <c r="Q46" s="26"/>
      <c r="R46" s="26"/>
      <c r="S46" s="26"/>
      <c r="T46" s="26"/>
      <c r="U46" s="26"/>
      <c r="V46" s="26">
        <v>51556.959999999999</v>
      </c>
      <c r="W46" s="26"/>
      <c r="X46" s="26"/>
      <c r="Y46" s="18"/>
      <c r="Z46" s="26"/>
      <c r="AA46" s="26"/>
      <c r="AB46" s="26"/>
      <c r="AC46" s="26">
        <f>112.41</f>
        <v>112.41</v>
      </c>
      <c r="AD46" s="26"/>
      <c r="AE46" s="26"/>
      <c r="AF46" s="26"/>
      <c r="AG46" s="26"/>
      <c r="AH46" s="26"/>
      <c r="AI46" s="19">
        <f>SUM(D46:AG46)</f>
        <v>80717.75</v>
      </c>
    </row>
    <row r="47" spans="2:35" ht="16.5" customHeight="1" x14ac:dyDescent="0.2">
      <c r="B47" s="117"/>
      <c r="C47" s="25" t="s">
        <v>79</v>
      </c>
      <c r="D47" s="26">
        <f>88.4+35</f>
        <v>123.4</v>
      </c>
      <c r="E47" s="26"/>
      <c r="F47" s="26">
        <f>123.7</f>
        <v>123.7</v>
      </c>
      <c r="G47" s="26"/>
      <c r="I47" s="26"/>
      <c r="J47" s="26"/>
      <c r="K47" s="26">
        <f>800+95.04+35+95.4+72.6+123.6+35+227+500</f>
        <v>1983.6399999999999</v>
      </c>
      <c r="M47" s="26">
        <f>1095+90</f>
        <v>1185</v>
      </c>
      <c r="N47" s="26"/>
      <c r="O47" s="26"/>
      <c r="P47" s="26"/>
      <c r="Q47" s="26"/>
      <c r="R47" s="4">
        <v>316.2</v>
      </c>
      <c r="S47" s="26"/>
      <c r="T47" s="26">
        <f>28804.25+2219.89</f>
        <v>31024.14</v>
      </c>
      <c r="U47" s="26"/>
      <c r="V47" s="26">
        <v>75</v>
      </c>
      <c r="W47" s="26"/>
      <c r="X47" s="26"/>
      <c r="Y47" s="26">
        <f>(18629.19+1079.49+162.11+648.46)+425.1+30.3+772.09+151.45</f>
        <v>21898.19</v>
      </c>
      <c r="Z47" s="26">
        <v>121.63</v>
      </c>
      <c r="AA47" s="26">
        <f>4751.7+210+50+33+74.89</f>
        <v>5119.59</v>
      </c>
      <c r="AB47" s="26"/>
      <c r="AC47" s="26">
        <f>1065.87+2797.79</f>
        <v>3863.66</v>
      </c>
      <c r="AD47" s="58"/>
      <c r="AE47" s="26"/>
      <c r="AF47" s="26">
        <f>75.8+63+132.7+33</f>
        <v>304.5</v>
      </c>
      <c r="AG47" s="26"/>
      <c r="AH47" s="26"/>
      <c r="AI47" s="19">
        <f>SUM(D47:AG47)</f>
        <v>66138.650000000009</v>
      </c>
    </row>
    <row r="48" spans="2:35" ht="16.5" customHeight="1" x14ac:dyDescent="0.2">
      <c r="B48" s="117"/>
      <c r="C48" s="25" t="s">
        <v>35</v>
      </c>
      <c r="D48" s="26">
        <v>7464.98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D48" s="26"/>
      <c r="AE48" s="26"/>
      <c r="AF48" s="58"/>
      <c r="AH48" s="26"/>
      <c r="AI48" s="19">
        <f>SUM(D48:AF48)</f>
        <v>7464.98</v>
      </c>
    </row>
    <row r="49" spans="2:35" ht="16.5" customHeight="1" x14ac:dyDescent="0.2">
      <c r="B49" s="117"/>
      <c r="C49" s="25" t="s">
        <v>98</v>
      </c>
      <c r="D49" s="26">
        <f>461.69+7103.1</f>
        <v>7564.79</v>
      </c>
      <c r="E49" s="26"/>
      <c r="F49" s="26"/>
      <c r="G49" s="26"/>
      <c r="H49" s="26">
        <v>5927.26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>SUM(D49:AG49)</f>
        <v>13492.05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f>122.5</f>
        <v>122.5</v>
      </c>
      <c r="P50" s="26"/>
      <c r="Q50" s="26"/>
      <c r="S50" s="26"/>
      <c r="T50" s="26"/>
      <c r="U50" s="26"/>
      <c r="V50" s="26"/>
      <c r="W50" s="26"/>
      <c r="X50" s="26"/>
      <c r="Y50" s="26"/>
      <c r="AA50" s="58"/>
      <c r="AB50" s="26"/>
      <c r="AC50" s="26">
        <f>153.9</f>
        <v>153.9</v>
      </c>
      <c r="AD50" s="26"/>
      <c r="AE50" s="26"/>
      <c r="AF50" s="26"/>
      <c r="AG50" s="26"/>
      <c r="AH50" s="26"/>
      <c r="AI50" s="19">
        <f>SUM(D50:AG50)</f>
        <v>276.39999999999998</v>
      </c>
    </row>
    <row r="51" spans="2:35" ht="16.5" customHeight="1" x14ac:dyDescent="0.2">
      <c r="B51" s="117"/>
      <c r="C51" s="25" t="s">
        <v>74</v>
      </c>
      <c r="D51" s="26">
        <v>250</v>
      </c>
      <c r="E51" s="26"/>
      <c r="F51" s="26"/>
      <c r="G51" s="26"/>
      <c r="H51" s="26">
        <v>1659</v>
      </c>
      <c r="I51" s="26"/>
      <c r="J51" s="26"/>
      <c r="K51" s="26"/>
      <c r="L51" s="26"/>
      <c r="M51" s="26"/>
      <c r="N51" s="26"/>
      <c r="O51" s="26">
        <f>464.6</f>
        <v>464.6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>
        <v>224.71</v>
      </c>
      <c r="AH51" s="26"/>
      <c r="AI51" s="19">
        <f>SUM(D51:AG51)</f>
        <v>2598.31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>SUM(D52:AG52)</f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>
        <v>18531.64</v>
      </c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13169.7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13904.04</v>
      </c>
      <c r="AH53" s="26"/>
      <c r="AI53" s="19">
        <f>SUM(D53:AF53)</f>
        <v>45605.380000000005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866.98</f>
        <v>866.98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26"/>
      <c r="AH54" s="26"/>
      <c r="AI54" s="19">
        <f t="shared" ref="AI54:AI73" si="22">SUM(D54:AG54)</f>
        <v>4046.98</v>
      </c>
    </row>
    <row r="55" spans="2:35" ht="16.5" customHeight="1" x14ac:dyDescent="0.2">
      <c r="B55" s="117"/>
      <c r="C55" s="25" t="s">
        <v>11</v>
      </c>
      <c r="D55" s="26">
        <v>319.5</v>
      </c>
      <c r="E55" s="26"/>
      <c r="F55" s="26"/>
      <c r="G55" s="26"/>
      <c r="H55" s="26"/>
      <c r="I55" s="26"/>
      <c r="J55" s="26"/>
      <c r="K55" s="26"/>
      <c r="L55" s="26"/>
      <c r="M55" s="26">
        <v>222.35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f>225.85</f>
        <v>225.85</v>
      </c>
      <c r="AG55" s="26"/>
      <c r="AH55" s="26"/>
      <c r="AI55" s="19">
        <f t="shared" si="22"/>
        <v>767.7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2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22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22"/>
        <v>0</v>
      </c>
    </row>
    <row r="59" spans="2:35" ht="16.5" customHeight="1" x14ac:dyDescent="0.2">
      <c r="B59" s="117"/>
      <c r="C59" s="25" t="s">
        <v>32</v>
      </c>
      <c r="D59" s="26">
        <f>3500+7950</f>
        <v>11450</v>
      </c>
      <c r="E59" s="26"/>
      <c r="F59" s="26"/>
      <c r="G59" s="26"/>
      <c r="I59" s="26"/>
      <c r="J59" s="26"/>
      <c r="K59" s="26">
        <v>3693.75</v>
      </c>
      <c r="L59" s="26"/>
      <c r="M59" s="26">
        <v>1590</v>
      </c>
      <c r="O59" s="26">
        <f>359.2+614+1444</f>
        <v>2417.1999999999998</v>
      </c>
      <c r="P59" s="26"/>
      <c r="Q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D59" s="26"/>
      <c r="AE59" s="26"/>
      <c r="AF59" s="26">
        <f>1683</f>
        <v>1683</v>
      </c>
      <c r="AG59" s="26"/>
      <c r="AH59" s="26"/>
      <c r="AI59" s="19">
        <f t="shared" si="22"/>
        <v>20833.95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22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22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>
        <v>4212</v>
      </c>
      <c r="AB62" s="26"/>
      <c r="AC62" s="26"/>
      <c r="AD62" s="26"/>
      <c r="AE62" s="26"/>
      <c r="AF62" s="26"/>
      <c r="AG62" s="26"/>
      <c r="AH62" s="26"/>
      <c r="AI62" s="19">
        <f t="shared" si="22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1238.95</f>
        <v>1238.95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>
        <f>829</f>
        <v>829</v>
      </c>
      <c r="AG63" s="26"/>
      <c r="AH63" s="26"/>
      <c r="AI63" s="19">
        <f t="shared" si="22"/>
        <v>2067.9499999999998</v>
      </c>
    </row>
    <row r="64" spans="2:35" ht="16.5" customHeight="1" x14ac:dyDescent="0.2">
      <c r="B64" s="117"/>
      <c r="C64" s="25" t="s">
        <v>75</v>
      </c>
      <c r="D64" s="26">
        <f>1965.52</f>
        <v>1965.52</v>
      </c>
      <c r="E64" s="26"/>
      <c r="F64" s="26"/>
      <c r="G64" s="26"/>
      <c r="H64" s="26"/>
      <c r="I64" s="26"/>
      <c r="J64" s="26"/>
      <c r="K64" s="26"/>
      <c r="L64" s="58"/>
      <c r="M64" s="26">
        <f>358.56+640</f>
        <v>998.56</v>
      </c>
      <c r="N64" s="26"/>
      <c r="O64" s="26">
        <v>358.56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19">
        <f t="shared" si="22"/>
        <v>3322.64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>
        <f>510.86</f>
        <v>510.86</v>
      </c>
      <c r="P65" s="26"/>
      <c r="Q65" s="26"/>
      <c r="R65" s="26"/>
      <c r="S65" s="26"/>
      <c r="T65" s="26"/>
      <c r="U65" s="26"/>
      <c r="V65" s="26"/>
      <c r="W65" s="26"/>
      <c r="X65" s="26"/>
      <c r="Y65" s="26">
        <f>1099+1215</f>
        <v>2314</v>
      </c>
      <c r="Z65" s="26"/>
      <c r="AA65" s="26">
        <f>342</f>
        <v>342</v>
      </c>
      <c r="AB65" s="26"/>
      <c r="AC65" s="26"/>
      <c r="AD65" s="26"/>
      <c r="AE65" s="26"/>
      <c r="AF65" s="26">
        <f>300</f>
        <v>300</v>
      </c>
      <c r="AG65" s="26"/>
      <c r="AH65" s="26"/>
      <c r="AI65" s="19">
        <f t="shared" si="22"/>
        <v>3466.86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2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>
        <f>1183.88</f>
        <v>1183.8800000000001</v>
      </c>
      <c r="I67" s="26"/>
      <c r="J67" s="26"/>
      <c r="K67" s="26"/>
      <c r="L67" s="26"/>
      <c r="M67" s="26">
        <v>1500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>
        <v>269.51</v>
      </c>
      <c r="AB67" s="26"/>
      <c r="AC67" s="26"/>
      <c r="AD67" s="26"/>
      <c r="AE67" s="26"/>
      <c r="AF67" s="26"/>
      <c r="AG67" s="26"/>
      <c r="AH67" s="26"/>
      <c r="AI67" s="19">
        <f t="shared" si="22"/>
        <v>2953.3900000000003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22"/>
        <v>0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/>
      <c r="J69" s="26"/>
      <c r="K69" s="26">
        <v>709.2</v>
      </c>
      <c r="M69" s="26"/>
      <c r="N69" s="26"/>
      <c r="O69" s="26">
        <v>816</v>
      </c>
      <c r="Q69" s="26"/>
      <c r="R69" s="26">
        <f>394+487.97</f>
        <v>881.97</v>
      </c>
      <c r="S69" s="26"/>
      <c r="T69" s="26">
        <f>252</f>
        <v>252</v>
      </c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>
        <v>1012</v>
      </c>
      <c r="AG69" s="26"/>
      <c r="AH69" s="26"/>
      <c r="AI69" s="19">
        <f t="shared" si="22"/>
        <v>3671.17</v>
      </c>
    </row>
    <row r="70" spans="2:35" ht="16.5" customHeight="1" x14ac:dyDescent="0.2">
      <c r="B70" s="117"/>
      <c r="C70" s="25" t="s">
        <v>81</v>
      </c>
      <c r="D70" s="26"/>
      <c r="E70" s="26"/>
      <c r="F70" s="26">
        <v>201</v>
      </c>
      <c r="G70" s="26"/>
      <c r="H70" s="26"/>
      <c r="I70" s="26"/>
      <c r="J70" s="26"/>
      <c r="K70" s="26">
        <f>162.43</f>
        <v>162.43</v>
      </c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22"/>
        <v>363.43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22"/>
        <v>0</v>
      </c>
    </row>
    <row r="72" spans="2:35" ht="16.5" customHeight="1" x14ac:dyDescent="0.2">
      <c r="B72" s="117"/>
      <c r="C72" s="25" t="s">
        <v>6</v>
      </c>
      <c r="D72" s="26">
        <f>7.35*2</f>
        <v>14.7</v>
      </c>
      <c r="E72" s="26">
        <f>99.33+74.1+64</f>
        <v>237.43</v>
      </c>
      <c r="F72" s="26">
        <v>7.35</v>
      </c>
      <c r="G72" s="26">
        <f>32.34+45.6</f>
        <v>77.94</v>
      </c>
      <c r="H72" s="26"/>
      <c r="I72" s="26"/>
      <c r="J72" s="26"/>
      <c r="K72" s="26">
        <f>(7.35*2)+57.75</f>
        <v>72.45</v>
      </c>
      <c r="L72" s="26">
        <f>125.4</f>
        <v>125.4</v>
      </c>
      <c r="M72" s="26">
        <f>(7.35*4)+57.75+5.7</f>
        <v>92.850000000000009</v>
      </c>
      <c r="N72" s="26">
        <f>34.2</f>
        <v>34.200000000000003</v>
      </c>
      <c r="O72" s="26">
        <f>50.82+45+(7.35*3)</f>
        <v>117.86999999999999</v>
      </c>
      <c r="P72" s="26"/>
      <c r="Q72" s="26"/>
      <c r="R72" s="26"/>
      <c r="S72" s="26">
        <f>92.4+28.5</f>
        <v>120.9</v>
      </c>
      <c r="T72" s="26"/>
      <c r="U72" s="26">
        <f>23.1+17.1</f>
        <v>40.200000000000003</v>
      </c>
      <c r="V72" s="26">
        <f>639.45+55.44</f>
        <v>694.8900000000001</v>
      </c>
      <c r="W72" s="26"/>
      <c r="X72" s="26"/>
      <c r="Y72" s="26">
        <f>34.65+7.35</f>
        <v>42</v>
      </c>
      <c r="Z72" s="26">
        <f>17.1</f>
        <v>17.100000000000001</v>
      </c>
      <c r="AA72" s="26">
        <f>(7.35*2)+55.44+5.7</f>
        <v>75.84</v>
      </c>
      <c r="AB72" s="26"/>
      <c r="AC72" s="26">
        <f>55.44</f>
        <v>55.44</v>
      </c>
      <c r="AD72" s="26"/>
      <c r="AE72" s="26"/>
      <c r="AF72" s="26">
        <f>7.35*6</f>
        <v>44.099999999999994</v>
      </c>
      <c r="AG72" s="26">
        <v>85.5</v>
      </c>
      <c r="AH72" s="26"/>
      <c r="AI72" s="19">
        <f t="shared" si="22"/>
        <v>1956.16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19">
        <f t="shared" si="22"/>
        <v>0</v>
      </c>
    </row>
    <row r="74" spans="2:35" ht="16.5" customHeight="1" x14ac:dyDescent="0.2">
      <c r="B74" s="117"/>
      <c r="C74" s="28" t="s">
        <v>10</v>
      </c>
      <c r="D74" s="29">
        <f t="shared" ref="D74:AI74" si="23">-SUM(D41:D73)</f>
        <v>-55113.799999999996</v>
      </c>
      <c r="E74" s="29">
        <f t="shared" si="23"/>
        <v>-237.43</v>
      </c>
      <c r="F74" s="29">
        <f t="shared" si="23"/>
        <v>-18863.689999999999</v>
      </c>
      <c r="G74" s="29">
        <f t="shared" si="23"/>
        <v>-77.94</v>
      </c>
      <c r="H74" s="29">
        <f t="shared" si="23"/>
        <v>-8770.14</v>
      </c>
      <c r="I74" s="29">
        <f t="shared" si="23"/>
        <v>0</v>
      </c>
      <c r="J74" s="29">
        <f t="shared" si="23"/>
        <v>0</v>
      </c>
      <c r="K74" s="29">
        <f t="shared" si="23"/>
        <v>-101718.42999999998</v>
      </c>
      <c r="L74" s="29">
        <f t="shared" si="23"/>
        <v>-29173.780000000002</v>
      </c>
      <c r="M74" s="29">
        <f t="shared" si="23"/>
        <v>-47503.799999999988</v>
      </c>
      <c r="N74" s="29">
        <f t="shared" si="23"/>
        <v>-34.200000000000003</v>
      </c>
      <c r="O74" s="29">
        <f t="shared" si="23"/>
        <v>-19783.830000000002</v>
      </c>
      <c r="P74" s="29">
        <f t="shared" si="23"/>
        <v>0</v>
      </c>
      <c r="Q74" s="29">
        <f t="shared" si="23"/>
        <v>0</v>
      </c>
      <c r="R74" s="29">
        <f t="shared" si="23"/>
        <v>-14367.87</v>
      </c>
      <c r="S74" s="29">
        <f t="shared" si="23"/>
        <v>-120.9</v>
      </c>
      <c r="T74" s="29">
        <f t="shared" si="23"/>
        <v>-74907.989999999991</v>
      </c>
      <c r="U74" s="29">
        <f t="shared" si="23"/>
        <v>-40.200000000000003</v>
      </c>
      <c r="V74" s="29">
        <f t="shared" si="23"/>
        <v>-494666.19000000006</v>
      </c>
      <c r="W74" s="29">
        <f t="shared" si="23"/>
        <v>0</v>
      </c>
      <c r="X74" s="29">
        <f t="shared" si="23"/>
        <v>0</v>
      </c>
      <c r="Y74" s="29">
        <f t="shared" si="23"/>
        <v>-24254.19</v>
      </c>
      <c r="Z74" s="29">
        <f t="shared" si="23"/>
        <v>-138.72999999999999</v>
      </c>
      <c r="AA74" s="29">
        <f t="shared" si="23"/>
        <v>-10018.94</v>
      </c>
      <c r="AB74" s="29">
        <f t="shared" si="23"/>
        <v>0</v>
      </c>
      <c r="AC74" s="29">
        <f t="shared" si="23"/>
        <v>-4185.4099999999989</v>
      </c>
      <c r="AD74" s="29">
        <f t="shared" si="23"/>
        <v>0</v>
      </c>
      <c r="AE74" s="29">
        <f t="shared" si="23"/>
        <v>0</v>
      </c>
      <c r="AF74" s="29">
        <f t="shared" si="23"/>
        <v>-77618.040000000008</v>
      </c>
      <c r="AG74" s="29">
        <f t="shared" si="23"/>
        <v>-310.21000000000004</v>
      </c>
      <c r="AH74" s="29">
        <f t="shared" si="23"/>
        <v>0</v>
      </c>
      <c r="AI74" s="29">
        <f t="shared" si="23"/>
        <v>-981905.71000000008</v>
      </c>
    </row>
    <row r="75" spans="2:35" ht="16.5" customHeight="1" x14ac:dyDescent="0.2">
      <c r="B75" s="114"/>
      <c r="C75" s="28" t="s">
        <v>36</v>
      </c>
      <c r="D75" s="29">
        <f t="shared" ref="D75:AI75" si="24">D25+D36+D40+D74</f>
        <v>-55113.799999999996</v>
      </c>
      <c r="E75" s="29">
        <f t="shared" si="24"/>
        <v>-237.43</v>
      </c>
      <c r="F75" s="29">
        <f t="shared" si="24"/>
        <v>-82435.23000000001</v>
      </c>
      <c r="G75" s="29">
        <f t="shared" si="24"/>
        <v>-77.94</v>
      </c>
      <c r="H75" s="29">
        <f t="shared" si="24"/>
        <v>-8770.14</v>
      </c>
      <c r="I75" s="29">
        <f t="shared" si="24"/>
        <v>0</v>
      </c>
      <c r="J75" s="29">
        <f t="shared" si="24"/>
        <v>0</v>
      </c>
      <c r="K75" s="29">
        <f t="shared" si="24"/>
        <v>-161610.32999999999</v>
      </c>
      <c r="L75" s="29">
        <f t="shared" si="24"/>
        <v>-42555.25</v>
      </c>
      <c r="M75" s="29">
        <f t="shared" si="24"/>
        <v>-47516.119999999988</v>
      </c>
      <c r="N75" s="29">
        <f t="shared" si="24"/>
        <v>-22522.41</v>
      </c>
      <c r="O75" s="29">
        <f t="shared" si="24"/>
        <v>-94808.170000000013</v>
      </c>
      <c r="P75" s="29">
        <f t="shared" si="24"/>
        <v>0</v>
      </c>
      <c r="Q75" s="29">
        <f t="shared" si="24"/>
        <v>0</v>
      </c>
      <c r="R75" s="29">
        <f t="shared" si="24"/>
        <v>-14367.87</v>
      </c>
      <c r="S75" s="29">
        <f t="shared" si="24"/>
        <v>-120.9</v>
      </c>
      <c r="T75" s="29">
        <f t="shared" si="24"/>
        <v>-75416.909999999989</v>
      </c>
      <c r="U75" s="29">
        <f t="shared" si="24"/>
        <v>-40.200000000000003</v>
      </c>
      <c r="V75" s="29">
        <f t="shared" si="24"/>
        <v>-494666.19000000006</v>
      </c>
      <c r="W75" s="29">
        <f t="shared" si="24"/>
        <v>0</v>
      </c>
      <c r="X75" s="29">
        <f t="shared" si="24"/>
        <v>0</v>
      </c>
      <c r="Y75" s="29">
        <f t="shared" si="24"/>
        <v>-24254.19</v>
      </c>
      <c r="Z75" s="29">
        <f t="shared" si="24"/>
        <v>-138.72999999999999</v>
      </c>
      <c r="AA75" s="29">
        <f t="shared" si="24"/>
        <v>-58458.710000000006</v>
      </c>
      <c r="AB75" s="29">
        <f t="shared" si="24"/>
        <v>0</v>
      </c>
      <c r="AC75" s="29">
        <f t="shared" si="24"/>
        <v>-29185.41</v>
      </c>
      <c r="AD75" s="29">
        <f t="shared" si="24"/>
        <v>0</v>
      </c>
      <c r="AE75" s="29">
        <f t="shared" si="24"/>
        <v>0</v>
      </c>
      <c r="AF75" s="29">
        <f t="shared" si="24"/>
        <v>-204842.76</v>
      </c>
      <c r="AG75" s="29">
        <f t="shared" si="24"/>
        <v>-310.21000000000004</v>
      </c>
      <c r="AH75" s="29">
        <f t="shared" si="24"/>
        <v>0</v>
      </c>
      <c r="AI75" s="29">
        <f t="shared" si="24"/>
        <v>-1417448.9000000001</v>
      </c>
    </row>
    <row r="76" spans="2:35" ht="7.5" customHeight="1" x14ac:dyDescent="0.2">
      <c r="B76" s="66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65"/>
      <c r="C77" s="32" t="s">
        <v>13</v>
      </c>
      <c r="D77" s="13">
        <f t="shared" ref="D77:AI77" si="25">D6+D18+D75</f>
        <v>80963.658699999971</v>
      </c>
      <c r="E77" s="13">
        <f t="shared" si="25"/>
        <v>115898.68869999997</v>
      </c>
      <c r="F77" s="13">
        <f t="shared" si="25"/>
        <v>81249.328699999955</v>
      </c>
      <c r="G77" s="13">
        <f t="shared" si="25"/>
        <v>126891.72869999995</v>
      </c>
      <c r="H77" s="13">
        <f t="shared" si="25"/>
        <v>132739.15869999997</v>
      </c>
      <c r="I77" s="13">
        <f t="shared" si="25"/>
        <v>132739.15869999997</v>
      </c>
      <c r="J77" s="13">
        <f t="shared" si="25"/>
        <v>132739.15869999997</v>
      </c>
      <c r="K77" s="13">
        <f t="shared" si="25"/>
        <v>222786.48869999996</v>
      </c>
      <c r="L77" s="13">
        <f t="shared" si="25"/>
        <v>243465.05869999994</v>
      </c>
      <c r="M77" s="13">
        <f t="shared" si="25"/>
        <v>231140.85869999992</v>
      </c>
      <c r="N77" s="13">
        <f t="shared" si="25"/>
        <v>282289.80869999994</v>
      </c>
      <c r="O77" s="13">
        <f t="shared" si="25"/>
        <v>247709.30869999991</v>
      </c>
      <c r="P77" s="13">
        <f t="shared" si="25"/>
        <v>247709.30869999991</v>
      </c>
      <c r="Q77" s="13">
        <f t="shared" si="25"/>
        <v>247709.30869999991</v>
      </c>
      <c r="R77" s="13">
        <f t="shared" si="25"/>
        <v>393147.43869999994</v>
      </c>
      <c r="S77" s="13">
        <f t="shared" si="25"/>
        <v>517070.17869999993</v>
      </c>
      <c r="T77" s="13">
        <f t="shared" si="25"/>
        <v>453859.23869999993</v>
      </c>
      <c r="U77" s="13">
        <f t="shared" si="25"/>
        <v>484880.0186999999</v>
      </c>
      <c r="V77" s="13">
        <f t="shared" si="25"/>
        <v>43464.448699999833</v>
      </c>
      <c r="W77" s="13">
        <f t="shared" si="25"/>
        <v>43464.448699999833</v>
      </c>
      <c r="X77" s="13">
        <f t="shared" si="25"/>
        <v>43464.448699999833</v>
      </c>
      <c r="Y77" s="13">
        <f t="shared" si="25"/>
        <v>115135.62869999983</v>
      </c>
      <c r="Z77" s="13">
        <f t="shared" si="25"/>
        <v>154004.84869999983</v>
      </c>
      <c r="AA77" s="13">
        <f t="shared" si="25"/>
        <v>131770.86869999982</v>
      </c>
      <c r="AB77" s="13">
        <f t="shared" si="25"/>
        <v>151891.17869999981</v>
      </c>
      <c r="AC77" s="13">
        <f t="shared" si="25"/>
        <v>149223.5386999998</v>
      </c>
      <c r="AD77" s="13">
        <f t="shared" si="25"/>
        <v>149223.5386999998</v>
      </c>
      <c r="AE77" s="13">
        <f t="shared" si="25"/>
        <v>149223.5386999998</v>
      </c>
      <c r="AF77" s="13">
        <f t="shared" si="25"/>
        <v>14381.178699999786</v>
      </c>
      <c r="AG77" s="13">
        <f t="shared" si="25"/>
        <v>141151.20869999981</v>
      </c>
      <c r="AH77" s="13">
        <f t="shared" si="25"/>
        <v>141151.20869999981</v>
      </c>
      <c r="AI77" s="13">
        <f t="shared" si="25"/>
        <v>141151.20870000008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Fev!AC83</f>
        <v>499235.55000000028</v>
      </c>
      <c r="E79" s="33">
        <f>D83</f>
        <v>525365.40000000026</v>
      </c>
      <c r="F79" s="33">
        <f t="shared" ref="F79:AH79" si="26">E83</f>
        <v>525538.26000000024</v>
      </c>
      <c r="G79" s="33">
        <f t="shared" si="26"/>
        <v>525710.23000000021</v>
      </c>
      <c r="H79" s="33">
        <f t="shared" si="26"/>
        <v>525890.26000000024</v>
      </c>
      <c r="I79" s="33">
        <f t="shared" si="26"/>
        <v>526065.29000000027</v>
      </c>
      <c r="J79" s="33">
        <f t="shared" si="26"/>
        <v>526065.29000000027</v>
      </c>
      <c r="K79" s="33">
        <f t="shared" si="26"/>
        <v>526065.29000000027</v>
      </c>
      <c r="L79" s="33">
        <f t="shared" si="26"/>
        <v>593116.85000000033</v>
      </c>
      <c r="M79" s="33">
        <f t="shared" si="26"/>
        <v>593293.02000000037</v>
      </c>
      <c r="N79" s="33">
        <f t="shared" si="26"/>
        <v>593471.42000000039</v>
      </c>
      <c r="O79" s="33">
        <f t="shared" si="26"/>
        <v>593651.84000000043</v>
      </c>
      <c r="P79" s="33">
        <f t="shared" si="26"/>
        <v>593845.86000000045</v>
      </c>
      <c r="Q79" s="33">
        <f t="shared" si="26"/>
        <v>593845.86000000045</v>
      </c>
      <c r="R79" s="33">
        <f t="shared" si="26"/>
        <v>593845.86000000045</v>
      </c>
      <c r="S79" s="33">
        <f t="shared" si="26"/>
        <v>594031.1600000005</v>
      </c>
      <c r="T79" s="33">
        <f t="shared" si="26"/>
        <v>594219.17000000051</v>
      </c>
      <c r="U79" s="33">
        <f t="shared" si="26"/>
        <v>594409.67000000051</v>
      </c>
      <c r="V79" s="33">
        <f t="shared" si="26"/>
        <v>594600.56000000052</v>
      </c>
      <c r="W79" s="33">
        <f t="shared" si="26"/>
        <v>594815.40000000049</v>
      </c>
      <c r="X79" s="33">
        <f t="shared" si="26"/>
        <v>594815.40000000049</v>
      </c>
      <c r="Y79" s="33">
        <f t="shared" si="26"/>
        <v>594815.40000000049</v>
      </c>
      <c r="Z79" s="33">
        <f t="shared" si="26"/>
        <v>595314.38000000047</v>
      </c>
      <c r="AA79" s="33">
        <f t="shared" si="26"/>
        <v>595516.6600000005</v>
      </c>
      <c r="AB79" s="33">
        <f t="shared" si="26"/>
        <v>595718.4100000005</v>
      </c>
      <c r="AC79" s="33">
        <f t="shared" si="26"/>
        <v>595923.36000000045</v>
      </c>
      <c r="AD79" s="33">
        <f t="shared" si="26"/>
        <v>596160.7900000005</v>
      </c>
      <c r="AE79" s="33">
        <f t="shared" si="26"/>
        <v>596160.7900000005</v>
      </c>
      <c r="AF79" s="33">
        <f t="shared" si="26"/>
        <v>596160.7900000005</v>
      </c>
      <c r="AG79" s="33">
        <f t="shared" si="26"/>
        <v>652509.01000000047</v>
      </c>
      <c r="AH79" s="33">
        <f t="shared" si="26"/>
        <v>652721.88000000047</v>
      </c>
      <c r="AI79" s="22"/>
    </row>
    <row r="80" spans="2:35" ht="16.5" customHeight="1" x14ac:dyDescent="0.2">
      <c r="B80" s="117"/>
      <c r="C80" s="17" t="s">
        <v>86</v>
      </c>
      <c r="D80" s="18">
        <v>25960.91</v>
      </c>
      <c r="E80" s="18"/>
      <c r="F80" s="58"/>
      <c r="G80" s="58"/>
      <c r="H80" s="18"/>
      <c r="I80" s="18"/>
      <c r="J80" s="18"/>
      <c r="K80" s="18">
        <v>16877.2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Z80" s="18"/>
      <c r="AA80" s="18"/>
      <c r="AB80" s="18"/>
      <c r="AC80" s="18"/>
      <c r="AD80" s="18"/>
      <c r="AE80" s="58"/>
      <c r="AF80" s="18">
        <v>6135.35</v>
      </c>
      <c r="AG80" s="18"/>
      <c r="AH80" s="18"/>
      <c r="AI80" s="19">
        <f>SUM(D80:AG80)</f>
        <v>48973.46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>
        <v>50000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58"/>
      <c r="X81" s="18"/>
      <c r="Y81" s="18"/>
      <c r="Z81" s="18"/>
      <c r="AA81" s="18"/>
      <c r="AB81" s="18"/>
      <c r="AC81" s="18"/>
      <c r="AD81" s="18"/>
      <c r="AE81" s="58"/>
      <c r="AF81" s="18">
        <v>50000</v>
      </c>
      <c r="AG81" s="18"/>
      <c r="AH81" s="18"/>
      <c r="AI81" s="19">
        <f t="shared" ref="AI81:AI82" si="27">SUM(D81:AG81)</f>
        <v>100000</v>
      </c>
    </row>
    <row r="82" spans="2:35" ht="16.5" customHeight="1" x14ac:dyDescent="0.2">
      <c r="B82" s="117"/>
      <c r="C82" s="17" t="s">
        <v>24</v>
      </c>
      <c r="D82" s="18">
        <v>168.94</v>
      </c>
      <c r="E82" s="18">
        <v>172.86</v>
      </c>
      <c r="F82" s="18">
        <v>171.97</v>
      </c>
      <c r="G82" s="18">
        <v>180.03</v>
      </c>
      <c r="H82" s="18">
        <v>175.03</v>
      </c>
      <c r="I82" s="18"/>
      <c r="J82" s="18"/>
      <c r="K82" s="18">
        <v>174.36</v>
      </c>
      <c r="L82" s="18">
        <v>176.17</v>
      </c>
      <c r="M82" s="18">
        <v>178.4</v>
      </c>
      <c r="N82" s="18">
        <v>180.42</v>
      </c>
      <c r="O82" s="18">
        <v>194.02</v>
      </c>
      <c r="P82" s="18"/>
      <c r="Q82" s="18"/>
      <c r="R82" s="18">
        <v>185.3</v>
      </c>
      <c r="S82" s="18">
        <v>188.01</v>
      </c>
      <c r="T82" s="18">
        <v>190.5</v>
      </c>
      <c r="U82" s="18">
        <v>190.89</v>
      </c>
      <c r="V82" s="18">
        <v>214.84</v>
      </c>
      <c r="W82" s="18"/>
      <c r="X82" s="18"/>
      <c r="Y82" s="18">
        <v>498.98</v>
      </c>
      <c r="Z82" s="18">
        <v>202.28</v>
      </c>
      <c r="AA82" s="18">
        <v>201.75</v>
      </c>
      <c r="AB82" s="18">
        <v>204.95</v>
      </c>
      <c r="AC82" s="18">
        <v>237.43</v>
      </c>
      <c r="AD82" s="18"/>
      <c r="AE82" s="18"/>
      <c r="AF82" s="18">
        <v>212.87</v>
      </c>
      <c r="AG82" s="18">
        <v>212.87</v>
      </c>
      <c r="AH82" s="18"/>
      <c r="AI82" s="19">
        <f t="shared" si="27"/>
        <v>4512.87</v>
      </c>
    </row>
    <row r="83" spans="2:35" ht="16.5" customHeight="1" x14ac:dyDescent="0.2">
      <c r="B83" s="117"/>
      <c r="C83" s="21" t="s">
        <v>30</v>
      </c>
      <c r="D83" s="22">
        <f>SUM(D80:D82)+D79</f>
        <v>525365.40000000026</v>
      </c>
      <c r="E83" s="22">
        <f t="shared" ref="E83:AH83" si="28">SUM(E80:E82)+D83</f>
        <v>525538.26000000024</v>
      </c>
      <c r="F83" s="22">
        <f>SUM(F80:F82)+E83</f>
        <v>525710.23000000021</v>
      </c>
      <c r="G83" s="22">
        <f t="shared" si="28"/>
        <v>525890.26000000024</v>
      </c>
      <c r="H83" s="22">
        <f t="shared" si="28"/>
        <v>526065.29000000027</v>
      </c>
      <c r="I83" s="22">
        <f t="shared" si="28"/>
        <v>526065.29000000027</v>
      </c>
      <c r="J83" s="22">
        <f t="shared" si="28"/>
        <v>526065.29000000027</v>
      </c>
      <c r="K83" s="22">
        <f>SUM(K80:K82)+J83</f>
        <v>593116.85000000033</v>
      </c>
      <c r="L83" s="22">
        <f t="shared" si="28"/>
        <v>593293.02000000037</v>
      </c>
      <c r="M83" s="22">
        <f t="shared" si="28"/>
        <v>593471.42000000039</v>
      </c>
      <c r="N83" s="22">
        <f t="shared" si="28"/>
        <v>593651.84000000043</v>
      </c>
      <c r="O83" s="22">
        <f t="shared" si="28"/>
        <v>593845.86000000045</v>
      </c>
      <c r="P83" s="22">
        <f t="shared" si="28"/>
        <v>593845.86000000045</v>
      </c>
      <c r="Q83" s="22">
        <f t="shared" si="28"/>
        <v>593845.86000000045</v>
      </c>
      <c r="R83" s="22">
        <f t="shared" si="28"/>
        <v>594031.1600000005</v>
      </c>
      <c r="S83" s="22">
        <f t="shared" si="28"/>
        <v>594219.17000000051</v>
      </c>
      <c r="T83" s="22">
        <f t="shared" si="28"/>
        <v>594409.67000000051</v>
      </c>
      <c r="U83" s="22">
        <f t="shared" si="28"/>
        <v>594600.56000000052</v>
      </c>
      <c r="V83" s="22">
        <f t="shared" si="28"/>
        <v>594815.40000000049</v>
      </c>
      <c r="W83" s="22">
        <f t="shared" si="28"/>
        <v>594815.40000000049</v>
      </c>
      <c r="X83" s="22">
        <f t="shared" si="28"/>
        <v>594815.40000000049</v>
      </c>
      <c r="Y83" s="22">
        <f t="shared" si="28"/>
        <v>595314.38000000047</v>
      </c>
      <c r="Z83" s="22">
        <f>SUM(Z80:Z82)+Y83</f>
        <v>595516.6600000005</v>
      </c>
      <c r="AA83" s="22">
        <f t="shared" ref="AA83" si="29">SUM(AA80:AA82)+Z83</f>
        <v>595718.4100000005</v>
      </c>
      <c r="AB83" s="22">
        <f t="shared" ref="AB83" si="30">SUM(AB80:AB82)+AA83</f>
        <v>595923.36000000045</v>
      </c>
      <c r="AC83" s="22">
        <f t="shared" ref="AC83" si="31">SUM(AC80:AC82)+AB83</f>
        <v>596160.7900000005</v>
      </c>
      <c r="AD83" s="22">
        <f t="shared" ref="AD83" si="32">SUM(AD80:AD82)+AC83</f>
        <v>596160.7900000005</v>
      </c>
      <c r="AE83" s="22">
        <f>SUM(AE80:AE82)+AD83</f>
        <v>596160.7900000005</v>
      </c>
      <c r="AF83" s="22">
        <f>SUM(AF80:AF82)+AE83</f>
        <v>652509.01000000047</v>
      </c>
      <c r="AG83" s="22">
        <f t="shared" si="28"/>
        <v>652721.88000000047</v>
      </c>
      <c r="AH83" s="22">
        <f t="shared" si="28"/>
        <v>652721.88000000047</v>
      </c>
      <c r="AI83" s="22">
        <f>AH83</f>
        <v>652721.88000000047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33">D77+D83</f>
        <v>606329.05870000017</v>
      </c>
      <c r="E85" s="37">
        <f t="shared" si="33"/>
        <v>641436.94870000018</v>
      </c>
      <c r="F85" s="37">
        <f t="shared" si="33"/>
        <v>606959.55870000017</v>
      </c>
      <c r="G85" s="37">
        <f t="shared" si="33"/>
        <v>652781.98870000022</v>
      </c>
      <c r="H85" s="37">
        <f t="shared" si="33"/>
        <v>658804.4487000003</v>
      </c>
      <c r="I85" s="37">
        <f t="shared" si="33"/>
        <v>658804.4487000003</v>
      </c>
      <c r="J85" s="37">
        <f t="shared" si="33"/>
        <v>658804.4487000003</v>
      </c>
      <c r="K85" s="37">
        <f t="shared" si="33"/>
        <v>815903.33870000031</v>
      </c>
      <c r="L85" s="37">
        <f t="shared" si="33"/>
        <v>836758.0787000003</v>
      </c>
      <c r="M85" s="37">
        <f t="shared" si="33"/>
        <v>824612.27870000037</v>
      </c>
      <c r="N85" s="37">
        <f t="shared" si="33"/>
        <v>875941.64870000037</v>
      </c>
      <c r="O85" s="37">
        <f t="shared" si="33"/>
        <v>841555.16870000039</v>
      </c>
      <c r="P85" s="37">
        <f t="shared" si="33"/>
        <v>841555.16870000039</v>
      </c>
      <c r="Q85" s="37">
        <f t="shared" si="33"/>
        <v>841555.16870000039</v>
      </c>
      <c r="R85" s="37">
        <f t="shared" si="33"/>
        <v>987178.59870000044</v>
      </c>
      <c r="S85" s="37">
        <f t="shared" si="33"/>
        <v>1111289.3487000004</v>
      </c>
      <c r="T85" s="37">
        <f t="shared" si="33"/>
        <v>1048268.9087000005</v>
      </c>
      <c r="U85" s="37">
        <f t="shared" si="33"/>
        <v>1079480.5787000004</v>
      </c>
      <c r="V85" s="37">
        <f t="shared" si="33"/>
        <v>638279.84870000032</v>
      </c>
      <c r="W85" s="37">
        <f t="shared" si="33"/>
        <v>638279.84870000032</v>
      </c>
      <c r="X85" s="37">
        <f t="shared" si="33"/>
        <v>638279.84870000032</v>
      </c>
      <c r="Y85" s="37">
        <f t="shared" si="33"/>
        <v>710450.00870000036</v>
      </c>
      <c r="Z85" s="37">
        <f t="shared" si="33"/>
        <v>749521.50870000036</v>
      </c>
      <c r="AA85" s="37">
        <f t="shared" si="33"/>
        <v>727489.27870000037</v>
      </c>
      <c r="AB85" s="37">
        <f t="shared" si="33"/>
        <v>747814.53870000027</v>
      </c>
      <c r="AC85" s="37">
        <f t="shared" si="33"/>
        <v>745384.3287000003</v>
      </c>
      <c r="AD85" s="37">
        <f t="shared" si="33"/>
        <v>745384.3287000003</v>
      </c>
      <c r="AE85" s="37">
        <f t="shared" si="33"/>
        <v>745384.3287000003</v>
      </c>
      <c r="AF85" s="37">
        <f t="shared" si="33"/>
        <v>666890.18870000029</v>
      </c>
      <c r="AG85" s="37">
        <f t="shared" si="33"/>
        <v>793873.08870000031</v>
      </c>
      <c r="AH85" s="37">
        <f t="shared" si="33"/>
        <v>793873.08870000031</v>
      </c>
      <c r="AI85" s="37">
        <f>AI77+AI83</f>
        <v>793873.08870000055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AF5</f>
        <v>42093</v>
      </c>
    </row>
    <row r="89" spans="2:35" ht="18.75" x14ac:dyDescent="0.25">
      <c r="B89" s="41"/>
      <c r="C89" s="50" t="s">
        <v>46</v>
      </c>
      <c r="D89" s="51">
        <f>AF6</f>
        <v>149223.5386999998</v>
      </c>
    </row>
    <row r="90" spans="2:35" ht="18.75" x14ac:dyDescent="0.25">
      <c r="B90" s="41"/>
      <c r="C90" s="50" t="s">
        <v>40</v>
      </c>
      <c r="D90" s="52">
        <f>AF18</f>
        <v>70000.399999999994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AF75</f>
        <v>-204842.76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67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14381.178699999786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  <c r="AC92" s="68"/>
    </row>
    <row r="93" spans="2:35" ht="18.75" x14ac:dyDescent="0.25">
      <c r="B93" s="41"/>
      <c r="C93" s="50" t="s">
        <v>91</v>
      </c>
      <c r="D93" s="51">
        <v>11972</v>
      </c>
      <c r="K93" s="47"/>
      <c r="L93" s="47"/>
      <c r="M93" s="47"/>
      <c r="N93" s="47"/>
      <c r="O93" s="47"/>
      <c r="P93" s="47"/>
    </row>
    <row r="94" spans="2:35" ht="18.75" x14ac:dyDescent="0.25">
      <c r="B94" s="41"/>
      <c r="C94" s="50" t="s">
        <v>92</v>
      </c>
      <c r="D94" s="51">
        <v>97714.880000000005</v>
      </c>
      <c r="K94" s="47"/>
      <c r="L94" s="47"/>
      <c r="M94" s="47"/>
      <c r="N94" s="47"/>
      <c r="O94" s="47"/>
      <c r="P94" s="47"/>
    </row>
    <row r="95" spans="2:35" ht="18.75" x14ac:dyDescent="0.25">
      <c r="B95" s="41"/>
      <c r="C95" s="50" t="s">
        <v>41</v>
      </c>
      <c r="D95" s="51">
        <v>486473.91</v>
      </c>
    </row>
    <row r="96" spans="2:35" ht="19.5" thickBot="1" x14ac:dyDescent="0.3">
      <c r="B96" s="41"/>
      <c r="C96" s="54" t="s">
        <v>42</v>
      </c>
      <c r="D96" s="55">
        <f>SUM(D92:D95)</f>
        <v>610541.96869999974</v>
      </c>
    </row>
  </sheetData>
  <protectedRanges>
    <protectedRange sqref="D82:V82 Z82:AF82" name="Intervalo11"/>
    <protectedRange sqref="D76:AF76" name="Intervalo8"/>
    <protectedRange sqref="D20:H20 P21:AF24 J20:L20 N21:O21 N20:AF20 M22:O24 D21:J24 L21:L24 K21:K23" name="Intervalo3"/>
    <protectedRange sqref="D10:AF10 D11:AH11 D12:AF13 D14 K16 D16:I17 L16:AF17 J17:K17 E14:AH15" name="Intervalo2"/>
    <protectedRange sqref="D7:AF9" name="Intervalo1"/>
    <protectedRange sqref="L38 F31 M37:AF39 K37:L37 K39:L39 D37:E39 G37:J39 F37 F39" name="Intervalo4"/>
    <protectedRange sqref="S52:T52 O59 T69 Z52:AA52 X53:AE53 S53:V53 AD46:AE46 AC46:AC47 AE47:AE52 I20 AD48:AD51 AH55 H60 F72:H73 G71:H71 F62:H70 G61:H61 M72:M73 Q46:Q72 U69:U73 Z46:Z49 K47:K48 V54:V73 W54:W59 P70:P72 P46:P68 T71:T73 R69:S72 W61:W73 Y47:Y50 W45 H46 J49:K49 F54:G60 D49:E54 E48 D56:E73 E55 R46 I46:J48 K46:M46 H54:H58 G48:G53 F48:F51 H48:H51 D46:G47 I50:J73 K50:K58 K60:K69 L66:L68 K70:L73 R51 L48:L63 M47:M70 R60:R67 N60:O73 S54:U68 R54:R58 N46:O58 R48:R49 S46:X51 AB50:AC50 AA46 AA49:AC49 Y51:AC51 AB46:AB48 AF46:AF47 AF49:AF52 X54:AB73 AC70:AF73 AD69:AF69 AC54:AF58 AC60:AF68 AD59:AF59" name="Intervalo5"/>
    <protectedRange sqref="M27:M35 X32:AC33 AH34:AH35 W34:AF35 AD26:AF33 W26:AC31 D26:E35 L31 F26:F30 F32:F35 G26:J35 K26:L30 K32:L35 N26:S35 T26:V26 T28:V35 T27:U27" name="Intervalo6"/>
    <protectedRange sqref="W82:Y82" name="Intervalo11_1"/>
    <protectedRange sqref="I49" name="Intervalo5_2"/>
    <protectedRange sqref="F53" name="Intervalo5_1"/>
    <protectedRange sqref="D48" name="Intervalo5_1_1"/>
    <protectedRange sqref="D55" name="Intervalo5_3"/>
  </protectedRanges>
  <mergeCells count="16"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B2:C2"/>
    <mergeCell ref="S90:T90"/>
    <mergeCell ref="B4:C5"/>
    <mergeCell ref="B7:B18"/>
    <mergeCell ref="B20:B75"/>
    <mergeCell ref="B78:B84"/>
    <mergeCell ref="C87:D87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I96"/>
  <sheetViews>
    <sheetView showGridLines="0" workbookViewId="0" xr3:uid="{51F8DEE0-4D01-5F28-A812-FC0BD7CAC4A5}">
      <pane xSplit="3" ySplit="6" topLeftCell="S59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hidden="1" customWidth="1"/>
    <col min="8" max="8" width="14.52734375" style="4" hidden="1" customWidth="1"/>
    <col min="9" max="10" width="14.52734375" style="4" customWidth="1"/>
    <col min="11" max="13" width="14.52734375" style="4" bestFit="1" customWidth="1"/>
    <col min="14" max="15" width="14.52734375" style="4" hidden="1" customWidth="1"/>
    <col min="16" max="17" width="14.52734375" style="4" customWidth="1"/>
    <col min="18" max="20" width="14.52734375" style="4" bestFit="1" customWidth="1"/>
    <col min="21" max="22" width="14.52734375" style="4" hidden="1" customWidth="1"/>
    <col min="23" max="23" width="14.52734375" style="4" customWidth="1"/>
    <col min="24" max="24" width="14.52734375" style="4" hidden="1" customWidth="1"/>
    <col min="25" max="26" width="14.52734375" style="4" bestFit="1" customWidth="1"/>
    <col min="27" max="27" width="12.64453125" style="4" customWidth="1"/>
    <col min="28" max="29" width="14.52734375" style="4" hidden="1" customWidth="1"/>
    <col min="30" max="33" width="14.52734375" style="4" customWidth="1"/>
    <col min="34" max="34" width="14.52734375" style="4" hidden="1" customWidth="1"/>
    <col min="35" max="35" width="14.5273437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99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3" t="s">
        <v>87</v>
      </c>
      <c r="G4" s="73" t="s">
        <v>87</v>
      </c>
      <c r="H4" s="73" t="s">
        <v>87</v>
      </c>
      <c r="I4" s="70" t="s">
        <v>97</v>
      </c>
      <c r="J4" s="70" t="s">
        <v>97</v>
      </c>
      <c r="K4" s="70" t="s">
        <v>97</v>
      </c>
      <c r="L4" s="70" t="s">
        <v>97</v>
      </c>
      <c r="M4" s="70" t="s">
        <v>97</v>
      </c>
      <c r="N4" s="73" t="s">
        <v>87</v>
      </c>
      <c r="O4" s="73" t="s">
        <v>87</v>
      </c>
      <c r="P4" s="70" t="s">
        <v>97</v>
      </c>
      <c r="Q4" s="70" t="s">
        <v>97</v>
      </c>
      <c r="R4" s="70" t="s">
        <v>97</v>
      </c>
      <c r="S4" s="70" t="s">
        <v>97</v>
      </c>
      <c r="T4" s="70" t="s">
        <v>97</v>
      </c>
      <c r="U4" s="73" t="s">
        <v>87</v>
      </c>
      <c r="V4" s="73" t="s">
        <v>87</v>
      </c>
      <c r="W4" s="70" t="s">
        <v>97</v>
      </c>
      <c r="X4" s="73" t="s">
        <v>87</v>
      </c>
      <c r="Y4" s="70" t="s">
        <v>97</v>
      </c>
      <c r="Z4" s="70" t="s">
        <v>97</v>
      </c>
      <c r="AA4" s="70" t="s">
        <v>97</v>
      </c>
      <c r="AB4" s="73" t="s">
        <v>87</v>
      </c>
      <c r="AC4" s="73" t="s">
        <v>87</v>
      </c>
      <c r="AD4" s="70" t="s">
        <v>97</v>
      </c>
      <c r="AE4" s="70" t="s">
        <v>97</v>
      </c>
      <c r="AF4" s="70" t="s">
        <v>97</v>
      </c>
      <c r="AG4" s="70" t="s">
        <v>97</v>
      </c>
      <c r="AH4" s="73" t="s">
        <v>87</v>
      </c>
      <c r="AI4" s="57"/>
    </row>
    <row r="5" spans="2:35" s="11" customFormat="1" x14ac:dyDescent="0.2">
      <c r="B5" s="113"/>
      <c r="C5" s="113"/>
      <c r="D5" s="10">
        <v>42095</v>
      </c>
      <c r="E5" s="10">
        <f>D5+1</f>
        <v>42096</v>
      </c>
      <c r="F5" s="10">
        <f t="shared" ref="F5:AH5" si="0">E5+1</f>
        <v>42097</v>
      </c>
      <c r="G5" s="10">
        <f t="shared" si="0"/>
        <v>42098</v>
      </c>
      <c r="H5" s="10">
        <f t="shared" si="0"/>
        <v>42099</v>
      </c>
      <c r="I5" s="10">
        <f t="shared" si="0"/>
        <v>42100</v>
      </c>
      <c r="J5" s="10">
        <f t="shared" si="0"/>
        <v>42101</v>
      </c>
      <c r="K5" s="10">
        <f t="shared" si="0"/>
        <v>42102</v>
      </c>
      <c r="L5" s="10">
        <f t="shared" si="0"/>
        <v>42103</v>
      </c>
      <c r="M5" s="10">
        <f t="shared" si="0"/>
        <v>42104</v>
      </c>
      <c r="N5" s="10">
        <f t="shared" si="0"/>
        <v>42105</v>
      </c>
      <c r="O5" s="10">
        <f t="shared" si="0"/>
        <v>42106</v>
      </c>
      <c r="P5" s="10">
        <f t="shared" si="0"/>
        <v>42107</v>
      </c>
      <c r="Q5" s="10">
        <f t="shared" si="0"/>
        <v>42108</v>
      </c>
      <c r="R5" s="10">
        <f t="shared" si="0"/>
        <v>42109</v>
      </c>
      <c r="S5" s="10">
        <f t="shared" si="0"/>
        <v>42110</v>
      </c>
      <c r="T5" s="10">
        <f t="shared" si="0"/>
        <v>42111</v>
      </c>
      <c r="U5" s="10">
        <f t="shared" si="0"/>
        <v>42112</v>
      </c>
      <c r="V5" s="10">
        <f t="shared" si="0"/>
        <v>42113</v>
      </c>
      <c r="W5" s="10">
        <f t="shared" si="0"/>
        <v>42114</v>
      </c>
      <c r="X5" s="10">
        <f t="shared" si="0"/>
        <v>42115</v>
      </c>
      <c r="Y5" s="10">
        <f t="shared" si="0"/>
        <v>42116</v>
      </c>
      <c r="Z5" s="10">
        <f t="shared" si="0"/>
        <v>42117</v>
      </c>
      <c r="AA5" s="10">
        <f t="shared" si="0"/>
        <v>42118</v>
      </c>
      <c r="AB5" s="10">
        <f t="shared" si="0"/>
        <v>42119</v>
      </c>
      <c r="AC5" s="10">
        <f t="shared" si="0"/>
        <v>42120</v>
      </c>
      <c r="AD5" s="10">
        <f t="shared" si="0"/>
        <v>42121</v>
      </c>
      <c r="AE5" s="10">
        <f t="shared" si="0"/>
        <v>42122</v>
      </c>
      <c r="AF5" s="10">
        <f t="shared" si="0"/>
        <v>42123</v>
      </c>
      <c r="AG5" s="10">
        <f t="shared" si="0"/>
        <v>42124</v>
      </c>
      <c r="AH5" s="10">
        <f t="shared" si="0"/>
        <v>42125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Março!AG77</f>
        <v>141151.20869999981</v>
      </c>
      <c r="E6" s="13">
        <f t="shared" ref="E6:AH6" si="1">D77</f>
        <v>176160.07869999984</v>
      </c>
      <c r="F6" s="13">
        <f t="shared" si="1"/>
        <v>230701.57869999984</v>
      </c>
      <c r="G6" s="13">
        <f t="shared" si="1"/>
        <v>230701.57869999984</v>
      </c>
      <c r="H6" s="13">
        <f t="shared" si="1"/>
        <v>230701.57869999984</v>
      </c>
      <c r="I6" s="13">
        <f t="shared" si="1"/>
        <v>230701.57869999984</v>
      </c>
      <c r="J6" s="13">
        <f t="shared" si="1"/>
        <v>222645.16869999983</v>
      </c>
      <c r="K6" s="13">
        <f t="shared" si="1"/>
        <v>286827.06869999983</v>
      </c>
      <c r="L6" s="13">
        <f t="shared" si="1"/>
        <v>313495.47869999986</v>
      </c>
      <c r="M6" s="13">
        <f t="shared" si="1"/>
        <v>354990.79869999987</v>
      </c>
      <c r="N6" s="13">
        <f t="shared" si="1"/>
        <v>262886.33869999985</v>
      </c>
      <c r="O6" s="13">
        <f t="shared" si="1"/>
        <v>262886.33869999985</v>
      </c>
      <c r="P6" s="13">
        <f t="shared" si="1"/>
        <v>262886.33869999985</v>
      </c>
      <c r="Q6" s="13">
        <f t="shared" si="1"/>
        <v>369689.48869999987</v>
      </c>
      <c r="R6" s="13">
        <f t="shared" si="1"/>
        <v>458061.18869999988</v>
      </c>
      <c r="S6" s="13">
        <f t="shared" si="1"/>
        <v>309642.49869999988</v>
      </c>
      <c r="T6" s="13">
        <f t="shared" si="1"/>
        <v>353602.44869999983</v>
      </c>
      <c r="U6" s="13">
        <f t="shared" si="1"/>
        <v>353948.89869999985</v>
      </c>
      <c r="V6" s="13">
        <f t="shared" si="1"/>
        <v>353948.89869999985</v>
      </c>
      <c r="W6" s="13">
        <f t="shared" si="1"/>
        <v>353948.89869999985</v>
      </c>
      <c r="X6" s="13">
        <f t="shared" si="1"/>
        <v>24175.738699999813</v>
      </c>
      <c r="Y6" s="13">
        <f t="shared" si="1"/>
        <v>24175.738699999813</v>
      </c>
      <c r="Z6" s="13">
        <f t="shared" si="1"/>
        <v>58694.398699999809</v>
      </c>
      <c r="AA6" s="13">
        <f t="shared" si="1"/>
        <v>86838.608699999808</v>
      </c>
      <c r="AB6" s="13">
        <f t="shared" si="1"/>
        <v>61464.478699999803</v>
      </c>
      <c r="AC6" s="13">
        <f t="shared" si="1"/>
        <v>61464.478699999803</v>
      </c>
      <c r="AD6" s="13">
        <f t="shared" si="1"/>
        <v>61464.478699999803</v>
      </c>
      <c r="AE6" s="13">
        <f t="shared" si="1"/>
        <v>127939.74869999979</v>
      </c>
      <c r="AF6" s="13">
        <f t="shared" si="1"/>
        <v>186337.8186999998</v>
      </c>
      <c r="AG6" s="13">
        <f t="shared" si="1"/>
        <v>1201.9686999997939</v>
      </c>
      <c r="AH6" s="13">
        <f t="shared" si="1"/>
        <v>26437.648699999809</v>
      </c>
      <c r="AI6" s="13">
        <f>D6</f>
        <v>141151.20869999981</v>
      </c>
    </row>
    <row r="7" spans="2:35" ht="16.5" customHeight="1" x14ac:dyDescent="0.2">
      <c r="B7" s="114" t="s">
        <v>2</v>
      </c>
      <c r="C7" s="14" t="s">
        <v>50</v>
      </c>
      <c r="D7" s="15">
        <f>419</f>
        <v>419</v>
      </c>
      <c r="E7" s="15">
        <f>1052.1+636</f>
        <v>1688.1</v>
      </c>
      <c r="F7" s="15"/>
      <c r="G7" s="15"/>
      <c r="H7" s="15"/>
      <c r="I7" s="15">
        <f>433.12+456.23+886</f>
        <v>1775.35</v>
      </c>
      <c r="J7" s="15">
        <f>55+1500</f>
        <v>1555</v>
      </c>
      <c r="K7" s="15">
        <f>490.87+758.1+491</f>
        <v>1739.97</v>
      </c>
      <c r="L7" s="15">
        <f>439.45+431.03</f>
        <v>870.48</v>
      </c>
      <c r="M7" s="15">
        <f>11000</f>
        <v>11000</v>
      </c>
      <c r="N7" s="15"/>
      <c r="O7" s="15"/>
      <c r="P7" s="15">
        <f>263.03+213.05</f>
        <v>476.08</v>
      </c>
      <c r="Q7" s="15">
        <f>897</f>
        <v>897</v>
      </c>
      <c r="R7" s="15">
        <f>11000+622</f>
        <v>11622</v>
      </c>
      <c r="S7" s="15">
        <f>525+1000+239.4</f>
        <v>1764.4</v>
      </c>
      <c r="T7" s="15">
        <f>332+183</f>
        <v>515</v>
      </c>
      <c r="U7" s="15"/>
      <c r="V7" s="15"/>
      <c r="W7" s="15">
        <f>497.7+157.5</f>
        <v>655.20000000000005</v>
      </c>
      <c r="X7" s="15"/>
      <c r="Y7" s="15">
        <f>771.75+1732.5</f>
        <v>2504.25</v>
      </c>
      <c r="Z7" s="15">
        <f>478</f>
        <v>478</v>
      </c>
      <c r="AA7" s="15"/>
      <c r="AB7" s="15"/>
      <c r="AC7" s="15"/>
      <c r="AD7" s="15">
        <f>650.1</f>
        <v>650.1</v>
      </c>
      <c r="AE7" s="15">
        <f>250+465.15+335</f>
        <v>1050.1500000000001</v>
      </c>
      <c r="AF7" s="15">
        <f>913.5+673.05</f>
        <v>1586.55</v>
      </c>
      <c r="AG7" s="15">
        <f>1037.31</f>
        <v>1037.31</v>
      </c>
      <c r="AH7" s="15"/>
      <c r="AI7" s="16">
        <f>SUM(D7:AG7)</f>
        <v>42283.94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/>
      <c r="P8" s="18"/>
      <c r="Q8" s="18"/>
      <c r="R8" s="18"/>
      <c r="S8" s="18"/>
      <c r="T8" s="18"/>
      <c r="U8" s="18"/>
      <c r="V8" s="18"/>
      <c r="W8" s="18">
        <f>397+1146.8+4545.1+9.72+63.4+66.2+126.94+137.05+228.09+245.45+273.98+542.9+577.2+685.14+790.9+995.29+1046.06+1080.83+1150.47+1216.57+1448.04</f>
        <v>16773.129999999997</v>
      </c>
      <c r="X8" s="18"/>
      <c r="Y8" s="18"/>
      <c r="Z8" s="18"/>
      <c r="AA8" s="18"/>
      <c r="AB8" s="18"/>
      <c r="AC8" s="18"/>
      <c r="AD8" s="18"/>
      <c r="AE8" s="18"/>
      <c r="AG8" s="18">
        <f>1089.9+20+37+73.1+105.6+652.11+753.42+1383.3+1514.25+4417.7</f>
        <v>10046.380000000001</v>
      </c>
      <c r="AH8" s="18"/>
      <c r="AI8" s="16">
        <f>SUM(D8:AG8)</f>
        <v>26819.51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ref="AI9:AI17" si="2">SUM(D9:AG9)</f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>
        <v>20000</v>
      </c>
      <c r="X10" s="20"/>
      <c r="Y10" s="20"/>
      <c r="Z10" s="20"/>
      <c r="AA10" s="20"/>
      <c r="AB10" s="20"/>
      <c r="AC10" s="20"/>
      <c r="AD10" s="18"/>
      <c r="AE10" s="20"/>
      <c r="AF10" s="18">
        <v>125000</v>
      </c>
      <c r="AG10" s="20"/>
      <c r="AH10" s="20"/>
      <c r="AI10" s="16">
        <f t="shared" si="2"/>
        <v>145000</v>
      </c>
    </row>
    <row r="11" spans="2:35" ht="16.5" customHeight="1" x14ac:dyDescent="0.2">
      <c r="B11" s="115"/>
      <c r="C11" s="17" t="s">
        <v>53</v>
      </c>
      <c r="D11" s="18">
        <f>5491.95+693+2192.46+2103.17</f>
        <v>10480.58</v>
      </c>
      <c r="E11" s="18">
        <f>19311.59+1904.24+3383.54+886.71</f>
        <v>25486.080000000002</v>
      </c>
      <c r="F11" s="18"/>
      <c r="G11" s="18"/>
      <c r="H11" s="18"/>
      <c r="I11" s="18">
        <f>4710.94+397.95+2325.17+2125.2+466.2</f>
        <v>10025.459999999999</v>
      </c>
      <c r="J11" s="18">
        <f>34173.61+3087.75+2192.36+1964.93+561.41</f>
        <v>41980.060000000005</v>
      </c>
      <c r="K11" s="18">
        <f>18648+2146.26+3196.24+2181.99</f>
        <v>26172.489999999998</v>
      </c>
      <c r="L11" s="18">
        <f>15680.95+1087.8+3087.75</f>
        <v>19856.5</v>
      </c>
      <c r="M11" s="18">
        <f>9972.66+2075.48</f>
        <v>12048.14</v>
      </c>
      <c r="N11" s="18"/>
      <c r="O11" s="18"/>
      <c r="P11" s="18">
        <f>24360.52+4771.98+3395.42+14236.95</f>
        <v>46764.869999999995</v>
      </c>
      <c r="Q11" s="18">
        <f>58287.07+516.71+1363.8+19935.7</f>
        <v>80103.28</v>
      </c>
      <c r="R11" s="18">
        <f>15980.9+291.9+693</f>
        <v>16965.8</v>
      </c>
      <c r="S11" s="18">
        <f>430.1+8608.95+280.7+4771.98+6476.95+6335+1080.15+1161.16</f>
        <v>29144.99</v>
      </c>
      <c r="T11" s="18">
        <f>5133.14+2713</f>
        <v>7846.14</v>
      </c>
      <c r="U11" s="18"/>
      <c r="V11" s="18"/>
      <c r="W11" s="18">
        <f>12650.1+5557.72+397.95+1646.4+1631.3+658.35</f>
        <v>22541.82</v>
      </c>
      <c r="X11" s="18"/>
      <c r="Y11" s="18">
        <f>26856.02+245+505.12</f>
        <v>27606.14</v>
      </c>
      <c r="Z11" s="18">
        <f>10975.92</f>
        <v>10975.92</v>
      </c>
      <c r="AA11" s="18">
        <f>7478.09+444</f>
        <v>7922.09</v>
      </c>
      <c r="AB11" s="18"/>
      <c r="AC11" s="18"/>
      <c r="AD11" s="18">
        <f>21183.48</f>
        <v>21183.48</v>
      </c>
      <c r="AE11" s="18">
        <f>44730.64+661.5</f>
        <v>45392.14</v>
      </c>
      <c r="AF11" s="18">
        <f>12183.95</f>
        <v>12183.95</v>
      </c>
      <c r="AG11" s="18">
        <f>5597.95+8309.95+280.7+280.7+10359.77+9852.4+992.25+726.5</f>
        <v>36400.22</v>
      </c>
      <c r="AH11" s="18"/>
      <c r="AI11" s="16">
        <f t="shared" si="2"/>
        <v>511080.15</v>
      </c>
    </row>
    <row r="12" spans="2:35" ht="16.5" customHeight="1" x14ac:dyDescent="0.2">
      <c r="B12" s="115"/>
      <c r="C12" s="17" t="s">
        <v>90</v>
      </c>
      <c r="D12" s="18">
        <f>111.25+3.2</f>
        <v>114.45</v>
      </c>
      <c r="E12" s="18">
        <v>4.18</v>
      </c>
      <c r="F12" s="18"/>
      <c r="G12" s="18"/>
      <c r="H12" s="18"/>
      <c r="I12" s="18">
        <f>168.51+4.08</f>
        <v>172.59</v>
      </c>
      <c r="J12" s="18">
        <v>5.19</v>
      </c>
      <c r="K12" s="18">
        <v>5.72</v>
      </c>
      <c r="L12" s="18">
        <v>6.43</v>
      </c>
      <c r="M12" s="18">
        <v>4.8099999999999996</v>
      </c>
      <c r="N12" s="18"/>
      <c r="O12" s="18"/>
      <c r="P12" s="18">
        <f>720+6.74</f>
        <v>726.74</v>
      </c>
      <c r="Q12" s="18">
        <v>8.32</v>
      </c>
      <c r="R12" s="18">
        <v>5.65</v>
      </c>
      <c r="S12" s="18">
        <v>6.42</v>
      </c>
      <c r="T12" s="18">
        <v>6.44</v>
      </c>
      <c r="U12" s="18"/>
      <c r="V12" s="18"/>
      <c r="W12" s="18">
        <v>0.45</v>
      </c>
      <c r="X12" s="18"/>
      <c r="Y12" s="18">
        <f>2574.48+2585.49+1.06</f>
        <v>5161.03</v>
      </c>
      <c r="Z12" s="18">
        <v>1.58</v>
      </c>
      <c r="AA12" s="18">
        <v>1.1200000000000001</v>
      </c>
      <c r="AB12" s="18"/>
      <c r="AC12" s="18"/>
      <c r="AD12" s="18">
        <f>2574.48+2585.49+2.34</f>
        <v>5162.3099999999995</v>
      </c>
      <c r="AE12" s="18">
        <f>2574.48+2585.49+3.38</f>
        <v>5163.3499999999995</v>
      </c>
      <c r="AF12" s="18">
        <v>0.02</v>
      </c>
      <c r="AG12" s="18">
        <v>0.48</v>
      </c>
      <c r="AH12" s="18"/>
      <c r="AI12" s="16">
        <f t="shared" si="2"/>
        <v>16557.28</v>
      </c>
    </row>
    <row r="13" spans="2:35" ht="16.5" customHeight="1" x14ac:dyDescent="0.2">
      <c r="B13" s="115"/>
      <c r="C13" s="17" t="s">
        <v>49</v>
      </c>
      <c r="D13" s="18">
        <v>16010.24</v>
      </c>
      <c r="E13" s="18">
        <v>3480.27</v>
      </c>
      <c r="F13" s="18"/>
      <c r="G13" s="18"/>
      <c r="H13" s="18"/>
      <c r="I13" s="18">
        <v>7912.18</v>
      </c>
      <c r="J13" s="18">
        <v>8789.94</v>
      </c>
      <c r="K13" s="18">
        <v>1019.37</v>
      </c>
      <c r="L13" s="18">
        <v>6083.43</v>
      </c>
      <c r="M13" s="18">
        <v>1869.75</v>
      </c>
      <c r="N13" s="18"/>
      <c r="O13" s="18"/>
      <c r="P13" s="18">
        <v>15622.97</v>
      </c>
      <c r="Q13" s="18">
        <v>2667.75</v>
      </c>
      <c r="R13" s="18">
        <v>144.61000000000001</v>
      </c>
      <c r="S13" s="18">
        <v>2897.11</v>
      </c>
      <c r="T13" s="18">
        <v>6327.23</v>
      </c>
      <c r="U13" s="18"/>
      <c r="V13" s="18"/>
      <c r="W13" s="18">
        <v>10950.96</v>
      </c>
      <c r="X13" s="18"/>
      <c r="Y13" s="18">
        <v>3690.57</v>
      </c>
      <c r="Z13" s="18">
        <f>774.93</f>
        <v>774.93</v>
      </c>
      <c r="AA13" s="18">
        <v>823.46</v>
      </c>
      <c r="AB13" s="18"/>
      <c r="AC13" s="18"/>
      <c r="AD13" s="18">
        <v>12090.26</v>
      </c>
      <c r="AE13" s="18">
        <v>68.489999999999995</v>
      </c>
      <c r="AF13" s="18">
        <v>801.59</v>
      </c>
      <c r="AG13" s="18">
        <v>1269.42</v>
      </c>
      <c r="AH13" s="18"/>
      <c r="AI13" s="16">
        <f t="shared" si="2"/>
        <v>103294.53</v>
      </c>
    </row>
    <row r="14" spans="2:35" ht="16.5" customHeight="1" x14ac:dyDescent="0.2">
      <c r="B14" s="115"/>
      <c r="C14" s="17" t="s">
        <v>54</v>
      </c>
      <c r="D14" s="18">
        <v>996.72</v>
      </c>
      <c r="E14" s="18">
        <v>884.48</v>
      </c>
      <c r="F14" s="18"/>
      <c r="G14" s="18"/>
      <c r="H14" s="18"/>
      <c r="I14" s="18">
        <v>6631.59</v>
      </c>
      <c r="J14" s="18">
        <v>137.35</v>
      </c>
      <c r="K14" s="18">
        <v>66.33</v>
      </c>
      <c r="L14" s="18">
        <v>2605.56</v>
      </c>
      <c r="M14" s="18">
        <v>373.35</v>
      </c>
      <c r="N14" s="18"/>
      <c r="O14" s="18"/>
      <c r="P14" s="18">
        <v>6130.71</v>
      </c>
      <c r="Q14" s="18">
        <v>80.95</v>
      </c>
      <c r="R14" s="18">
        <v>1718.77</v>
      </c>
      <c r="S14" s="18">
        <v>512.94000000000005</v>
      </c>
      <c r="T14" s="18">
        <v>1265.01</v>
      </c>
      <c r="U14" s="18"/>
      <c r="V14" s="18"/>
      <c r="W14" s="18">
        <v>3587.31</v>
      </c>
      <c r="X14" s="18"/>
      <c r="Y14" s="18">
        <v>1129.26</v>
      </c>
      <c r="Z14" s="18">
        <v>0</v>
      </c>
      <c r="AA14" s="18">
        <v>2765.77</v>
      </c>
      <c r="AB14" s="18"/>
      <c r="AC14" s="18"/>
      <c r="AD14" s="18">
        <v>5645.78</v>
      </c>
      <c r="AE14" s="18">
        <v>163.37</v>
      </c>
      <c r="AF14" s="18">
        <v>63.93</v>
      </c>
      <c r="AG14" s="18">
        <v>232.7</v>
      </c>
      <c r="AH14" s="18"/>
      <c r="AI14" s="16">
        <f t="shared" si="2"/>
        <v>34991.879999999997</v>
      </c>
    </row>
    <row r="15" spans="2:35" ht="16.5" customHeight="1" x14ac:dyDescent="0.2">
      <c r="B15" s="115"/>
      <c r="C15" s="17" t="s">
        <v>55</v>
      </c>
      <c r="D15" s="18">
        <v>909.19</v>
      </c>
      <c r="E15" s="18">
        <f>877.02+1527.5</f>
        <v>2404.52</v>
      </c>
      <c r="F15" s="18"/>
      <c r="G15" s="18"/>
      <c r="H15" s="18"/>
      <c r="I15" s="18">
        <f>3175.71+45.33</f>
        <v>3221.04</v>
      </c>
      <c r="J15" s="18">
        <f>245.59+69.05</f>
        <v>314.64</v>
      </c>
      <c r="K15" s="18"/>
      <c r="L15" s="18">
        <f>1047.92+22.57</f>
        <v>1070.49</v>
      </c>
      <c r="M15" s="18">
        <f>1228.73+182.7</f>
        <v>1411.43</v>
      </c>
      <c r="N15" s="18"/>
      <c r="O15" s="18"/>
      <c r="P15" s="18">
        <f>1589.54+40.42</f>
        <v>1629.96</v>
      </c>
      <c r="Q15" s="18">
        <v>141.78</v>
      </c>
      <c r="R15" s="18">
        <v>3234.78</v>
      </c>
      <c r="S15" s="18">
        <v>747.34</v>
      </c>
      <c r="T15" s="18">
        <v>428.79</v>
      </c>
      <c r="U15" s="18"/>
      <c r="V15" s="18"/>
      <c r="W15" s="18">
        <f>1857.62+1236.37</f>
        <v>3093.99</v>
      </c>
      <c r="X15" s="18"/>
      <c r="Y15" s="18">
        <v>517.73</v>
      </c>
      <c r="Z15" s="18">
        <v>0</v>
      </c>
      <c r="AA15" s="18"/>
      <c r="AB15" s="18"/>
      <c r="AC15" s="18"/>
      <c r="AD15" s="18">
        <f>1536.65+9.81</f>
        <v>1546.46</v>
      </c>
      <c r="AE15" s="18">
        <f>919.85+51.51</f>
        <v>971.36</v>
      </c>
      <c r="AF15" s="18">
        <v>218.81</v>
      </c>
      <c r="AG15" s="18">
        <v>52.3</v>
      </c>
      <c r="AH15" s="18"/>
      <c r="AI15" s="16">
        <f t="shared" si="2"/>
        <v>21914.610000000004</v>
      </c>
    </row>
    <row r="16" spans="2:35" ht="16.5" customHeight="1" x14ac:dyDescent="0.2">
      <c r="B16" s="115"/>
      <c r="C16" s="17" t="s">
        <v>56</v>
      </c>
      <c r="D16" s="18">
        <v>11550.2</v>
      </c>
      <c r="E16" s="18">
        <v>7272.47</v>
      </c>
      <c r="F16" s="18"/>
      <c r="G16" s="18"/>
      <c r="H16" s="18"/>
      <c r="I16" s="18">
        <v>28930.7</v>
      </c>
      <c r="J16" s="18">
        <v>6741.7</v>
      </c>
      <c r="K16" s="18">
        <f>3199.65+287.93</f>
        <v>3487.58</v>
      </c>
      <c r="L16" s="18">
        <v>8229.27</v>
      </c>
      <c r="M16" s="18">
        <v>3490.71</v>
      </c>
      <c r="N16" s="18"/>
      <c r="O16" s="18"/>
      <c r="P16" s="18">
        <v>37197.019999999997</v>
      </c>
      <c r="Q16" s="18">
        <v>9549.19</v>
      </c>
      <c r="R16" s="18">
        <f>1984.86+4460.64</f>
        <v>6445.5</v>
      </c>
      <c r="S16" s="18">
        <v>2189.9499999999998</v>
      </c>
      <c r="T16" s="18">
        <v>5202.67</v>
      </c>
      <c r="U16" s="18"/>
      <c r="V16" s="18"/>
      <c r="W16" s="18">
        <f>561.56+27428.91</f>
        <v>27990.47</v>
      </c>
      <c r="X16" s="18"/>
      <c r="Y16" s="18">
        <f>21375.47</f>
        <v>21375.47</v>
      </c>
      <c r="Z16" s="18">
        <f>11034.69</f>
        <v>11034.69</v>
      </c>
      <c r="AA16" s="18"/>
      <c r="AB16" s="18"/>
      <c r="AC16" s="18"/>
      <c r="AD16" s="18">
        <v>26849.35</v>
      </c>
      <c r="AE16" s="18">
        <v>2836.4</v>
      </c>
      <c r="AF16" s="18">
        <v>10281.51</v>
      </c>
      <c r="AG16" s="18">
        <v>9386.94</v>
      </c>
      <c r="AH16" s="18"/>
      <c r="AI16" s="16">
        <f t="shared" si="2"/>
        <v>240041.79</v>
      </c>
    </row>
    <row r="17" spans="2:35" ht="16.5" customHeight="1" x14ac:dyDescent="0.2">
      <c r="B17" s="115"/>
      <c r="C17" s="17" t="s">
        <v>48</v>
      </c>
      <c r="D17" s="18">
        <v>2906.26</v>
      </c>
      <c r="E17" s="18">
        <v>13417.22</v>
      </c>
      <c r="F17" s="18"/>
      <c r="G17" s="18"/>
      <c r="H17" s="18"/>
      <c r="I17" s="18">
        <v>12591.14</v>
      </c>
      <c r="J17" s="18">
        <f>4133.53+571.77</f>
        <v>4705.2999999999993</v>
      </c>
      <c r="K17" s="18">
        <v>587</v>
      </c>
      <c r="L17" s="18">
        <v>2877.38</v>
      </c>
      <c r="M17" s="18">
        <f>287.93+3165.49</f>
        <v>3453.4199999999996</v>
      </c>
      <c r="N17" s="18"/>
      <c r="O17" s="18"/>
      <c r="P17" s="18">
        <f>324.68+24715.23+1820.92</f>
        <v>26860.83</v>
      </c>
      <c r="Q17" s="18">
        <v>5952.98</v>
      </c>
      <c r="R17" s="18">
        <f>1323.25+143.33</f>
        <v>1466.58</v>
      </c>
      <c r="S17" s="18">
        <f>605.46+6096.86</f>
        <v>6702.32</v>
      </c>
      <c r="T17" s="18">
        <v>1778.17</v>
      </c>
      <c r="U17" s="18"/>
      <c r="V17" s="18"/>
      <c r="W17" s="18">
        <f>1162.94+9710.56+14.59</f>
        <v>10888.09</v>
      </c>
      <c r="X17" s="18"/>
      <c r="Y17" s="18">
        <f>3668.47</f>
        <v>3668.47</v>
      </c>
      <c r="Z17" s="18">
        <f>4921.21</f>
        <v>4921.21</v>
      </c>
      <c r="AA17" s="18">
        <f>661.62+4201.81</f>
        <v>4863.43</v>
      </c>
      <c r="AB17" s="18"/>
      <c r="AC17" s="18"/>
      <c r="AD17" s="18">
        <v>11489.71</v>
      </c>
      <c r="AE17" s="18">
        <v>8023.14</v>
      </c>
      <c r="AF17" s="18">
        <v>3980.32</v>
      </c>
      <c r="AG17" s="18">
        <v>6860.8</v>
      </c>
      <c r="AH17" s="18"/>
      <c r="AI17" s="16">
        <f t="shared" si="2"/>
        <v>137993.76999999996</v>
      </c>
    </row>
    <row r="18" spans="2:35" ht="16.5" customHeight="1" x14ac:dyDescent="0.2">
      <c r="B18" s="115"/>
      <c r="C18" s="21" t="s">
        <v>31</v>
      </c>
      <c r="D18" s="22">
        <f>SUM(D7:D17)</f>
        <v>43386.640000000007</v>
      </c>
      <c r="E18" s="22">
        <f t="shared" ref="E18:AH18" si="3">SUM(E7:E17)</f>
        <v>54637.32</v>
      </c>
      <c r="F18" s="22">
        <f t="shared" si="3"/>
        <v>0</v>
      </c>
      <c r="G18" s="22">
        <f t="shared" si="3"/>
        <v>0</v>
      </c>
      <c r="H18" s="22">
        <f t="shared" si="3"/>
        <v>0</v>
      </c>
      <c r="I18" s="22">
        <f t="shared" si="3"/>
        <v>71260.05</v>
      </c>
      <c r="J18" s="22">
        <f t="shared" si="3"/>
        <v>64229.180000000008</v>
      </c>
      <c r="K18" s="22">
        <f t="shared" si="3"/>
        <v>33078.46</v>
      </c>
      <c r="L18" s="22">
        <f t="shared" si="3"/>
        <v>41599.54</v>
      </c>
      <c r="M18" s="22">
        <f t="shared" si="3"/>
        <v>33651.61</v>
      </c>
      <c r="N18" s="22">
        <f t="shared" si="3"/>
        <v>0</v>
      </c>
      <c r="O18" s="22">
        <f t="shared" si="3"/>
        <v>0</v>
      </c>
      <c r="P18" s="22">
        <f t="shared" si="3"/>
        <v>135409.18</v>
      </c>
      <c r="Q18" s="22">
        <f t="shared" si="3"/>
        <v>99401.25</v>
      </c>
      <c r="R18" s="22">
        <f t="shared" si="3"/>
        <v>41603.69</v>
      </c>
      <c r="S18" s="22">
        <f t="shared" si="3"/>
        <v>43965.469999999994</v>
      </c>
      <c r="T18" s="22">
        <f t="shared" si="3"/>
        <v>23369.449999999997</v>
      </c>
      <c r="U18" s="22">
        <f t="shared" si="3"/>
        <v>0</v>
      </c>
      <c r="V18" s="22">
        <f t="shared" si="3"/>
        <v>0</v>
      </c>
      <c r="W18" s="22">
        <f t="shared" si="3"/>
        <v>116481.42</v>
      </c>
      <c r="X18" s="22">
        <f t="shared" si="3"/>
        <v>0</v>
      </c>
      <c r="Y18" s="22">
        <f t="shared" si="3"/>
        <v>65652.92</v>
      </c>
      <c r="Z18" s="22">
        <f t="shared" si="3"/>
        <v>28186.33</v>
      </c>
      <c r="AA18" s="22">
        <f t="shared" si="3"/>
        <v>16375.87</v>
      </c>
      <c r="AB18" s="22">
        <f t="shared" si="3"/>
        <v>0</v>
      </c>
      <c r="AC18" s="22">
        <f t="shared" si="3"/>
        <v>0</v>
      </c>
      <c r="AD18" s="22">
        <f t="shared" si="3"/>
        <v>84617.449999999983</v>
      </c>
      <c r="AE18" s="22">
        <f t="shared" si="3"/>
        <v>63668.4</v>
      </c>
      <c r="AF18" s="22">
        <f t="shared" si="3"/>
        <v>154116.68</v>
      </c>
      <c r="AG18" s="22">
        <f t="shared" si="3"/>
        <v>65286.55000000001</v>
      </c>
      <c r="AH18" s="22">
        <f t="shared" si="3"/>
        <v>0</v>
      </c>
      <c r="AI18" s="23">
        <f>SUM(D18:AG18)</f>
        <v>1279977.4599999997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>
        <f>6246.47+1573.47</f>
        <v>7819.9400000000005</v>
      </c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7819.9400000000005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G20" s="26"/>
      <c r="H20" s="26"/>
      <c r="I20" s="26">
        <f>4457.56</f>
        <v>4457.5600000000004</v>
      </c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SUM(D20:AG20)</f>
        <v>4457.5600000000004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62029.4+1482.2+891+594+41927.6</f>
        <v>106924.2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G21" s="26"/>
      <c r="AH21" s="26"/>
      <c r="AI21" s="19">
        <f>SUM(D21:AG21)</f>
        <v>106924.2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>
        <f>651.92</f>
        <v>651.91999999999996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651.91999999999996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26"/>
      <c r="H23" s="26"/>
      <c r="I23" s="26">
        <f>1256.61</f>
        <v>1256.6099999999999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1256.6099999999999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26"/>
      <c r="H24" s="26"/>
      <c r="I24" s="26">
        <f>630.32+603.69</f>
        <v>1234.0100000000002</v>
      </c>
      <c r="J24" s="26"/>
      <c r="L24" s="26"/>
      <c r="M24" s="26"/>
      <c r="N24" s="26"/>
      <c r="O24" s="26"/>
      <c r="P24" s="26">
        <f>100.27</f>
        <v>100.27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4"/>
        <v>1334.2800000000002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0</v>
      </c>
      <c r="H25" s="29">
        <f t="shared" si="5"/>
        <v>0</v>
      </c>
      <c r="I25" s="29">
        <f t="shared" si="5"/>
        <v>-15420.04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-100.27</v>
      </c>
      <c r="Q25" s="29">
        <f t="shared" si="5"/>
        <v>0</v>
      </c>
      <c r="R25" s="29">
        <f>-SUM(R19:R24)</f>
        <v>-106924.2</v>
      </c>
      <c r="S25" s="29">
        <f t="shared" si="5"/>
        <v>0</v>
      </c>
      <c r="T25" s="29">
        <f>-SUM(T19:T24)</f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 t="shared" si="5"/>
        <v>0</v>
      </c>
      <c r="AF25" s="29">
        <f>-SUM(AF19:AF24)</f>
        <v>0</v>
      </c>
      <c r="AG25" s="29">
        <f t="shared" si="5"/>
        <v>0</v>
      </c>
      <c r="AH25" s="29">
        <f t="shared" si="5"/>
        <v>0</v>
      </c>
      <c r="AI25" s="29">
        <f>-SUM(AI19:AI24)</f>
        <v>-122444.51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42.61+33.81+11.76+16.23+18.65+439.53+10.8+56.25+29.36</f>
        <v>658.99999999999989</v>
      </c>
      <c r="U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SUM(D27:AG27)</f>
        <v>658.99999999999989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0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>
        <v>54224.86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54224.86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26">
        <v>13381.47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6"/>
        <v>13381.47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>
        <f>7389.88-2699.34</f>
        <v>4690.54</v>
      </c>
      <c r="Z32" s="26"/>
      <c r="AA32" s="26"/>
      <c r="AB32" s="26"/>
      <c r="AC32" s="26"/>
      <c r="AD32" s="26"/>
      <c r="AE32" s="26"/>
      <c r="AF32" s="26"/>
      <c r="AG32" s="26"/>
      <c r="AH32" s="26"/>
      <c r="AI32" s="19">
        <f t="shared" si="6"/>
        <v>4690.54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>
        <f>34107.12-12523.47</f>
        <v>21583.65</v>
      </c>
      <c r="Z33" s="26"/>
      <c r="AA33" s="26"/>
      <c r="AB33" s="26"/>
      <c r="AC33" s="26"/>
      <c r="AD33" s="26"/>
      <c r="AE33" s="26"/>
      <c r="AF33" s="26"/>
      <c r="AG33" s="26"/>
      <c r="AH33" s="26"/>
      <c r="AI33" s="19">
        <f t="shared" si="6"/>
        <v>21583.65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>
        <f>(85319.98+90317+102167.39)-58877.14</f>
        <v>218927.22999999998</v>
      </c>
      <c r="AG34" s="26"/>
      <c r="AH34" s="26"/>
      <c r="AI34" s="19">
        <f t="shared" si="6"/>
        <v>218927.22999999998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>
        <f>(37500.26+33954.12+32875.19)-12182.02</f>
        <v>92147.55</v>
      </c>
      <c r="AG35" s="26"/>
      <c r="AH35" s="26"/>
      <c r="AI35" s="19">
        <f t="shared" si="6"/>
        <v>92147.55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0</v>
      </c>
      <c r="L36" s="29">
        <f t="shared" si="7"/>
        <v>0</v>
      </c>
      <c r="M36" s="29">
        <f t="shared" si="7"/>
        <v>-67606.33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 t="shared" si="8"/>
        <v>-658.99999999999989</v>
      </c>
      <c r="U36" s="29">
        <f t="shared" si="8"/>
        <v>0</v>
      </c>
      <c r="V36" s="29">
        <f t="shared" si="8"/>
        <v>0</v>
      </c>
      <c r="W36" s="29">
        <f t="shared" si="8"/>
        <v>0</v>
      </c>
      <c r="X36" s="29">
        <f t="shared" si="8"/>
        <v>0</v>
      </c>
      <c r="Y36" s="29">
        <f t="shared" si="8"/>
        <v>-26274.190000000002</v>
      </c>
      <c r="Z36" s="29">
        <f t="shared" si="8"/>
        <v>0</v>
      </c>
      <c r="AA36" s="29">
        <f t="shared" si="8"/>
        <v>0</v>
      </c>
      <c r="AB36" s="29">
        <f t="shared" si="8"/>
        <v>0</v>
      </c>
      <c r="AC36" s="29">
        <f t="shared" si="8"/>
        <v>0</v>
      </c>
      <c r="AD36" s="29">
        <f t="shared" si="8"/>
        <v>0</v>
      </c>
      <c r="AE36" s="29">
        <f t="shared" si="8"/>
        <v>0</v>
      </c>
      <c r="AF36" s="29">
        <f>-SUM(AF26:AF35)</f>
        <v>-311074.77999999997</v>
      </c>
      <c r="AG36" s="29">
        <f t="shared" si="8"/>
        <v>0</v>
      </c>
      <c r="AH36" s="29">
        <f t="shared" si="8"/>
        <v>0</v>
      </c>
      <c r="AI36" s="29">
        <f>-SUM(AI26:AI35)</f>
        <v>-405614.3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/>
      <c r="M38" s="18"/>
      <c r="N38" s="18"/>
      <c r="O38" s="18"/>
      <c r="P38" s="18">
        <v>20933.14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9">SUM(D38:AG38)</f>
        <v>20933.14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0</v>
      </c>
      <c r="J40" s="29">
        <f t="shared" si="10"/>
        <v>0</v>
      </c>
      <c r="K40" s="29">
        <f t="shared" si="10"/>
        <v>0</v>
      </c>
      <c r="L40" s="29">
        <f t="shared" si="10"/>
        <v>0</v>
      </c>
      <c r="M40" s="29">
        <f t="shared" si="10"/>
        <v>0</v>
      </c>
      <c r="N40" s="29">
        <f t="shared" si="10"/>
        <v>0</v>
      </c>
      <c r="O40" s="29">
        <f t="shared" si="10"/>
        <v>0</v>
      </c>
      <c r="P40" s="29">
        <f t="shared" si="10"/>
        <v>-20933.14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0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0</v>
      </c>
      <c r="AH40" s="29">
        <f t="shared" si="10"/>
        <v>0</v>
      </c>
      <c r="AI40" s="29">
        <f t="shared" si="10"/>
        <v>-20933.14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(2520*159)-2574.18</f>
        <v>398105.82</v>
      </c>
      <c r="X41" s="58"/>
      <c r="Y41" s="18"/>
      <c r="Z41" s="18"/>
      <c r="AA41" s="58"/>
      <c r="AB41" s="18"/>
      <c r="AC41" s="18"/>
      <c r="AD41" s="18">
        <f>2574.48+2585.49</f>
        <v>5159.9699999999993</v>
      </c>
      <c r="AE41" s="18">
        <f>2574.48+2585.49</f>
        <v>5159.9699999999993</v>
      </c>
      <c r="AG41" s="18"/>
      <c r="AH41" s="18"/>
      <c r="AI41" s="19">
        <f>SUM(D41:AG41)</f>
        <v>408425.75999999995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Z42" s="18"/>
      <c r="AA42" s="18"/>
      <c r="AB42" s="18"/>
      <c r="AC42" s="18"/>
      <c r="AD42" s="18"/>
      <c r="AE42" s="58"/>
      <c r="AF42" s="18"/>
      <c r="AH42" s="18"/>
      <c r="AI42" s="19">
        <f>SUM(D42:AF42)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>
        <v>111.25</v>
      </c>
      <c r="L43" s="18"/>
      <c r="M43" s="18"/>
      <c r="N43" s="18"/>
      <c r="O43" s="18"/>
      <c r="P43" s="18"/>
      <c r="Q43" s="18">
        <v>11000</v>
      </c>
      <c r="R43" s="18"/>
      <c r="S43" s="18"/>
      <c r="T43" s="18">
        <v>6000</v>
      </c>
      <c r="U43" s="18"/>
      <c r="V43" s="18"/>
      <c r="W43" s="18"/>
      <c r="X43" s="18"/>
      <c r="Y43" s="18"/>
      <c r="Z43" s="18"/>
      <c r="AA43" s="18">
        <v>40000</v>
      </c>
      <c r="AB43" s="18"/>
      <c r="AC43" s="18"/>
      <c r="AD43" s="18">
        <v>7000</v>
      </c>
      <c r="AE43" s="18"/>
      <c r="AF43" s="26">
        <v>12000</v>
      </c>
      <c r="AG43" s="18">
        <v>40000</v>
      </c>
      <c r="AH43" s="18"/>
      <c r="AI43" s="19">
        <f>SUM(D43:AG43)</f>
        <v>116111.25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26"/>
      <c r="AG44" s="18"/>
      <c r="AH44" s="18"/>
      <c r="AI44" s="19">
        <f>SUM(D44:AG44)</f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>
        <v>40676.089999999997</v>
      </c>
      <c r="J45" s="18"/>
      <c r="L45" s="18"/>
      <c r="M45" s="18">
        <v>27352.78</v>
      </c>
      <c r="N45" s="18"/>
      <c r="O45" s="18"/>
      <c r="P45" s="18"/>
      <c r="Q45" s="18"/>
      <c r="R45" s="18">
        <v>43631.85</v>
      </c>
      <c r="S45" s="18"/>
      <c r="T45" s="18">
        <v>13391.13</v>
      </c>
      <c r="U45" s="18"/>
      <c r="V45" s="18"/>
      <c r="W45" s="26"/>
      <c r="X45" s="18"/>
      <c r="Y45" s="18"/>
      <c r="Z45" s="18"/>
      <c r="AA45" s="18"/>
      <c r="AB45" s="18"/>
      <c r="AC45" s="18"/>
      <c r="AD45" s="18"/>
      <c r="AE45" s="18"/>
      <c r="AF45" s="26"/>
      <c r="AG45" s="18"/>
      <c r="AH45" s="18"/>
      <c r="AI45" s="19">
        <f>SUM(D45:AG45)</f>
        <v>125051.85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7919.79+20675.39</f>
        <v>28595.18</v>
      </c>
      <c r="N46" s="26"/>
      <c r="O46" s="26"/>
      <c r="P46" s="26"/>
      <c r="Q46" s="26"/>
      <c r="R46" s="26"/>
      <c r="S46" s="26"/>
      <c r="T46" s="26"/>
      <c r="U46" s="26"/>
      <c r="V46" s="26"/>
      <c r="W46" s="26">
        <v>46575.56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>SUM(D46:AG46)</f>
        <v>75170.739999999991</v>
      </c>
    </row>
    <row r="47" spans="2:35" ht="16.5" customHeight="1" x14ac:dyDescent="0.2">
      <c r="B47" s="117"/>
      <c r="C47" s="25" t="s">
        <v>79</v>
      </c>
      <c r="D47" s="26">
        <f>144.8+210+156.8</f>
        <v>511.6</v>
      </c>
      <c r="E47" s="26"/>
      <c r="F47" s="26"/>
      <c r="G47" s="26"/>
      <c r="I47" s="26">
        <f>3613.1+792+4965.31</f>
        <v>9370.41</v>
      </c>
      <c r="J47" s="26"/>
      <c r="K47" s="26">
        <f>1961.7+1224.34</f>
        <v>3186.04</v>
      </c>
      <c r="M47" s="26"/>
      <c r="N47" s="26"/>
      <c r="O47" s="26"/>
      <c r="P47" s="26">
        <f>1928.43+66+86.2</f>
        <v>2080.63</v>
      </c>
      <c r="Q47" s="26"/>
      <c r="R47" s="18">
        <f>207.45+18828.53+49.4</f>
        <v>19085.38</v>
      </c>
      <c r="S47" s="26"/>
      <c r="T47" s="26">
        <f>66+2473.22</f>
        <v>2539.2199999999998</v>
      </c>
      <c r="U47" s="26"/>
      <c r="V47" s="26"/>
      <c r="W47" s="26"/>
      <c r="X47" s="26"/>
      <c r="Y47" s="4">
        <v>262.5</v>
      </c>
      <c r="Z47" s="26"/>
      <c r="AA47" s="58"/>
      <c r="AB47" s="26"/>
      <c r="AC47" s="26"/>
      <c r="AD47" s="26">
        <f>3919.41</f>
        <v>3919.41</v>
      </c>
      <c r="AE47" s="26"/>
      <c r="AF47" s="26">
        <f>1749.96+3903.79+811.52+33+141.8+55</f>
        <v>6695.0700000000006</v>
      </c>
      <c r="AG47" s="26"/>
      <c r="AH47" s="26"/>
      <c r="AI47" s="19">
        <f>SUM(D47:AG47)</f>
        <v>47650.26</v>
      </c>
    </row>
    <row r="48" spans="2:35" ht="16.5" customHeight="1" x14ac:dyDescent="0.2">
      <c r="B48" s="117"/>
      <c r="C48" s="25" t="s">
        <v>35</v>
      </c>
      <c r="D48" s="26">
        <v>7464.98</v>
      </c>
      <c r="E48" s="26"/>
      <c r="F48" s="26"/>
      <c r="G48" s="26"/>
      <c r="H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D48" s="26"/>
      <c r="AE48" s="26"/>
      <c r="AF48" s="26"/>
      <c r="AG48" s="58"/>
      <c r="AH48" s="26"/>
      <c r="AI48" s="19">
        <f>SUM(D48:AF48)</f>
        <v>7464.98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>SUM(D49:AG49)</f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/>
      <c r="AC50" s="26"/>
      <c r="AD50" s="26">
        <f>153.9</f>
        <v>153.9</v>
      </c>
      <c r="AE50" s="26"/>
      <c r="AF50" s="26"/>
      <c r="AG50" s="26"/>
      <c r="AH50" s="26"/>
      <c r="AI50" s="19">
        <f>SUM(D50:AG50)</f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>
        <v>930.3</v>
      </c>
      <c r="L51" s="26"/>
      <c r="M51" s="26"/>
      <c r="N51" s="26"/>
      <c r="O51" s="26"/>
      <c r="P51" s="26"/>
      <c r="Q51" s="26"/>
      <c r="R51" s="26">
        <f>223.7</f>
        <v>223.7</v>
      </c>
      <c r="S51" s="26"/>
      <c r="T51" s="26"/>
      <c r="U51" s="26"/>
      <c r="V51" s="26"/>
      <c r="W51" s="26">
        <v>69.900000000000006</v>
      </c>
      <c r="X51" s="26"/>
      <c r="Y51" s="26"/>
      <c r="Z51" s="26"/>
      <c r="AA51" s="26"/>
      <c r="AB51" s="26"/>
      <c r="AC51" s="26"/>
      <c r="AD51" s="26"/>
      <c r="AE51" s="26"/>
      <c r="AF51" s="26">
        <f>622+337.6</f>
        <v>959.6</v>
      </c>
      <c r="AG51" s="26"/>
      <c r="AH51" s="26"/>
      <c r="AI51" s="19">
        <f>SUM(D51:AG51)</f>
        <v>2183.5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>SUM(D52:AG52)</f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f>14977.99</f>
        <v>14977.99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G53" s="58"/>
      <c r="AH53" s="26"/>
      <c r="AI53" s="19">
        <f>SUM(D53:AE53)</f>
        <v>14977.99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900.36</f>
        <v>900.36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v>3180</v>
      </c>
      <c r="AG54" s="58"/>
      <c r="AH54" s="26"/>
      <c r="AI54" s="19">
        <f>SUM(D54:AF54)</f>
        <v>4080.36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f>585.9</f>
        <v>585.9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425.65</v>
      </c>
      <c r="AG55" s="26"/>
      <c r="AH55" s="26"/>
      <c r="AI55" s="19">
        <f>SUM(D55:AG55)</f>
        <v>1011.55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>SUM(D56:AG56)</f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>SUM(D57:AG57)</f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>SUM(D58:AG58)</f>
        <v>0</v>
      </c>
    </row>
    <row r="59" spans="2:35" ht="16.5" customHeight="1" x14ac:dyDescent="0.2">
      <c r="B59" s="117"/>
      <c r="C59" s="25" t="s">
        <v>32</v>
      </c>
      <c r="E59" s="58"/>
      <c r="F59" s="26"/>
      <c r="G59" s="26"/>
      <c r="I59" s="26">
        <f>7950+3500</f>
        <v>11450</v>
      </c>
      <c r="J59" s="26"/>
      <c r="K59" s="26"/>
      <c r="L59" s="26"/>
      <c r="M59" s="26">
        <f>720</f>
        <v>720</v>
      </c>
      <c r="O59" s="26"/>
      <c r="P59" s="26">
        <f>3693.75+1590</f>
        <v>5283.75</v>
      </c>
      <c r="Q59" s="26"/>
      <c r="R59" s="26">
        <f>1444+614+359.2+720</f>
        <v>3137.2</v>
      </c>
      <c r="S59" s="26"/>
      <c r="T59" s="26"/>
      <c r="U59" s="26"/>
      <c r="V59" s="26"/>
      <c r="W59" s="26">
        <v>816</v>
      </c>
      <c r="X59" s="26"/>
      <c r="Y59" s="26"/>
      <c r="Z59" s="26"/>
      <c r="AA59" s="26"/>
      <c r="AB59" s="26"/>
      <c r="AD59" s="26"/>
      <c r="AE59" s="26"/>
      <c r="AF59" s="26"/>
      <c r="AG59" s="26"/>
      <c r="AH59" s="26"/>
      <c r="AI59" s="19">
        <f>SUM(F59:AG59)</f>
        <v>21406.95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ref="AI60:AI73" si="11">SUM(D60:AG60)</f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>
        <v>4212</v>
      </c>
      <c r="Z62" s="26"/>
      <c r="AB62" s="26"/>
      <c r="AC62" s="26"/>
      <c r="AD62" s="58"/>
      <c r="AE62" s="26"/>
      <c r="AF62" s="26"/>
      <c r="AG62" s="26"/>
      <c r="AH62" s="26"/>
      <c r="AI62" s="19">
        <f t="shared" si="11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1"/>
        <v>0</v>
      </c>
    </row>
    <row r="64" spans="2:35" ht="16.5" customHeight="1" x14ac:dyDescent="0.2">
      <c r="B64" s="117"/>
      <c r="C64" s="25" t="s">
        <v>75</v>
      </c>
      <c r="D64" s="26">
        <v>300</v>
      </c>
      <c r="E64" s="26"/>
      <c r="F64" s="26"/>
      <c r="G64" s="26"/>
      <c r="H64" s="26"/>
      <c r="I64" s="26">
        <f>1161.72</f>
        <v>1161.72</v>
      </c>
      <c r="J64" s="26"/>
      <c r="K64" s="26"/>
      <c r="L64" s="58"/>
      <c r="M64" s="26">
        <f>301</f>
        <v>301</v>
      </c>
      <c r="N64" s="26"/>
      <c r="O64" s="26"/>
      <c r="P64" s="26"/>
      <c r="Q64" s="26"/>
      <c r="R64" s="26"/>
      <c r="S64" s="26"/>
      <c r="T64" s="26">
        <f>190.87</f>
        <v>190.87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>
        <f>2863.6</f>
        <v>2863.6</v>
      </c>
      <c r="AG64" s="26"/>
      <c r="AH64" s="26"/>
      <c r="AI64" s="19">
        <f t="shared" si="11"/>
        <v>4817.1900000000005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f>164.7+164.7</f>
        <v>329.4</v>
      </c>
      <c r="L65" s="58"/>
      <c r="M65" s="26"/>
      <c r="N65" s="26"/>
      <c r="O65" s="26"/>
      <c r="P65" s="26"/>
      <c r="Q65" s="26"/>
      <c r="R65" s="26"/>
      <c r="S65" s="26"/>
      <c r="T65" s="26">
        <v>170.2</v>
      </c>
      <c r="U65" s="26"/>
      <c r="V65" s="26"/>
      <c r="W65" s="26"/>
      <c r="X65" s="26"/>
      <c r="Y65" s="26"/>
      <c r="Z65" s="26"/>
      <c r="AA65" s="26"/>
      <c r="AB65" s="26"/>
      <c r="AC65" s="26"/>
      <c r="AD65" s="26">
        <f>918</f>
        <v>918</v>
      </c>
      <c r="AE65" s="26"/>
      <c r="AF65" s="26"/>
      <c r="AG65" s="26"/>
      <c r="AH65" s="26"/>
      <c r="AI65" s="19">
        <f t="shared" si="11"/>
        <v>1417.6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>
        <f>397.43</f>
        <v>397.43</v>
      </c>
      <c r="J67" s="26"/>
      <c r="K67" s="26"/>
      <c r="L67" s="26"/>
      <c r="M67" s="26">
        <v>364.08</v>
      </c>
      <c r="N67" s="26"/>
      <c r="O67" s="26"/>
      <c r="P67" s="26"/>
      <c r="Q67" s="26"/>
      <c r="R67" s="26">
        <f>411.31+401.66</f>
        <v>812.97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1574.48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>
        <v>192.44</v>
      </c>
      <c r="Q68" s="26"/>
      <c r="S68" s="26"/>
      <c r="T68" s="26"/>
      <c r="U68" s="26"/>
      <c r="V68" s="26"/>
      <c r="W68" s="26"/>
      <c r="X68" s="26"/>
      <c r="Y68" s="26">
        <v>241.64</v>
      </c>
      <c r="Z68" s="26"/>
      <c r="AA68" s="26"/>
      <c r="AB68" s="26"/>
      <c r="AC68" s="26"/>
      <c r="AD68" s="26">
        <v>145.07</v>
      </c>
      <c r="AE68" s="26"/>
      <c r="AF68" s="26"/>
      <c r="AG68" s="26"/>
      <c r="AH68" s="26"/>
      <c r="AI68" s="19">
        <f t="shared" si="11"/>
        <v>579.15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>
        <f>278.95</f>
        <v>278.95</v>
      </c>
      <c r="J69" s="26"/>
      <c r="K69" s="26">
        <f>358.9</f>
        <v>358.9</v>
      </c>
      <c r="M69" s="26">
        <f>793</f>
        <v>793</v>
      </c>
      <c r="N69" s="26"/>
      <c r="O69" s="26"/>
      <c r="Q69" s="26"/>
      <c r="R69" s="26">
        <f>894.4</f>
        <v>894.4</v>
      </c>
      <c r="S69" s="26"/>
      <c r="T69" s="26"/>
      <c r="U69" s="26"/>
      <c r="V69" s="26"/>
      <c r="W69" s="26"/>
      <c r="X69" s="26"/>
      <c r="Y69" s="26"/>
      <c r="Z69" s="26"/>
      <c r="AA69" s="26">
        <v>1750</v>
      </c>
      <c r="AB69" s="26"/>
      <c r="AD69" s="26">
        <f>500+300</f>
        <v>800</v>
      </c>
      <c r="AE69" s="26"/>
      <c r="AF69" s="26">
        <f>300+1620</f>
        <v>1920</v>
      </c>
      <c r="AG69" s="26"/>
      <c r="AH69" s="26"/>
      <c r="AI69" s="19">
        <f t="shared" si="11"/>
        <v>6795.25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>
        <f>270.73+201</f>
        <v>471.73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471.73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>
        <f>66.99+34.2</f>
        <v>101.19</v>
      </c>
      <c r="E72" s="26">
        <f>11.82+84</f>
        <v>95.82</v>
      </c>
      <c r="F72" s="26"/>
      <c r="G72" s="26"/>
      <c r="H72" s="26"/>
      <c r="I72" s="26">
        <f>90.09</f>
        <v>90.09</v>
      </c>
      <c r="J72" s="26">
        <f>47.28</f>
        <v>47.28</v>
      </c>
      <c r="K72" s="26">
        <v>7.9</v>
      </c>
      <c r="L72" s="26">
        <f>92.4+11.82</f>
        <v>104.22</v>
      </c>
      <c r="M72" s="26">
        <f>7.9*3</f>
        <v>23.700000000000003</v>
      </c>
      <c r="N72" s="26"/>
      <c r="O72" s="26"/>
      <c r="P72" s="26">
        <f>(7.9*2)</f>
        <v>15.8</v>
      </c>
      <c r="Q72" s="26">
        <v>29.55</v>
      </c>
      <c r="R72" s="26">
        <f>131.67+11.82+45+(7.9*3)</f>
        <v>212.19</v>
      </c>
      <c r="S72" s="26">
        <f>2.31+3.21</f>
        <v>5.52</v>
      </c>
      <c r="T72" s="26">
        <f>64.68+7.9</f>
        <v>72.580000000000013</v>
      </c>
      <c r="U72" s="26"/>
      <c r="V72" s="26"/>
      <c r="W72" s="26">
        <f>687.3</f>
        <v>687.3</v>
      </c>
      <c r="X72" s="26"/>
      <c r="Y72" s="26">
        <f>(7.9*2)+80.85+47.28</f>
        <v>143.93</v>
      </c>
      <c r="Z72" s="26">
        <f>18.48+23.64</f>
        <v>42.120000000000005</v>
      </c>
      <c r="AA72" s="26"/>
      <c r="AB72" s="26"/>
      <c r="AC72" s="26"/>
      <c r="AD72" s="26">
        <f>(7.9*2)+30.03</f>
        <v>45.83</v>
      </c>
      <c r="AE72" s="26">
        <f>(7.9*2)+94.56</f>
        <v>110.36</v>
      </c>
      <c r="AF72" s="26">
        <f>(7.9*3)+92.4+17.73</f>
        <v>133.83000000000001</v>
      </c>
      <c r="AG72" s="26">
        <f>2.31+3.21+29.55+7.9+7.9</f>
        <v>50.87</v>
      </c>
      <c r="AH72" s="26"/>
      <c r="AI72" s="19">
        <f t="shared" si="11"/>
        <v>2020.0799999999997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19">
        <f t="shared" si="11"/>
        <v>0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-8377.77</v>
      </c>
      <c r="E74" s="29">
        <f t="shared" si="12"/>
        <v>-95.82</v>
      </c>
      <c r="F74" s="29">
        <f t="shared" si="12"/>
        <v>0</v>
      </c>
      <c r="G74" s="29">
        <f t="shared" si="12"/>
        <v>0</v>
      </c>
      <c r="H74" s="29">
        <f t="shared" si="12"/>
        <v>0</v>
      </c>
      <c r="I74" s="29">
        <f t="shared" si="12"/>
        <v>-63896.42</v>
      </c>
      <c r="J74" s="29">
        <f t="shared" si="12"/>
        <v>-47.28</v>
      </c>
      <c r="K74" s="29">
        <f t="shared" si="12"/>
        <v>-6410.0499999999984</v>
      </c>
      <c r="L74" s="29">
        <f t="shared" si="12"/>
        <v>-104.22</v>
      </c>
      <c r="M74" s="29">
        <f t="shared" si="12"/>
        <v>-58149.74</v>
      </c>
      <c r="N74" s="29">
        <f t="shared" si="12"/>
        <v>0</v>
      </c>
      <c r="O74" s="29">
        <f t="shared" si="12"/>
        <v>0</v>
      </c>
      <c r="P74" s="29">
        <f t="shared" si="12"/>
        <v>-7572.62</v>
      </c>
      <c r="Q74" s="29">
        <f t="shared" si="12"/>
        <v>-11029.55</v>
      </c>
      <c r="R74" s="29">
        <f t="shared" si="12"/>
        <v>-83098.179999999993</v>
      </c>
      <c r="S74" s="29">
        <f t="shared" si="12"/>
        <v>-5.52</v>
      </c>
      <c r="T74" s="29">
        <f t="shared" si="12"/>
        <v>-22364</v>
      </c>
      <c r="U74" s="29">
        <f t="shared" si="12"/>
        <v>0</v>
      </c>
      <c r="V74" s="29">
        <f t="shared" si="12"/>
        <v>0</v>
      </c>
      <c r="W74" s="29">
        <f t="shared" si="12"/>
        <v>-446254.58</v>
      </c>
      <c r="X74" s="29">
        <f t="shared" si="12"/>
        <v>0</v>
      </c>
      <c r="Y74" s="29">
        <f t="shared" si="12"/>
        <v>-4860.0700000000006</v>
      </c>
      <c r="Z74" s="29">
        <f t="shared" si="12"/>
        <v>-42.120000000000005</v>
      </c>
      <c r="AA74" s="29">
        <f t="shared" si="12"/>
        <v>-41750</v>
      </c>
      <c r="AB74" s="29">
        <f t="shared" si="12"/>
        <v>0</v>
      </c>
      <c r="AC74" s="29">
        <f t="shared" si="12"/>
        <v>0</v>
      </c>
      <c r="AD74" s="29">
        <f t="shared" si="12"/>
        <v>-18142.18</v>
      </c>
      <c r="AE74" s="29">
        <f t="shared" si="12"/>
        <v>-5270.329999999999</v>
      </c>
      <c r="AF74" s="29">
        <f t="shared" si="12"/>
        <v>-28177.75</v>
      </c>
      <c r="AG74" s="29">
        <f t="shared" si="12"/>
        <v>-40050.870000000003</v>
      </c>
      <c r="AH74" s="29">
        <f t="shared" si="12"/>
        <v>0</v>
      </c>
      <c r="AI74" s="29">
        <f t="shared" si="12"/>
        <v>-845699.06999999983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-8377.77</v>
      </c>
      <c r="E75" s="29">
        <f t="shared" si="13"/>
        <v>-95.82</v>
      </c>
      <c r="F75" s="29">
        <f t="shared" si="13"/>
        <v>0</v>
      </c>
      <c r="G75" s="29">
        <f t="shared" si="13"/>
        <v>0</v>
      </c>
      <c r="H75" s="29">
        <f t="shared" si="13"/>
        <v>0</v>
      </c>
      <c r="I75" s="29">
        <f t="shared" si="13"/>
        <v>-79316.459999999992</v>
      </c>
      <c r="J75" s="29">
        <f t="shared" si="13"/>
        <v>-47.28</v>
      </c>
      <c r="K75" s="29">
        <f t="shared" si="13"/>
        <v>-6410.0499999999984</v>
      </c>
      <c r="L75" s="29">
        <f t="shared" si="13"/>
        <v>-104.22</v>
      </c>
      <c r="M75" s="29">
        <f t="shared" si="13"/>
        <v>-125756.07</v>
      </c>
      <c r="N75" s="29">
        <f t="shared" si="13"/>
        <v>0</v>
      </c>
      <c r="O75" s="29">
        <f t="shared" si="13"/>
        <v>0</v>
      </c>
      <c r="P75" s="29">
        <f t="shared" si="13"/>
        <v>-28606.03</v>
      </c>
      <c r="Q75" s="29">
        <f t="shared" si="13"/>
        <v>-11029.55</v>
      </c>
      <c r="R75" s="29">
        <f t="shared" si="13"/>
        <v>-190022.38</v>
      </c>
      <c r="S75" s="29">
        <f t="shared" si="13"/>
        <v>-5.52</v>
      </c>
      <c r="T75" s="29">
        <f t="shared" si="13"/>
        <v>-23023</v>
      </c>
      <c r="U75" s="29">
        <f t="shared" si="13"/>
        <v>0</v>
      </c>
      <c r="V75" s="29">
        <f t="shared" si="13"/>
        <v>0</v>
      </c>
      <c r="W75" s="29">
        <f t="shared" si="13"/>
        <v>-446254.58</v>
      </c>
      <c r="X75" s="29">
        <f t="shared" si="13"/>
        <v>0</v>
      </c>
      <c r="Y75" s="29">
        <f t="shared" si="13"/>
        <v>-31134.260000000002</v>
      </c>
      <c r="Z75" s="29">
        <f t="shared" si="13"/>
        <v>-42.120000000000005</v>
      </c>
      <c r="AA75" s="29">
        <f t="shared" si="13"/>
        <v>-41750</v>
      </c>
      <c r="AB75" s="29">
        <f t="shared" si="13"/>
        <v>0</v>
      </c>
      <c r="AC75" s="29">
        <f t="shared" si="13"/>
        <v>0</v>
      </c>
      <c r="AD75" s="29">
        <f t="shared" si="13"/>
        <v>-18142.18</v>
      </c>
      <c r="AE75" s="29">
        <f t="shared" si="13"/>
        <v>-5270.329999999999</v>
      </c>
      <c r="AF75" s="29">
        <f t="shared" si="13"/>
        <v>-339252.52999999997</v>
      </c>
      <c r="AG75" s="29">
        <f t="shared" si="13"/>
        <v>-40050.870000000003</v>
      </c>
      <c r="AH75" s="29">
        <f t="shared" si="13"/>
        <v>0</v>
      </c>
      <c r="AI75" s="29">
        <f t="shared" si="13"/>
        <v>-1394691.0199999998</v>
      </c>
    </row>
    <row r="76" spans="2:35" ht="7.5" customHeight="1" x14ac:dyDescent="0.2">
      <c r="B76" s="75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74"/>
      <c r="C77" s="32" t="s">
        <v>13</v>
      </c>
      <c r="D77" s="13">
        <f t="shared" ref="D77:AI77" si="14">D6+D18+D75</f>
        <v>176160.07869999984</v>
      </c>
      <c r="E77" s="13">
        <f t="shared" si="14"/>
        <v>230701.57869999984</v>
      </c>
      <c r="F77" s="13">
        <f t="shared" si="14"/>
        <v>230701.57869999984</v>
      </c>
      <c r="G77" s="13">
        <f t="shared" si="14"/>
        <v>230701.57869999984</v>
      </c>
      <c r="H77" s="13">
        <f t="shared" si="14"/>
        <v>230701.57869999984</v>
      </c>
      <c r="I77" s="13">
        <f t="shared" si="14"/>
        <v>222645.16869999983</v>
      </c>
      <c r="J77" s="13">
        <f t="shared" si="14"/>
        <v>286827.06869999983</v>
      </c>
      <c r="K77" s="13">
        <f t="shared" si="14"/>
        <v>313495.47869999986</v>
      </c>
      <c r="L77" s="13">
        <f t="shared" si="14"/>
        <v>354990.79869999987</v>
      </c>
      <c r="M77" s="13">
        <f t="shared" si="14"/>
        <v>262886.33869999985</v>
      </c>
      <c r="N77" s="13">
        <f t="shared" si="14"/>
        <v>262886.33869999985</v>
      </c>
      <c r="O77" s="13">
        <f t="shared" si="14"/>
        <v>262886.33869999985</v>
      </c>
      <c r="P77" s="13">
        <f t="shared" si="14"/>
        <v>369689.48869999987</v>
      </c>
      <c r="Q77" s="13">
        <f t="shared" si="14"/>
        <v>458061.18869999988</v>
      </c>
      <c r="R77" s="13">
        <f t="shared" si="14"/>
        <v>309642.49869999988</v>
      </c>
      <c r="S77" s="13">
        <f t="shared" si="14"/>
        <v>353602.44869999983</v>
      </c>
      <c r="T77" s="13">
        <f t="shared" si="14"/>
        <v>353948.89869999985</v>
      </c>
      <c r="U77" s="13">
        <f t="shared" si="14"/>
        <v>353948.89869999985</v>
      </c>
      <c r="V77" s="13">
        <f t="shared" si="14"/>
        <v>353948.89869999985</v>
      </c>
      <c r="W77" s="13">
        <f t="shared" si="14"/>
        <v>24175.738699999813</v>
      </c>
      <c r="X77" s="13">
        <f t="shared" si="14"/>
        <v>24175.738699999813</v>
      </c>
      <c r="Y77" s="13">
        <f t="shared" si="14"/>
        <v>58694.398699999809</v>
      </c>
      <c r="Z77" s="13">
        <f t="shared" si="14"/>
        <v>86838.608699999808</v>
      </c>
      <c r="AA77" s="13">
        <f t="shared" si="14"/>
        <v>61464.478699999803</v>
      </c>
      <c r="AB77" s="13">
        <f t="shared" si="14"/>
        <v>61464.478699999803</v>
      </c>
      <c r="AC77" s="13">
        <f t="shared" si="14"/>
        <v>61464.478699999803</v>
      </c>
      <c r="AD77" s="13">
        <f t="shared" si="14"/>
        <v>127939.74869999979</v>
      </c>
      <c r="AE77" s="13">
        <f t="shared" si="14"/>
        <v>186337.8186999998</v>
      </c>
      <c r="AF77" s="13">
        <f t="shared" si="14"/>
        <v>1201.9686999997939</v>
      </c>
      <c r="AG77" s="13">
        <f t="shared" si="14"/>
        <v>26437.648699999809</v>
      </c>
      <c r="AH77" s="13">
        <f t="shared" si="14"/>
        <v>26437.648699999809</v>
      </c>
      <c r="AI77" s="13">
        <f t="shared" si="14"/>
        <v>26437.648699999787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Março!AG83</f>
        <v>652721.88000000047</v>
      </c>
      <c r="E79" s="33">
        <f>D83</f>
        <v>652932.07000000041</v>
      </c>
      <c r="F79" s="33">
        <f t="shared" ref="F79:AH79" si="15">E83</f>
        <v>653194.69000000041</v>
      </c>
      <c r="G79" s="33">
        <f t="shared" si="15"/>
        <v>653194.69000000041</v>
      </c>
      <c r="H79" s="33">
        <f t="shared" si="15"/>
        <v>653194.69000000041</v>
      </c>
      <c r="I79" s="33">
        <f t="shared" si="15"/>
        <v>653194.69000000041</v>
      </c>
      <c r="J79" s="33">
        <f t="shared" si="15"/>
        <v>653413.71000000043</v>
      </c>
      <c r="K79" s="33">
        <f t="shared" si="15"/>
        <v>653634.98000000045</v>
      </c>
      <c r="L79" s="33">
        <f t="shared" si="15"/>
        <v>653846.44000000041</v>
      </c>
      <c r="M79" s="33">
        <f t="shared" si="15"/>
        <v>654057.9300000004</v>
      </c>
      <c r="N79" s="33">
        <f t="shared" si="15"/>
        <v>654281.3000000004</v>
      </c>
      <c r="O79" s="33">
        <f t="shared" si="15"/>
        <v>654281.3000000004</v>
      </c>
      <c r="P79" s="33">
        <f t="shared" si="15"/>
        <v>654281.3000000004</v>
      </c>
      <c r="Q79" s="33">
        <f t="shared" si="15"/>
        <v>654496.24000000034</v>
      </c>
      <c r="R79" s="33">
        <f t="shared" si="15"/>
        <v>654714.17000000039</v>
      </c>
      <c r="S79" s="33">
        <f t="shared" si="15"/>
        <v>654931.50000000035</v>
      </c>
      <c r="T79" s="33">
        <f t="shared" si="15"/>
        <v>655149.9500000003</v>
      </c>
      <c r="U79" s="33">
        <f t="shared" si="15"/>
        <v>655386.36000000034</v>
      </c>
      <c r="V79" s="33">
        <f t="shared" si="15"/>
        <v>655386.36000000034</v>
      </c>
      <c r="W79" s="33">
        <f t="shared" si="15"/>
        <v>655386.36000000034</v>
      </c>
      <c r="X79" s="33">
        <f t="shared" si="15"/>
        <v>635812.27000000037</v>
      </c>
      <c r="Y79" s="33">
        <f t="shared" si="15"/>
        <v>635812.27000000037</v>
      </c>
      <c r="Z79" s="33">
        <f t="shared" si="15"/>
        <v>636030.81000000041</v>
      </c>
      <c r="AA79" s="33">
        <f t="shared" si="15"/>
        <v>636407.96000000043</v>
      </c>
      <c r="AB79" s="33">
        <f t="shared" si="15"/>
        <v>636651.00000000047</v>
      </c>
      <c r="AC79" s="33">
        <f t="shared" si="15"/>
        <v>636651.00000000047</v>
      </c>
      <c r="AD79" s="33">
        <f t="shared" si="15"/>
        <v>636651.00000000047</v>
      </c>
      <c r="AE79" s="33">
        <f t="shared" si="15"/>
        <v>636874.88000000047</v>
      </c>
      <c r="AF79" s="33">
        <f t="shared" si="15"/>
        <v>637100.02000000048</v>
      </c>
      <c r="AG79" s="33">
        <f t="shared" si="15"/>
        <v>512277.02000000048</v>
      </c>
      <c r="AH79" s="33">
        <f t="shared" si="15"/>
        <v>512460.56000000046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Z80" s="18"/>
      <c r="AA80" s="18"/>
      <c r="AB80" s="18"/>
      <c r="AC80" s="18"/>
      <c r="AD80" s="18"/>
      <c r="AE80" s="58"/>
      <c r="AF80" s="18"/>
      <c r="AG80" s="18"/>
      <c r="AH80" s="18"/>
      <c r="AI80" s="19">
        <f>SUM(D80:AG80)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>
        <v>-20000</v>
      </c>
      <c r="X81" s="18"/>
      <c r="Y81" s="18"/>
      <c r="Z81" s="18"/>
      <c r="AA81" s="18"/>
      <c r="AB81" s="18"/>
      <c r="AC81" s="18"/>
      <c r="AD81" s="18"/>
      <c r="AE81" s="58"/>
      <c r="AF81" s="18">
        <v>-125000</v>
      </c>
      <c r="AG81" s="18"/>
      <c r="AH81" s="18"/>
      <c r="AI81" s="19">
        <f t="shared" ref="AI81:AI82" si="16">SUM(D81:AG81)</f>
        <v>-145000</v>
      </c>
    </row>
    <row r="82" spans="2:35" ht="16.5" customHeight="1" x14ac:dyDescent="0.2">
      <c r="B82" s="117"/>
      <c r="C82" s="17" t="s">
        <v>24</v>
      </c>
      <c r="D82" s="18">
        <v>210.19</v>
      </c>
      <c r="E82" s="18">
        <v>262.62</v>
      </c>
      <c r="F82" s="18"/>
      <c r="G82" s="18"/>
      <c r="H82" s="18"/>
      <c r="I82" s="18">
        <v>219.02</v>
      </c>
      <c r="J82" s="18">
        <v>221.27</v>
      </c>
      <c r="K82" s="18">
        <v>211.46</v>
      </c>
      <c r="L82" s="18">
        <v>211.49</v>
      </c>
      <c r="M82" s="18">
        <v>223.37</v>
      </c>
      <c r="N82" s="18"/>
      <c r="O82" s="18"/>
      <c r="P82" s="18">
        <v>214.94</v>
      </c>
      <c r="Q82" s="18">
        <v>217.93</v>
      </c>
      <c r="R82" s="18">
        <v>217.33</v>
      </c>
      <c r="S82" s="18">
        <v>218.45</v>
      </c>
      <c r="T82" s="18">
        <v>236.41</v>
      </c>
      <c r="U82" s="18"/>
      <c r="V82" s="18"/>
      <c r="W82" s="18">
        <v>425.91</v>
      </c>
      <c r="X82" s="18"/>
      <c r="Y82" s="18">
        <v>218.54</v>
      </c>
      <c r="Z82" s="18">
        <v>377.15</v>
      </c>
      <c r="AA82" s="18">
        <v>243.04</v>
      </c>
      <c r="AB82" s="18"/>
      <c r="AC82" s="18"/>
      <c r="AD82" s="18">
        <v>223.88</v>
      </c>
      <c r="AE82" s="18">
        <v>225.14</v>
      </c>
      <c r="AF82" s="18">
        <v>177</v>
      </c>
      <c r="AG82" s="18">
        <v>183.54</v>
      </c>
      <c r="AH82" s="18"/>
      <c r="AI82" s="19">
        <f t="shared" si="16"/>
        <v>4738.68</v>
      </c>
    </row>
    <row r="83" spans="2:35" ht="16.5" customHeight="1" x14ac:dyDescent="0.2">
      <c r="B83" s="117"/>
      <c r="C83" s="21" t="s">
        <v>30</v>
      </c>
      <c r="D83" s="22">
        <f>SUM(D80:D82)+D79</f>
        <v>652932.07000000041</v>
      </c>
      <c r="E83" s="22">
        <f t="shared" ref="E83:AH83" si="17">SUM(E80:E82)+D83</f>
        <v>653194.69000000041</v>
      </c>
      <c r="F83" s="22">
        <f>SUM(F80:F82)+E83</f>
        <v>653194.69000000041</v>
      </c>
      <c r="G83" s="22">
        <f t="shared" si="17"/>
        <v>653194.69000000041</v>
      </c>
      <c r="H83" s="22">
        <f t="shared" si="17"/>
        <v>653194.69000000041</v>
      </c>
      <c r="I83" s="22">
        <f t="shared" si="17"/>
        <v>653413.71000000043</v>
      </c>
      <c r="J83" s="22">
        <f t="shared" si="17"/>
        <v>653634.98000000045</v>
      </c>
      <c r="K83" s="22">
        <f>SUM(K80:K82)+J83</f>
        <v>653846.44000000041</v>
      </c>
      <c r="L83" s="22">
        <f t="shared" si="17"/>
        <v>654057.9300000004</v>
      </c>
      <c r="M83" s="22">
        <f t="shared" si="17"/>
        <v>654281.3000000004</v>
      </c>
      <c r="N83" s="22">
        <f t="shared" si="17"/>
        <v>654281.3000000004</v>
      </c>
      <c r="O83" s="22">
        <f t="shared" si="17"/>
        <v>654281.3000000004</v>
      </c>
      <c r="P83" s="22">
        <f t="shared" si="17"/>
        <v>654496.24000000034</v>
      </c>
      <c r="Q83" s="22">
        <f t="shared" si="17"/>
        <v>654714.17000000039</v>
      </c>
      <c r="R83" s="22">
        <f t="shared" si="17"/>
        <v>654931.50000000035</v>
      </c>
      <c r="S83" s="22">
        <f t="shared" si="17"/>
        <v>655149.9500000003</v>
      </c>
      <c r="T83" s="22">
        <f t="shared" si="17"/>
        <v>655386.36000000034</v>
      </c>
      <c r="U83" s="22">
        <f t="shared" si="17"/>
        <v>655386.36000000034</v>
      </c>
      <c r="V83" s="22">
        <f t="shared" si="17"/>
        <v>655386.36000000034</v>
      </c>
      <c r="W83" s="22">
        <f t="shared" si="17"/>
        <v>635812.27000000037</v>
      </c>
      <c r="X83" s="22">
        <f t="shared" si="17"/>
        <v>635812.27000000037</v>
      </c>
      <c r="Y83" s="22">
        <f t="shared" si="17"/>
        <v>636030.81000000041</v>
      </c>
      <c r="Z83" s="22">
        <f>SUM(Z80:Z82)+Y83</f>
        <v>636407.96000000043</v>
      </c>
      <c r="AA83" s="22">
        <f t="shared" ref="AA83" si="18">SUM(AA80:AA82)+Z83</f>
        <v>636651.00000000047</v>
      </c>
      <c r="AB83" s="22">
        <f t="shared" ref="AB83" si="19">SUM(AB80:AB82)+AA83</f>
        <v>636651.00000000047</v>
      </c>
      <c r="AC83" s="22">
        <f t="shared" ref="AC83:AD83" si="20">SUM(AC80:AC82)+AB83</f>
        <v>636651.00000000047</v>
      </c>
      <c r="AD83" s="22">
        <f t="shared" si="20"/>
        <v>636874.88000000047</v>
      </c>
      <c r="AE83" s="22">
        <f>SUM(AE80:AE82)+AD83</f>
        <v>637100.02000000048</v>
      </c>
      <c r="AF83" s="22">
        <f>SUM(AF80:AF82)+AE83</f>
        <v>512277.02000000048</v>
      </c>
      <c r="AG83" s="22">
        <f t="shared" si="17"/>
        <v>512460.56000000046</v>
      </c>
      <c r="AH83" s="22">
        <f t="shared" si="17"/>
        <v>512460.56000000046</v>
      </c>
      <c r="AI83" s="22">
        <f>AH83</f>
        <v>512460.56000000046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829092.14870000025</v>
      </c>
      <c r="E85" s="37">
        <f t="shared" si="21"/>
        <v>883896.26870000025</v>
      </c>
      <c r="F85" s="37">
        <f t="shared" si="21"/>
        <v>883896.26870000025</v>
      </c>
      <c r="G85" s="37">
        <f t="shared" si="21"/>
        <v>883896.26870000025</v>
      </c>
      <c r="H85" s="37">
        <f t="shared" si="21"/>
        <v>883896.26870000025</v>
      </c>
      <c r="I85" s="37">
        <f t="shared" si="21"/>
        <v>876058.87870000023</v>
      </c>
      <c r="J85" s="37">
        <f t="shared" si="21"/>
        <v>940462.04870000028</v>
      </c>
      <c r="K85" s="37">
        <f t="shared" si="21"/>
        <v>967341.91870000027</v>
      </c>
      <c r="L85" s="37">
        <f t="shared" si="21"/>
        <v>1009048.7287000003</v>
      </c>
      <c r="M85" s="37">
        <f t="shared" si="21"/>
        <v>917167.63870000024</v>
      </c>
      <c r="N85" s="37">
        <f t="shared" si="21"/>
        <v>917167.63870000024</v>
      </c>
      <c r="O85" s="37">
        <f t="shared" si="21"/>
        <v>917167.63870000024</v>
      </c>
      <c r="P85" s="37">
        <f t="shared" si="21"/>
        <v>1024185.7287000002</v>
      </c>
      <c r="Q85" s="37">
        <f t="shared" si="21"/>
        <v>1112775.3587000002</v>
      </c>
      <c r="R85" s="37">
        <f t="shared" si="21"/>
        <v>964573.99870000023</v>
      </c>
      <c r="S85" s="37">
        <f t="shared" si="21"/>
        <v>1008752.3987000001</v>
      </c>
      <c r="T85" s="37">
        <f t="shared" si="21"/>
        <v>1009335.2587000001</v>
      </c>
      <c r="U85" s="37">
        <f t="shared" si="21"/>
        <v>1009335.2587000001</v>
      </c>
      <c r="V85" s="37">
        <f t="shared" si="21"/>
        <v>1009335.2587000001</v>
      </c>
      <c r="W85" s="37">
        <f t="shared" si="21"/>
        <v>659988.00870000012</v>
      </c>
      <c r="X85" s="37">
        <f t="shared" si="21"/>
        <v>659988.00870000012</v>
      </c>
      <c r="Y85" s="37">
        <f t="shared" si="21"/>
        <v>694725.20870000019</v>
      </c>
      <c r="Z85" s="37">
        <f t="shared" si="21"/>
        <v>723246.56870000018</v>
      </c>
      <c r="AA85" s="37">
        <f t="shared" si="21"/>
        <v>698115.47870000033</v>
      </c>
      <c r="AB85" s="37">
        <f t="shared" si="21"/>
        <v>698115.47870000033</v>
      </c>
      <c r="AC85" s="37">
        <f t="shared" si="21"/>
        <v>698115.47870000033</v>
      </c>
      <c r="AD85" s="37">
        <f t="shared" si="21"/>
        <v>764814.62870000023</v>
      </c>
      <c r="AE85" s="37">
        <f t="shared" si="21"/>
        <v>823437.83870000031</v>
      </c>
      <c r="AF85" s="37">
        <f t="shared" si="21"/>
        <v>513478.98870000028</v>
      </c>
      <c r="AG85" s="37">
        <f t="shared" si="21"/>
        <v>538898.20870000031</v>
      </c>
      <c r="AH85" s="37">
        <f t="shared" si="21"/>
        <v>538898.20870000031</v>
      </c>
      <c r="AI85" s="37">
        <f>AI77+AI83</f>
        <v>538898.20870000031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42124</v>
      </c>
    </row>
    <row r="89" spans="2:35" ht="18.75" x14ac:dyDescent="0.25">
      <c r="B89" s="41"/>
      <c r="C89" s="50" t="s">
        <v>46</v>
      </c>
      <c r="D89" s="51">
        <f>AG6</f>
        <v>1201.9686999997939</v>
      </c>
    </row>
    <row r="90" spans="2:35" ht="18.75" x14ac:dyDescent="0.25">
      <c r="B90" s="41"/>
      <c r="C90" s="50" t="s">
        <v>40</v>
      </c>
      <c r="D90" s="52">
        <f>AG18</f>
        <v>65286.55000000001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-40050.870000000003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71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26437.648699999809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  <c r="AC92" s="72"/>
    </row>
    <row r="93" spans="2:35" ht="18.75" x14ac:dyDescent="0.25">
      <c r="B93" s="41"/>
      <c r="C93" s="50" t="s">
        <v>91</v>
      </c>
      <c r="D93" s="51">
        <v>12036.9</v>
      </c>
      <c r="K93" s="47"/>
      <c r="L93" s="47"/>
      <c r="M93" s="47"/>
      <c r="N93" s="47"/>
      <c r="O93" s="47"/>
      <c r="P93" s="47"/>
    </row>
    <row r="94" spans="2:35" ht="18.75" x14ac:dyDescent="0.25">
      <c r="B94" s="41"/>
      <c r="C94" s="50" t="s">
        <v>92</v>
      </c>
      <c r="D94" s="51">
        <v>3659.38</v>
      </c>
      <c r="K94" s="47"/>
      <c r="L94" s="47"/>
      <c r="M94" s="47"/>
      <c r="N94" s="47"/>
      <c r="O94" s="47"/>
      <c r="P94" s="47"/>
    </row>
    <row r="95" spans="2:35" ht="18.75" x14ac:dyDescent="0.25">
      <c r="B95" s="41"/>
      <c r="C95" s="50" t="s">
        <v>41</v>
      </c>
      <c r="D95" s="51">
        <v>496580.74</v>
      </c>
    </row>
    <row r="96" spans="2:35" ht="19.5" thickBot="1" x14ac:dyDescent="0.3">
      <c r="B96" s="41"/>
      <c r="C96" s="54" t="s">
        <v>42</v>
      </c>
      <c r="D96" s="55">
        <f>SUM(D92:D95)</f>
        <v>538714.66869999981</v>
      </c>
    </row>
  </sheetData>
  <protectedRanges>
    <protectedRange sqref="D82:V82 Z82:AF82" name="Intervalo11"/>
    <protectedRange sqref="D76:AF76" name="Intervalo8"/>
    <protectedRange sqref="AG21 I20:L20 N21:O21 N20:AF20 M22:O24 L21:L24 K21:K23 I21:J24 D20:D24 F20:H24 P21:AE24 AF22:AF24" name="Intervalo3"/>
    <protectedRange sqref="D10:AF10 D11:AH11 D13:AF13 D14 K16 D16:I17 L16:AF17 J17:K17 E14:AH15 D12:AD12 AF12" name="Intervalo2"/>
    <protectedRange sqref="AG8 D7:AE9 AF7 AF9" name="Intervalo1"/>
    <protectedRange sqref="L38 F31 M37:AF39 K37:L37 K39:L39 D37:E39 G37:J39 F37 F39" name="Intervalo4"/>
    <protectedRange sqref="S52:T52 O59 T69 Z52:AA52 X53:AE53 S53:V53 AC46:AC47 AA46 D60:E73 AH55 H60 F72:H73 G71:H71 F62:H70 G61:H61 M72:M73 Q46:Q72 U69:U73 Z46:Z49 K47:K48 V54:V73 W54:W59 P70:P72 P46:P68 R69:S72 T71:T72 W45 H46 J49:K49 F54:G60 D49:E54 E48 E55 R46 I46:J47 K46:M46 H54:H58 G48:G53 F48:F51 H48:H51 D46:G47 J48 K50:K58 K60:K69 L66:L68 K70:L73 R51 L48:L63 M47:M70 R60:R67 N60:O73 S54:U68 R54:R58 N46:O58 R48:R49 S46:X51 AB50:AC50 AA49:AC49 AB46:AB48 AE47:AE52 AF49:AF52 AC70:AF73 AD69:AF69 AA63:AA73 D56:E58 AD59:AF59 I50:J73 AD63:AD68 AB54:AB73 AA54:AA61 AC54:AE58 AF55:AF58 W61:W73 X54:Z73 AC60:AC68 AE60:AF68 AD60:AD61 AD48:AD50 Y51:AD51 Y48:Y49 AD46:AF46" name="Intervalo5"/>
    <protectedRange sqref="M27:M35 AH34:AH35 AD26:AF33 W26:AC31 D26:E35 L31 F26:F30 F32:F35 G26:J35 K26:L30 K32:L35 N26:S35 T26:V26 T28:V35 T27:U27 X32:AC33 W34:AC35 AE34:AF35" name="Intervalo6"/>
    <protectedRange sqref="W82:Y82" name="Intervalo11_1"/>
    <protectedRange sqref="I49" name="Intervalo5_2"/>
    <protectedRange sqref="F53" name="Intervalo5_1"/>
    <protectedRange sqref="D55" name="Intervalo5_3"/>
    <protectedRange sqref="D48 AF48" name="Intervalo5_1_1_1"/>
    <protectedRange sqref="AF54" name="Intervalo5_4"/>
  </protectedRanges>
  <mergeCells count="16">
    <mergeCell ref="S90:T90"/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C87:D87"/>
    <mergeCell ref="B2:C2"/>
    <mergeCell ref="B4:C5"/>
    <mergeCell ref="B7:B18"/>
    <mergeCell ref="B20:B75"/>
    <mergeCell ref="B78:B84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I96"/>
  <sheetViews>
    <sheetView showGridLines="0" zoomScale="110" zoomScaleNormal="110" workbookViewId="0" xr3:uid="{F9CF3CF3-643B-5BE6-8B46-32C596A47465}">
      <pane xSplit="3" ySplit="6" topLeftCell="V6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hidden="1" customWidth="1"/>
    <col min="5" max="6" width="12.64453125" style="4" hidden="1" customWidth="1"/>
    <col min="7" max="7" width="16.0078125" style="4" bestFit="1" customWidth="1"/>
    <col min="8" max="10" width="14.52734375" style="4" customWidth="1"/>
    <col min="11" max="11" width="14.52734375" style="4" bestFit="1" customWidth="1"/>
    <col min="12" max="13" width="14.52734375" style="4" hidden="1" customWidth="1"/>
    <col min="14" max="17" width="14.52734375" style="4" customWidth="1"/>
    <col min="18" max="18" width="14.52734375" style="4" bestFit="1" customWidth="1"/>
    <col min="19" max="20" width="14.52734375" style="4" hidden="1" customWidth="1"/>
    <col min="21" max="24" width="14.52734375" style="4" customWidth="1"/>
    <col min="25" max="25" width="14.52734375" style="4" bestFit="1" customWidth="1"/>
    <col min="26" max="26" width="14.52734375" style="4" hidden="1" customWidth="1"/>
    <col min="27" max="27" width="12.64453125" style="4" hidden="1" customWidth="1"/>
    <col min="28" max="32" width="14.52734375" style="4" customWidth="1"/>
    <col min="33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100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82" t="s">
        <v>87</v>
      </c>
      <c r="E4" s="82" t="s">
        <v>87</v>
      </c>
      <c r="F4" s="82" t="s">
        <v>87</v>
      </c>
      <c r="G4" s="70" t="s">
        <v>97</v>
      </c>
      <c r="H4" s="70" t="s">
        <v>97</v>
      </c>
      <c r="I4" s="70" t="s">
        <v>97</v>
      </c>
      <c r="J4" s="70" t="s">
        <v>97</v>
      </c>
      <c r="K4" s="70" t="s">
        <v>97</v>
      </c>
      <c r="L4" s="82" t="s">
        <v>87</v>
      </c>
      <c r="M4" s="82" t="s">
        <v>87</v>
      </c>
      <c r="N4" s="70" t="s">
        <v>97</v>
      </c>
      <c r="O4" s="70" t="s">
        <v>97</v>
      </c>
      <c r="P4" s="70" t="s">
        <v>97</v>
      </c>
      <c r="Q4" s="70" t="s">
        <v>97</v>
      </c>
      <c r="R4" s="70" t="s">
        <v>97</v>
      </c>
      <c r="S4" s="82" t="s">
        <v>87</v>
      </c>
      <c r="T4" s="82" t="s">
        <v>87</v>
      </c>
      <c r="U4" s="70" t="s">
        <v>97</v>
      </c>
      <c r="V4" s="70" t="s">
        <v>97</v>
      </c>
      <c r="W4" s="70" t="s">
        <v>97</v>
      </c>
      <c r="X4" s="70" t="s">
        <v>97</v>
      </c>
      <c r="Y4" s="70" t="s">
        <v>97</v>
      </c>
      <c r="Z4" s="82" t="s">
        <v>87</v>
      </c>
      <c r="AA4" s="82" t="s">
        <v>87</v>
      </c>
      <c r="AB4" s="70" t="s">
        <v>97</v>
      </c>
      <c r="AC4" s="70" t="s">
        <v>97</v>
      </c>
      <c r="AD4" s="70" t="s">
        <v>97</v>
      </c>
      <c r="AE4" s="70" t="s">
        <v>97</v>
      </c>
      <c r="AF4" s="70" t="s">
        <v>97</v>
      </c>
      <c r="AG4" s="77" t="s">
        <v>87</v>
      </c>
      <c r="AH4" s="77" t="s">
        <v>87</v>
      </c>
      <c r="AI4" s="57"/>
    </row>
    <row r="5" spans="2:35" s="11" customFormat="1" x14ac:dyDescent="0.2">
      <c r="B5" s="113"/>
      <c r="C5" s="113"/>
      <c r="D5" s="10">
        <v>42125</v>
      </c>
      <c r="E5" s="10">
        <f>D5+1</f>
        <v>42126</v>
      </c>
      <c r="F5" s="10">
        <f t="shared" ref="F5:AH5" si="0">E5+1</f>
        <v>42127</v>
      </c>
      <c r="G5" s="10">
        <f t="shared" si="0"/>
        <v>42128</v>
      </c>
      <c r="H5" s="10">
        <f t="shared" si="0"/>
        <v>42129</v>
      </c>
      <c r="I5" s="10">
        <f t="shared" si="0"/>
        <v>42130</v>
      </c>
      <c r="J5" s="10">
        <f t="shared" si="0"/>
        <v>42131</v>
      </c>
      <c r="K5" s="10">
        <f t="shared" si="0"/>
        <v>42132</v>
      </c>
      <c r="L5" s="10">
        <f t="shared" si="0"/>
        <v>42133</v>
      </c>
      <c r="M5" s="10">
        <f t="shared" si="0"/>
        <v>42134</v>
      </c>
      <c r="N5" s="10">
        <f t="shared" si="0"/>
        <v>42135</v>
      </c>
      <c r="O5" s="10">
        <f t="shared" si="0"/>
        <v>42136</v>
      </c>
      <c r="P5" s="10">
        <f t="shared" si="0"/>
        <v>42137</v>
      </c>
      <c r="Q5" s="10">
        <f t="shared" si="0"/>
        <v>42138</v>
      </c>
      <c r="R5" s="10">
        <f t="shared" si="0"/>
        <v>42139</v>
      </c>
      <c r="S5" s="10">
        <f t="shared" si="0"/>
        <v>42140</v>
      </c>
      <c r="T5" s="10">
        <f t="shared" si="0"/>
        <v>42141</v>
      </c>
      <c r="U5" s="10">
        <f t="shared" si="0"/>
        <v>42142</v>
      </c>
      <c r="V5" s="10">
        <f t="shared" si="0"/>
        <v>42143</v>
      </c>
      <c r="W5" s="10">
        <f t="shared" si="0"/>
        <v>42144</v>
      </c>
      <c r="X5" s="10">
        <f t="shared" si="0"/>
        <v>42145</v>
      </c>
      <c r="Y5" s="10">
        <f t="shared" si="0"/>
        <v>42146</v>
      </c>
      <c r="Z5" s="10">
        <f t="shared" si="0"/>
        <v>42147</v>
      </c>
      <c r="AA5" s="10">
        <f t="shared" si="0"/>
        <v>42148</v>
      </c>
      <c r="AB5" s="10">
        <f t="shared" si="0"/>
        <v>42149</v>
      </c>
      <c r="AC5" s="10">
        <f t="shared" si="0"/>
        <v>42150</v>
      </c>
      <c r="AD5" s="10">
        <f t="shared" si="0"/>
        <v>42151</v>
      </c>
      <c r="AE5" s="10">
        <f t="shared" si="0"/>
        <v>42152</v>
      </c>
      <c r="AF5" s="10">
        <f t="shared" si="0"/>
        <v>42153</v>
      </c>
      <c r="AG5" s="10">
        <f t="shared" si="0"/>
        <v>42154</v>
      </c>
      <c r="AH5" s="10">
        <f t="shared" si="0"/>
        <v>42155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Abril!AG77</f>
        <v>26437.648699999809</v>
      </c>
      <c r="E6" s="13">
        <f t="shared" ref="E6:AH6" si="1">D77</f>
        <v>26437.648699999809</v>
      </c>
      <c r="F6" s="13">
        <f t="shared" si="1"/>
        <v>26437.648699999809</v>
      </c>
      <c r="G6" s="13">
        <f t="shared" si="1"/>
        <v>26437.648699999809</v>
      </c>
      <c r="H6" s="13">
        <f t="shared" si="1"/>
        <v>37345.8186999998</v>
      </c>
      <c r="I6" s="13">
        <f t="shared" si="1"/>
        <v>115064.36869999979</v>
      </c>
      <c r="J6" s="13">
        <f t="shared" si="1"/>
        <v>48953.568699999785</v>
      </c>
      <c r="K6" s="13">
        <f t="shared" si="1"/>
        <v>131426.73869999978</v>
      </c>
      <c r="L6" s="13">
        <f t="shared" si="1"/>
        <v>80839.178699999771</v>
      </c>
      <c r="M6" s="13">
        <f t="shared" si="1"/>
        <v>80839.178699999771</v>
      </c>
      <c r="N6" s="13">
        <f t="shared" si="1"/>
        <v>80839.178699999771</v>
      </c>
      <c r="O6" s="13">
        <f t="shared" si="1"/>
        <v>104528.30869999976</v>
      </c>
      <c r="P6" s="13">
        <f t="shared" si="1"/>
        <v>171213.53869999974</v>
      </c>
      <c r="Q6" s="13">
        <f t="shared" si="1"/>
        <v>188401.51869999975</v>
      </c>
      <c r="R6" s="13">
        <f t="shared" si="1"/>
        <v>225977.84869999974</v>
      </c>
      <c r="S6" s="13">
        <f t="shared" si="1"/>
        <v>234390.81869999971</v>
      </c>
      <c r="T6" s="13">
        <f t="shared" si="1"/>
        <v>234390.81869999971</v>
      </c>
      <c r="U6" s="13">
        <f t="shared" si="1"/>
        <v>234390.81869999971</v>
      </c>
      <c r="V6" s="13">
        <f t="shared" si="1"/>
        <v>182485.58869999973</v>
      </c>
      <c r="W6" s="13">
        <f t="shared" si="1"/>
        <v>245152.72869999975</v>
      </c>
      <c r="X6" s="13">
        <f t="shared" si="1"/>
        <v>7668.688699999766</v>
      </c>
      <c r="Y6" s="13">
        <f t="shared" si="1"/>
        <v>32501.898699999765</v>
      </c>
      <c r="Z6" s="13">
        <f t="shared" si="1"/>
        <v>44998.198699999768</v>
      </c>
      <c r="AA6" s="13">
        <f t="shared" si="1"/>
        <v>44998.198699999768</v>
      </c>
      <c r="AB6" s="13">
        <f t="shared" si="1"/>
        <v>44998.198699999768</v>
      </c>
      <c r="AC6" s="13">
        <f t="shared" si="1"/>
        <v>30867.08869999976</v>
      </c>
      <c r="AD6" s="13">
        <f t="shared" si="1"/>
        <v>94497.368699999774</v>
      </c>
      <c r="AE6" s="13">
        <f t="shared" si="1"/>
        <v>96051.498699999778</v>
      </c>
      <c r="AF6" s="13">
        <f t="shared" si="1"/>
        <v>138293.53869999977</v>
      </c>
      <c r="AG6" s="13">
        <f t="shared" si="1"/>
        <v>32489.368699999759</v>
      </c>
      <c r="AH6" s="13">
        <f t="shared" si="1"/>
        <v>32489.368699999759</v>
      </c>
      <c r="AI6" s="13">
        <f>D6</f>
        <v>26437.648699999809</v>
      </c>
    </row>
    <row r="7" spans="2:35" ht="16.5" customHeight="1" x14ac:dyDescent="0.2">
      <c r="B7" s="114" t="s">
        <v>2</v>
      </c>
      <c r="C7" s="14" t="s">
        <v>50</v>
      </c>
      <c r="D7" s="15"/>
      <c r="E7" s="15"/>
      <c r="F7" s="15"/>
      <c r="G7" s="15">
        <f>157+1774.85+456</f>
        <v>2387.85</v>
      </c>
      <c r="H7" s="15">
        <f>199.5+157+902.75+684+160+434+187</f>
        <v>2724.25</v>
      </c>
      <c r="I7" s="15">
        <f>1421+157+1500</f>
        <v>3078</v>
      </c>
      <c r="J7" s="15"/>
      <c r="K7" s="15"/>
      <c r="L7" s="15"/>
      <c r="M7" s="15"/>
      <c r="N7" s="15">
        <f>1144.5+2047.5+346+270</f>
        <v>3808</v>
      </c>
      <c r="O7" s="15">
        <f>157</f>
        <v>157</v>
      </c>
      <c r="P7" s="15">
        <f>1966.1+46.3</f>
        <v>2012.3999999999999</v>
      </c>
      <c r="Q7" s="15">
        <v>5670</v>
      </c>
      <c r="R7" s="15">
        <f>2000</f>
        <v>2000</v>
      </c>
      <c r="S7" s="15"/>
      <c r="T7" s="15"/>
      <c r="U7" s="15">
        <f>443.62+172</f>
        <v>615.62</v>
      </c>
      <c r="V7" s="15">
        <f>302.4+3201.45+157+500</f>
        <v>4160.8500000000004</v>
      </c>
      <c r="W7" s="15"/>
      <c r="X7" s="15">
        <f>610</f>
        <v>610</v>
      </c>
      <c r="Y7" s="15">
        <f>2000+530</f>
        <v>2530</v>
      </c>
      <c r="Z7" s="15"/>
      <c r="AA7" s="15"/>
      <c r="AB7" s="15">
        <f>500+30.5+250</f>
        <v>780.5</v>
      </c>
      <c r="AC7" s="15">
        <f>10840+735</f>
        <v>11575</v>
      </c>
      <c r="AD7" s="15"/>
      <c r="AE7" s="15">
        <f>1310.4+4830</f>
        <v>6140.4</v>
      </c>
      <c r="AF7" s="15">
        <f>1620+1753.11+490+887.25</f>
        <v>4750.3599999999997</v>
      </c>
      <c r="AG7" s="15"/>
      <c r="AH7" s="15"/>
      <c r="AI7" s="16">
        <f>SUM(D7:AG7)</f>
        <v>53000.23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>
        <f>274.5+425.3+448.72+470+540.9+664.45+701.7+1023.77+1121.38+1649.05+1842.9</f>
        <v>9162.67</v>
      </c>
      <c r="O8" s="18"/>
      <c r="P8" s="18"/>
      <c r="Q8" s="18"/>
      <c r="R8" s="18"/>
      <c r="S8" s="18"/>
      <c r="T8" s="18"/>
      <c r="U8" s="18"/>
      <c r="V8" s="18"/>
      <c r="W8" s="18">
        <f>2638.45+446+496.17+522.92+674.35+1251.55+1562.7+1611.2+1856.55+2423.45</f>
        <v>13483.34</v>
      </c>
      <c r="X8" s="18"/>
      <c r="Y8" s="18"/>
      <c r="Z8" s="18"/>
      <c r="AA8" s="18"/>
      <c r="AB8" s="18"/>
      <c r="AC8" s="18"/>
      <c r="AD8" s="18"/>
      <c r="AE8" s="18">
        <f>761.28+882.85+51+343.78+425.75+855.33+1200.1+2176</f>
        <v>6696.09</v>
      </c>
      <c r="AF8" s="18"/>
      <c r="AG8" s="18"/>
      <c r="AH8" s="18"/>
      <c r="AI8" s="16">
        <f t="shared" ref="AI8:AI17" si="2">SUM(D8:AG8)</f>
        <v>29342.100000000002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>
        <f>13248.56+9805.58+12258.24+11231.77+6455.85</f>
        <v>52999.999999999993</v>
      </c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52999.999999999993</v>
      </c>
    </row>
    <row r="11" spans="2:35" ht="16.5" customHeight="1" x14ac:dyDescent="0.2">
      <c r="B11" s="115"/>
      <c r="C11" s="17" t="s">
        <v>53</v>
      </c>
      <c r="D11" s="18"/>
      <c r="E11" s="18"/>
      <c r="F11" s="18"/>
      <c r="G11" s="18">
        <f>50030.45+1734.03+330.75+1323+9081.45</f>
        <v>62499.679999999993</v>
      </c>
      <c r="H11" s="18">
        <f>6628.75+57027.68+760.2</f>
        <v>64416.63</v>
      </c>
      <c r="I11" s="18">
        <f>423.15+1584.64+15594.6+11578.7</f>
        <v>29181.09</v>
      </c>
      <c r="J11" s="18">
        <f>9234.59+22747.78+9478.72+4040.41+4491.28+6002.01+1162.67+415.8</f>
        <v>57573.26</v>
      </c>
      <c r="K11" s="18">
        <v>5510.01</v>
      </c>
      <c r="L11" s="18"/>
      <c r="M11" s="18"/>
      <c r="N11" s="18">
        <f>20481.33</f>
        <v>20481.330000000002</v>
      </c>
      <c r="O11" s="18">
        <f>48143.7</f>
        <v>48143.7</v>
      </c>
      <c r="P11" s="18">
        <f>5416.55+16258.24</f>
        <v>21674.79</v>
      </c>
      <c r="Q11" s="18">
        <f>1+16233.08</f>
        <v>16234.08</v>
      </c>
      <c r="R11" s="18">
        <f>9860.4+2079</f>
        <v>11939.4</v>
      </c>
      <c r="S11" s="18"/>
      <c r="T11" s="18"/>
      <c r="U11" s="18">
        <f>10022.95+422.25+215.6</f>
        <v>10660.800000000001</v>
      </c>
      <c r="V11" s="18">
        <f>5793.18+41612.12+351.75+728.7+578.45+330.75</f>
        <v>49394.95</v>
      </c>
      <c r="W11" s="18">
        <f>606.33+5750.64+280.7</f>
        <v>6637.67</v>
      </c>
      <c r="X11" s="18">
        <f>622+1362.9</f>
        <v>1984.9</v>
      </c>
      <c r="Y11" s="18">
        <f>496.29+3735.92+397.95+8460.9+900.9+532</f>
        <v>14523.96</v>
      </c>
      <c r="Z11" s="18"/>
      <c r="AA11" s="18"/>
      <c r="AB11" s="18">
        <f>2574.35+634.2+351.75+1268.4</f>
        <v>4828.7000000000007</v>
      </c>
      <c r="AC11" s="18">
        <f>5566.85+30672.65+598.98+588</f>
        <v>37426.480000000003</v>
      </c>
      <c r="AD11" s="18">
        <f>1066.08+588+693+4192.93+798</f>
        <v>7338.01</v>
      </c>
      <c r="AE11" s="18">
        <f>2381.48+1318.98+220.5+1493.12+207.9+294+693</f>
        <v>6608.98</v>
      </c>
      <c r="AF11" s="18">
        <f>1157.3+1375.84+294+882+3391.5+1206.4+215.96+611.8+588</f>
        <v>9722.7999999999975</v>
      </c>
      <c r="AG11" s="18"/>
      <c r="AH11" s="18"/>
      <c r="AI11" s="16">
        <f t="shared" si="2"/>
        <v>486781.22000000003</v>
      </c>
    </row>
    <row r="12" spans="2:35" ht="16.5" customHeight="1" x14ac:dyDescent="0.2">
      <c r="B12" s="115"/>
      <c r="C12" s="17" t="s">
        <v>90</v>
      </c>
      <c r="D12" s="18"/>
      <c r="E12" s="18"/>
      <c r="F12" s="18"/>
      <c r="G12" s="18">
        <v>0.71</v>
      </c>
      <c r="H12" s="18">
        <v>2.14</v>
      </c>
      <c r="I12" s="18">
        <v>0.93</v>
      </c>
      <c r="J12" s="18">
        <v>2.4900000000000002</v>
      </c>
      <c r="K12" s="18">
        <v>1.54</v>
      </c>
      <c r="L12" s="18"/>
      <c r="M12" s="18"/>
      <c r="N12" s="18">
        <v>1.94</v>
      </c>
      <c r="O12" s="18">
        <v>3.25</v>
      </c>
      <c r="P12" s="18">
        <v>3.57</v>
      </c>
      <c r="Q12" s="18">
        <v>4.29</v>
      </c>
      <c r="R12" s="18">
        <v>4.4400000000000004</v>
      </c>
      <c r="S12" s="18"/>
      <c r="T12" s="18"/>
      <c r="U12" s="18">
        <v>3.47</v>
      </c>
      <c r="V12" s="18">
        <v>4.57</v>
      </c>
      <c r="W12" s="18">
        <v>0.14000000000000001</v>
      </c>
      <c r="X12" s="18">
        <v>0.62</v>
      </c>
      <c r="Y12" s="18">
        <v>0.78</v>
      </c>
      <c r="Z12" s="18"/>
      <c r="AA12" s="18"/>
      <c r="AB12" s="18">
        <f>70.2+0.58</f>
        <v>70.78</v>
      </c>
      <c r="AC12" s="18">
        <v>1.81</v>
      </c>
      <c r="AD12" s="18">
        <v>1.79</v>
      </c>
      <c r="AE12" s="18">
        <v>2.62</v>
      </c>
      <c r="AF12" s="18">
        <v>0.62</v>
      </c>
      <c r="AG12" s="18"/>
      <c r="AH12" s="18"/>
      <c r="AI12" s="16">
        <f t="shared" si="2"/>
        <v>112.50000000000001</v>
      </c>
    </row>
    <row r="13" spans="2:35" ht="16.5" customHeight="1" x14ac:dyDescent="0.2">
      <c r="B13" s="115"/>
      <c r="C13" s="17" t="s">
        <v>49</v>
      </c>
      <c r="D13" s="18"/>
      <c r="E13" s="18"/>
      <c r="F13" s="18"/>
      <c r="G13" s="18">
        <v>2164.77</v>
      </c>
      <c r="H13" s="18">
        <v>1308.5899999999999</v>
      </c>
      <c r="I13" s="18">
        <v>1531.59</v>
      </c>
      <c r="J13" s="18">
        <v>9840.7199999999993</v>
      </c>
      <c r="K13" s="18">
        <v>1227.83</v>
      </c>
      <c r="L13" s="18"/>
      <c r="M13" s="18"/>
      <c r="N13" s="18">
        <v>5289.62</v>
      </c>
      <c r="O13" s="18">
        <v>9945.4599999999991</v>
      </c>
      <c r="P13" s="18">
        <v>5654.72</v>
      </c>
      <c r="Q13" s="18">
        <v>2185.81</v>
      </c>
      <c r="R13" s="18">
        <v>461.45</v>
      </c>
      <c r="S13" s="18"/>
      <c r="T13" s="18"/>
      <c r="U13" s="18">
        <v>4394.1400000000003</v>
      </c>
      <c r="V13" s="18">
        <v>339.79</v>
      </c>
      <c r="W13" s="18"/>
      <c r="X13" s="18">
        <v>969.75</v>
      </c>
      <c r="Y13" s="18">
        <v>2953.65</v>
      </c>
      <c r="Z13" s="18"/>
      <c r="AA13" s="18"/>
      <c r="AB13" s="18">
        <v>4160.17</v>
      </c>
      <c r="AC13" s="18">
        <v>1745.85</v>
      </c>
      <c r="AD13" s="18">
        <v>956.73</v>
      </c>
      <c r="AE13" s="18">
        <v>1809.94</v>
      </c>
      <c r="AF13" s="18">
        <v>2224.36</v>
      </c>
      <c r="AG13" s="18"/>
      <c r="AH13" s="18"/>
      <c r="AI13" s="16">
        <f t="shared" si="2"/>
        <v>59164.939999999995</v>
      </c>
    </row>
    <row r="14" spans="2:35" ht="16.5" customHeight="1" x14ac:dyDescent="0.2">
      <c r="B14" s="115"/>
      <c r="C14" s="17" t="s">
        <v>54</v>
      </c>
      <c r="D14" s="18"/>
      <c r="E14" s="18"/>
      <c r="F14" s="18"/>
      <c r="G14" s="18">
        <v>3004.29</v>
      </c>
      <c r="H14" s="18">
        <v>2359.29</v>
      </c>
      <c r="I14" s="18">
        <v>211.9</v>
      </c>
      <c r="J14" s="18">
        <v>193.18</v>
      </c>
      <c r="K14" s="18">
        <v>1746.33</v>
      </c>
      <c r="L14" s="18"/>
      <c r="M14" s="18"/>
      <c r="N14" s="18">
        <v>2484.04</v>
      </c>
      <c r="O14" s="18">
        <v>396.7</v>
      </c>
      <c r="P14" s="18">
        <v>2255.84</v>
      </c>
      <c r="Q14" s="18">
        <v>1033.0999999999999</v>
      </c>
      <c r="R14" s="18">
        <v>255.51</v>
      </c>
      <c r="S14" s="18"/>
      <c r="T14" s="18"/>
      <c r="U14" s="18">
        <v>4920.1099999999997</v>
      </c>
      <c r="V14" s="18">
        <v>1125.58</v>
      </c>
      <c r="W14" s="18">
        <v>3259.75</v>
      </c>
      <c r="X14" s="18">
        <v>1740.57</v>
      </c>
      <c r="Y14" s="18">
        <v>1631.83</v>
      </c>
      <c r="Z14" s="18"/>
      <c r="AA14" s="18"/>
      <c r="AB14" s="18">
        <v>1148.48</v>
      </c>
      <c r="AC14" s="18">
        <v>1458.53</v>
      </c>
      <c r="AD14" s="18">
        <v>1214.2</v>
      </c>
      <c r="AE14" s="18">
        <v>532.29</v>
      </c>
      <c r="AF14" s="18">
        <v>1510.75</v>
      </c>
      <c r="AG14" s="18"/>
      <c r="AH14" s="18"/>
      <c r="AI14" s="16">
        <f t="shared" si="2"/>
        <v>32482.270000000004</v>
      </c>
    </row>
    <row r="15" spans="2:35" ht="16.5" customHeight="1" x14ac:dyDescent="0.2">
      <c r="B15" s="115"/>
      <c r="C15" s="17" t="s">
        <v>55</v>
      </c>
      <c r="D15" s="18"/>
      <c r="E15" s="18"/>
      <c r="F15" s="18"/>
      <c r="G15" s="18">
        <f>1829.23+13.74</f>
        <v>1842.97</v>
      </c>
      <c r="H15" s="18">
        <v>1204</v>
      </c>
      <c r="I15" s="18">
        <f>3.92+1302.25</f>
        <v>1306.17</v>
      </c>
      <c r="J15" s="18">
        <v>161.69999999999999</v>
      </c>
      <c r="K15" s="18">
        <v>59.81</v>
      </c>
      <c r="L15" s="18"/>
      <c r="M15" s="18"/>
      <c r="N15" s="18">
        <f>1324.47+43.71</f>
        <v>1368.18</v>
      </c>
      <c r="O15" s="18">
        <f>865.42+254.48</f>
        <v>1119.8999999999999</v>
      </c>
      <c r="P15" s="18">
        <f>2143.91+283.47</f>
        <v>2427.38</v>
      </c>
      <c r="Q15" s="18">
        <f>134.81+21.58</f>
        <v>156.38999999999999</v>
      </c>
      <c r="R15" s="18">
        <f>380.6+164.15</f>
        <v>544.75</v>
      </c>
      <c r="S15" s="18"/>
      <c r="T15" s="18"/>
      <c r="U15" s="18">
        <f>2405.35+68</f>
        <v>2473.35</v>
      </c>
      <c r="V15" s="18">
        <f>88.75</f>
        <v>88.75</v>
      </c>
      <c r="W15" s="18">
        <f>177.52+115.88</f>
        <v>293.39999999999998</v>
      </c>
      <c r="X15" s="18">
        <v>761.85</v>
      </c>
      <c r="Y15" s="18">
        <f>869.73+14.72</f>
        <v>884.45</v>
      </c>
      <c r="Z15" s="18"/>
      <c r="AA15" s="18"/>
      <c r="AB15" s="18">
        <v>1791.75</v>
      </c>
      <c r="AC15" s="18">
        <f>96.85+91.84</f>
        <v>188.69</v>
      </c>
      <c r="AD15" s="18">
        <f>1136.33+288.47</f>
        <v>1424.8</v>
      </c>
      <c r="AE15" s="18">
        <v>261.25</v>
      </c>
      <c r="AF15" s="18">
        <f>2184.63+14.72</f>
        <v>2199.35</v>
      </c>
      <c r="AG15" s="18"/>
      <c r="AH15" s="18"/>
      <c r="AI15" s="16">
        <f t="shared" si="2"/>
        <v>20558.89</v>
      </c>
    </row>
    <row r="16" spans="2:35" ht="16.5" customHeight="1" x14ac:dyDescent="0.2">
      <c r="B16" s="115"/>
      <c r="C16" s="17" t="s">
        <v>56</v>
      </c>
      <c r="D16" s="18"/>
      <c r="E16" s="18"/>
      <c r="F16" s="18"/>
      <c r="G16" s="18">
        <v>22041.56</v>
      </c>
      <c r="H16" s="18">
        <v>4408.0600000000004</v>
      </c>
      <c r="I16" s="18">
        <v>11964.4</v>
      </c>
      <c r="J16" s="18">
        <v>12833.73</v>
      </c>
      <c r="K16" s="18">
        <v>10062</v>
      </c>
      <c r="L16" s="18"/>
      <c r="M16" s="18"/>
      <c r="N16" s="18">
        <v>22737.17</v>
      </c>
      <c r="O16" s="18">
        <v>5779.84</v>
      </c>
      <c r="P16" s="18">
        <v>24281.66</v>
      </c>
      <c r="Q16" s="18">
        <v>10387.02</v>
      </c>
      <c r="R16" s="18">
        <v>4196.41</v>
      </c>
      <c r="S16" s="18"/>
      <c r="T16" s="18"/>
      <c r="U16" s="18">
        <v>18690.150000000001</v>
      </c>
      <c r="V16" s="18">
        <v>5568.64</v>
      </c>
      <c r="W16" s="18">
        <v>8453.17</v>
      </c>
      <c r="X16" s="18">
        <v>12711.99</v>
      </c>
      <c r="Y16" s="18">
        <v>10640.24</v>
      </c>
      <c r="Z16" s="18"/>
      <c r="AA16" s="18"/>
      <c r="AB16" s="18">
        <v>30823.759999999998</v>
      </c>
      <c r="AC16" s="18">
        <v>7509.77</v>
      </c>
      <c r="AD16" s="18">
        <v>8623.24</v>
      </c>
      <c r="AE16" s="18">
        <v>12855.86</v>
      </c>
      <c r="AF16" s="18">
        <v>15150.51</v>
      </c>
      <c r="AG16" s="18"/>
      <c r="AH16" s="18"/>
      <c r="AI16" s="16">
        <f t="shared" si="2"/>
        <v>259719.18</v>
      </c>
    </row>
    <row r="17" spans="2:35" ht="16.5" customHeight="1" x14ac:dyDescent="0.2">
      <c r="B17" s="115"/>
      <c r="C17" s="17" t="s">
        <v>48</v>
      </c>
      <c r="D17" s="18"/>
      <c r="E17" s="18"/>
      <c r="F17" s="18"/>
      <c r="G17" s="18">
        <v>20137.5</v>
      </c>
      <c r="H17" s="18">
        <v>1497.01</v>
      </c>
      <c r="I17" s="18">
        <v>991.6</v>
      </c>
      <c r="J17" s="18">
        <v>1994.82</v>
      </c>
      <c r="K17" s="18">
        <v>4124.68</v>
      </c>
      <c r="L17" s="18"/>
      <c r="M17" s="18"/>
      <c r="N17" s="18">
        <v>12910.68</v>
      </c>
      <c r="O17" s="18">
        <v>1168.93</v>
      </c>
      <c r="P17" s="18">
        <v>3719.08</v>
      </c>
      <c r="Q17" s="18">
        <v>1940.71</v>
      </c>
      <c r="R17" s="18">
        <v>1625.12</v>
      </c>
      <c r="S17" s="18"/>
      <c r="T17" s="18"/>
      <c r="U17" s="18">
        <v>20084.560000000001</v>
      </c>
      <c r="V17" s="18">
        <v>2035.25</v>
      </c>
      <c r="W17" s="18">
        <v>3256.96</v>
      </c>
      <c r="X17" s="18">
        <v>6053.53</v>
      </c>
      <c r="Y17" s="18">
        <v>3195.16</v>
      </c>
      <c r="Z17" s="18"/>
      <c r="AA17" s="18"/>
      <c r="AB17" s="18">
        <v>11506.09</v>
      </c>
      <c r="AC17" s="18">
        <v>3780.13</v>
      </c>
      <c r="AD17" s="18">
        <v>2750.92</v>
      </c>
      <c r="AE17" s="18">
        <v>7712.84</v>
      </c>
      <c r="AF17" s="18">
        <v>514.30999999999995</v>
      </c>
      <c r="AG17" s="18"/>
      <c r="AH17" s="18"/>
      <c r="AI17" s="16">
        <f t="shared" si="2"/>
        <v>110999.88</v>
      </c>
    </row>
    <row r="18" spans="2:35" ht="16.5" customHeight="1" x14ac:dyDescent="0.2">
      <c r="B18" s="115"/>
      <c r="C18" s="21" t="s">
        <v>31</v>
      </c>
      <c r="D18" s="22">
        <f>SUM(D7:D17)</f>
        <v>0</v>
      </c>
      <c r="E18" s="22">
        <f t="shared" ref="E18:AH18" si="3">SUM(E7:E17)</f>
        <v>0</v>
      </c>
      <c r="F18" s="22">
        <f t="shared" si="3"/>
        <v>0</v>
      </c>
      <c r="G18" s="22">
        <f t="shared" si="3"/>
        <v>114079.32999999999</v>
      </c>
      <c r="H18" s="22">
        <f t="shared" si="3"/>
        <v>77919.969999999987</v>
      </c>
      <c r="I18" s="22">
        <f t="shared" si="3"/>
        <v>48265.68</v>
      </c>
      <c r="J18" s="22">
        <f t="shared" si="3"/>
        <v>82599.899999999994</v>
      </c>
      <c r="K18" s="22">
        <f t="shared" si="3"/>
        <v>22732.199999999997</v>
      </c>
      <c r="L18" s="22">
        <f t="shared" si="3"/>
        <v>0</v>
      </c>
      <c r="M18" s="22">
        <f t="shared" si="3"/>
        <v>0</v>
      </c>
      <c r="N18" s="22">
        <f t="shared" si="3"/>
        <v>78243.63</v>
      </c>
      <c r="O18" s="22">
        <f t="shared" si="3"/>
        <v>66714.779999999984</v>
      </c>
      <c r="P18" s="22">
        <f t="shared" si="3"/>
        <v>62029.440000000002</v>
      </c>
      <c r="Q18" s="22">
        <f t="shared" si="3"/>
        <v>37611.4</v>
      </c>
      <c r="R18" s="22">
        <f t="shared" si="3"/>
        <v>21027.079999999998</v>
      </c>
      <c r="S18" s="22">
        <f t="shared" si="3"/>
        <v>0</v>
      </c>
      <c r="T18" s="22">
        <f t="shared" si="3"/>
        <v>0</v>
      </c>
      <c r="U18" s="22">
        <f t="shared" si="3"/>
        <v>61842.2</v>
      </c>
      <c r="V18" s="22">
        <f t="shared" si="3"/>
        <v>62718.38</v>
      </c>
      <c r="W18" s="22">
        <f t="shared" si="3"/>
        <v>88384.43</v>
      </c>
      <c r="X18" s="22">
        <f t="shared" si="3"/>
        <v>24833.21</v>
      </c>
      <c r="Y18" s="22">
        <f t="shared" si="3"/>
        <v>36360.070000000007</v>
      </c>
      <c r="Z18" s="22">
        <f t="shared" si="3"/>
        <v>0</v>
      </c>
      <c r="AA18" s="22">
        <f t="shared" si="3"/>
        <v>0</v>
      </c>
      <c r="AB18" s="22">
        <f t="shared" si="3"/>
        <v>55110.229999999996</v>
      </c>
      <c r="AC18" s="22">
        <f t="shared" si="3"/>
        <v>63686.26</v>
      </c>
      <c r="AD18" s="22">
        <f t="shared" si="3"/>
        <v>22309.690000000002</v>
      </c>
      <c r="AE18" s="22">
        <f t="shared" si="3"/>
        <v>42620.270000000004</v>
      </c>
      <c r="AF18" s="22">
        <f t="shared" si="3"/>
        <v>36073.05999999999</v>
      </c>
      <c r="AG18" s="22">
        <f t="shared" si="3"/>
        <v>0</v>
      </c>
      <c r="AH18" s="22">
        <f t="shared" si="3"/>
        <v>0</v>
      </c>
      <c r="AI18" s="23">
        <f>SUM(D18:AG18)</f>
        <v>1105161.21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>
        <v>6606.47</v>
      </c>
      <c r="J19" s="18"/>
      <c r="K19" s="18">
        <v>1621.6</v>
      </c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8228.07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SUM(D20:AG20)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>
        <f>47073.66+2090+15000</f>
        <v>64163.66</v>
      </c>
      <c r="H21" s="26"/>
      <c r="I21" s="26">
        <v>18637</v>
      </c>
      <c r="J21" s="26"/>
      <c r="K21" s="26"/>
      <c r="L21" s="26"/>
      <c r="N21" s="26"/>
      <c r="O21" s="26"/>
      <c r="P21" s="26"/>
      <c r="Q21" s="26"/>
      <c r="S21" s="26"/>
      <c r="T21" s="26"/>
      <c r="U21" s="26">
        <f>415.2+910.8+1942.45+33930+42395.09</f>
        <v>79593.539999999994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(33539+514.8+36444.14)-4555.68</f>
        <v>65942.260000000009</v>
      </c>
      <c r="AG21" s="26"/>
      <c r="AH21" s="26"/>
      <c r="AI21" s="19">
        <f t="shared" si="4"/>
        <v>228336.46000000002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K24" s="4">
        <f>968.31+261.21</f>
        <v>1229.52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4"/>
        <v>1229.52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-64163.66</v>
      </c>
      <c r="H25" s="29">
        <f t="shared" si="5"/>
        <v>0</v>
      </c>
      <c r="I25" s="29">
        <f>-SUM(I19:I24)</f>
        <v>-25243.47</v>
      </c>
      <c r="J25" s="29">
        <f t="shared" si="5"/>
        <v>0</v>
      </c>
      <c r="K25" s="29">
        <f t="shared" si="5"/>
        <v>-2851.12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0</v>
      </c>
      <c r="Q25" s="29">
        <f t="shared" si="5"/>
        <v>0</v>
      </c>
      <c r="R25" s="29">
        <f>-SUM(R19:R24)</f>
        <v>0</v>
      </c>
      <c r="S25" s="29">
        <f t="shared" si="5"/>
        <v>0</v>
      </c>
      <c r="T25" s="29">
        <f>-SUM(T19:T24)</f>
        <v>0</v>
      </c>
      <c r="U25" s="29">
        <f t="shared" si="5"/>
        <v>-79593.539999999994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 t="shared" si="5"/>
        <v>0</v>
      </c>
      <c r="AF25" s="29">
        <f>-SUM(AF19:AF24)</f>
        <v>-65942.260000000009</v>
      </c>
      <c r="AG25" s="29">
        <f t="shared" si="5"/>
        <v>0</v>
      </c>
      <c r="AH25" s="29">
        <f t="shared" si="5"/>
        <v>0</v>
      </c>
      <c r="AI25" s="29">
        <f>-SUM(AI19:AI24)</f>
        <v>-237794.05000000002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59.69+12.36+59.45+26.7+56.25+286.73+55.02+29.87</f>
        <v>586.07000000000005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SUM(D27:AG27)</f>
        <v>586.07000000000005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v>55810.06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55810.06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K31" s="18">
        <v>13381.47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>
        <f>70.46</f>
        <v>70.459999999999994</v>
      </c>
      <c r="AC31" s="26"/>
      <c r="AD31" s="26"/>
      <c r="AE31" s="26"/>
      <c r="AF31" s="26">
        <v>11466.76</v>
      </c>
      <c r="AG31" s="26"/>
      <c r="AH31" s="26"/>
      <c r="AI31" s="19">
        <f t="shared" si="6"/>
        <v>24918.69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/>
      <c r="AB32" s="26">
        <v>4548.29</v>
      </c>
      <c r="AC32" s="26"/>
      <c r="AD32" s="26"/>
      <c r="AE32" s="26"/>
      <c r="AF32" s="26"/>
      <c r="AG32" s="26"/>
      <c r="AH32" s="26"/>
      <c r="AI32" s="19">
        <f t="shared" si="6"/>
        <v>4548.29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/>
      <c r="AB33" s="26">
        <v>21158.47</v>
      </c>
      <c r="AC33" s="26"/>
      <c r="AD33" s="26"/>
      <c r="AE33" s="26"/>
      <c r="AF33" s="26"/>
      <c r="AG33" s="26"/>
      <c r="AH33" s="26"/>
      <c r="AI33" s="19">
        <f t="shared" si="6"/>
        <v>21158.47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6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6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-69191.53</v>
      </c>
      <c r="L36" s="29">
        <f t="shared" si="7"/>
        <v>0</v>
      </c>
      <c r="M36" s="29">
        <f t="shared" si="7"/>
        <v>0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 t="shared" si="8"/>
        <v>0</v>
      </c>
      <c r="U36" s="29">
        <f t="shared" si="8"/>
        <v>-586.07000000000005</v>
      </c>
      <c r="V36" s="29">
        <f t="shared" si="8"/>
        <v>0</v>
      </c>
      <c r="W36" s="29">
        <f t="shared" si="8"/>
        <v>0</v>
      </c>
      <c r="X36" s="29">
        <f t="shared" si="8"/>
        <v>0</v>
      </c>
      <c r="Y36" s="29">
        <f t="shared" si="8"/>
        <v>0</v>
      </c>
      <c r="Z36" s="29">
        <f t="shared" si="8"/>
        <v>0</v>
      </c>
      <c r="AA36" s="29">
        <f t="shared" si="8"/>
        <v>0</v>
      </c>
      <c r="AB36" s="29">
        <f t="shared" si="8"/>
        <v>-25777.22</v>
      </c>
      <c r="AC36" s="29">
        <f t="shared" si="8"/>
        <v>0</v>
      </c>
      <c r="AD36" s="29">
        <f t="shared" si="8"/>
        <v>0</v>
      </c>
      <c r="AE36" s="29">
        <f t="shared" si="8"/>
        <v>0</v>
      </c>
      <c r="AF36" s="29">
        <f>-SUM(AF26:AF35)</f>
        <v>-11466.76</v>
      </c>
      <c r="AG36" s="29">
        <f t="shared" si="8"/>
        <v>0</v>
      </c>
      <c r="AH36" s="29">
        <f t="shared" si="8"/>
        <v>0</v>
      </c>
      <c r="AI36" s="29">
        <f>-SUM(AI26:AI35)</f>
        <v>-107021.57999999999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I38" s="18">
        <f>22294.37</f>
        <v>22294.37</v>
      </c>
      <c r="J38" s="18"/>
      <c r="K38" s="4">
        <v>12.92</v>
      </c>
      <c r="L38" s="18"/>
      <c r="M38" s="18"/>
      <c r="N38" s="18"/>
      <c r="O38" s="18"/>
      <c r="P38" s="18">
        <v>106.06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9">SUM(D38:AG38)</f>
        <v>22413.35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-22294.37</v>
      </c>
      <c r="J40" s="29">
        <f t="shared" si="10"/>
        <v>0</v>
      </c>
      <c r="K40" s="29">
        <f t="shared" si="10"/>
        <v>-12.92</v>
      </c>
      <c r="L40" s="29">
        <f t="shared" si="10"/>
        <v>0</v>
      </c>
      <c r="M40" s="29">
        <f t="shared" si="10"/>
        <v>0</v>
      </c>
      <c r="N40" s="29">
        <f t="shared" si="10"/>
        <v>0</v>
      </c>
      <c r="O40" s="29">
        <f t="shared" si="10"/>
        <v>0</v>
      </c>
      <c r="P40" s="29">
        <f t="shared" si="10"/>
        <v>-106.06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0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0</v>
      </c>
      <c r="AH40" s="29">
        <f t="shared" si="10"/>
        <v>0</v>
      </c>
      <c r="AI40" s="29">
        <f t="shared" si="10"/>
        <v>-22413.35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>
        <f>2574.48+2585.49</f>
        <v>5159.9699999999993</v>
      </c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270300.17-1736.75</f>
        <v>268563.42</v>
      </c>
      <c r="X41" s="58"/>
      <c r="Y41" s="18"/>
      <c r="Z41" s="18"/>
      <c r="AA41" s="58"/>
      <c r="AB41" s="18"/>
      <c r="AC41" s="18"/>
      <c r="AD41" s="18"/>
      <c r="AE41" s="18"/>
      <c r="AG41" s="18"/>
      <c r="AH41" s="18"/>
      <c r="AI41" s="19">
        <f>SUM(D41:AG41)</f>
        <v>273723.38999999996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>
        <v>19173.37</v>
      </c>
      <c r="Z42" s="18"/>
      <c r="AA42" s="18"/>
      <c r="AB42" s="18"/>
      <c r="AC42" s="18"/>
      <c r="AE42" s="18"/>
      <c r="AF42" s="18">
        <v>20000</v>
      </c>
      <c r="AH42" s="18"/>
      <c r="AI42" s="19">
        <f>SUM(D42:AF42)</f>
        <v>39173.369999999995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>
        <v>5000</v>
      </c>
      <c r="V43" s="18"/>
      <c r="W43" s="18">
        <v>24500</v>
      </c>
      <c r="X43" s="18"/>
      <c r="Y43" s="18"/>
      <c r="Z43" s="18"/>
      <c r="AA43" s="18"/>
      <c r="AB43" s="18">
        <v>25500</v>
      </c>
      <c r="AC43" s="18"/>
      <c r="AD43" s="18">
        <v>18000</v>
      </c>
      <c r="AE43" s="18"/>
      <c r="AF43" s="18">
        <v>42000</v>
      </c>
      <c r="AG43" s="18"/>
      <c r="AH43" s="18"/>
      <c r="AI43" s="19">
        <f t="shared" ref="AI43:AI73" si="11">SUM(D43:AG43)</f>
        <v>115000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1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>
        <v>5000</v>
      </c>
      <c r="H45" s="18"/>
      <c r="I45" s="18">
        <v>40676.089999999997</v>
      </c>
      <c r="J45" s="18"/>
      <c r="L45" s="18"/>
      <c r="M45" s="18"/>
      <c r="N45" s="18">
        <v>27352.78</v>
      </c>
      <c r="O45" s="18"/>
      <c r="P45" s="18">
        <v>43631.85</v>
      </c>
      <c r="Q45" s="18"/>
      <c r="S45" s="18"/>
      <c r="T45" s="18"/>
      <c r="U45" s="18">
        <v>9976.24</v>
      </c>
      <c r="V45" s="18"/>
      <c r="W45" s="26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1"/>
        <v>126636.96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>
        <f>7919.79+16621.51</f>
        <v>24541.3</v>
      </c>
      <c r="O46" s="26"/>
      <c r="P46" s="26"/>
      <c r="Q46" s="26"/>
      <c r="R46" s="26"/>
      <c r="S46" s="26"/>
      <c r="T46" s="26"/>
      <c r="U46" s="26"/>
      <c r="V46" s="26"/>
      <c r="W46" s="26">
        <f>31842.07</f>
        <v>31842.07</v>
      </c>
      <c r="X46" s="26"/>
      <c r="Y46" s="18"/>
      <c r="Z46" s="26"/>
      <c r="AA46" s="26"/>
      <c r="AB46" s="26">
        <f>1790</f>
        <v>1790</v>
      </c>
      <c r="AC46" s="26"/>
      <c r="AD46" s="26"/>
      <c r="AE46" s="26"/>
      <c r="AF46" s="26"/>
      <c r="AG46" s="26"/>
      <c r="AH46" s="26"/>
      <c r="AI46" s="19">
        <f t="shared" si="11"/>
        <v>58173.369999999995</v>
      </c>
    </row>
    <row r="47" spans="2:35" ht="16.5" customHeight="1" x14ac:dyDescent="0.2">
      <c r="B47" s="117"/>
      <c r="C47" s="25" t="s">
        <v>79</v>
      </c>
      <c r="D47" s="26"/>
      <c r="E47" s="26"/>
      <c r="F47" s="26"/>
      <c r="G47" s="26">
        <f>198+40.3+33+166.88</f>
        <v>438.18</v>
      </c>
      <c r="I47" s="26">
        <f>37.5+(153.13+612.52+14155.72)</f>
        <v>14958.869999999999</v>
      </c>
      <c r="J47" s="26">
        <v>120.82</v>
      </c>
      <c r="K47" s="26">
        <f>82.69+53.79</f>
        <v>136.47999999999999</v>
      </c>
      <c r="M47" s="26"/>
      <c r="N47" s="26"/>
      <c r="O47" s="26"/>
      <c r="P47" s="26">
        <v>563</v>
      </c>
      <c r="Q47" s="26"/>
      <c r="R47" s="18">
        <f>34.2</f>
        <v>34.200000000000003</v>
      </c>
      <c r="S47" s="26"/>
      <c r="T47" s="26"/>
      <c r="U47" s="26">
        <f>898.74+14183.19</f>
        <v>15081.93</v>
      </c>
      <c r="V47" s="26"/>
      <c r="W47" s="26"/>
      <c r="X47" s="26"/>
      <c r="Y47" s="4">
        <f>70.2+3578.06</f>
        <v>3648.2599999999998</v>
      </c>
      <c r="Z47" s="26"/>
      <c r="AA47" s="58"/>
      <c r="AB47" s="26">
        <f>72.4</f>
        <v>72.400000000000006</v>
      </c>
      <c r="AC47" s="26"/>
      <c r="AD47" s="26">
        <f>865.5+70.2</f>
        <v>935.7</v>
      </c>
      <c r="AE47" s="26"/>
      <c r="AF47" s="26">
        <f>70.87+96.6</f>
        <v>167.47</v>
      </c>
      <c r="AG47" s="26"/>
      <c r="AH47" s="26"/>
      <c r="AI47" s="19">
        <f>SUM(D47:AG47)</f>
        <v>36157.31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>
        <f>7464.97</f>
        <v>7464.97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>
        <f>8062.17</f>
        <v>8062.17</v>
      </c>
      <c r="AC48" s="58"/>
      <c r="AD48" s="58"/>
      <c r="AE48" s="26"/>
      <c r="AF48" s="26"/>
      <c r="AG48" s="58"/>
      <c r="AH48" s="26"/>
      <c r="AI48" s="19">
        <f>SUM(E48:AF48)</f>
        <v>15527.14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1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>
        <f>153.9</f>
        <v>153.9</v>
      </c>
      <c r="AC50" s="26"/>
      <c r="AD50" s="26"/>
      <c r="AE50" s="26"/>
      <c r="AF50" s="26"/>
      <c r="AG50" s="26"/>
      <c r="AH50" s="26"/>
      <c r="AI50" s="19">
        <f t="shared" si="11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>
        <f>409.5+410</f>
        <v>819.5</v>
      </c>
      <c r="Z51" s="26"/>
      <c r="AA51" s="26"/>
      <c r="AB51" s="26"/>
      <c r="AC51" s="26"/>
      <c r="AD51" s="26"/>
      <c r="AE51" s="26">
        <v>349.85</v>
      </c>
      <c r="AF51" s="26"/>
      <c r="AG51" s="26"/>
      <c r="AH51" s="26"/>
      <c r="AI51" s="19">
        <f t="shared" si="11"/>
        <v>1169.3499999999999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1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>
        <v>11552.45</v>
      </c>
      <c r="I53" s="26"/>
      <c r="J53" s="26"/>
      <c r="K53" s="26"/>
      <c r="L53" s="26"/>
      <c r="M53" s="26"/>
      <c r="N53" s="26"/>
      <c r="O53" s="26"/>
      <c r="P53" s="26"/>
      <c r="Q53" s="26"/>
      <c r="R53" s="26">
        <v>9971.51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58"/>
      <c r="AH53" s="26"/>
      <c r="AI53" s="19">
        <f>SUM(D53:AF53)</f>
        <v>21523.96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900.36</f>
        <v>900.36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58"/>
      <c r="AH54" s="26"/>
      <c r="AI54" s="19">
        <f>SUM(D54:AF54)</f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v>219.45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f>1724.9</f>
        <v>1724.9</v>
      </c>
      <c r="AG55" s="26"/>
      <c r="AH55" s="26"/>
      <c r="AI55" s="19">
        <f t="shared" si="11"/>
        <v>1944.3500000000001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1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>
        <v>23.7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1"/>
        <v>23.7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1"/>
        <v>0</v>
      </c>
    </row>
    <row r="59" spans="2:35" ht="16.5" customHeight="1" x14ac:dyDescent="0.2">
      <c r="B59" s="117"/>
      <c r="C59" s="25" t="s">
        <v>32</v>
      </c>
      <c r="E59" s="58"/>
      <c r="F59" s="26"/>
      <c r="G59" s="26">
        <f>3500+7950</f>
        <v>11450</v>
      </c>
      <c r="I59" s="26">
        <f>3693.75</f>
        <v>3693.75</v>
      </c>
      <c r="J59" s="26"/>
      <c r="K59" s="26"/>
      <c r="L59" s="26"/>
      <c r="M59" s="26"/>
      <c r="N59" s="4">
        <f>720+350.42+1590</f>
        <v>2660.42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>
        <f>180</f>
        <v>180</v>
      </c>
      <c r="Z59" s="26"/>
      <c r="AA59" s="26"/>
      <c r="AB59" s="26">
        <f>681.5</f>
        <v>681.5</v>
      </c>
      <c r="AD59" s="26"/>
      <c r="AE59" s="26"/>
      <c r="AF59" s="26"/>
      <c r="AG59" s="26"/>
      <c r="AH59" s="26"/>
      <c r="AI59" s="19">
        <f>SUM(F59:AG59)</f>
        <v>18665.669999999998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1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B62" s="26">
        <v>4212</v>
      </c>
      <c r="AC62" s="26"/>
      <c r="AD62" s="58"/>
      <c r="AE62" s="26"/>
      <c r="AF62" s="26"/>
      <c r="AG62" s="26"/>
      <c r="AH62" s="26"/>
      <c r="AI62" s="19">
        <f t="shared" si="11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>
        <f>1372.5+1003</f>
        <v>2375.5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>
        <f>505.1+157.5</f>
        <v>662.6</v>
      </c>
      <c r="AC63" s="26"/>
      <c r="AD63" s="26"/>
      <c r="AE63" s="26"/>
      <c r="AF63" s="26">
        <f>549</f>
        <v>549</v>
      </c>
      <c r="AG63" s="26"/>
      <c r="AH63" s="26"/>
      <c r="AI63" s="19">
        <f t="shared" si="11"/>
        <v>3587.1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>
        <f>1161.72+1161.37</f>
        <v>2323.09</v>
      </c>
      <c r="H64" s="26"/>
      <c r="I64" s="26"/>
      <c r="J64" s="26"/>
      <c r="K64" s="26"/>
      <c r="L64" s="58"/>
      <c r="M64" s="26"/>
      <c r="N64" s="26"/>
      <c r="O64" s="26"/>
      <c r="P64" s="26">
        <v>137.65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>
        <f>1512+285</f>
        <v>1797</v>
      </c>
      <c r="AE64" s="26"/>
      <c r="AF64" s="26"/>
      <c r="AG64" s="26"/>
      <c r="AH64" s="26"/>
      <c r="AI64" s="19">
        <f t="shared" si="11"/>
        <v>4257.74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/>
      <c r="P65" s="26"/>
      <c r="Q65" s="26"/>
      <c r="R65" s="26"/>
      <c r="S65" s="26"/>
      <c r="T65" s="26"/>
      <c r="U65" s="26">
        <f>217.05</f>
        <v>217.05</v>
      </c>
      <c r="V65" s="26"/>
      <c r="X65" s="26"/>
      <c r="Z65" s="26"/>
      <c r="AA65" s="26"/>
      <c r="AB65" s="26">
        <v>2286.15</v>
      </c>
      <c r="AC65" s="26"/>
      <c r="AD65" s="26"/>
      <c r="AE65" s="26"/>
      <c r="AF65" s="26"/>
      <c r="AG65" s="26"/>
      <c r="AH65" s="26"/>
      <c r="AI65" s="19">
        <f t="shared" si="11"/>
        <v>2503.2000000000003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58"/>
      <c r="S67" s="26"/>
      <c r="T67" s="26"/>
      <c r="U67" s="26">
        <f>526.38+1000+866.83</f>
        <v>2393.21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2393.21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U68" s="4">
        <v>18.670000000000002</v>
      </c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1"/>
        <v>18.670000000000002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>
        <f>457.83</f>
        <v>457.83</v>
      </c>
      <c r="H69" s="26"/>
      <c r="I69" s="26"/>
      <c r="J69" s="26"/>
      <c r="K69" s="26"/>
      <c r="M69" s="26"/>
      <c r="N69" s="26"/>
      <c r="O69" s="26"/>
      <c r="Q69" s="26"/>
      <c r="R69" s="26">
        <f>1444+359.2+614</f>
        <v>2417.1999999999998</v>
      </c>
      <c r="S69" s="26"/>
      <c r="T69" s="26"/>
      <c r="U69" s="26">
        <v>816</v>
      </c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/>
      <c r="AI69" s="19">
        <f t="shared" si="11"/>
        <v>3691.0299999999997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>
        <v>201</v>
      </c>
      <c r="H70" s="26"/>
      <c r="I70" s="26"/>
      <c r="J70" s="26"/>
      <c r="K70" s="26"/>
      <c r="L70" s="26"/>
      <c r="M70" s="26"/>
      <c r="N70" s="26"/>
      <c r="O70" s="26"/>
      <c r="P70" s="26">
        <v>383.18</v>
      </c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584.18000000000006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/>
      <c r="E72" s="26"/>
      <c r="F72" s="26"/>
      <c r="G72" s="26">
        <f>41.58+7.9</f>
        <v>49.48</v>
      </c>
      <c r="H72" s="26">
        <f>4.62+6.42+106.38+84</f>
        <v>201.42</v>
      </c>
      <c r="I72" s="26">
        <v>44.96</v>
      </c>
      <c r="J72" s="26">
        <f>5.91</f>
        <v>5.91</v>
      </c>
      <c r="K72" s="26">
        <f>7.9</f>
        <v>7.9</v>
      </c>
      <c r="L72" s="26"/>
      <c r="M72" s="26"/>
      <c r="N72" s="26"/>
      <c r="O72" s="26">
        <v>29.55</v>
      </c>
      <c r="P72" s="26">
        <f>11.82+7.9</f>
        <v>19.72</v>
      </c>
      <c r="Q72" s="26">
        <f>2.31+3.21+29.55</f>
        <v>35.07</v>
      </c>
      <c r="R72" s="26">
        <v>45</v>
      </c>
      <c r="S72" s="26"/>
      <c r="T72" s="26"/>
      <c r="U72" s="26">
        <f>(7.9*4)+13.86+19.26</f>
        <v>64.72</v>
      </c>
      <c r="V72" s="26">
        <f>11.55+16.05+23.64</f>
        <v>51.24</v>
      </c>
      <c r="W72" s="26">
        <f>710.18</f>
        <v>710.18</v>
      </c>
      <c r="X72" s="26"/>
      <c r="Y72" s="26">
        <f>(7.9*4)+4.62+6.42</f>
        <v>42.64</v>
      </c>
      <c r="Z72" s="26"/>
      <c r="AA72" s="26"/>
      <c r="AB72" s="26">
        <f>(7.9*2)+11.55+16.05</f>
        <v>43.400000000000006</v>
      </c>
      <c r="AC72" s="26">
        <f>18.48+25.68+11.82</f>
        <v>55.98</v>
      </c>
      <c r="AD72" s="26">
        <f>11.82+6.42+4.62</f>
        <v>22.860000000000003</v>
      </c>
      <c r="AE72" s="26">
        <f>6.93+9.63+11.82</f>
        <v>28.380000000000003</v>
      </c>
      <c r="AF72" s="26">
        <f>(7.9*2)+4.62+6.42</f>
        <v>26.840000000000003</v>
      </c>
      <c r="AG72" s="26"/>
      <c r="AH72" s="26"/>
      <c r="AI72" s="19">
        <f t="shared" si="11"/>
        <v>1485.25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>
        <v>252.8</v>
      </c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1"/>
        <v>252.8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0</v>
      </c>
      <c r="E74" s="29">
        <f t="shared" si="12"/>
        <v>0</v>
      </c>
      <c r="F74" s="29">
        <f t="shared" si="12"/>
        <v>0</v>
      </c>
      <c r="G74" s="29">
        <f t="shared" si="12"/>
        <v>-39007.500000000007</v>
      </c>
      <c r="H74" s="29">
        <f t="shared" si="12"/>
        <v>-201.42</v>
      </c>
      <c r="I74" s="29">
        <f>-SUM(I41:I73)</f>
        <v>-66838.64</v>
      </c>
      <c r="J74" s="29">
        <f t="shared" si="12"/>
        <v>-126.72999999999999</v>
      </c>
      <c r="K74" s="29">
        <f t="shared" si="12"/>
        <v>-1264.19</v>
      </c>
      <c r="L74" s="29">
        <f t="shared" si="12"/>
        <v>0</v>
      </c>
      <c r="M74" s="29">
        <f t="shared" si="12"/>
        <v>0</v>
      </c>
      <c r="N74" s="29">
        <f t="shared" si="12"/>
        <v>-54554.5</v>
      </c>
      <c r="O74" s="29">
        <f t="shared" si="12"/>
        <v>-29.55</v>
      </c>
      <c r="P74" s="29">
        <f t="shared" si="12"/>
        <v>-44735.4</v>
      </c>
      <c r="Q74" s="29">
        <f t="shared" si="12"/>
        <v>-35.07</v>
      </c>
      <c r="R74" s="29">
        <f>-SUM(R41:R73)</f>
        <v>-12614.11</v>
      </c>
      <c r="S74" s="29">
        <f>-SUM(S41:S73)</f>
        <v>0</v>
      </c>
      <c r="T74" s="29">
        <f>-SUM(T41:T73)</f>
        <v>0</v>
      </c>
      <c r="U74" s="29">
        <f t="shared" si="12"/>
        <v>-33567.819999999992</v>
      </c>
      <c r="V74" s="29">
        <f>-SUM(V41:V73)</f>
        <v>-51.24</v>
      </c>
      <c r="W74" s="29">
        <f>-SUM(W41:W73)</f>
        <v>-325868.46999999997</v>
      </c>
      <c r="X74" s="29">
        <f>-SUM(X41:X73)</f>
        <v>0</v>
      </c>
      <c r="Y74" s="29">
        <f t="shared" si="12"/>
        <v>-23863.769999999997</v>
      </c>
      <c r="Z74" s="29">
        <f t="shared" si="12"/>
        <v>0</v>
      </c>
      <c r="AA74" s="29">
        <f t="shared" si="12"/>
        <v>0</v>
      </c>
      <c r="AB74" s="29">
        <f t="shared" si="12"/>
        <v>-43464.12</v>
      </c>
      <c r="AC74" s="29">
        <f t="shared" si="12"/>
        <v>-55.98</v>
      </c>
      <c r="AD74" s="29">
        <f>-SUM(AD41:AD73)</f>
        <v>-20755.560000000001</v>
      </c>
      <c r="AE74" s="29">
        <f>-SUM(AE41:AE73)</f>
        <v>-378.23</v>
      </c>
      <c r="AF74" s="29">
        <f>-SUM(AF41:AF73)</f>
        <v>-64468.21</v>
      </c>
      <c r="AG74" s="29">
        <f t="shared" si="12"/>
        <v>0</v>
      </c>
      <c r="AH74" s="29">
        <f t="shared" si="12"/>
        <v>0</v>
      </c>
      <c r="AI74" s="29">
        <f t="shared" si="12"/>
        <v>-731880.50999999989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0</v>
      </c>
      <c r="E75" s="29">
        <f t="shared" si="13"/>
        <v>0</v>
      </c>
      <c r="F75" s="29">
        <f t="shared" si="13"/>
        <v>0</v>
      </c>
      <c r="G75" s="29">
        <f t="shared" si="13"/>
        <v>-103171.16</v>
      </c>
      <c r="H75" s="29">
        <f t="shared" si="13"/>
        <v>-201.42</v>
      </c>
      <c r="I75" s="29">
        <f t="shared" si="13"/>
        <v>-114376.48</v>
      </c>
      <c r="J75" s="29">
        <f t="shared" si="13"/>
        <v>-126.72999999999999</v>
      </c>
      <c r="K75" s="29">
        <f t="shared" si="13"/>
        <v>-73319.759999999995</v>
      </c>
      <c r="L75" s="29">
        <f t="shared" si="13"/>
        <v>0</v>
      </c>
      <c r="M75" s="29">
        <f t="shared" si="13"/>
        <v>0</v>
      </c>
      <c r="N75" s="29">
        <f t="shared" si="13"/>
        <v>-54554.5</v>
      </c>
      <c r="O75" s="29">
        <f t="shared" si="13"/>
        <v>-29.55</v>
      </c>
      <c r="P75" s="29">
        <f t="shared" si="13"/>
        <v>-44841.46</v>
      </c>
      <c r="Q75" s="29">
        <f t="shared" si="13"/>
        <v>-35.07</v>
      </c>
      <c r="R75" s="29">
        <f t="shared" si="13"/>
        <v>-12614.11</v>
      </c>
      <c r="S75" s="29">
        <f t="shared" si="13"/>
        <v>0</v>
      </c>
      <c r="T75" s="29">
        <f t="shared" si="13"/>
        <v>0</v>
      </c>
      <c r="U75" s="29">
        <f t="shared" si="13"/>
        <v>-113747.43</v>
      </c>
      <c r="V75" s="29">
        <f t="shared" si="13"/>
        <v>-51.24</v>
      </c>
      <c r="W75" s="29">
        <f t="shared" si="13"/>
        <v>-325868.46999999997</v>
      </c>
      <c r="X75" s="29">
        <f t="shared" si="13"/>
        <v>0</v>
      </c>
      <c r="Y75" s="29">
        <f t="shared" si="13"/>
        <v>-23863.769999999997</v>
      </c>
      <c r="Z75" s="29">
        <f t="shared" si="13"/>
        <v>0</v>
      </c>
      <c r="AA75" s="29">
        <f t="shared" si="13"/>
        <v>0</v>
      </c>
      <c r="AB75" s="29">
        <f t="shared" si="13"/>
        <v>-69241.34</v>
      </c>
      <c r="AC75" s="29">
        <f t="shared" si="13"/>
        <v>-55.98</v>
      </c>
      <c r="AD75" s="29">
        <f t="shared" si="13"/>
        <v>-20755.560000000001</v>
      </c>
      <c r="AE75" s="29">
        <f t="shared" si="13"/>
        <v>-378.23</v>
      </c>
      <c r="AF75" s="29">
        <f t="shared" si="13"/>
        <v>-141877.23000000001</v>
      </c>
      <c r="AG75" s="29">
        <f t="shared" si="13"/>
        <v>0</v>
      </c>
      <c r="AH75" s="29">
        <f t="shared" si="13"/>
        <v>0</v>
      </c>
      <c r="AI75" s="29">
        <f t="shared" si="13"/>
        <v>-1099109.4899999998</v>
      </c>
    </row>
    <row r="76" spans="2:35" ht="7.5" customHeight="1" x14ac:dyDescent="0.2">
      <c r="B76" s="79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78"/>
      <c r="C77" s="32" t="s">
        <v>13</v>
      </c>
      <c r="D77" s="13">
        <f t="shared" ref="D77:AI77" si="14">D6+D18+D75</f>
        <v>26437.648699999809</v>
      </c>
      <c r="E77" s="13">
        <f t="shared" si="14"/>
        <v>26437.648699999809</v>
      </c>
      <c r="F77" s="13">
        <f t="shared" si="14"/>
        <v>26437.648699999809</v>
      </c>
      <c r="G77" s="13">
        <f t="shared" si="14"/>
        <v>37345.8186999998</v>
      </c>
      <c r="H77" s="13">
        <f t="shared" si="14"/>
        <v>115064.36869999979</v>
      </c>
      <c r="I77" s="13">
        <f t="shared" si="14"/>
        <v>48953.568699999785</v>
      </c>
      <c r="J77" s="13">
        <f t="shared" si="14"/>
        <v>131426.73869999978</v>
      </c>
      <c r="K77" s="13">
        <f t="shared" si="14"/>
        <v>80839.178699999771</v>
      </c>
      <c r="L77" s="13">
        <f t="shared" si="14"/>
        <v>80839.178699999771</v>
      </c>
      <c r="M77" s="13">
        <f t="shared" si="14"/>
        <v>80839.178699999771</v>
      </c>
      <c r="N77" s="13">
        <f t="shared" si="14"/>
        <v>104528.30869999976</v>
      </c>
      <c r="O77" s="13">
        <f t="shared" si="14"/>
        <v>171213.53869999974</v>
      </c>
      <c r="P77" s="13">
        <f t="shared" si="14"/>
        <v>188401.51869999975</v>
      </c>
      <c r="Q77" s="13">
        <f t="shared" si="14"/>
        <v>225977.84869999974</v>
      </c>
      <c r="R77" s="13">
        <f t="shared" si="14"/>
        <v>234390.81869999971</v>
      </c>
      <c r="S77" s="13">
        <f t="shared" si="14"/>
        <v>234390.81869999971</v>
      </c>
      <c r="T77" s="13">
        <f t="shared" si="14"/>
        <v>234390.81869999971</v>
      </c>
      <c r="U77" s="13">
        <f t="shared" si="14"/>
        <v>182485.58869999973</v>
      </c>
      <c r="V77" s="13">
        <f t="shared" si="14"/>
        <v>245152.72869999975</v>
      </c>
      <c r="W77" s="13">
        <f t="shared" si="14"/>
        <v>7668.688699999766</v>
      </c>
      <c r="X77" s="13">
        <f t="shared" si="14"/>
        <v>32501.898699999765</v>
      </c>
      <c r="Y77" s="13">
        <f t="shared" si="14"/>
        <v>44998.198699999768</v>
      </c>
      <c r="Z77" s="13">
        <f t="shared" si="14"/>
        <v>44998.198699999768</v>
      </c>
      <c r="AA77" s="13">
        <f t="shared" si="14"/>
        <v>44998.198699999768</v>
      </c>
      <c r="AB77" s="13">
        <f t="shared" si="14"/>
        <v>30867.08869999976</v>
      </c>
      <c r="AC77" s="13">
        <f t="shared" si="14"/>
        <v>94497.368699999774</v>
      </c>
      <c r="AD77" s="13">
        <f t="shared" si="14"/>
        <v>96051.498699999778</v>
      </c>
      <c r="AE77" s="13">
        <f t="shared" si="14"/>
        <v>138293.53869999977</v>
      </c>
      <c r="AF77" s="13">
        <f t="shared" si="14"/>
        <v>32489.368699999759</v>
      </c>
      <c r="AG77" s="13">
        <f t="shared" si="14"/>
        <v>32489.368699999759</v>
      </c>
      <c r="AH77" s="13">
        <f t="shared" si="14"/>
        <v>32489.368699999759</v>
      </c>
      <c r="AI77" s="13">
        <f t="shared" si="14"/>
        <v>32489.368699999992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Abril!AG83</f>
        <v>512460.56000000046</v>
      </c>
      <c r="E79" s="33">
        <f>D83</f>
        <v>512460.56000000046</v>
      </c>
      <c r="F79" s="33">
        <f t="shared" ref="F79:AH79" si="15">E83</f>
        <v>512460.56000000046</v>
      </c>
      <c r="G79" s="33">
        <f t="shared" si="15"/>
        <v>512460.56000000046</v>
      </c>
      <c r="H79" s="33">
        <f t="shared" si="15"/>
        <v>512759.40000000049</v>
      </c>
      <c r="I79" s="33">
        <f t="shared" si="15"/>
        <v>512943.75000000047</v>
      </c>
      <c r="J79" s="33">
        <f t="shared" si="15"/>
        <v>513128.11000000045</v>
      </c>
      <c r="K79" s="33">
        <f t="shared" si="15"/>
        <v>513312.61000000045</v>
      </c>
      <c r="L79" s="33">
        <f t="shared" si="15"/>
        <v>513497.18000000046</v>
      </c>
      <c r="M79" s="33">
        <f t="shared" si="15"/>
        <v>513497.18000000046</v>
      </c>
      <c r="N79" s="33">
        <f t="shared" si="15"/>
        <v>513497.18000000046</v>
      </c>
      <c r="O79" s="33">
        <f t="shared" si="15"/>
        <v>513681.82000000047</v>
      </c>
      <c r="P79" s="33">
        <f t="shared" si="15"/>
        <v>513866.53000000049</v>
      </c>
      <c r="Q79" s="33">
        <f t="shared" si="15"/>
        <v>514051.32000000047</v>
      </c>
      <c r="R79" s="33">
        <f t="shared" si="15"/>
        <v>514236.21000000049</v>
      </c>
      <c r="S79" s="33">
        <f t="shared" si="15"/>
        <v>514421.13000000047</v>
      </c>
      <c r="T79" s="33">
        <f t="shared" si="15"/>
        <v>514421.13000000047</v>
      </c>
      <c r="U79" s="33">
        <f t="shared" si="15"/>
        <v>514421.13000000047</v>
      </c>
      <c r="V79" s="33">
        <f t="shared" si="15"/>
        <v>514606.21000000049</v>
      </c>
      <c r="W79" s="33">
        <f t="shared" si="15"/>
        <v>514791.32000000047</v>
      </c>
      <c r="X79" s="33">
        <f t="shared" si="15"/>
        <v>461955.10000000044</v>
      </c>
      <c r="Y79" s="33">
        <f t="shared" si="15"/>
        <v>462118.97000000044</v>
      </c>
      <c r="Z79" s="33">
        <f t="shared" si="15"/>
        <v>481456.89000000042</v>
      </c>
      <c r="AA79" s="33">
        <f t="shared" si="15"/>
        <v>481456.89000000042</v>
      </c>
      <c r="AB79" s="33">
        <f t="shared" si="15"/>
        <v>481456.89000000042</v>
      </c>
      <c r="AC79" s="33">
        <f t="shared" si="15"/>
        <v>481812.10000000044</v>
      </c>
      <c r="AD79" s="33">
        <f t="shared" si="15"/>
        <v>481978.45000000042</v>
      </c>
      <c r="AE79" s="33">
        <f t="shared" si="15"/>
        <v>482145.2400000004</v>
      </c>
      <c r="AF79" s="33">
        <f t="shared" si="15"/>
        <v>482333.92000000039</v>
      </c>
      <c r="AG79" s="33">
        <f t="shared" si="15"/>
        <v>502504.81000000041</v>
      </c>
      <c r="AH79" s="33">
        <f t="shared" si="15"/>
        <v>502504.81000000041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>
        <v>-53000</v>
      </c>
      <c r="X80" s="18"/>
      <c r="Y80" s="83">
        <f>Y42</f>
        <v>19173.37</v>
      </c>
      <c r="Z80" s="18"/>
      <c r="AA80" s="18"/>
      <c r="AB80" s="18"/>
      <c r="AC80" s="18"/>
      <c r="AE80" s="18"/>
      <c r="AF80" s="18">
        <f>AF42</f>
        <v>20000</v>
      </c>
      <c r="AG80" s="18"/>
      <c r="AH80" s="18"/>
      <c r="AI80" s="19">
        <f>SUM(G80:AF80)</f>
        <v>-13826.630000000005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6">SUM(G81:AF81)</f>
        <v>0</v>
      </c>
    </row>
    <row r="82" spans="2:35" ht="16.5" customHeight="1" x14ac:dyDescent="0.2">
      <c r="B82" s="117"/>
      <c r="C82" s="17" t="s">
        <v>24</v>
      </c>
      <c r="D82" s="18"/>
      <c r="E82" s="18"/>
      <c r="F82" s="18"/>
      <c r="G82" s="18">
        <v>298.83999999999997</v>
      </c>
      <c r="H82" s="18">
        <v>184.35</v>
      </c>
      <c r="I82" s="18">
        <v>184.36</v>
      </c>
      <c r="J82" s="18">
        <v>184.5</v>
      </c>
      <c r="K82" s="18">
        <v>184.57</v>
      </c>
      <c r="L82" s="18"/>
      <c r="M82" s="18"/>
      <c r="N82" s="18">
        <v>184.64</v>
      </c>
      <c r="O82" s="18">
        <v>184.71</v>
      </c>
      <c r="P82" s="18">
        <v>184.79</v>
      </c>
      <c r="Q82" s="18">
        <v>184.89</v>
      </c>
      <c r="R82" s="18">
        <v>184.92</v>
      </c>
      <c r="S82" s="18"/>
      <c r="T82" s="18"/>
      <c r="U82" s="18">
        <v>185.08</v>
      </c>
      <c r="V82" s="18">
        <v>185.11</v>
      </c>
      <c r="W82" s="18">
        <v>163.78</v>
      </c>
      <c r="X82" s="18">
        <v>163.87</v>
      </c>
      <c r="Y82" s="18">
        <v>164.55</v>
      </c>
      <c r="Z82" s="18"/>
      <c r="AA82" s="18"/>
      <c r="AB82" s="18">
        <v>355.21</v>
      </c>
      <c r="AC82" s="18">
        <v>166.35</v>
      </c>
      <c r="AD82" s="18">
        <v>166.79</v>
      </c>
      <c r="AE82" s="18">
        <v>188.68</v>
      </c>
      <c r="AF82" s="18">
        <v>170.89</v>
      </c>
      <c r="AG82" s="18"/>
      <c r="AH82" s="18"/>
      <c r="AI82" s="19">
        <f t="shared" si="16"/>
        <v>3870.8799999999997</v>
      </c>
    </row>
    <row r="83" spans="2:35" ht="16.5" customHeight="1" x14ac:dyDescent="0.2">
      <c r="B83" s="117"/>
      <c r="C83" s="21" t="s">
        <v>30</v>
      </c>
      <c r="D83" s="22">
        <f>SUM(D80:D82)+D79</f>
        <v>512460.56000000046</v>
      </c>
      <c r="E83" s="22">
        <f t="shared" ref="E83:AH83" si="17">SUM(E80:E82)+D83</f>
        <v>512460.56000000046</v>
      </c>
      <c r="F83" s="22">
        <f>SUM(F80:F82)+E83</f>
        <v>512460.56000000046</v>
      </c>
      <c r="G83" s="22">
        <f t="shared" si="17"/>
        <v>512759.40000000049</v>
      </c>
      <c r="H83" s="22">
        <f t="shared" si="17"/>
        <v>512943.75000000047</v>
      </c>
      <c r="I83" s="22">
        <f t="shared" si="17"/>
        <v>513128.11000000045</v>
      </c>
      <c r="J83" s="22">
        <f t="shared" si="17"/>
        <v>513312.61000000045</v>
      </c>
      <c r="K83" s="22">
        <f>SUM(K80:K82)+J83</f>
        <v>513497.18000000046</v>
      </c>
      <c r="L83" s="22">
        <f t="shared" si="17"/>
        <v>513497.18000000046</v>
      </c>
      <c r="M83" s="22">
        <f t="shared" si="17"/>
        <v>513497.18000000046</v>
      </c>
      <c r="N83" s="22">
        <f t="shared" si="17"/>
        <v>513681.82000000047</v>
      </c>
      <c r="O83" s="22">
        <f t="shared" si="17"/>
        <v>513866.53000000049</v>
      </c>
      <c r="P83" s="22">
        <f t="shared" si="17"/>
        <v>514051.32000000047</v>
      </c>
      <c r="Q83" s="22">
        <f t="shared" si="17"/>
        <v>514236.21000000049</v>
      </c>
      <c r="R83" s="22">
        <f t="shared" si="17"/>
        <v>514421.13000000047</v>
      </c>
      <c r="S83" s="22">
        <f t="shared" si="17"/>
        <v>514421.13000000047</v>
      </c>
      <c r="T83" s="22">
        <f t="shared" si="17"/>
        <v>514421.13000000047</v>
      </c>
      <c r="U83" s="22">
        <f t="shared" si="17"/>
        <v>514606.21000000049</v>
      </c>
      <c r="V83" s="22">
        <f t="shared" si="17"/>
        <v>514791.32000000047</v>
      </c>
      <c r="W83" s="22">
        <f t="shared" si="17"/>
        <v>461955.10000000044</v>
      </c>
      <c r="X83" s="22">
        <f t="shared" si="17"/>
        <v>462118.97000000044</v>
      </c>
      <c r="Y83" s="22">
        <f t="shared" si="17"/>
        <v>481456.89000000042</v>
      </c>
      <c r="Z83" s="22">
        <f>SUM(Z80:Z82)+Y83</f>
        <v>481456.89000000042</v>
      </c>
      <c r="AA83" s="22">
        <f t="shared" ref="AA83" si="18">SUM(AA80:AA82)+Z83</f>
        <v>481456.89000000042</v>
      </c>
      <c r="AB83" s="22">
        <f t="shared" ref="AB83" si="19">SUM(AB80:AB82)+AA83</f>
        <v>481812.10000000044</v>
      </c>
      <c r="AC83" s="22">
        <f t="shared" ref="AC83:AD83" si="20">SUM(AC80:AC82)+AB83</f>
        <v>481978.45000000042</v>
      </c>
      <c r="AD83" s="22">
        <f t="shared" si="20"/>
        <v>482145.2400000004</v>
      </c>
      <c r="AE83" s="22">
        <f>SUM(AE80:AE82)+AD83</f>
        <v>482333.92000000039</v>
      </c>
      <c r="AF83" s="22">
        <f>SUM(AF80:AF82)+AE83</f>
        <v>502504.81000000041</v>
      </c>
      <c r="AG83" s="22">
        <f t="shared" si="17"/>
        <v>502504.81000000041</v>
      </c>
      <c r="AH83" s="22">
        <f t="shared" si="17"/>
        <v>502504.81000000041</v>
      </c>
      <c r="AI83" s="22">
        <f>AH83</f>
        <v>502504.81000000041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538898.20870000031</v>
      </c>
      <c r="E85" s="37">
        <f t="shared" si="21"/>
        <v>538898.20870000031</v>
      </c>
      <c r="F85" s="37">
        <f t="shared" si="21"/>
        <v>538898.20870000031</v>
      </c>
      <c r="G85" s="37">
        <f t="shared" si="21"/>
        <v>550105.21870000032</v>
      </c>
      <c r="H85" s="37">
        <f t="shared" si="21"/>
        <v>628008.11870000022</v>
      </c>
      <c r="I85" s="37">
        <f t="shared" si="21"/>
        <v>562081.67870000028</v>
      </c>
      <c r="J85" s="37">
        <f t="shared" si="21"/>
        <v>644739.34870000021</v>
      </c>
      <c r="K85" s="37">
        <f t="shared" si="21"/>
        <v>594336.35870000022</v>
      </c>
      <c r="L85" s="37">
        <f t="shared" si="21"/>
        <v>594336.35870000022</v>
      </c>
      <c r="M85" s="37">
        <f t="shared" si="21"/>
        <v>594336.35870000022</v>
      </c>
      <c r="N85" s="37">
        <f t="shared" si="21"/>
        <v>618210.12870000023</v>
      </c>
      <c r="O85" s="37">
        <f t="shared" si="21"/>
        <v>685080.06870000018</v>
      </c>
      <c r="P85" s="37">
        <f t="shared" si="21"/>
        <v>702452.8387000002</v>
      </c>
      <c r="Q85" s="37">
        <f t="shared" si="21"/>
        <v>740214.05870000017</v>
      </c>
      <c r="R85" s="37">
        <f t="shared" si="21"/>
        <v>748811.94870000018</v>
      </c>
      <c r="S85" s="37">
        <f t="shared" si="21"/>
        <v>748811.94870000018</v>
      </c>
      <c r="T85" s="37">
        <f t="shared" si="21"/>
        <v>748811.94870000018</v>
      </c>
      <c r="U85" s="37">
        <f t="shared" si="21"/>
        <v>697091.79870000016</v>
      </c>
      <c r="V85" s="37">
        <f t="shared" si="21"/>
        <v>759944.04870000016</v>
      </c>
      <c r="W85" s="37">
        <f t="shared" si="21"/>
        <v>469623.78870000021</v>
      </c>
      <c r="X85" s="37">
        <f t="shared" si="21"/>
        <v>494620.86870000022</v>
      </c>
      <c r="Y85" s="37">
        <f t="shared" si="21"/>
        <v>526455.0887000002</v>
      </c>
      <c r="Z85" s="37">
        <f t="shared" si="21"/>
        <v>526455.0887000002</v>
      </c>
      <c r="AA85" s="37">
        <f t="shared" si="21"/>
        <v>526455.0887000002</v>
      </c>
      <c r="AB85" s="37">
        <f t="shared" si="21"/>
        <v>512679.18870000017</v>
      </c>
      <c r="AC85" s="37">
        <f t="shared" si="21"/>
        <v>576475.81870000018</v>
      </c>
      <c r="AD85" s="37">
        <f t="shared" si="21"/>
        <v>578196.73870000022</v>
      </c>
      <c r="AE85" s="37">
        <f t="shared" si="21"/>
        <v>620627.45870000019</v>
      </c>
      <c r="AF85" s="37">
        <f t="shared" si="21"/>
        <v>534994.17870000016</v>
      </c>
      <c r="AG85" s="37">
        <f t="shared" si="21"/>
        <v>534994.17870000016</v>
      </c>
      <c r="AH85" s="37">
        <f t="shared" si="21"/>
        <v>534994.17870000016</v>
      </c>
      <c r="AI85" s="37">
        <f>AI77+AI83</f>
        <v>534994.1787000004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G88" s="49">
        <f>AF5</f>
        <v>42153</v>
      </c>
    </row>
    <row r="89" spans="2:35" ht="18.75" x14ac:dyDescent="0.25">
      <c r="B89" s="41"/>
      <c r="C89" s="50" t="s">
        <v>46</v>
      </c>
      <c r="G89" s="51">
        <f>AF6</f>
        <v>138293.53869999977</v>
      </c>
    </row>
    <row r="90" spans="2:35" ht="18.75" x14ac:dyDescent="0.25">
      <c r="B90" s="41"/>
      <c r="C90" s="50" t="s">
        <v>40</v>
      </c>
      <c r="E90" s="43"/>
      <c r="F90" s="43"/>
      <c r="G90" s="52">
        <f>AF18</f>
        <v>36073.05999999999</v>
      </c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E91" s="43"/>
      <c r="F91" s="43"/>
      <c r="G91" s="53">
        <f>AF75</f>
        <v>-141877.23000000001</v>
      </c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5"/>
      <c r="Z91" s="125"/>
      <c r="AA91" s="125"/>
      <c r="AB91" s="125"/>
      <c r="AC91" s="81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G92" s="51">
        <f>SUM(G89:G91)</f>
        <v>32489.368699999759</v>
      </c>
      <c r="I92" s="118"/>
      <c r="J92" s="118"/>
      <c r="K92" s="8"/>
      <c r="L92" s="119"/>
      <c r="M92" s="119"/>
      <c r="N92" s="8"/>
      <c r="O92" s="120" t="s">
        <v>43</v>
      </c>
      <c r="P92" s="120"/>
      <c r="Q92" s="56"/>
      <c r="R92" s="56"/>
      <c r="S92" s="121"/>
      <c r="T92" s="121"/>
      <c r="U92" s="120" t="s">
        <v>101</v>
      </c>
      <c r="V92" s="120"/>
      <c r="W92" s="56"/>
      <c r="X92" s="56"/>
      <c r="Y92" s="121" t="s">
        <v>45</v>
      </c>
      <c r="Z92" s="121"/>
      <c r="AA92" s="121"/>
      <c r="AB92" s="121"/>
      <c r="AC92" s="80"/>
    </row>
    <row r="93" spans="2:35" ht="18.75" x14ac:dyDescent="0.25">
      <c r="B93" s="41"/>
      <c r="C93" s="50" t="s">
        <v>91</v>
      </c>
      <c r="G93" s="51">
        <f>12123.72</f>
        <v>12123.72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G94" s="51">
        <v>3682.84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G95" s="51">
        <v>466527.36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G96" s="55">
        <f>SUM(G92:G95)</f>
        <v>514823.28869999974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D82:V82 Z82:AF82" name="Intervalo11"/>
    <protectedRange sqref="D76:AF76" name="Intervalo8"/>
    <protectedRange sqref="N21:O21 N20:AF20 M22:O24 L21:L24 K21:K23 I20:L20 D20:D24 F20:F24 H20:H24 I21:J24 G21:G22 P21:Q24 V21:AF24 R22:U24 S21:U21" name="Intervalo3"/>
    <protectedRange sqref="D10:AF10 D11:AH11 D12:AF13 D14 K16 D16:I17 L16:AF17 J17:K17 E14:AH15" name="Intervalo2"/>
    <protectedRange sqref="D7:AF9" name="Intervalo1"/>
    <protectedRange sqref="L38 F31 M37:AF39 K37:L37 K39:L39 D37:E39 I38 F37 F39 G37:G39 J37:J39 H37:I37 H39:I39" name="Intervalo4"/>
    <protectedRange sqref="S52:T52 O59 T69 Z52:AA52 X53:AE53 S53:V53 AD46:AE46 AA46 D60:E73 AH55 H60 G71:H71 F62:H70 G61:H61 M72:M73 Q46:Q72 U69:U73 Z46:Z49 K47:K48 V54:V73 W54:W59 P70:P72 P46:P68 R69:S72 T71:T72 W45 J49:K49 F54:G60 D49:E52 E48 E55 R46 I46:J47 K46:M46 H54:H58 E53 F48:F51 H48:H51 D46:H46 J48 K50:K58 K60:K69 L66:L68 K70:L73 R51 L48:L63 M47:M70 N60:O73 W66:W73 R54:R58 N46:O58 R48:R49 S46:X51 AB50:AC50 AA49:AC49 AF46:AF47 AF49:AF52 AD69:AF69 AA63:AA73 D56:E58 AD59:AF59 G49:G53 AD63:AD68 Y66:Y73 AA54:AA61 AC54:AE58 AF55:AF58 AC60:AC68 AD60:AD61 AB54:AB73 Y51:AD51 Y48:Y49 AF70:AF72 E47:G47 D54:E54 I50:J73 F72:F73 H72:H73 G72 W61:W64 S54:T68 U54:U67 R60:R66 X54:X73 Z54:Z73 Y54:Y64 AB48 AB46:AC47 AD49:AD50 AE60:AE68 AF60:AF62 AF64:AF68 AC70:AE73 AE47:AE52" name="Intervalo5"/>
    <protectedRange sqref="M27:M35 AH34:AH35 D26:E35 L31 F26:F30 F32:F35 G26:J35 K26:L30 K32:L35 N26:S35 T28:V35 AE34:AF35 W34:AC35 T27:U27 X26:AF33 T26:W26 W28:W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</protectedRanges>
  <mergeCells count="17">
    <mergeCell ref="C87:D87"/>
    <mergeCell ref="B2:C2"/>
    <mergeCell ref="B4:C5"/>
    <mergeCell ref="B7:B18"/>
    <mergeCell ref="B20:B75"/>
    <mergeCell ref="B78:B84"/>
    <mergeCell ref="I92:J92"/>
    <mergeCell ref="L92:M92"/>
    <mergeCell ref="S92:T92"/>
    <mergeCell ref="Y92:AB92"/>
    <mergeCell ref="U92:V92"/>
    <mergeCell ref="O92:P92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I96"/>
  <sheetViews>
    <sheetView showGridLines="0" zoomScaleNormal="100" workbookViewId="0" xr3:uid="{78B4E459-6924-5F8B-B7BA-2DD04133E49E}">
      <pane xSplit="3" ySplit="6" topLeftCell="V35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6" width="13.44921875" style="4" bestFit="1" customWidth="1"/>
    <col min="7" max="7" width="16.0078125" style="4" hidden="1" customWidth="1"/>
    <col min="8" max="8" width="14.52734375" style="4" customWidth="1"/>
    <col min="9" max="10" width="14.52734375" style="4" hidden="1" customWidth="1"/>
    <col min="11" max="11" width="14.52734375" style="4" bestFit="1" customWidth="1"/>
    <col min="12" max="15" width="14.52734375" style="4" customWidth="1"/>
    <col min="16" max="17" width="14.52734375" style="4" hidden="1" customWidth="1"/>
    <col min="18" max="18" width="14.52734375" style="4" bestFit="1" customWidth="1"/>
    <col min="19" max="22" width="14.52734375" style="4" customWidth="1"/>
    <col min="23" max="24" width="14.52734375" style="4" hidden="1" customWidth="1"/>
    <col min="25" max="25" width="14.52734375" style="4" bestFit="1" customWidth="1"/>
    <col min="26" max="26" width="14.52734375" style="4" customWidth="1"/>
    <col min="27" max="27" width="13.44921875" style="4" hidden="1" customWidth="1"/>
    <col min="28" max="29" width="14.52734375" style="4" customWidth="1"/>
    <col min="30" max="31" width="14.52734375" style="4" hidden="1" customWidth="1"/>
    <col min="32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102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86" t="s">
        <v>87</v>
      </c>
      <c r="H4" s="70" t="s">
        <v>97</v>
      </c>
      <c r="I4" s="86" t="s">
        <v>87</v>
      </c>
      <c r="J4" s="86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86" t="s">
        <v>87</v>
      </c>
      <c r="Q4" s="86" t="s">
        <v>87</v>
      </c>
      <c r="R4" s="70" t="s">
        <v>97</v>
      </c>
      <c r="S4" s="70" t="s">
        <v>97</v>
      </c>
      <c r="T4" s="70" t="s">
        <v>97</v>
      </c>
      <c r="U4" s="70" t="s">
        <v>97</v>
      </c>
      <c r="V4" s="70" t="s">
        <v>97</v>
      </c>
      <c r="W4" s="86" t="s">
        <v>87</v>
      </c>
      <c r="X4" s="86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86" t="s">
        <v>87</v>
      </c>
      <c r="AE4" s="86" t="s">
        <v>87</v>
      </c>
      <c r="AF4" s="70" t="s">
        <v>97</v>
      </c>
      <c r="AG4" s="70" t="s">
        <v>97</v>
      </c>
      <c r="AH4" s="86" t="s">
        <v>87</v>
      </c>
      <c r="AI4" s="57"/>
    </row>
    <row r="5" spans="2:35" s="11" customFormat="1" x14ac:dyDescent="0.2">
      <c r="B5" s="113"/>
      <c r="C5" s="113"/>
      <c r="D5" s="10">
        <v>42156</v>
      </c>
      <c r="E5" s="10">
        <f>D5+1</f>
        <v>42157</v>
      </c>
      <c r="F5" s="10">
        <f t="shared" ref="F5:AH5" si="0">E5+1</f>
        <v>42158</v>
      </c>
      <c r="G5" s="10">
        <f t="shared" si="0"/>
        <v>42159</v>
      </c>
      <c r="H5" s="10">
        <f t="shared" si="0"/>
        <v>42160</v>
      </c>
      <c r="I5" s="10">
        <f t="shared" si="0"/>
        <v>42161</v>
      </c>
      <c r="J5" s="10">
        <f t="shared" si="0"/>
        <v>42162</v>
      </c>
      <c r="K5" s="10">
        <f t="shared" si="0"/>
        <v>42163</v>
      </c>
      <c r="L5" s="10">
        <f t="shared" si="0"/>
        <v>42164</v>
      </c>
      <c r="M5" s="10">
        <f t="shared" si="0"/>
        <v>42165</v>
      </c>
      <c r="N5" s="10">
        <f t="shared" si="0"/>
        <v>42166</v>
      </c>
      <c r="O5" s="10">
        <f t="shared" si="0"/>
        <v>42167</v>
      </c>
      <c r="P5" s="10">
        <f t="shared" si="0"/>
        <v>42168</v>
      </c>
      <c r="Q5" s="10">
        <f t="shared" si="0"/>
        <v>42169</v>
      </c>
      <c r="R5" s="10">
        <f t="shared" si="0"/>
        <v>42170</v>
      </c>
      <c r="S5" s="10">
        <f t="shared" si="0"/>
        <v>42171</v>
      </c>
      <c r="T5" s="10">
        <f t="shared" si="0"/>
        <v>42172</v>
      </c>
      <c r="U5" s="10">
        <f t="shared" si="0"/>
        <v>42173</v>
      </c>
      <c r="V5" s="10">
        <f t="shared" si="0"/>
        <v>42174</v>
      </c>
      <c r="W5" s="10">
        <f t="shared" si="0"/>
        <v>42175</v>
      </c>
      <c r="X5" s="10">
        <f t="shared" si="0"/>
        <v>42176</v>
      </c>
      <c r="Y5" s="10">
        <f t="shared" si="0"/>
        <v>42177</v>
      </c>
      <c r="Z5" s="10">
        <f t="shared" si="0"/>
        <v>42178</v>
      </c>
      <c r="AA5" s="10">
        <f t="shared" si="0"/>
        <v>42179</v>
      </c>
      <c r="AB5" s="10">
        <f t="shared" si="0"/>
        <v>42180</v>
      </c>
      <c r="AC5" s="10">
        <f t="shared" si="0"/>
        <v>42181</v>
      </c>
      <c r="AD5" s="10">
        <f t="shared" si="0"/>
        <v>42182</v>
      </c>
      <c r="AE5" s="10">
        <f t="shared" si="0"/>
        <v>42183</v>
      </c>
      <c r="AF5" s="10">
        <f t="shared" si="0"/>
        <v>42184</v>
      </c>
      <c r="AG5" s="10">
        <f t="shared" si="0"/>
        <v>42185</v>
      </c>
      <c r="AH5" s="10">
        <f t="shared" si="0"/>
        <v>42186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Maio!AF77</f>
        <v>32489.368699999759</v>
      </c>
      <c r="E6" s="13">
        <f t="shared" ref="E6:AH6" si="1">D77</f>
        <v>66941.618699999759</v>
      </c>
      <c r="F6" s="13">
        <f t="shared" si="1"/>
        <v>107903.76869999977</v>
      </c>
      <c r="G6" s="13">
        <f t="shared" si="1"/>
        <v>116423.68869999977</v>
      </c>
      <c r="H6" s="13">
        <f t="shared" si="1"/>
        <v>116423.68869999977</v>
      </c>
      <c r="I6" s="13">
        <f t="shared" si="1"/>
        <v>121304.89869999977</v>
      </c>
      <c r="J6" s="13">
        <f t="shared" si="1"/>
        <v>121304.89869999977</v>
      </c>
      <c r="K6" s="13">
        <f t="shared" si="1"/>
        <v>121304.89869999977</v>
      </c>
      <c r="L6" s="13">
        <f t="shared" si="1"/>
        <v>197641.99869999976</v>
      </c>
      <c r="M6" s="13">
        <f t="shared" si="1"/>
        <v>214585.98869999978</v>
      </c>
      <c r="N6" s="13">
        <f t="shared" si="1"/>
        <v>127519.5386999998</v>
      </c>
      <c r="O6" s="13">
        <f t="shared" si="1"/>
        <v>178166.11869999982</v>
      </c>
      <c r="P6" s="13">
        <f t="shared" si="1"/>
        <v>221845.74869999982</v>
      </c>
      <c r="Q6" s="13">
        <f t="shared" si="1"/>
        <v>221845.74869999982</v>
      </c>
      <c r="R6" s="13">
        <f t="shared" si="1"/>
        <v>221845.74869999982</v>
      </c>
      <c r="S6" s="13">
        <f t="shared" si="1"/>
        <v>116734.25869999977</v>
      </c>
      <c r="T6" s="13">
        <f t="shared" si="1"/>
        <v>212330.53869999977</v>
      </c>
      <c r="U6" s="13">
        <f t="shared" si="1"/>
        <v>166678.32869999978</v>
      </c>
      <c r="V6" s="13">
        <f t="shared" si="1"/>
        <v>222302.49869999979</v>
      </c>
      <c r="W6" s="13">
        <f t="shared" si="1"/>
        <v>22313.928699999786</v>
      </c>
      <c r="X6" s="13">
        <f t="shared" si="1"/>
        <v>22313.928699999786</v>
      </c>
      <c r="Y6" s="13">
        <f t="shared" si="1"/>
        <v>22313.928699999786</v>
      </c>
      <c r="Z6" s="13">
        <f t="shared" si="1"/>
        <v>4272.5086999997875</v>
      </c>
      <c r="AA6" s="13">
        <f t="shared" si="1"/>
        <v>74905.578699999794</v>
      </c>
      <c r="AB6" s="13">
        <f t="shared" si="1"/>
        <v>74905.578699999794</v>
      </c>
      <c r="AC6" s="13">
        <f t="shared" ref="AC6" si="2">AB77</f>
        <v>58110.378699999797</v>
      </c>
      <c r="AD6" s="13">
        <f t="shared" ref="AD6" si="3">AC77</f>
        <v>136630.30869999979</v>
      </c>
      <c r="AE6" s="13">
        <f t="shared" ref="AE6" si="4">AD77</f>
        <v>136630.30869999979</v>
      </c>
      <c r="AF6" s="13">
        <f t="shared" ref="AF6" si="5">AE77</f>
        <v>136630.30869999979</v>
      </c>
      <c r="AG6" s="13">
        <f t="shared" si="1"/>
        <v>132958.79869999978</v>
      </c>
      <c r="AH6" s="13">
        <f t="shared" si="1"/>
        <v>118497.16869999978</v>
      </c>
      <c r="AI6" s="13">
        <f>D6</f>
        <v>32489.368699999759</v>
      </c>
    </row>
    <row r="7" spans="2:35" ht="16.5" customHeight="1" x14ac:dyDescent="0.2">
      <c r="B7" s="114" t="s">
        <v>2</v>
      </c>
      <c r="C7" s="14" t="s">
        <v>50</v>
      </c>
      <c r="D7" s="15">
        <f>514+300+246</f>
        <v>1060</v>
      </c>
      <c r="E7" s="15">
        <f>945+450</f>
        <v>1395</v>
      </c>
      <c r="F7" s="15">
        <f>218.92</f>
        <v>218.92</v>
      </c>
      <c r="G7" s="15"/>
      <c r="H7" s="15">
        <f>156.95+294</f>
        <v>450.95</v>
      </c>
      <c r="I7" s="15"/>
      <c r="J7" s="15"/>
      <c r="K7" s="15">
        <f>1549.8+945+157</f>
        <v>2651.8</v>
      </c>
      <c r="L7" s="15">
        <f>700+187</f>
        <v>887</v>
      </c>
      <c r="M7" s="15">
        <f>129.15+443.62</f>
        <v>572.77</v>
      </c>
      <c r="N7" s="15">
        <f>200+490.75</f>
        <v>690.75</v>
      </c>
      <c r="O7" s="15">
        <f>645.75+600+6350.4+237</f>
        <v>7833.15</v>
      </c>
      <c r="P7" s="15"/>
      <c r="Q7" s="15"/>
      <c r="R7" s="15">
        <f>6350.4</f>
        <v>6350.4</v>
      </c>
      <c r="S7" s="15">
        <f>271.67+710</f>
        <v>981.67000000000007</v>
      </c>
      <c r="T7" s="15">
        <f>564.9+346+280+532</f>
        <v>1722.9</v>
      </c>
      <c r="U7" s="15">
        <f>2750</f>
        <v>2750</v>
      </c>
      <c r="V7" s="15">
        <v>171.92</v>
      </c>
      <c r="W7" s="15"/>
      <c r="X7" s="15"/>
      <c r="Y7" s="15">
        <v>9667.5</v>
      </c>
      <c r="Z7" s="15">
        <f>630</f>
        <v>630</v>
      </c>
      <c r="AA7" s="15"/>
      <c r="AB7" s="15">
        <f>165+275+907.2</f>
        <v>1347.2</v>
      </c>
      <c r="AC7" s="15">
        <f>302.4</f>
        <v>302.39999999999998</v>
      </c>
      <c r="AD7" s="15"/>
      <c r="AE7" s="15"/>
      <c r="AF7" s="15">
        <f>840+2429.2</f>
        <v>3269.2</v>
      </c>
      <c r="AG7" s="15">
        <v>262.5</v>
      </c>
      <c r="AH7" s="15"/>
      <c r="AI7" s="16">
        <f>SUM(D7:AG7)</f>
        <v>43216.029999999992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1465.25+293.24+395.2+440.2+476.33+592+746.2+927.4+1039.56+1228.64+1319.2+1621+1855+2765.75+5048.2</f>
        <v>20213.169999999998</v>
      </c>
      <c r="P8" s="18"/>
      <c r="Q8" s="18"/>
      <c r="R8" s="18"/>
      <c r="S8" s="18"/>
      <c r="T8" s="18"/>
      <c r="U8" s="18"/>
      <c r="V8" s="18">
        <f>1086+157+2578.2+309.9+421.35+478.51+775.2+1752.6+250</f>
        <v>7808.76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f>10+22+519.7+815+816.4+857.95+1242.7+1299.2+1696.98+2346.91+3879.07</f>
        <v>13505.91</v>
      </c>
      <c r="AH8" s="18"/>
      <c r="AI8" s="16">
        <f t="shared" ref="AI8:AI17" si="6">SUM(D8:AG8)</f>
        <v>41527.839999999997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6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>
        <v>33052.61</v>
      </c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6"/>
        <v>33052.61</v>
      </c>
    </row>
    <row r="11" spans="2:35" ht="16.5" customHeight="1" x14ac:dyDescent="0.2">
      <c r="B11" s="115"/>
      <c r="C11" s="17" t="s">
        <v>53</v>
      </c>
      <c r="D11" s="18">
        <f>3356.48+2391.56+317.1+317.1+294+588+588+1814.41+872+872+872+6234.9+1796.97+6888.36</f>
        <v>27202.880000000005</v>
      </c>
      <c r="E11" s="18">
        <f>17719.31+247.94+3197.25+3762.22+495.88+1461.46+2266.88</f>
        <v>29150.940000000002</v>
      </c>
      <c r="F11" s="18">
        <f>5090.03+338.1+294+507.16+206+798</f>
        <v>7233.29</v>
      </c>
      <c r="G11" s="18"/>
      <c r="H11" s="18">
        <f>14751.68+574.35+1350+1471.47+215.6+431.2</f>
        <v>18794.3</v>
      </c>
      <c r="I11" s="18"/>
      <c r="J11" s="18"/>
      <c r="K11" s="18">
        <f>10910.69+290.66+3371.18+2325.33+581.33+581.33+1268.4+4065.6+1323+247.94+431.2+2593.92</f>
        <v>27990.58</v>
      </c>
      <c r="L11" s="18">
        <f>6904.63+1080.15+1212+4410+951.3+338.1+3476.95</f>
        <v>18373.13</v>
      </c>
      <c r="M11" s="18">
        <f>4318.42+1011.15+1064+1176</f>
        <v>7569.57</v>
      </c>
      <c r="N11" s="18">
        <f>9979.53+385.35+2509.5+7949.6+294</f>
        <v>21117.980000000003</v>
      </c>
      <c r="O11" s="18">
        <f>4027.69+1412.01+2929.5+2262.75+470.93</f>
        <v>11102.880000000001</v>
      </c>
      <c r="P11" s="18"/>
      <c r="Q11" s="18"/>
      <c r="R11" s="18">
        <f>6107.81+221.55+2156+1078+659.12+951.3</f>
        <v>11173.78</v>
      </c>
      <c r="S11" s="18">
        <f>22355.91+47560.37+294+598.5+1541.4+1356.08+929.5+703.5</f>
        <v>75339.259999999995</v>
      </c>
      <c r="T11" s="18">
        <f>6225.2+581.33+588+1753.5+267.75+3197.32+3197.32+1162.66+3197.32+1130+270.27</f>
        <v>21570.67</v>
      </c>
      <c r="U11" s="18">
        <f>426.46+994.35+2833.8</f>
        <v>4254.6100000000006</v>
      </c>
      <c r="V11" s="18">
        <f>5998.06+294</f>
        <v>6292.06</v>
      </c>
      <c r="W11" s="18"/>
      <c r="X11" s="18"/>
      <c r="Y11" s="18">
        <f>9768.45+872+636.02+751.8+389.03+753+266+423.06+26.99</f>
        <v>13886.35</v>
      </c>
      <c r="Z11" s="18">
        <f>50693.44+613.75+564.9+595.35+362.25+2142+1667.83+4727.8</f>
        <v>61367.320000000007</v>
      </c>
      <c r="AA11" s="18"/>
      <c r="AB11" s="18">
        <f>4035.01+4558.15+389.7+294+1034.1+1335.61+882+1170.75+1170.75+294</f>
        <v>15164.070000000002</v>
      </c>
      <c r="AC11" s="18">
        <f>16598.81+20212.5+294+1129.8+7700.7+1080</f>
        <v>47015.81</v>
      </c>
      <c r="AD11" s="18"/>
      <c r="AE11" s="18"/>
      <c r="AF11" s="18">
        <f>26190.01+1336.05+8327.3+1239.7</f>
        <v>37093.06</v>
      </c>
      <c r="AG11" s="18">
        <f>24981.84+284.29+882+1704.3</f>
        <v>27852.43</v>
      </c>
      <c r="AH11" s="18"/>
      <c r="AI11" s="16">
        <f t="shared" si="6"/>
        <v>489544.97</v>
      </c>
    </row>
    <row r="12" spans="2:35" ht="16.5" customHeight="1" x14ac:dyDescent="0.2">
      <c r="B12" s="115"/>
      <c r="C12" s="17" t="s">
        <v>90</v>
      </c>
      <c r="D12" s="18">
        <v>0.61</v>
      </c>
      <c r="E12" s="18">
        <v>2.6</v>
      </c>
      <c r="F12" s="18">
        <f>4555.68+2.19</f>
        <v>4557.87</v>
      </c>
      <c r="G12" s="18"/>
      <c r="H12" s="18">
        <v>2.36</v>
      </c>
      <c r="I12" s="18"/>
      <c r="J12" s="18"/>
      <c r="K12" s="18">
        <v>3.88</v>
      </c>
      <c r="L12" s="18">
        <v>4.0599999999999996</v>
      </c>
      <c r="M12" s="18">
        <v>2.52</v>
      </c>
      <c r="N12" s="18">
        <v>3.48</v>
      </c>
      <c r="O12" s="18">
        <v>4.22</v>
      </c>
      <c r="P12" s="18"/>
      <c r="Q12" s="18"/>
      <c r="R12" s="18">
        <v>2.29</v>
      </c>
      <c r="S12" s="18">
        <v>4.16</v>
      </c>
      <c r="T12" s="18">
        <v>3.28</v>
      </c>
      <c r="U12" s="18">
        <v>4.26</v>
      </c>
      <c r="V12" s="18">
        <v>1</v>
      </c>
      <c r="W12" s="18"/>
      <c r="X12" s="18"/>
      <c r="Y12" s="18">
        <v>1.06</v>
      </c>
      <c r="Z12" s="18">
        <v>2.9</v>
      </c>
      <c r="AA12" s="18"/>
      <c r="AB12" s="18">
        <v>1.1399999999999999</v>
      </c>
      <c r="AC12" s="18"/>
      <c r="AD12" s="18"/>
      <c r="AE12" s="18"/>
      <c r="AF12" s="18">
        <v>5.29</v>
      </c>
      <c r="AG12" s="18">
        <v>2.35</v>
      </c>
      <c r="AH12" s="18"/>
      <c r="AI12" s="16">
        <f t="shared" si="6"/>
        <v>4609.3300000000008</v>
      </c>
    </row>
    <row r="13" spans="2:35" ht="16.5" customHeight="1" x14ac:dyDescent="0.2">
      <c r="B13" s="115"/>
      <c r="C13" s="17" t="s">
        <v>49</v>
      </c>
      <c r="D13" s="18">
        <v>1690.49</v>
      </c>
      <c r="E13" s="18">
        <v>324.14</v>
      </c>
      <c r="F13" s="18">
        <v>2863.41</v>
      </c>
      <c r="G13" s="18"/>
      <c r="H13" s="18">
        <v>7158.93</v>
      </c>
      <c r="I13" s="18"/>
      <c r="J13" s="18"/>
      <c r="K13" s="18">
        <v>13039.77</v>
      </c>
      <c r="L13" s="18">
        <v>1673.59</v>
      </c>
      <c r="M13" s="18">
        <v>1780.14</v>
      </c>
      <c r="N13" s="18">
        <v>2316.71</v>
      </c>
      <c r="O13" s="18">
        <v>646.44000000000005</v>
      </c>
      <c r="P13" s="18"/>
      <c r="Q13" s="18"/>
      <c r="R13" s="18">
        <v>7197.48</v>
      </c>
      <c r="S13" s="18"/>
      <c r="T13" s="18">
        <v>3094.08</v>
      </c>
      <c r="U13" s="18">
        <v>3619.18</v>
      </c>
      <c r="V13" s="18">
        <v>1493.43</v>
      </c>
      <c r="W13" s="18"/>
      <c r="X13" s="18"/>
      <c r="Y13" s="18">
        <v>957.54</v>
      </c>
      <c r="Z13" s="18">
        <v>641.14</v>
      </c>
      <c r="AA13" s="18"/>
      <c r="AB13" s="18">
        <f>3208.56+11851.96</f>
        <v>15060.519999999999</v>
      </c>
      <c r="AC13" s="18">
        <v>1047.68</v>
      </c>
      <c r="AD13" s="18"/>
      <c r="AE13" s="18"/>
      <c r="AF13" s="18">
        <v>2703.67</v>
      </c>
      <c r="AG13" s="18">
        <v>1685.81</v>
      </c>
      <c r="AH13" s="18"/>
      <c r="AI13" s="16">
        <f t="shared" si="6"/>
        <v>68994.149999999994</v>
      </c>
    </row>
    <row r="14" spans="2:35" ht="16.5" customHeight="1" x14ac:dyDescent="0.2">
      <c r="B14" s="115"/>
      <c r="C14" s="17" t="s">
        <v>54</v>
      </c>
      <c r="D14" s="18">
        <v>7064.51</v>
      </c>
      <c r="E14" s="18">
        <v>389.39</v>
      </c>
      <c r="F14" s="18">
        <v>579.16</v>
      </c>
      <c r="G14" s="18"/>
      <c r="H14" s="18">
        <v>3870.73</v>
      </c>
      <c r="I14" s="18"/>
      <c r="J14" s="18"/>
      <c r="K14" s="18">
        <v>3184.52</v>
      </c>
      <c r="L14" s="18">
        <v>917.17</v>
      </c>
      <c r="M14" s="18">
        <v>665.59</v>
      </c>
      <c r="N14" s="18">
        <v>283.66000000000003</v>
      </c>
      <c r="O14" s="18">
        <v>3169.53</v>
      </c>
      <c r="P14" s="18"/>
      <c r="Q14" s="18"/>
      <c r="R14" s="18">
        <v>4931.71</v>
      </c>
      <c r="S14" s="18">
        <v>685.66</v>
      </c>
      <c r="T14" s="18">
        <v>1432.41</v>
      </c>
      <c r="U14" s="18">
        <v>725.5</v>
      </c>
      <c r="V14" s="18">
        <v>2255.1</v>
      </c>
      <c r="W14" s="18"/>
      <c r="X14" s="18"/>
      <c r="Y14" s="18">
        <v>4826.79</v>
      </c>
      <c r="Z14" s="18">
        <v>91.25</v>
      </c>
      <c r="AA14" s="18"/>
      <c r="AB14" s="18">
        <f>485.35+1048.1</f>
        <v>1533.4499999999998</v>
      </c>
      <c r="AC14" s="18">
        <v>2235.0100000000002</v>
      </c>
      <c r="AD14" s="18"/>
      <c r="AE14" s="18"/>
      <c r="AF14" s="18">
        <v>3195.84</v>
      </c>
      <c r="AG14" s="18">
        <v>2173.12</v>
      </c>
      <c r="AH14" s="18"/>
      <c r="AI14" s="16">
        <f t="shared" si="6"/>
        <v>44210.1</v>
      </c>
    </row>
    <row r="15" spans="2:35" ht="16.5" customHeight="1" x14ac:dyDescent="0.2">
      <c r="B15" s="115"/>
      <c r="C15" s="17" t="s">
        <v>55</v>
      </c>
      <c r="D15" s="18">
        <f>4356.33+324.08</f>
        <v>4680.41</v>
      </c>
      <c r="E15" s="18"/>
      <c r="F15" s="18">
        <v>1115.19</v>
      </c>
      <c r="G15" s="18"/>
      <c r="H15" s="18">
        <v>1493.84</v>
      </c>
      <c r="I15" s="18"/>
      <c r="J15" s="18"/>
      <c r="K15" s="18">
        <f>2043.2+384.92</f>
        <v>2428.12</v>
      </c>
      <c r="L15" s="18">
        <f>296.28+24.09</f>
        <v>320.36999999999995</v>
      </c>
      <c r="M15" s="18">
        <f>1047.72+288.47</f>
        <v>1336.19</v>
      </c>
      <c r="N15" s="18">
        <v>1391.49</v>
      </c>
      <c r="O15" s="18">
        <v>1505.65</v>
      </c>
      <c r="P15" s="18"/>
      <c r="Q15" s="18"/>
      <c r="R15" s="18">
        <f>1542.6+151.21</f>
        <v>1693.81</v>
      </c>
      <c r="S15" s="18"/>
      <c r="T15" s="18">
        <v>920.28</v>
      </c>
      <c r="U15" s="18">
        <v>310.89</v>
      </c>
      <c r="V15" s="18">
        <v>1399.62</v>
      </c>
      <c r="W15" s="18"/>
      <c r="X15" s="18"/>
      <c r="Y15" s="18">
        <f>1767+593</f>
        <v>2360</v>
      </c>
      <c r="Z15" s="18">
        <f>28.45+849.96+1962.4</f>
        <v>2840.8100000000004</v>
      </c>
      <c r="AA15" s="18"/>
      <c r="AB15" s="18">
        <f>1161+219.89</f>
        <v>1380.8899999999999</v>
      </c>
      <c r="AC15" s="18">
        <f>615.35</f>
        <v>615.35</v>
      </c>
      <c r="AD15" s="18"/>
      <c r="AE15" s="18"/>
      <c r="AF15" s="18">
        <f>1972.71+1544.63</f>
        <v>3517.34</v>
      </c>
      <c r="AG15" s="18">
        <v>42</v>
      </c>
      <c r="AH15" s="18"/>
      <c r="AI15" s="16">
        <f t="shared" si="6"/>
        <v>29352.25</v>
      </c>
    </row>
    <row r="16" spans="2:35" ht="16.5" customHeight="1" x14ac:dyDescent="0.2">
      <c r="B16" s="115"/>
      <c r="C16" s="17" t="s">
        <v>56</v>
      </c>
      <c r="D16" s="18">
        <v>27164.25</v>
      </c>
      <c r="E16" s="18">
        <v>3809.75</v>
      </c>
      <c r="F16" s="18">
        <f>14898.44</f>
        <v>14898.44</v>
      </c>
      <c r="G16" s="18"/>
      <c r="H16" s="18">
        <f>9178.07+746.7</f>
        <v>9924.77</v>
      </c>
      <c r="I16" s="18"/>
      <c r="J16" s="18"/>
      <c r="K16" s="18">
        <v>18930.560000000001</v>
      </c>
      <c r="L16" s="18">
        <v>4549.43</v>
      </c>
      <c r="M16" s="18">
        <v>14944.56</v>
      </c>
      <c r="N16" s="18">
        <v>19969.45</v>
      </c>
      <c r="O16" s="18">
        <v>6576.3</v>
      </c>
      <c r="P16" s="18"/>
      <c r="Q16" s="18"/>
      <c r="R16" s="18">
        <v>26726.32</v>
      </c>
      <c r="S16" s="18">
        <v>11408.9</v>
      </c>
      <c r="T16" s="18">
        <v>10986.2</v>
      </c>
      <c r="U16" s="18">
        <v>10663.76</v>
      </c>
      <c r="V16" s="18">
        <v>4945.96</v>
      </c>
      <c r="W16" s="18"/>
      <c r="X16" s="18"/>
      <c r="Y16" s="18">
        <v>27794.27</v>
      </c>
      <c r="Z16" s="18">
        <v>3529.66</v>
      </c>
      <c r="AA16" s="18"/>
      <c r="AB16" s="18">
        <f>6934.14+4435.42</f>
        <v>11369.560000000001</v>
      </c>
      <c r="AC16" s="18">
        <f>21827.42</f>
        <v>21827.42</v>
      </c>
      <c r="AD16" s="18"/>
      <c r="AE16" s="18"/>
      <c r="AF16" s="18">
        <v>32674.07</v>
      </c>
      <c r="AG16" s="18">
        <f>8148.62</f>
        <v>8148.62</v>
      </c>
      <c r="AH16" s="18"/>
      <c r="AI16" s="16">
        <f t="shared" si="6"/>
        <v>290842.25</v>
      </c>
    </row>
    <row r="17" spans="2:35" ht="16.5" customHeight="1" x14ac:dyDescent="0.2">
      <c r="B17" s="115"/>
      <c r="C17" s="17" t="s">
        <v>48</v>
      </c>
      <c r="D17" s="18">
        <v>16261.83</v>
      </c>
      <c r="E17" s="18">
        <v>6076.03</v>
      </c>
      <c r="F17" s="18">
        <v>1962.07</v>
      </c>
      <c r="G17" s="18"/>
      <c r="H17" s="18">
        <v>10825.28</v>
      </c>
      <c r="I17" s="18"/>
      <c r="J17" s="18"/>
      <c r="K17" s="18">
        <f>15203.87+66.61</f>
        <v>15270.480000000001</v>
      </c>
      <c r="L17" s="18">
        <v>1292.08</v>
      </c>
      <c r="M17" s="18">
        <v>142.85</v>
      </c>
      <c r="N17" s="18">
        <v>4944.83</v>
      </c>
      <c r="O17" s="18">
        <v>995.98</v>
      </c>
      <c r="P17" s="18"/>
      <c r="Q17" s="18"/>
      <c r="R17" s="18">
        <v>11617.24</v>
      </c>
      <c r="S17" s="18">
        <v>7311.84</v>
      </c>
      <c r="T17" s="18">
        <v>1043.69</v>
      </c>
      <c r="U17" s="18">
        <v>1390.19</v>
      </c>
      <c r="V17" s="18">
        <v>5584.74</v>
      </c>
      <c r="W17" s="18"/>
      <c r="X17" s="18"/>
      <c r="Y17" s="18">
        <v>7099.52</v>
      </c>
      <c r="Z17" s="18">
        <v>1719.62</v>
      </c>
      <c r="AA17" s="18"/>
      <c r="AB17" s="18">
        <f>124.61+1520.73+979.16+4813.57</f>
        <v>7438.07</v>
      </c>
      <c r="AC17" s="18">
        <v>5548.02</v>
      </c>
      <c r="AD17" s="18"/>
      <c r="AE17" s="18"/>
      <c r="AF17" s="18">
        <v>21412.400000000001</v>
      </c>
      <c r="AG17" s="18">
        <f>121.77+2785.82</f>
        <v>2907.59</v>
      </c>
      <c r="AH17" s="18"/>
      <c r="AI17" s="16">
        <f t="shared" si="6"/>
        <v>130844.35000000003</v>
      </c>
    </row>
    <row r="18" spans="2:35" ht="16.5" customHeight="1" x14ac:dyDescent="0.2">
      <c r="B18" s="115"/>
      <c r="C18" s="21" t="s">
        <v>31</v>
      </c>
      <c r="D18" s="22">
        <f t="shared" ref="D18:AG18" si="7">SUM(D7:D17)</f>
        <v>85124.98000000001</v>
      </c>
      <c r="E18" s="22">
        <f t="shared" si="7"/>
        <v>41147.85</v>
      </c>
      <c r="F18" s="22">
        <f t="shared" si="7"/>
        <v>33428.35</v>
      </c>
      <c r="G18" s="22">
        <f t="shared" si="7"/>
        <v>0</v>
      </c>
      <c r="H18" s="22">
        <f t="shared" si="7"/>
        <v>52521.16</v>
      </c>
      <c r="I18" s="22">
        <f t="shared" si="7"/>
        <v>0</v>
      </c>
      <c r="J18" s="22">
        <f t="shared" si="7"/>
        <v>0</v>
      </c>
      <c r="K18" s="22">
        <f t="shared" si="7"/>
        <v>83499.709999999992</v>
      </c>
      <c r="L18" s="22">
        <f t="shared" si="7"/>
        <v>28016.83</v>
      </c>
      <c r="M18" s="22">
        <f t="shared" si="7"/>
        <v>27014.19</v>
      </c>
      <c r="N18" s="22">
        <f t="shared" si="7"/>
        <v>50718.350000000006</v>
      </c>
      <c r="O18" s="22">
        <f t="shared" si="7"/>
        <v>52047.320000000007</v>
      </c>
      <c r="P18" s="22">
        <f t="shared" si="7"/>
        <v>0</v>
      </c>
      <c r="Q18" s="22">
        <f t="shared" si="7"/>
        <v>0</v>
      </c>
      <c r="R18" s="22">
        <f t="shared" si="7"/>
        <v>69693.03</v>
      </c>
      <c r="S18" s="22">
        <f t="shared" si="7"/>
        <v>95731.489999999991</v>
      </c>
      <c r="T18" s="22">
        <f t="shared" si="7"/>
        <v>40773.51</v>
      </c>
      <c r="U18" s="22">
        <f t="shared" si="7"/>
        <v>56771.000000000007</v>
      </c>
      <c r="V18" s="22">
        <f t="shared" si="7"/>
        <v>29952.589999999997</v>
      </c>
      <c r="W18" s="22">
        <f t="shared" si="7"/>
        <v>0</v>
      </c>
      <c r="X18" s="22">
        <f t="shared" si="7"/>
        <v>0</v>
      </c>
      <c r="Y18" s="22">
        <f t="shared" si="7"/>
        <v>66593.03</v>
      </c>
      <c r="Z18" s="22">
        <f t="shared" si="7"/>
        <v>70822.700000000012</v>
      </c>
      <c r="AA18" s="22">
        <f t="shared" si="7"/>
        <v>0</v>
      </c>
      <c r="AB18" s="22">
        <f t="shared" si="7"/>
        <v>53294.9</v>
      </c>
      <c r="AC18" s="22">
        <f t="shared" si="7"/>
        <v>78591.69</v>
      </c>
      <c r="AD18" s="22">
        <f t="shared" si="7"/>
        <v>0</v>
      </c>
      <c r="AE18" s="22">
        <f t="shared" si="7"/>
        <v>0</v>
      </c>
      <c r="AF18" s="22">
        <f t="shared" si="7"/>
        <v>103870.87</v>
      </c>
      <c r="AG18" s="22">
        <f t="shared" si="7"/>
        <v>56580.33</v>
      </c>
      <c r="AH18" s="22">
        <f t="shared" ref="AH18" si="8">SUM(AH7:AH17)</f>
        <v>0</v>
      </c>
      <c r="AI18" s="23">
        <f>SUM(D18:AG18)</f>
        <v>1176193.8800000004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>
        <f>6306.47</f>
        <v>6306.47</v>
      </c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6306.47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9">SUM(D20:AG20)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>
        <f>4555.68</f>
        <v>4555.68</v>
      </c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(354.8+48985.77+43530+591.8+947.76)-192.05</f>
        <v>94218.08</v>
      </c>
      <c r="S21" s="26"/>
      <c r="T21" s="26"/>
      <c r="U21" s="26"/>
      <c r="V21" s="26"/>
      <c r="W21" s="26"/>
      <c r="X21" s="26"/>
      <c r="Y21" s="26">
        <v>22087.8</v>
      </c>
      <c r="Z21" s="26"/>
      <c r="AA21" s="26"/>
      <c r="AB21" s="26"/>
      <c r="AC21" s="26"/>
      <c r="AD21" s="26"/>
      <c r="AE21" s="26"/>
      <c r="AF21" s="26">
        <f>39525.7+565.95+1738</f>
        <v>41829.649999999994</v>
      </c>
      <c r="AG21" s="26">
        <v>70857.87</v>
      </c>
      <c r="AH21" s="26"/>
      <c r="AI21" s="19">
        <f t="shared" si="9"/>
        <v>233549.08000000002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9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9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9"/>
        <v>0</v>
      </c>
    </row>
    <row r="25" spans="2:35" ht="16.5" customHeight="1" x14ac:dyDescent="0.2">
      <c r="B25" s="117"/>
      <c r="C25" s="28" t="s">
        <v>62</v>
      </c>
      <c r="D25" s="29">
        <f t="shared" ref="D25:AH25" si="10">-SUM(D19:D24)</f>
        <v>0</v>
      </c>
      <c r="E25" s="29">
        <f t="shared" si="10"/>
        <v>0</v>
      </c>
      <c r="F25" s="29">
        <f t="shared" si="10"/>
        <v>-4555.68</v>
      </c>
      <c r="G25" s="29">
        <f t="shared" si="10"/>
        <v>0</v>
      </c>
      <c r="H25" s="29">
        <f t="shared" si="10"/>
        <v>-6306.47</v>
      </c>
      <c r="I25" s="29">
        <f t="shared" si="10"/>
        <v>0</v>
      </c>
      <c r="J25" s="29">
        <f t="shared" si="10"/>
        <v>0</v>
      </c>
      <c r="K25" s="29">
        <f t="shared" si="10"/>
        <v>0</v>
      </c>
      <c r="L25" s="29">
        <f t="shared" si="10"/>
        <v>0</v>
      </c>
      <c r="M25" s="29">
        <f t="shared" si="10"/>
        <v>0</v>
      </c>
      <c r="N25" s="29">
        <f t="shared" si="10"/>
        <v>0</v>
      </c>
      <c r="O25" s="29">
        <f t="shared" si="10"/>
        <v>0</v>
      </c>
      <c r="P25" s="29">
        <f t="shared" si="10"/>
        <v>0</v>
      </c>
      <c r="Q25" s="29">
        <f t="shared" si="10"/>
        <v>0</v>
      </c>
      <c r="R25" s="29">
        <f>-SUM(R19:R24)</f>
        <v>-94218.08</v>
      </c>
      <c r="S25" s="29">
        <f t="shared" si="10"/>
        <v>0</v>
      </c>
      <c r="T25" s="29">
        <f>-SUM(T19:T24)</f>
        <v>0</v>
      </c>
      <c r="U25" s="29">
        <f t="shared" si="10"/>
        <v>0</v>
      </c>
      <c r="V25" s="29">
        <f t="shared" si="10"/>
        <v>0</v>
      </c>
      <c r="W25" s="29">
        <f t="shared" si="10"/>
        <v>0</v>
      </c>
      <c r="X25" s="29">
        <f t="shared" si="10"/>
        <v>0</v>
      </c>
      <c r="Y25" s="29">
        <f t="shared" si="10"/>
        <v>-22087.8</v>
      </c>
      <c r="Z25" s="29">
        <f t="shared" si="10"/>
        <v>0</v>
      </c>
      <c r="AA25" s="29">
        <f t="shared" si="10"/>
        <v>0</v>
      </c>
      <c r="AB25" s="29">
        <f t="shared" si="10"/>
        <v>0</v>
      </c>
      <c r="AC25" s="29">
        <f t="shared" si="10"/>
        <v>0</v>
      </c>
      <c r="AD25" s="29">
        <f t="shared" si="10"/>
        <v>0</v>
      </c>
      <c r="AE25" s="29">
        <f t="shared" si="10"/>
        <v>0</v>
      </c>
      <c r="AF25" s="29">
        <f>-SUM(AF19:AF24)</f>
        <v>-41829.649999999994</v>
      </c>
      <c r="AG25" s="29">
        <f t="shared" si="10"/>
        <v>-70857.87</v>
      </c>
      <c r="AH25" s="29">
        <f t="shared" si="10"/>
        <v>0</v>
      </c>
      <c r="AI25" s="29">
        <f>-SUM(AI19:AI24)</f>
        <v>-239855.55000000002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17.27+54.49+13.18+56.25+215.99</f>
        <v>357.18</v>
      </c>
      <c r="U27" s="26"/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11">SUM(D27:AG27)</f>
        <v>357.18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f>44726.78</f>
        <v>44726.78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11"/>
        <v>44726.78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11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11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>
        <v>10954.19</v>
      </c>
      <c r="M31" s="18">
        <f>76.84+13381.47</f>
        <v>13458.31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11"/>
        <v>24412.5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/>
      <c r="AB32" s="26">
        <v>4709.7</v>
      </c>
      <c r="AC32" s="26"/>
      <c r="AD32" s="26"/>
      <c r="AE32" s="26"/>
      <c r="AF32" s="26"/>
      <c r="AG32" s="26"/>
      <c r="AH32" s="26"/>
      <c r="AI32" s="19">
        <f t="shared" si="11"/>
        <v>4709.7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/>
      <c r="AB33" s="26">
        <v>21737.200000000001</v>
      </c>
      <c r="AC33" s="26"/>
      <c r="AD33" s="26"/>
      <c r="AE33" s="26"/>
      <c r="AF33" s="26"/>
      <c r="AG33" s="26"/>
      <c r="AH33" s="26"/>
      <c r="AI33" s="19">
        <f t="shared" si="11"/>
        <v>21737.200000000001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11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11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12">-SUM(E26:E35)</f>
        <v>0</v>
      </c>
      <c r="F36" s="29">
        <f t="shared" si="12"/>
        <v>0</v>
      </c>
      <c r="G36" s="29">
        <f t="shared" si="12"/>
        <v>0</v>
      </c>
      <c r="H36" s="29">
        <f t="shared" si="12"/>
        <v>0</v>
      </c>
      <c r="I36" s="29">
        <f t="shared" si="12"/>
        <v>0</v>
      </c>
      <c r="J36" s="29">
        <f t="shared" si="12"/>
        <v>0</v>
      </c>
      <c r="K36" s="29">
        <f t="shared" si="12"/>
        <v>0</v>
      </c>
      <c r="L36" s="29">
        <f t="shared" si="12"/>
        <v>-10954.19</v>
      </c>
      <c r="M36" s="29">
        <f t="shared" si="12"/>
        <v>-58185.09</v>
      </c>
      <c r="N36" s="29">
        <f t="shared" si="12"/>
        <v>0</v>
      </c>
      <c r="O36" s="29">
        <f t="shared" si="12"/>
        <v>0</v>
      </c>
      <c r="P36" s="29">
        <f t="shared" si="12"/>
        <v>0</v>
      </c>
      <c r="Q36" s="29">
        <f t="shared" ref="Q36:AH36" si="13">-SUM(Q26:Q35)</f>
        <v>0</v>
      </c>
      <c r="R36" s="29">
        <f t="shared" si="13"/>
        <v>0</v>
      </c>
      <c r="S36" s="29">
        <f t="shared" si="13"/>
        <v>0</v>
      </c>
      <c r="T36" s="29">
        <f t="shared" si="13"/>
        <v>-357.18</v>
      </c>
      <c r="U36" s="29">
        <f t="shared" si="13"/>
        <v>0</v>
      </c>
      <c r="V36" s="29">
        <f t="shared" si="13"/>
        <v>0</v>
      </c>
      <c r="W36" s="29">
        <f t="shared" si="13"/>
        <v>0</v>
      </c>
      <c r="X36" s="29">
        <f t="shared" si="13"/>
        <v>0</v>
      </c>
      <c r="Y36" s="29">
        <f t="shared" si="13"/>
        <v>0</v>
      </c>
      <c r="Z36" s="29">
        <f t="shared" si="13"/>
        <v>0</v>
      </c>
      <c r="AA36" s="29">
        <f t="shared" si="13"/>
        <v>0</v>
      </c>
      <c r="AB36" s="29">
        <f t="shared" si="13"/>
        <v>-26446.9</v>
      </c>
      <c r="AC36" s="29">
        <f t="shared" si="13"/>
        <v>0</v>
      </c>
      <c r="AD36" s="29">
        <f t="shared" si="13"/>
        <v>0</v>
      </c>
      <c r="AE36" s="29">
        <f t="shared" si="13"/>
        <v>0</v>
      </c>
      <c r="AF36" s="29">
        <f>-SUM(AF26:AF35)</f>
        <v>0</v>
      </c>
      <c r="AG36" s="29">
        <f t="shared" si="13"/>
        <v>0</v>
      </c>
      <c r="AH36" s="29">
        <f t="shared" si="13"/>
        <v>0</v>
      </c>
      <c r="AI36" s="29">
        <f>-SUM(AI26:AI35)</f>
        <v>-95943.359999999986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>
        <v>23107.33</v>
      </c>
      <c r="I38" s="18"/>
      <c r="J38" s="18"/>
      <c r="K38" s="4">
        <v>14.62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14">SUM(D38:AG38)</f>
        <v>23121.95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4"/>
        <v>0</v>
      </c>
    </row>
    <row r="40" spans="2:35" ht="16.5" customHeight="1" x14ac:dyDescent="0.2">
      <c r="B40" s="117"/>
      <c r="C40" s="28" t="s">
        <v>9</v>
      </c>
      <c r="D40" s="29">
        <f t="shared" ref="D40:AI40" si="15">-SUM(D37:D39)</f>
        <v>0</v>
      </c>
      <c r="E40" s="29">
        <f t="shared" si="15"/>
        <v>0</v>
      </c>
      <c r="F40" s="29">
        <f t="shared" si="15"/>
        <v>0</v>
      </c>
      <c r="G40" s="29">
        <f t="shared" si="15"/>
        <v>0</v>
      </c>
      <c r="H40" s="29">
        <f t="shared" si="15"/>
        <v>-23107.33</v>
      </c>
      <c r="I40" s="29">
        <f t="shared" si="15"/>
        <v>0</v>
      </c>
      <c r="J40" s="29">
        <f t="shared" si="15"/>
        <v>0</v>
      </c>
      <c r="K40" s="29">
        <f t="shared" si="15"/>
        <v>-14.62</v>
      </c>
      <c r="L40" s="29">
        <f t="shared" si="15"/>
        <v>0</v>
      </c>
      <c r="M40" s="29">
        <f t="shared" si="15"/>
        <v>0</v>
      </c>
      <c r="N40" s="29">
        <f t="shared" si="15"/>
        <v>0</v>
      </c>
      <c r="O40" s="29">
        <f t="shared" si="15"/>
        <v>0</v>
      </c>
      <c r="P40" s="29">
        <f t="shared" si="15"/>
        <v>0</v>
      </c>
      <c r="Q40" s="29">
        <f t="shared" si="15"/>
        <v>0</v>
      </c>
      <c r="R40" s="29">
        <f t="shared" si="15"/>
        <v>0</v>
      </c>
      <c r="S40" s="29">
        <f t="shared" si="15"/>
        <v>0</v>
      </c>
      <c r="T40" s="29">
        <f t="shared" si="15"/>
        <v>0</v>
      </c>
      <c r="U40" s="29">
        <f t="shared" si="15"/>
        <v>0</v>
      </c>
      <c r="V40" s="29">
        <f t="shared" si="15"/>
        <v>0</v>
      </c>
      <c r="W40" s="29">
        <f t="shared" si="15"/>
        <v>0</v>
      </c>
      <c r="X40" s="29">
        <f t="shared" si="15"/>
        <v>0</v>
      </c>
      <c r="Y40" s="29">
        <f t="shared" si="15"/>
        <v>0</v>
      </c>
      <c r="Z40" s="29">
        <f t="shared" si="15"/>
        <v>0</v>
      </c>
      <c r="AA40" s="29">
        <f t="shared" si="15"/>
        <v>0</v>
      </c>
      <c r="AB40" s="29">
        <f t="shared" si="15"/>
        <v>0</v>
      </c>
      <c r="AC40" s="29">
        <f t="shared" si="15"/>
        <v>0</v>
      </c>
      <c r="AD40" s="29">
        <f t="shared" si="15"/>
        <v>0</v>
      </c>
      <c r="AE40" s="29">
        <f t="shared" si="15"/>
        <v>0</v>
      </c>
      <c r="AF40" s="29">
        <f t="shared" si="15"/>
        <v>0</v>
      </c>
      <c r="AG40" s="29">
        <f t="shared" si="15"/>
        <v>0</v>
      </c>
      <c r="AH40" s="29">
        <f t="shared" si="15"/>
        <v>0</v>
      </c>
      <c r="AI40" s="29">
        <f t="shared" si="15"/>
        <v>-23121.95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214905.18-14377.38</f>
        <v>200527.8</v>
      </c>
      <c r="W41" s="18"/>
      <c r="X41" s="58"/>
      <c r="Y41" s="18">
        <f>22062.62+14377.38</f>
        <v>36440</v>
      </c>
      <c r="Z41" s="18"/>
      <c r="AA41" s="58"/>
      <c r="AB41" s="18"/>
      <c r="AC41" s="18"/>
      <c r="AD41" s="18"/>
      <c r="AE41" s="18"/>
      <c r="AG41" s="18"/>
      <c r="AH41" s="18"/>
      <c r="AI41" s="19">
        <f>SUM(D41:AG41)</f>
        <v>236967.8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E42" s="18"/>
      <c r="AF42" s="18"/>
      <c r="AH42" s="18"/>
      <c r="AI42" s="19">
        <f>SUM(D42:AF42)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43000</v>
      </c>
      <c r="U43" s="18"/>
      <c r="V43" s="18"/>
      <c r="W43" s="18"/>
      <c r="X43" s="18"/>
      <c r="Y43" s="18">
        <v>16000</v>
      </c>
      <c r="Z43" s="18"/>
      <c r="AA43" s="18"/>
      <c r="AB43" s="18">
        <v>31000</v>
      </c>
      <c r="AC43" s="18"/>
      <c r="AD43" s="18"/>
      <c r="AE43" s="18"/>
      <c r="AF43" s="18">
        <v>50000</v>
      </c>
      <c r="AG43" s="18"/>
      <c r="AH43" s="18"/>
      <c r="AI43" s="19">
        <f t="shared" ref="AI43:AI73" si="16">SUM(D43:AG43)</f>
        <v>140000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6"/>
        <v>0</v>
      </c>
    </row>
    <row r="45" spans="2:35" ht="16.5" customHeight="1" x14ac:dyDescent="0.2">
      <c r="B45" s="117"/>
      <c r="C45" s="25" t="s">
        <v>72</v>
      </c>
      <c r="D45" s="18">
        <v>28000</v>
      </c>
      <c r="E45" s="18"/>
      <c r="F45" s="18">
        <v>15631.85</v>
      </c>
      <c r="G45" s="18"/>
      <c r="H45" s="18">
        <v>14976.24</v>
      </c>
      <c r="I45" s="18"/>
      <c r="J45" s="18"/>
      <c r="K45" s="18"/>
      <c r="L45" s="18"/>
      <c r="M45" s="18">
        <v>27352.78</v>
      </c>
      <c r="N45" s="18"/>
      <c r="P45" s="18"/>
      <c r="Q45" s="18"/>
      <c r="R45" s="26">
        <v>40676.089999999997</v>
      </c>
      <c r="S45" s="18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6"/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7919.79+16743.63</f>
        <v>24663.420000000002</v>
      </c>
      <c r="N46" s="26"/>
      <c r="O46" s="26"/>
      <c r="P46" s="26"/>
      <c r="Q46" s="26"/>
      <c r="R46" s="26"/>
      <c r="S46" s="26"/>
      <c r="T46" s="26"/>
      <c r="U46" s="26"/>
      <c r="V46" s="26">
        <v>28357.64</v>
      </c>
      <c r="W46" s="26"/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6"/>
        <v>53021.06</v>
      </c>
    </row>
    <row r="47" spans="2:35" ht="16.5" customHeight="1" x14ac:dyDescent="0.2">
      <c r="B47" s="117"/>
      <c r="C47" s="25" t="s">
        <v>79</v>
      </c>
      <c r="D47" s="26">
        <f>301.2</f>
        <v>301.2</v>
      </c>
      <c r="E47" s="26"/>
      <c r="F47" s="26"/>
      <c r="G47" s="26"/>
      <c r="H47" s="18">
        <v>62.4</v>
      </c>
      <c r="I47" s="26"/>
      <c r="J47" s="26"/>
      <c r="K47" s="26">
        <v>360.64</v>
      </c>
      <c r="M47" s="26">
        <f>96.6+1034.64+73.5+73.5+84.52+1134.06</f>
        <v>2496.8199999999997</v>
      </c>
      <c r="N47" s="26"/>
      <c r="O47" s="26">
        <f>35</f>
        <v>35</v>
      </c>
      <c r="P47" s="26"/>
      <c r="Q47" s="26"/>
      <c r="R47" s="18">
        <f>21.8</f>
        <v>21.8</v>
      </c>
      <c r="S47" s="26"/>
      <c r="T47" s="26">
        <f>(155.41+621.64+17525.01)+246.96+2757.81+42+14515.55+112+152.6</f>
        <v>36128.979999999996</v>
      </c>
      <c r="U47" s="26">
        <v>121.98</v>
      </c>
      <c r="V47" s="26"/>
      <c r="W47" s="26"/>
      <c r="X47" s="26"/>
      <c r="Y47" s="26">
        <f>32.2+2875.33+153.9</f>
        <v>3061.43</v>
      </c>
      <c r="Z47" s="26"/>
      <c r="AA47" s="58"/>
      <c r="AB47" s="26"/>
      <c r="AC47" s="26"/>
      <c r="AD47" s="26"/>
      <c r="AE47" s="26"/>
      <c r="AF47" s="26"/>
      <c r="AG47" s="26"/>
      <c r="AH47" s="26"/>
      <c r="AI47" s="19">
        <f>SUM(D47:AG47)</f>
        <v>42590.25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C48" s="58"/>
      <c r="AD48" s="58"/>
      <c r="AE48" s="26"/>
      <c r="AF48" s="26"/>
      <c r="AG48" s="58"/>
      <c r="AH48" s="26"/>
      <c r="AI48" s="19">
        <f>SUM(E48:AF48)</f>
        <v>0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6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/>
      <c r="AC50" s="26"/>
      <c r="AD50" s="26"/>
      <c r="AE50" s="26"/>
      <c r="AF50" s="26"/>
      <c r="AG50" s="26"/>
      <c r="AH50" s="26"/>
      <c r="AI50" s="19">
        <f t="shared" si="16"/>
        <v>122.5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>
        <f>132.3+147</f>
        <v>279.3</v>
      </c>
      <c r="L51" s="26"/>
      <c r="M51" s="26"/>
      <c r="N51" s="26"/>
      <c r="O51" s="26"/>
      <c r="P51" s="26"/>
      <c r="Q51" s="26"/>
      <c r="R51" s="26">
        <v>6350.4</v>
      </c>
      <c r="S51" s="26"/>
      <c r="T51" s="26">
        <f>89.8+193.05</f>
        <v>282.85000000000002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19">
        <f t="shared" si="16"/>
        <v>6912.55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6"/>
        <v>0</v>
      </c>
    </row>
    <row r="53" spans="2:35" ht="16.5" customHeight="1" x14ac:dyDescent="0.2">
      <c r="B53" s="117"/>
      <c r="C53" s="27" t="s">
        <v>18</v>
      </c>
      <c r="D53" s="26">
        <v>9400.31</v>
      </c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10928.43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10760.79</v>
      </c>
      <c r="AG53" s="58"/>
      <c r="AH53" s="26"/>
      <c r="AI53" s="19">
        <f>SUM(D53:AF53)</f>
        <v>31089.53</v>
      </c>
    </row>
    <row r="54" spans="2:35" ht="16.5" customHeight="1" x14ac:dyDescent="0.2">
      <c r="B54" s="117"/>
      <c r="C54" s="25" t="s">
        <v>28</v>
      </c>
      <c r="D54" s="26">
        <f>3180</f>
        <v>3180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>
        <f>900.36+1109.51</f>
        <v>2009.87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v>3180</v>
      </c>
      <c r="AG54" s="58"/>
      <c r="AH54" s="26"/>
      <c r="AI54" s="19">
        <f>SUM(D54:AF54)</f>
        <v>8369.869999999999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v>260.75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262</v>
      </c>
      <c r="AG55" s="26"/>
      <c r="AH55" s="26"/>
      <c r="AI55" s="19">
        <f t="shared" si="16"/>
        <v>522.75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6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6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6"/>
        <v>0</v>
      </c>
    </row>
    <row r="59" spans="2:35" ht="16.5" customHeight="1" x14ac:dyDescent="0.2">
      <c r="B59" s="117"/>
      <c r="C59" s="25" t="s">
        <v>32</v>
      </c>
      <c r="D59" s="26">
        <v>7950</v>
      </c>
      <c r="E59" s="58"/>
      <c r="F59" s="26">
        <v>3500</v>
      </c>
      <c r="G59" s="26"/>
      <c r="I59" s="26"/>
      <c r="J59" s="26"/>
      <c r="K59" s="26">
        <v>3693.75</v>
      </c>
      <c r="L59" s="26"/>
      <c r="M59" s="26">
        <f>720</f>
        <v>720</v>
      </c>
      <c r="O59" s="26">
        <f>1590+120</f>
        <v>1710</v>
      </c>
      <c r="P59" s="26"/>
      <c r="Q59" s="26"/>
      <c r="R59" s="26">
        <f>1444+614+359.2</f>
        <v>2417.1999999999998</v>
      </c>
      <c r="S59" s="26"/>
      <c r="T59" s="26">
        <f>816</f>
        <v>816</v>
      </c>
      <c r="U59" s="26"/>
      <c r="V59" s="26"/>
      <c r="W59" s="26"/>
      <c r="X59" s="26"/>
      <c r="Y59" s="26"/>
      <c r="Z59" s="26"/>
      <c r="AA59" s="26"/>
      <c r="AB59" s="26">
        <v>4930.41</v>
      </c>
      <c r="AD59" s="26"/>
      <c r="AE59" s="26"/>
      <c r="AF59" s="26"/>
      <c r="AG59" s="26"/>
      <c r="AH59" s="26"/>
      <c r="AI59" s="19">
        <f>SUM(F59:AG59)</f>
        <v>17787.36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6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6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>
        <v>4212</v>
      </c>
      <c r="AC62" s="26"/>
      <c r="AD62" s="58"/>
      <c r="AE62" s="26"/>
      <c r="AF62" s="26"/>
      <c r="AG62" s="26"/>
      <c r="AH62" s="26"/>
      <c r="AI62" s="19">
        <f t="shared" si="16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v>330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6"/>
        <v>330</v>
      </c>
    </row>
    <row r="64" spans="2:35" ht="16.5" customHeight="1" x14ac:dyDescent="0.2">
      <c r="B64" s="117"/>
      <c r="C64" s="25" t="s">
        <v>75</v>
      </c>
      <c r="D64" s="26">
        <v>1161.3699999999999</v>
      </c>
      <c r="E64" s="26"/>
      <c r="F64" s="26">
        <f>1161.37</f>
        <v>1161.3699999999999</v>
      </c>
      <c r="G64" s="26"/>
      <c r="H64" s="26">
        <f>1891.63</f>
        <v>1891.63</v>
      </c>
      <c r="I64" s="26"/>
      <c r="J64" s="26"/>
      <c r="K64" s="26"/>
      <c r="L64" s="58"/>
      <c r="M64" s="26"/>
      <c r="N64" s="26"/>
      <c r="O64" s="26">
        <f>420</f>
        <v>420</v>
      </c>
      <c r="P64" s="26"/>
      <c r="Q64" s="26"/>
      <c r="R64" s="26">
        <f>14119.71</f>
        <v>14119.71</v>
      </c>
      <c r="S64" s="26"/>
      <c r="T64" s="26">
        <f>5650.8</f>
        <v>5650.8</v>
      </c>
      <c r="U64" s="26"/>
      <c r="V64" s="26"/>
      <c r="W64" s="26"/>
      <c r="X64" s="26"/>
      <c r="Y64" s="26"/>
      <c r="Z64" s="26"/>
      <c r="AA64" s="26"/>
      <c r="AB64" s="26">
        <f>1511+1920</f>
        <v>3431</v>
      </c>
      <c r="AC64" s="26"/>
      <c r="AD64" s="26"/>
      <c r="AE64" s="26"/>
      <c r="AF64" s="26">
        <f>1161.37</f>
        <v>1161.3699999999999</v>
      </c>
      <c r="AH64" s="26"/>
      <c r="AI64" s="19">
        <f>SUM(D64:AF64)</f>
        <v>28997.249999999996</v>
      </c>
    </row>
    <row r="65" spans="2:35" ht="16.5" customHeight="1" x14ac:dyDescent="0.2">
      <c r="B65" s="117"/>
      <c r="C65" s="25" t="s">
        <v>12</v>
      </c>
      <c r="D65" s="26">
        <v>646.73</v>
      </c>
      <c r="E65" s="26"/>
      <c r="F65" s="26"/>
      <c r="G65" s="26"/>
      <c r="H65" s="26"/>
      <c r="I65" s="26"/>
      <c r="J65" s="26"/>
      <c r="K65" s="26">
        <v>190</v>
      </c>
      <c r="L65" s="58"/>
      <c r="M65" s="26"/>
      <c r="N65" s="26"/>
      <c r="O65" s="26">
        <f>2286.15</f>
        <v>2286.15</v>
      </c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>
        <v>255.49</v>
      </c>
      <c r="AG65" s="26"/>
      <c r="AH65" s="26"/>
      <c r="AI65" s="19">
        <f t="shared" si="16"/>
        <v>3378.37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6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f>2500+20.18</f>
        <v>2520.1799999999998</v>
      </c>
      <c r="L67" s="26"/>
      <c r="M67" s="26"/>
      <c r="N67" s="26"/>
      <c r="O67" s="26">
        <f>1370.76+2500</f>
        <v>3870.76</v>
      </c>
      <c r="P67" s="26"/>
      <c r="Q67" s="26"/>
      <c r="R67" s="26">
        <f>3832.34</f>
        <v>3832.34</v>
      </c>
      <c r="S67" s="26"/>
      <c r="T67" s="26"/>
      <c r="U67" s="26">
        <v>1000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6"/>
        <v>11223.28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>
        <f>1058.6</f>
        <v>1058.5999999999999</v>
      </c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6"/>
        <v>1058.5999999999999</v>
      </c>
    </row>
    <row r="69" spans="2:35" ht="16.5" customHeight="1" x14ac:dyDescent="0.2">
      <c r="B69" s="117"/>
      <c r="C69" s="25" t="s">
        <v>83</v>
      </c>
      <c r="E69" s="26"/>
      <c r="F69" s="26"/>
      <c r="G69" s="26"/>
      <c r="H69" s="26"/>
      <c r="I69" s="26"/>
      <c r="J69" s="26"/>
      <c r="K69" s="26"/>
      <c r="M69" s="26"/>
      <c r="N69" s="26"/>
      <c r="O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/>
      <c r="AI69" s="19">
        <f>SUM(E69:AG69)</f>
        <v>0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>
        <f>201</f>
        <v>201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4">
        <v>120.88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6"/>
        <v>321.88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>
        <f>244+80</f>
        <v>324</v>
      </c>
      <c r="W71" s="26"/>
      <c r="X71" s="26"/>
      <c r="Y71" s="26">
        <v>6933.1</v>
      </c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6"/>
        <v>7257.1</v>
      </c>
    </row>
    <row r="72" spans="2:35" ht="16.5" customHeight="1" x14ac:dyDescent="0.2">
      <c r="B72" s="117"/>
      <c r="C72" s="25" t="s">
        <v>6</v>
      </c>
      <c r="D72" s="26">
        <f>13.86+19.26</f>
        <v>33.120000000000005</v>
      </c>
      <c r="E72" s="26">
        <f>27.72+38.52+35.46+84</f>
        <v>185.70000000000002</v>
      </c>
      <c r="F72" s="26">
        <f>9.24+12.84+29.55+7.9</f>
        <v>59.529999999999994</v>
      </c>
      <c r="G72" s="26"/>
      <c r="H72" s="26">
        <f>6.93+9.63+11.82+7.9</f>
        <v>36.28</v>
      </c>
      <c r="I72" s="26"/>
      <c r="J72" s="26"/>
      <c r="K72" s="26">
        <f>36.96+51.36+(7.9*2)</f>
        <v>104.11999999999999</v>
      </c>
      <c r="L72" s="26">
        <f>32.34+44.94+41.37</f>
        <v>118.65</v>
      </c>
      <c r="M72" s="26">
        <f>18.48+25.68+11.82+(7.9*2)</f>
        <v>71.78</v>
      </c>
      <c r="N72" s="26">
        <f>30.03+41.74</f>
        <v>71.77000000000001</v>
      </c>
      <c r="O72" s="26">
        <f>(7.9*3)+9.24+12.84</f>
        <v>45.78</v>
      </c>
      <c r="P72" s="26"/>
      <c r="Q72" s="26"/>
      <c r="R72" s="26">
        <f>23.1+32.1+7.9+45</f>
        <v>108.1</v>
      </c>
      <c r="S72" s="26">
        <f>39.27+54.57+41.37</f>
        <v>135.21</v>
      </c>
      <c r="T72" s="26">
        <f>(7.9*3)+11.55+16.05+17.73</f>
        <v>69.03</v>
      </c>
      <c r="U72" s="26">
        <f>4.62+6.42+5.91+7.9</f>
        <v>24.85</v>
      </c>
      <c r="V72" s="26">
        <v>731.72</v>
      </c>
      <c r="W72" s="26"/>
      <c r="X72" s="26"/>
      <c r="Y72" s="26">
        <v>112.12</v>
      </c>
      <c r="Z72" s="26">
        <f>66.99+93.09+29.55</f>
        <v>189.63</v>
      </c>
      <c r="AA72" s="26"/>
      <c r="AB72" s="26">
        <f>6.93+9.63+11.55+16.05+17.73+7.9</f>
        <v>69.790000000000006</v>
      </c>
      <c r="AC72" s="26">
        <f>41.73+30.03</f>
        <v>71.759999999999991</v>
      </c>
      <c r="AD72" s="26"/>
      <c r="AE72" s="26"/>
      <c r="AF72" s="26">
        <f>32.34+44.94+7.9+7.9</f>
        <v>93.080000000000013</v>
      </c>
      <c r="AG72" s="26">
        <f>41.58+57.78+76.83+7.9</f>
        <v>184.09</v>
      </c>
      <c r="AH72" s="26"/>
      <c r="AI72" s="19">
        <f t="shared" si="16"/>
        <v>2516.1099999999997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6"/>
        <v>0</v>
      </c>
    </row>
    <row r="74" spans="2:35" ht="16.5" customHeight="1" x14ac:dyDescent="0.2">
      <c r="B74" s="117"/>
      <c r="C74" s="28" t="s">
        <v>10</v>
      </c>
      <c r="D74" s="29">
        <f t="shared" ref="D74:AI74" si="17">-SUM(D41:D73)</f>
        <v>-50672.73000000001</v>
      </c>
      <c r="E74" s="29">
        <f t="shared" si="17"/>
        <v>-185.70000000000002</v>
      </c>
      <c r="F74" s="29">
        <f t="shared" si="17"/>
        <v>-20352.749999999996</v>
      </c>
      <c r="G74" s="29">
        <f t="shared" si="17"/>
        <v>0</v>
      </c>
      <c r="H74" s="29">
        <f t="shared" si="17"/>
        <v>-18226.149999999998</v>
      </c>
      <c r="I74" s="29">
        <f t="shared" si="17"/>
        <v>0</v>
      </c>
      <c r="J74" s="29">
        <f t="shared" si="17"/>
        <v>0</v>
      </c>
      <c r="K74" s="29">
        <f t="shared" si="17"/>
        <v>-7147.9900000000007</v>
      </c>
      <c r="L74" s="29">
        <f t="shared" si="17"/>
        <v>-118.65</v>
      </c>
      <c r="M74" s="29">
        <f t="shared" si="17"/>
        <v>-55895.549999999996</v>
      </c>
      <c r="N74" s="29">
        <f t="shared" si="17"/>
        <v>-71.77000000000001</v>
      </c>
      <c r="O74" s="29">
        <f t="shared" si="17"/>
        <v>-8367.69</v>
      </c>
      <c r="P74" s="29">
        <f t="shared" si="17"/>
        <v>0</v>
      </c>
      <c r="Q74" s="29">
        <f t="shared" si="17"/>
        <v>0</v>
      </c>
      <c r="R74" s="29">
        <f t="shared" si="17"/>
        <v>-80586.44</v>
      </c>
      <c r="S74" s="29">
        <f>-SUM(S41:S73)</f>
        <v>-135.21</v>
      </c>
      <c r="T74" s="29">
        <f>-SUM(T41:T73)</f>
        <v>-86068.540000000008</v>
      </c>
      <c r="U74" s="29">
        <f t="shared" si="17"/>
        <v>-1146.83</v>
      </c>
      <c r="V74" s="29">
        <f>-SUM(V41:V73)</f>
        <v>-229941.16</v>
      </c>
      <c r="W74" s="29">
        <f>-SUM(W41:W73)</f>
        <v>0</v>
      </c>
      <c r="X74" s="29">
        <f>-SUM(X41:X73)</f>
        <v>0</v>
      </c>
      <c r="Y74" s="29">
        <f t="shared" si="17"/>
        <v>-62546.65</v>
      </c>
      <c r="Z74" s="29">
        <f t="shared" si="17"/>
        <v>-189.63</v>
      </c>
      <c r="AA74" s="29">
        <f t="shared" si="17"/>
        <v>0</v>
      </c>
      <c r="AB74" s="29">
        <f t="shared" si="17"/>
        <v>-43643.200000000004</v>
      </c>
      <c r="AC74" s="29">
        <f t="shared" si="17"/>
        <v>-71.759999999999991</v>
      </c>
      <c r="AD74" s="29">
        <f>-SUM(AD41:AD73)</f>
        <v>0</v>
      </c>
      <c r="AE74" s="29">
        <f>-SUM(AE41:AE73)</f>
        <v>0</v>
      </c>
      <c r="AF74" s="29">
        <f>-SUM(AF41:AF73)</f>
        <v>-65712.73000000001</v>
      </c>
      <c r="AG74" s="29">
        <f t="shared" si="17"/>
        <v>-184.09</v>
      </c>
      <c r="AH74" s="29">
        <f t="shared" si="17"/>
        <v>0</v>
      </c>
      <c r="AI74" s="29">
        <f t="shared" si="17"/>
        <v>-723315.22000000009</v>
      </c>
    </row>
    <row r="75" spans="2:35" ht="16.5" customHeight="1" x14ac:dyDescent="0.2">
      <c r="B75" s="114"/>
      <c r="C75" s="28" t="s">
        <v>36</v>
      </c>
      <c r="D75" s="29">
        <f t="shared" ref="D75:AI75" si="18">D25+D36+D40+D74</f>
        <v>-50672.73000000001</v>
      </c>
      <c r="E75" s="29">
        <f t="shared" si="18"/>
        <v>-185.70000000000002</v>
      </c>
      <c r="F75" s="29">
        <f t="shared" si="18"/>
        <v>-24908.429999999997</v>
      </c>
      <c r="G75" s="29">
        <f t="shared" si="18"/>
        <v>0</v>
      </c>
      <c r="H75" s="29">
        <f t="shared" si="18"/>
        <v>-47639.95</v>
      </c>
      <c r="I75" s="29">
        <f t="shared" si="18"/>
        <v>0</v>
      </c>
      <c r="J75" s="29">
        <f t="shared" si="18"/>
        <v>0</v>
      </c>
      <c r="K75" s="29">
        <f t="shared" si="18"/>
        <v>-7162.6100000000006</v>
      </c>
      <c r="L75" s="29">
        <f t="shared" si="18"/>
        <v>-11072.84</v>
      </c>
      <c r="M75" s="29">
        <f t="shared" si="18"/>
        <v>-114080.63999999998</v>
      </c>
      <c r="N75" s="29">
        <f t="shared" si="18"/>
        <v>-71.77000000000001</v>
      </c>
      <c r="O75" s="29">
        <f t="shared" si="18"/>
        <v>-8367.69</v>
      </c>
      <c r="P75" s="29">
        <f t="shared" si="18"/>
        <v>0</v>
      </c>
      <c r="Q75" s="29">
        <f t="shared" si="18"/>
        <v>0</v>
      </c>
      <c r="R75" s="29">
        <f t="shared" si="18"/>
        <v>-174804.52000000002</v>
      </c>
      <c r="S75" s="29">
        <f t="shared" si="18"/>
        <v>-135.21</v>
      </c>
      <c r="T75" s="29">
        <f t="shared" si="18"/>
        <v>-86425.72</v>
      </c>
      <c r="U75" s="29">
        <f t="shared" si="18"/>
        <v>-1146.83</v>
      </c>
      <c r="V75" s="29">
        <f t="shared" si="18"/>
        <v>-229941.16</v>
      </c>
      <c r="W75" s="29">
        <f t="shared" si="18"/>
        <v>0</v>
      </c>
      <c r="X75" s="29">
        <f t="shared" si="18"/>
        <v>0</v>
      </c>
      <c r="Y75" s="29">
        <f t="shared" si="18"/>
        <v>-84634.45</v>
      </c>
      <c r="Z75" s="29">
        <f t="shared" si="18"/>
        <v>-189.63</v>
      </c>
      <c r="AA75" s="29">
        <f t="shared" si="18"/>
        <v>0</v>
      </c>
      <c r="AB75" s="29">
        <f t="shared" si="18"/>
        <v>-70090.100000000006</v>
      </c>
      <c r="AC75" s="29">
        <f t="shared" si="18"/>
        <v>-71.759999999999991</v>
      </c>
      <c r="AD75" s="29">
        <f t="shared" si="18"/>
        <v>0</v>
      </c>
      <c r="AE75" s="29">
        <f t="shared" si="18"/>
        <v>0</v>
      </c>
      <c r="AF75" s="29">
        <f t="shared" si="18"/>
        <v>-107542.38</v>
      </c>
      <c r="AG75" s="29">
        <f t="shared" si="18"/>
        <v>-71041.959999999992</v>
      </c>
      <c r="AH75" s="29">
        <f t="shared" si="18"/>
        <v>0</v>
      </c>
      <c r="AI75" s="29">
        <f t="shared" si="18"/>
        <v>-1082236.08</v>
      </c>
    </row>
    <row r="76" spans="2:35" ht="7.5" customHeight="1" x14ac:dyDescent="0.2">
      <c r="B76" s="88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87"/>
      <c r="C77" s="32" t="s">
        <v>13</v>
      </c>
      <c r="D77" s="13">
        <f t="shared" ref="D77:AI77" si="19">D6+D18+D75</f>
        <v>66941.618699999759</v>
      </c>
      <c r="E77" s="13">
        <f t="shared" si="19"/>
        <v>107903.76869999977</v>
      </c>
      <c r="F77" s="13">
        <f t="shared" si="19"/>
        <v>116423.68869999977</v>
      </c>
      <c r="G77" s="13">
        <f t="shared" si="19"/>
        <v>116423.68869999977</v>
      </c>
      <c r="H77" s="13">
        <f t="shared" si="19"/>
        <v>121304.89869999977</v>
      </c>
      <c r="I77" s="13">
        <f t="shared" si="19"/>
        <v>121304.89869999977</v>
      </c>
      <c r="J77" s="13">
        <f t="shared" si="19"/>
        <v>121304.89869999977</v>
      </c>
      <c r="K77" s="13">
        <f t="shared" si="19"/>
        <v>197641.99869999976</v>
      </c>
      <c r="L77" s="13">
        <f t="shared" si="19"/>
        <v>214585.98869999978</v>
      </c>
      <c r="M77" s="13">
        <f t="shared" si="19"/>
        <v>127519.5386999998</v>
      </c>
      <c r="N77" s="13">
        <f t="shared" si="19"/>
        <v>178166.11869999982</v>
      </c>
      <c r="O77" s="13">
        <f t="shared" si="19"/>
        <v>221845.74869999982</v>
      </c>
      <c r="P77" s="13">
        <f t="shared" si="19"/>
        <v>221845.74869999982</v>
      </c>
      <c r="Q77" s="13">
        <f t="shared" si="19"/>
        <v>221845.74869999982</v>
      </c>
      <c r="R77" s="13">
        <f t="shared" si="19"/>
        <v>116734.25869999977</v>
      </c>
      <c r="S77" s="13">
        <f t="shared" si="19"/>
        <v>212330.53869999977</v>
      </c>
      <c r="T77" s="13">
        <f t="shared" si="19"/>
        <v>166678.32869999978</v>
      </c>
      <c r="U77" s="13">
        <f t="shared" si="19"/>
        <v>222302.49869999979</v>
      </c>
      <c r="V77" s="13">
        <f t="shared" si="19"/>
        <v>22313.928699999786</v>
      </c>
      <c r="W77" s="13">
        <f t="shared" si="19"/>
        <v>22313.928699999786</v>
      </c>
      <c r="X77" s="13">
        <f t="shared" si="19"/>
        <v>22313.928699999786</v>
      </c>
      <c r="Y77" s="13">
        <f t="shared" si="19"/>
        <v>4272.5086999997875</v>
      </c>
      <c r="Z77" s="13">
        <f t="shared" si="19"/>
        <v>74905.578699999794</v>
      </c>
      <c r="AA77" s="13">
        <f t="shared" si="19"/>
        <v>74905.578699999794</v>
      </c>
      <c r="AB77" s="13">
        <f t="shared" si="19"/>
        <v>58110.378699999797</v>
      </c>
      <c r="AC77" s="13">
        <f t="shared" si="19"/>
        <v>136630.30869999979</v>
      </c>
      <c r="AD77" s="13">
        <f t="shared" si="19"/>
        <v>136630.30869999979</v>
      </c>
      <c r="AE77" s="13">
        <f t="shared" si="19"/>
        <v>136630.30869999979</v>
      </c>
      <c r="AF77" s="13">
        <f t="shared" si="19"/>
        <v>132958.79869999978</v>
      </c>
      <c r="AG77" s="13">
        <f t="shared" si="19"/>
        <v>118497.16869999978</v>
      </c>
      <c r="AH77" s="13">
        <f t="shared" si="19"/>
        <v>118497.16869999978</v>
      </c>
      <c r="AI77" s="13">
        <f t="shared" si="19"/>
        <v>126447.16870000004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Maio!AF83</f>
        <v>502504.81000000041</v>
      </c>
      <c r="E79" s="33">
        <f>D83</f>
        <v>502674.51000000042</v>
      </c>
      <c r="F79" s="33">
        <f t="shared" ref="F79:AH79" si="20">E83</f>
        <v>502844.91000000044</v>
      </c>
      <c r="G79" s="33">
        <f t="shared" si="20"/>
        <v>503019.24000000046</v>
      </c>
      <c r="H79" s="33">
        <f t="shared" si="20"/>
        <v>503019.24000000046</v>
      </c>
      <c r="I79" s="33">
        <f t="shared" si="20"/>
        <v>503531.42000000045</v>
      </c>
      <c r="J79" s="33">
        <f t="shared" si="20"/>
        <v>503531.42000000045</v>
      </c>
      <c r="K79" s="33">
        <f t="shared" si="20"/>
        <v>503531.42000000045</v>
      </c>
      <c r="L79" s="33">
        <f t="shared" si="20"/>
        <v>503820.80000000045</v>
      </c>
      <c r="M79" s="33">
        <f t="shared" si="20"/>
        <v>504006.06000000046</v>
      </c>
      <c r="N79" s="33">
        <f t="shared" si="20"/>
        <v>504191.94000000047</v>
      </c>
      <c r="O79" s="33">
        <f t="shared" si="20"/>
        <v>504378.27000000048</v>
      </c>
      <c r="P79" s="33">
        <f t="shared" si="20"/>
        <v>504576.07000000047</v>
      </c>
      <c r="Q79" s="33">
        <f t="shared" si="20"/>
        <v>504576.07000000047</v>
      </c>
      <c r="R79" s="33">
        <f t="shared" si="20"/>
        <v>504576.07000000047</v>
      </c>
      <c r="S79" s="33">
        <f t="shared" si="20"/>
        <v>504765.84000000049</v>
      </c>
      <c r="T79" s="33">
        <f t="shared" si="20"/>
        <v>504956.37000000052</v>
      </c>
      <c r="U79" s="33">
        <f t="shared" si="20"/>
        <v>505147.03000000049</v>
      </c>
      <c r="V79" s="33">
        <f t="shared" si="20"/>
        <v>472273.67000000051</v>
      </c>
      <c r="W79" s="33">
        <f t="shared" si="20"/>
        <v>472462.87000000052</v>
      </c>
      <c r="X79" s="33">
        <f t="shared" si="20"/>
        <v>472462.87000000052</v>
      </c>
      <c r="Y79" s="33">
        <f t="shared" si="20"/>
        <v>472462.87000000052</v>
      </c>
      <c r="Z79" s="33">
        <f t="shared" si="20"/>
        <v>472805.87000000052</v>
      </c>
      <c r="AA79" s="33">
        <f t="shared" si="20"/>
        <v>472985.67000000051</v>
      </c>
      <c r="AB79" s="33">
        <f t="shared" si="20"/>
        <v>472985.67000000051</v>
      </c>
      <c r="AC79" s="33">
        <f t="shared" si="20"/>
        <v>473174.78000000049</v>
      </c>
      <c r="AD79" s="33">
        <f t="shared" si="20"/>
        <v>473357.2200000005</v>
      </c>
      <c r="AE79" s="33">
        <f t="shared" si="20"/>
        <v>473357.2200000005</v>
      </c>
      <c r="AF79" s="33">
        <f t="shared" si="20"/>
        <v>473357.2200000005</v>
      </c>
      <c r="AG79" s="33">
        <f t="shared" si="20"/>
        <v>473793.67000000051</v>
      </c>
      <c r="AH79" s="33">
        <f t="shared" si="20"/>
        <v>474047.87000000052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>
        <v>-33052.61</v>
      </c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/>
      <c r="AI80" s="19">
        <f>SUM(G80:AF80)</f>
        <v>-33052.61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21">SUM(G81:AF81)</f>
        <v>0</v>
      </c>
    </row>
    <row r="82" spans="2:35" ht="16.5" customHeight="1" x14ac:dyDescent="0.2">
      <c r="B82" s="117"/>
      <c r="C82" s="17" t="s">
        <v>24</v>
      </c>
      <c r="D82" s="18">
        <v>169.7</v>
      </c>
      <c r="E82" s="18">
        <v>170.4</v>
      </c>
      <c r="F82" s="18">
        <v>174.33</v>
      </c>
      <c r="G82" s="18"/>
      <c r="H82" s="18">
        <v>512.17999999999995</v>
      </c>
      <c r="I82" s="18"/>
      <c r="J82" s="18"/>
      <c r="K82" s="18">
        <v>289.38</v>
      </c>
      <c r="L82" s="18">
        <v>185.26</v>
      </c>
      <c r="M82" s="18">
        <v>185.88</v>
      </c>
      <c r="N82" s="18">
        <v>186.33</v>
      </c>
      <c r="O82" s="18">
        <v>197.8</v>
      </c>
      <c r="P82" s="18"/>
      <c r="Q82" s="18"/>
      <c r="R82" s="18">
        <v>189.77</v>
      </c>
      <c r="S82" s="18">
        <v>190.53</v>
      </c>
      <c r="T82" s="18">
        <v>190.66</v>
      </c>
      <c r="U82" s="18">
        <v>179.25</v>
      </c>
      <c r="V82" s="18">
        <v>189.2</v>
      </c>
      <c r="W82" s="18"/>
      <c r="X82" s="18"/>
      <c r="Y82" s="18">
        <v>343</v>
      </c>
      <c r="Z82" s="18">
        <v>179.8</v>
      </c>
      <c r="AA82" s="18"/>
      <c r="AB82" s="18">
        <v>189.11</v>
      </c>
      <c r="AC82" s="18">
        <v>182.44</v>
      </c>
      <c r="AD82" s="18"/>
      <c r="AE82" s="18"/>
      <c r="AF82" s="18">
        <v>436.45</v>
      </c>
      <c r="AG82" s="18">
        <v>254.2</v>
      </c>
      <c r="AH82" s="18"/>
      <c r="AI82" s="19">
        <f t="shared" si="21"/>
        <v>3827.0399999999995</v>
      </c>
    </row>
    <row r="83" spans="2:35" ht="16.5" customHeight="1" x14ac:dyDescent="0.2">
      <c r="B83" s="117"/>
      <c r="C83" s="21" t="s">
        <v>30</v>
      </c>
      <c r="D83" s="22">
        <f>SUM(D80:D82)+D79</f>
        <v>502674.51000000042</v>
      </c>
      <c r="E83" s="22">
        <f t="shared" ref="E83:AH83" si="22">SUM(E80:E82)+D83</f>
        <v>502844.91000000044</v>
      </c>
      <c r="F83" s="22">
        <f>SUM(F80:F82)+E83</f>
        <v>503019.24000000046</v>
      </c>
      <c r="G83" s="22">
        <f t="shared" si="22"/>
        <v>503019.24000000046</v>
      </c>
      <c r="H83" s="22">
        <f t="shared" si="22"/>
        <v>503531.42000000045</v>
      </c>
      <c r="I83" s="22">
        <f t="shared" si="22"/>
        <v>503531.42000000045</v>
      </c>
      <c r="J83" s="22">
        <f t="shared" si="22"/>
        <v>503531.42000000045</v>
      </c>
      <c r="K83" s="22">
        <f>SUM(K80:K82)+J83</f>
        <v>503820.80000000045</v>
      </c>
      <c r="L83" s="22">
        <f t="shared" si="22"/>
        <v>504006.06000000046</v>
      </c>
      <c r="M83" s="22">
        <f t="shared" si="22"/>
        <v>504191.94000000047</v>
      </c>
      <c r="N83" s="22">
        <f t="shared" si="22"/>
        <v>504378.27000000048</v>
      </c>
      <c r="O83" s="22">
        <f t="shared" si="22"/>
        <v>504576.07000000047</v>
      </c>
      <c r="P83" s="22">
        <f t="shared" si="22"/>
        <v>504576.07000000047</v>
      </c>
      <c r="Q83" s="22">
        <f t="shared" si="22"/>
        <v>504576.07000000047</v>
      </c>
      <c r="R83" s="22">
        <f t="shared" si="22"/>
        <v>504765.84000000049</v>
      </c>
      <c r="S83" s="22">
        <f t="shared" si="22"/>
        <v>504956.37000000052</v>
      </c>
      <c r="T83" s="22">
        <f t="shared" si="22"/>
        <v>505147.03000000049</v>
      </c>
      <c r="U83" s="22">
        <f t="shared" si="22"/>
        <v>472273.67000000051</v>
      </c>
      <c r="V83" s="22">
        <f t="shared" si="22"/>
        <v>472462.87000000052</v>
      </c>
      <c r="W83" s="22">
        <f t="shared" si="22"/>
        <v>472462.87000000052</v>
      </c>
      <c r="X83" s="22">
        <f t="shared" si="22"/>
        <v>472462.87000000052</v>
      </c>
      <c r="Y83" s="22">
        <f t="shared" si="22"/>
        <v>472805.87000000052</v>
      </c>
      <c r="Z83" s="22">
        <f>SUM(Z80:Z82)+Y83</f>
        <v>472985.67000000051</v>
      </c>
      <c r="AA83" s="22">
        <f t="shared" ref="AA83" si="23">SUM(AA80:AA82)+Z83</f>
        <v>472985.67000000051</v>
      </c>
      <c r="AB83" s="22">
        <f t="shared" ref="AB83" si="24">SUM(AB80:AB82)+AA83</f>
        <v>473174.78000000049</v>
      </c>
      <c r="AC83" s="22">
        <f t="shared" ref="AC83:AD83" si="25">SUM(AC80:AC82)+AB83</f>
        <v>473357.2200000005</v>
      </c>
      <c r="AD83" s="22">
        <f t="shared" si="25"/>
        <v>473357.2200000005</v>
      </c>
      <c r="AE83" s="22">
        <f>SUM(AE80:AE82)+AD83</f>
        <v>473357.2200000005</v>
      </c>
      <c r="AF83" s="22">
        <f>SUM(AF80:AF82)+AE83</f>
        <v>473793.67000000051</v>
      </c>
      <c r="AG83" s="22">
        <f t="shared" si="22"/>
        <v>474047.87000000052</v>
      </c>
      <c r="AH83" s="22">
        <f t="shared" si="22"/>
        <v>474047.87000000052</v>
      </c>
      <c r="AI83" s="22">
        <f>AH83</f>
        <v>474047.87000000052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6">D77+D83</f>
        <v>569616.12870000023</v>
      </c>
      <c r="E85" s="37">
        <f t="shared" si="26"/>
        <v>610748.67870000016</v>
      </c>
      <c r="F85" s="37">
        <f t="shared" si="26"/>
        <v>619442.92870000028</v>
      </c>
      <c r="G85" s="37">
        <f t="shared" si="26"/>
        <v>619442.92870000028</v>
      </c>
      <c r="H85" s="37">
        <f t="shared" si="26"/>
        <v>624836.31870000018</v>
      </c>
      <c r="I85" s="37">
        <f t="shared" si="26"/>
        <v>624836.31870000018</v>
      </c>
      <c r="J85" s="37">
        <f t="shared" si="26"/>
        <v>624836.31870000018</v>
      </c>
      <c r="K85" s="37">
        <f t="shared" si="26"/>
        <v>701462.79870000016</v>
      </c>
      <c r="L85" s="37">
        <f t="shared" si="26"/>
        <v>718592.04870000028</v>
      </c>
      <c r="M85" s="37">
        <f t="shared" si="26"/>
        <v>631711.47870000033</v>
      </c>
      <c r="N85" s="37">
        <f t="shared" si="26"/>
        <v>682544.38870000024</v>
      </c>
      <c r="O85" s="37">
        <f t="shared" si="26"/>
        <v>726421.81870000029</v>
      </c>
      <c r="P85" s="37">
        <f t="shared" si="26"/>
        <v>726421.81870000029</v>
      </c>
      <c r="Q85" s="37">
        <f t="shared" si="26"/>
        <v>726421.81870000029</v>
      </c>
      <c r="R85" s="37">
        <f t="shared" si="26"/>
        <v>621500.09870000021</v>
      </c>
      <c r="S85" s="37">
        <f t="shared" si="26"/>
        <v>717286.90870000026</v>
      </c>
      <c r="T85" s="37">
        <f t="shared" si="26"/>
        <v>671825.35870000022</v>
      </c>
      <c r="U85" s="37">
        <f t="shared" si="26"/>
        <v>694576.16870000027</v>
      </c>
      <c r="V85" s="37">
        <f t="shared" si="26"/>
        <v>494776.79870000028</v>
      </c>
      <c r="W85" s="37">
        <f t="shared" si="26"/>
        <v>494776.79870000028</v>
      </c>
      <c r="X85" s="37">
        <f t="shared" si="26"/>
        <v>494776.79870000028</v>
      </c>
      <c r="Y85" s="37">
        <f t="shared" si="26"/>
        <v>477078.37870000029</v>
      </c>
      <c r="Z85" s="37">
        <f t="shared" si="26"/>
        <v>547891.24870000035</v>
      </c>
      <c r="AA85" s="37">
        <f t="shared" si="26"/>
        <v>547891.24870000035</v>
      </c>
      <c r="AB85" s="37">
        <f t="shared" si="26"/>
        <v>531285.15870000026</v>
      </c>
      <c r="AC85" s="37">
        <f t="shared" si="26"/>
        <v>609987.52870000026</v>
      </c>
      <c r="AD85" s="37">
        <f t="shared" si="26"/>
        <v>609987.52870000026</v>
      </c>
      <c r="AE85" s="37">
        <f t="shared" si="26"/>
        <v>609987.52870000026</v>
      </c>
      <c r="AF85" s="37">
        <f t="shared" si="26"/>
        <v>606752.46870000032</v>
      </c>
      <c r="AG85" s="37">
        <f t="shared" si="26"/>
        <v>592545.03870000027</v>
      </c>
      <c r="AH85" s="37">
        <f t="shared" si="26"/>
        <v>592545.03870000027</v>
      </c>
      <c r="AI85" s="37">
        <f>AI77+AI83</f>
        <v>600495.03870000062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42185</v>
      </c>
    </row>
    <row r="89" spans="2:35" ht="18.75" x14ac:dyDescent="0.25">
      <c r="B89" s="41"/>
      <c r="C89" s="50" t="s">
        <v>46</v>
      </c>
      <c r="D89" s="51">
        <f>AG6</f>
        <v>132958.79869999978</v>
      </c>
    </row>
    <row r="90" spans="2:35" ht="18.75" x14ac:dyDescent="0.25">
      <c r="B90" s="41"/>
      <c r="C90" s="50" t="s">
        <v>40</v>
      </c>
      <c r="D90" s="52">
        <f>AG18</f>
        <v>56580.33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-71041.959999999992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84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118497.16869999978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85"/>
    </row>
    <row r="93" spans="2:35" ht="18.75" x14ac:dyDescent="0.25">
      <c r="B93" s="41"/>
      <c r="C93" s="50" t="s">
        <v>91</v>
      </c>
      <c r="D93" s="51">
        <v>12201.32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3709.66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458136.89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5">
        <f>SUM(D92:D95)</f>
        <v>592545.0386999998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D82:V82 Z82:AF82" name="Intervalo11"/>
    <protectedRange sqref="D76:AF76" name="Intervalo8"/>
    <protectedRange sqref="N21:O21 N20:AF20 M22:O24 L21:L24 K21:K23 I20:L20 D20:D24 F20:F24 H20:H24 I21:J24 G21:G22 P21:Q24 R22:AF24 S21:AF21" name="Intervalo3"/>
    <protectedRange sqref="D10:AF10 D11:AH11 D12:AF13 K16:AF16 E17:M17 O17:AG17 D16:I16 D14:AH15" name="Intervalo2"/>
    <protectedRange sqref="D7:U9 W7:AF9 V7:V8" name="Intervalo1"/>
    <protectedRange sqref="L38 F31 M37:AF39 K37:L37 K39:L39 D37:E39 I38 F37 F39 G37:G39 J37:J39 H37:I37 H39:I39" name="Intervalo4"/>
    <protectedRange sqref="S52:T52 O59 T69 Z52:AA52 X53:AE53 S53:V53 AD46:AE46 AA46 AH55 H60 G71:H71 AE47:AE52 G61:H61 M72:M73 Q46:Q72 U69:U73 Z46:Z49 K47:K48 W54:W59 P70:P72 P46:P68 R69:S72 T71:T72 J49:K49 F54:G60 D49:E52 E48 E55 R46 I46:J47 K46:M46 H54:H58 E53 F48:F51 H48:H51 D46:H46 J48 K50:K58 K60:K69 L66:L68 K70:L73 R51 L48:L63 M47:M70 N60:O73 W66:W73 R54:R58 N46:O58 R48:R49 S46:X51 AB50:AC50 AA49:AC49 AF46:AF47 AF49:AF52 AD69:AF69 D56:E58 AD59:AF59 G49:G53 AD63:AD68 Y66:Y73 AC54:AE58 AF55:AF58 AC60:AC68 AD60:AD61 AA62 Y51:AD51 Y48:Y49 AF70:AF72 E47:G47 D54:E54 I50:J73 F72:F73 H72:H73 G72 W61:W64 S54:T68 U54:U67 R60:R66 X54:X73 Z54:Z73 Y54:Y64 AB46:AC47 AD49:AD50 AE60:AE68 AF60:AF62 D70:D73 AC70:AE73 F62:H70 E60:E73 D60:D68 AF65:AF68 AA54:AB61 V54:V73 AA63:AB73" name="Intervalo5"/>
    <protectedRange sqref="W28:W31 AH34:AH35 D26:E35 L31 F26:F30 F32:F35 G26:J35 K26:L30 N26:S35 T28:V35 AE34:AF35 W34:AC35 T27:U27 T26:W26 M27:M30 K32:M35 X26:AF33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C87:D87"/>
    <mergeCell ref="Z92:AB92"/>
    <mergeCell ref="S92:V92"/>
    <mergeCell ref="L92:P92"/>
    <mergeCell ref="B2:C2"/>
    <mergeCell ref="B4:C5"/>
    <mergeCell ref="B7:B18"/>
    <mergeCell ref="B20:B75"/>
    <mergeCell ref="B78:B84"/>
    <mergeCell ref="S90:T90"/>
    <mergeCell ref="I91:J91"/>
    <mergeCell ref="Q91:R91"/>
    <mergeCell ref="U91:V91"/>
    <mergeCell ref="Y91:AB91"/>
    <mergeCell ref="I92:J92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I96"/>
  <sheetViews>
    <sheetView showGridLines="0" zoomScaleNormal="100" workbookViewId="0" xr3:uid="{9B253EF2-77E0-53E3-AE26-4D66ECD923F3}">
      <pane xSplit="3" ySplit="6" topLeftCell="D5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6" width="13.44921875" style="4" bestFit="1" customWidth="1"/>
    <col min="7" max="7" width="16.0078125" style="4" hidden="1" customWidth="1"/>
    <col min="8" max="8" width="14.52734375" style="4" hidden="1" customWidth="1"/>
    <col min="9" max="10" width="14.52734375" style="4" customWidth="1"/>
    <col min="11" max="11" width="14.52734375" style="4" bestFit="1" customWidth="1"/>
    <col min="12" max="13" width="14.52734375" style="4" customWidth="1"/>
    <col min="14" max="15" width="14.52734375" style="4" hidden="1" customWidth="1"/>
    <col min="16" max="17" width="14.52734375" style="4" customWidth="1"/>
    <col min="18" max="18" width="14.52734375" style="4" bestFit="1" customWidth="1"/>
    <col min="19" max="19" width="14.52734375" style="4" hidden="1" customWidth="1"/>
    <col min="20" max="20" width="14.52734375" style="4" customWidth="1"/>
    <col min="21" max="22" width="14.52734375" style="4" hidden="1" customWidth="1"/>
    <col min="23" max="24" width="14.52734375" style="4" customWidth="1"/>
    <col min="25" max="25" width="14.52734375" style="4" bestFit="1" customWidth="1"/>
    <col min="26" max="26" width="14.52734375" style="4" customWidth="1"/>
    <col min="27" max="27" width="13.44921875" style="4" bestFit="1" customWidth="1"/>
    <col min="28" max="29" width="14.52734375" style="4" hidden="1" customWidth="1"/>
    <col min="30" max="34" width="14.52734375" style="4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103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92" t="s">
        <v>87</v>
      </c>
      <c r="H4" s="92" t="s">
        <v>87</v>
      </c>
      <c r="I4" s="70" t="s">
        <v>97</v>
      </c>
      <c r="J4" s="70" t="s">
        <v>97</v>
      </c>
      <c r="K4" s="70" t="s">
        <v>97</v>
      </c>
      <c r="L4" s="70" t="s">
        <v>97</v>
      </c>
      <c r="M4" s="70" t="s">
        <v>97</v>
      </c>
      <c r="N4" s="92" t="s">
        <v>87</v>
      </c>
      <c r="O4" s="92" t="s">
        <v>87</v>
      </c>
      <c r="P4" s="70" t="s">
        <v>97</v>
      </c>
      <c r="Q4" s="70" t="s">
        <v>97</v>
      </c>
      <c r="R4" s="70" t="s">
        <v>97</v>
      </c>
      <c r="S4" s="70" t="s">
        <v>97</v>
      </c>
      <c r="T4" s="70" t="s">
        <v>97</v>
      </c>
      <c r="U4" s="92" t="s">
        <v>87</v>
      </c>
      <c r="V4" s="92" t="s">
        <v>87</v>
      </c>
      <c r="W4" s="70" t="s">
        <v>97</v>
      </c>
      <c r="X4" s="70" t="s">
        <v>97</v>
      </c>
      <c r="Y4" s="70" t="s">
        <v>97</v>
      </c>
      <c r="Z4" s="70" t="s">
        <v>97</v>
      </c>
      <c r="AA4" s="70" t="s">
        <v>97</v>
      </c>
      <c r="AB4" s="92" t="s">
        <v>87</v>
      </c>
      <c r="AC4" s="92" t="s">
        <v>87</v>
      </c>
      <c r="AD4" s="70" t="s">
        <v>97</v>
      </c>
      <c r="AE4" s="70" t="s">
        <v>97</v>
      </c>
      <c r="AF4" s="70" t="s">
        <v>97</v>
      </c>
      <c r="AG4" s="70" t="s">
        <v>97</v>
      </c>
      <c r="AH4" s="70" t="s">
        <v>97</v>
      </c>
      <c r="AI4" s="57"/>
    </row>
    <row r="5" spans="2:35" s="11" customFormat="1" x14ac:dyDescent="0.2">
      <c r="B5" s="113"/>
      <c r="C5" s="113"/>
      <c r="D5" s="10">
        <v>42186</v>
      </c>
      <c r="E5" s="10">
        <f>D5+1</f>
        <v>42187</v>
      </c>
      <c r="F5" s="10">
        <f t="shared" ref="F5:AH5" si="0">E5+1</f>
        <v>42188</v>
      </c>
      <c r="G5" s="10">
        <f t="shared" si="0"/>
        <v>42189</v>
      </c>
      <c r="H5" s="10">
        <f t="shared" si="0"/>
        <v>42190</v>
      </c>
      <c r="I5" s="10">
        <f t="shared" si="0"/>
        <v>42191</v>
      </c>
      <c r="J5" s="10">
        <f t="shared" si="0"/>
        <v>42192</v>
      </c>
      <c r="K5" s="10">
        <f t="shared" si="0"/>
        <v>42193</v>
      </c>
      <c r="L5" s="10">
        <f t="shared" si="0"/>
        <v>42194</v>
      </c>
      <c r="M5" s="10">
        <f t="shared" si="0"/>
        <v>42195</v>
      </c>
      <c r="N5" s="10">
        <f t="shared" si="0"/>
        <v>42196</v>
      </c>
      <c r="O5" s="10">
        <f t="shared" si="0"/>
        <v>42197</v>
      </c>
      <c r="P5" s="10">
        <f t="shared" si="0"/>
        <v>42198</v>
      </c>
      <c r="Q5" s="10">
        <f t="shared" si="0"/>
        <v>42199</v>
      </c>
      <c r="R5" s="10">
        <f t="shared" si="0"/>
        <v>42200</v>
      </c>
      <c r="S5" s="10">
        <f t="shared" si="0"/>
        <v>42201</v>
      </c>
      <c r="T5" s="10">
        <f t="shared" si="0"/>
        <v>42202</v>
      </c>
      <c r="U5" s="10">
        <f t="shared" si="0"/>
        <v>42203</v>
      </c>
      <c r="V5" s="10">
        <f t="shared" si="0"/>
        <v>42204</v>
      </c>
      <c r="W5" s="10">
        <f t="shared" si="0"/>
        <v>42205</v>
      </c>
      <c r="X5" s="10">
        <f t="shared" si="0"/>
        <v>42206</v>
      </c>
      <c r="Y5" s="10">
        <f t="shared" si="0"/>
        <v>42207</v>
      </c>
      <c r="Z5" s="10">
        <f t="shared" si="0"/>
        <v>42208</v>
      </c>
      <c r="AA5" s="10">
        <f t="shared" si="0"/>
        <v>42209</v>
      </c>
      <c r="AB5" s="10">
        <f t="shared" si="0"/>
        <v>42210</v>
      </c>
      <c r="AC5" s="10">
        <f t="shared" si="0"/>
        <v>42211</v>
      </c>
      <c r="AD5" s="10">
        <f t="shared" si="0"/>
        <v>42212</v>
      </c>
      <c r="AE5" s="10">
        <f t="shared" si="0"/>
        <v>42213</v>
      </c>
      <c r="AF5" s="10">
        <f t="shared" si="0"/>
        <v>42214</v>
      </c>
      <c r="AG5" s="10">
        <f t="shared" si="0"/>
        <v>42215</v>
      </c>
      <c r="AH5" s="10">
        <f t="shared" si="0"/>
        <v>42216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Junho!AG77</f>
        <v>118497.16869999978</v>
      </c>
      <c r="E6" s="13">
        <f t="shared" ref="E6:AH6" si="1">D77</f>
        <v>154858.26869999978</v>
      </c>
      <c r="F6" s="13">
        <f t="shared" si="1"/>
        <v>163119.86869999979</v>
      </c>
      <c r="G6" s="13">
        <f t="shared" si="1"/>
        <v>171165.13869999978</v>
      </c>
      <c r="H6" s="13">
        <f t="shared" si="1"/>
        <v>171165.13869999978</v>
      </c>
      <c r="I6" s="13">
        <f t="shared" si="1"/>
        <v>171165.13869999978</v>
      </c>
      <c r="J6" s="13">
        <f t="shared" si="1"/>
        <v>200277.02869999979</v>
      </c>
      <c r="K6" s="13">
        <f t="shared" si="1"/>
        <v>237625.76869999978</v>
      </c>
      <c r="L6" s="13">
        <f t="shared" si="1"/>
        <v>310121.75869999977</v>
      </c>
      <c r="M6" s="13">
        <f t="shared" si="1"/>
        <v>344395.98869999975</v>
      </c>
      <c r="N6" s="13">
        <f t="shared" si="1"/>
        <v>322987.58869999973</v>
      </c>
      <c r="O6" s="13">
        <f t="shared" si="1"/>
        <v>322987.58869999973</v>
      </c>
      <c r="P6" s="13">
        <f t="shared" si="1"/>
        <v>322987.58869999973</v>
      </c>
      <c r="Q6" s="13">
        <f t="shared" si="1"/>
        <v>377247.11869999976</v>
      </c>
      <c r="R6" s="13">
        <f t="shared" si="1"/>
        <v>439404.04869999975</v>
      </c>
      <c r="S6" s="13">
        <f t="shared" si="1"/>
        <v>361653.73869999975</v>
      </c>
      <c r="T6" s="13">
        <f t="shared" si="1"/>
        <v>361653.73869999975</v>
      </c>
      <c r="U6" s="13">
        <f t="shared" si="1"/>
        <v>411793.04869999975</v>
      </c>
      <c r="V6" s="13">
        <f t="shared" si="1"/>
        <v>411793.04869999975</v>
      </c>
      <c r="W6" s="13">
        <f t="shared" si="1"/>
        <v>411793.04869999975</v>
      </c>
      <c r="X6" s="13">
        <f t="shared" si="1"/>
        <v>118878.53869999974</v>
      </c>
      <c r="Y6" s="13">
        <f t="shared" si="1"/>
        <v>173772.04869999975</v>
      </c>
      <c r="Z6" s="13">
        <f t="shared" si="1"/>
        <v>207847.50869999974</v>
      </c>
      <c r="AA6" s="13">
        <f t="shared" si="1"/>
        <v>170125.90869999974</v>
      </c>
      <c r="AB6" s="13">
        <f t="shared" si="1"/>
        <v>192449.80869999976</v>
      </c>
      <c r="AC6" s="13">
        <f t="shared" si="1"/>
        <v>192449.80869999976</v>
      </c>
      <c r="AD6" s="13">
        <f t="shared" si="1"/>
        <v>192449.80869999976</v>
      </c>
      <c r="AE6" s="13">
        <f t="shared" si="1"/>
        <v>266429.03869999974</v>
      </c>
      <c r="AF6" s="13">
        <f t="shared" si="1"/>
        <v>304677.97869999975</v>
      </c>
      <c r="AG6" s="13">
        <f t="shared" si="1"/>
        <v>54507.158699999796</v>
      </c>
      <c r="AH6" s="13">
        <f t="shared" si="1"/>
        <v>86930.6786999998</v>
      </c>
      <c r="AI6" s="13">
        <f>D6</f>
        <v>118497.16869999978</v>
      </c>
    </row>
    <row r="7" spans="2:35" ht="16.5" customHeight="1" x14ac:dyDescent="0.2">
      <c r="B7" s="114" t="s">
        <v>2</v>
      </c>
      <c r="C7" s="14" t="s">
        <v>50</v>
      </c>
      <c r="D7" s="15">
        <f>404.7+441</f>
        <v>845.7</v>
      </c>
      <c r="E7" s="15"/>
      <c r="F7" s="15">
        <v>294</v>
      </c>
      <c r="G7" s="15"/>
      <c r="H7" s="15"/>
      <c r="I7" s="15">
        <f>271.76+1980</f>
        <v>2251.7600000000002</v>
      </c>
      <c r="J7" s="15">
        <v>172</v>
      </c>
      <c r="K7" s="15">
        <f>299.25+1120+460</f>
        <v>1879.25</v>
      </c>
      <c r="L7" s="15">
        <f>58.65+850.5</f>
        <v>909.15</v>
      </c>
      <c r="M7" s="95">
        <f>56+263</f>
        <v>319</v>
      </c>
      <c r="N7" s="15"/>
      <c r="O7" s="15"/>
      <c r="P7" s="15">
        <f>1006.95</f>
        <v>1006.95</v>
      </c>
      <c r="Q7" s="15">
        <f>266+588</f>
        <v>854</v>
      </c>
      <c r="R7" s="15">
        <f>588+2500+315</f>
        <v>3403</v>
      </c>
      <c r="S7" s="15"/>
      <c r="T7" s="15">
        <f>12848+507</f>
        <v>13355</v>
      </c>
      <c r="U7" s="15"/>
      <c r="V7" s="15"/>
      <c r="W7" s="15">
        <f>4215.98+220.5</f>
        <v>4436.4799999999996</v>
      </c>
      <c r="X7" s="15"/>
      <c r="Y7" s="15"/>
      <c r="Z7" s="15"/>
      <c r="AA7" s="15">
        <f>873.6+35+882</f>
        <v>1790.6</v>
      </c>
      <c r="AB7" s="15"/>
      <c r="AC7" s="15"/>
      <c r="AD7" s="15">
        <f>250</f>
        <v>250</v>
      </c>
      <c r="AE7" s="15">
        <f>588</f>
        <v>588</v>
      </c>
      <c r="AF7" s="15">
        <f>23.1</f>
        <v>23.1</v>
      </c>
      <c r="AG7" s="15">
        <f>1500+346+487.3</f>
        <v>2333.3000000000002</v>
      </c>
      <c r="AH7" s="15">
        <f>262.5+960+262.5</f>
        <v>1485</v>
      </c>
      <c r="AI7" s="16">
        <f>SUM(D7:AH7)</f>
        <v>36196.289999999994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>
        <f>152.95+249.96+403+460.85+634.93+1063.3+2219.05</f>
        <v>5184.04</v>
      </c>
      <c r="N8" s="15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>
        <f>102.3+133.85+137.36+203.61+244.13+383.15+418.2+432.2+785.4+985.7+993.74+1066.17+1126+1144.85+2314.5</f>
        <v>10471.16</v>
      </c>
      <c r="AE8" s="18"/>
      <c r="AF8" s="18"/>
      <c r="AG8" s="18"/>
      <c r="AH8" s="18">
        <f>495.39+649.39+743+873.69+966.23+1065.8+2091.85+2763.1</f>
        <v>9648.4500000000007</v>
      </c>
      <c r="AI8" s="16">
        <f t="shared" ref="AI8:AI17" si="2">SUM(D8:AH8)</f>
        <v>25303.65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23428.95+309.75+288.75</f>
        <v>24027.45</v>
      </c>
      <c r="E11" s="18">
        <f>3881.85+1470+299.25+1164.98+668.34+2199.12+6762</f>
        <v>16445.54</v>
      </c>
      <c r="F11" s="18">
        <f>13573.55+267.75+798+1307.54</f>
        <v>15946.84</v>
      </c>
      <c r="G11" s="18"/>
      <c r="H11" s="18"/>
      <c r="I11" s="18">
        <f>294+273+927.08+294+4319.38+306.95</f>
        <v>6414.41</v>
      </c>
      <c r="J11" s="18">
        <f>18381.93+1681.59+220.5</f>
        <v>20284.02</v>
      </c>
      <c r="K11" s="18">
        <f>3411.31+7818.85+588+1249.6+799.7+3929.87+3105.77+1030+1424+11396.99+900.88+220.5+676.2+4678.68+2090</f>
        <v>43320.35</v>
      </c>
      <c r="L11" s="18">
        <v>16338.98</v>
      </c>
      <c r="M11" s="18">
        <f>2118+4267.2+1764+876.75+2380.12+4899.77+2791.75+267.75+162.52</f>
        <v>19527.86</v>
      </c>
      <c r="N11" s="18"/>
      <c r="O11" s="18"/>
      <c r="P11" s="18">
        <f>36315.15+294+522.5+532+743.6+1431.72</f>
        <v>39838.97</v>
      </c>
      <c r="Q11" s="18">
        <f>39652.86+120+985.6+307.65+532+1239+2461.8</f>
        <v>45298.91</v>
      </c>
      <c r="R11" s="18">
        <f>15954.02+1321.5+531.05</f>
        <v>17806.57</v>
      </c>
      <c r="S11" s="18"/>
      <c r="T11" s="18">
        <f>2728.32+3140.7+882+3897.6+2662.8+1500+9032.24+1533.95+4359.98+713+288.75</f>
        <v>30739.340000000004</v>
      </c>
      <c r="U11" s="18"/>
      <c r="V11" s="18"/>
      <c r="W11" s="18">
        <f>2491.5</f>
        <v>2491.5</v>
      </c>
      <c r="X11" s="18">
        <f>44925.98+294+294+474.04</f>
        <v>45988.020000000004</v>
      </c>
      <c r="Y11" s="18">
        <f>2951.98+7879.2+234.68</f>
        <v>11065.86</v>
      </c>
      <c r="Z11" s="18">
        <f>2156.4+299.25+474.9+1606.5+525+546+1575+220.5+1420.02</f>
        <v>8823.57</v>
      </c>
      <c r="AA11" s="18">
        <f>6910.6+3483.9+1220.1</f>
        <v>11614.6</v>
      </c>
      <c r="AB11" s="18"/>
      <c r="AC11" s="18"/>
      <c r="AD11" s="18">
        <f>7195.6+1293.5+588+294+535.5+7029.48+646.8</f>
        <v>17582.88</v>
      </c>
      <c r="AE11" s="18">
        <f>20104.35+882+1640.15+263+2047.5+769.5+940.5</f>
        <v>26647</v>
      </c>
      <c r="AF11" s="18">
        <f>3911.95+532+1327.2+3675+2000+1254+211.68+646.8+211.68+862.4+679.14</f>
        <v>15311.849999999999</v>
      </c>
      <c r="AG11" s="18">
        <f>4887+194.25+3034.5+661.5+1675.82</f>
        <v>10453.07</v>
      </c>
      <c r="AH11" s="18">
        <f>18646.25+294+588+3209.85+2583+1764+819+770.7+1050+1478.88</f>
        <v>31203.68</v>
      </c>
      <c r="AI11" s="16">
        <f t="shared" si="2"/>
        <v>477171.27</v>
      </c>
    </row>
    <row r="12" spans="2:35" ht="16.5" customHeight="1" x14ac:dyDescent="0.2">
      <c r="B12" s="115"/>
      <c r="C12" s="17" t="s">
        <v>90</v>
      </c>
      <c r="D12" s="18">
        <v>3.03</v>
      </c>
      <c r="E12" s="18">
        <v>3.86</v>
      </c>
      <c r="F12" s="18">
        <v>3.38</v>
      </c>
      <c r="G12" s="18"/>
      <c r="H12" s="18"/>
      <c r="I12" s="18">
        <v>3.9</v>
      </c>
      <c r="J12" s="18">
        <v>4.66</v>
      </c>
      <c r="K12" s="18">
        <v>5.97</v>
      </c>
      <c r="L12" s="18"/>
      <c r="M12" s="18">
        <v>13.11</v>
      </c>
      <c r="N12" s="18"/>
      <c r="O12" s="18"/>
      <c r="P12" s="18">
        <v>7.36</v>
      </c>
      <c r="Q12" s="18">
        <v>8.66</v>
      </c>
      <c r="R12" s="18">
        <v>14.19</v>
      </c>
      <c r="S12" s="18"/>
      <c r="T12" s="18">
        <v>7.94</v>
      </c>
      <c r="U12" s="18"/>
      <c r="V12" s="18"/>
      <c r="W12" s="18">
        <v>2.34</v>
      </c>
      <c r="X12" s="18">
        <v>3.4</v>
      </c>
      <c r="Y12" s="18">
        <v>4.0999999999999996</v>
      </c>
      <c r="Z12" s="18">
        <v>3.35</v>
      </c>
      <c r="AA12" s="18">
        <v>3.67</v>
      </c>
      <c r="AB12" s="18"/>
      <c r="AC12" s="18"/>
      <c r="AD12" s="18">
        <v>5.19</v>
      </c>
      <c r="AE12" s="18">
        <v>5.85</v>
      </c>
      <c r="AF12" s="18">
        <v>1.08</v>
      </c>
      <c r="AG12" s="18">
        <v>1.65</v>
      </c>
      <c r="AH12" s="18">
        <v>0.21</v>
      </c>
      <c r="AI12" s="16">
        <f t="shared" si="2"/>
        <v>106.89999999999998</v>
      </c>
    </row>
    <row r="13" spans="2:35" ht="16.5" customHeight="1" x14ac:dyDescent="0.2">
      <c r="B13" s="115"/>
      <c r="C13" s="17" t="s">
        <v>49</v>
      </c>
      <c r="D13" s="18">
        <v>883.74</v>
      </c>
      <c r="E13" s="18">
        <v>2082.69</v>
      </c>
      <c r="F13" s="18">
        <v>277.24</v>
      </c>
      <c r="G13" s="18"/>
      <c r="H13" s="18"/>
      <c r="I13" s="18">
        <v>5372.65</v>
      </c>
      <c r="J13" s="18">
        <v>1724.6</v>
      </c>
      <c r="K13" s="18">
        <v>3367</v>
      </c>
      <c r="L13" s="18"/>
      <c r="M13" s="18">
        <v>4703.83</v>
      </c>
      <c r="N13" s="18"/>
      <c r="O13" s="18"/>
      <c r="P13" s="18">
        <v>3558.87</v>
      </c>
      <c r="Q13" s="18">
        <v>6490.5</v>
      </c>
      <c r="R13" s="18">
        <v>2368.38</v>
      </c>
      <c r="S13" s="18"/>
      <c r="T13" s="18">
        <f>1870.08+2333.18</f>
        <v>4203.26</v>
      </c>
      <c r="U13" s="18"/>
      <c r="V13" s="18"/>
      <c r="W13" s="18">
        <v>5033.72</v>
      </c>
      <c r="X13" s="18">
        <v>1704.02</v>
      </c>
      <c r="Y13" s="18">
        <v>5152.6400000000003</v>
      </c>
      <c r="Z13" s="18">
        <v>1331.34</v>
      </c>
      <c r="AA13" s="18">
        <v>866.21</v>
      </c>
      <c r="AB13" s="18"/>
      <c r="AC13" s="18"/>
      <c r="AD13" s="18">
        <v>4173.32</v>
      </c>
      <c r="AE13" s="18">
        <v>1670.92</v>
      </c>
      <c r="AF13" s="18">
        <v>7763.46</v>
      </c>
      <c r="AG13" s="18">
        <v>1689.98</v>
      </c>
      <c r="AH13" s="18">
        <f>343.99+2747.59</f>
        <v>3091.58</v>
      </c>
      <c r="AI13" s="16">
        <f t="shared" si="2"/>
        <v>67509.95</v>
      </c>
    </row>
    <row r="14" spans="2:35" ht="16.5" customHeight="1" x14ac:dyDescent="0.2">
      <c r="B14" s="115"/>
      <c r="C14" s="17" t="s">
        <v>54</v>
      </c>
      <c r="D14" s="18">
        <v>852.17</v>
      </c>
      <c r="E14" s="18">
        <v>24.73</v>
      </c>
      <c r="F14" s="18">
        <v>2543.65</v>
      </c>
      <c r="G14" s="18"/>
      <c r="H14" s="18"/>
      <c r="I14" s="18">
        <v>4198.08</v>
      </c>
      <c r="J14" s="18">
        <v>2991.24</v>
      </c>
      <c r="K14" s="18">
        <v>1683.84</v>
      </c>
      <c r="L14" s="18">
        <v>205.37</v>
      </c>
      <c r="M14" s="18">
        <v>734.42</v>
      </c>
      <c r="N14" s="18"/>
      <c r="O14" s="18"/>
      <c r="P14" s="18">
        <v>2480.23</v>
      </c>
      <c r="Q14" s="18">
        <v>1931.54</v>
      </c>
      <c r="R14" s="18">
        <v>872.48</v>
      </c>
      <c r="S14" s="18"/>
      <c r="T14" s="18">
        <f>769.55+844.91</f>
        <v>1614.46</v>
      </c>
      <c r="U14" s="18"/>
      <c r="V14" s="18"/>
      <c r="W14" s="18">
        <v>7106.81</v>
      </c>
      <c r="X14" s="18">
        <v>1817.23</v>
      </c>
      <c r="Y14" s="18">
        <v>316.33</v>
      </c>
      <c r="Z14" s="18">
        <v>1112.44</v>
      </c>
      <c r="AA14" s="18">
        <v>525.73</v>
      </c>
      <c r="AB14" s="18"/>
      <c r="AC14" s="18"/>
      <c r="AD14" s="18">
        <v>4330.49</v>
      </c>
      <c r="AE14" s="18">
        <v>1394.58</v>
      </c>
      <c r="AF14" s="18">
        <v>428.35</v>
      </c>
      <c r="AG14" s="18">
        <v>1558.34</v>
      </c>
      <c r="AH14" s="18">
        <f>170.82</f>
        <v>170.82</v>
      </c>
      <c r="AI14" s="16">
        <f t="shared" si="2"/>
        <v>38893.329999999994</v>
      </c>
    </row>
    <row r="15" spans="2:35" ht="16.5" customHeight="1" x14ac:dyDescent="0.2">
      <c r="B15" s="115"/>
      <c r="C15" s="17" t="s">
        <v>55</v>
      </c>
      <c r="D15" s="18">
        <v>370.11</v>
      </c>
      <c r="E15" s="18">
        <v>104.1</v>
      </c>
      <c r="F15" s="18">
        <v>195.06</v>
      </c>
      <c r="G15" s="18"/>
      <c r="H15" s="18"/>
      <c r="I15" s="18">
        <f>296.71+2578.09+714.71</f>
        <v>3589.51</v>
      </c>
      <c r="J15" s="18">
        <f>458.02+245.8</f>
        <v>703.81999999999994</v>
      </c>
      <c r="K15" s="18">
        <v>3466.1</v>
      </c>
      <c r="L15" s="18">
        <v>1466.41</v>
      </c>
      <c r="M15" s="18">
        <v>367.46</v>
      </c>
      <c r="N15" s="18"/>
      <c r="O15" s="18"/>
      <c r="P15" s="18">
        <f>4576.37+183.78</f>
        <v>4760.1499999999996</v>
      </c>
      <c r="Q15" s="18">
        <v>448.9</v>
      </c>
      <c r="R15" s="18">
        <v>687.77</v>
      </c>
      <c r="S15" s="18"/>
      <c r="T15" s="18">
        <f>58.77+701.1</f>
        <v>759.87</v>
      </c>
      <c r="U15" s="18"/>
      <c r="V15" s="18"/>
      <c r="W15" s="18">
        <f>1080+172.89</f>
        <v>1252.8899999999999</v>
      </c>
      <c r="X15" s="18">
        <v>633.95000000000005</v>
      </c>
      <c r="Y15" s="18">
        <v>147.19</v>
      </c>
      <c r="Z15" s="18">
        <v>292.01</v>
      </c>
      <c r="AA15" s="18">
        <f>1447.47+13.74</f>
        <v>1461.21</v>
      </c>
      <c r="AB15" s="18"/>
      <c r="AC15" s="18"/>
      <c r="AD15" s="18">
        <f>4601.23+217.34</f>
        <v>4818.57</v>
      </c>
      <c r="AE15" s="18">
        <f>1208.64+400.58</f>
        <v>1609.22</v>
      </c>
      <c r="AF15" s="18">
        <v>1135.24</v>
      </c>
      <c r="AG15" s="18">
        <v>285.14</v>
      </c>
      <c r="AH15" s="18">
        <f>908.6+430.67</f>
        <v>1339.27</v>
      </c>
      <c r="AI15" s="16">
        <f t="shared" si="2"/>
        <v>29893.949999999997</v>
      </c>
    </row>
    <row r="16" spans="2:35" ht="16.5" customHeight="1" x14ac:dyDescent="0.2">
      <c r="B16" s="115"/>
      <c r="C16" s="17" t="s">
        <v>56</v>
      </c>
      <c r="D16" s="18">
        <v>14584.89</v>
      </c>
      <c r="E16" s="18">
        <v>5592.81</v>
      </c>
      <c r="F16" s="18">
        <v>16056.89</v>
      </c>
      <c r="G16" s="18"/>
      <c r="H16" s="18"/>
      <c r="I16" s="18">
        <v>42035.83</v>
      </c>
      <c r="J16" s="18">
        <v>10157.99</v>
      </c>
      <c r="K16" s="18">
        <v>16108.86</v>
      </c>
      <c r="L16" s="18">
        <v>8281.59</v>
      </c>
      <c r="M16" s="18">
        <v>11506.61</v>
      </c>
      <c r="N16" s="18"/>
      <c r="O16" s="18"/>
      <c r="P16" s="18">
        <v>32562.39</v>
      </c>
      <c r="Q16" s="18">
        <f>3671</f>
        <v>3671</v>
      </c>
      <c r="R16" s="18">
        <v>12248.18</v>
      </c>
      <c r="S16" s="18"/>
      <c r="T16" s="18">
        <f>9284.31+9861.15</f>
        <v>19145.46</v>
      </c>
      <c r="U16" s="18"/>
      <c r="V16" s="18"/>
      <c r="W16" s="18">
        <v>20515.64</v>
      </c>
      <c r="X16" s="18">
        <v>3769.6</v>
      </c>
      <c r="Y16" s="18">
        <v>15580.14</v>
      </c>
      <c r="Z16" s="18">
        <v>5189.79</v>
      </c>
      <c r="AA16" s="18">
        <v>3072.15</v>
      </c>
      <c r="AB16" s="18"/>
      <c r="AC16" s="18"/>
      <c r="AD16" s="18">
        <v>30734.53</v>
      </c>
      <c r="AE16" s="18">
        <v>5430.75</v>
      </c>
      <c r="AF16" s="18">
        <v>14061.16</v>
      </c>
      <c r="AG16" s="18">
        <v>11540.52</v>
      </c>
      <c r="AH16" s="18">
        <v>11163.04</v>
      </c>
      <c r="AI16" s="16">
        <f t="shared" si="2"/>
        <v>313009.81999999995</v>
      </c>
    </row>
    <row r="17" spans="2:35" ht="16.5" customHeight="1" x14ac:dyDescent="0.2">
      <c r="B17" s="115"/>
      <c r="C17" s="17" t="s">
        <v>48</v>
      </c>
      <c r="D17" s="18">
        <v>3781.44</v>
      </c>
      <c r="E17" s="18">
        <v>3415.27</v>
      </c>
      <c r="F17" s="18">
        <f>266.84+1281.3</f>
        <v>1548.1399999999999</v>
      </c>
      <c r="G17" s="18"/>
      <c r="H17" s="18"/>
      <c r="I17" s="18">
        <v>17949.759999999998</v>
      </c>
      <c r="J17" s="18">
        <v>1434.19</v>
      </c>
      <c r="K17" s="18">
        <v>4005.4</v>
      </c>
      <c r="L17" s="18">
        <v>7122.8</v>
      </c>
      <c r="M17" s="18">
        <v>2047.23</v>
      </c>
      <c r="N17" s="18"/>
      <c r="O17" s="18"/>
      <c r="P17" s="18">
        <f>11902.91+119.61</f>
        <v>12022.52</v>
      </c>
      <c r="Q17" s="18">
        <v>3629.22</v>
      </c>
      <c r="R17" s="18">
        <v>2563.1</v>
      </c>
      <c r="S17" s="18"/>
      <c r="T17" s="18">
        <f>2488.13+3519.94</f>
        <v>6008.07</v>
      </c>
      <c r="U17" s="18"/>
      <c r="V17" s="18"/>
      <c r="W17" s="18">
        <f>11651+457.56</f>
        <v>12108.56</v>
      </c>
      <c r="X17" s="18">
        <v>1144.06</v>
      </c>
      <c r="Y17" s="18">
        <v>1820.24</v>
      </c>
      <c r="Z17" s="18">
        <v>1722.6</v>
      </c>
      <c r="AA17" s="18">
        <v>3039.41</v>
      </c>
      <c r="AB17" s="18"/>
      <c r="AC17" s="18"/>
      <c r="AD17" s="18">
        <v>20377.009999999998</v>
      </c>
      <c r="AE17" s="18">
        <v>1031.1400000000001</v>
      </c>
      <c r="AF17" s="18">
        <v>844.84</v>
      </c>
      <c r="AG17" s="18">
        <v>4606.07</v>
      </c>
      <c r="AH17" s="18">
        <f>3444.97</f>
        <v>3444.97</v>
      </c>
      <c r="AI17" s="16">
        <f t="shared" si="2"/>
        <v>115666.04000000001</v>
      </c>
    </row>
    <row r="18" spans="2:35" ht="16.5" customHeight="1" x14ac:dyDescent="0.2">
      <c r="B18" s="115"/>
      <c r="C18" s="21" t="s">
        <v>31</v>
      </c>
      <c r="D18" s="22">
        <f t="shared" ref="D18:AG18" si="3">SUM(D7:D17)</f>
        <v>45348.53</v>
      </c>
      <c r="E18" s="22">
        <f t="shared" si="3"/>
        <v>27669</v>
      </c>
      <c r="F18" s="22">
        <f t="shared" si="3"/>
        <v>36865.199999999997</v>
      </c>
      <c r="G18" s="22">
        <f t="shared" si="3"/>
        <v>0</v>
      </c>
      <c r="H18" s="22">
        <f t="shared" si="3"/>
        <v>0</v>
      </c>
      <c r="I18" s="22">
        <f t="shared" si="3"/>
        <v>81815.899999999994</v>
      </c>
      <c r="J18" s="22">
        <f t="shared" si="3"/>
        <v>37472.519999999997</v>
      </c>
      <c r="K18" s="22">
        <f t="shared" si="3"/>
        <v>73836.76999999999</v>
      </c>
      <c r="L18" s="22">
        <f t="shared" si="3"/>
        <v>34324.300000000003</v>
      </c>
      <c r="M18" s="22">
        <f t="shared" si="3"/>
        <v>44403.560000000005</v>
      </c>
      <c r="N18" s="22">
        <f t="shared" si="3"/>
        <v>0</v>
      </c>
      <c r="O18" s="22">
        <f t="shared" si="3"/>
        <v>0</v>
      </c>
      <c r="P18" s="22">
        <f t="shared" si="3"/>
        <v>96237.440000000017</v>
      </c>
      <c r="Q18" s="22">
        <f t="shared" si="3"/>
        <v>62332.73000000001</v>
      </c>
      <c r="R18" s="22">
        <f t="shared" si="3"/>
        <v>39963.67</v>
      </c>
      <c r="S18" s="22">
        <f t="shared" si="3"/>
        <v>0</v>
      </c>
      <c r="T18" s="22">
        <f t="shared" si="3"/>
        <v>75833.400000000023</v>
      </c>
      <c r="U18" s="22">
        <f t="shared" si="3"/>
        <v>0</v>
      </c>
      <c r="V18" s="22">
        <f t="shared" si="3"/>
        <v>0</v>
      </c>
      <c r="W18" s="22">
        <f t="shared" si="3"/>
        <v>52947.94</v>
      </c>
      <c r="X18" s="22">
        <f t="shared" si="3"/>
        <v>55060.28</v>
      </c>
      <c r="Y18" s="22">
        <f t="shared" si="3"/>
        <v>34086.5</v>
      </c>
      <c r="Z18" s="22">
        <f t="shared" si="3"/>
        <v>18475.099999999999</v>
      </c>
      <c r="AA18" s="22">
        <f t="shared" si="3"/>
        <v>22373.58</v>
      </c>
      <c r="AB18" s="22">
        <f t="shared" si="3"/>
        <v>0</v>
      </c>
      <c r="AC18" s="22">
        <f t="shared" si="3"/>
        <v>0</v>
      </c>
      <c r="AD18" s="22">
        <f t="shared" si="3"/>
        <v>92743.15</v>
      </c>
      <c r="AE18" s="22">
        <f t="shared" si="3"/>
        <v>38377.46</v>
      </c>
      <c r="AF18" s="22">
        <f t="shared" si="3"/>
        <v>39569.079999999994</v>
      </c>
      <c r="AG18" s="22">
        <f t="shared" si="3"/>
        <v>32468.07</v>
      </c>
      <c r="AH18" s="22">
        <f t="shared" ref="AH18" si="4">SUM(AH7:AH17)</f>
        <v>61547.020000000004</v>
      </c>
      <c r="AI18" s="23">
        <f>SUM(D18:AH18)</f>
        <v>1103751.1999999997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>
        <f>4750+42000</f>
        <v>46750</v>
      </c>
      <c r="X19" s="18"/>
      <c r="Y19" s="18"/>
      <c r="Z19" s="18">
        <v>20000</v>
      </c>
      <c r="AA19" s="18"/>
      <c r="AB19" s="18"/>
      <c r="AC19" s="18"/>
      <c r="AD19" s="18">
        <v>16500</v>
      </c>
      <c r="AF19" s="18">
        <v>25500</v>
      </c>
      <c r="AH19" s="18">
        <v>13100</v>
      </c>
      <c r="AI19" s="19">
        <f>SUM(D19:AH19)</f>
        <v>121850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5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(35042.5+1435.36+79.2)-(830.5+130+237.5)</f>
        <v>35359.06</v>
      </c>
      <c r="S21" s="26"/>
      <c r="T21" s="26"/>
      <c r="U21" s="26"/>
      <c r="V21" s="26"/>
      <c r="W21" s="26">
        <v>47812.29</v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f>(60901.96+39254)-391.8</f>
        <v>99764.159999999989</v>
      </c>
      <c r="AI21" s="19">
        <f t="shared" si="5"/>
        <v>182935.51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5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5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5"/>
        <v>0</v>
      </c>
    </row>
    <row r="25" spans="2:35" ht="16.5" customHeight="1" x14ac:dyDescent="0.2">
      <c r="B25" s="117"/>
      <c r="C25" s="28" t="s">
        <v>62</v>
      </c>
      <c r="D25" s="29">
        <f t="shared" ref="D25:AH25" si="6">-SUM(D19:D24)</f>
        <v>0</v>
      </c>
      <c r="E25" s="29">
        <f t="shared" si="6"/>
        <v>0</v>
      </c>
      <c r="F25" s="29">
        <f t="shared" si="6"/>
        <v>0</v>
      </c>
      <c r="G25" s="29">
        <f t="shared" si="6"/>
        <v>0</v>
      </c>
      <c r="H25" s="29">
        <f t="shared" si="6"/>
        <v>0</v>
      </c>
      <c r="I25" s="29">
        <f t="shared" si="6"/>
        <v>0</v>
      </c>
      <c r="J25" s="29">
        <f t="shared" si="6"/>
        <v>0</v>
      </c>
      <c r="K25" s="29">
        <f t="shared" si="6"/>
        <v>0</v>
      </c>
      <c r="L25" s="29">
        <f t="shared" si="6"/>
        <v>0</v>
      </c>
      <c r="M25" s="29">
        <f t="shared" si="6"/>
        <v>0</v>
      </c>
      <c r="N25" s="29">
        <f t="shared" si="6"/>
        <v>0</v>
      </c>
      <c r="O25" s="29">
        <f t="shared" si="6"/>
        <v>0</v>
      </c>
      <c r="P25" s="29">
        <f t="shared" si="6"/>
        <v>0</v>
      </c>
      <c r="Q25" s="29">
        <f t="shared" si="6"/>
        <v>0</v>
      </c>
      <c r="R25" s="29">
        <f>-SUM(R19:R24)</f>
        <v>-35359.06</v>
      </c>
      <c r="S25" s="29">
        <f t="shared" si="6"/>
        <v>0</v>
      </c>
      <c r="T25" s="29">
        <f>-SUM(T19:T24)</f>
        <v>0</v>
      </c>
      <c r="U25" s="29">
        <f t="shared" si="6"/>
        <v>0</v>
      </c>
      <c r="V25" s="29">
        <f t="shared" si="6"/>
        <v>0</v>
      </c>
      <c r="W25" s="29">
        <f t="shared" si="6"/>
        <v>-94562.290000000008</v>
      </c>
      <c r="X25" s="29">
        <f t="shared" si="6"/>
        <v>0</v>
      </c>
      <c r="Y25" s="29">
        <f t="shared" si="6"/>
        <v>0</v>
      </c>
      <c r="Z25" s="29">
        <f>-SUM(Z19:Z24)</f>
        <v>-20000</v>
      </c>
      <c r="AA25" s="29">
        <f t="shared" si="6"/>
        <v>0</v>
      </c>
      <c r="AB25" s="29">
        <f t="shared" si="6"/>
        <v>0</v>
      </c>
      <c r="AC25" s="29">
        <f t="shared" si="6"/>
        <v>0</v>
      </c>
      <c r="AD25" s="29">
        <f>-SUM(AD19:AD24)</f>
        <v>-16500</v>
      </c>
      <c r="AE25" s="29">
        <f t="shared" si="6"/>
        <v>0</v>
      </c>
      <c r="AF25" s="29">
        <f>-SUM(AF19:AF24)</f>
        <v>-25500</v>
      </c>
      <c r="AG25" s="29">
        <f t="shared" si="6"/>
        <v>0</v>
      </c>
      <c r="AH25" s="29">
        <f t="shared" si="6"/>
        <v>-112864.15999999999</v>
      </c>
      <c r="AI25" s="29">
        <f>-SUM(AI19:AI24)</f>
        <v>-304785.51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SUM(D26:AH26)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25.8+78.8+56.25+221.05</f>
        <v>381.9</v>
      </c>
      <c r="U27" s="26"/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7">SUM(D27:AH27)</f>
        <v>381.9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7"/>
        <v>0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>
        <v>37530.839999999997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7"/>
        <v>37530.839999999997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7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f>13445.45+10481.58</f>
        <v>23927.03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7"/>
        <v>23927.03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>
        <v>5717.52</v>
      </c>
      <c r="AA32" s="26"/>
      <c r="AB32" s="26"/>
      <c r="AC32" s="26"/>
      <c r="AD32" s="26"/>
      <c r="AE32" s="26"/>
      <c r="AF32" s="26"/>
      <c r="AG32" s="26"/>
      <c r="AH32" s="26"/>
      <c r="AI32" s="19">
        <f t="shared" si="7"/>
        <v>5717.52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>
        <v>26424.54</v>
      </c>
      <c r="AA33" s="26"/>
      <c r="AB33" s="26"/>
      <c r="AC33" s="26"/>
      <c r="AD33" s="26"/>
      <c r="AE33" s="26"/>
      <c r="AF33" s="26"/>
      <c r="AG33" s="26"/>
      <c r="AH33" s="26"/>
      <c r="AI33" s="19">
        <f t="shared" si="7"/>
        <v>26424.54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>
        <v>171979.91</v>
      </c>
      <c r="AG34" s="26"/>
      <c r="AH34" s="26"/>
      <c r="AI34" s="19">
        <f t="shared" si="7"/>
        <v>171979.91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>
        <v>76650.27</v>
      </c>
      <c r="AG35" s="26"/>
      <c r="AH35" s="26"/>
      <c r="AI35" s="19">
        <f t="shared" si="7"/>
        <v>76650.27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8">-SUM(E26:E35)</f>
        <v>0</v>
      </c>
      <c r="F36" s="29">
        <f t="shared" si="8"/>
        <v>0</v>
      </c>
      <c r="G36" s="29">
        <f t="shared" si="8"/>
        <v>0</v>
      </c>
      <c r="H36" s="29">
        <f t="shared" si="8"/>
        <v>0</v>
      </c>
      <c r="I36" s="29">
        <f t="shared" si="8"/>
        <v>0</v>
      </c>
      <c r="J36" s="29">
        <f t="shared" si="8"/>
        <v>0</v>
      </c>
      <c r="K36" s="29">
        <f t="shared" si="8"/>
        <v>0</v>
      </c>
      <c r="L36" s="29">
        <f t="shared" si="8"/>
        <v>0</v>
      </c>
      <c r="M36" s="29">
        <f t="shared" si="8"/>
        <v>-61457.869999999995</v>
      </c>
      <c r="N36" s="29">
        <f t="shared" si="8"/>
        <v>0</v>
      </c>
      <c r="O36" s="29">
        <f t="shared" si="8"/>
        <v>0</v>
      </c>
      <c r="P36" s="29">
        <f t="shared" si="8"/>
        <v>0</v>
      </c>
      <c r="Q36" s="29">
        <f t="shared" ref="Q36:AH36" si="9">-SUM(Q26:Q35)</f>
        <v>0</v>
      </c>
      <c r="R36" s="29">
        <f t="shared" si="9"/>
        <v>0</v>
      </c>
      <c r="S36" s="29">
        <f t="shared" si="9"/>
        <v>0</v>
      </c>
      <c r="T36" s="29">
        <f t="shared" si="9"/>
        <v>-381.9</v>
      </c>
      <c r="U36" s="29">
        <f t="shared" si="9"/>
        <v>0</v>
      </c>
      <c r="V36" s="29">
        <f t="shared" si="9"/>
        <v>0</v>
      </c>
      <c r="W36" s="29">
        <f t="shared" si="9"/>
        <v>0</v>
      </c>
      <c r="X36" s="29">
        <f t="shared" si="9"/>
        <v>0</v>
      </c>
      <c r="Y36" s="29">
        <f t="shared" si="9"/>
        <v>0</v>
      </c>
      <c r="Z36" s="29">
        <f t="shared" si="9"/>
        <v>-32142.06</v>
      </c>
      <c r="AA36" s="29">
        <f t="shared" si="9"/>
        <v>0</v>
      </c>
      <c r="AB36" s="29">
        <f t="shared" si="9"/>
        <v>0</v>
      </c>
      <c r="AC36" s="29">
        <f t="shared" si="9"/>
        <v>0</v>
      </c>
      <c r="AD36" s="29">
        <f t="shared" si="9"/>
        <v>0</v>
      </c>
      <c r="AE36" s="29">
        <f t="shared" si="9"/>
        <v>0</v>
      </c>
      <c r="AF36" s="29">
        <f>-SUM(AF26:AF35)</f>
        <v>-248630.18</v>
      </c>
      <c r="AG36" s="29">
        <f t="shared" si="9"/>
        <v>0</v>
      </c>
      <c r="AH36" s="29">
        <f t="shared" si="9"/>
        <v>0</v>
      </c>
      <c r="AI36" s="29">
        <f>-SUM(AI26:AI35)</f>
        <v>-342612.01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>
        <v>19304.599999999999</v>
      </c>
      <c r="G38" s="18"/>
      <c r="H38" s="18"/>
      <c r="I38" s="18"/>
      <c r="J38" s="18"/>
      <c r="L38" s="18"/>
      <c r="M38" s="18">
        <v>46.55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>
        <v>16112.16</v>
      </c>
      <c r="AI38" s="19">
        <f t="shared" ref="AI38:AI39" si="10">SUM(D38:AH38)</f>
        <v>35463.31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0"/>
        <v>0</v>
      </c>
    </row>
    <row r="40" spans="2:35" ht="16.5" customHeight="1" x14ac:dyDescent="0.2">
      <c r="B40" s="117"/>
      <c r="C40" s="28" t="s">
        <v>9</v>
      </c>
      <c r="D40" s="29">
        <f t="shared" ref="D40:AI40" si="11">-SUM(D37:D39)</f>
        <v>0</v>
      </c>
      <c r="E40" s="29">
        <f t="shared" si="11"/>
        <v>-19304.599999999999</v>
      </c>
      <c r="F40" s="29">
        <f t="shared" si="11"/>
        <v>0</v>
      </c>
      <c r="G40" s="29">
        <f t="shared" si="11"/>
        <v>0</v>
      </c>
      <c r="H40" s="29">
        <f t="shared" si="11"/>
        <v>0</v>
      </c>
      <c r="I40" s="29">
        <f t="shared" si="11"/>
        <v>0</v>
      </c>
      <c r="J40" s="29">
        <f t="shared" si="11"/>
        <v>0</v>
      </c>
      <c r="K40" s="29">
        <f t="shared" si="11"/>
        <v>0</v>
      </c>
      <c r="L40" s="29">
        <f t="shared" si="11"/>
        <v>0</v>
      </c>
      <c r="M40" s="29">
        <f t="shared" si="11"/>
        <v>-46.55</v>
      </c>
      <c r="N40" s="29">
        <f t="shared" si="11"/>
        <v>0</v>
      </c>
      <c r="O40" s="29">
        <f t="shared" si="11"/>
        <v>0</v>
      </c>
      <c r="P40" s="29">
        <f t="shared" si="11"/>
        <v>0</v>
      </c>
      <c r="Q40" s="29">
        <f t="shared" si="11"/>
        <v>0</v>
      </c>
      <c r="R40" s="29">
        <f t="shared" si="11"/>
        <v>0</v>
      </c>
      <c r="S40" s="29">
        <f t="shared" si="11"/>
        <v>0</v>
      </c>
      <c r="T40" s="29">
        <f t="shared" si="11"/>
        <v>0</v>
      </c>
      <c r="U40" s="29">
        <f t="shared" si="11"/>
        <v>0</v>
      </c>
      <c r="V40" s="29">
        <f t="shared" si="11"/>
        <v>0</v>
      </c>
      <c r="W40" s="29">
        <f t="shared" si="11"/>
        <v>0</v>
      </c>
      <c r="X40" s="29">
        <f t="shared" si="11"/>
        <v>0</v>
      </c>
      <c r="Y40" s="29">
        <f t="shared" si="11"/>
        <v>0</v>
      </c>
      <c r="Z40" s="29">
        <f t="shared" si="11"/>
        <v>0</v>
      </c>
      <c r="AA40" s="29">
        <f t="shared" si="11"/>
        <v>0</v>
      </c>
      <c r="AB40" s="29">
        <f t="shared" si="11"/>
        <v>0</v>
      </c>
      <c r="AC40" s="29">
        <f t="shared" si="11"/>
        <v>0</v>
      </c>
      <c r="AD40" s="29">
        <f t="shared" si="11"/>
        <v>0</v>
      </c>
      <c r="AE40" s="29">
        <f t="shared" si="11"/>
        <v>0</v>
      </c>
      <c r="AF40" s="29">
        <f t="shared" si="11"/>
        <v>0</v>
      </c>
      <c r="AG40" s="29">
        <f t="shared" si="11"/>
        <v>0</v>
      </c>
      <c r="AH40" s="29">
        <f t="shared" si="11"/>
        <v>-16112.16</v>
      </c>
      <c r="AI40" s="29">
        <f t="shared" si="11"/>
        <v>-35463.31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222684.6-1436.38</f>
        <v>221248.22</v>
      </c>
      <c r="X41" s="58"/>
      <c r="Z41" s="18">
        <v>1436.38</v>
      </c>
      <c r="AA41" s="58"/>
      <c r="AB41" s="18"/>
      <c r="AC41" s="18"/>
      <c r="AD41" s="18"/>
      <c r="AE41" s="18"/>
      <c r="AG41" s="18"/>
      <c r="AH41" s="18"/>
      <c r="AI41" s="19">
        <f>SUM(D41:AH41)</f>
        <v>222684.6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58"/>
      <c r="AH42" s="18"/>
      <c r="AI42" s="19">
        <f t="shared" ref="AI42:AI73" si="12">SUM(D42:AH42)</f>
        <v>0</v>
      </c>
    </row>
    <row r="43" spans="2:35" ht="16.5" customHeight="1" x14ac:dyDescent="0.2">
      <c r="B43" s="117"/>
      <c r="C43" s="25" t="s">
        <v>70</v>
      </c>
      <c r="D43" s="18">
        <v>88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AA43" s="18"/>
      <c r="AB43" s="18"/>
      <c r="AC43" s="18"/>
      <c r="AD43" s="58"/>
      <c r="AE43" s="18"/>
      <c r="AF43" s="18"/>
      <c r="AG43" s="18"/>
      <c r="AH43" s="18"/>
      <c r="AI43" s="19">
        <f t="shared" si="12"/>
        <v>88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2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>
        <v>27352.78</v>
      </c>
      <c r="G45" s="18"/>
      <c r="H45" s="18"/>
      <c r="I45" s="18">
        <v>40676.089999999997</v>
      </c>
      <c r="J45" s="18"/>
      <c r="K45" s="18"/>
      <c r="L45" s="18"/>
      <c r="M45" s="18"/>
      <c r="N45" s="18"/>
      <c r="P45" s="18"/>
      <c r="Q45" s="18"/>
      <c r="R45" s="26">
        <f>14976.24+43631.85</f>
        <v>58608.09</v>
      </c>
      <c r="S45" s="18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2"/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>
        <f>7919.79+16276.95</f>
        <v>24196.74</v>
      </c>
      <c r="Q46" s="26"/>
      <c r="R46" s="26"/>
      <c r="S46" s="26"/>
      <c r="T46" s="26"/>
      <c r="U46" s="26"/>
      <c r="V46" s="26"/>
      <c r="W46" s="26">
        <f>91.18+26539.11</f>
        <v>26630.29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2"/>
        <v>50827.03</v>
      </c>
    </row>
    <row r="47" spans="2:35" ht="16.5" customHeight="1" x14ac:dyDescent="0.2">
      <c r="B47" s="117"/>
      <c r="C47" s="25" t="s">
        <v>79</v>
      </c>
      <c r="D47" s="26">
        <f>60.4+84+37.5+56</f>
        <v>237.9</v>
      </c>
      <c r="E47" s="26"/>
      <c r="F47" s="26">
        <f>604.8+196</f>
        <v>800.8</v>
      </c>
      <c r="G47" s="26"/>
      <c r="H47" s="18"/>
      <c r="I47" s="26"/>
      <c r="J47" s="26"/>
      <c r="K47" s="26"/>
      <c r="M47" s="26">
        <f>231.3+1693.95</f>
        <v>1925.25</v>
      </c>
      <c r="N47" s="26"/>
      <c r="O47" s="26"/>
      <c r="P47" s="26"/>
      <c r="Q47" s="26"/>
      <c r="R47" s="18">
        <f>104+919.01+992.4</f>
        <v>2015.4099999999999</v>
      </c>
      <c r="S47" s="26"/>
      <c r="T47" s="26">
        <f>67.2+2854.83+294+291.37+73.5+73.5+97+15810.63+56</f>
        <v>19618.03</v>
      </c>
      <c r="U47" s="26"/>
      <c r="V47" s="26"/>
      <c r="W47" s="26"/>
      <c r="X47" s="26"/>
      <c r="Z47" s="26">
        <f>60.8+1275.25+199.5+35+80.6</f>
        <v>1651.1499999999999</v>
      </c>
      <c r="AA47" s="58"/>
      <c r="AB47" s="26"/>
      <c r="AC47" s="26"/>
      <c r="AD47" s="26">
        <f>28</f>
        <v>28</v>
      </c>
      <c r="AE47" s="26"/>
      <c r="AF47" s="26">
        <f>501</f>
        <v>501</v>
      </c>
      <c r="AG47" s="26"/>
      <c r="AH47" s="26">
        <f>56+6335.16</f>
        <v>6391.16</v>
      </c>
      <c r="AI47" s="19">
        <f t="shared" si="12"/>
        <v>33168.699999999997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>
        <v>8062.17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C48" s="58"/>
      <c r="AD48" s="58"/>
      <c r="AE48" s="26"/>
      <c r="AF48" s="26"/>
      <c r="AG48" s="58"/>
      <c r="AH48" s="26"/>
      <c r="AI48" s="19">
        <f t="shared" si="12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2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>
        <v>153.9</v>
      </c>
      <c r="AA50" s="58"/>
      <c r="AB50" s="26"/>
      <c r="AC50" s="26"/>
      <c r="AD50" s="26"/>
      <c r="AE50" s="26"/>
      <c r="AF50" s="26"/>
      <c r="AG50" s="26"/>
      <c r="AH50" s="26"/>
      <c r="AI50" s="19">
        <f t="shared" si="12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/>
      <c r="M51" s="26">
        <v>294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>
        <f>588+1254</f>
        <v>1842</v>
      </c>
      <c r="AI51" s="19">
        <f t="shared" si="12"/>
        <v>2136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2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f>9652.91</f>
        <v>9652.91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11654.22</v>
      </c>
      <c r="AG53" s="58"/>
      <c r="AH53" s="26"/>
      <c r="AI53" s="19">
        <f t="shared" si="12"/>
        <v>21307.129999999997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v>900.36</v>
      </c>
      <c r="L54" s="26"/>
      <c r="M54" s="26"/>
      <c r="N54" s="26"/>
      <c r="O54" s="26"/>
      <c r="P54" s="26"/>
      <c r="Q54" s="26"/>
      <c r="R54" s="26">
        <f>1109.51</f>
        <v>1109.51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58"/>
      <c r="AH54" s="26"/>
      <c r="AI54" s="19">
        <f t="shared" si="12"/>
        <v>5189.87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>
        <f>237.9</f>
        <v>237.9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19">
        <f t="shared" si="12"/>
        <v>237.9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>
        <f>32.87</f>
        <v>32.869999999999997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2"/>
        <v>32.869999999999997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2"/>
        <v>0</v>
      </c>
    </row>
    <row r="59" spans="2:35" ht="16.5" customHeight="1" x14ac:dyDescent="0.2">
      <c r="B59" s="117"/>
      <c r="C59" s="25" t="s">
        <v>32</v>
      </c>
      <c r="D59" s="26">
        <v>7950</v>
      </c>
      <c r="E59" s="58"/>
      <c r="F59" s="26"/>
      <c r="G59" s="26"/>
      <c r="I59" s="26">
        <f>3693.75+201</f>
        <v>3894.75</v>
      </c>
      <c r="J59" s="26"/>
      <c r="K59" s="26"/>
      <c r="L59" s="26"/>
      <c r="M59" s="26"/>
      <c r="O59" s="26"/>
      <c r="P59" s="26">
        <v>720</v>
      </c>
      <c r="Q59" s="26"/>
      <c r="R59" s="26">
        <f>1590+816+614+1444+3500</f>
        <v>7964</v>
      </c>
      <c r="S59" s="26"/>
      <c r="T59" s="26"/>
      <c r="U59" s="26"/>
      <c r="V59" s="26"/>
      <c r="W59" s="26"/>
      <c r="X59" s="26"/>
      <c r="Y59" s="26"/>
      <c r="Z59" s="26">
        <f>359.2</f>
        <v>359.2</v>
      </c>
      <c r="AA59" s="26"/>
      <c r="AB59" s="26"/>
      <c r="AD59" s="26"/>
      <c r="AE59" s="26"/>
      <c r="AF59" s="26"/>
      <c r="AG59" s="26"/>
      <c r="AH59" s="26"/>
      <c r="AI59" s="19">
        <f t="shared" si="12"/>
        <v>20887.95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2"/>
        <v>0</v>
      </c>
    </row>
    <row r="61" spans="2:35" ht="16.5" customHeight="1" x14ac:dyDescent="0.2">
      <c r="B61" s="117"/>
      <c r="C61" s="25" t="s">
        <v>76</v>
      </c>
      <c r="D61" s="26">
        <v>583.77</v>
      </c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>
        <v>389</v>
      </c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2"/>
        <v>972.77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2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>
        <f>863</f>
        <v>863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2"/>
        <v>863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/>
      <c r="L64" s="58"/>
      <c r="M64" s="26"/>
      <c r="N64" s="26"/>
      <c r="O64" s="26"/>
      <c r="P64" s="26">
        <f>1962.91+14118</f>
        <v>16080.91</v>
      </c>
      <c r="Q64" s="26"/>
      <c r="R64" s="26">
        <f>2258.4</f>
        <v>2258.4</v>
      </c>
      <c r="S64" s="26"/>
      <c r="T64" s="26">
        <f>5650</f>
        <v>5650</v>
      </c>
      <c r="U64" s="26"/>
      <c r="V64" s="26"/>
      <c r="W64" s="26"/>
      <c r="X64" s="26"/>
      <c r="Y64" s="26"/>
      <c r="Z64" s="26"/>
      <c r="AA64" s="26"/>
      <c r="AB64" s="26"/>
      <c r="AC64" s="26"/>
      <c r="AD64" s="26">
        <f>664.2+1511</f>
        <v>2175.1999999999998</v>
      </c>
      <c r="AE64" s="26"/>
      <c r="AF64" s="26"/>
      <c r="AH64" s="26"/>
      <c r="AI64" s="19">
        <f t="shared" si="12"/>
        <v>26164.510000000002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>
        <v>1781.75</v>
      </c>
      <c r="N65" s="26"/>
      <c r="O65" s="26"/>
      <c r="P65" s="26"/>
      <c r="Q65" s="26"/>
      <c r="R65" s="26">
        <f>230</f>
        <v>230</v>
      </c>
      <c r="S65" s="26"/>
      <c r="T65" s="26"/>
      <c r="U65" s="26"/>
      <c r="V65" s="26"/>
      <c r="X65" s="26"/>
      <c r="Z65" s="26">
        <v>416.13</v>
      </c>
      <c r="AA65" s="26"/>
      <c r="AB65" s="26"/>
      <c r="AC65" s="26"/>
      <c r="AD65" s="26"/>
      <c r="AE65" s="26"/>
      <c r="AF65" s="26"/>
      <c r="AG65" s="26"/>
      <c r="AH65" s="26"/>
      <c r="AI65" s="19">
        <f t="shared" si="12"/>
        <v>2427.88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2"/>
        <v>0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2"/>
        <v>0</v>
      </c>
    </row>
    <row r="69" spans="2:35" ht="16.5" customHeight="1" x14ac:dyDescent="0.2">
      <c r="B69" s="117"/>
      <c r="C69" s="25" t="s">
        <v>83</v>
      </c>
      <c r="E69" s="26"/>
      <c r="F69" s="26"/>
      <c r="G69" s="26"/>
      <c r="H69" s="26"/>
      <c r="I69" s="26"/>
      <c r="J69" s="26"/>
      <c r="K69" s="26"/>
      <c r="M69" s="26"/>
      <c r="N69" s="26"/>
      <c r="O69" s="26"/>
      <c r="Q69" s="26"/>
      <c r="R69" s="26"/>
      <c r="S69" s="26"/>
      <c r="T69" s="26"/>
      <c r="U69" s="26"/>
      <c r="V69" s="26"/>
      <c r="W69" s="26">
        <f>408+1289.19+600</f>
        <v>2297.19</v>
      </c>
      <c r="X69" s="26"/>
      <c r="Y69" s="26"/>
      <c r="Z69" s="26"/>
      <c r="AA69" s="26"/>
      <c r="AB69" s="26"/>
      <c r="AD69" s="26"/>
      <c r="AE69" s="26"/>
      <c r="AF69" s="26">
        <f>155.84</f>
        <v>155.84</v>
      </c>
      <c r="AG69" s="26"/>
      <c r="AH69" s="26">
        <f>1000</f>
        <v>1000</v>
      </c>
      <c r="AI69" s="19">
        <f t="shared" si="12"/>
        <v>3453.03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/>
      <c r="L70" s="26"/>
      <c r="M70" s="26">
        <v>287.60000000000002</v>
      </c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2"/>
        <v>287.60000000000002</v>
      </c>
    </row>
    <row r="71" spans="2:35" ht="16.5" customHeight="1" x14ac:dyDescent="0.2">
      <c r="B71" s="117"/>
      <c r="C71" s="25" t="s">
        <v>7</v>
      </c>
      <c r="D71" s="26"/>
      <c r="E71" s="26"/>
      <c r="F71" s="4">
        <v>595.35</v>
      </c>
      <c r="G71" s="26"/>
      <c r="H71" s="26"/>
      <c r="I71" s="26"/>
      <c r="J71" s="26"/>
      <c r="K71" s="26">
        <f>212.5+189.65</f>
        <v>402.15</v>
      </c>
      <c r="L71" s="26"/>
      <c r="N71" s="26"/>
      <c r="O71" s="26"/>
      <c r="P71" s="26">
        <v>10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2"/>
        <v>1007.5</v>
      </c>
    </row>
    <row r="72" spans="2:35" ht="16.5" customHeight="1" x14ac:dyDescent="0.2">
      <c r="B72" s="117"/>
      <c r="C72" s="25" t="s">
        <v>6</v>
      </c>
      <c r="D72" s="26">
        <v>127.76</v>
      </c>
      <c r="E72" s="26">
        <v>102.8</v>
      </c>
      <c r="F72" s="26">
        <f>23.1+32.1+7.9+7.9</f>
        <v>71</v>
      </c>
      <c r="G72" s="26"/>
      <c r="H72" s="26"/>
      <c r="I72" s="26">
        <v>71</v>
      </c>
      <c r="J72" s="26">
        <f>36.96+51.36+35.46</f>
        <v>123.78</v>
      </c>
      <c r="K72" s="26">
        <f>6.93+9.63+5.91+7.9+7.9</f>
        <v>38.270000000000003</v>
      </c>
      <c r="L72" s="26">
        <f>18.48+25.68+5.91</f>
        <v>50.069999999999993</v>
      </c>
      <c r="M72" s="26">
        <f>4.62+6.42+7.9</f>
        <v>18.939999999999998</v>
      </c>
      <c r="N72" s="26"/>
      <c r="O72" s="26"/>
      <c r="P72" s="26">
        <f>41.58+57.78+7.9</f>
        <v>107.26</v>
      </c>
      <c r="Q72" s="26">
        <f>43.89+60.99+70.92</f>
        <v>175.8</v>
      </c>
      <c r="R72" s="26">
        <f>13.86+19.26+5.91+52.7+(7.9*4)</f>
        <v>123.33000000000001</v>
      </c>
      <c r="S72" s="26"/>
      <c r="T72" s="26">
        <f>6.93+9.63+11.55+16.05</f>
        <v>44.160000000000004</v>
      </c>
      <c r="U72" s="26"/>
      <c r="V72" s="26"/>
      <c r="W72" s="26">
        <v>735.46</v>
      </c>
      <c r="X72" s="26">
        <f>62.37+86.67+17.73</f>
        <v>166.76999999999998</v>
      </c>
      <c r="Y72" s="26">
        <f>4.62+6.42</f>
        <v>11.04</v>
      </c>
      <c r="Z72" s="26">
        <f>(7.9*2)+9.24+12.84</f>
        <v>37.879999999999995</v>
      </c>
      <c r="AA72" s="26">
        <f>20.79+28.89</f>
        <v>49.68</v>
      </c>
      <c r="AB72" s="26"/>
      <c r="AC72" s="26"/>
      <c r="AD72" s="26">
        <f>25.41+35.31</f>
        <v>60.72</v>
      </c>
      <c r="AE72" s="26">
        <f>43.89+60.99+23.64</f>
        <v>128.51999999999998</v>
      </c>
      <c r="AF72" s="26">
        <f>16.05+94.71+7.9</f>
        <v>118.66</v>
      </c>
      <c r="AG72" s="26">
        <f>16.17+22.47+5.91</f>
        <v>44.55</v>
      </c>
      <c r="AH72" s="26">
        <f>7.9+7.9+50.82+70.62</f>
        <v>137.24</v>
      </c>
      <c r="AI72" s="19">
        <f t="shared" si="12"/>
        <v>2544.6899999999996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2"/>
        <v>0</v>
      </c>
    </row>
    <row r="74" spans="2:35" ht="16.5" customHeight="1" x14ac:dyDescent="0.2">
      <c r="B74" s="117"/>
      <c r="C74" s="28" t="s">
        <v>10</v>
      </c>
      <c r="D74" s="29">
        <f t="shared" ref="D74:AI74" si="13">-SUM(D41:D73)</f>
        <v>-8987.43</v>
      </c>
      <c r="E74" s="29">
        <f t="shared" si="13"/>
        <v>-102.8</v>
      </c>
      <c r="F74" s="29">
        <f t="shared" si="13"/>
        <v>-28819.929999999997</v>
      </c>
      <c r="G74" s="29">
        <f t="shared" si="13"/>
        <v>0</v>
      </c>
      <c r="H74" s="29">
        <f t="shared" si="13"/>
        <v>0</v>
      </c>
      <c r="I74" s="29">
        <f t="shared" si="13"/>
        <v>-52704.009999999995</v>
      </c>
      <c r="J74" s="29">
        <f t="shared" si="13"/>
        <v>-123.78</v>
      </c>
      <c r="K74" s="29">
        <f t="shared" si="13"/>
        <v>-1340.78</v>
      </c>
      <c r="L74" s="29">
        <f t="shared" si="13"/>
        <v>-50.069999999999993</v>
      </c>
      <c r="M74" s="29">
        <f t="shared" si="13"/>
        <v>-4307.54</v>
      </c>
      <c r="N74" s="29">
        <f t="shared" si="13"/>
        <v>0</v>
      </c>
      <c r="O74" s="29">
        <f t="shared" si="13"/>
        <v>0</v>
      </c>
      <c r="P74" s="29">
        <f t="shared" si="13"/>
        <v>-41977.91</v>
      </c>
      <c r="Q74" s="29">
        <f t="shared" si="13"/>
        <v>-175.8</v>
      </c>
      <c r="R74" s="29">
        <f t="shared" si="13"/>
        <v>-82354.919999999984</v>
      </c>
      <c r="S74" s="29">
        <f>-SUM(S41:S73)</f>
        <v>0</v>
      </c>
      <c r="T74" s="29">
        <f>-SUM(T41:T73)</f>
        <v>-25312.19</v>
      </c>
      <c r="U74" s="29">
        <f t="shared" si="13"/>
        <v>0</v>
      </c>
      <c r="V74" s="29">
        <f>-SUM(V41:V73)</f>
        <v>0</v>
      </c>
      <c r="W74" s="29">
        <f>-SUM(W41:W73)</f>
        <v>-251300.16</v>
      </c>
      <c r="X74" s="29">
        <f>-SUM(X41:X73)</f>
        <v>-166.76999999999998</v>
      </c>
      <c r="Y74" s="29">
        <f t="shared" si="13"/>
        <v>-11.04</v>
      </c>
      <c r="Z74" s="29">
        <f>-SUM(Z41:Z73)</f>
        <v>-4054.64</v>
      </c>
      <c r="AA74" s="29">
        <f t="shared" si="13"/>
        <v>-49.68</v>
      </c>
      <c r="AB74" s="29">
        <f t="shared" si="13"/>
        <v>0</v>
      </c>
      <c r="AC74" s="29">
        <f t="shared" si="13"/>
        <v>0</v>
      </c>
      <c r="AD74" s="29">
        <f>-SUM(AD41:AD73)</f>
        <v>-2263.9199999999996</v>
      </c>
      <c r="AE74" s="29">
        <f>-SUM(AE41:AE73)</f>
        <v>-128.51999999999998</v>
      </c>
      <c r="AF74" s="29">
        <f>-SUM(AF41:AF73)</f>
        <v>-15609.72</v>
      </c>
      <c r="AG74" s="29">
        <f t="shared" si="13"/>
        <v>-44.55</v>
      </c>
      <c r="AH74" s="29">
        <f t="shared" si="13"/>
        <v>-9370.4</v>
      </c>
      <c r="AI74" s="29">
        <f t="shared" si="13"/>
        <v>-529256.55999999994</v>
      </c>
    </row>
    <row r="75" spans="2:35" ht="16.5" customHeight="1" x14ac:dyDescent="0.2">
      <c r="B75" s="114"/>
      <c r="C75" s="28" t="s">
        <v>36</v>
      </c>
      <c r="D75" s="29">
        <f t="shared" ref="D75:AI75" si="14">D25+D36+D40+D74</f>
        <v>-8987.43</v>
      </c>
      <c r="E75" s="29">
        <f t="shared" si="14"/>
        <v>-19407.399999999998</v>
      </c>
      <c r="F75" s="29">
        <f t="shared" si="14"/>
        <v>-28819.929999999997</v>
      </c>
      <c r="G75" s="29">
        <f t="shared" si="14"/>
        <v>0</v>
      </c>
      <c r="H75" s="29">
        <f t="shared" si="14"/>
        <v>0</v>
      </c>
      <c r="I75" s="29">
        <f t="shared" si="14"/>
        <v>-52704.009999999995</v>
      </c>
      <c r="J75" s="29">
        <f t="shared" si="14"/>
        <v>-123.78</v>
      </c>
      <c r="K75" s="29">
        <f t="shared" si="14"/>
        <v>-1340.78</v>
      </c>
      <c r="L75" s="29">
        <f t="shared" si="14"/>
        <v>-50.069999999999993</v>
      </c>
      <c r="M75" s="29">
        <f t="shared" si="14"/>
        <v>-65811.959999999992</v>
      </c>
      <c r="N75" s="29">
        <f t="shared" si="14"/>
        <v>0</v>
      </c>
      <c r="O75" s="29">
        <f t="shared" si="14"/>
        <v>0</v>
      </c>
      <c r="P75" s="29">
        <f t="shared" si="14"/>
        <v>-41977.91</v>
      </c>
      <c r="Q75" s="29">
        <f t="shared" si="14"/>
        <v>-175.8</v>
      </c>
      <c r="R75" s="29">
        <f t="shared" si="14"/>
        <v>-117713.97999999998</v>
      </c>
      <c r="S75" s="29">
        <f t="shared" si="14"/>
        <v>0</v>
      </c>
      <c r="T75" s="29">
        <f t="shared" si="14"/>
        <v>-25694.09</v>
      </c>
      <c r="U75" s="29">
        <f t="shared" si="14"/>
        <v>0</v>
      </c>
      <c r="V75" s="29">
        <f t="shared" si="14"/>
        <v>0</v>
      </c>
      <c r="W75" s="29">
        <f t="shared" si="14"/>
        <v>-345862.45</v>
      </c>
      <c r="X75" s="29">
        <f t="shared" si="14"/>
        <v>-166.76999999999998</v>
      </c>
      <c r="Y75" s="29">
        <f t="shared" si="14"/>
        <v>-11.04</v>
      </c>
      <c r="Z75" s="29">
        <f t="shared" si="14"/>
        <v>-56196.7</v>
      </c>
      <c r="AA75" s="29">
        <f t="shared" si="14"/>
        <v>-49.68</v>
      </c>
      <c r="AB75" s="29">
        <f t="shared" si="14"/>
        <v>0</v>
      </c>
      <c r="AC75" s="29">
        <f t="shared" si="14"/>
        <v>0</v>
      </c>
      <c r="AD75" s="29">
        <f t="shared" si="14"/>
        <v>-18763.919999999998</v>
      </c>
      <c r="AE75" s="29">
        <f t="shared" si="14"/>
        <v>-128.51999999999998</v>
      </c>
      <c r="AF75" s="29">
        <f t="shared" si="14"/>
        <v>-289739.89999999997</v>
      </c>
      <c r="AG75" s="29">
        <f t="shared" si="14"/>
        <v>-44.55</v>
      </c>
      <c r="AH75" s="29">
        <f t="shared" si="14"/>
        <v>-138346.72</v>
      </c>
      <c r="AI75" s="29">
        <f t="shared" si="14"/>
        <v>-1212117.3900000001</v>
      </c>
    </row>
    <row r="76" spans="2:35" ht="7.5" customHeight="1" x14ac:dyDescent="0.2">
      <c r="B76" s="94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93"/>
      <c r="C77" s="32" t="s">
        <v>13</v>
      </c>
      <c r="D77" s="13">
        <f t="shared" ref="D77:AI77" si="15">D6+D18+D75</f>
        <v>154858.26869999978</v>
      </c>
      <c r="E77" s="13">
        <f t="shared" si="15"/>
        <v>163119.86869999979</v>
      </c>
      <c r="F77" s="13">
        <f t="shared" si="15"/>
        <v>171165.13869999978</v>
      </c>
      <c r="G77" s="13">
        <f t="shared" si="15"/>
        <v>171165.13869999978</v>
      </c>
      <c r="H77" s="13">
        <f t="shared" si="15"/>
        <v>171165.13869999978</v>
      </c>
      <c r="I77" s="13">
        <f t="shared" si="15"/>
        <v>200277.02869999979</v>
      </c>
      <c r="J77" s="13">
        <f t="shared" si="15"/>
        <v>237625.76869999978</v>
      </c>
      <c r="K77" s="13">
        <f t="shared" si="15"/>
        <v>310121.75869999977</v>
      </c>
      <c r="L77" s="13">
        <f t="shared" si="15"/>
        <v>344395.98869999975</v>
      </c>
      <c r="M77" s="13">
        <f t="shared" si="15"/>
        <v>322987.58869999973</v>
      </c>
      <c r="N77" s="13">
        <f t="shared" si="15"/>
        <v>322987.58869999973</v>
      </c>
      <c r="O77" s="13">
        <f t="shared" si="15"/>
        <v>322987.58869999973</v>
      </c>
      <c r="P77" s="13">
        <f t="shared" si="15"/>
        <v>377247.11869999976</v>
      </c>
      <c r="Q77" s="13">
        <f t="shared" si="15"/>
        <v>439404.04869999975</v>
      </c>
      <c r="R77" s="13">
        <f t="shared" si="15"/>
        <v>361653.73869999975</v>
      </c>
      <c r="S77" s="13">
        <f t="shared" si="15"/>
        <v>361653.73869999975</v>
      </c>
      <c r="T77" s="13">
        <f t="shared" si="15"/>
        <v>411793.04869999975</v>
      </c>
      <c r="U77" s="13">
        <f t="shared" si="15"/>
        <v>411793.04869999975</v>
      </c>
      <c r="V77" s="13">
        <f t="shared" si="15"/>
        <v>411793.04869999975</v>
      </c>
      <c r="W77" s="13">
        <f t="shared" si="15"/>
        <v>118878.53869999974</v>
      </c>
      <c r="X77" s="13">
        <f t="shared" si="15"/>
        <v>173772.04869999975</v>
      </c>
      <c r="Y77" s="13">
        <f t="shared" si="15"/>
        <v>207847.50869999974</v>
      </c>
      <c r="Z77" s="13">
        <f t="shared" si="15"/>
        <v>170125.90869999974</v>
      </c>
      <c r="AA77" s="13">
        <f t="shared" si="15"/>
        <v>192449.80869999976</v>
      </c>
      <c r="AB77" s="13">
        <f t="shared" si="15"/>
        <v>192449.80869999976</v>
      </c>
      <c r="AC77" s="13">
        <f t="shared" si="15"/>
        <v>192449.80869999976</v>
      </c>
      <c r="AD77" s="13">
        <f t="shared" si="15"/>
        <v>266429.03869999974</v>
      </c>
      <c r="AE77" s="13">
        <f t="shared" si="15"/>
        <v>304677.97869999975</v>
      </c>
      <c r="AF77" s="13">
        <f t="shared" si="15"/>
        <v>54507.158699999796</v>
      </c>
      <c r="AG77" s="13">
        <f t="shared" si="15"/>
        <v>86930.6786999998</v>
      </c>
      <c r="AH77" s="13">
        <f t="shared" si="15"/>
        <v>10130.978699999803</v>
      </c>
      <c r="AI77" s="13">
        <f t="shared" si="15"/>
        <v>10130.978699999396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Junho!AG83</f>
        <v>474047.87000000052</v>
      </c>
      <c r="E79" s="33">
        <f>D83</f>
        <v>474309.37000000052</v>
      </c>
      <c r="F79" s="33">
        <f t="shared" ref="F79:AH79" si="16">E83</f>
        <v>474571.11000000051</v>
      </c>
      <c r="G79" s="33">
        <f t="shared" si="16"/>
        <v>474833.87000000052</v>
      </c>
      <c r="H79" s="33">
        <f t="shared" si="16"/>
        <v>474833.87000000052</v>
      </c>
      <c r="I79" s="33">
        <f t="shared" si="16"/>
        <v>474833.87000000052</v>
      </c>
      <c r="J79" s="33">
        <f t="shared" si="16"/>
        <v>474833.87000000052</v>
      </c>
      <c r="K79" s="33">
        <f t="shared" si="16"/>
        <v>474833.87000000052</v>
      </c>
      <c r="L79" s="33">
        <f t="shared" si="16"/>
        <v>474833.87000000052</v>
      </c>
      <c r="M79" s="33">
        <f t="shared" si="16"/>
        <v>474833.87000000052</v>
      </c>
      <c r="N79" s="33">
        <f t="shared" si="16"/>
        <v>475467.63000000053</v>
      </c>
      <c r="O79" s="33">
        <f t="shared" si="16"/>
        <v>475467.63000000053</v>
      </c>
      <c r="P79" s="33">
        <f t="shared" si="16"/>
        <v>475467.63000000053</v>
      </c>
      <c r="Q79" s="33">
        <f t="shared" si="16"/>
        <v>475645.48000000051</v>
      </c>
      <c r="R79" s="33">
        <f t="shared" si="16"/>
        <v>475823.42000000051</v>
      </c>
      <c r="S79" s="33">
        <f t="shared" si="16"/>
        <v>476179.49000000051</v>
      </c>
      <c r="T79" s="33">
        <f t="shared" si="16"/>
        <v>476179.49000000051</v>
      </c>
      <c r="U79" s="33">
        <f t="shared" si="16"/>
        <v>476357.68000000052</v>
      </c>
      <c r="V79" s="33">
        <f t="shared" si="16"/>
        <v>476357.68000000052</v>
      </c>
      <c r="W79" s="33">
        <f t="shared" si="16"/>
        <v>476357.68000000052</v>
      </c>
      <c r="X79" s="33">
        <f t="shared" si="16"/>
        <v>476535.90000000049</v>
      </c>
      <c r="Y79" s="33">
        <f t="shared" si="16"/>
        <v>476714.26000000047</v>
      </c>
      <c r="Z79" s="33">
        <f t="shared" si="16"/>
        <v>476892.6600000005</v>
      </c>
      <c r="AA79" s="33">
        <f t="shared" si="16"/>
        <v>477071.19000000053</v>
      </c>
      <c r="AB79" s="33">
        <f t="shared" si="16"/>
        <v>477273.0400000005</v>
      </c>
      <c r="AC79" s="33">
        <f t="shared" si="16"/>
        <v>477273.0400000005</v>
      </c>
      <c r="AD79" s="33">
        <f t="shared" si="16"/>
        <v>477273.0400000005</v>
      </c>
      <c r="AE79" s="33">
        <f t="shared" si="16"/>
        <v>477516.7900000005</v>
      </c>
      <c r="AF79" s="33">
        <f t="shared" si="16"/>
        <v>477696.33000000048</v>
      </c>
      <c r="AG79" s="33">
        <f t="shared" si="16"/>
        <v>477875.95000000048</v>
      </c>
      <c r="AH79" s="33">
        <f t="shared" si="16"/>
        <v>478226.21000000049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/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7">SUM(G81:AF81)</f>
        <v>0</v>
      </c>
    </row>
    <row r="82" spans="2:35" ht="16.5" customHeight="1" x14ac:dyDescent="0.2">
      <c r="B82" s="117"/>
      <c r="C82" s="17" t="s">
        <v>24</v>
      </c>
      <c r="D82" s="18">
        <v>261.5</v>
      </c>
      <c r="E82" s="18">
        <v>261.74</v>
      </c>
      <c r="F82" s="18">
        <v>262.76</v>
      </c>
      <c r="G82" s="18"/>
      <c r="H82" s="18"/>
      <c r="I82" s="18"/>
      <c r="J82" s="18"/>
      <c r="K82" s="18"/>
      <c r="L82" s="18"/>
      <c r="M82" s="18">
        <v>633.76</v>
      </c>
      <c r="N82" s="18"/>
      <c r="O82" s="18"/>
      <c r="P82" s="18">
        <v>177.85</v>
      </c>
      <c r="Q82" s="18">
        <v>177.94</v>
      </c>
      <c r="R82" s="18">
        <v>356.07</v>
      </c>
      <c r="T82" s="18">
        <v>178.19</v>
      </c>
      <c r="U82" s="18"/>
      <c r="V82" s="18"/>
      <c r="W82" s="18">
        <v>178.22</v>
      </c>
      <c r="X82" s="18">
        <v>178.36</v>
      </c>
      <c r="Y82" s="18">
        <v>178.4</v>
      </c>
      <c r="Z82" s="18">
        <v>178.53</v>
      </c>
      <c r="AA82" s="18">
        <v>201.85</v>
      </c>
      <c r="AB82" s="18"/>
      <c r="AC82" s="18"/>
      <c r="AD82" s="18">
        <v>243.75</v>
      </c>
      <c r="AE82" s="18">
        <v>179.54</v>
      </c>
      <c r="AF82" s="18">
        <v>179.62</v>
      </c>
      <c r="AG82" s="18">
        <v>350.26</v>
      </c>
      <c r="AH82" s="18">
        <v>186.71</v>
      </c>
      <c r="AI82" s="19">
        <f t="shared" si="17"/>
        <v>3042.08</v>
      </c>
    </row>
    <row r="83" spans="2:35" ht="16.5" customHeight="1" x14ac:dyDescent="0.2">
      <c r="B83" s="117"/>
      <c r="C83" s="21" t="s">
        <v>30</v>
      </c>
      <c r="D83" s="22">
        <f>SUM(D80:D82)+D79</f>
        <v>474309.37000000052</v>
      </c>
      <c r="E83" s="22">
        <f t="shared" ref="E83:AH83" si="18">SUM(E80:E82)+D83</f>
        <v>474571.11000000051</v>
      </c>
      <c r="F83" s="22">
        <f>SUM(F80:F82)+E83</f>
        <v>474833.87000000052</v>
      </c>
      <c r="G83" s="22">
        <f t="shared" si="18"/>
        <v>474833.87000000052</v>
      </c>
      <c r="H83" s="22">
        <f t="shared" si="18"/>
        <v>474833.87000000052</v>
      </c>
      <c r="I83" s="22">
        <f t="shared" si="18"/>
        <v>474833.87000000052</v>
      </c>
      <c r="J83" s="22">
        <f t="shared" si="18"/>
        <v>474833.87000000052</v>
      </c>
      <c r="K83" s="22">
        <f>SUM(K80:K82)+J83</f>
        <v>474833.87000000052</v>
      </c>
      <c r="L83" s="22">
        <f t="shared" si="18"/>
        <v>474833.87000000052</v>
      </c>
      <c r="M83" s="22">
        <f t="shared" si="18"/>
        <v>475467.63000000053</v>
      </c>
      <c r="N83" s="22">
        <f t="shared" si="18"/>
        <v>475467.63000000053</v>
      </c>
      <c r="O83" s="22">
        <f t="shared" si="18"/>
        <v>475467.63000000053</v>
      </c>
      <c r="P83" s="22">
        <f t="shared" si="18"/>
        <v>475645.48000000051</v>
      </c>
      <c r="Q83" s="22">
        <f t="shared" si="18"/>
        <v>475823.42000000051</v>
      </c>
      <c r="R83" s="22">
        <f>SUM(R80:R82)+Q83</f>
        <v>476179.49000000051</v>
      </c>
      <c r="S83" s="22">
        <f>SUM(S80:S82)+R83</f>
        <v>476179.49000000051</v>
      </c>
      <c r="T83" s="22">
        <f t="shared" si="18"/>
        <v>476357.68000000052</v>
      </c>
      <c r="U83" s="22">
        <f t="shared" si="18"/>
        <v>476357.68000000052</v>
      </c>
      <c r="V83" s="22">
        <f t="shared" si="18"/>
        <v>476357.68000000052</v>
      </c>
      <c r="W83" s="22">
        <f t="shared" si="18"/>
        <v>476535.90000000049</v>
      </c>
      <c r="X83" s="22">
        <f t="shared" si="18"/>
        <v>476714.26000000047</v>
      </c>
      <c r="Y83" s="22">
        <f t="shared" si="18"/>
        <v>476892.6600000005</v>
      </c>
      <c r="Z83" s="22">
        <f>SUM(Z80:Z82)+Y83</f>
        <v>477071.19000000053</v>
      </c>
      <c r="AA83" s="22">
        <f t="shared" ref="AA83" si="19">SUM(AA80:AA82)+Z83</f>
        <v>477273.0400000005</v>
      </c>
      <c r="AB83" s="22">
        <f t="shared" ref="AB83" si="20">SUM(AB80:AB82)+AA83</f>
        <v>477273.0400000005</v>
      </c>
      <c r="AC83" s="22">
        <f t="shared" ref="AC83:AD83" si="21">SUM(AC80:AC82)+AB83</f>
        <v>477273.0400000005</v>
      </c>
      <c r="AD83" s="22">
        <f t="shared" si="21"/>
        <v>477516.7900000005</v>
      </c>
      <c r="AE83" s="22">
        <f>SUM(AE80:AE82)+AD83</f>
        <v>477696.33000000048</v>
      </c>
      <c r="AF83" s="22">
        <f>SUM(AF80:AF82)+AE83</f>
        <v>477875.95000000048</v>
      </c>
      <c r="AG83" s="22">
        <f t="shared" si="18"/>
        <v>478226.21000000049</v>
      </c>
      <c r="AH83" s="22">
        <f t="shared" si="18"/>
        <v>478412.92000000051</v>
      </c>
      <c r="AI83" s="22">
        <f>AH83</f>
        <v>478412.92000000051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2">D77+D83</f>
        <v>629167.63870000024</v>
      </c>
      <c r="E85" s="37">
        <f t="shared" si="22"/>
        <v>637690.97870000033</v>
      </c>
      <c r="F85" s="37">
        <f t="shared" si="22"/>
        <v>645999.00870000036</v>
      </c>
      <c r="G85" s="37">
        <f t="shared" si="22"/>
        <v>645999.00870000036</v>
      </c>
      <c r="H85" s="37">
        <f t="shared" si="22"/>
        <v>645999.00870000036</v>
      </c>
      <c r="I85" s="37">
        <f t="shared" si="22"/>
        <v>675110.89870000025</v>
      </c>
      <c r="J85" s="37">
        <f t="shared" si="22"/>
        <v>712459.63870000024</v>
      </c>
      <c r="K85" s="37">
        <f t="shared" si="22"/>
        <v>784955.62870000023</v>
      </c>
      <c r="L85" s="37">
        <f t="shared" si="22"/>
        <v>819229.85870000022</v>
      </c>
      <c r="M85" s="37">
        <f t="shared" si="22"/>
        <v>798455.21870000032</v>
      </c>
      <c r="N85" s="37">
        <f t="shared" si="22"/>
        <v>798455.21870000032</v>
      </c>
      <c r="O85" s="37">
        <f t="shared" si="22"/>
        <v>798455.21870000032</v>
      </c>
      <c r="P85" s="37">
        <f t="shared" si="22"/>
        <v>852892.59870000021</v>
      </c>
      <c r="Q85" s="37">
        <f t="shared" si="22"/>
        <v>915227.46870000032</v>
      </c>
      <c r="R85" s="37">
        <f t="shared" si="22"/>
        <v>837833.22870000033</v>
      </c>
      <c r="S85" s="37">
        <f t="shared" si="22"/>
        <v>837833.22870000033</v>
      </c>
      <c r="T85" s="37">
        <f t="shared" si="22"/>
        <v>888150.72870000033</v>
      </c>
      <c r="U85" s="37">
        <f t="shared" si="22"/>
        <v>888150.72870000033</v>
      </c>
      <c r="V85" s="37">
        <f t="shared" si="22"/>
        <v>888150.72870000033</v>
      </c>
      <c r="W85" s="37">
        <f t="shared" si="22"/>
        <v>595414.43870000029</v>
      </c>
      <c r="X85" s="37">
        <f t="shared" si="22"/>
        <v>650486.30870000017</v>
      </c>
      <c r="Y85" s="37">
        <f t="shared" si="22"/>
        <v>684740.16870000027</v>
      </c>
      <c r="Z85" s="37">
        <f t="shared" si="22"/>
        <v>647197.09870000021</v>
      </c>
      <c r="AA85" s="37">
        <f t="shared" si="22"/>
        <v>669722.84870000021</v>
      </c>
      <c r="AB85" s="37">
        <f t="shared" si="22"/>
        <v>669722.84870000021</v>
      </c>
      <c r="AC85" s="37">
        <f t="shared" si="22"/>
        <v>669722.84870000021</v>
      </c>
      <c r="AD85" s="37">
        <f t="shared" si="22"/>
        <v>743945.82870000019</v>
      </c>
      <c r="AE85" s="37">
        <f t="shared" si="22"/>
        <v>782374.30870000017</v>
      </c>
      <c r="AF85" s="37">
        <f t="shared" si="22"/>
        <v>532383.10870000022</v>
      </c>
      <c r="AG85" s="37">
        <f t="shared" si="22"/>
        <v>565156.88870000024</v>
      </c>
      <c r="AH85" s="37">
        <f t="shared" si="22"/>
        <v>488543.89870000031</v>
      </c>
      <c r="AI85" s="37">
        <f>AI77+AI83</f>
        <v>488543.8986999999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AH5</f>
        <v>42216</v>
      </c>
    </row>
    <row r="89" spans="2:35" ht="18.75" x14ac:dyDescent="0.25">
      <c r="B89" s="41"/>
      <c r="C89" s="50" t="s">
        <v>46</v>
      </c>
      <c r="D89" s="51">
        <f>AH6</f>
        <v>86930.6786999998</v>
      </c>
    </row>
    <row r="90" spans="2:35" ht="18.75" x14ac:dyDescent="0.25">
      <c r="B90" s="41"/>
      <c r="C90" s="50" t="s">
        <v>40</v>
      </c>
      <c r="D90" s="52">
        <f>AH18</f>
        <v>61547.020000000004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AH75</f>
        <v>-138346.72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90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10130.978699999803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91"/>
    </row>
    <row r="93" spans="2:35" ht="18.75" x14ac:dyDescent="0.25">
      <c r="B93" s="41"/>
      <c r="C93" s="50" t="s">
        <v>91</v>
      </c>
      <c r="D93" s="51">
        <v>12280.42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3736.94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462208.85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5">
        <f>SUM(D92:D95)</f>
        <v>488357.18869999977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M22:O24 L21:L24 K21:K23 I20:L20 D20:D24 F20:F24 H20:H24 I21:J24 G21:G22 P21:Q24 R22:AF24 S21:AF21" name="Intervalo3"/>
    <protectedRange sqref="K16:AF16 E17:H17 O17:AG17 D10:H16 J10:AF10 J11:AH11 J12:AF13 J17:M17 J14:AH15 I10:I17" name="Intervalo2"/>
    <protectedRange sqref="W7:AF9 V7:V8 D7:U9" name="Intervalo1"/>
    <protectedRange sqref="L38 F31 M37:AF39 K37:L37 K39:L39 D37:E39 I38 F37 F39 G37:G39 J37:J39 H37:I37 H39:I39" name="Intervalo4"/>
    <protectedRange sqref="S52:T52 O59 T69 Z52:AA52 X53:AE53 S53:V53 AD46:AE46 AH55 H60 G71:H71 AE47:AE52 G61:H61 M72:M73 Q46:Q72 U69:U73 AA63:AB73 K47:K48 W54:W59 P70:P72 P46:P68 R69:S72 T71:T72 J49:K49 F54:G60 D49:E52 E48 E55 R46 I46:J47 K46:M46 H54:H58 E53 F48:F51 H48:H51 D46:H46 J48 K50:K58 K60:K69 L66:L68 K70:L73 R51 L48:L63 M47:M70 N60:O73 W66:W73 R54:R58 N46:O58 R48:R49 S46:X51 AB50:AC50 AA49:AC49 AF46:AF47 AF49:AF52 AD69:AF69 D56:E58 AD59:AF59 G49:G53 AD63:AD68 Y66:Y73 AC54:AE58 AF55:AF58 AC60:AC68 AD60:AD61 AA62 Y51:AD51 AF70:AF72 E47:G47 D54:E54 I50:J73 F72:F73 H72:H73 G72 W61:W64 S54:T68 U54:U67 R60:R66 X54:X73 Z54:Z73 Y54:Y64 AB46:AC47 AD49:AD50 AE60:AE68 AF60:AF62 D70:D73 AC70:AE73 F62:H70 E60:E73 D60:D68 AF65:AF68 AA54:AB61 V54:V73 Z46:AA46 Y48:Z49" name="Intervalo5"/>
    <protectedRange sqref="W28:W31 AH34:AH35 D26:E35 L31 F26:F30 F32:F35 G26:J35 K26:L30 N26:S35 T28:V35 AE34:AF35 W34:AC35 T27:U27 T26:W26 M27:M30 K32:M35 X26:AF33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I96"/>
  <sheetViews>
    <sheetView showGridLines="0" zoomScaleNormal="100" workbookViewId="0" xr3:uid="{85D5C41F-068E-5C55-9968-509E7C2A5619}">
      <pane xSplit="3" ySplit="6" topLeftCell="Q4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bestFit="1" customWidth="1"/>
    <col min="7" max="7" width="16.0078125" style="4" customWidth="1"/>
    <col min="8" max="10" width="14.52734375" style="4" customWidth="1"/>
    <col min="11" max="12" width="14.52734375" style="4" hidden="1" customWidth="1"/>
    <col min="13" max="17" width="14.52734375" style="4" customWidth="1"/>
    <col min="18" max="19" width="14.52734375" style="4" hidden="1" customWidth="1"/>
    <col min="20" max="24" width="14.52734375" style="4" customWidth="1"/>
    <col min="25" max="26" width="14.52734375" style="4" hidden="1" customWidth="1"/>
    <col min="27" max="27" width="13.44921875" style="4" bestFit="1" customWidth="1"/>
    <col min="28" max="31" width="14.52734375" style="4" customWidth="1"/>
    <col min="32" max="33" width="14.52734375" style="4" hidden="1" customWidth="1"/>
    <col min="34" max="34" width="14.52734375" style="4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105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70" t="s">
        <v>97</v>
      </c>
      <c r="J4" s="70" t="s">
        <v>97</v>
      </c>
      <c r="K4" s="59" t="s">
        <v>104</v>
      </c>
      <c r="L4" s="59" t="s">
        <v>104</v>
      </c>
      <c r="M4" s="70" t="s">
        <v>97</v>
      </c>
      <c r="N4" s="70" t="s">
        <v>97</v>
      </c>
      <c r="O4" s="70" t="s">
        <v>97</v>
      </c>
      <c r="P4" s="70" t="s">
        <v>97</v>
      </c>
      <c r="Q4" s="70" t="s">
        <v>97</v>
      </c>
      <c r="R4" s="59" t="s">
        <v>104</v>
      </c>
      <c r="S4" s="59" t="s">
        <v>104</v>
      </c>
      <c r="T4" s="70" t="s">
        <v>97</v>
      </c>
      <c r="U4" s="70" t="s">
        <v>97</v>
      </c>
      <c r="V4" s="70" t="s">
        <v>97</v>
      </c>
      <c r="W4" s="70" t="s">
        <v>97</v>
      </c>
      <c r="X4" s="70" t="s">
        <v>97</v>
      </c>
      <c r="Y4" s="59" t="s">
        <v>104</v>
      </c>
      <c r="Z4" s="59" t="s">
        <v>104</v>
      </c>
      <c r="AA4" s="70" t="s">
        <v>97</v>
      </c>
      <c r="AB4" s="70" t="s">
        <v>97</v>
      </c>
      <c r="AC4" s="70" t="s">
        <v>97</v>
      </c>
      <c r="AD4" s="70" t="s">
        <v>97</v>
      </c>
      <c r="AE4" s="70" t="s">
        <v>97</v>
      </c>
      <c r="AF4" s="59" t="s">
        <v>104</v>
      </c>
      <c r="AG4" s="59" t="s">
        <v>104</v>
      </c>
      <c r="AH4" s="70" t="s">
        <v>97</v>
      </c>
      <c r="AI4" s="57"/>
    </row>
    <row r="5" spans="2:35" s="11" customFormat="1" x14ac:dyDescent="0.2">
      <c r="B5" s="113"/>
      <c r="C5" s="113"/>
      <c r="D5" s="10">
        <v>42217</v>
      </c>
      <c r="E5" s="10">
        <f>D5+1</f>
        <v>42218</v>
      </c>
      <c r="F5" s="10">
        <f t="shared" ref="F5:AH5" si="0">E5+1</f>
        <v>42219</v>
      </c>
      <c r="G5" s="10">
        <f t="shared" si="0"/>
        <v>42220</v>
      </c>
      <c r="H5" s="10">
        <f t="shared" si="0"/>
        <v>42221</v>
      </c>
      <c r="I5" s="10">
        <f t="shared" si="0"/>
        <v>42222</v>
      </c>
      <c r="J5" s="10">
        <f t="shared" si="0"/>
        <v>42223</v>
      </c>
      <c r="K5" s="10">
        <f t="shared" si="0"/>
        <v>42224</v>
      </c>
      <c r="L5" s="10">
        <f t="shared" si="0"/>
        <v>42225</v>
      </c>
      <c r="M5" s="10">
        <f t="shared" si="0"/>
        <v>42226</v>
      </c>
      <c r="N5" s="10">
        <f t="shared" si="0"/>
        <v>42227</v>
      </c>
      <c r="O5" s="10">
        <f t="shared" si="0"/>
        <v>42228</v>
      </c>
      <c r="P5" s="10">
        <f t="shared" si="0"/>
        <v>42229</v>
      </c>
      <c r="Q5" s="10">
        <f t="shared" si="0"/>
        <v>42230</v>
      </c>
      <c r="R5" s="10">
        <f t="shared" si="0"/>
        <v>42231</v>
      </c>
      <c r="S5" s="10">
        <f t="shared" si="0"/>
        <v>42232</v>
      </c>
      <c r="T5" s="10">
        <f t="shared" si="0"/>
        <v>42233</v>
      </c>
      <c r="U5" s="10">
        <f t="shared" si="0"/>
        <v>42234</v>
      </c>
      <c r="V5" s="10">
        <f t="shared" si="0"/>
        <v>42235</v>
      </c>
      <c r="W5" s="10">
        <f t="shared" si="0"/>
        <v>42236</v>
      </c>
      <c r="X5" s="10">
        <f t="shared" si="0"/>
        <v>42237</v>
      </c>
      <c r="Y5" s="10">
        <f t="shared" si="0"/>
        <v>42238</v>
      </c>
      <c r="Z5" s="10">
        <f t="shared" si="0"/>
        <v>42239</v>
      </c>
      <c r="AA5" s="10">
        <f t="shared" si="0"/>
        <v>42240</v>
      </c>
      <c r="AB5" s="10">
        <f t="shared" si="0"/>
        <v>42241</v>
      </c>
      <c r="AC5" s="10">
        <f t="shared" si="0"/>
        <v>42242</v>
      </c>
      <c r="AD5" s="10">
        <f t="shared" si="0"/>
        <v>42243</v>
      </c>
      <c r="AE5" s="10">
        <f t="shared" si="0"/>
        <v>42244</v>
      </c>
      <c r="AF5" s="10">
        <f t="shared" si="0"/>
        <v>42245</v>
      </c>
      <c r="AG5" s="10">
        <f t="shared" si="0"/>
        <v>42246</v>
      </c>
      <c r="AH5" s="10">
        <f t="shared" si="0"/>
        <v>42247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Julho!AH77</f>
        <v>10130.978699999803</v>
      </c>
      <c r="E6" s="13">
        <f t="shared" ref="E6:AH6" si="1">D77</f>
        <v>10130.978699999803</v>
      </c>
      <c r="F6" s="13">
        <f t="shared" si="1"/>
        <v>10130.978699999803</v>
      </c>
      <c r="G6" s="13">
        <f t="shared" si="1"/>
        <v>50850.2486999998</v>
      </c>
      <c r="H6" s="13">
        <f t="shared" si="1"/>
        <v>102551.2086999998</v>
      </c>
      <c r="I6" s="13">
        <f t="shared" si="1"/>
        <v>91679.958699999785</v>
      </c>
      <c r="J6" s="13">
        <f t="shared" si="1"/>
        <v>121076.74869999978</v>
      </c>
      <c r="K6" s="13">
        <f t="shared" si="1"/>
        <v>141336.17869999979</v>
      </c>
      <c r="L6" s="13">
        <f t="shared" si="1"/>
        <v>141336.17869999979</v>
      </c>
      <c r="M6" s="13">
        <f t="shared" si="1"/>
        <v>141336.17869999979</v>
      </c>
      <c r="N6" s="13">
        <f t="shared" si="1"/>
        <v>78190.268699999782</v>
      </c>
      <c r="O6" s="13">
        <f t="shared" si="1"/>
        <v>160539.98869999981</v>
      </c>
      <c r="P6" s="13">
        <f t="shared" si="1"/>
        <v>183230.2586999998</v>
      </c>
      <c r="Q6" s="13">
        <f t="shared" si="1"/>
        <v>210643.76869999978</v>
      </c>
      <c r="R6" s="13">
        <f t="shared" si="1"/>
        <v>125986.60869999981</v>
      </c>
      <c r="S6" s="13">
        <f t="shared" si="1"/>
        <v>125986.60869999981</v>
      </c>
      <c r="T6" s="13">
        <f t="shared" si="1"/>
        <v>125986.60869999981</v>
      </c>
      <c r="U6" s="13">
        <f t="shared" si="1"/>
        <v>147690.74869999979</v>
      </c>
      <c r="V6" s="13">
        <f t="shared" si="1"/>
        <v>208856.72869999977</v>
      </c>
      <c r="W6" s="13">
        <f t="shared" si="1"/>
        <v>183172.16869999978</v>
      </c>
      <c r="X6" s="13">
        <f t="shared" si="1"/>
        <v>17429.968699999765</v>
      </c>
      <c r="Y6" s="13">
        <f t="shared" si="1"/>
        <v>11666.408699999767</v>
      </c>
      <c r="Z6" s="13">
        <f t="shared" si="1"/>
        <v>11666.408699999767</v>
      </c>
      <c r="AA6" s="13">
        <f t="shared" si="1"/>
        <v>11666.408699999767</v>
      </c>
      <c r="AB6" s="13">
        <f t="shared" si="1"/>
        <v>46896.878699999776</v>
      </c>
      <c r="AC6" s="13">
        <f t="shared" si="1"/>
        <v>81271.528699999762</v>
      </c>
      <c r="AD6" s="13">
        <f t="shared" si="1"/>
        <v>126557.76869999977</v>
      </c>
      <c r="AE6" s="13">
        <f t="shared" si="1"/>
        <v>155980.28869999977</v>
      </c>
      <c r="AF6" s="13">
        <f t="shared" si="1"/>
        <v>136066.71869999976</v>
      </c>
      <c r="AG6" s="13">
        <f t="shared" si="1"/>
        <v>136066.71869999976</v>
      </c>
      <c r="AH6" s="13">
        <f t="shared" si="1"/>
        <v>136066.71869999976</v>
      </c>
      <c r="AI6" s="13">
        <f>D6</f>
        <v>10130.978699999803</v>
      </c>
    </row>
    <row r="7" spans="2:35" ht="16.5" customHeight="1" x14ac:dyDescent="0.2">
      <c r="B7" s="114" t="s">
        <v>2</v>
      </c>
      <c r="C7" s="14" t="s">
        <v>50</v>
      </c>
      <c r="D7" s="15"/>
      <c r="E7" s="15"/>
      <c r="F7" s="15">
        <f>490.88</f>
        <v>490.88</v>
      </c>
      <c r="G7" s="15">
        <f>444</f>
        <v>444</v>
      </c>
      <c r="H7" s="15">
        <f>793.8+1324+434.7+90.09</f>
        <v>2642.59</v>
      </c>
      <c r="I7" s="15">
        <f>77.65</f>
        <v>77.650000000000006</v>
      </c>
      <c r="J7" s="15"/>
      <c r="K7" s="15"/>
      <c r="L7" s="15"/>
      <c r="M7" s="95">
        <f>298+341.25+286.65</f>
        <v>925.9</v>
      </c>
      <c r="N7" s="15">
        <f>497.7+2080+1456.04</f>
        <v>4033.74</v>
      </c>
      <c r="O7" s="15">
        <f>409.5+262.5+360</f>
        <v>1032</v>
      </c>
      <c r="P7" s="15">
        <f>409.5+724.5</f>
        <v>1134</v>
      </c>
      <c r="Q7" s="15">
        <f>419.48+3000+3180+537.75</f>
        <v>7137.23</v>
      </c>
      <c r="R7" s="15"/>
      <c r="S7" s="15"/>
      <c r="T7" s="15">
        <f>218.25+491+262.5+456</f>
        <v>1427.75</v>
      </c>
      <c r="U7" s="15">
        <f>280+2240+912.44</f>
        <v>3432.44</v>
      </c>
      <c r="V7" s="15">
        <f>199.5+2531+1050+792</f>
        <v>4572.5</v>
      </c>
      <c r="W7" s="15">
        <f>1000</f>
        <v>1000</v>
      </c>
      <c r="X7" s="15">
        <f>3683.51+1090</f>
        <v>4773.51</v>
      </c>
      <c r="Y7" s="15"/>
      <c r="Z7" s="15"/>
      <c r="AA7" s="15">
        <f>745.5+1648.5</f>
        <v>2394</v>
      </c>
      <c r="AB7" s="15"/>
      <c r="AC7" s="15">
        <f>30000+456.22</f>
        <v>30456.22</v>
      </c>
      <c r="AD7" s="15"/>
      <c r="AE7" s="15">
        <f>991.2</f>
        <v>991.2</v>
      </c>
      <c r="AF7" s="15"/>
      <c r="AG7" s="15"/>
      <c r="AH7" s="15">
        <f>462</f>
        <v>462</v>
      </c>
      <c r="AI7" s="16">
        <f>SUM(D7:AH7)</f>
        <v>67427.61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/>
      <c r="P8" s="18">
        <f>520.41+2199.69+116.5+159.81+184.2+209.3+416+440.3+448.6+486.15+652.15+815.16</f>
        <v>6648.2699999999995</v>
      </c>
      <c r="Q8" s="18"/>
      <c r="R8" s="18"/>
      <c r="S8" s="18"/>
      <c r="T8" s="18"/>
      <c r="U8" s="18"/>
      <c r="V8" s="18"/>
      <c r="W8" s="18">
        <f>33.3+163.5+210.26+235.5+402.2+964.18+1242.3+1399.97</f>
        <v>4651.21</v>
      </c>
      <c r="X8" s="18"/>
      <c r="Y8" s="18"/>
      <c r="Z8" s="18"/>
      <c r="AA8" s="18">
        <f>385.2+848.75+1118.7+1623.6+2633.89</f>
        <v>6610.1399999999994</v>
      </c>
      <c r="AB8" s="18"/>
      <c r="AC8" s="18"/>
      <c r="AD8" s="18"/>
      <c r="AE8" s="18"/>
      <c r="AF8" s="18"/>
      <c r="AG8" s="18"/>
      <c r="AH8" s="18">
        <f>719.51+169.05+188.53+551.05+626.4+1283.87+2375.47</f>
        <v>5913.8799999999992</v>
      </c>
      <c r="AI8" s="16">
        <f t="shared" ref="AI8:AI17" si="2">SUM(D8:AH8)</f>
        <v>23823.5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/>
      <c r="E11" s="18"/>
      <c r="F11" s="18">
        <f>4148.66+1178.96+2317.7+646.8+1732.5</f>
        <v>10024.619999999999</v>
      </c>
      <c r="G11" s="18">
        <f>35447.89</f>
        <v>35447.89</v>
      </c>
      <c r="H11" s="18">
        <f>4229.95+1000+4902.46+215.6</f>
        <v>10348.01</v>
      </c>
      <c r="I11" s="18">
        <f>7161.01+622.12</f>
        <v>7783.13</v>
      </c>
      <c r="J11" s="18">
        <f>5608.65+668.32+2604+1283.1</f>
        <v>10164.07</v>
      </c>
      <c r="K11" s="18"/>
      <c r="L11" s="18"/>
      <c r="M11" s="18">
        <f>11635.02+472.5+294+294+231+2275.32</f>
        <v>15201.84</v>
      </c>
      <c r="N11" s="18">
        <f>13781.52+33219.8+934.5+606+852.86+7200.5</f>
        <v>56595.180000000008</v>
      </c>
      <c r="O11" s="18">
        <f>2498+509.6+273.95+320.85</f>
        <v>3602.3999999999996</v>
      </c>
      <c r="P11" s="18">
        <f>238.35+1092.45+420.8</f>
        <v>1751.6</v>
      </c>
      <c r="Q11" s="18">
        <f>991.2+3590.95+594.3+284.55+661.5</f>
        <v>6122.5</v>
      </c>
      <c r="R11" s="18"/>
      <c r="S11" s="18"/>
      <c r="T11" s="18">
        <f>1772+2420+659.2+882+474+646.8+2340.03+215.6+862.4</f>
        <v>10272.030000000001</v>
      </c>
      <c r="U11" s="18">
        <f>10704.9+22152.55+206+431.2+5974.98+3995.53</f>
        <v>43465.159999999989</v>
      </c>
      <c r="V11" s="18">
        <f>1732.3+4513.3+1145.04+1622.88+6009.55</f>
        <v>15023.07</v>
      </c>
      <c r="W11" s="18">
        <f>2099.87+1965.15+997.5+219.71+1628.03+832.8</f>
        <v>7743.06</v>
      </c>
      <c r="X11" s="18">
        <f>566.2+12132+4301.6+431.2+294</f>
        <v>17725.000000000004</v>
      </c>
      <c r="Y11" s="18"/>
      <c r="Z11" s="18"/>
      <c r="AA11" s="18">
        <f>1245.3+7074+4349.2+561.4+1886.6</f>
        <v>15116.5</v>
      </c>
      <c r="AB11" s="18">
        <f>2406.34+33385.29+31390+431.2</f>
        <v>67612.83</v>
      </c>
      <c r="AC11" s="18">
        <f>2519.3+840+1858.5+569.1+3452.4+3672.9+199.24+495.6</f>
        <v>13607.04</v>
      </c>
      <c r="AD11" s="18">
        <f>237.5+4571.98+569.1+1291.5+1564.5+588+1606.28</f>
        <v>10428.86</v>
      </c>
      <c r="AE11" s="18">
        <f>7169.58+1171.8+211.75</f>
        <v>8553.1299999999992</v>
      </c>
      <c r="AF11" s="18"/>
      <c r="AG11" s="18"/>
      <c r="AH11" s="18">
        <f>9302.22+606</f>
        <v>9908.2199999999993</v>
      </c>
      <c r="AI11" s="16">
        <f t="shared" si="2"/>
        <v>376496.13999999996</v>
      </c>
    </row>
    <row r="12" spans="2:35" ht="16.5" customHeight="1" x14ac:dyDescent="0.2">
      <c r="B12" s="115"/>
      <c r="C12" s="17" t="s">
        <v>90</v>
      </c>
      <c r="D12" s="18"/>
      <c r="E12" s="18"/>
      <c r="F12" s="18">
        <v>1.01</v>
      </c>
      <c r="G12" s="18">
        <v>2.09</v>
      </c>
      <c r="H12" s="18"/>
      <c r="I12" s="18">
        <v>4.3099999999999996</v>
      </c>
      <c r="J12" s="18">
        <v>2.88</v>
      </c>
      <c r="K12" s="18"/>
      <c r="L12" s="18"/>
      <c r="M12" s="18">
        <f>10+1.59</f>
        <v>11.59</v>
      </c>
      <c r="N12" s="18">
        <v>3.21</v>
      </c>
      <c r="O12" s="18">
        <v>3.73</v>
      </c>
      <c r="P12" s="18">
        <v>4.26</v>
      </c>
      <c r="Q12" s="18">
        <f>22227.96+2.56</f>
        <v>22230.52</v>
      </c>
      <c r="R12" s="18"/>
      <c r="S12" s="18"/>
      <c r="T12" s="18">
        <v>2.96</v>
      </c>
      <c r="U12" s="18">
        <v>4.1900000000000004</v>
      </c>
      <c r="V12" s="18">
        <v>3.71</v>
      </c>
      <c r="W12" s="18">
        <v>0.36</v>
      </c>
      <c r="X12" s="18">
        <v>0.23</v>
      </c>
      <c r="Y12" s="18"/>
      <c r="Z12" s="18"/>
      <c r="AA12" s="18">
        <f>298+0.85</f>
        <v>298.85000000000002</v>
      </c>
      <c r="AB12" s="18">
        <v>1.65</v>
      </c>
      <c r="AC12" s="18">
        <v>1.95</v>
      </c>
      <c r="AD12" s="18">
        <v>3.16</v>
      </c>
      <c r="AE12" s="18">
        <v>2.76</v>
      </c>
      <c r="AF12" s="18"/>
      <c r="AG12" s="18"/>
      <c r="AH12" s="18">
        <v>0.77</v>
      </c>
      <c r="AI12" s="16">
        <f t="shared" si="2"/>
        <v>22584.19</v>
      </c>
    </row>
    <row r="13" spans="2:35" ht="16.5" customHeight="1" x14ac:dyDescent="0.2">
      <c r="B13" s="115"/>
      <c r="C13" s="17" t="s">
        <v>49</v>
      </c>
      <c r="D13" s="18"/>
      <c r="E13" s="18"/>
      <c r="F13" s="18">
        <v>3177.89</v>
      </c>
      <c r="G13" s="18"/>
      <c r="H13" s="18">
        <f>6189.4</f>
        <v>6189.4</v>
      </c>
      <c r="I13" s="18">
        <v>675.7</v>
      </c>
      <c r="J13" s="18">
        <v>1465.52</v>
      </c>
      <c r="K13" s="18"/>
      <c r="L13" s="18"/>
      <c r="M13" s="18">
        <v>10371.31</v>
      </c>
      <c r="N13" s="18">
        <v>3570.33</v>
      </c>
      <c r="O13" s="18">
        <v>507.15</v>
      </c>
      <c r="P13" s="18">
        <v>3727.67</v>
      </c>
      <c r="Q13" s="18">
        <v>3174.76</v>
      </c>
      <c r="R13" s="18"/>
      <c r="S13" s="18"/>
      <c r="T13" s="18">
        <v>3679.87</v>
      </c>
      <c r="U13" s="18"/>
      <c r="V13" s="18">
        <v>1786.47</v>
      </c>
      <c r="W13" s="18">
        <v>3737.3</v>
      </c>
      <c r="X13" s="18">
        <v>2871.65</v>
      </c>
      <c r="Y13" s="18"/>
      <c r="Z13" s="18"/>
      <c r="AA13" s="18">
        <v>7635.04</v>
      </c>
      <c r="AB13" s="18">
        <v>1334.67</v>
      </c>
      <c r="AC13" s="18">
        <v>4975.43</v>
      </c>
      <c r="AD13" s="18">
        <v>2825.98</v>
      </c>
      <c r="AE13" s="18">
        <v>5795.95</v>
      </c>
      <c r="AF13" s="18"/>
      <c r="AG13" s="18"/>
      <c r="AH13" s="18">
        <f>6607.69</f>
        <v>6607.69</v>
      </c>
      <c r="AI13" s="16">
        <f t="shared" si="2"/>
        <v>74109.780000000013</v>
      </c>
    </row>
    <row r="14" spans="2:35" ht="16.5" customHeight="1" x14ac:dyDescent="0.2">
      <c r="B14" s="115"/>
      <c r="C14" s="17" t="s">
        <v>54</v>
      </c>
      <c r="D14" s="18"/>
      <c r="E14" s="18"/>
      <c r="F14" s="18">
        <v>3067.2</v>
      </c>
      <c r="G14" s="18">
        <v>1901.7</v>
      </c>
      <c r="H14" s="18">
        <v>565.82000000000005</v>
      </c>
      <c r="I14" s="18">
        <v>376.58</v>
      </c>
      <c r="J14" s="18">
        <v>1226.99</v>
      </c>
      <c r="K14" s="18"/>
      <c r="L14" s="18"/>
      <c r="M14" s="18">
        <v>3349.57</v>
      </c>
      <c r="N14" s="18">
        <v>2837.13</v>
      </c>
      <c r="O14" s="18">
        <v>247.06</v>
      </c>
      <c r="P14" s="18">
        <v>397.39</v>
      </c>
      <c r="Q14" s="18">
        <v>330.76</v>
      </c>
      <c r="R14" s="18"/>
      <c r="S14" s="18"/>
      <c r="T14" s="18">
        <v>2045.55</v>
      </c>
      <c r="U14" s="18">
        <v>1410.33</v>
      </c>
      <c r="V14" s="18">
        <v>1712.52</v>
      </c>
      <c r="W14" s="18">
        <v>270.7</v>
      </c>
      <c r="X14" s="18">
        <v>205.43</v>
      </c>
      <c r="Y14" s="18"/>
      <c r="Z14" s="18"/>
      <c r="AA14" s="18">
        <f>1785.23+1883.97+3737.01</f>
        <v>7406.21</v>
      </c>
      <c r="AB14" s="18">
        <v>551.13</v>
      </c>
      <c r="AC14" s="18">
        <v>42.97</v>
      </c>
      <c r="AD14" s="18">
        <v>1612.13</v>
      </c>
      <c r="AE14" s="18">
        <v>250.49</v>
      </c>
      <c r="AF14" s="18"/>
      <c r="AG14" s="18"/>
      <c r="AH14" s="18">
        <f>50.83+195.02+2108.3</f>
        <v>2354.15</v>
      </c>
      <c r="AI14" s="16">
        <f t="shared" si="2"/>
        <v>32161.81</v>
      </c>
    </row>
    <row r="15" spans="2:35" ht="16.5" customHeight="1" x14ac:dyDescent="0.2">
      <c r="B15" s="115"/>
      <c r="C15" s="17" t="s">
        <v>55</v>
      </c>
      <c r="D15" s="18"/>
      <c r="E15" s="18"/>
      <c r="F15" s="18">
        <f>2072.2+981.2</f>
        <v>3053.3999999999996</v>
      </c>
      <c r="G15" s="18">
        <v>171.91</v>
      </c>
      <c r="H15" s="18"/>
      <c r="I15" s="18">
        <f>2929.96+155.47</f>
        <v>3085.43</v>
      </c>
      <c r="J15" s="18">
        <f>328.76+679.97</f>
        <v>1008.73</v>
      </c>
      <c r="K15" s="18"/>
      <c r="L15" s="18"/>
      <c r="M15" s="18">
        <f>1840.66+352.4</f>
        <v>2193.06</v>
      </c>
      <c r="N15" s="18">
        <f>12.95+1251.72</f>
        <v>1264.67</v>
      </c>
      <c r="O15" s="18">
        <v>46.61</v>
      </c>
      <c r="P15" s="18">
        <v>114.61</v>
      </c>
      <c r="Q15" s="18">
        <f>599.18+80.06</f>
        <v>679.24</v>
      </c>
      <c r="R15" s="18"/>
      <c r="S15" s="18"/>
      <c r="T15" s="18">
        <v>2132.3000000000002</v>
      </c>
      <c r="U15" s="18">
        <v>45.13</v>
      </c>
      <c r="V15" s="18">
        <f>705.21+188.39</f>
        <v>893.6</v>
      </c>
      <c r="W15" s="18">
        <f>778.36+345.28</f>
        <v>1123.6399999999999</v>
      </c>
      <c r="X15" s="18">
        <v>1976.33</v>
      </c>
      <c r="Y15" s="18"/>
      <c r="Z15" s="18"/>
      <c r="AA15" s="18">
        <f>39.2+382.25+1134.21</f>
        <v>1555.66</v>
      </c>
      <c r="AB15" s="18">
        <v>1146.6300000000001</v>
      </c>
      <c r="AC15" s="18">
        <v>935.13</v>
      </c>
      <c r="AD15" s="18">
        <v>373.35</v>
      </c>
      <c r="AE15" s="18">
        <f>832.94</f>
        <v>832.94</v>
      </c>
      <c r="AF15" s="18"/>
      <c r="AG15" s="18"/>
      <c r="AH15" s="18">
        <f>135.85+161.89+320.8</f>
        <v>618.54</v>
      </c>
      <c r="AI15" s="16">
        <f t="shared" si="2"/>
        <v>23250.909999999996</v>
      </c>
    </row>
    <row r="16" spans="2:35" ht="16.5" customHeight="1" x14ac:dyDescent="0.2">
      <c r="B16" s="115"/>
      <c r="C16" s="17" t="s">
        <v>56</v>
      </c>
      <c r="D16" s="18"/>
      <c r="E16" s="18"/>
      <c r="F16" s="18">
        <v>32997.67</v>
      </c>
      <c r="G16" s="18">
        <v>11146.07</v>
      </c>
      <c r="H16" s="18">
        <v>26483.63</v>
      </c>
      <c r="I16" s="18">
        <f>11172.52</f>
        <v>11172.52</v>
      </c>
      <c r="J16" s="18">
        <v>13438.2</v>
      </c>
      <c r="K16" s="18"/>
      <c r="L16" s="18"/>
      <c r="M16" s="18">
        <v>23629.54</v>
      </c>
      <c r="N16" s="18">
        <v>8635.2800000000007</v>
      </c>
      <c r="O16" s="18">
        <v>33419.58</v>
      </c>
      <c r="P16" s="18">
        <v>8192.52</v>
      </c>
      <c r="Q16" s="18">
        <v>8906.42</v>
      </c>
      <c r="R16" s="18"/>
      <c r="S16" s="18"/>
      <c r="T16" s="18">
        <v>32548.11</v>
      </c>
      <c r="U16" s="18">
        <v>7205.72</v>
      </c>
      <c r="V16" s="18">
        <v>11003.06</v>
      </c>
      <c r="W16" s="18">
        <v>7619.26</v>
      </c>
      <c r="X16" s="18">
        <v>10763.18</v>
      </c>
      <c r="Y16" s="18"/>
      <c r="Z16" s="18"/>
      <c r="AA16" s="18">
        <v>27837.42</v>
      </c>
      <c r="AB16" s="18">
        <v>1851.79</v>
      </c>
      <c r="AC16" s="18">
        <v>6045.23</v>
      </c>
      <c r="AD16" s="18">
        <v>10494.46</v>
      </c>
      <c r="AE16" s="18">
        <v>10412.81</v>
      </c>
      <c r="AF16" s="18"/>
      <c r="AG16" s="18"/>
      <c r="AH16" s="18">
        <v>27065.040000000001</v>
      </c>
      <c r="AI16" s="16">
        <f t="shared" si="2"/>
        <v>330867.50999999995</v>
      </c>
    </row>
    <row r="17" spans="2:35" ht="16.5" customHeight="1" x14ac:dyDescent="0.2">
      <c r="B17" s="115"/>
      <c r="C17" s="17" t="s">
        <v>48</v>
      </c>
      <c r="D17" s="18"/>
      <c r="E17" s="18"/>
      <c r="F17" s="18">
        <v>13053.92</v>
      </c>
      <c r="G17" s="18">
        <v>2886.47</v>
      </c>
      <c r="H17" s="18">
        <v>1180.17</v>
      </c>
      <c r="I17" s="18">
        <v>6260.11</v>
      </c>
      <c r="J17" s="18">
        <v>1615.48</v>
      </c>
      <c r="K17" s="18"/>
      <c r="L17" s="18"/>
      <c r="M17" s="18">
        <f>8997.65+1003.31</f>
        <v>10000.959999999999</v>
      </c>
      <c r="N17" s="18">
        <f>3273.44+2282.42</f>
        <v>5555.8600000000006</v>
      </c>
      <c r="O17" s="18">
        <v>2832.68</v>
      </c>
      <c r="P17" s="18">
        <v>5840.14</v>
      </c>
      <c r="Q17" s="18">
        <v>3728.58</v>
      </c>
      <c r="R17" s="18"/>
      <c r="S17" s="18"/>
      <c r="T17" s="18">
        <f>11730.75+171.05</f>
        <v>11901.8</v>
      </c>
      <c r="U17" s="18">
        <v>5647.17</v>
      </c>
      <c r="V17" s="18">
        <v>2979.57</v>
      </c>
      <c r="W17" s="18">
        <v>3890.96</v>
      </c>
      <c r="X17" s="18">
        <v>1885.38</v>
      </c>
      <c r="Y17" s="18"/>
      <c r="Z17" s="18"/>
      <c r="AA17" s="18">
        <v>7310.33</v>
      </c>
      <c r="AB17" s="18">
        <v>5191.26</v>
      </c>
      <c r="AC17" s="18">
        <v>2660.88</v>
      </c>
      <c r="AD17" s="18">
        <v>3854.11</v>
      </c>
      <c r="AE17" s="18">
        <f>1277.89+67.29</f>
        <v>1345.18</v>
      </c>
      <c r="AF17" s="18"/>
      <c r="AG17" s="18"/>
      <c r="AH17" s="18">
        <v>7220.71</v>
      </c>
      <c r="AI17" s="16">
        <f t="shared" si="2"/>
        <v>106841.72000000002</v>
      </c>
    </row>
    <row r="18" spans="2:35" ht="16.5" customHeight="1" x14ac:dyDescent="0.2">
      <c r="B18" s="115"/>
      <c r="C18" s="21" t="s">
        <v>31</v>
      </c>
      <c r="D18" s="22">
        <f t="shared" ref="D18:AG18" si="3">SUM(D7:D17)</f>
        <v>0</v>
      </c>
      <c r="E18" s="22">
        <f t="shared" si="3"/>
        <v>0</v>
      </c>
      <c r="F18" s="22">
        <f t="shared" si="3"/>
        <v>65866.59</v>
      </c>
      <c r="G18" s="22">
        <f t="shared" si="3"/>
        <v>52000.13</v>
      </c>
      <c r="H18" s="22">
        <f t="shared" si="3"/>
        <v>47409.619999999995</v>
      </c>
      <c r="I18" s="22">
        <f t="shared" si="3"/>
        <v>29435.43</v>
      </c>
      <c r="J18" s="22">
        <f t="shared" si="3"/>
        <v>28921.87</v>
      </c>
      <c r="K18" s="22">
        <f t="shared" si="3"/>
        <v>0</v>
      </c>
      <c r="L18" s="22">
        <f t="shared" si="3"/>
        <v>0</v>
      </c>
      <c r="M18" s="22">
        <f t="shared" si="3"/>
        <v>65683.76999999999</v>
      </c>
      <c r="N18" s="22">
        <f t="shared" si="3"/>
        <v>82495.400000000009</v>
      </c>
      <c r="O18" s="22">
        <f t="shared" si="3"/>
        <v>41691.21</v>
      </c>
      <c r="P18" s="22">
        <f t="shared" si="3"/>
        <v>27810.46</v>
      </c>
      <c r="Q18" s="22">
        <f t="shared" si="3"/>
        <v>52310.01</v>
      </c>
      <c r="R18" s="22">
        <f t="shared" si="3"/>
        <v>0</v>
      </c>
      <c r="S18" s="22">
        <f t="shared" si="3"/>
        <v>0</v>
      </c>
      <c r="T18" s="22">
        <f t="shared" si="3"/>
        <v>64010.369999999995</v>
      </c>
      <c r="U18" s="22">
        <f t="shared" si="3"/>
        <v>61210.139999999992</v>
      </c>
      <c r="V18" s="22">
        <f t="shared" si="3"/>
        <v>37974.5</v>
      </c>
      <c r="W18" s="22">
        <f t="shared" si="3"/>
        <v>30036.489999999998</v>
      </c>
      <c r="X18" s="22">
        <f t="shared" si="3"/>
        <v>40200.71</v>
      </c>
      <c r="Y18" s="22">
        <f t="shared" si="3"/>
        <v>0</v>
      </c>
      <c r="Z18" s="22">
        <f t="shared" si="3"/>
        <v>0</v>
      </c>
      <c r="AA18" s="22">
        <f t="shared" si="3"/>
        <v>76164.150000000009</v>
      </c>
      <c r="AB18" s="22">
        <f t="shared" si="3"/>
        <v>77689.959999999992</v>
      </c>
      <c r="AC18" s="22">
        <f t="shared" si="3"/>
        <v>58724.85</v>
      </c>
      <c r="AD18" s="22">
        <f t="shared" si="3"/>
        <v>29592.050000000003</v>
      </c>
      <c r="AE18" s="22">
        <f t="shared" si="3"/>
        <v>28184.46</v>
      </c>
      <c r="AF18" s="22">
        <f t="shared" si="3"/>
        <v>0</v>
      </c>
      <c r="AG18" s="22">
        <f t="shared" si="3"/>
        <v>0</v>
      </c>
      <c r="AH18" s="22">
        <f t="shared" ref="AH18" si="4">SUM(AH7:AH17)</f>
        <v>60151</v>
      </c>
      <c r="AI18" s="23">
        <f>SUM(D18:AH18)</f>
        <v>1057563.17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5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>
        <f>(59742.57+1680.8+1113.2+112.2+768.9+79.2+618.75+128.7+37836+540.54+288.27)-291</f>
        <v>102618.12999999999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f>72445.58-5897.3</f>
        <v>66548.28</v>
      </c>
      <c r="AI21" s="19">
        <f t="shared" si="5"/>
        <v>169166.40999999997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5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5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W24" s="26"/>
      <c r="Y24" s="26"/>
      <c r="Z24" s="26"/>
      <c r="AA24" s="58"/>
      <c r="AC24" s="26">
        <v>420</v>
      </c>
      <c r="AD24" s="26"/>
      <c r="AE24" s="26"/>
      <c r="AF24" s="26"/>
      <c r="AG24" s="26"/>
      <c r="AH24" s="26"/>
      <c r="AI24" s="19">
        <f t="shared" si="5"/>
        <v>420</v>
      </c>
    </row>
    <row r="25" spans="2:35" ht="16.5" customHeight="1" x14ac:dyDescent="0.2">
      <c r="B25" s="117"/>
      <c r="C25" s="28" t="s">
        <v>62</v>
      </c>
      <c r="D25" s="29">
        <f t="shared" ref="D25:AH25" si="6">-SUM(D19:D24)</f>
        <v>0</v>
      </c>
      <c r="E25" s="29">
        <f t="shared" si="6"/>
        <v>0</v>
      </c>
      <c r="F25" s="29">
        <f t="shared" si="6"/>
        <v>0</v>
      </c>
      <c r="G25" s="29">
        <f t="shared" si="6"/>
        <v>0</v>
      </c>
      <c r="H25" s="29">
        <f t="shared" si="6"/>
        <v>0</v>
      </c>
      <c r="I25" s="29">
        <f t="shared" si="6"/>
        <v>0</v>
      </c>
      <c r="J25" s="29">
        <f t="shared" si="6"/>
        <v>0</v>
      </c>
      <c r="K25" s="29">
        <f t="shared" si="6"/>
        <v>0</v>
      </c>
      <c r="L25" s="29">
        <f t="shared" si="6"/>
        <v>0</v>
      </c>
      <c r="M25" s="29">
        <f t="shared" si="6"/>
        <v>0</v>
      </c>
      <c r="N25" s="29">
        <f t="shared" si="6"/>
        <v>0</v>
      </c>
      <c r="O25" s="29">
        <f t="shared" si="6"/>
        <v>0</v>
      </c>
      <c r="P25" s="29">
        <f t="shared" si="6"/>
        <v>0</v>
      </c>
      <c r="Q25" s="29">
        <f t="shared" si="6"/>
        <v>-102618.12999999999</v>
      </c>
      <c r="R25" s="29">
        <f>-SUM(R19:R24)</f>
        <v>0</v>
      </c>
      <c r="S25" s="29">
        <f t="shared" si="6"/>
        <v>0</v>
      </c>
      <c r="T25" s="29">
        <f>-SUM(T19:T24)</f>
        <v>0</v>
      </c>
      <c r="U25" s="29">
        <f t="shared" si="6"/>
        <v>0</v>
      </c>
      <c r="V25" s="29">
        <f t="shared" si="6"/>
        <v>0</v>
      </c>
      <c r="W25" s="29">
        <f t="shared" si="6"/>
        <v>0</v>
      </c>
      <c r="X25" s="29">
        <f>-SUM(X19:X24)</f>
        <v>0</v>
      </c>
      <c r="Y25" s="29">
        <f t="shared" si="6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-420</v>
      </c>
      <c r="AD25" s="29">
        <f>-SUM(AD19:AD24)</f>
        <v>0</v>
      </c>
      <c r="AE25" s="29">
        <f t="shared" si="6"/>
        <v>0</v>
      </c>
      <c r="AF25" s="29">
        <f>-SUM(AF19:AF24)</f>
        <v>0</v>
      </c>
      <c r="AG25" s="29">
        <f t="shared" si="6"/>
        <v>0</v>
      </c>
      <c r="AH25" s="29">
        <f t="shared" si="6"/>
        <v>-66548.28</v>
      </c>
      <c r="AI25" s="29">
        <f>-SUM(AI19:AI24)</f>
        <v>-169586.40999999997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26"/>
      <c r="V26" s="58"/>
      <c r="W26" s="26"/>
      <c r="X26" s="26"/>
      <c r="Y26" s="26"/>
      <c r="Z26" s="26"/>
      <c r="AA26" s="26"/>
      <c r="AB26" s="26"/>
      <c r="AC26" s="26"/>
      <c r="AD26" s="26"/>
      <c r="AE26" s="26">
        <f>391.38+174.38</f>
        <v>565.76</v>
      </c>
      <c r="AF26" s="26"/>
      <c r="AG26" s="26"/>
      <c r="AH26" s="26"/>
      <c r="AI26" s="19">
        <f>SUM(D26:AH26)</f>
        <v>565.76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4">
        <f>101.25+240.77+31.91+56.25+21.66</f>
        <v>451.84000000000003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7">SUM(D27:AH27)</f>
        <v>451.84000000000003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f>587.15+51069.28</f>
        <v>51656.43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7"/>
        <v>51656.43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7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7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v>24040.799999999999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7"/>
        <v>24040.799999999999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58"/>
      <c r="AB32" s="26">
        <v>6194.6</v>
      </c>
      <c r="AC32" s="26"/>
      <c r="AD32" s="26"/>
      <c r="AE32" s="26"/>
      <c r="AF32" s="26"/>
      <c r="AG32" s="26"/>
      <c r="AH32" s="26"/>
      <c r="AI32" s="19">
        <f t="shared" si="7"/>
        <v>6194.6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58"/>
      <c r="AB33" s="26">
        <v>28590.43</v>
      </c>
      <c r="AC33" s="26"/>
      <c r="AD33" s="26"/>
      <c r="AE33" s="26"/>
      <c r="AF33" s="26"/>
      <c r="AG33" s="26"/>
      <c r="AH33" s="26"/>
      <c r="AI33" s="19">
        <f t="shared" si="7"/>
        <v>28590.43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7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7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8">-SUM(E26:E35)</f>
        <v>0</v>
      </c>
      <c r="F36" s="29">
        <f t="shared" si="8"/>
        <v>0</v>
      </c>
      <c r="G36" s="29">
        <f t="shared" si="8"/>
        <v>0</v>
      </c>
      <c r="H36" s="29">
        <f t="shared" si="8"/>
        <v>0</v>
      </c>
      <c r="I36" s="29">
        <f t="shared" si="8"/>
        <v>0</v>
      </c>
      <c r="J36" s="29">
        <f t="shared" si="8"/>
        <v>0</v>
      </c>
      <c r="K36" s="29">
        <f t="shared" si="8"/>
        <v>0</v>
      </c>
      <c r="L36" s="29">
        <f t="shared" si="8"/>
        <v>0</v>
      </c>
      <c r="M36" s="29">
        <f t="shared" si="8"/>
        <v>-75697.23</v>
      </c>
      <c r="N36" s="29">
        <f t="shared" si="8"/>
        <v>0</v>
      </c>
      <c r="O36" s="29">
        <f t="shared" si="8"/>
        <v>0</v>
      </c>
      <c r="P36" s="29">
        <f t="shared" si="8"/>
        <v>0</v>
      </c>
      <c r="Q36" s="29">
        <f t="shared" ref="Q36:AH36" si="9">-SUM(Q26:Q35)</f>
        <v>0</v>
      </c>
      <c r="R36" s="29">
        <f t="shared" si="9"/>
        <v>0</v>
      </c>
      <c r="S36" s="29">
        <f t="shared" si="9"/>
        <v>0</v>
      </c>
      <c r="T36" s="29">
        <f>-SUM(T26:T35)</f>
        <v>0</v>
      </c>
      <c r="U36" s="29">
        <f t="shared" si="9"/>
        <v>0</v>
      </c>
      <c r="V36" s="29">
        <f t="shared" si="9"/>
        <v>-451.84000000000003</v>
      </c>
      <c r="W36" s="29">
        <f t="shared" si="9"/>
        <v>0</v>
      </c>
      <c r="X36" s="29">
        <f>-SUM(X26:X35)</f>
        <v>0</v>
      </c>
      <c r="Y36" s="29">
        <f t="shared" si="9"/>
        <v>0</v>
      </c>
      <c r="Z36" s="29">
        <f t="shared" si="9"/>
        <v>0</v>
      </c>
      <c r="AA36" s="29">
        <f t="shared" si="9"/>
        <v>0</v>
      </c>
      <c r="AB36" s="29">
        <f t="shared" si="9"/>
        <v>-34785.03</v>
      </c>
      <c r="AC36" s="29">
        <f t="shared" si="9"/>
        <v>0</v>
      </c>
      <c r="AD36" s="29">
        <f t="shared" si="9"/>
        <v>0</v>
      </c>
      <c r="AE36" s="29">
        <f t="shared" si="9"/>
        <v>-565.76</v>
      </c>
      <c r="AF36" s="29">
        <f>-SUM(AF26:AF35)</f>
        <v>0</v>
      </c>
      <c r="AG36" s="29">
        <f t="shared" si="9"/>
        <v>0</v>
      </c>
      <c r="AH36" s="29">
        <f t="shared" si="9"/>
        <v>0</v>
      </c>
      <c r="AI36" s="29">
        <f>-SUM(AI26:AI35)</f>
        <v>-111499.86000000002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>
        <f>14.37+14.6</f>
        <v>28.97</v>
      </c>
      <c r="I38" s="18"/>
      <c r="J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10">SUM(D38:AH38)</f>
        <v>28.97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0"/>
        <v>0</v>
      </c>
    </row>
    <row r="40" spans="2:35" ht="16.5" customHeight="1" x14ac:dyDescent="0.2">
      <c r="B40" s="117"/>
      <c r="C40" s="28" t="s">
        <v>9</v>
      </c>
      <c r="D40" s="29">
        <f t="shared" ref="D40:AI40" si="11">-SUM(D37:D39)</f>
        <v>0</v>
      </c>
      <c r="E40" s="29">
        <f t="shared" si="11"/>
        <v>0</v>
      </c>
      <c r="F40" s="29">
        <f t="shared" si="11"/>
        <v>0</v>
      </c>
      <c r="G40" s="29">
        <f t="shared" si="11"/>
        <v>0</v>
      </c>
      <c r="H40" s="29">
        <f t="shared" si="11"/>
        <v>-28.97</v>
      </c>
      <c r="I40" s="29">
        <f t="shared" si="11"/>
        <v>0</v>
      </c>
      <c r="J40" s="29">
        <f t="shared" si="11"/>
        <v>0</v>
      </c>
      <c r="K40" s="29">
        <f t="shared" si="11"/>
        <v>0</v>
      </c>
      <c r="L40" s="29">
        <f t="shared" si="11"/>
        <v>0</v>
      </c>
      <c r="M40" s="29">
        <f t="shared" si="11"/>
        <v>0</v>
      </c>
      <c r="N40" s="29">
        <f t="shared" si="11"/>
        <v>0</v>
      </c>
      <c r="O40" s="29">
        <f t="shared" si="11"/>
        <v>0</v>
      </c>
      <c r="P40" s="29">
        <f t="shared" si="11"/>
        <v>0</v>
      </c>
      <c r="Q40" s="29">
        <f t="shared" si="11"/>
        <v>0</v>
      </c>
      <c r="R40" s="29">
        <f t="shared" si="11"/>
        <v>0</v>
      </c>
      <c r="S40" s="29">
        <f t="shared" si="11"/>
        <v>0</v>
      </c>
      <c r="T40" s="29">
        <f t="shared" si="11"/>
        <v>0</v>
      </c>
      <c r="U40" s="29">
        <f t="shared" si="11"/>
        <v>0</v>
      </c>
      <c r="V40" s="29">
        <f t="shared" si="11"/>
        <v>0</v>
      </c>
      <c r="W40" s="29">
        <f t="shared" si="11"/>
        <v>0</v>
      </c>
      <c r="X40" s="29">
        <f t="shared" si="11"/>
        <v>0</v>
      </c>
      <c r="Y40" s="29">
        <f t="shared" si="11"/>
        <v>0</v>
      </c>
      <c r="Z40" s="29">
        <f t="shared" si="11"/>
        <v>0</v>
      </c>
      <c r="AA40" s="29">
        <f t="shared" si="11"/>
        <v>0</v>
      </c>
      <c r="AB40" s="29">
        <f t="shared" si="11"/>
        <v>0</v>
      </c>
      <c r="AC40" s="29">
        <f t="shared" si="11"/>
        <v>0</v>
      </c>
      <c r="AD40" s="29">
        <f t="shared" si="11"/>
        <v>0</v>
      </c>
      <c r="AE40" s="29">
        <f t="shared" si="11"/>
        <v>0</v>
      </c>
      <c r="AF40" s="29">
        <f t="shared" si="11"/>
        <v>0</v>
      </c>
      <c r="AG40" s="29">
        <f t="shared" si="11"/>
        <v>0</v>
      </c>
      <c r="AH40" s="29">
        <f t="shared" si="11"/>
        <v>0</v>
      </c>
      <c r="AI40" s="29">
        <f t="shared" si="11"/>
        <v>-28.97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(1400*159+0.42)-(1430.27+1514.45+6947.14+8355.85+5974.5+8918.34+20591.8+1458.81)</f>
        <v>167409.26</v>
      </c>
      <c r="X41" s="18">
        <f>20591.8+6947.14+8918.34+8355.85</f>
        <v>44813.13</v>
      </c>
      <c r="Z41" s="18"/>
      <c r="AA41" s="18">
        <f>1430.27+1356.28+1356.28+1831.67+1458.81</f>
        <v>7433.3099999999995</v>
      </c>
      <c r="AB41" s="18"/>
      <c r="AC41" s="18"/>
      <c r="AD41" s="18"/>
      <c r="AE41" s="18"/>
      <c r="AG41" s="18"/>
      <c r="AH41" s="18"/>
      <c r="AI41" s="19">
        <f>SUM(D41:AH41)</f>
        <v>219655.7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58"/>
      <c r="AH42" s="18">
        <v>31125.84</v>
      </c>
      <c r="AI42" s="19">
        <f t="shared" ref="AI42:AI73" si="12">SUM(D42:AH42)</f>
        <v>31125.84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>
        <f>30000-Q45</f>
        <v>18397.07</v>
      </c>
      <c r="R43" s="18"/>
      <c r="S43" s="18"/>
      <c r="T43" s="18"/>
      <c r="U43" s="18"/>
      <c r="V43" s="18">
        <v>42000</v>
      </c>
      <c r="W43" s="18"/>
      <c r="X43" s="18"/>
      <c r="Y43" s="18"/>
      <c r="AA43" s="18">
        <v>31000</v>
      </c>
      <c r="AB43" s="18">
        <v>5500</v>
      </c>
      <c r="AC43" s="18">
        <v>4600</v>
      </c>
      <c r="AD43" s="58"/>
      <c r="AE43" s="18">
        <v>46000</v>
      </c>
      <c r="AF43" s="18"/>
      <c r="AG43" s="18"/>
      <c r="AH43" s="18">
        <v>5500</v>
      </c>
      <c r="AI43" s="19">
        <f t="shared" si="12"/>
        <v>152997.07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2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>
        <v>13000</v>
      </c>
      <c r="G45" s="18"/>
      <c r="H45" s="18">
        <v>46250</v>
      </c>
      <c r="I45" s="18"/>
      <c r="J45" s="18">
        <v>7000</v>
      </c>
      <c r="K45" s="18"/>
      <c r="L45" s="18"/>
      <c r="M45" s="18">
        <v>20000</v>
      </c>
      <c r="N45" s="18"/>
      <c r="P45" s="18"/>
      <c r="Q45" s="26">
        <v>11602.93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2"/>
        <v>97852.93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16658.89+7919.79</f>
        <v>24578.68</v>
      </c>
      <c r="N46" s="26"/>
      <c r="O46" s="26"/>
      <c r="P46" s="26"/>
      <c r="Q46" s="26"/>
      <c r="R46" s="26"/>
      <c r="S46" s="26"/>
      <c r="T46" s="26"/>
      <c r="U46" s="26"/>
      <c r="V46" s="26"/>
      <c r="W46" s="26">
        <v>27702.69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2"/>
        <v>52281.369999999995</v>
      </c>
    </row>
    <row r="47" spans="2:35" ht="16.5" customHeight="1" x14ac:dyDescent="0.2">
      <c r="B47" s="117"/>
      <c r="C47" s="25" t="s">
        <v>79</v>
      </c>
      <c r="D47" s="26"/>
      <c r="E47" s="26"/>
      <c r="F47" s="26"/>
      <c r="G47" s="26"/>
      <c r="H47" s="18">
        <f>75+112</f>
        <v>187</v>
      </c>
      <c r="I47" s="26"/>
      <c r="J47" s="26"/>
      <c r="K47" s="26"/>
      <c r="M47" s="26">
        <f>2095.63+28+1096.12</f>
        <v>3219.75</v>
      </c>
      <c r="N47" s="26"/>
      <c r="O47" s="26">
        <f>1130.2+666.6+52+852.4+136.4+112+57.2+29.9+140+89.4</f>
        <v>3266.1000000000004</v>
      </c>
      <c r="P47" s="26"/>
      <c r="Q47" s="26">
        <f>318.9+959.01</f>
        <v>1277.9099999999999</v>
      </c>
      <c r="R47" s="26"/>
      <c r="S47" s="26"/>
      <c r="T47" s="26">
        <f>41.8+78.4</f>
        <v>120.2</v>
      </c>
      <c r="U47" s="26"/>
      <c r="V47" s="26">
        <f>17546.11+1299.54+1334.25+28</f>
        <v>20207.900000000001</v>
      </c>
      <c r="W47" s="26"/>
      <c r="X47" s="26">
        <v>151.19999999999999</v>
      </c>
      <c r="Z47" s="26"/>
      <c r="AA47" s="26">
        <f>1007.3</f>
        <v>1007.3</v>
      </c>
      <c r="AB47" s="26">
        <f>29.8+1007.6</f>
        <v>1037.4000000000001</v>
      </c>
      <c r="AC47" s="26">
        <f>7899.02+28+121.7</f>
        <v>8048.72</v>
      </c>
      <c r="AD47" s="26"/>
      <c r="AE47" s="26">
        <f>1004.72+151.1</f>
        <v>1155.82</v>
      </c>
      <c r="AF47" s="26"/>
      <c r="AG47" s="26"/>
      <c r="AH47" s="26">
        <f>58.7</f>
        <v>58.7</v>
      </c>
      <c r="AI47" s="19">
        <f t="shared" si="12"/>
        <v>39738</v>
      </c>
    </row>
    <row r="48" spans="2:35" ht="16.5" customHeight="1" x14ac:dyDescent="0.2">
      <c r="B48" s="117"/>
      <c r="C48" s="25" t="s">
        <v>35</v>
      </c>
      <c r="E48" s="26"/>
      <c r="F48" s="26"/>
      <c r="H48" s="26">
        <f>8062.17</f>
        <v>8062.17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2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2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>
        <f>122.5</f>
        <v>122.5</v>
      </c>
      <c r="U50" s="26"/>
      <c r="V50" s="26"/>
      <c r="W50" s="26"/>
      <c r="X50" s="26"/>
      <c r="Y50" s="58"/>
      <c r="Z50" s="58"/>
      <c r="AA50" s="58"/>
      <c r="AB50" s="26">
        <v>153.9</v>
      </c>
      <c r="AC50" s="26"/>
      <c r="AD50" s="26"/>
      <c r="AE50" s="26"/>
      <c r="AF50" s="26"/>
      <c r="AG50" s="26"/>
      <c r="AH50" s="26"/>
      <c r="AI50" s="19">
        <f t="shared" si="12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>
        <v>793.8</v>
      </c>
      <c r="K51" s="26"/>
      <c r="L51" s="26"/>
      <c r="M51" s="26"/>
      <c r="N51" s="26"/>
      <c r="O51" s="26"/>
      <c r="P51" s="26">
        <v>391.43</v>
      </c>
      <c r="Q51" s="26">
        <f>170.5</f>
        <v>170.5</v>
      </c>
      <c r="R51" s="26"/>
      <c r="S51" s="26"/>
      <c r="T51" s="26">
        <v>22227.96</v>
      </c>
      <c r="U51" s="26"/>
      <c r="V51" s="26"/>
      <c r="W51" s="26"/>
      <c r="X51" s="26">
        <v>298</v>
      </c>
      <c r="Y51" s="26"/>
      <c r="Z51" s="26"/>
      <c r="AA51" s="26">
        <v>360</v>
      </c>
      <c r="AB51" s="26">
        <v>298</v>
      </c>
      <c r="AC51" s="26"/>
      <c r="AD51" s="26"/>
      <c r="AE51" s="26"/>
      <c r="AF51" s="26"/>
      <c r="AG51" s="26"/>
      <c r="AH51" s="26">
        <f>(31390-7.9)+459.9</f>
        <v>31842</v>
      </c>
      <c r="AI51" s="19">
        <f t="shared" si="12"/>
        <v>56381.69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2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>
        <f>10517.23</f>
        <v>10517.23</v>
      </c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58"/>
      <c r="AH53" s="26">
        <v>9326.6</v>
      </c>
      <c r="AI53" s="19">
        <f t="shared" si="12"/>
        <v>19843.830000000002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>
        <f>900.36</f>
        <v>900.36</v>
      </c>
      <c r="N54" s="26"/>
      <c r="O54" s="26"/>
      <c r="P54" s="26"/>
      <c r="Q54" s="26">
        <f>1109.51</f>
        <v>1109.51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58"/>
      <c r="AH54" s="26">
        <v>3180</v>
      </c>
      <c r="AI54" s="19">
        <f t="shared" si="12"/>
        <v>5189.87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>
        <f>318.8+503.3</f>
        <v>822.1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>
        <f>368.55</f>
        <v>368.55</v>
      </c>
      <c r="AF55" s="26"/>
      <c r="AG55" s="26"/>
      <c r="AH55" s="26"/>
      <c r="AI55" s="19">
        <f t="shared" si="12"/>
        <v>1190.6500000000001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>
        <f>155.6</f>
        <v>155.6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2"/>
        <v>155.6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2"/>
        <v>0</v>
      </c>
    </row>
    <row r="59" spans="2:35" ht="16.5" customHeight="1" x14ac:dyDescent="0.2">
      <c r="B59" s="117"/>
      <c r="C59" s="25" t="s">
        <v>32</v>
      </c>
      <c r="D59" s="26"/>
      <c r="E59" s="58"/>
      <c r="F59" s="26">
        <f>3500+7950</f>
        <v>11450</v>
      </c>
      <c r="G59" s="26"/>
      <c r="H59" s="4">
        <f>3519.37</f>
        <v>3519.37</v>
      </c>
      <c r="I59" s="26"/>
      <c r="J59" s="26"/>
      <c r="K59" s="26"/>
      <c r="L59" s="26"/>
      <c r="M59" s="26">
        <f>720</f>
        <v>720</v>
      </c>
      <c r="O59" s="26">
        <f>1590</f>
        <v>1590</v>
      </c>
      <c r="P59" s="26"/>
      <c r="Q59" s="26">
        <f>816</f>
        <v>816</v>
      </c>
      <c r="R59" s="26"/>
      <c r="S59" s="26"/>
      <c r="T59" s="26">
        <f>174.44+1355.19+585.45+342.5</f>
        <v>2457.58</v>
      </c>
      <c r="U59" s="26"/>
      <c r="V59" s="26"/>
      <c r="W59" s="26"/>
      <c r="Y59" s="26"/>
      <c r="Z59" s="26"/>
      <c r="AA59" s="26">
        <f>300+180</f>
        <v>480</v>
      </c>
      <c r="AB59" s="26"/>
      <c r="AD59" s="26"/>
      <c r="AE59" s="26"/>
      <c r="AF59" s="26"/>
      <c r="AG59" s="26"/>
      <c r="AH59" s="26">
        <v>7950</v>
      </c>
      <c r="AI59" s="19">
        <f t="shared" si="12"/>
        <v>28982.949999999997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2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2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2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945+760.24</f>
        <v>1705.24</v>
      </c>
      <c r="N63" s="26"/>
      <c r="O63" s="26"/>
      <c r="P63" s="26"/>
      <c r="Q63" s="26"/>
      <c r="R63" s="26"/>
      <c r="S63" s="26"/>
      <c r="T63" s="26">
        <f>540</f>
        <v>540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2"/>
        <v>2245.2399999999998</v>
      </c>
    </row>
    <row r="64" spans="2:35" ht="16.5" customHeight="1" x14ac:dyDescent="0.2">
      <c r="B64" s="117"/>
      <c r="C64" s="25" t="s">
        <v>75</v>
      </c>
      <c r="D64" s="26"/>
      <c r="E64" s="26"/>
      <c r="F64" s="26">
        <f>664.2</f>
        <v>664.2</v>
      </c>
      <c r="G64" s="26"/>
      <c r="H64" s="26"/>
      <c r="I64" s="26"/>
      <c r="J64" s="26"/>
      <c r="K64" s="26"/>
      <c r="L64" s="58"/>
      <c r="M64" s="26">
        <f>664.2</f>
        <v>664.2</v>
      </c>
      <c r="N64" s="26"/>
      <c r="O64" s="26">
        <f>14118</f>
        <v>14118</v>
      </c>
      <c r="P64" s="26"/>
      <c r="Q64" s="26"/>
      <c r="R64" s="26"/>
      <c r="S64" s="26"/>
      <c r="T64" s="26">
        <f>5650</f>
        <v>5650</v>
      </c>
      <c r="U64" s="26"/>
      <c r="W64" s="26"/>
      <c r="X64" s="26"/>
      <c r="Y64" s="26"/>
      <c r="Z64" s="26"/>
      <c r="AA64" s="26">
        <f>618.33</f>
        <v>618.33000000000004</v>
      </c>
      <c r="AB64" s="26">
        <f>1511</f>
        <v>1511</v>
      </c>
      <c r="AD64" s="26"/>
      <c r="AE64" s="26"/>
      <c r="AF64" s="26"/>
      <c r="AH64" s="26">
        <v>618.33000000000004</v>
      </c>
      <c r="AI64" s="19">
        <f t="shared" si="12"/>
        <v>23844.060000000005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/>
      <c r="P65" s="26"/>
      <c r="Q65" s="26">
        <f>854.9</f>
        <v>854.9</v>
      </c>
      <c r="R65" s="26"/>
      <c r="S65" s="26"/>
      <c r="T65" s="26"/>
      <c r="U65" s="26"/>
      <c r="V65" s="26">
        <f>520</f>
        <v>520</v>
      </c>
      <c r="X65" s="26"/>
      <c r="Z65" s="26"/>
      <c r="AA65" s="26"/>
      <c r="AB65" s="26"/>
      <c r="AC65" s="26">
        <v>354.09</v>
      </c>
      <c r="AD65" s="26"/>
      <c r="AE65" s="26"/>
      <c r="AF65" s="26"/>
      <c r="AG65" s="26"/>
      <c r="AH65" s="26">
        <v>1794.02</v>
      </c>
      <c r="AI65" s="19">
        <f t="shared" si="12"/>
        <v>3523.01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2"/>
        <v>0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58"/>
      <c r="W68" s="26"/>
      <c r="X68" s="26">
        <f>103.1+375.73+98.21</f>
        <v>577.04000000000008</v>
      </c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2"/>
        <v>577.04000000000008</v>
      </c>
    </row>
    <row r="69" spans="2:35" ht="16.5" customHeight="1" x14ac:dyDescent="0.2">
      <c r="B69" s="117"/>
      <c r="C69" s="25" t="s">
        <v>83</v>
      </c>
      <c r="E69" s="26"/>
      <c r="G69" s="26"/>
      <c r="H69" s="26"/>
      <c r="I69" s="26"/>
      <c r="J69" s="26"/>
      <c r="K69" s="26"/>
      <c r="M69" s="26">
        <v>1000</v>
      </c>
      <c r="N69" s="26"/>
      <c r="O69" s="26"/>
      <c r="Q69" s="26"/>
      <c r="R69" s="26"/>
      <c r="S69" s="26"/>
      <c r="T69" s="26">
        <f>625</f>
        <v>625</v>
      </c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>
        <v>625</v>
      </c>
      <c r="AI69" s="19">
        <f t="shared" si="12"/>
        <v>2250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>
        <f>201</f>
        <v>201</v>
      </c>
      <c r="I70" s="26"/>
      <c r="J70" s="26"/>
      <c r="K70" s="26"/>
      <c r="L70" s="26"/>
      <c r="M70" s="26"/>
      <c r="N70" s="26"/>
      <c r="O70" s="26"/>
      <c r="P70" s="26"/>
      <c r="R70" s="26"/>
      <c r="S70" s="26"/>
      <c r="T70" s="26"/>
      <c r="U70" s="26"/>
      <c r="V70" s="26">
        <f>479.32</f>
        <v>479.32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2"/>
        <v>680.31999999999994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2"/>
        <v>0</v>
      </c>
    </row>
    <row r="72" spans="2:35" ht="16.5" customHeight="1" x14ac:dyDescent="0.2">
      <c r="B72" s="117"/>
      <c r="C72" s="25" t="s">
        <v>6</v>
      </c>
      <c r="D72" s="26"/>
      <c r="E72" s="26"/>
      <c r="F72" s="26">
        <f>13.86+19.26</f>
        <v>33.120000000000005</v>
      </c>
      <c r="G72" s="26">
        <f>57.78+159.39+82</f>
        <v>299.16999999999996</v>
      </c>
      <c r="H72" s="26">
        <f>6.93+9.63+7.9+7.9</f>
        <v>32.36</v>
      </c>
      <c r="I72" s="26">
        <f>16.17+22.47</f>
        <v>38.64</v>
      </c>
      <c r="J72" s="26">
        <f>16.17+22.47+7.9</f>
        <v>46.54</v>
      </c>
      <c r="K72" s="26"/>
      <c r="L72" s="26"/>
      <c r="M72" s="26">
        <f>51.36+129.36+7.9</f>
        <v>188.62000000000003</v>
      </c>
      <c r="N72" s="26">
        <f>41.73+103.95</f>
        <v>145.68</v>
      </c>
      <c r="O72" s="26">
        <f>4.62+6.42+7.9+7.9</f>
        <v>26.839999999999996</v>
      </c>
      <c r="P72" s="26">
        <f>2.31+3.21</f>
        <v>5.52</v>
      </c>
      <c r="Q72" s="26">
        <f>3.21+48.51+52.7+7.9+7.9</f>
        <v>120.22000000000001</v>
      </c>
      <c r="R72" s="26"/>
      <c r="S72" s="26"/>
      <c r="T72" s="26">
        <f>3.21+34.65+7.9</f>
        <v>45.76</v>
      </c>
      <c r="U72" s="26">
        <f>18.48+25.68</f>
        <v>44.16</v>
      </c>
      <c r="V72" s="26"/>
      <c r="W72" s="26">
        <f>4.62+6.42+655.7</f>
        <v>666.74</v>
      </c>
      <c r="X72" s="26">
        <f>(7.9*4)+3.21+90.09</f>
        <v>124.9</v>
      </c>
      <c r="Y72" s="26"/>
      <c r="Z72" s="26"/>
      <c r="AA72" s="26">
        <f>(7.9*3)+4.62+6.42</f>
        <v>34.74</v>
      </c>
      <c r="AB72" s="26">
        <f>9.24+12.84+7.9</f>
        <v>29.979999999999997</v>
      </c>
      <c r="AC72" s="26">
        <f>7.9*2</f>
        <v>15.8</v>
      </c>
      <c r="AD72" s="26">
        <f>3.21+166.32</f>
        <v>169.53</v>
      </c>
      <c r="AE72" s="26">
        <v>7.9</v>
      </c>
      <c r="AF72" s="26"/>
      <c r="AG72" s="26"/>
      <c r="AH72" s="26">
        <f>7.9*2</f>
        <v>15.8</v>
      </c>
      <c r="AI72" s="19">
        <f t="shared" si="12"/>
        <v>2092.0200000000004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2"/>
        <v>0</v>
      </c>
    </row>
    <row r="74" spans="2:35" ht="16.5" customHeight="1" x14ac:dyDescent="0.2">
      <c r="B74" s="117"/>
      <c r="C74" s="28" t="s">
        <v>10</v>
      </c>
      <c r="D74" s="29">
        <f t="shared" ref="D74:AI74" si="13">-SUM(D41:D73)</f>
        <v>0</v>
      </c>
      <c r="E74" s="29">
        <f t="shared" si="13"/>
        <v>0</v>
      </c>
      <c r="F74" s="29">
        <f t="shared" si="13"/>
        <v>-25147.32</v>
      </c>
      <c r="G74" s="29">
        <f t="shared" si="13"/>
        <v>-299.16999999999996</v>
      </c>
      <c r="H74" s="29">
        <f t="shared" si="13"/>
        <v>-58251.9</v>
      </c>
      <c r="I74" s="29">
        <f t="shared" si="13"/>
        <v>-38.64</v>
      </c>
      <c r="J74" s="29">
        <f t="shared" si="13"/>
        <v>-8662.44</v>
      </c>
      <c r="K74" s="29">
        <f t="shared" si="13"/>
        <v>0</v>
      </c>
      <c r="L74" s="29">
        <f t="shared" si="13"/>
        <v>0</v>
      </c>
      <c r="M74" s="29">
        <f t="shared" si="13"/>
        <v>-53132.45</v>
      </c>
      <c r="N74" s="29">
        <f t="shared" si="13"/>
        <v>-145.68</v>
      </c>
      <c r="O74" s="29">
        <f t="shared" si="13"/>
        <v>-19000.939999999999</v>
      </c>
      <c r="P74" s="29">
        <f t="shared" si="13"/>
        <v>-396.95</v>
      </c>
      <c r="Q74" s="29">
        <f t="shared" si="13"/>
        <v>-34349.040000000001</v>
      </c>
      <c r="R74" s="29">
        <f t="shared" si="13"/>
        <v>0</v>
      </c>
      <c r="S74" s="29">
        <f>-SUM(S41:S73)</f>
        <v>0</v>
      </c>
      <c r="T74" s="29">
        <f>-SUM(T41:T73)</f>
        <v>-42306.23</v>
      </c>
      <c r="U74" s="29">
        <f t="shared" si="13"/>
        <v>-44.16</v>
      </c>
      <c r="V74" s="29">
        <f>-SUM(V41:V73)</f>
        <v>-63207.22</v>
      </c>
      <c r="W74" s="29">
        <f>-SUM(W41:W73)</f>
        <v>-195778.69</v>
      </c>
      <c r="X74" s="29">
        <f>-SUM(X41:X73)</f>
        <v>-45964.27</v>
      </c>
      <c r="Y74" s="29">
        <f t="shared" si="13"/>
        <v>0</v>
      </c>
      <c r="Z74" s="29">
        <f>-SUM(Z41:Z73)</f>
        <v>0</v>
      </c>
      <c r="AA74" s="29">
        <f t="shared" si="13"/>
        <v>-40933.68</v>
      </c>
      <c r="AB74" s="29">
        <f t="shared" si="13"/>
        <v>-8530.2799999999988</v>
      </c>
      <c r="AC74" s="29">
        <f t="shared" si="13"/>
        <v>-13018.61</v>
      </c>
      <c r="AD74" s="29">
        <f>-SUM(AD41:AD73)</f>
        <v>-169.53</v>
      </c>
      <c r="AE74" s="29">
        <f>-SUM(AE41:AE73)</f>
        <v>-47532.270000000004</v>
      </c>
      <c r="AF74" s="29">
        <f>-SUM(AF41:AF73)</f>
        <v>0</v>
      </c>
      <c r="AG74" s="29">
        <f t="shared" si="13"/>
        <v>0</v>
      </c>
      <c r="AH74" s="29">
        <f t="shared" si="13"/>
        <v>-92036.290000000008</v>
      </c>
      <c r="AI74" s="29">
        <f t="shared" si="13"/>
        <v>-748945.75999999989</v>
      </c>
    </row>
    <row r="75" spans="2:35" ht="16.5" customHeight="1" x14ac:dyDescent="0.2">
      <c r="B75" s="114"/>
      <c r="C75" s="28" t="s">
        <v>36</v>
      </c>
      <c r="D75" s="29">
        <f t="shared" ref="D75:AI75" si="14">D25+D36+D40+D74</f>
        <v>0</v>
      </c>
      <c r="E75" s="29">
        <f t="shared" si="14"/>
        <v>0</v>
      </c>
      <c r="F75" s="29">
        <f t="shared" si="14"/>
        <v>-25147.32</v>
      </c>
      <c r="G75" s="29">
        <f t="shared" si="14"/>
        <v>-299.16999999999996</v>
      </c>
      <c r="H75" s="29">
        <f t="shared" si="14"/>
        <v>-58280.87</v>
      </c>
      <c r="I75" s="29">
        <f t="shared" si="14"/>
        <v>-38.64</v>
      </c>
      <c r="J75" s="29">
        <f t="shared" si="14"/>
        <v>-8662.44</v>
      </c>
      <c r="K75" s="29">
        <f t="shared" si="14"/>
        <v>0</v>
      </c>
      <c r="L75" s="29">
        <f t="shared" si="14"/>
        <v>0</v>
      </c>
      <c r="M75" s="29">
        <f t="shared" si="14"/>
        <v>-128829.68</v>
      </c>
      <c r="N75" s="29">
        <f t="shared" si="14"/>
        <v>-145.68</v>
      </c>
      <c r="O75" s="29">
        <f t="shared" si="14"/>
        <v>-19000.939999999999</v>
      </c>
      <c r="P75" s="29">
        <f t="shared" si="14"/>
        <v>-396.95</v>
      </c>
      <c r="Q75" s="29">
        <f t="shared" si="14"/>
        <v>-136967.16999999998</v>
      </c>
      <c r="R75" s="29">
        <f t="shared" si="14"/>
        <v>0</v>
      </c>
      <c r="S75" s="29">
        <f t="shared" si="14"/>
        <v>0</v>
      </c>
      <c r="T75" s="29">
        <f t="shared" si="14"/>
        <v>-42306.23</v>
      </c>
      <c r="U75" s="29">
        <f t="shared" si="14"/>
        <v>-44.16</v>
      </c>
      <c r="V75" s="29">
        <f t="shared" si="14"/>
        <v>-63659.06</v>
      </c>
      <c r="W75" s="29">
        <f t="shared" si="14"/>
        <v>-195778.69</v>
      </c>
      <c r="X75" s="29">
        <f t="shared" si="14"/>
        <v>-45964.27</v>
      </c>
      <c r="Y75" s="29">
        <f t="shared" si="14"/>
        <v>0</v>
      </c>
      <c r="Z75" s="29">
        <f t="shared" si="14"/>
        <v>0</v>
      </c>
      <c r="AA75" s="29">
        <f t="shared" si="14"/>
        <v>-40933.68</v>
      </c>
      <c r="AB75" s="29">
        <f t="shared" si="14"/>
        <v>-43315.31</v>
      </c>
      <c r="AC75" s="29">
        <f t="shared" si="14"/>
        <v>-13438.61</v>
      </c>
      <c r="AD75" s="29">
        <f t="shared" si="14"/>
        <v>-169.53</v>
      </c>
      <c r="AE75" s="29">
        <f t="shared" si="14"/>
        <v>-48098.030000000006</v>
      </c>
      <c r="AF75" s="29">
        <f t="shared" si="14"/>
        <v>0</v>
      </c>
      <c r="AG75" s="29">
        <f t="shared" si="14"/>
        <v>0</v>
      </c>
      <c r="AH75" s="29">
        <f t="shared" si="14"/>
        <v>-158584.57</v>
      </c>
      <c r="AI75" s="29">
        <f t="shared" si="14"/>
        <v>-1030060.9999999999</v>
      </c>
    </row>
    <row r="76" spans="2:35" ht="7.5" customHeight="1" x14ac:dyDescent="0.2">
      <c r="B76" s="97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96"/>
      <c r="C77" s="32" t="s">
        <v>13</v>
      </c>
      <c r="D77" s="13">
        <f t="shared" ref="D77:AI77" si="15">D6+D18+D75</f>
        <v>10130.978699999803</v>
      </c>
      <c r="E77" s="13">
        <f t="shared" si="15"/>
        <v>10130.978699999803</v>
      </c>
      <c r="F77" s="13">
        <f t="shared" si="15"/>
        <v>50850.2486999998</v>
      </c>
      <c r="G77" s="13">
        <f t="shared" si="15"/>
        <v>102551.2086999998</v>
      </c>
      <c r="H77" s="13">
        <f t="shared" si="15"/>
        <v>91679.958699999785</v>
      </c>
      <c r="I77" s="13">
        <f t="shared" si="15"/>
        <v>121076.74869999978</v>
      </c>
      <c r="J77" s="13">
        <f t="shared" si="15"/>
        <v>141336.17869999979</v>
      </c>
      <c r="K77" s="13">
        <f t="shared" si="15"/>
        <v>141336.17869999979</v>
      </c>
      <c r="L77" s="13">
        <f t="shared" si="15"/>
        <v>141336.17869999979</v>
      </c>
      <c r="M77" s="13">
        <f t="shared" si="15"/>
        <v>78190.268699999782</v>
      </c>
      <c r="N77" s="13">
        <f t="shared" si="15"/>
        <v>160539.98869999981</v>
      </c>
      <c r="O77" s="13">
        <f t="shared" si="15"/>
        <v>183230.2586999998</v>
      </c>
      <c r="P77" s="13">
        <f t="shared" si="15"/>
        <v>210643.76869999978</v>
      </c>
      <c r="Q77" s="13">
        <f t="shared" si="15"/>
        <v>125986.60869999981</v>
      </c>
      <c r="R77" s="13">
        <f t="shared" si="15"/>
        <v>125986.60869999981</v>
      </c>
      <c r="S77" s="13">
        <f t="shared" si="15"/>
        <v>125986.60869999981</v>
      </c>
      <c r="T77" s="13">
        <f t="shared" si="15"/>
        <v>147690.74869999979</v>
      </c>
      <c r="U77" s="13">
        <f t="shared" si="15"/>
        <v>208856.72869999977</v>
      </c>
      <c r="V77" s="13">
        <f t="shared" si="15"/>
        <v>183172.16869999978</v>
      </c>
      <c r="W77" s="13">
        <f t="shared" si="15"/>
        <v>17429.968699999765</v>
      </c>
      <c r="X77" s="13">
        <f t="shared" si="15"/>
        <v>11666.408699999767</v>
      </c>
      <c r="Y77" s="13">
        <f t="shared" si="15"/>
        <v>11666.408699999767</v>
      </c>
      <c r="Z77" s="13">
        <f t="shared" si="15"/>
        <v>11666.408699999767</v>
      </c>
      <c r="AA77" s="13">
        <f t="shared" si="15"/>
        <v>46896.878699999776</v>
      </c>
      <c r="AB77" s="13">
        <f t="shared" si="15"/>
        <v>81271.528699999762</v>
      </c>
      <c r="AC77" s="13">
        <f t="shared" si="15"/>
        <v>126557.76869999977</v>
      </c>
      <c r="AD77" s="13">
        <f t="shared" si="15"/>
        <v>155980.28869999977</v>
      </c>
      <c r="AE77" s="13">
        <f t="shared" si="15"/>
        <v>136066.71869999976</v>
      </c>
      <c r="AF77" s="13">
        <f t="shared" si="15"/>
        <v>136066.71869999976</v>
      </c>
      <c r="AG77" s="13">
        <f t="shared" si="15"/>
        <v>136066.71869999976</v>
      </c>
      <c r="AH77" s="13">
        <f t="shared" si="15"/>
        <v>37633.148699999758</v>
      </c>
      <c r="AI77" s="13">
        <f t="shared" si="15"/>
        <v>37633.148699999903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Julho!AH83</f>
        <v>478412.92000000051</v>
      </c>
      <c r="E79" s="33">
        <f>D83</f>
        <v>478412.92000000051</v>
      </c>
      <c r="F79" s="33">
        <f t="shared" ref="F79:AH79" si="16">E83</f>
        <v>478412.92000000051</v>
      </c>
      <c r="G79" s="33">
        <f t="shared" si="16"/>
        <v>478599.74000000051</v>
      </c>
      <c r="H79" s="33">
        <f t="shared" si="16"/>
        <v>478786.57000000053</v>
      </c>
      <c r="I79" s="33">
        <f t="shared" si="16"/>
        <v>478786.57000000053</v>
      </c>
      <c r="J79" s="33">
        <f t="shared" si="16"/>
        <v>478786.57000000053</v>
      </c>
      <c r="K79" s="33">
        <f t="shared" si="16"/>
        <v>479347.73000000051</v>
      </c>
      <c r="L79" s="33">
        <f t="shared" si="16"/>
        <v>479347.73000000051</v>
      </c>
      <c r="M79" s="33">
        <f t="shared" si="16"/>
        <v>479347.73000000051</v>
      </c>
      <c r="N79" s="33">
        <f t="shared" si="16"/>
        <v>479534.96000000049</v>
      </c>
      <c r="O79" s="33">
        <f t="shared" si="16"/>
        <v>479722.32000000047</v>
      </c>
      <c r="P79" s="33">
        <f t="shared" si="16"/>
        <v>479909.71000000049</v>
      </c>
      <c r="Q79" s="33">
        <f t="shared" si="16"/>
        <v>480097.2200000005</v>
      </c>
      <c r="R79" s="33">
        <f t="shared" si="16"/>
        <v>480284.7200000005</v>
      </c>
      <c r="S79" s="33">
        <f t="shared" si="16"/>
        <v>480284.7200000005</v>
      </c>
      <c r="T79" s="33">
        <f t="shared" si="16"/>
        <v>480284.7200000005</v>
      </c>
      <c r="U79" s="33">
        <f t="shared" si="16"/>
        <v>480472.44000000047</v>
      </c>
      <c r="V79" s="33">
        <f t="shared" si="16"/>
        <v>480660.2200000005</v>
      </c>
      <c r="W79" s="33">
        <f t="shared" si="16"/>
        <v>480848.15000000049</v>
      </c>
      <c r="X79" s="33">
        <f t="shared" si="16"/>
        <v>481036.1000000005</v>
      </c>
      <c r="Y79" s="33">
        <f t="shared" si="16"/>
        <v>481223.45000000048</v>
      </c>
      <c r="Z79" s="33">
        <f t="shared" si="16"/>
        <v>481223.45000000048</v>
      </c>
      <c r="AA79" s="33">
        <f t="shared" si="16"/>
        <v>481223.45000000048</v>
      </c>
      <c r="AB79" s="33">
        <f t="shared" si="16"/>
        <v>481412.34000000049</v>
      </c>
      <c r="AC79" s="33">
        <f t="shared" si="16"/>
        <v>481600.55000000051</v>
      </c>
      <c r="AD79" s="33">
        <f t="shared" si="16"/>
        <v>481788.90000000049</v>
      </c>
      <c r="AE79" s="33">
        <f t="shared" si="16"/>
        <v>481977.27000000048</v>
      </c>
      <c r="AF79" s="33">
        <f t="shared" si="16"/>
        <v>482199.19000000047</v>
      </c>
      <c r="AG79" s="33">
        <f t="shared" si="16"/>
        <v>482199.19000000047</v>
      </c>
      <c r="AH79" s="33">
        <f t="shared" si="16"/>
        <v>482199.19000000047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7">SUM(G81:AF81)</f>
        <v>0</v>
      </c>
    </row>
    <row r="82" spans="2:35" ht="16.5" customHeight="1" x14ac:dyDescent="0.2">
      <c r="B82" s="117"/>
      <c r="C82" s="17" t="s">
        <v>24</v>
      </c>
      <c r="D82" s="18"/>
      <c r="E82" s="18"/>
      <c r="F82" s="18">
        <v>186.82</v>
      </c>
      <c r="G82" s="18">
        <v>186.83</v>
      </c>
      <c r="H82" s="18"/>
      <c r="I82" s="18"/>
      <c r="J82" s="18">
        <v>561.16</v>
      </c>
      <c r="K82" s="18"/>
      <c r="L82" s="18"/>
      <c r="M82" s="18">
        <v>187.23</v>
      </c>
      <c r="N82" s="18">
        <v>187.36</v>
      </c>
      <c r="O82" s="18">
        <v>187.39</v>
      </c>
      <c r="P82" s="18">
        <v>187.51</v>
      </c>
      <c r="Q82" s="18">
        <v>187.5</v>
      </c>
      <c r="R82" s="18"/>
      <c r="T82" s="18">
        <v>187.72</v>
      </c>
      <c r="U82" s="18">
        <v>187.78</v>
      </c>
      <c r="V82" s="18">
        <v>187.93</v>
      </c>
      <c r="W82" s="18">
        <v>187.95</v>
      </c>
      <c r="X82" s="18">
        <v>187.35</v>
      </c>
      <c r="Y82" s="18"/>
      <c r="Z82" s="18"/>
      <c r="AA82" s="18">
        <v>188.89</v>
      </c>
      <c r="AB82" s="18">
        <v>188.21</v>
      </c>
      <c r="AC82" s="18">
        <v>188.35</v>
      </c>
      <c r="AD82" s="18">
        <v>188.37</v>
      </c>
      <c r="AE82" s="18">
        <v>221.92</v>
      </c>
      <c r="AF82" s="18"/>
      <c r="AG82" s="18"/>
      <c r="AH82" s="18">
        <v>282.17</v>
      </c>
      <c r="AI82" s="19">
        <f t="shared" si="17"/>
        <v>3599.4499999999994</v>
      </c>
    </row>
    <row r="83" spans="2:35" ht="16.5" customHeight="1" x14ac:dyDescent="0.2">
      <c r="B83" s="117"/>
      <c r="C83" s="21" t="s">
        <v>30</v>
      </c>
      <c r="D83" s="22">
        <f>SUM(D80:D82)+D79</f>
        <v>478412.92000000051</v>
      </c>
      <c r="E83" s="22">
        <f t="shared" ref="E83:AH83" si="18">SUM(E80:E82)+D83</f>
        <v>478412.92000000051</v>
      </c>
      <c r="F83" s="22">
        <f>SUM(F80:F82)+E83</f>
        <v>478599.74000000051</v>
      </c>
      <c r="G83" s="22">
        <f t="shared" si="18"/>
        <v>478786.57000000053</v>
      </c>
      <c r="H83" s="22">
        <f t="shared" si="18"/>
        <v>478786.57000000053</v>
      </c>
      <c r="I83" s="22">
        <f t="shared" si="18"/>
        <v>478786.57000000053</v>
      </c>
      <c r="J83" s="22">
        <f t="shared" si="18"/>
        <v>479347.73000000051</v>
      </c>
      <c r="K83" s="22">
        <f>SUM(K80:K82)+J83</f>
        <v>479347.73000000051</v>
      </c>
      <c r="L83" s="22">
        <f t="shared" si="18"/>
        <v>479347.73000000051</v>
      </c>
      <c r="M83" s="22">
        <f t="shared" si="18"/>
        <v>479534.96000000049</v>
      </c>
      <c r="N83" s="22">
        <f t="shared" si="18"/>
        <v>479722.32000000047</v>
      </c>
      <c r="O83" s="22">
        <f t="shared" si="18"/>
        <v>479909.71000000049</v>
      </c>
      <c r="P83" s="22">
        <f t="shared" si="18"/>
        <v>480097.2200000005</v>
      </c>
      <c r="Q83" s="22">
        <f t="shared" si="18"/>
        <v>480284.7200000005</v>
      </c>
      <c r="R83" s="22">
        <f>SUM(R80:R82)+Q83</f>
        <v>480284.7200000005</v>
      </c>
      <c r="S83" s="22">
        <f>SUM(S80:S82)+R83</f>
        <v>480284.7200000005</v>
      </c>
      <c r="T83" s="22">
        <f t="shared" si="18"/>
        <v>480472.44000000047</v>
      </c>
      <c r="U83" s="22">
        <f t="shared" si="18"/>
        <v>480660.2200000005</v>
      </c>
      <c r="V83" s="22">
        <f t="shared" si="18"/>
        <v>480848.15000000049</v>
      </c>
      <c r="W83" s="22">
        <f t="shared" si="18"/>
        <v>481036.1000000005</v>
      </c>
      <c r="X83" s="22">
        <f t="shared" si="18"/>
        <v>481223.45000000048</v>
      </c>
      <c r="Y83" s="22">
        <f t="shared" si="18"/>
        <v>481223.45000000048</v>
      </c>
      <c r="Z83" s="22">
        <f>SUM(Z80:Z82)+Y83</f>
        <v>481223.45000000048</v>
      </c>
      <c r="AA83" s="22">
        <f t="shared" ref="AA83" si="19">SUM(AA80:AA82)+Z83</f>
        <v>481412.34000000049</v>
      </c>
      <c r="AB83" s="22">
        <f t="shared" ref="AB83" si="20">SUM(AB80:AB82)+AA83</f>
        <v>481600.55000000051</v>
      </c>
      <c r="AC83" s="22">
        <f t="shared" ref="AC83:AD83" si="21">SUM(AC80:AC82)+AB83</f>
        <v>481788.90000000049</v>
      </c>
      <c r="AD83" s="22">
        <f t="shared" si="21"/>
        <v>481977.27000000048</v>
      </c>
      <c r="AE83" s="22">
        <f>SUM(AE80:AE82)+AD83</f>
        <v>482199.19000000047</v>
      </c>
      <c r="AF83" s="22">
        <f>SUM(AF80:AF82)+AE83</f>
        <v>482199.19000000047</v>
      </c>
      <c r="AG83" s="22">
        <f t="shared" si="18"/>
        <v>482199.19000000047</v>
      </c>
      <c r="AH83" s="22">
        <f t="shared" si="18"/>
        <v>513607.20000000048</v>
      </c>
      <c r="AI83" s="22">
        <f>AH83</f>
        <v>513607.20000000048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2">D77+D83</f>
        <v>488543.89870000031</v>
      </c>
      <c r="E85" s="37">
        <f t="shared" si="22"/>
        <v>488543.89870000031</v>
      </c>
      <c r="F85" s="37">
        <f t="shared" si="22"/>
        <v>529449.98870000034</v>
      </c>
      <c r="G85" s="37">
        <f t="shared" si="22"/>
        <v>581337.77870000037</v>
      </c>
      <c r="H85" s="37">
        <f t="shared" si="22"/>
        <v>570466.52870000037</v>
      </c>
      <c r="I85" s="37">
        <f t="shared" si="22"/>
        <v>599863.31870000029</v>
      </c>
      <c r="J85" s="37">
        <f t="shared" si="22"/>
        <v>620683.90870000026</v>
      </c>
      <c r="K85" s="37">
        <f t="shared" si="22"/>
        <v>620683.90870000026</v>
      </c>
      <c r="L85" s="37">
        <f t="shared" si="22"/>
        <v>620683.90870000026</v>
      </c>
      <c r="M85" s="37">
        <f t="shared" si="22"/>
        <v>557725.22870000033</v>
      </c>
      <c r="N85" s="37">
        <f t="shared" si="22"/>
        <v>640262.30870000029</v>
      </c>
      <c r="O85" s="37">
        <f t="shared" si="22"/>
        <v>663139.96870000032</v>
      </c>
      <c r="P85" s="37">
        <f t="shared" si="22"/>
        <v>690740.98870000034</v>
      </c>
      <c r="Q85" s="37">
        <f t="shared" si="22"/>
        <v>606271.3287000003</v>
      </c>
      <c r="R85" s="37">
        <f t="shared" si="22"/>
        <v>606271.3287000003</v>
      </c>
      <c r="S85" s="37">
        <f t="shared" si="22"/>
        <v>606271.3287000003</v>
      </c>
      <c r="T85" s="37">
        <f t="shared" si="22"/>
        <v>628163.18870000029</v>
      </c>
      <c r="U85" s="37">
        <f t="shared" si="22"/>
        <v>689516.9487000003</v>
      </c>
      <c r="V85" s="37">
        <f t="shared" si="22"/>
        <v>664020.31870000029</v>
      </c>
      <c r="W85" s="37">
        <f t="shared" si="22"/>
        <v>498466.06870000029</v>
      </c>
      <c r="X85" s="37">
        <f t="shared" si="22"/>
        <v>492889.85870000022</v>
      </c>
      <c r="Y85" s="37">
        <f t="shared" si="22"/>
        <v>492889.85870000022</v>
      </c>
      <c r="Z85" s="37">
        <f t="shared" si="22"/>
        <v>492889.85870000022</v>
      </c>
      <c r="AA85" s="37">
        <f t="shared" si="22"/>
        <v>528309.21870000032</v>
      </c>
      <c r="AB85" s="37">
        <f t="shared" si="22"/>
        <v>562872.0787000003</v>
      </c>
      <c r="AC85" s="37">
        <f t="shared" si="22"/>
        <v>608346.66870000027</v>
      </c>
      <c r="AD85" s="37">
        <f t="shared" si="22"/>
        <v>637957.55870000029</v>
      </c>
      <c r="AE85" s="37">
        <f t="shared" si="22"/>
        <v>618265.90870000026</v>
      </c>
      <c r="AF85" s="37">
        <f t="shared" si="22"/>
        <v>618265.90870000026</v>
      </c>
      <c r="AG85" s="37">
        <f t="shared" si="22"/>
        <v>618265.90870000026</v>
      </c>
      <c r="AH85" s="37">
        <f t="shared" si="22"/>
        <v>551240.34870000021</v>
      </c>
      <c r="AI85" s="37">
        <f>AI77+AI83</f>
        <v>551240.34870000044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AH5</f>
        <v>42247</v>
      </c>
    </row>
    <row r="89" spans="2:35" ht="18.75" x14ac:dyDescent="0.25">
      <c r="B89" s="41"/>
      <c r="C89" s="50" t="s">
        <v>46</v>
      </c>
      <c r="D89" s="51">
        <f>AH6</f>
        <v>136066.71869999976</v>
      </c>
    </row>
    <row r="90" spans="2:35" ht="18.75" x14ac:dyDescent="0.25">
      <c r="B90" s="41"/>
      <c r="C90" s="50" t="s">
        <v>40</v>
      </c>
      <c r="D90" s="52">
        <f>AH18</f>
        <v>60151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AH75</f>
        <v>-158584.57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99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37633.148699999758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98"/>
    </row>
    <row r="93" spans="2:35" ht="18.75" x14ac:dyDescent="0.25">
      <c r="B93" s="41"/>
      <c r="C93" s="50" t="s">
        <v>91</v>
      </c>
      <c r="D93" s="51">
        <v>12360.1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3764.08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466075.01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519832.33869999979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M22:O24 L21:L24 K21:K23 I20:L20 D20:D24 F20:F24 H20:H24 I21:J24 G21:G22 P21:Q24 S21:AF21 R22:U24 W24 V22:X23 AC24 Y22:Z24 AD22:AF24 AA22:AC23" name="Intervalo3"/>
    <protectedRange sqref="K16:AF16 E17:H17 O17:AG17 J10:AF10 J11:AH11 J12:AF13 J17:M17 D10:I13 D16:H16 I16:I17 D14:AH15" name="Intervalo2"/>
    <protectedRange sqref="W7:AF9 V7:V8 D7:U9" name="Intervalo1"/>
    <protectedRange sqref="L38 F31 M37:AF39 K37:L37 K39:L39 D37:E39 I38 F37 F39 G37:G39 J37:J39 H37:I37 H39:I39" name="Intervalo4"/>
    <protectedRange sqref="S52:T52 O59 Z52:AA52 X53:AE53 S53:V53 AD46:AE46 AH55 H60 G71:H71 AE47:AE52 G61:H61 M72:M73 K47:K48 W54:W59 P70:P72 P46:P68 R69:T72 J49:K49 F54:G60 D49:E52 E48 E55 R46 I46:J47 K46:M46 H54:H58 E53 F48:F51 H48:H51 D46:H46 J48 K50:K58 K60:K69 L66:L68 K70:L73 R51 L48:L63 M47:M70 N60:O73 W66:W73 R54:R58 N46:O58 R48:R49 AA54:AB61 AA49:AC49 AF46:AF47 AF49:AF52 AD69:AF69 D56:E58 AD59:AF59 G49:G53 AD63:AD68 Y66:Y73 AC54:AE58 AF55:AF58 AD60:AD61 AA69:AA73 AF70:AF72 E47:G47 D54:E54 I50:J73 F72:F73 H72:H73 G72 W61:W64 U54:U67 R60:R66 S54:T68 Z54:Z73 Y54:Y64 AB46:AC47 AD49:AD50 AE60:AE68 AF60:AF62 D70:D73 AC70:AE73 E60:E73 D60:D68 AF65:AF68 Z46:AA46 Y48:Z49 F62:H68 F70:H70 G69:H69 Q46:Q69 Q71:Q72 V54:V63 X60:X73 V65:V67 U69:V73 AC50 AA62:AA67 Y51:Z51 AB51:AD51 S46:X51 X54:X58 AB63:AB73 AC60:AC63 AC65:AC68" name="Intervalo5"/>
    <protectedRange sqref="W28:W31 AH34:AH35 D26:E35 L31 F26:F30 F32:F35 G26:J35 K26:L30 T28:V35 AE34:AF35 W34:AC35 W26 M27:M30 K32:M35 N26:P35 R26:S35 Q27:Q35 T26:U27 AB32:AB33 X26:Z33 AC26:AF33 AA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I96"/>
  <sheetViews>
    <sheetView showGridLines="0" zoomScale="110" zoomScaleNormal="110" workbookViewId="0" xr3:uid="{44B22561-5205-5C8A-B808-2C70100D228F}">
      <pane xSplit="3" ySplit="6" topLeftCell="Z71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bestFit="1" customWidth="1"/>
    <col min="7" max="7" width="16.0078125" style="4" customWidth="1"/>
    <col min="8" max="10" width="14.52734375" style="4" hidden="1" customWidth="1"/>
    <col min="11" max="14" width="14.52734375" style="4" customWidth="1"/>
    <col min="15" max="16" width="14.52734375" style="4" hidden="1" customWidth="1"/>
    <col min="17" max="21" width="14.52734375" style="4" customWidth="1"/>
    <col min="22" max="23" width="14.52734375" style="4" hidden="1" customWidth="1"/>
    <col min="24" max="26" width="14.52734375" style="4" customWidth="1"/>
    <col min="27" max="27" width="13.44921875" style="4" bestFit="1" customWidth="1"/>
    <col min="28" max="28" width="14.52734375" style="4" customWidth="1"/>
    <col min="29" max="30" width="14.52734375" style="4" hidden="1" customWidth="1"/>
    <col min="31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106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59" t="s">
        <v>104</v>
      </c>
      <c r="I4" s="59" t="s">
        <v>104</v>
      </c>
      <c r="J4" s="59" t="s">
        <v>104</v>
      </c>
      <c r="K4" s="70" t="s">
        <v>97</v>
      </c>
      <c r="L4" s="70" t="s">
        <v>97</v>
      </c>
      <c r="M4" s="70" t="s">
        <v>97</v>
      </c>
      <c r="N4" s="70" t="s">
        <v>97</v>
      </c>
      <c r="O4" s="59" t="s">
        <v>104</v>
      </c>
      <c r="P4" s="59" t="s">
        <v>104</v>
      </c>
      <c r="Q4" s="70" t="s">
        <v>97</v>
      </c>
      <c r="R4" s="70" t="s">
        <v>97</v>
      </c>
      <c r="S4" s="70" t="s">
        <v>97</v>
      </c>
      <c r="T4" s="70" t="s">
        <v>97</v>
      </c>
      <c r="U4" s="70" t="s">
        <v>97</v>
      </c>
      <c r="V4" s="59" t="s">
        <v>104</v>
      </c>
      <c r="W4" s="59" t="s">
        <v>104</v>
      </c>
      <c r="X4" s="70" t="s">
        <v>97</v>
      </c>
      <c r="Y4" s="70" t="s">
        <v>97</v>
      </c>
      <c r="Z4" s="70" t="s">
        <v>97</v>
      </c>
      <c r="AA4" s="70" t="s">
        <v>97</v>
      </c>
      <c r="AB4" s="70" t="s">
        <v>97</v>
      </c>
      <c r="AC4" s="59" t="s">
        <v>104</v>
      </c>
      <c r="AD4" s="59" t="s">
        <v>104</v>
      </c>
      <c r="AE4" s="70" t="s">
        <v>97</v>
      </c>
      <c r="AF4" s="70" t="s">
        <v>97</v>
      </c>
      <c r="AG4" s="70" t="s">
        <v>97</v>
      </c>
      <c r="AH4" s="59" t="s">
        <v>104</v>
      </c>
      <c r="AI4" s="57"/>
    </row>
    <row r="5" spans="2:35" s="11" customFormat="1" x14ac:dyDescent="0.2">
      <c r="B5" s="113"/>
      <c r="C5" s="113"/>
      <c r="D5" s="10">
        <v>42248</v>
      </c>
      <c r="E5" s="10">
        <f>D5+1</f>
        <v>42249</v>
      </c>
      <c r="F5" s="10">
        <f t="shared" ref="F5:AH5" si="0">E5+1</f>
        <v>42250</v>
      </c>
      <c r="G5" s="10">
        <f t="shared" si="0"/>
        <v>42251</v>
      </c>
      <c r="H5" s="10">
        <f t="shared" si="0"/>
        <v>42252</v>
      </c>
      <c r="I5" s="10">
        <f t="shared" si="0"/>
        <v>42253</v>
      </c>
      <c r="J5" s="10">
        <f t="shared" si="0"/>
        <v>42254</v>
      </c>
      <c r="K5" s="10">
        <f t="shared" si="0"/>
        <v>42255</v>
      </c>
      <c r="L5" s="10">
        <f t="shared" si="0"/>
        <v>42256</v>
      </c>
      <c r="M5" s="10">
        <f t="shared" si="0"/>
        <v>42257</v>
      </c>
      <c r="N5" s="10">
        <f t="shared" si="0"/>
        <v>42258</v>
      </c>
      <c r="O5" s="10">
        <f t="shared" si="0"/>
        <v>42259</v>
      </c>
      <c r="P5" s="10">
        <f t="shared" si="0"/>
        <v>42260</v>
      </c>
      <c r="Q5" s="10">
        <f t="shared" si="0"/>
        <v>42261</v>
      </c>
      <c r="R5" s="10">
        <f t="shared" si="0"/>
        <v>42262</v>
      </c>
      <c r="S5" s="10">
        <f t="shared" si="0"/>
        <v>42263</v>
      </c>
      <c r="T5" s="10">
        <f t="shared" si="0"/>
        <v>42264</v>
      </c>
      <c r="U5" s="10">
        <f t="shared" si="0"/>
        <v>42265</v>
      </c>
      <c r="V5" s="10">
        <f t="shared" si="0"/>
        <v>42266</v>
      </c>
      <c r="W5" s="10">
        <f t="shared" si="0"/>
        <v>42267</v>
      </c>
      <c r="X5" s="10">
        <f t="shared" si="0"/>
        <v>42268</v>
      </c>
      <c r="Y5" s="10">
        <f t="shared" si="0"/>
        <v>42269</v>
      </c>
      <c r="Z5" s="10">
        <f t="shared" si="0"/>
        <v>42270</v>
      </c>
      <c r="AA5" s="10">
        <f t="shared" si="0"/>
        <v>42271</v>
      </c>
      <c r="AB5" s="10">
        <f t="shared" si="0"/>
        <v>42272</v>
      </c>
      <c r="AC5" s="10">
        <f t="shared" si="0"/>
        <v>42273</v>
      </c>
      <c r="AD5" s="10">
        <f t="shared" si="0"/>
        <v>42274</v>
      </c>
      <c r="AE5" s="10">
        <f t="shared" si="0"/>
        <v>42275</v>
      </c>
      <c r="AF5" s="10">
        <f t="shared" si="0"/>
        <v>42276</v>
      </c>
      <c r="AG5" s="10">
        <f t="shared" si="0"/>
        <v>42277</v>
      </c>
      <c r="AH5" s="10">
        <f t="shared" si="0"/>
        <v>42278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Agosto!AH77</f>
        <v>37633.148699999758</v>
      </c>
      <c r="E6" s="13">
        <f t="shared" ref="E6:AH6" si="1">D77</f>
        <v>77802.198699999746</v>
      </c>
      <c r="F6" s="13">
        <f t="shared" si="1"/>
        <v>34669.958699999741</v>
      </c>
      <c r="G6" s="13">
        <f t="shared" si="1"/>
        <v>53412.768699999746</v>
      </c>
      <c r="H6" s="13">
        <f t="shared" si="1"/>
        <v>92413.068699999742</v>
      </c>
      <c r="I6" s="13">
        <f t="shared" si="1"/>
        <v>92413.068699999742</v>
      </c>
      <c r="J6" s="13">
        <f t="shared" si="1"/>
        <v>92413.068699999742</v>
      </c>
      <c r="K6" s="13">
        <f t="shared" si="1"/>
        <v>92413.068699999742</v>
      </c>
      <c r="L6" s="13">
        <f t="shared" si="1"/>
        <v>143460.54869999972</v>
      </c>
      <c r="M6" s="13">
        <f t="shared" si="1"/>
        <v>240438.22869999972</v>
      </c>
      <c r="N6" s="13">
        <f t="shared" si="1"/>
        <v>176575.71869999974</v>
      </c>
      <c r="O6" s="13">
        <f t="shared" si="1"/>
        <v>205329.55869999973</v>
      </c>
      <c r="P6" s="13">
        <f t="shared" si="1"/>
        <v>205329.55869999973</v>
      </c>
      <c r="Q6" s="13">
        <f t="shared" si="1"/>
        <v>205329.55869999973</v>
      </c>
      <c r="R6" s="13">
        <f t="shared" si="1"/>
        <v>207919.28869999971</v>
      </c>
      <c r="S6" s="13">
        <f t="shared" si="1"/>
        <v>131588.18869999971</v>
      </c>
      <c r="T6" s="13">
        <f t="shared" si="1"/>
        <v>162406.8686999997</v>
      </c>
      <c r="U6" s="13">
        <f t="shared" si="1"/>
        <v>189061.72869999969</v>
      </c>
      <c r="V6" s="13">
        <f t="shared" si="1"/>
        <v>183154.51869999969</v>
      </c>
      <c r="W6" s="13">
        <f t="shared" si="1"/>
        <v>183154.51869999969</v>
      </c>
      <c r="X6" s="13">
        <f t="shared" si="1"/>
        <v>183154.51869999969</v>
      </c>
      <c r="Y6" s="13">
        <f t="shared" si="1"/>
        <v>45062.338699999673</v>
      </c>
      <c r="Z6" s="13">
        <f t="shared" si="1"/>
        <v>104000.72869999967</v>
      </c>
      <c r="AA6" s="13">
        <f t="shared" si="1"/>
        <v>98864.588699999673</v>
      </c>
      <c r="AB6" s="13">
        <f t="shared" si="1"/>
        <v>154726.88869999966</v>
      </c>
      <c r="AC6" s="13">
        <f t="shared" si="1"/>
        <v>149722.16869999966</v>
      </c>
      <c r="AD6" s="13">
        <f t="shared" si="1"/>
        <v>149722.16869999966</v>
      </c>
      <c r="AE6" s="13">
        <f t="shared" si="1"/>
        <v>149722.16869999966</v>
      </c>
      <c r="AF6" s="13">
        <f t="shared" si="1"/>
        <v>185069.27869999965</v>
      </c>
      <c r="AG6" s="13">
        <f t="shared" si="1"/>
        <v>242060.56869999965</v>
      </c>
      <c r="AH6" s="13">
        <f t="shared" si="1"/>
        <v>123402.71869999962</v>
      </c>
      <c r="AI6" s="13">
        <f>D6</f>
        <v>37633.148699999758</v>
      </c>
    </row>
    <row r="7" spans="2:35" ht="16.5" customHeight="1" x14ac:dyDescent="0.2">
      <c r="B7" s="114" t="s">
        <v>2</v>
      </c>
      <c r="C7" s="14" t="s">
        <v>50</v>
      </c>
      <c r="D7" s="15">
        <f>1006.95+882</f>
        <v>1888.95</v>
      </c>
      <c r="E7" s="15">
        <f>288.75+231</f>
        <v>519.75</v>
      </c>
      <c r="F7" s="15">
        <f>1138.5+859.95+250+187</f>
        <v>2435.4499999999998</v>
      </c>
      <c r="G7" s="15">
        <f>192.68+220.5+8662.5+1026.81+290</f>
        <v>10392.49</v>
      </c>
      <c r="H7" s="15"/>
      <c r="I7" s="15"/>
      <c r="J7" s="15"/>
      <c r="K7" s="15">
        <f>2881+273</f>
        <v>3154</v>
      </c>
      <c r="L7" s="15">
        <f>560+420+157+192.68</f>
        <v>1329.68</v>
      </c>
      <c r="M7" s="95">
        <f>10000+887.25+21.55+500</f>
        <v>11408.8</v>
      </c>
      <c r="N7" s="15">
        <f>520+420+509.55</f>
        <v>1449.55</v>
      </c>
      <c r="O7" s="15"/>
      <c r="P7" s="15"/>
      <c r="Q7" s="15">
        <f>210+157</f>
        <v>367</v>
      </c>
      <c r="R7" s="15">
        <f>31.05+21860+630+276.15</f>
        <v>22797.200000000001</v>
      </c>
      <c r="S7" s="15">
        <f>35</f>
        <v>35</v>
      </c>
      <c r="T7" s="15">
        <f>443.62+239.4+1955.1</f>
        <v>2638.12</v>
      </c>
      <c r="U7" s="15">
        <f>1381+1822.1</f>
        <v>3203.1</v>
      </c>
      <c r="V7" s="15"/>
      <c r="W7" s="15"/>
      <c r="X7" s="15">
        <f>262.5+429.95+63+196.98+294</f>
        <v>1246.43</v>
      </c>
      <c r="Y7" s="15">
        <f>260</f>
        <v>260</v>
      </c>
      <c r="Z7" s="15">
        <f>4187.5+525</f>
        <v>4712.5</v>
      </c>
      <c r="AA7" s="15">
        <f>28</f>
        <v>28</v>
      </c>
      <c r="AB7" s="15">
        <f>186.95</f>
        <v>186.95</v>
      </c>
      <c r="AC7" s="15"/>
      <c r="AD7" s="15"/>
      <c r="AE7" s="15">
        <f>156.98</f>
        <v>156.97999999999999</v>
      </c>
      <c r="AF7" s="15"/>
      <c r="AG7" s="15">
        <f>302.4+157+156.95</f>
        <v>616.34999999999991</v>
      </c>
      <c r="AH7" s="15"/>
      <c r="AI7" s="16">
        <f>SUM(D7:AH7)</f>
        <v>68826.299999999988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>
        <f>662.43+166.1+278.4+432.8+497.06+579.15+971.17+1136.4</f>
        <v>4723.51</v>
      </c>
      <c r="M8" s="15"/>
      <c r="N8" s="15"/>
      <c r="O8" s="18"/>
      <c r="P8" s="18"/>
      <c r="Q8" s="18"/>
      <c r="R8" s="18"/>
      <c r="S8" s="18"/>
      <c r="T8" s="18"/>
      <c r="U8" s="18">
        <f>2039.5+0.6+321.32+674.69+790.31+1180.7+1294.16+1547.48+2164.86+2282.65+2741.5</f>
        <v>15037.77</v>
      </c>
      <c r="V8" s="18"/>
      <c r="W8" s="18"/>
      <c r="X8" s="18"/>
      <c r="Y8" s="18">
        <f>2228.65+2509.19+8700.77+20285.4</f>
        <v>33724.01</v>
      </c>
      <c r="Z8" s="18"/>
      <c r="AA8" s="18"/>
      <c r="AB8" s="18"/>
      <c r="AC8" s="18"/>
      <c r="AD8" s="18"/>
      <c r="AE8" s="18"/>
      <c r="AF8" s="18"/>
      <c r="AG8" s="18">
        <f>2215.4+840.29+899.77+1069.1+1628.75+2079.15+2734.1</f>
        <v>11466.56</v>
      </c>
      <c r="AH8" s="18"/>
      <c r="AI8" s="16">
        <f t="shared" ref="AI8:AI17" si="2">SUM(D8:AH8)</f>
        <v>64951.85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27758.08+49.5+568.57+202.86</f>
        <v>28579.010000000002</v>
      </c>
      <c r="E11" s="18">
        <f>2447.73+1403.52</f>
        <v>3851.25</v>
      </c>
      <c r="F11" s="18">
        <f>1614.9+4530.44+294+816.2+1012.55</f>
        <v>8268.09</v>
      </c>
      <c r="G11" s="18">
        <f>6900.62+4446.75+211.75</f>
        <v>11559.119999999999</v>
      </c>
      <c r="H11" s="18"/>
      <c r="I11" s="18"/>
      <c r="J11" s="18"/>
      <c r="K11" s="18">
        <f>9834.65+21212.1</f>
        <v>31046.75</v>
      </c>
      <c r="L11" s="18">
        <f>45241.86+19986+7368.5+428.89+5313.7</f>
        <v>78338.95</v>
      </c>
      <c r="M11" s="18">
        <f>10545.43+797.05+433.12</f>
        <v>11775.6</v>
      </c>
      <c r="N11" s="18">
        <f>15509.89+561.75+431.2+3897.98</f>
        <v>20400.82</v>
      </c>
      <c r="O11" s="18"/>
      <c r="P11" s="18"/>
      <c r="Q11" s="18">
        <f>18644.82+1575+2044.35+10601.85</f>
        <v>32866.019999999997</v>
      </c>
      <c r="R11" s="18">
        <f>24384.65</f>
        <v>24384.65</v>
      </c>
      <c r="S11" s="18">
        <f>18958.33</f>
        <v>18958.330000000002</v>
      </c>
      <c r="T11" s="18">
        <f>4432.19+262.5+2840.04+1659</f>
        <v>9193.73</v>
      </c>
      <c r="U11" s="18">
        <f>2525.18+866.25+577.5</f>
        <v>3968.93</v>
      </c>
      <c r="V11" s="18"/>
      <c r="W11" s="18"/>
      <c r="X11" s="18">
        <f>2301.95+90.09+842.11+561.41+561.41+786.74+647.43+6090+2352+211.75+1242.78+1767.92+4451.37</f>
        <v>21906.959999999999</v>
      </c>
      <c r="Y11" s="18">
        <f>21000.96+609.45+1953</f>
        <v>23563.41</v>
      </c>
      <c r="Z11" s="18">
        <f>13843.25+1513</f>
        <v>15356.25</v>
      </c>
      <c r="AA11" s="18">
        <f>13633.98+20547.25+5852.63+420</f>
        <v>40453.859999999993</v>
      </c>
      <c r="AB11" s="18">
        <f>5714.27+561.41+4654.65</f>
        <v>10930.33</v>
      </c>
      <c r="AC11" s="18"/>
      <c r="AD11" s="18"/>
      <c r="AE11" s="18">
        <f>6131.44+3078</f>
        <v>9209.4399999999987</v>
      </c>
      <c r="AF11" s="18">
        <f>41912.13+3087.75</f>
        <v>44999.88</v>
      </c>
      <c r="AG11" s="18">
        <f>441+2515.16+2421.25</f>
        <v>5377.41</v>
      </c>
      <c r="AH11" s="18"/>
      <c r="AI11" s="16">
        <f t="shared" si="2"/>
        <v>454988.78999999992</v>
      </c>
    </row>
    <row r="12" spans="2:35" ht="16.5" customHeight="1" x14ac:dyDescent="0.2">
      <c r="B12" s="115"/>
      <c r="C12" s="17" t="s">
        <v>90</v>
      </c>
      <c r="D12" s="18">
        <v>1.58</v>
      </c>
      <c r="E12" s="18">
        <v>0.7</v>
      </c>
      <c r="F12" s="18">
        <v>1.06</v>
      </c>
      <c r="G12" s="18">
        <v>1.87</v>
      </c>
      <c r="H12" s="18"/>
      <c r="I12" s="18"/>
      <c r="J12" s="18"/>
      <c r="K12" s="18">
        <v>2.9</v>
      </c>
      <c r="L12" s="18">
        <v>4.88</v>
      </c>
      <c r="M12" s="18">
        <v>3.6</v>
      </c>
      <c r="N12" s="18">
        <v>4.1399999999999997</v>
      </c>
      <c r="O12" s="18"/>
      <c r="P12" s="18"/>
      <c r="Q12" s="18">
        <v>4.2300000000000004</v>
      </c>
      <c r="R12" s="18">
        <v>2.67</v>
      </c>
      <c r="S12" s="18">
        <v>3.3</v>
      </c>
      <c r="T12" s="18">
        <v>3.79</v>
      </c>
      <c r="U12" s="18">
        <v>3.74</v>
      </c>
      <c r="V12" s="18"/>
      <c r="W12" s="18"/>
      <c r="X12" s="18">
        <v>0.91</v>
      </c>
      <c r="Y12" s="18">
        <v>2.11</v>
      </c>
      <c r="Z12" s="18">
        <v>2.02</v>
      </c>
      <c r="AA12" s="18">
        <v>3.14</v>
      </c>
      <c r="AB12" s="18">
        <v>3.04</v>
      </c>
      <c r="AC12" s="18"/>
      <c r="AD12" s="18"/>
      <c r="AE12" s="18">
        <v>3.76</v>
      </c>
      <c r="AF12" s="18">
        <v>4.92</v>
      </c>
      <c r="AG12" s="18">
        <f>817.6+2.5</f>
        <v>820.1</v>
      </c>
      <c r="AH12" s="18"/>
      <c r="AI12" s="16">
        <f t="shared" si="2"/>
        <v>878.46</v>
      </c>
    </row>
    <row r="13" spans="2:35" ht="16.5" customHeight="1" x14ac:dyDescent="0.2">
      <c r="B13" s="115"/>
      <c r="C13" s="17" t="s">
        <v>49</v>
      </c>
      <c r="D13" s="18">
        <v>1660.41</v>
      </c>
      <c r="E13" s="18">
        <v>4868.6499999999996</v>
      </c>
      <c r="F13" s="18">
        <v>704.7</v>
      </c>
      <c r="G13" s="18">
        <v>1260.6300000000001</v>
      </c>
      <c r="H13" s="18"/>
      <c r="I13" s="18"/>
      <c r="J13" s="18"/>
      <c r="K13" s="18">
        <f>1782.77</f>
        <v>1782.77</v>
      </c>
      <c r="L13" s="18">
        <v>1907.9</v>
      </c>
      <c r="M13" s="18">
        <v>4794.84</v>
      </c>
      <c r="N13" s="18">
        <v>1594.42</v>
      </c>
      <c r="P13" s="18"/>
      <c r="Q13" s="18">
        <f>5617.1</f>
        <v>5617.1</v>
      </c>
      <c r="R13" s="18">
        <v>2488.08</v>
      </c>
      <c r="S13" s="18">
        <v>3054.05</v>
      </c>
      <c r="T13" s="18">
        <v>3424.97</v>
      </c>
      <c r="U13" s="18">
        <v>10954.6</v>
      </c>
      <c r="V13" s="18"/>
      <c r="W13" s="18"/>
      <c r="X13" s="18">
        <f>3350.96</f>
        <v>3350.96</v>
      </c>
      <c r="Y13" s="18">
        <v>2660.51</v>
      </c>
      <c r="Z13" s="18">
        <v>1429.15</v>
      </c>
      <c r="AA13" s="18">
        <v>5380.85</v>
      </c>
      <c r="AB13" s="18">
        <v>4814.17</v>
      </c>
      <c r="AC13" s="18"/>
      <c r="AD13" s="18"/>
      <c r="AE13" s="18">
        <v>1947.43</v>
      </c>
      <c r="AF13" s="18">
        <v>253.57</v>
      </c>
      <c r="AG13" s="18">
        <v>3975.56</v>
      </c>
      <c r="AH13" s="18"/>
      <c r="AI13" s="16">
        <f t="shared" si="2"/>
        <v>67925.319999999992</v>
      </c>
    </row>
    <row r="14" spans="2:35" ht="16.5" customHeight="1" x14ac:dyDescent="0.2">
      <c r="B14" s="115"/>
      <c r="C14" s="17" t="s">
        <v>54</v>
      </c>
      <c r="D14" s="18">
        <f>345.88</f>
        <v>345.88</v>
      </c>
      <c r="E14" s="18">
        <v>76.930000000000007</v>
      </c>
      <c r="F14" s="18">
        <v>577.77</v>
      </c>
      <c r="G14" s="18">
        <v>995.62</v>
      </c>
      <c r="H14" s="18"/>
      <c r="I14" s="18"/>
      <c r="J14" s="18"/>
      <c r="K14" s="18">
        <f>29.44+525.63+698.66+2145.09</f>
        <v>3398.82</v>
      </c>
      <c r="L14" s="18">
        <v>746.6</v>
      </c>
      <c r="M14" s="18">
        <v>540.22</v>
      </c>
      <c r="N14" s="18">
        <v>2061.1</v>
      </c>
      <c r="O14" s="18"/>
      <c r="P14" s="18"/>
      <c r="Q14" s="18">
        <f>760.23+1166.55+2205.19</f>
        <v>4131.97</v>
      </c>
      <c r="R14" s="18">
        <f>1583.75</f>
        <v>1583.75</v>
      </c>
      <c r="S14" s="18">
        <v>1348.96</v>
      </c>
      <c r="T14" s="18">
        <v>1253.72</v>
      </c>
      <c r="U14" s="18">
        <v>2654.98</v>
      </c>
      <c r="V14" s="18"/>
      <c r="W14" s="18"/>
      <c r="X14" s="18">
        <f>1127.07+4250.44+5509.51</f>
        <v>10887.02</v>
      </c>
      <c r="Y14" s="18">
        <v>3741.35</v>
      </c>
      <c r="Z14" s="18">
        <v>626.02</v>
      </c>
      <c r="AA14" s="18">
        <v>903.5</v>
      </c>
      <c r="AB14" s="18">
        <v>2940.77</v>
      </c>
      <c r="AC14" s="18"/>
      <c r="AD14" s="18"/>
      <c r="AE14" s="18">
        <f>747.3+1209.08+2599.7</f>
        <v>4556.08</v>
      </c>
      <c r="AF14" s="18">
        <v>4417.66</v>
      </c>
      <c r="AG14" s="18">
        <v>321.3</v>
      </c>
      <c r="AH14" s="18"/>
      <c r="AI14" s="16">
        <f t="shared" si="2"/>
        <v>48110.020000000004</v>
      </c>
    </row>
    <row r="15" spans="2:35" ht="16.5" customHeight="1" x14ac:dyDescent="0.2">
      <c r="B15" s="115"/>
      <c r="C15" s="17" t="s">
        <v>55</v>
      </c>
      <c r="D15" s="18">
        <f>124.37+1133.29</f>
        <v>1257.6599999999999</v>
      </c>
      <c r="E15" s="18">
        <v>691.65</v>
      </c>
      <c r="F15" s="18">
        <v>290.14999999999998</v>
      </c>
      <c r="G15" s="18">
        <v>2618.86</v>
      </c>
      <c r="H15" s="18"/>
      <c r="I15" s="18"/>
      <c r="J15" s="18"/>
      <c r="K15" s="18">
        <f>313.01+544.27+917.42+1342.51+31.59+103.03+257.56+1983.25</f>
        <v>5492.64</v>
      </c>
      <c r="L15" s="18">
        <v>1366.48</v>
      </c>
      <c r="M15" s="18">
        <v>317.68</v>
      </c>
      <c r="N15" s="18">
        <f>327.6</f>
        <v>327.60000000000002</v>
      </c>
      <c r="O15" s="18"/>
      <c r="P15" s="18"/>
      <c r="Q15" s="18">
        <f>178.59+402.29+1040.1+257.56+803.66</f>
        <v>2682.2</v>
      </c>
      <c r="R15" s="18">
        <f>1162.82+137.49</f>
        <v>1300.31</v>
      </c>
      <c r="S15" s="18">
        <f>51.51+29.27</f>
        <v>80.78</v>
      </c>
      <c r="T15" s="18">
        <f>771.32+19.62</f>
        <v>790.94</v>
      </c>
      <c r="U15" s="18">
        <f>1403.16+169.99</f>
        <v>1573.15</v>
      </c>
      <c r="V15" s="18"/>
      <c r="W15" s="18"/>
      <c r="X15" s="18">
        <f>929.94+1084.03+3539.26+252.56+257.56</f>
        <v>6063.3500000000013</v>
      </c>
      <c r="Y15" s="18">
        <v>629.24</v>
      </c>
      <c r="Z15" s="18">
        <f>447.65+32.38</f>
        <v>480.03</v>
      </c>
      <c r="AA15" s="18">
        <v>1069.5</v>
      </c>
      <c r="AB15" s="18">
        <v>1116.58</v>
      </c>
      <c r="AC15" s="18"/>
      <c r="AD15" s="18"/>
      <c r="AE15" s="18">
        <f>826.13+1597.18+1898.37+247.26</f>
        <v>4568.9400000000005</v>
      </c>
      <c r="AF15" s="18">
        <v>1543.38</v>
      </c>
      <c r="AG15" s="18">
        <v>32.67</v>
      </c>
      <c r="AH15" s="18"/>
      <c r="AI15" s="16">
        <f t="shared" si="2"/>
        <v>34293.79</v>
      </c>
    </row>
    <row r="16" spans="2:35" ht="16.5" customHeight="1" x14ac:dyDescent="0.2">
      <c r="B16" s="115"/>
      <c r="C16" s="17" t="s">
        <v>56</v>
      </c>
      <c r="D16" s="18">
        <v>3766.81</v>
      </c>
      <c r="E16" s="18">
        <v>12296.41</v>
      </c>
      <c r="F16" s="18">
        <v>5679.82</v>
      </c>
      <c r="G16" s="18">
        <v>6150.15</v>
      </c>
      <c r="H16" s="18"/>
      <c r="I16" s="18"/>
      <c r="J16" s="18"/>
      <c r="K16" s="18">
        <f>28462.76</f>
        <v>28462.76</v>
      </c>
      <c r="L16" s="18">
        <v>14100.36</v>
      </c>
      <c r="M16" s="18">
        <f>6053.7</f>
        <v>6053.7</v>
      </c>
      <c r="N16" s="18">
        <v>6074.92</v>
      </c>
      <c r="O16" s="18"/>
      <c r="P16" s="18"/>
      <c r="Q16" s="18">
        <v>23859.1</v>
      </c>
      <c r="R16" s="18">
        <f>7426.14</f>
        <v>7426.14</v>
      </c>
      <c r="S16" s="18">
        <v>10341.790000000001</v>
      </c>
      <c r="T16" s="18">
        <v>8262.65</v>
      </c>
      <c r="U16" s="18">
        <v>5238.34</v>
      </c>
      <c r="V16" s="18"/>
      <c r="W16" s="18"/>
      <c r="X16" s="18">
        <v>19707.349999999999</v>
      </c>
      <c r="Y16" s="18">
        <v>6023.53</v>
      </c>
      <c r="Z16" s="18">
        <v>3735.84</v>
      </c>
      <c r="AA16" s="18">
        <v>4679.04</v>
      </c>
      <c r="AB16" s="18">
        <v>5126.3</v>
      </c>
      <c r="AC16" s="18"/>
      <c r="AD16" s="18"/>
      <c r="AE16" s="18">
        <v>18934.759999999998</v>
      </c>
      <c r="AF16" s="18">
        <v>4844.8500000000004</v>
      </c>
      <c r="AG16" s="18">
        <v>5293.02</v>
      </c>
      <c r="AH16" s="18"/>
      <c r="AI16" s="16">
        <f t="shared" si="2"/>
        <v>206057.63999999998</v>
      </c>
    </row>
    <row r="17" spans="2:35" ht="16.5" customHeight="1" x14ac:dyDescent="0.2">
      <c r="B17" s="115"/>
      <c r="C17" s="17" t="s">
        <v>48</v>
      </c>
      <c r="D17" s="18">
        <v>2807.35</v>
      </c>
      <c r="E17" s="18">
        <v>3387.28</v>
      </c>
      <c r="F17" s="18">
        <v>791.29</v>
      </c>
      <c r="G17" s="18">
        <v>10994.39</v>
      </c>
      <c r="H17" s="18"/>
      <c r="I17" s="18"/>
      <c r="J17" s="18"/>
      <c r="K17" s="18">
        <f>8072.69</f>
        <v>8072.69</v>
      </c>
      <c r="L17" s="18">
        <v>1265.1500000000001</v>
      </c>
      <c r="M17" s="18">
        <f>4965.2+250.15</f>
        <v>5215.3499999999995</v>
      </c>
      <c r="N17" s="18">
        <v>901.53</v>
      </c>
      <c r="O17" s="18"/>
      <c r="P17" s="18"/>
      <c r="Q17" s="18">
        <f>5205.46</f>
        <v>5205.46</v>
      </c>
      <c r="R17" s="18">
        <v>4818.2</v>
      </c>
      <c r="S17" s="18">
        <v>11496.88</v>
      </c>
      <c r="T17" s="18">
        <f>1086.94</f>
        <v>1086.94</v>
      </c>
      <c r="U17" s="18">
        <v>595.58000000000004</v>
      </c>
      <c r="V17" s="18"/>
      <c r="W17" s="18"/>
      <c r="X17" s="18">
        <f>6707.17+121.55</f>
        <v>6828.72</v>
      </c>
      <c r="Y17" s="18">
        <v>1489</v>
      </c>
      <c r="Z17" s="18">
        <v>436.32</v>
      </c>
      <c r="AA17" s="18">
        <v>3344.41</v>
      </c>
      <c r="AB17" s="18">
        <v>2632.98</v>
      </c>
      <c r="AC17" s="18"/>
      <c r="AD17" s="18"/>
      <c r="AE17" s="18">
        <v>9502</v>
      </c>
      <c r="AF17" s="18">
        <v>998.64</v>
      </c>
      <c r="AG17" s="18">
        <v>1196.0899999999999</v>
      </c>
      <c r="AH17" s="18"/>
      <c r="AI17" s="16">
        <f t="shared" si="2"/>
        <v>83066.249999999985</v>
      </c>
    </row>
    <row r="18" spans="2:35" ht="16.5" customHeight="1" x14ac:dyDescent="0.2">
      <c r="B18" s="115"/>
      <c r="C18" s="21" t="s">
        <v>31</v>
      </c>
      <c r="D18" s="22">
        <f>SUM(D7:D17)</f>
        <v>40307.65</v>
      </c>
      <c r="E18" s="22">
        <f t="shared" ref="E18:AG18" si="3">SUM(E7:E17)</f>
        <v>25692.619999999995</v>
      </c>
      <c r="F18" s="22">
        <f t="shared" si="3"/>
        <v>18748.330000000002</v>
      </c>
      <c r="G18" s="22">
        <f t="shared" si="3"/>
        <v>43973.13</v>
      </c>
      <c r="H18" s="22">
        <f t="shared" si="3"/>
        <v>0</v>
      </c>
      <c r="I18" s="22">
        <f t="shared" si="3"/>
        <v>0</v>
      </c>
      <c r="J18" s="22">
        <f t="shared" si="3"/>
        <v>0</v>
      </c>
      <c r="K18" s="22">
        <f t="shared" si="3"/>
        <v>81413.33</v>
      </c>
      <c r="L18" s="22">
        <f t="shared" si="3"/>
        <v>103783.51</v>
      </c>
      <c r="M18" s="22">
        <f t="shared" si="3"/>
        <v>40109.79</v>
      </c>
      <c r="N18" s="22">
        <f t="shared" si="3"/>
        <v>32814.079999999994</v>
      </c>
      <c r="O18" s="22">
        <f t="shared" si="3"/>
        <v>0</v>
      </c>
      <c r="P18" s="22">
        <f t="shared" si="3"/>
        <v>0</v>
      </c>
      <c r="Q18" s="22">
        <f t="shared" si="3"/>
        <v>74733.08</v>
      </c>
      <c r="R18" s="22">
        <f t="shared" si="3"/>
        <v>64801</v>
      </c>
      <c r="S18" s="22">
        <f t="shared" si="3"/>
        <v>45319.09</v>
      </c>
      <c r="T18" s="22">
        <f t="shared" si="3"/>
        <v>26654.859999999997</v>
      </c>
      <c r="U18" s="22">
        <f t="shared" si="3"/>
        <v>43230.19</v>
      </c>
      <c r="V18" s="22">
        <f t="shared" si="3"/>
        <v>0</v>
      </c>
      <c r="W18" s="22">
        <f t="shared" si="3"/>
        <v>0</v>
      </c>
      <c r="X18" s="22">
        <f t="shared" si="3"/>
        <v>69991.7</v>
      </c>
      <c r="Y18" s="22">
        <f t="shared" si="3"/>
        <v>72093.16</v>
      </c>
      <c r="Z18" s="22">
        <f t="shared" si="3"/>
        <v>26778.13</v>
      </c>
      <c r="AA18" s="22">
        <f t="shared" si="3"/>
        <v>55862.299999999988</v>
      </c>
      <c r="AB18" s="22">
        <f t="shared" si="3"/>
        <v>27751.120000000003</v>
      </c>
      <c r="AC18" s="22">
        <f t="shared" si="3"/>
        <v>0</v>
      </c>
      <c r="AD18" s="22">
        <f t="shared" si="3"/>
        <v>0</v>
      </c>
      <c r="AE18" s="22">
        <f t="shared" si="3"/>
        <v>48879.39</v>
      </c>
      <c r="AF18" s="22">
        <f t="shared" si="3"/>
        <v>57062.899999999994</v>
      </c>
      <c r="AG18" s="22">
        <f t="shared" si="3"/>
        <v>29099.059999999998</v>
      </c>
      <c r="AH18" s="22"/>
      <c r="AI18" s="23">
        <f>SUM(D18:AH18)</f>
        <v>1029098.4199999999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R21" s="26">
        <f>594+387.2+84983.42+36264+326.7+454.65</f>
        <v>123009.96999999999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>
        <v>81130.14</v>
      </c>
      <c r="AH21" s="26"/>
      <c r="AI21" s="19">
        <f t="shared" si="4"/>
        <v>204140.11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O24" s="26"/>
      <c r="P24" s="26"/>
      <c r="Q24" s="26">
        <v>574</v>
      </c>
      <c r="R24" s="26"/>
      <c r="S24" s="26"/>
      <c r="T24" s="26"/>
      <c r="U24" s="26"/>
      <c r="W24" s="26"/>
      <c r="Y24" s="26"/>
      <c r="Z24" s="26"/>
      <c r="AA24" s="58"/>
      <c r="AC24" s="26"/>
      <c r="AD24" s="26"/>
      <c r="AE24" s="26"/>
      <c r="AF24" s="26"/>
      <c r="AG24" s="26"/>
      <c r="AH24" s="26"/>
      <c r="AI24" s="19">
        <f t="shared" si="4"/>
        <v>574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0</v>
      </c>
      <c r="H25" s="29">
        <f t="shared" si="5"/>
        <v>0</v>
      </c>
      <c r="I25" s="29">
        <f t="shared" si="5"/>
        <v>0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0</v>
      </c>
      <c r="Q25" s="29">
        <f>-SUM(Q19:Q24)</f>
        <v>-574</v>
      </c>
      <c r="R25" s="29">
        <f>-SUM(R19:R24)</f>
        <v>-123009.96999999999</v>
      </c>
      <c r="S25" s="29">
        <f t="shared" si="5"/>
        <v>0</v>
      </c>
      <c r="T25" s="29">
        <f>-SUM(T19:T24)</f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>-SUM(X19:X24)</f>
        <v>0</v>
      </c>
      <c r="Y25" s="29">
        <f t="shared" si="5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0</v>
      </c>
      <c r="AD25" s="29">
        <f>-SUM(AD19:AD24)</f>
        <v>0</v>
      </c>
      <c r="AE25" s="29">
        <f t="shared" si="5"/>
        <v>0</v>
      </c>
      <c r="AF25" s="29">
        <f>-SUM(AF19:AF24)</f>
        <v>0</v>
      </c>
      <c r="AG25" s="29">
        <f t="shared" si="5"/>
        <v>-81130.14</v>
      </c>
      <c r="AH25" s="29">
        <f t="shared" si="5"/>
        <v>0</v>
      </c>
      <c r="AI25" s="29">
        <f>-SUM(AI19:AI24)</f>
        <v>-204714.11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26">
        <f>16.7+28.55+67.15+313.89</f>
        <v>426.28999999999996</v>
      </c>
      <c r="V26" s="58"/>
      <c r="W26" s="26"/>
      <c r="X26" s="26"/>
      <c r="Y26" s="26"/>
      <c r="Z26" s="26">
        <v>174.38</v>
      </c>
      <c r="AA26" s="26"/>
      <c r="AB26" s="26"/>
      <c r="AC26" s="26"/>
      <c r="AD26" s="26"/>
      <c r="AE26" s="26">
        <v>48.95</v>
      </c>
      <c r="AF26" s="26"/>
      <c r="AG26" s="26"/>
      <c r="AH26" s="26"/>
      <c r="AI26" s="19">
        <f>SUM(D26:AH26)</f>
        <v>649.62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21.66+56.25+19.79+51.94+126.25+267.2</f>
        <v>543.08999999999992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SUM(D27:AH27)</f>
        <v>543.08999999999992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v>40487.35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40487.35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f>10499.41+13458.32</f>
        <v>23957.73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6"/>
        <v>23957.73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58"/>
      <c r="AB32" s="26">
        <v>5245.79</v>
      </c>
      <c r="AC32" s="26"/>
      <c r="AD32" s="26"/>
      <c r="AE32" s="26"/>
      <c r="AF32" s="26"/>
      <c r="AG32" s="26"/>
      <c r="AH32" s="26"/>
      <c r="AI32" s="19">
        <f t="shared" si="6"/>
        <v>5245.79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58"/>
      <c r="AB33" s="26">
        <v>24211.33</v>
      </c>
      <c r="AC33" s="26"/>
      <c r="AD33" s="26"/>
      <c r="AE33" s="26"/>
      <c r="AF33" s="26"/>
      <c r="AG33" s="26"/>
      <c r="AH33" s="26"/>
      <c r="AI33" s="19">
        <f t="shared" si="6"/>
        <v>24211.33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6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6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0</v>
      </c>
      <c r="L36" s="29">
        <f t="shared" si="7"/>
        <v>0</v>
      </c>
      <c r="M36" s="29">
        <f t="shared" si="7"/>
        <v>-64445.08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>-SUM(T26:T35)</f>
        <v>0</v>
      </c>
      <c r="U36" s="29">
        <f t="shared" si="8"/>
        <v>-969.37999999999988</v>
      </c>
      <c r="V36" s="29">
        <f t="shared" si="8"/>
        <v>0</v>
      </c>
      <c r="W36" s="29">
        <f t="shared" si="8"/>
        <v>0</v>
      </c>
      <c r="X36" s="29">
        <f>-SUM(X26:X35)</f>
        <v>0</v>
      </c>
      <c r="Y36" s="29">
        <f t="shared" si="8"/>
        <v>0</v>
      </c>
      <c r="Z36" s="29">
        <f t="shared" si="8"/>
        <v>-174.38</v>
      </c>
      <c r="AA36" s="29">
        <f t="shared" si="8"/>
        <v>0</v>
      </c>
      <c r="AB36" s="29">
        <f t="shared" si="8"/>
        <v>-29457.120000000003</v>
      </c>
      <c r="AC36" s="29">
        <f t="shared" si="8"/>
        <v>0</v>
      </c>
      <c r="AD36" s="29">
        <f t="shared" si="8"/>
        <v>0</v>
      </c>
      <c r="AE36" s="29">
        <f t="shared" si="8"/>
        <v>-48.95</v>
      </c>
      <c r="AF36" s="29">
        <f>-SUM(AF26:AF35)</f>
        <v>0</v>
      </c>
      <c r="AG36" s="29">
        <f t="shared" si="8"/>
        <v>0</v>
      </c>
      <c r="AH36" s="29">
        <f t="shared" si="8"/>
        <v>0</v>
      </c>
      <c r="AI36" s="29">
        <f>-SUM(AI26:AI35)</f>
        <v>-95094.909999999989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>
        <v>6704.19</v>
      </c>
      <c r="M38" s="18">
        <f>8577.33+19.55</f>
        <v>8596.8799999999992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>
        <v>122.98</v>
      </c>
      <c r="AC38" s="18"/>
      <c r="AD38" s="18"/>
      <c r="AE38" s="18"/>
      <c r="AF38" s="18"/>
      <c r="AG38" s="18">
        <f>135.36+18.46</f>
        <v>153.82000000000002</v>
      </c>
      <c r="AH38" s="20"/>
      <c r="AI38" s="19">
        <f t="shared" ref="AI38:AI39" si="9">SUM(D38:AH38)</f>
        <v>15577.869999999999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0</v>
      </c>
      <c r="J40" s="29">
        <f t="shared" si="10"/>
        <v>0</v>
      </c>
      <c r="K40" s="29">
        <f t="shared" si="10"/>
        <v>0</v>
      </c>
      <c r="L40" s="29">
        <f t="shared" si="10"/>
        <v>-6704.19</v>
      </c>
      <c r="M40" s="29">
        <f t="shared" si="10"/>
        <v>-8596.8799999999992</v>
      </c>
      <c r="N40" s="29">
        <f t="shared" si="10"/>
        <v>0</v>
      </c>
      <c r="O40" s="29">
        <f t="shared" si="10"/>
        <v>0</v>
      </c>
      <c r="P40" s="29">
        <f t="shared" si="10"/>
        <v>0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-122.98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-153.82000000000002</v>
      </c>
      <c r="AH40" s="29">
        <f t="shared" si="10"/>
        <v>0</v>
      </c>
      <c r="AI40" s="29">
        <f t="shared" si="10"/>
        <v>-15577.869999999999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V41" s="18"/>
      <c r="W41" s="18"/>
      <c r="X41" s="18">
        <f>14149.5+13761.75+21619.99+30644.27+15445.85+11447.68+9710.14+12746.02+9299.67+35421.66+12957.78+2369.49</f>
        <v>189573.80000000002</v>
      </c>
      <c r="Z41" s="18"/>
      <c r="AA41" s="18"/>
      <c r="AB41" s="18"/>
      <c r="AC41" s="18"/>
      <c r="AD41" s="18"/>
      <c r="AE41" s="18"/>
      <c r="AG41" s="18"/>
      <c r="AH41" s="18"/>
      <c r="AI41" s="19">
        <f>SUM(D41:AH41)</f>
        <v>189573.80000000002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R42" s="63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69"/>
      <c r="AH42" s="18"/>
      <c r="AI42" s="19">
        <f t="shared" ref="AI42:AI73" si="11">SUM(D42:AH42)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>
        <f>21860+16000</f>
        <v>37860</v>
      </c>
      <c r="V43" s="18"/>
      <c r="W43" s="18"/>
      <c r="X43" s="18"/>
      <c r="Y43" s="18">
        <v>13000</v>
      </c>
      <c r="Z43" s="26">
        <v>28000</v>
      </c>
      <c r="AA43" s="18"/>
      <c r="AB43" s="18"/>
      <c r="AC43" s="18"/>
      <c r="AD43" s="58"/>
      <c r="AE43" s="18">
        <v>10200</v>
      </c>
      <c r="AG43" s="18">
        <v>46000</v>
      </c>
      <c r="AH43" s="18"/>
      <c r="AI43" s="19">
        <f t="shared" si="11"/>
        <v>135060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1"/>
        <v>0</v>
      </c>
    </row>
    <row r="45" spans="2:35" ht="16.5" customHeight="1" x14ac:dyDescent="0.2">
      <c r="B45" s="117"/>
      <c r="C45" s="25" t="s">
        <v>72</v>
      </c>
      <c r="D45" s="18"/>
      <c r="E45" s="18">
        <f>43631.85</f>
        <v>43631.85</v>
      </c>
      <c r="F45" s="18"/>
      <c r="G45" s="18"/>
      <c r="H45" s="18"/>
      <c r="I45" s="18"/>
      <c r="J45" s="18"/>
      <c r="K45" s="18">
        <v>27352.78</v>
      </c>
      <c r="L45" s="18"/>
      <c r="M45" s="18"/>
      <c r="N45" s="18"/>
      <c r="P45" s="18"/>
      <c r="Q45" s="26">
        <v>55652.33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1"/>
        <v>126636.96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14014.82+7919.79</f>
        <v>21934.61</v>
      </c>
      <c r="O46" s="26"/>
      <c r="P46" s="26"/>
      <c r="Q46" s="26"/>
      <c r="R46" s="26"/>
      <c r="S46" s="26"/>
      <c r="T46" s="26"/>
      <c r="V46" s="26"/>
      <c r="W46" s="26"/>
      <c r="X46" s="26">
        <v>17822.78</v>
      </c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1"/>
        <v>39757.39</v>
      </c>
    </row>
    <row r="47" spans="2:35" ht="16.5" customHeight="1" x14ac:dyDescent="0.2">
      <c r="B47" s="117"/>
      <c r="C47" s="25" t="s">
        <v>79</v>
      </c>
      <c r="D47" s="26"/>
      <c r="E47" s="26">
        <f>28+28+199.2+12329.06</f>
        <v>12584.26</v>
      </c>
      <c r="F47" s="26"/>
      <c r="G47" s="26">
        <f>615.3</f>
        <v>615.29999999999995</v>
      </c>
      <c r="H47" s="18"/>
      <c r="I47" s="26"/>
      <c r="J47" s="26"/>
      <c r="K47" s="26">
        <f>166+56</f>
        <v>222</v>
      </c>
      <c r="M47" s="26">
        <f>3410.81+2944.24+1049.92</f>
        <v>7404.9699999999993</v>
      </c>
      <c r="N47" s="26">
        <f>1532.5+228.78+56+53.1</f>
        <v>1870.3799999999999</v>
      </c>
      <c r="O47" s="26"/>
      <c r="P47" s="26"/>
      <c r="Q47" s="4">
        <f>879.02</f>
        <v>879.02</v>
      </c>
      <c r="R47" s="26">
        <v>87.4</v>
      </c>
      <c r="S47" s="26">
        <f>8528.33+180.2</f>
        <v>8708.5300000000007</v>
      </c>
      <c r="T47" s="26"/>
      <c r="U47" s="26">
        <f>1876.47+6546.08</f>
        <v>8422.5499999999993</v>
      </c>
      <c r="V47" s="26"/>
      <c r="W47" s="26"/>
      <c r="X47" s="26"/>
      <c r="Z47" s="26">
        <f>89.4+84</f>
        <v>173.4</v>
      </c>
      <c r="AA47" s="26"/>
      <c r="AB47" s="26">
        <f>137.5</f>
        <v>137.5</v>
      </c>
      <c r="AC47" s="26"/>
      <c r="AD47" s="26"/>
      <c r="AE47" s="26">
        <f>855.08+197.2+2032.4+112+52</f>
        <v>3248.6800000000003</v>
      </c>
      <c r="AF47" s="26"/>
      <c r="AG47" s="26">
        <v>154</v>
      </c>
      <c r="AH47" s="26"/>
      <c r="AI47" s="19">
        <f t="shared" si="11"/>
        <v>44507.990000000005</v>
      </c>
    </row>
    <row r="48" spans="2:35" ht="16.5" customHeight="1" x14ac:dyDescent="0.2">
      <c r="B48" s="117"/>
      <c r="C48" s="25" t="s">
        <v>35</v>
      </c>
      <c r="E48" s="26">
        <v>8062.17</v>
      </c>
      <c r="F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1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1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T50" s="26"/>
      <c r="U50" s="26"/>
      <c r="V50" s="26"/>
      <c r="W50" s="26"/>
      <c r="X50" s="26"/>
      <c r="Y50" s="58"/>
      <c r="Z50" s="58"/>
      <c r="AA50" s="58"/>
      <c r="AB50" s="26">
        <f>153.9</f>
        <v>153.9</v>
      </c>
      <c r="AC50" s="26"/>
      <c r="AD50" s="26"/>
      <c r="AE50" s="26"/>
      <c r="AF50" s="26"/>
      <c r="AG50" s="26"/>
      <c r="AH50" s="26"/>
      <c r="AI50" s="19">
        <f t="shared" si="11"/>
        <v>153.9</v>
      </c>
    </row>
    <row r="51" spans="2:35" ht="16.5" customHeight="1" x14ac:dyDescent="0.2">
      <c r="B51" s="117"/>
      <c r="C51" s="25" t="s">
        <v>74</v>
      </c>
      <c r="D51" s="26"/>
      <c r="E51" s="26">
        <f>100.28</f>
        <v>100.28</v>
      </c>
      <c r="F51" s="26"/>
      <c r="G51" s="26"/>
      <c r="H51" s="26"/>
      <c r="I51" s="26"/>
      <c r="J51" s="26"/>
      <c r="K51" s="26"/>
      <c r="L51" s="26"/>
      <c r="M51" s="26"/>
      <c r="N51" s="26">
        <v>139.69999999999999</v>
      </c>
      <c r="O51" s="26"/>
      <c r="P51" s="26"/>
      <c r="Q51" s="26"/>
      <c r="S51" s="26"/>
      <c r="T51" s="26"/>
      <c r="U51" s="26">
        <f>175.3</f>
        <v>175.3</v>
      </c>
      <c r="V51" s="26"/>
      <c r="W51" s="26"/>
      <c r="X51" s="26"/>
      <c r="Y51" s="26"/>
      <c r="Z51" s="26">
        <v>187.3</v>
      </c>
      <c r="AA51" s="26"/>
      <c r="AB51" s="26">
        <v>270.8</v>
      </c>
      <c r="AC51" s="26"/>
      <c r="AD51" s="26"/>
      <c r="AE51" s="26"/>
      <c r="AF51" s="26"/>
      <c r="AG51" s="26">
        <v>202.7</v>
      </c>
      <c r="AH51" s="26"/>
      <c r="AI51" s="19">
        <f t="shared" si="11"/>
        <v>1076.08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1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R53" s="26">
        <v>10210.52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69">
        <v>8228.7999999999993</v>
      </c>
      <c r="AH53" s="26"/>
      <c r="AI53" s="19">
        <f t="shared" si="11"/>
        <v>18439.32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>
        <v>900.36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69"/>
      <c r="AH54" s="26"/>
      <c r="AI54" s="19">
        <f t="shared" si="11"/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f>674.6</f>
        <v>674.6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>
        <v>329.35</v>
      </c>
      <c r="AH55" s="26"/>
      <c r="AI55" s="19">
        <f t="shared" si="11"/>
        <v>1003.95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1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1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1"/>
        <v>0</v>
      </c>
    </row>
    <row r="59" spans="2:35" ht="16.5" customHeight="1" x14ac:dyDescent="0.2">
      <c r="B59" s="117"/>
      <c r="C59" s="25" t="s">
        <v>32</v>
      </c>
      <c r="D59" s="26"/>
      <c r="E59" s="26">
        <f>3500+460</f>
        <v>3960</v>
      </c>
      <c r="F59" s="26"/>
      <c r="G59" s="26">
        <v>3519.37</v>
      </c>
      <c r="I59" s="26"/>
      <c r="J59" s="26"/>
      <c r="K59" s="26"/>
      <c r="L59" s="26"/>
      <c r="M59" s="26"/>
      <c r="N59" s="26">
        <f>1003.68</f>
        <v>1003.68</v>
      </c>
      <c r="O59" s="26"/>
      <c r="P59" s="26"/>
      <c r="R59" s="26">
        <f>1590+1355.19+342.5+585.45+720</f>
        <v>4593.1400000000003</v>
      </c>
      <c r="S59" s="26"/>
      <c r="T59" s="26"/>
      <c r="U59" s="26"/>
      <c r="V59" s="26"/>
      <c r="W59" s="26"/>
      <c r="Y59" s="26"/>
      <c r="Z59" s="26">
        <f>1023</f>
        <v>1023</v>
      </c>
      <c r="AA59" s="26"/>
      <c r="AB59" s="26">
        <f>391.2</f>
        <v>391.2</v>
      </c>
      <c r="AD59" s="26"/>
      <c r="AE59" s="26"/>
      <c r="AF59" s="26"/>
      <c r="AG59" s="26">
        <f>3180+7950</f>
        <v>11130</v>
      </c>
      <c r="AH59" s="26"/>
      <c r="AI59" s="19">
        <f t="shared" si="11"/>
        <v>25620.39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1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1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f>920</f>
        <v>920</v>
      </c>
      <c r="R63" s="26"/>
      <c r="S63" s="26"/>
      <c r="T63" s="26"/>
      <c r="U63" s="26">
        <v>439.99</v>
      </c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1"/>
        <v>1359.99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>
        <f>788.68</f>
        <v>788.68</v>
      </c>
      <c r="H64" s="26"/>
      <c r="I64" s="26"/>
      <c r="J64" s="26"/>
      <c r="K64" s="26">
        <v>618.33000000000004</v>
      </c>
      <c r="L64" s="58"/>
      <c r="M64" s="26"/>
      <c r="N64" s="4">
        <v>788.68</v>
      </c>
      <c r="O64" s="26"/>
      <c r="P64" s="26"/>
      <c r="Q64" s="26">
        <v>14118</v>
      </c>
      <c r="R64" s="26"/>
      <c r="S64" s="26">
        <v>5650</v>
      </c>
      <c r="T64" s="26"/>
      <c r="U64" s="26">
        <f>788.68+481.5</f>
        <v>1270.1799999999998</v>
      </c>
      <c r="W64" s="26"/>
      <c r="X64" s="26"/>
      <c r="Y64" s="26"/>
      <c r="Z64" s="26">
        <v>2015</v>
      </c>
      <c r="AA64" s="26"/>
      <c r="AB64" s="26"/>
      <c r="AD64" s="26"/>
      <c r="AE64" s="26"/>
      <c r="AF64" s="26"/>
      <c r="AH64" s="26"/>
      <c r="AI64" s="19">
        <f t="shared" si="11"/>
        <v>25248.870000000003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v>711</v>
      </c>
      <c r="L65" s="58"/>
      <c r="M65" s="26"/>
      <c r="N65" s="26"/>
      <c r="O65" s="26"/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/>
      <c r="AG65" s="26">
        <f>412.3</f>
        <v>412.3</v>
      </c>
      <c r="AH65" s="26"/>
      <c r="AI65" s="19">
        <f t="shared" si="11"/>
        <v>1123.3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v>1260.74</v>
      </c>
      <c r="L67" s="26"/>
      <c r="M67" s="26"/>
      <c r="N67" s="26"/>
      <c r="O67" s="26"/>
      <c r="P67" s="26"/>
      <c r="Q67" s="26"/>
      <c r="R67" s="26">
        <v>1800</v>
      </c>
      <c r="S67" s="26"/>
      <c r="T67" s="26"/>
      <c r="U67" s="58"/>
      <c r="V67" s="26"/>
      <c r="W67" s="26"/>
      <c r="X67" s="26"/>
      <c r="Y67" s="26"/>
      <c r="Z67" s="26">
        <f>333.29</f>
        <v>333.29</v>
      </c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3394.0299999999997</v>
      </c>
    </row>
    <row r="68" spans="2:35" ht="16.5" customHeight="1" x14ac:dyDescent="0.2">
      <c r="B68" s="117"/>
      <c r="C68" s="25" t="s">
        <v>80</v>
      </c>
      <c r="D68" s="26"/>
      <c r="E68" s="26">
        <f>154.62+196.98</f>
        <v>351.6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>
        <f>241.4+332.94+127.45+169.54+198.4+134.32+150.62</f>
        <v>1354.67</v>
      </c>
      <c r="T68" s="26"/>
      <c r="U68" s="58"/>
      <c r="V68" s="58"/>
      <c r="W68" s="26"/>
      <c r="X68" s="26"/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1"/>
        <v>1706.27</v>
      </c>
    </row>
    <row r="69" spans="2:35" ht="16.5" customHeight="1" x14ac:dyDescent="0.2">
      <c r="B69" s="117"/>
      <c r="C69" s="25" t="s">
        <v>83</v>
      </c>
      <c r="E69" s="26"/>
      <c r="G69" s="26"/>
      <c r="H69" s="26"/>
      <c r="I69" s="26"/>
      <c r="J69" s="26"/>
      <c r="K69" s="26"/>
      <c r="M69" s="26"/>
      <c r="N69" s="26"/>
      <c r="O69" s="26"/>
      <c r="P69" s="58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>
        <f>2159</f>
        <v>2159</v>
      </c>
      <c r="AD69" s="26"/>
      <c r="AE69" s="26"/>
      <c r="AF69" s="26"/>
      <c r="AG69" s="26"/>
      <c r="AH69" s="26"/>
      <c r="AI69" s="19">
        <f t="shared" si="11"/>
        <v>2159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>
        <v>201</v>
      </c>
      <c r="L70" s="26"/>
      <c r="M70" s="58"/>
      <c r="N70" s="26">
        <f>242</f>
        <v>242</v>
      </c>
      <c r="O70" s="26"/>
      <c r="P70" s="26"/>
      <c r="Q70" s="58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443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5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>
        <v>138.6</v>
      </c>
      <c r="E72" s="26">
        <f>23.1+80+(7.9*4)</f>
        <v>134.69999999999999</v>
      </c>
      <c r="F72" s="26">
        <f>2.31+3.21</f>
        <v>5.52</v>
      </c>
      <c r="G72" s="26">
        <f>41.58+7.9</f>
        <v>49.48</v>
      </c>
      <c r="H72" s="26"/>
      <c r="I72" s="26"/>
      <c r="J72" s="26"/>
      <c r="K72" s="26"/>
      <c r="L72" s="26">
        <f>101.64</f>
        <v>101.64</v>
      </c>
      <c r="M72" s="26">
        <f>7.9*2</f>
        <v>15.8</v>
      </c>
      <c r="N72" s="26">
        <f>7.9*2</f>
        <v>15.8</v>
      </c>
      <c r="O72" s="26"/>
      <c r="P72" s="26"/>
      <c r="Q72" s="26"/>
      <c r="R72" s="26">
        <f>(7.9*3)+52.7</f>
        <v>76.400000000000006</v>
      </c>
      <c r="S72" s="26">
        <f>7.9+133.98</f>
        <v>141.88</v>
      </c>
      <c r="T72" s="26"/>
      <c r="U72" s="26"/>
      <c r="V72" s="26"/>
      <c r="W72" s="26"/>
      <c r="X72" s="26">
        <v>687.3</v>
      </c>
      <c r="Y72" s="26">
        <f>154.77</f>
        <v>154.77000000000001</v>
      </c>
      <c r="Z72" s="26">
        <v>7.9</v>
      </c>
      <c r="AA72" s="26"/>
      <c r="AB72" s="26">
        <f>55.44+7.9</f>
        <v>63.339999999999996</v>
      </c>
      <c r="AC72" s="26"/>
      <c r="AD72" s="26"/>
      <c r="AE72" s="26">
        <f>34.65</f>
        <v>34.65</v>
      </c>
      <c r="AF72" s="26">
        <v>71.61</v>
      </c>
      <c r="AG72" s="26">
        <f>7.9*2</f>
        <v>15.8</v>
      </c>
      <c r="AH72" s="26"/>
      <c r="AI72" s="19">
        <f t="shared" si="11"/>
        <v>1715.1899999999998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1"/>
        <v>0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-138.6</v>
      </c>
      <c r="E74" s="29">
        <f t="shared" si="12"/>
        <v>-68824.86</v>
      </c>
      <c r="F74" s="29">
        <f t="shared" si="12"/>
        <v>-5.52</v>
      </c>
      <c r="G74" s="29">
        <f t="shared" si="12"/>
        <v>-4972.83</v>
      </c>
      <c r="H74" s="29">
        <f t="shared" si="12"/>
        <v>0</v>
      </c>
      <c r="I74" s="29">
        <f t="shared" si="12"/>
        <v>0</v>
      </c>
      <c r="J74" s="29">
        <f t="shared" si="12"/>
        <v>0</v>
      </c>
      <c r="K74" s="29">
        <f t="shared" si="12"/>
        <v>-30365.850000000002</v>
      </c>
      <c r="L74" s="29">
        <f t="shared" si="12"/>
        <v>-101.64</v>
      </c>
      <c r="M74" s="29">
        <f t="shared" si="12"/>
        <v>-30930.34</v>
      </c>
      <c r="N74" s="29">
        <f t="shared" si="12"/>
        <v>-4060.24</v>
      </c>
      <c r="O74" s="29">
        <f t="shared" si="12"/>
        <v>0</v>
      </c>
      <c r="P74" s="29">
        <f t="shared" si="12"/>
        <v>0</v>
      </c>
      <c r="Q74" s="29">
        <f t="shared" si="12"/>
        <v>-71569.350000000006</v>
      </c>
      <c r="R74" s="29">
        <f t="shared" si="12"/>
        <v>-18122.130000000005</v>
      </c>
      <c r="S74" s="29">
        <f>-SUM(S41:S73)</f>
        <v>-14500.41</v>
      </c>
      <c r="T74" s="29">
        <f>-SUM(T41:T73)</f>
        <v>0</v>
      </c>
      <c r="U74" s="29">
        <f t="shared" si="12"/>
        <v>-48168.020000000004</v>
      </c>
      <c r="V74" s="29">
        <f>-SUM(V41:V73)</f>
        <v>0</v>
      </c>
      <c r="W74" s="29">
        <f>-SUM(W41:W73)</f>
        <v>0</v>
      </c>
      <c r="X74" s="29">
        <f>-SUM(X41:X73)</f>
        <v>-208083.88</v>
      </c>
      <c r="Y74" s="29">
        <f t="shared" si="12"/>
        <v>-13154.77</v>
      </c>
      <c r="Z74" s="29">
        <f>-SUM(Z41:Z73)</f>
        <v>-31739.890000000003</v>
      </c>
      <c r="AA74" s="29">
        <f t="shared" si="12"/>
        <v>0</v>
      </c>
      <c r="AB74" s="29">
        <f t="shared" si="12"/>
        <v>-3175.7400000000002</v>
      </c>
      <c r="AC74" s="29">
        <f t="shared" si="12"/>
        <v>0</v>
      </c>
      <c r="AD74" s="29">
        <f>-SUM(AD41:AD73)</f>
        <v>0</v>
      </c>
      <c r="AE74" s="29">
        <f>-SUM(AE41:AE73)</f>
        <v>-13483.33</v>
      </c>
      <c r="AF74" s="29">
        <f>-SUM(AF41:AF73)</f>
        <v>-71.61</v>
      </c>
      <c r="AG74" s="29">
        <f t="shared" si="12"/>
        <v>-66472.950000000012</v>
      </c>
      <c r="AH74" s="29">
        <f t="shared" si="12"/>
        <v>0</v>
      </c>
      <c r="AI74" s="29">
        <f t="shared" si="12"/>
        <v>-627941.96000000008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-138.6</v>
      </c>
      <c r="E75" s="29">
        <f t="shared" si="13"/>
        <v>-68824.86</v>
      </c>
      <c r="F75" s="29">
        <f t="shared" si="13"/>
        <v>-5.52</v>
      </c>
      <c r="G75" s="29">
        <f t="shared" si="13"/>
        <v>-4972.83</v>
      </c>
      <c r="H75" s="29">
        <f t="shared" si="13"/>
        <v>0</v>
      </c>
      <c r="I75" s="29">
        <f t="shared" si="13"/>
        <v>0</v>
      </c>
      <c r="J75" s="29">
        <f t="shared" si="13"/>
        <v>0</v>
      </c>
      <c r="K75" s="29">
        <f t="shared" si="13"/>
        <v>-30365.850000000002</v>
      </c>
      <c r="L75" s="29">
        <f t="shared" si="13"/>
        <v>-6805.83</v>
      </c>
      <c r="M75" s="29">
        <f t="shared" si="13"/>
        <v>-103972.3</v>
      </c>
      <c r="N75" s="29">
        <f t="shared" si="13"/>
        <v>-4060.24</v>
      </c>
      <c r="O75" s="29">
        <f t="shared" si="13"/>
        <v>0</v>
      </c>
      <c r="P75" s="29">
        <f t="shared" si="13"/>
        <v>0</v>
      </c>
      <c r="Q75" s="29">
        <f t="shared" si="13"/>
        <v>-72143.350000000006</v>
      </c>
      <c r="R75" s="29">
        <f t="shared" si="13"/>
        <v>-141132.09999999998</v>
      </c>
      <c r="S75" s="29">
        <f t="shared" si="13"/>
        <v>-14500.41</v>
      </c>
      <c r="T75" s="29">
        <f t="shared" si="13"/>
        <v>0</v>
      </c>
      <c r="U75" s="29">
        <f t="shared" si="13"/>
        <v>-49137.4</v>
      </c>
      <c r="V75" s="29">
        <f t="shared" si="13"/>
        <v>0</v>
      </c>
      <c r="W75" s="29">
        <f t="shared" si="13"/>
        <v>0</v>
      </c>
      <c r="X75" s="29">
        <f t="shared" si="13"/>
        <v>-208083.88</v>
      </c>
      <c r="Y75" s="29">
        <f t="shared" si="13"/>
        <v>-13154.77</v>
      </c>
      <c r="Z75" s="29">
        <f t="shared" si="13"/>
        <v>-31914.270000000004</v>
      </c>
      <c r="AA75" s="29">
        <f t="shared" si="13"/>
        <v>0</v>
      </c>
      <c r="AB75" s="29">
        <f t="shared" si="13"/>
        <v>-32755.840000000004</v>
      </c>
      <c r="AC75" s="29">
        <f t="shared" si="13"/>
        <v>0</v>
      </c>
      <c r="AD75" s="29">
        <f t="shared" si="13"/>
        <v>0</v>
      </c>
      <c r="AE75" s="29">
        <f t="shared" si="13"/>
        <v>-13532.28</v>
      </c>
      <c r="AF75" s="29">
        <f t="shared" si="13"/>
        <v>-71.61</v>
      </c>
      <c r="AG75" s="29">
        <f t="shared" si="13"/>
        <v>-147756.91000000003</v>
      </c>
      <c r="AH75" s="29">
        <f t="shared" si="13"/>
        <v>0</v>
      </c>
      <c r="AI75" s="29">
        <f t="shared" si="13"/>
        <v>-943328.85000000009</v>
      </c>
    </row>
    <row r="76" spans="2:35" ht="7.5" customHeight="1" x14ac:dyDescent="0.2">
      <c r="B76" s="101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100"/>
      <c r="C77" s="32" t="s">
        <v>13</v>
      </c>
      <c r="D77" s="13">
        <f t="shared" ref="D77:AI77" si="14">D6+D18+D75</f>
        <v>77802.198699999746</v>
      </c>
      <c r="E77" s="13">
        <f t="shared" si="14"/>
        <v>34669.958699999741</v>
      </c>
      <c r="F77" s="13">
        <f t="shared" si="14"/>
        <v>53412.768699999746</v>
      </c>
      <c r="G77" s="13">
        <f t="shared" si="14"/>
        <v>92413.068699999742</v>
      </c>
      <c r="H77" s="13">
        <f t="shared" si="14"/>
        <v>92413.068699999742</v>
      </c>
      <c r="I77" s="13">
        <f t="shared" si="14"/>
        <v>92413.068699999742</v>
      </c>
      <c r="J77" s="13">
        <f t="shared" si="14"/>
        <v>92413.068699999742</v>
      </c>
      <c r="K77" s="13">
        <f t="shared" si="14"/>
        <v>143460.54869999972</v>
      </c>
      <c r="L77" s="13">
        <f t="shared" si="14"/>
        <v>240438.22869999972</v>
      </c>
      <c r="M77" s="13">
        <f t="shared" si="14"/>
        <v>176575.71869999974</v>
      </c>
      <c r="N77" s="13">
        <f t="shared" si="14"/>
        <v>205329.55869999973</v>
      </c>
      <c r="O77" s="13">
        <f t="shared" si="14"/>
        <v>205329.55869999973</v>
      </c>
      <c r="P77" s="13">
        <f t="shared" si="14"/>
        <v>205329.55869999973</v>
      </c>
      <c r="Q77" s="13">
        <f t="shared" si="14"/>
        <v>207919.28869999971</v>
      </c>
      <c r="R77" s="13">
        <f t="shared" si="14"/>
        <v>131588.18869999971</v>
      </c>
      <c r="S77" s="13">
        <f t="shared" si="14"/>
        <v>162406.8686999997</v>
      </c>
      <c r="T77" s="13">
        <f t="shared" si="14"/>
        <v>189061.72869999969</v>
      </c>
      <c r="U77" s="13">
        <f t="shared" si="14"/>
        <v>183154.51869999969</v>
      </c>
      <c r="V77" s="13">
        <f t="shared" si="14"/>
        <v>183154.51869999969</v>
      </c>
      <c r="W77" s="13">
        <f t="shared" si="14"/>
        <v>183154.51869999969</v>
      </c>
      <c r="X77" s="13">
        <f t="shared" si="14"/>
        <v>45062.338699999673</v>
      </c>
      <c r="Y77" s="13">
        <f t="shared" si="14"/>
        <v>104000.72869999967</v>
      </c>
      <c r="Z77" s="13">
        <f t="shared" si="14"/>
        <v>98864.588699999673</v>
      </c>
      <c r="AA77" s="13">
        <f t="shared" si="14"/>
        <v>154726.88869999966</v>
      </c>
      <c r="AB77" s="13">
        <f t="shared" si="14"/>
        <v>149722.16869999966</v>
      </c>
      <c r="AC77" s="13">
        <f t="shared" si="14"/>
        <v>149722.16869999966</v>
      </c>
      <c r="AD77" s="13">
        <f t="shared" si="14"/>
        <v>149722.16869999966</v>
      </c>
      <c r="AE77" s="13">
        <f t="shared" si="14"/>
        <v>185069.27869999965</v>
      </c>
      <c r="AF77" s="13">
        <f t="shared" si="14"/>
        <v>242060.56869999965</v>
      </c>
      <c r="AG77" s="13">
        <f t="shared" si="14"/>
        <v>123402.71869999962</v>
      </c>
      <c r="AH77" s="13">
        <f t="shared" si="14"/>
        <v>123402.71869999962</v>
      </c>
      <c r="AI77" s="13">
        <f t="shared" si="14"/>
        <v>123402.71869999962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Agosto!AH83</f>
        <v>513607.20000000048</v>
      </c>
      <c r="E79" s="33">
        <f>D83</f>
        <v>513797.98000000051</v>
      </c>
      <c r="F79" s="33">
        <f t="shared" ref="F79:AH79" si="15">E83</f>
        <v>513989.48000000051</v>
      </c>
      <c r="G79" s="33">
        <f t="shared" si="15"/>
        <v>514182.05000000051</v>
      </c>
      <c r="H79" s="33">
        <f t="shared" si="15"/>
        <v>514402.1600000005</v>
      </c>
      <c r="I79" s="33">
        <f t="shared" si="15"/>
        <v>514402.1600000005</v>
      </c>
      <c r="J79" s="33">
        <f t="shared" si="15"/>
        <v>514402.1600000005</v>
      </c>
      <c r="K79" s="33">
        <f t="shared" si="15"/>
        <v>514402.1600000005</v>
      </c>
      <c r="L79" s="33">
        <f t="shared" si="15"/>
        <v>514657.77000000048</v>
      </c>
      <c r="M79" s="33">
        <f t="shared" si="15"/>
        <v>514657.77000000048</v>
      </c>
      <c r="N79" s="33">
        <f t="shared" si="15"/>
        <v>515051.62000000046</v>
      </c>
      <c r="O79" s="33">
        <f t="shared" si="15"/>
        <v>515255.75000000047</v>
      </c>
      <c r="P79" s="33">
        <f t="shared" si="15"/>
        <v>515255.75000000047</v>
      </c>
      <c r="Q79" s="33">
        <f t="shared" si="15"/>
        <v>515255.75000000047</v>
      </c>
      <c r="R79" s="33">
        <f t="shared" si="15"/>
        <v>515454.84000000049</v>
      </c>
      <c r="S79" s="33">
        <f t="shared" si="15"/>
        <v>515655.78000000049</v>
      </c>
      <c r="T79" s="33">
        <f t="shared" si="15"/>
        <v>515856.37000000052</v>
      </c>
      <c r="U79" s="33">
        <f t="shared" si="15"/>
        <v>516057.70000000054</v>
      </c>
      <c r="V79" s="33">
        <f t="shared" si="15"/>
        <v>516269.70000000054</v>
      </c>
      <c r="W79" s="33">
        <f t="shared" si="15"/>
        <v>516269.70000000054</v>
      </c>
      <c r="X79" s="33">
        <f t="shared" si="15"/>
        <v>516269.70000000054</v>
      </c>
      <c r="Y79" s="33">
        <f t="shared" si="15"/>
        <v>516474.66000000056</v>
      </c>
      <c r="Z79" s="33">
        <f t="shared" si="15"/>
        <v>516678.85000000056</v>
      </c>
      <c r="AA79" s="33">
        <f t="shared" si="15"/>
        <v>516883.82000000053</v>
      </c>
      <c r="AB79" s="33">
        <f t="shared" si="15"/>
        <v>517091.31000000052</v>
      </c>
      <c r="AC79" s="33">
        <f t="shared" si="15"/>
        <v>517324.27000000054</v>
      </c>
      <c r="AD79" s="33">
        <f t="shared" si="15"/>
        <v>517324.27000000054</v>
      </c>
      <c r="AE79" s="33">
        <f t="shared" si="15"/>
        <v>517324.27000000054</v>
      </c>
      <c r="AF79" s="33">
        <f t="shared" si="15"/>
        <v>517554.44000000053</v>
      </c>
      <c r="AG79" s="33">
        <f t="shared" si="15"/>
        <v>517763.31000000052</v>
      </c>
      <c r="AH79" s="33">
        <f t="shared" si="15"/>
        <v>517966.18000000052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6">SUM(G81:AF81)</f>
        <v>0</v>
      </c>
    </row>
    <row r="82" spans="2:35" ht="16.5" customHeight="1" x14ac:dyDescent="0.2">
      <c r="B82" s="117"/>
      <c r="C82" s="17" t="s">
        <v>24</v>
      </c>
      <c r="D82" s="18">
        <v>190.78</v>
      </c>
      <c r="E82" s="18">
        <v>191.5</v>
      </c>
      <c r="F82" s="18">
        <v>192.57</v>
      </c>
      <c r="G82" s="18">
        <v>220.11</v>
      </c>
      <c r="H82" s="18"/>
      <c r="I82" s="18"/>
      <c r="J82" s="18"/>
      <c r="K82" s="18">
        <v>255.61</v>
      </c>
      <c r="L82" s="18"/>
      <c r="M82" s="18">
        <f>106.94+286.91</f>
        <v>393.85</v>
      </c>
      <c r="N82" s="18">
        <v>204.13</v>
      </c>
      <c r="O82" s="18"/>
      <c r="P82" s="18"/>
      <c r="Q82" s="18">
        <v>199.09</v>
      </c>
      <c r="R82" s="18">
        <v>200.94</v>
      </c>
      <c r="S82" s="4">
        <v>200.59</v>
      </c>
      <c r="T82" s="18">
        <v>201.33</v>
      </c>
      <c r="U82" s="18">
        <v>212</v>
      </c>
      <c r="V82" s="18"/>
      <c r="W82" s="18"/>
      <c r="X82" s="18">
        <v>204.96</v>
      </c>
      <c r="Y82" s="18">
        <v>204.19</v>
      </c>
      <c r="Z82" s="18">
        <v>204.97</v>
      </c>
      <c r="AA82" s="18">
        <v>207.49</v>
      </c>
      <c r="AB82" s="18">
        <v>232.96</v>
      </c>
      <c r="AC82" s="18"/>
      <c r="AD82" s="18"/>
      <c r="AE82" s="18">
        <v>230.17</v>
      </c>
      <c r="AF82" s="18">
        <v>208.87</v>
      </c>
      <c r="AG82" s="18">
        <v>202.87</v>
      </c>
      <c r="AH82" s="18"/>
      <c r="AI82" s="19">
        <f t="shared" si="16"/>
        <v>3581.2599999999993</v>
      </c>
    </row>
    <row r="83" spans="2:35" ht="16.5" customHeight="1" x14ac:dyDescent="0.2">
      <c r="B83" s="117"/>
      <c r="C83" s="21" t="s">
        <v>30</v>
      </c>
      <c r="D83" s="22">
        <f>SUM(D80:D82)+D79</f>
        <v>513797.98000000051</v>
      </c>
      <c r="E83" s="22">
        <f t="shared" ref="E83:AH83" si="17">SUM(E80:E82)+D83</f>
        <v>513989.48000000051</v>
      </c>
      <c r="F83" s="22">
        <f>SUM(F80:F82)+E83</f>
        <v>514182.05000000051</v>
      </c>
      <c r="G83" s="22">
        <f t="shared" si="17"/>
        <v>514402.1600000005</v>
      </c>
      <c r="H83" s="22">
        <f t="shared" si="17"/>
        <v>514402.1600000005</v>
      </c>
      <c r="I83" s="22">
        <f t="shared" si="17"/>
        <v>514402.1600000005</v>
      </c>
      <c r="J83" s="22">
        <f t="shared" si="17"/>
        <v>514402.1600000005</v>
      </c>
      <c r="K83" s="22">
        <f>SUM(K80:K82)+J83</f>
        <v>514657.77000000048</v>
      </c>
      <c r="L83" s="22">
        <f t="shared" si="17"/>
        <v>514657.77000000048</v>
      </c>
      <c r="M83" s="22">
        <f t="shared" si="17"/>
        <v>515051.62000000046</v>
      </c>
      <c r="N83" s="22">
        <f t="shared" si="17"/>
        <v>515255.75000000047</v>
      </c>
      <c r="O83" s="22">
        <f t="shared" si="17"/>
        <v>515255.75000000047</v>
      </c>
      <c r="P83" s="22">
        <f t="shared" si="17"/>
        <v>515255.75000000047</v>
      </c>
      <c r="Q83" s="22">
        <f t="shared" si="17"/>
        <v>515454.84000000049</v>
      </c>
      <c r="R83" s="22">
        <f>SUM(R80:R82)+Q83</f>
        <v>515655.78000000049</v>
      </c>
      <c r="S83" s="22">
        <f>SUM(S80:S82)+R83</f>
        <v>515856.37000000052</v>
      </c>
      <c r="T83" s="22">
        <f t="shared" si="17"/>
        <v>516057.70000000054</v>
      </c>
      <c r="U83" s="22">
        <f t="shared" si="17"/>
        <v>516269.70000000054</v>
      </c>
      <c r="V83" s="22">
        <f t="shared" si="17"/>
        <v>516269.70000000054</v>
      </c>
      <c r="W83" s="22">
        <f t="shared" si="17"/>
        <v>516269.70000000054</v>
      </c>
      <c r="X83" s="22">
        <f t="shared" si="17"/>
        <v>516474.66000000056</v>
      </c>
      <c r="Y83" s="22">
        <f t="shared" si="17"/>
        <v>516678.85000000056</v>
      </c>
      <c r="Z83" s="22">
        <f>SUM(Z80:Z82)+Y83</f>
        <v>516883.82000000053</v>
      </c>
      <c r="AA83" s="22">
        <f t="shared" ref="AA83" si="18">SUM(AA80:AA82)+Z83</f>
        <v>517091.31000000052</v>
      </c>
      <c r="AB83" s="22">
        <f t="shared" ref="AB83" si="19">SUM(AB80:AB82)+AA83</f>
        <v>517324.27000000054</v>
      </c>
      <c r="AC83" s="22">
        <f t="shared" ref="AC83:AD83" si="20">SUM(AC80:AC82)+AB83</f>
        <v>517324.27000000054</v>
      </c>
      <c r="AD83" s="22">
        <f t="shared" si="20"/>
        <v>517324.27000000054</v>
      </c>
      <c r="AE83" s="22">
        <f>SUM(AE80:AE82)+AD83</f>
        <v>517554.44000000053</v>
      </c>
      <c r="AF83" s="22">
        <f>SUM(AF80:AF82)+AE83</f>
        <v>517763.31000000052</v>
      </c>
      <c r="AG83" s="22">
        <f t="shared" si="17"/>
        <v>517966.18000000052</v>
      </c>
      <c r="AH83" s="22">
        <f t="shared" si="17"/>
        <v>549092.02000000048</v>
      </c>
      <c r="AI83" s="22">
        <f>AH83</f>
        <v>549092.02000000048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591600.17870000028</v>
      </c>
      <c r="E85" s="37">
        <f t="shared" si="21"/>
        <v>548659.43870000029</v>
      </c>
      <c r="F85" s="37">
        <f t="shared" si="21"/>
        <v>567594.81870000029</v>
      </c>
      <c r="G85" s="37">
        <f t="shared" si="21"/>
        <v>606815.22870000021</v>
      </c>
      <c r="H85" s="37">
        <f t="shared" si="21"/>
        <v>606815.22870000021</v>
      </c>
      <c r="I85" s="37">
        <f t="shared" si="21"/>
        <v>606815.22870000021</v>
      </c>
      <c r="J85" s="37">
        <f t="shared" si="21"/>
        <v>606815.22870000021</v>
      </c>
      <c r="K85" s="37">
        <f t="shared" si="21"/>
        <v>658118.31870000018</v>
      </c>
      <c r="L85" s="37">
        <f t="shared" si="21"/>
        <v>755095.99870000023</v>
      </c>
      <c r="M85" s="37">
        <f t="shared" si="21"/>
        <v>691627.3387000002</v>
      </c>
      <c r="N85" s="37">
        <f t="shared" si="21"/>
        <v>720585.30870000017</v>
      </c>
      <c r="O85" s="37">
        <f t="shared" si="21"/>
        <v>720585.30870000017</v>
      </c>
      <c r="P85" s="37">
        <f t="shared" si="21"/>
        <v>720585.30870000017</v>
      </c>
      <c r="Q85" s="37">
        <f t="shared" si="21"/>
        <v>723374.12870000023</v>
      </c>
      <c r="R85" s="37">
        <f t="shared" si="21"/>
        <v>647243.9687000002</v>
      </c>
      <c r="S85" s="37">
        <f t="shared" si="21"/>
        <v>678263.23870000022</v>
      </c>
      <c r="T85" s="37">
        <f t="shared" si="21"/>
        <v>705119.42870000028</v>
      </c>
      <c r="U85" s="37">
        <f t="shared" si="21"/>
        <v>699424.2187000002</v>
      </c>
      <c r="V85" s="37">
        <f t="shared" si="21"/>
        <v>699424.2187000002</v>
      </c>
      <c r="W85" s="37">
        <f t="shared" si="21"/>
        <v>699424.2187000002</v>
      </c>
      <c r="X85" s="37">
        <f t="shared" si="21"/>
        <v>561536.99870000023</v>
      </c>
      <c r="Y85" s="37">
        <f t="shared" si="21"/>
        <v>620679.57870000019</v>
      </c>
      <c r="Z85" s="37">
        <f t="shared" si="21"/>
        <v>615748.40870000026</v>
      </c>
      <c r="AA85" s="37">
        <f t="shared" si="21"/>
        <v>671818.19870000018</v>
      </c>
      <c r="AB85" s="37">
        <f t="shared" si="21"/>
        <v>667046.43870000017</v>
      </c>
      <c r="AC85" s="37">
        <f t="shared" si="21"/>
        <v>667046.43870000017</v>
      </c>
      <c r="AD85" s="37">
        <f t="shared" si="21"/>
        <v>667046.43870000017</v>
      </c>
      <c r="AE85" s="37">
        <f t="shared" si="21"/>
        <v>702623.7187000002</v>
      </c>
      <c r="AF85" s="37">
        <f t="shared" si="21"/>
        <v>759823.87870000023</v>
      </c>
      <c r="AG85" s="37">
        <f t="shared" si="21"/>
        <v>641368.89870000014</v>
      </c>
      <c r="AH85" s="37">
        <f t="shared" si="21"/>
        <v>672494.7387000001</v>
      </c>
      <c r="AI85" s="37">
        <f>AI77+AI83</f>
        <v>672494.7387000001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42277</v>
      </c>
    </row>
    <row r="89" spans="2:35" ht="18.75" x14ac:dyDescent="0.25">
      <c r="B89" s="41"/>
      <c r="C89" s="50" t="s">
        <v>46</v>
      </c>
      <c r="D89" s="51">
        <f>AG6</f>
        <v>242060.56869999965</v>
      </c>
    </row>
    <row r="90" spans="2:35" ht="18.75" x14ac:dyDescent="0.25">
      <c r="B90" s="41"/>
      <c r="C90" s="50" t="s">
        <v>40</v>
      </c>
      <c r="D90" s="52">
        <f>AG18</f>
        <v>29099.059999999998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-147756.91000000003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103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123402.71869999962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102"/>
    </row>
    <row r="93" spans="2:35" ht="18.75" x14ac:dyDescent="0.25">
      <c r="B93" s="41"/>
      <c r="C93" s="50" t="s">
        <v>91</v>
      </c>
      <c r="D93" s="51">
        <v>12440.21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3796.47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501526.63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641166.02869999968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L21:L24 K21:K23 I20:L20 D20:D24 F20:F24 H20:H24 I21:J24 G21:G22 AA22:AC23 W24 V22:X23 AC24 Y22:Z24 AD22:AF24 R21:AF21 M22:M24 O22:O24 N22:N23 P21:P24 Q22:U24" name="Intervalo3"/>
    <protectedRange sqref="K16:AF16 E17:H17 O17:AG17 J10:AF10 J11:AH11 J17:M17 D10:I13 D16:H16 I16:I17 J12:N13 R12:AF13 O12:Q12 P13:Q13 D14:AH15" name="Intervalo2"/>
    <protectedRange sqref="W7:AF9 V7:V8 D7:U9" name="Intervalo1"/>
    <protectedRange sqref="L38 F31 M37:AF39 K37:L37 K39:L39 D37:E39 I38 F37 F39 G37:G39 J37:J39 H37:I37 H39:I39" name="Intervalo4"/>
    <protectedRange sqref="S52:T52 Z52:AA52 X53:AE53 S53:V53 AD46:AE46 AH55 H60 G71:H71 AE47:AE52 G61:H61 M72:M73 K47:K48 W54:W59 P70:P72 P46:P68 R69:T72 J49:K49 F54:G60 D49:E52 E48 E55 I46:J47 H54:H58 E53 F48:F51 H48:H51 D46:H46 J48 K50:K58 K60:K69 L66:L68 K70:L73 L48:L63 K46:M46 W66:W73 AA54:AB61 AA49:AC49 AF46:AF47 AF49:AF52 AD69:AF69 D56:E58 AD59:AF59 G49:G53 AD63:AD68 Y66:Y73 AC54:AE58 AF55:AF58 AD60:AD61 AA69:AA73 AF70:AF72 E47:G47 D54:E54 I50:J73 F72:F73 H72:H73 G72 W61:W64 Q60:Q69 V46:X46 Y54:Y64 AB46:AC47 AD49:AD50 AE60:AE68 AF60:AF62 D70:D73 AC70:AE73 E60:E73 D60:D68 AF65:AF68 Z46:AA46 Y48:Z49 F62:H68 F70:H70 G69:H69 Q71:Q72 V54:V63 X60:X73 V65:V67 U69:V73 AA62:AA67 Y51:Z51 AB51:AD51 AB50:AC50 X54:X58 AB63:AB73 AC60:AC63 AC65:AC68 N56:N58 N47:N54 M47:M64 O46:O73 N60:N63 N70:N73 M65:N69 R47:R49 R53:R66 Q46:R46 Q48:Q52 Q54:Q58 T54:T68 S54:S67 S51 S46:S49 T46:T51 U47:X51 Z54:Z73 U54:U66" name="Intervalo5"/>
    <protectedRange sqref="W28:W31 AH34:AH35 D26:E35 L31 F26:F30 F32:F35 G26:J35 K26:L30 T28:V35 AE34:AF35 W34:AC35 W26 M27:M30 K32:M35 N26:P35 R26:S35 Q27:Q35 T26:U27 AB32:AB33 X26:Z33 AC26:AF33 AA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I96"/>
  <sheetViews>
    <sheetView showGridLines="0" tabSelected="1" zoomScale="110" zoomScaleNormal="110" workbookViewId="0" xr3:uid="{7BE570AB-09E9-518F-B8F7-3F91B7162CA9}">
      <pane xSplit="3" ySplit="6" topLeftCell="D3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hidden="1" customWidth="1"/>
    <col min="7" max="7" width="16.0078125" style="4" hidden="1" customWidth="1"/>
    <col min="8" max="12" width="14.52734375" style="4" customWidth="1"/>
    <col min="13" max="14" width="14.52734375" style="4" hidden="1" customWidth="1"/>
    <col min="15" max="19" width="14.52734375" style="4" customWidth="1"/>
    <col min="20" max="21" width="14.52734375" style="4" hidden="1" customWidth="1"/>
    <col min="22" max="26" width="14.52734375" style="4" customWidth="1"/>
    <col min="27" max="27" width="13.44921875" style="4" hidden="1" customWidth="1"/>
    <col min="28" max="28" width="14.52734375" style="4" hidden="1" customWidth="1"/>
    <col min="29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107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59" t="s">
        <v>104</v>
      </c>
      <c r="F4" s="59" t="s">
        <v>104</v>
      </c>
      <c r="G4" s="59" t="s">
        <v>104</v>
      </c>
      <c r="H4" s="59" t="s">
        <v>104</v>
      </c>
      <c r="I4" s="59" t="s">
        <v>104</v>
      </c>
      <c r="J4" s="59" t="s">
        <v>104</v>
      </c>
      <c r="K4" s="59" t="s">
        <v>104</v>
      </c>
      <c r="L4" s="59" t="s">
        <v>104</v>
      </c>
      <c r="M4" s="59" t="s">
        <v>104</v>
      </c>
      <c r="N4" s="59" t="s">
        <v>104</v>
      </c>
      <c r="O4" s="59" t="s">
        <v>104</v>
      </c>
      <c r="P4" s="59" t="s">
        <v>104</v>
      </c>
      <c r="Q4" s="59" t="s">
        <v>104</v>
      </c>
      <c r="R4" s="59" t="s">
        <v>104</v>
      </c>
      <c r="S4" s="59" t="s">
        <v>104</v>
      </c>
      <c r="T4" s="59" t="s">
        <v>104</v>
      </c>
      <c r="U4" s="59" t="s">
        <v>104</v>
      </c>
      <c r="V4" s="59" t="s">
        <v>104</v>
      </c>
      <c r="W4" s="59" t="s">
        <v>104</v>
      </c>
      <c r="X4" s="59" t="s">
        <v>104</v>
      </c>
      <c r="Y4" s="59" t="s">
        <v>104</v>
      </c>
      <c r="Z4" s="59" t="s">
        <v>104</v>
      </c>
      <c r="AA4" s="59" t="s">
        <v>104</v>
      </c>
      <c r="AB4" s="59" t="s">
        <v>104</v>
      </c>
      <c r="AC4" s="59" t="s">
        <v>104</v>
      </c>
      <c r="AD4" s="59" t="s">
        <v>104</v>
      </c>
      <c r="AE4" s="59" t="s">
        <v>104</v>
      </c>
      <c r="AF4" s="59" t="s">
        <v>104</v>
      </c>
      <c r="AG4" s="59" t="s">
        <v>104</v>
      </c>
      <c r="AH4" s="59" t="s">
        <v>104</v>
      </c>
      <c r="AI4" s="57"/>
    </row>
    <row r="5" spans="2:35" s="11" customFormat="1" x14ac:dyDescent="0.2">
      <c r="B5" s="113"/>
      <c r="C5" s="113"/>
      <c r="D5" s="10">
        <v>42278</v>
      </c>
      <c r="E5" s="10">
        <f>D5+1</f>
        <v>42279</v>
      </c>
      <c r="F5" s="10">
        <f t="shared" ref="F5:AH5" si="0">E5+1</f>
        <v>42280</v>
      </c>
      <c r="G5" s="10">
        <f t="shared" si="0"/>
        <v>42281</v>
      </c>
      <c r="H5" s="10">
        <f t="shared" si="0"/>
        <v>42282</v>
      </c>
      <c r="I5" s="10">
        <f t="shared" si="0"/>
        <v>42283</v>
      </c>
      <c r="J5" s="10">
        <f t="shared" si="0"/>
        <v>42284</v>
      </c>
      <c r="K5" s="10">
        <f t="shared" si="0"/>
        <v>42285</v>
      </c>
      <c r="L5" s="10">
        <f t="shared" si="0"/>
        <v>42286</v>
      </c>
      <c r="M5" s="10">
        <f t="shared" si="0"/>
        <v>42287</v>
      </c>
      <c r="N5" s="10">
        <f t="shared" si="0"/>
        <v>42288</v>
      </c>
      <c r="O5" s="10">
        <f t="shared" si="0"/>
        <v>42289</v>
      </c>
      <c r="P5" s="10">
        <f t="shared" si="0"/>
        <v>42290</v>
      </c>
      <c r="Q5" s="10">
        <f t="shared" si="0"/>
        <v>42291</v>
      </c>
      <c r="R5" s="10">
        <f t="shared" si="0"/>
        <v>42292</v>
      </c>
      <c r="S5" s="10">
        <f t="shared" si="0"/>
        <v>42293</v>
      </c>
      <c r="T5" s="10">
        <f t="shared" si="0"/>
        <v>42294</v>
      </c>
      <c r="U5" s="10">
        <f t="shared" si="0"/>
        <v>42295</v>
      </c>
      <c r="V5" s="10">
        <f t="shared" si="0"/>
        <v>42296</v>
      </c>
      <c r="W5" s="10">
        <f t="shared" si="0"/>
        <v>42297</v>
      </c>
      <c r="X5" s="10">
        <f t="shared" si="0"/>
        <v>42298</v>
      </c>
      <c r="Y5" s="10">
        <f t="shared" si="0"/>
        <v>42299</v>
      </c>
      <c r="Z5" s="10">
        <f t="shared" si="0"/>
        <v>42300</v>
      </c>
      <c r="AA5" s="10">
        <f t="shared" si="0"/>
        <v>42301</v>
      </c>
      <c r="AB5" s="10">
        <f t="shared" si="0"/>
        <v>42302</v>
      </c>
      <c r="AC5" s="10">
        <f t="shared" si="0"/>
        <v>42303</v>
      </c>
      <c r="AD5" s="10">
        <f t="shared" si="0"/>
        <v>42304</v>
      </c>
      <c r="AE5" s="10">
        <f t="shared" si="0"/>
        <v>42305</v>
      </c>
      <c r="AF5" s="10">
        <f t="shared" si="0"/>
        <v>42306</v>
      </c>
      <c r="AG5" s="10">
        <f t="shared" si="0"/>
        <v>42307</v>
      </c>
      <c r="AH5" s="10">
        <f t="shared" si="0"/>
        <v>42308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Setembro!AG77</f>
        <v>123402.71869999962</v>
      </c>
      <c r="E6" s="13">
        <f t="shared" ref="E6:AH6" si="1">D77</f>
        <v>129808.59869999964</v>
      </c>
      <c r="F6" s="13">
        <f t="shared" si="1"/>
        <v>144610.65869999965</v>
      </c>
      <c r="G6" s="13">
        <f t="shared" si="1"/>
        <v>145610.65869999965</v>
      </c>
      <c r="H6" s="13">
        <f t="shared" si="1"/>
        <v>146610.65869999965</v>
      </c>
      <c r="I6" s="13">
        <f t="shared" si="1"/>
        <v>158306.92869999964</v>
      </c>
      <c r="J6" s="13">
        <f t="shared" si="1"/>
        <v>167430.15869999965</v>
      </c>
      <c r="K6" s="13">
        <f t="shared" si="1"/>
        <v>176868.41869999966</v>
      </c>
      <c r="L6" s="13">
        <f t="shared" si="1"/>
        <v>189470.27869999965</v>
      </c>
      <c r="M6" s="13">
        <f t="shared" si="1"/>
        <v>189063.04869999964</v>
      </c>
      <c r="N6" s="13">
        <f t="shared" si="1"/>
        <v>213247.44869999963</v>
      </c>
      <c r="O6" s="13">
        <f t="shared" si="1"/>
        <v>267305.13869999966</v>
      </c>
      <c r="P6" s="13">
        <f t="shared" si="1"/>
        <v>316598.82869999966</v>
      </c>
      <c r="Q6" s="13">
        <f t="shared" si="1"/>
        <v>384303.14869999967</v>
      </c>
      <c r="R6" s="13">
        <f t="shared" si="1"/>
        <v>346665.48869999964</v>
      </c>
      <c r="S6" s="13">
        <f t="shared" si="1"/>
        <v>248745.32869999963</v>
      </c>
      <c r="T6" s="13">
        <f t="shared" si="1"/>
        <v>230417.19869999966</v>
      </c>
      <c r="U6" s="13">
        <f t="shared" si="1"/>
        <v>273552.73869999964</v>
      </c>
      <c r="V6" s="13">
        <f t="shared" si="1"/>
        <v>303740.58869999961</v>
      </c>
      <c r="W6" s="13">
        <f t="shared" si="1"/>
        <v>339780.7586999996</v>
      </c>
      <c r="X6" s="13">
        <f t="shared" si="1"/>
        <v>409022.58869999961</v>
      </c>
      <c r="Y6" s="13">
        <f t="shared" si="1"/>
        <v>233666.11869999958</v>
      </c>
      <c r="Z6" s="13">
        <f t="shared" si="1"/>
        <v>289907.9486999996</v>
      </c>
      <c r="AA6" s="13">
        <f t="shared" si="1"/>
        <v>260584.5686999996</v>
      </c>
      <c r="AB6" s="13">
        <f t="shared" si="1"/>
        <v>343963.48869999958</v>
      </c>
      <c r="AC6" s="13">
        <f t="shared" si="1"/>
        <v>363124.07869999961</v>
      </c>
      <c r="AD6" s="13">
        <f t="shared" si="1"/>
        <v>383574.35869999958</v>
      </c>
      <c r="AE6" s="13">
        <f t="shared" si="1"/>
        <v>445078.4486999996</v>
      </c>
      <c r="AF6" s="13">
        <f t="shared" si="1"/>
        <v>452638.5686999996</v>
      </c>
      <c r="AG6" s="13">
        <f t="shared" si="1"/>
        <v>514142.65869999956</v>
      </c>
      <c r="AH6" s="13">
        <f t="shared" si="1"/>
        <v>376661.99869999953</v>
      </c>
      <c r="AI6" s="13">
        <f>D6</f>
        <v>123402.71869999962</v>
      </c>
    </row>
    <row r="7" spans="2:35" ht="16.5" customHeight="1" x14ac:dyDescent="0.2">
      <c r="B7" s="114" t="s">
        <v>2</v>
      </c>
      <c r="C7" s="14" t="s">
        <v>50</v>
      </c>
      <c r="D7" s="15">
        <f>434.5+525+270</f>
        <v>1229.5</v>
      </c>
      <c r="E7" s="15"/>
      <c r="F7" s="15"/>
      <c r="G7" s="15"/>
      <c r="H7" s="15"/>
      <c r="I7" s="15"/>
      <c r="J7" s="15"/>
      <c r="K7" s="15">
        <f>2881+273</f>
        <v>3154</v>
      </c>
      <c r="L7" s="15">
        <f>560+420+157+192.68</f>
        <v>1329.68</v>
      </c>
      <c r="M7" s="58"/>
      <c r="N7" s="58"/>
      <c r="O7" s="95">
        <f>10000+887.25+21.55+500</f>
        <v>11408.8</v>
      </c>
      <c r="P7" s="15">
        <f>520+420+509.55</f>
        <v>1449.55</v>
      </c>
      <c r="Q7" s="15">
        <f>210+157</f>
        <v>367</v>
      </c>
      <c r="R7" s="15">
        <f>31.05+21860+630+276.15</f>
        <v>22797.200000000001</v>
      </c>
      <c r="S7" s="15">
        <f>35</f>
        <v>35</v>
      </c>
      <c r="T7" s="58"/>
      <c r="U7" s="58"/>
      <c r="V7" s="15">
        <f>443.62+239.4+1955.1</f>
        <v>2638.12</v>
      </c>
      <c r="W7" s="15">
        <f>1381+1822.1</f>
        <v>3203.1</v>
      </c>
      <c r="X7" s="15">
        <f>262.5+429.95+63+196.98+294</f>
        <v>1246.43</v>
      </c>
      <c r="Y7" s="15">
        <f>260</f>
        <v>260</v>
      </c>
      <c r="Z7" s="18">
        <f>4187.5+525</f>
        <v>4712.5</v>
      </c>
      <c r="AA7" s="58"/>
      <c r="AB7" s="58"/>
      <c r="AC7" s="15">
        <f>28</f>
        <v>28</v>
      </c>
      <c r="AD7" s="15">
        <f>186.95</f>
        <v>186.95</v>
      </c>
      <c r="AE7" s="15">
        <f>156.98</f>
        <v>156.97999999999999</v>
      </c>
      <c r="AF7" s="15"/>
      <c r="AG7" s="15"/>
      <c r="AH7" s="15"/>
      <c r="AI7" s="16">
        <f>SUM(D7:AH7)</f>
        <v>54202.81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>
        <f>662.43+166.1+278.4+432.8+497.06+579.15+971.17+1136.4</f>
        <v>4723.51</v>
      </c>
      <c r="M8" s="58"/>
      <c r="N8" s="58"/>
      <c r="O8" s="15"/>
      <c r="P8" s="15"/>
      <c r="Q8" s="18"/>
      <c r="R8" s="18"/>
      <c r="S8" s="18"/>
      <c r="T8" s="58"/>
      <c r="U8" s="58"/>
      <c r="V8" s="18"/>
      <c r="W8" s="18">
        <f>2039.5+0.6+321.32+674.69+790.31+1180.7+1294.16+1547.48+2164.86+2282.65+2741.5</f>
        <v>15037.77</v>
      </c>
      <c r="X8" s="18"/>
      <c r="Y8" s="18">
        <f>2228.65+2509.19+8700.77+20285.4</f>
        <v>33724.01</v>
      </c>
      <c r="Z8" s="18"/>
      <c r="AA8" s="58"/>
      <c r="AB8" s="58"/>
      <c r="AC8" s="18"/>
      <c r="AD8" s="18"/>
      <c r="AE8" s="18"/>
      <c r="AF8" s="18"/>
      <c r="AG8" s="18">
        <v>11728.51</v>
      </c>
      <c r="AH8" s="18"/>
      <c r="AI8" s="16">
        <f t="shared" ref="AI8:AI17" si="2">SUM(D8:AH8)</f>
        <v>65213.8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58"/>
      <c r="N9" s="58"/>
      <c r="O9" s="18"/>
      <c r="P9" s="18"/>
      <c r="Q9" s="18"/>
      <c r="R9" s="18"/>
      <c r="S9" s="18"/>
      <c r="T9" s="58"/>
      <c r="U9" s="58"/>
      <c r="V9" s="18"/>
      <c r="W9" s="18"/>
      <c r="X9" s="18"/>
      <c r="Y9" s="18"/>
      <c r="Z9" s="18"/>
      <c r="AA9" s="58"/>
      <c r="AB9" s="5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58"/>
      <c r="N10" s="58"/>
      <c r="O10" s="20"/>
      <c r="P10" s="20"/>
      <c r="Q10" s="20"/>
      <c r="R10" s="20"/>
      <c r="S10" s="20"/>
      <c r="T10" s="58"/>
      <c r="U10" s="58"/>
      <c r="V10" s="18"/>
      <c r="W10" s="18"/>
      <c r="X10" s="20"/>
      <c r="Y10" s="20"/>
      <c r="Z10" s="20"/>
      <c r="AA10" s="58"/>
      <c r="AB10" s="58"/>
      <c r="AC10" s="20"/>
      <c r="AD10" s="20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9589.8+284.29</f>
        <v>9874.09</v>
      </c>
      <c r="E11" s="18">
        <f>7167.03</f>
        <v>7167.03</v>
      </c>
      <c r="F11" s="18"/>
      <c r="G11" s="18"/>
      <c r="H11" s="18"/>
      <c r="I11" s="18"/>
      <c r="J11" s="18"/>
      <c r="K11" s="18">
        <f>9834.65+21212.1</f>
        <v>31046.75</v>
      </c>
      <c r="L11" s="18">
        <f>45241.86+19986+7368.5+428.89+5313.7</f>
        <v>78338.95</v>
      </c>
      <c r="M11" s="58"/>
      <c r="N11" s="58"/>
      <c r="O11" s="18">
        <f>10545.43+797.05+433.12</f>
        <v>11775.6</v>
      </c>
      <c r="P11" s="18">
        <f>15509.89+561.75+431.2+3897.98</f>
        <v>20400.82</v>
      </c>
      <c r="Q11" s="18">
        <f>18644.82+1575+2044.35+10601.85</f>
        <v>32866.019999999997</v>
      </c>
      <c r="R11" s="18">
        <f>24384.65</f>
        <v>24384.65</v>
      </c>
      <c r="S11" s="18">
        <f>18958.33</f>
        <v>18958.330000000002</v>
      </c>
      <c r="T11" s="58"/>
      <c r="U11" s="58"/>
      <c r="V11" s="18">
        <f>4432.19+262.5+2840.04+1659</f>
        <v>9193.73</v>
      </c>
      <c r="W11" s="18">
        <f>2525.18+866.25+577.5</f>
        <v>3968.93</v>
      </c>
      <c r="X11" s="18">
        <f>2301.95+90.09+842.11+561.41+561.41+786.74+647.43+6090+2352+211.75+1242.78+1767.92+4451.37</f>
        <v>21906.959999999999</v>
      </c>
      <c r="Y11" s="18">
        <f>21000.96+609.45+1953</f>
        <v>23563.41</v>
      </c>
      <c r="Z11" s="18">
        <f>13843.25+1513</f>
        <v>15356.25</v>
      </c>
      <c r="AA11" s="58"/>
      <c r="AB11" s="58"/>
      <c r="AC11" s="18">
        <f>13633.98+20547.25+5852.63+420</f>
        <v>40453.859999999993</v>
      </c>
      <c r="AD11" s="18">
        <f>5714.27+561.41+4654.65</f>
        <v>10930.33</v>
      </c>
      <c r="AE11" s="18">
        <f>6131.44+3078</f>
        <v>9209.4399999999987</v>
      </c>
      <c r="AF11" s="18">
        <f>41912.13+3087.75</f>
        <v>44999.88</v>
      </c>
      <c r="AG11" s="18">
        <f>441</f>
        <v>441</v>
      </c>
      <c r="AH11" s="18"/>
      <c r="AI11" s="16">
        <f t="shared" si="2"/>
        <v>414836.02999999997</v>
      </c>
    </row>
    <row r="12" spans="2:35" ht="16.5" customHeight="1" x14ac:dyDescent="0.2">
      <c r="B12" s="115"/>
      <c r="C12" s="17" t="s">
        <v>90</v>
      </c>
      <c r="D12" s="18">
        <v>2.63</v>
      </c>
      <c r="E12" s="18"/>
      <c r="F12" s="18"/>
      <c r="G12" s="18"/>
      <c r="H12" s="18"/>
      <c r="I12" s="18"/>
      <c r="J12" s="18"/>
      <c r="K12" s="18"/>
      <c r="L12" s="18"/>
      <c r="M12" s="58"/>
      <c r="N12" s="58"/>
      <c r="O12" s="18"/>
      <c r="P12" s="18"/>
      <c r="Q12" s="18"/>
      <c r="R12" s="18"/>
      <c r="S12" s="18"/>
      <c r="T12" s="58"/>
      <c r="U12" s="58"/>
      <c r="V12" s="18"/>
      <c r="W12" s="18"/>
      <c r="X12" s="18"/>
      <c r="Y12" s="18"/>
      <c r="Z12" s="18"/>
      <c r="AA12" s="58"/>
      <c r="AB12" s="58"/>
      <c r="AC12" s="18"/>
      <c r="AD12" s="18"/>
      <c r="AE12" s="18"/>
      <c r="AF12" s="18"/>
      <c r="AG12" s="18"/>
      <c r="AH12" s="18"/>
      <c r="AI12" s="16">
        <f t="shared" si="2"/>
        <v>2.63</v>
      </c>
    </row>
    <row r="13" spans="2:35" ht="16.5" customHeight="1" x14ac:dyDescent="0.2">
      <c r="B13" s="115"/>
      <c r="C13" s="17" t="s">
        <v>49</v>
      </c>
      <c r="D13" s="18">
        <v>1924.03</v>
      </c>
      <c r="E13" s="18">
        <v>4578.3599999999997</v>
      </c>
      <c r="F13" s="18"/>
      <c r="G13" s="18"/>
      <c r="H13" s="18">
        <v>1976.54</v>
      </c>
      <c r="I13" s="18">
        <v>355</v>
      </c>
      <c r="J13" s="18">
        <v>2004.45</v>
      </c>
      <c r="K13" s="18">
        <v>1485.03</v>
      </c>
      <c r="L13" s="18">
        <v>2672.32</v>
      </c>
      <c r="M13" s="58"/>
      <c r="N13" s="58"/>
      <c r="O13" s="18"/>
      <c r="P13" s="18">
        <v>3713.48</v>
      </c>
      <c r="Q13" s="18">
        <v>2561.11</v>
      </c>
      <c r="R13" s="18">
        <v>6681.91</v>
      </c>
      <c r="S13" s="18">
        <v>4645.63</v>
      </c>
      <c r="T13" s="58"/>
      <c r="U13" s="58"/>
      <c r="V13" s="18">
        <v>4842.3500000000004</v>
      </c>
      <c r="W13" s="18">
        <v>1937.15</v>
      </c>
      <c r="X13" s="18">
        <v>2433.3000000000002</v>
      </c>
      <c r="Y13" s="18">
        <v>2137.48</v>
      </c>
      <c r="Z13" s="18">
        <v>1243.51</v>
      </c>
      <c r="AA13" s="58"/>
      <c r="AB13" s="58"/>
      <c r="AC13" s="18">
        <v>8925.49</v>
      </c>
      <c r="AD13" s="18">
        <v>1001.15</v>
      </c>
      <c r="AE13" s="18">
        <v>2199.19</v>
      </c>
      <c r="AF13" s="18">
        <v>634.28</v>
      </c>
      <c r="AG13" s="18">
        <v>859.5</v>
      </c>
      <c r="AH13" s="18"/>
      <c r="AI13" s="16">
        <f t="shared" si="2"/>
        <v>58811.260000000017</v>
      </c>
    </row>
    <row r="14" spans="2:35" ht="16.5" customHeight="1" x14ac:dyDescent="0.2">
      <c r="B14" s="115"/>
      <c r="C14" s="17" t="s">
        <v>54</v>
      </c>
      <c r="D14" s="18">
        <v>1701.29</v>
      </c>
      <c r="E14" s="18">
        <v>156.30000000000001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/>
      <c r="AI14" s="16">
        <f t="shared" si="2"/>
        <v>15857.59</v>
      </c>
    </row>
    <row r="15" spans="2:35" ht="16.5" customHeight="1" x14ac:dyDescent="0.2">
      <c r="B15" s="115"/>
      <c r="C15" s="17" t="s">
        <v>55</v>
      </c>
      <c r="D15" s="18">
        <v>398.27</v>
      </c>
      <c r="E15" s="18">
        <v>777.78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/>
      <c r="AI15" s="16">
        <f t="shared" si="2"/>
        <v>15176.05</v>
      </c>
    </row>
    <row r="16" spans="2:35" ht="16.5" customHeight="1" x14ac:dyDescent="0.2">
      <c r="B16" s="115"/>
      <c r="C16" s="17" t="s">
        <v>56</v>
      </c>
      <c r="D16" s="18">
        <v>7513.18</v>
      </c>
      <c r="E16" s="18">
        <v>6942.5</v>
      </c>
      <c r="F16" s="18"/>
      <c r="G16" s="18"/>
      <c r="H16" s="18">
        <v>24664.46</v>
      </c>
      <c r="I16" s="18">
        <v>5299.16</v>
      </c>
      <c r="J16" s="18">
        <v>5637.13</v>
      </c>
      <c r="K16" s="18">
        <v>4677.87</v>
      </c>
      <c r="L16" s="18">
        <v>7311.33</v>
      </c>
      <c r="M16" s="58"/>
      <c r="N16" s="58"/>
      <c r="O16" s="18"/>
      <c r="P16" s="18">
        <v>16800.11</v>
      </c>
      <c r="Q16" s="18">
        <v>10608.42</v>
      </c>
      <c r="R16" s="18">
        <v>10734.04</v>
      </c>
      <c r="S16" s="18">
        <v>6190.82</v>
      </c>
      <c r="T16" s="58"/>
      <c r="U16" s="58"/>
      <c r="V16" s="18">
        <v>14819.87</v>
      </c>
      <c r="W16" s="18">
        <v>3381.47</v>
      </c>
      <c r="X16" s="18">
        <v>6710.58</v>
      </c>
      <c r="Y16" s="18">
        <v>6078.15</v>
      </c>
      <c r="Z16" s="18">
        <v>8554.69</v>
      </c>
      <c r="AA16" s="58"/>
      <c r="AB16" s="58"/>
      <c r="AC16" s="18">
        <v>19977.28</v>
      </c>
      <c r="AD16" s="18">
        <v>4337.37</v>
      </c>
      <c r="AE16" s="18">
        <v>7818.55</v>
      </c>
      <c r="AF16" s="18">
        <v>10077.19</v>
      </c>
      <c r="AG16" s="18">
        <v>3604.6</v>
      </c>
      <c r="AH16" s="18"/>
      <c r="AI16" s="16">
        <f t="shared" si="2"/>
        <v>191738.77</v>
      </c>
    </row>
    <row r="17" spans="2:35" ht="16.5" customHeight="1" x14ac:dyDescent="0.2">
      <c r="B17" s="115"/>
      <c r="C17" s="17" t="s">
        <v>48</v>
      </c>
      <c r="D17" s="18">
        <v>583.84</v>
      </c>
      <c r="E17" s="18">
        <v>3756.96</v>
      </c>
      <c r="F17" s="18"/>
      <c r="G17" s="18"/>
      <c r="H17" s="18">
        <v>8978.6200000000008</v>
      </c>
      <c r="I17" s="18">
        <v>2469.0700000000002</v>
      </c>
      <c r="J17" s="18">
        <v>796.68</v>
      </c>
      <c r="K17" s="18">
        <v>1604.06</v>
      </c>
      <c r="L17" s="18">
        <v>1750.66</v>
      </c>
      <c r="M17" s="58"/>
      <c r="N17" s="58"/>
      <c r="O17" s="18"/>
      <c r="P17" s="18">
        <v>10693.73</v>
      </c>
      <c r="Q17" s="18">
        <v>1891.14</v>
      </c>
      <c r="R17" s="18">
        <v>2106.52</v>
      </c>
      <c r="S17" s="18">
        <v>3675.91</v>
      </c>
      <c r="T17" s="58"/>
      <c r="U17" s="58"/>
      <c r="V17" s="18">
        <f>123.14+10518.33</f>
        <v>10641.47</v>
      </c>
      <c r="W17" s="18">
        <v>1659.43</v>
      </c>
      <c r="X17" s="18">
        <v>3712.28</v>
      </c>
      <c r="Y17" s="18">
        <v>2478.7800000000002</v>
      </c>
      <c r="Z17" s="18">
        <v>1173.1600000000001</v>
      </c>
      <c r="AA17" s="58"/>
      <c r="AB17" s="58"/>
      <c r="AC17" s="18">
        <v>12994.29</v>
      </c>
      <c r="AD17" s="18">
        <v>1704.79</v>
      </c>
      <c r="AE17" s="18">
        <v>3178.52</v>
      </c>
      <c r="AF17" s="18">
        <v>4792.74</v>
      </c>
      <c r="AG17" s="18">
        <v>3424.14</v>
      </c>
      <c r="AH17" s="18"/>
      <c r="AI17" s="16">
        <f t="shared" si="2"/>
        <v>84066.790000000008</v>
      </c>
    </row>
    <row r="18" spans="2:35" ht="16.5" customHeight="1" x14ac:dyDescent="0.2">
      <c r="B18" s="115"/>
      <c r="C18" s="21" t="s">
        <v>31</v>
      </c>
      <c r="D18" s="22">
        <f>SUM(D7:D17)</f>
        <v>23226.83</v>
      </c>
      <c r="E18" s="22">
        <f t="shared" ref="E18:AG18" si="3">SUM(E7:E17)</f>
        <v>23378.93</v>
      </c>
      <c r="F18" s="22">
        <f t="shared" si="3"/>
        <v>1000</v>
      </c>
      <c r="G18" s="22">
        <f t="shared" si="3"/>
        <v>1000</v>
      </c>
      <c r="H18" s="22">
        <f t="shared" si="3"/>
        <v>36619.620000000003</v>
      </c>
      <c r="I18" s="22">
        <f t="shared" si="3"/>
        <v>9123.23</v>
      </c>
      <c r="J18" s="22">
        <f t="shared" si="3"/>
        <v>9438.26</v>
      </c>
      <c r="K18" s="22">
        <f t="shared" si="3"/>
        <v>42967.71</v>
      </c>
      <c r="L18" s="22">
        <f t="shared" si="3"/>
        <v>97126.450000000012</v>
      </c>
      <c r="M18" s="22">
        <f>SUM(O7:O17)</f>
        <v>24184.400000000001</v>
      </c>
      <c r="N18" s="22">
        <f>SUM(P7:P17)</f>
        <v>54057.69</v>
      </c>
      <c r="O18" s="22">
        <f t="shared" ref="O18:Q18" si="4">SUM(Q7:Q17)</f>
        <v>49293.689999999995</v>
      </c>
      <c r="P18" s="22">
        <f t="shared" si="4"/>
        <v>67704.320000000022</v>
      </c>
      <c r="Q18" s="22">
        <f t="shared" si="4"/>
        <v>34505.69</v>
      </c>
      <c r="R18" s="22">
        <f>SUM(V7:V17)</f>
        <v>43135.54</v>
      </c>
      <c r="S18" s="22">
        <f t="shared" si="3"/>
        <v>34505.69</v>
      </c>
      <c r="T18" s="22">
        <f>SUM(V7:V17)</f>
        <v>43135.54</v>
      </c>
      <c r="U18" s="22">
        <f>SUM(W7:W17)</f>
        <v>30187.850000000002</v>
      </c>
      <c r="V18" s="22">
        <f t="shared" ref="V18:X18" si="5">SUM(X7:X17)</f>
        <v>37009.549999999996</v>
      </c>
      <c r="W18" s="22">
        <f t="shared" si="5"/>
        <v>69241.83</v>
      </c>
      <c r="X18" s="22">
        <f t="shared" si="5"/>
        <v>32040.109999999997</v>
      </c>
      <c r="Y18" s="22">
        <f t="shared" si="3"/>
        <v>69241.83</v>
      </c>
      <c r="Z18" s="22">
        <f t="shared" si="3"/>
        <v>32040.109999999997</v>
      </c>
      <c r="AA18" s="22">
        <f>SUM(AC7:AC17)</f>
        <v>83378.919999999984</v>
      </c>
      <c r="AB18" s="22">
        <f>SUM(AD7:AD17)</f>
        <v>19160.59</v>
      </c>
      <c r="AC18" s="22">
        <f t="shared" ref="AC18:AE18" si="6">SUM(AE7:AE17)</f>
        <v>23562.68</v>
      </c>
      <c r="AD18" s="22">
        <f t="shared" si="6"/>
        <v>61504.09</v>
      </c>
      <c r="AE18" s="22">
        <f t="shared" si="6"/>
        <v>21057.75</v>
      </c>
      <c r="AF18" s="22">
        <f t="shared" si="3"/>
        <v>61504.09</v>
      </c>
      <c r="AG18" s="22">
        <f t="shared" si="3"/>
        <v>21057.75</v>
      </c>
      <c r="AH18" s="22"/>
      <c r="AI18" s="23">
        <f>SUM(D18:AH18)</f>
        <v>1155390.7400000002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7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R21" s="26">
        <f>594+387.2+84983.42+36264+326.7+454.65</f>
        <v>123009.96999999999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>
        <v>81130.14</v>
      </c>
      <c r="AH21" s="26"/>
      <c r="AI21" s="19">
        <f t="shared" si="7"/>
        <v>204140.11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7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7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O24" s="26"/>
      <c r="P24" s="26"/>
      <c r="Q24" s="26">
        <v>574</v>
      </c>
      <c r="R24" s="26"/>
      <c r="S24" s="26"/>
      <c r="T24" s="26"/>
      <c r="U24" s="26"/>
      <c r="W24" s="26"/>
      <c r="Y24" s="26"/>
      <c r="Z24" s="26"/>
      <c r="AA24" s="58"/>
      <c r="AC24" s="26"/>
      <c r="AD24" s="26"/>
      <c r="AE24" s="26"/>
      <c r="AF24" s="26"/>
      <c r="AG24" s="26"/>
      <c r="AH24" s="26"/>
      <c r="AI24" s="19">
        <f t="shared" si="7"/>
        <v>574</v>
      </c>
    </row>
    <row r="25" spans="2:35" ht="16.5" customHeight="1" x14ac:dyDescent="0.2">
      <c r="B25" s="117"/>
      <c r="C25" s="28" t="s">
        <v>62</v>
      </c>
      <c r="D25" s="29">
        <f t="shared" ref="D25:AH25" si="8">-SUM(D19:D24)</f>
        <v>0</v>
      </c>
      <c r="E25" s="29">
        <f t="shared" si="8"/>
        <v>0</v>
      </c>
      <c r="F25" s="29">
        <f t="shared" si="8"/>
        <v>0</v>
      </c>
      <c r="G25" s="29">
        <f t="shared" si="8"/>
        <v>0</v>
      </c>
      <c r="H25" s="29">
        <f t="shared" si="8"/>
        <v>0</v>
      </c>
      <c r="I25" s="29">
        <f t="shared" si="8"/>
        <v>0</v>
      </c>
      <c r="J25" s="29">
        <f t="shared" si="8"/>
        <v>0</v>
      </c>
      <c r="K25" s="29">
        <f t="shared" si="8"/>
        <v>0</v>
      </c>
      <c r="L25" s="29">
        <f t="shared" si="8"/>
        <v>0</v>
      </c>
      <c r="M25" s="29">
        <f t="shared" si="8"/>
        <v>0</v>
      </c>
      <c r="N25" s="29">
        <f t="shared" si="8"/>
        <v>0</v>
      </c>
      <c r="O25" s="29">
        <f t="shared" si="8"/>
        <v>0</v>
      </c>
      <c r="P25" s="29">
        <f t="shared" si="8"/>
        <v>0</v>
      </c>
      <c r="Q25" s="29">
        <f>-SUM(Q19:Q24)</f>
        <v>-574</v>
      </c>
      <c r="R25" s="29">
        <f>-SUM(R19:R24)</f>
        <v>-123009.96999999999</v>
      </c>
      <c r="S25" s="29">
        <f t="shared" si="8"/>
        <v>0</v>
      </c>
      <c r="T25" s="29">
        <f>-SUM(T19:T24)</f>
        <v>0</v>
      </c>
      <c r="U25" s="29">
        <f t="shared" si="8"/>
        <v>0</v>
      </c>
      <c r="V25" s="29">
        <f t="shared" si="8"/>
        <v>0</v>
      </c>
      <c r="W25" s="29">
        <f t="shared" si="8"/>
        <v>0</v>
      </c>
      <c r="X25" s="29">
        <f>-SUM(X19:X24)</f>
        <v>0</v>
      </c>
      <c r="Y25" s="29">
        <f t="shared" si="8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0</v>
      </c>
      <c r="AD25" s="29">
        <f>-SUM(AD19:AD24)</f>
        <v>0</v>
      </c>
      <c r="AE25" s="29">
        <f t="shared" si="8"/>
        <v>0</v>
      </c>
      <c r="AF25" s="29">
        <f>-SUM(AF19:AF24)</f>
        <v>0</v>
      </c>
      <c r="AG25" s="29">
        <f t="shared" si="8"/>
        <v>-81130.14</v>
      </c>
      <c r="AH25" s="29">
        <f t="shared" si="8"/>
        <v>0</v>
      </c>
      <c r="AI25" s="29">
        <f>-SUM(AI19:AI24)</f>
        <v>-204714.11</v>
      </c>
    </row>
    <row r="26" spans="2:35" ht="16.5" customHeight="1" x14ac:dyDescent="0.2">
      <c r="B26" s="117"/>
      <c r="C26" s="25" t="s">
        <v>26</v>
      </c>
      <c r="D26" s="26"/>
      <c r="E26" s="26">
        <f>16.7+67.15+28.55</f>
        <v>112.4</v>
      </c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58"/>
      <c r="V26" s="26">
        <f>16.7+28.55+67.15+313.89</f>
        <v>426.28999999999996</v>
      </c>
      <c r="W26" s="26"/>
      <c r="X26" s="26"/>
      <c r="Y26" s="26"/>
      <c r="Z26" s="26">
        <v>174.38</v>
      </c>
      <c r="AA26" s="26"/>
      <c r="AB26" s="26"/>
      <c r="AC26" s="26"/>
      <c r="AD26" s="26"/>
      <c r="AE26" s="26">
        <v>48.95</v>
      </c>
      <c r="AF26" s="26"/>
      <c r="AG26" s="26"/>
      <c r="AH26" s="26"/>
      <c r="AI26" s="19">
        <f>SUM(D26:AH26)</f>
        <v>762.02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58"/>
      <c r="V27" s="26">
        <f>21.66+56.25+19.79+51.94+126.25+267.2</f>
        <v>543.08999999999992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9">SUM(D27:AH27)</f>
        <v>543.08999999999992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>
        <v>40487.35</v>
      </c>
      <c r="M28" s="5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9"/>
        <v>40487.35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5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9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5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9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18">
        <f>10499.41+13458.32</f>
        <v>23957.73</v>
      </c>
      <c r="M31" s="5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9"/>
        <v>23957.73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>
        <v>5245.79</v>
      </c>
      <c r="AA32" s="58"/>
      <c r="AB32" s="58"/>
      <c r="AC32" s="26"/>
      <c r="AD32" s="26"/>
      <c r="AE32" s="26"/>
      <c r="AF32" s="26"/>
      <c r="AG32" s="26"/>
      <c r="AH32" s="26"/>
      <c r="AI32" s="19">
        <f t="shared" si="9"/>
        <v>5245.79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>
        <v>24211.33</v>
      </c>
      <c r="AA33" s="58"/>
      <c r="AB33" s="58"/>
      <c r="AC33" s="26"/>
      <c r="AD33" s="26"/>
      <c r="AE33" s="26"/>
      <c r="AF33" s="26"/>
      <c r="AG33" s="26"/>
      <c r="AH33" s="26"/>
      <c r="AI33" s="19">
        <f t="shared" si="9"/>
        <v>24211.33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9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9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10">-SUM(E26:E35)</f>
        <v>-112.4</v>
      </c>
      <c r="F36" s="29">
        <f t="shared" si="10"/>
        <v>0</v>
      </c>
      <c r="G36" s="29">
        <f t="shared" si="10"/>
        <v>0</v>
      </c>
      <c r="H36" s="29">
        <f t="shared" si="10"/>
        <v>0</v>
      </c>
      <c r="I36" s="29">
        <f t="shared" si="10"/>
        <v>0</v>
      </c>
      <c r="J36" s="29">
        <f t="shared" si="10"/>
        <v>0</v>
      </c>
      <c r="K36" s="29">
        <f t="shared" si="10"/>
        <v>0</v>
      </c>
      <c r="L36" s="29">
        <f t="shared" si="10"/>
        <v>-64445.08</v>
      </c>
      <c r="M36" s="29">
        <f t="shared" si="10"/>
        <v>0</v>
      </c>
      <c r="N36" s="29">
        <f t="shared" si="10"/>
        <v>0</v>
      </c>
      <c r="O36" s="29">
        <f t="shared" si="10"/>
        <v>0</v>
      </c>
      <c r="P36" s="29">
        <f t="shared" si="10"/>
        <v>0</v>
      </c>
      <c r="Q36" s="29">
        <f t="shared" ref="Q36:AH36" si="11">-SUM(Q26:Q35)</f>
        <v>0</v>
      </c>
      <c r="R36" s="29">
        <f t="shared" si="11"/>
        <v>0</v>
      </c>
      <c r="S36" s="29">
        <f t="shared" si="11"/>
        <v>0</v>
      </c>
      <c r="T36" s="29">
        <f>-SUM(T26:T35)</f>
        <v>0</v>
      </c>
      <c r="U36" s="29">
        <f t="shared" si="11"/>
        <v>0</v>
      </c>
      <c r="V36" s="29">
        <f>-SUM(V26:V35)</f>
        <v>-969.37999999999988</v>
      </c>
      <c r="W36" s="29">
        <f t="shared" si="11"/>
        <v>0</v>
      </c>
      <c r="X36" s="29">
        <f>-SUM(X26:X35)</f>
        <v>0</v>
      </c>
      <c r="Y36" s="29">
        <f t="shared" si="11"/>
        <v>0</v>
      </c>
      <c r="Z36" s="29">
        <f t="shared" si="11"/>
        <v>-29631.5</v>
      </c>
      <c r="AA36" s="29">
        <f t="shared" si="11"/>
        <v>0</v>
      </c>
      <c r="AB36" s="29">
        <f t="shared" si="11"/>
        <v>0</v>
      </c>
      <c r="AC36" s="29">
        <f t="shared" si="11"/>
        <v>0</v>
      </c>
      <c r="AD36" s="29">
        <f t="shared" si="11"/>
        <v>0</v>
      </c>
      <c r="AE36" s="29">
        <f t="shared" si="11"/>
        <v>-48.95</v>
      </c>
      <c r="AF36" s="29">
        <f>-SUM(AF26:AF35)</f>
        <v>0</v>
      </c>
      <c r="AG36" s="29">
        <f t="shared" si="11"/>
        <v>0</v>
      </c>
      <c r="AH36" s="29">
        <f t="shared" si="11"/>
        <v>0</v>
      </c>
      <c r="AI36" s="29">
        <f>-SUM(AI26:AI35)</f>
        <v>-95207.31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>
        <v>16774.75</v>
      </c>
      <c r="E38" s="18"/>
      <c r="G38" s="18"/>
      <c r="H38" s="18"/>
      <c r="I38" s="18"/>
      <c r="J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>
        <f>135.36+18.46</f>
        <v>153.82000000000002</v>
      </c>
      <c r="AH38" s="20"/>
      <c r="AI38" s="19">
        <f t="shared" ref="AI38:AI39" si="12">SUM(D38:AH38)</f>
        <v>16928.57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2"/>
        <v>0</v>
      </c>
    </row>
    <row r="40" spans="2:35" ht="16.5" customHeight="1" x14ac:dyDescent="0.2">
      <c r="B40" s="117"/>
      <c r="C40" s="28" t="s">
        <v>9</v>
      </c>
      <c r="D40" s="29">
        <f t="shared" ref="D40:AI40" si="13">-SUM(D37:D39)</f>
        <v>-16774.75</v>
      </c>
      <c r="E40" s="29">
        <f t="shared" si="13"/>
        <v>0</v>
      </c>
      <c r="F40" s="29">
        <f t="shared" si="13"/>
        <v>0</v>
      </c>
      <c r="G40" s="29">
        <f t="shared" si="13"/>
        <v>0</v>
      </c>
      <c r="H40" s="29">
        <f t="shared" si="13"/>
        <v>0</v>
      </c>
      <c r="I40" s="29">
        <f t="shared" si="13"/>
        <v>0</v>
      </c>
      <c r="J40" s="29">
        <f t="shared" si="13"/>
        <v>0</v>
      </c>
      <c r="K40" s="29">
        <f t="shared" si="13"/>
        <v>0</v>
      </c>
      <c r="L40" s="29">
        <f t="shared" si="13"/>
        <v>0</v>
      </c>
      <c r="M40" s="29">
        <f t="shared" si="13"/>
        <v>0</v>
      </c>
      <c r="N40" s="29">
        <f t="shared" si="13"/>
        <v>0</v>
      </c>
      <c r="O40" s="29">
        <f t="shared" si="13"/>
        <v>0</v>
      </c>
      <c r="P40" s="29">
        <f t="shared" si="13"/>
        <v>0</v>
      </c>
      <c r="Q40" s="29">
        <f t="shared" si="13"/>
        <v>0</v>
      </c>
      <c r="R40" s="29">
        <f t="shared" si="13"/>
        <v>0</v>
      </c>
      <c r="S40" s="29">
        <f t="shared" si="13"/>
        <v>0</v>
      </c>
      <c r="T40" s="29">
        <f t="shared" si="13"/>
        <v>0</v>
      </c>
      <c r="U40" s="29">
        <f t="shared" si="13"/>
        <v>0</v>
      </c>
      <c r="V40" s="29">
        <f t="shared" si="13"/>
        <v>0</v>
      </c>
      <c r="W40" s="29">
        <f t="shared" si="13"/>
        <v>0</v>
      </c>
      <c r="X40" s="29">
        <f t="shared" si="13"/>
        <v>0</v>
      </c>
      <c r="Y40" s="29">
        <f t="shared" si="13"/>
        <v>0</v>
      </c>
      <c r="Z40" s="29">
        <f t="shared" si="13"/>
        <v>0</v>
      </c>
      <c r="AA40" s="29">
        <f t="shared" si="13"/>
        <v>0</v>
      </c>
      <c r="AB40" s="29">
        <f t="shared" si="13"/>
        <v>0</v>
      </c>
      <c r="AC40" s="29">
        <f t="shared" si="13"/>
        <v>0</v>
      </c>
      <c r="AD40" s="29">
        <f t="shared" si="13"/>
        <v>0</v>
      </c>
      <c r="AE40" s="29">
        <f t="shared" si="13"/>
        <v>0</v>
      </c>
      <c r="AF40" s="29">
        <f t="shared" si="13"/>
        <v>0</v>
      </c>
      <c r="AG40" s="29">
        <f t="shared" si="13"/>
        <v>-153.82000000000002</v>
      </c>
      <c r="AH40" s="29">
        <f t="shared" si="13"/>
        <v>0</v>
      </c>
      <c r="AI40" s="29">
        <f t="shared" si="13"/>
        <v>-16928.57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V41" s="18"/>
      <c r="W41" s="18"/>
      <c r="X41" s="18">
        <f>14149.5+13761.75+21619.99+30644.27+15445.85+11447.68+9710.14+12746.02+9299.67+35421.66+12957.78+2369.49</f>
        <v>189573.80000000002</v>
      </c>
      <c r="Z41" s="18"/>
      <c r="AA41" s="18"/>
      <c r="AB41" s="18"/>
      <c r="AC41" s="18"/>
      <c r="AD41" s="18"/>
      <c r="AE41" s="18"/>
      <c r="AG41" s="18"/>
      <c r="AH41" s="18"/>
      <c r="AI41" s="19">
        <f>SUM(D41:AH41)</f>
        <v>189573.80000000002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>
        <v>20000</v>
      </c>
      <c r="I42" s="18"/>
      <c r="J42" s="18"/>
      <c r="K42" s="18"/>
      <c r="L42" s="58"/>
      <c r="M42" s="18"/>
      <c r="N42" s="18"/>
      <c r="O42" s="18"/>
      <c r="Q42" s="18"/>
      <c r="R42" s="63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69">
        <v>11000</v>
      </c>
      <c r="AH42" s="18"/>
      <c r="AI42" s="19">
        <f t="shared" ref="AI42:AI73" si="14">SUM(D42:AH42)</f>
        <v>31000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>
        <f>21860+16000</f>
        <v>37860</v>
      </c>
      <c r="T43" s="58"/>
      <c r="V43" s="18"/>
      <c r="W43" s="18"/>
      <c r="X43" s="18"/>
      <c r="Y43" s="18">
        <v>13000</v>
      </c>
      <c r="Z43" s="26">
        <v>28000</v>
      </c>
      <c r="AA43" s="18"/>
      <c r="AB43" s="18"/>
      <c r="AC43" s="18"/>
      <c r="AD43" s="58"/>
      <c r="AE43" s="18">
        <v>10200</v>
      </c>
      <c r="AG43" s="18">
        <v>46000</v>
      </c>
      <c r="AH43" s="18"/>
      <c r="AI43" s="19">
        <f t="shared" si="14"/>
        <v>135060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4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18">
        <v>27352.78</v>
      </c>
      <c r="L45" s="18"/>
      <c r="M45" s="18"/>
      <c r="N45" s="18"/>
      <c r="P45" s="18"/>
      <c r="Q45" s="26">
        <v>55652.33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4"/>
        <v>83005.11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>
        <f>14014.82+7919.79</f>
        <v>21934.61</v>
      </c>
      <c r="M46" s="58"/>
      <c r="O46" s="26"/>
      <c r="P46" s="26"/>
      <c r="Q46" s="26"/>
      <c r="R46" s="26"/>
      <c r="S46" s="26"/>
      <c r="T46" s="26"/>
      <c r="V46" s="26"/>
      <c r="W46" s="26"/>
      <c r="X46" s="26">
        <v>17822.78</v>
      </c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4"/>
        <v>39757.39</v>
      </c>
    </row>
    <row r="47" spans="2:35" ht="16.5" customHeight="1" x14ac:dyDescent="0.2">
      <c r="B47" s="117"/>
      <c r="C47" s="25" t="s">
        <v>79</v>
      </c>
      <c r="D47" s="26"/>
      <c r="E47" s="26">
        <f>140+140</f>
        <v>280</v>
      </c>
      <c r="F47" s="26"/>
      <c r="G47" s="58"/>
      <c r="H47" s="26">
        <f>615.3</f>
        <v>615.29999999999995</v>
      </c>
      <c r="I47" s="26"/>
      <c r="J47" s="26"/>
      <c r="K47" s="26">
        <f>166+56</f>
        <v>222</v>
      </c>
      <c r="L47" s="26">
        <f>3410.81+2944.24+1049.92</f>
        <v>7404.9699999999993</v>
      </c>
      <c r="M47" s="58"/>
      <c r="N47" s="76"/>
      <c r="O47" s="26"/>
      <c r="P47" s="26"/>
      <c r="Q47" s="4">
        <f>879.02</f>
        <v>879.02</v>
      </c>
      <c r="R47" s="26">
        <v>87.4</v>
      </c>
      <c r="S47" s="26">
        <f>8528.33+180.2</f>
        <v>8708.5300000000007</v>
      </c>
      <c r="T47" s="26"/>
      <c r="U47" s="26"/>
      <c r="V47" s="26"/>
      <c r="W47" s="26"/>
      <c r="X47" s="26"/>
      <c r="Z47" s="26">
        <f>89.4+84</f>
        <v>173.4</v>
      </c>
      <c r="AA47" s="26"/>
      <c r="AC47" s="26">
        <f>137.5</f>
        <v>137.5</v>
      </c>
      <c r="AD47" s="26"/>
      <c r="AE47" s="26">
        <f>855.08+197.2+2032.4+112+52</f>
        <v>3248.6800000000003</v>
      </c>
      <c r="AF47" s="26"/>
      <c r="AG47" s="26">
        <v>154</v>
      </c>
      <c r="AH47" s="26"/>
      <c r="AI47" s="19">
        <f t="shared" si="14"/>
        <v>21910.800000000003</v>
      </c>
    </row>
    <row r="48" spans="2:35" ht="16.5" customHeight="1" x14ac:dyDescent="0.2">
      <c r="B48" s="117"/>
      <c r="C48" s="25" t="s">
        <v>35</v>
      </c>
      <c r="E48" s="26">
        <v>8062.17</v>
      </c>
      <c r="F48" s="26"/>
      <c r="G48" s="58"/>
      <c r="H48" s="26"/>
      <c r="I48" s="26"/>
      <c r="J48" s="26"/>
      <c r="K48" s="26"/>
      <c r="L48" s="26"/>
      <c r="M48" s="26"/>
      <c r="N48" s="7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4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4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T50" s="26"/>
      <c r="U50" s="26"/>
      <c r="V50" s="26"/>
      <c r="W50" s="26"/>
      <c r="X50" s="26"/>
      <c r="Y50" s="58"/>
      <c r="Z50" s="58"/>
      <c r="AA50" s="58"/>
      <c r="AB50" s="58"/>
      <c r="AC50" s="26">
        <f>153.9</f>
        <v>153.9</v>
      </c>
      <c r="AD50" s="26"/>
      <c r="AE50" s="26"/>
      <c r="AF50" s="26"/>
      <c r="AG50" s="26"/>
      <c r="AH50" s="26"/>
      <c r="AI50" s="19">
        <f t="shared" si="14"/>
        <v>153.9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>
        <v>139.69999999999999</v>
      </c>
      <c r="M51" s="26"/>
      <c r="O51" s="26"/>
      <c r="P51" s="26"/>
      <c r="Q51" s="26"/>
      <c r="S51" s="26">
        <f>175.3</f>
        <v>175.3</v>
      </c>
      <c r="T51" s="26"/>
      <c r="V51" s="26"/>
      <c r="W51" s="26"/>
      <c r="X51" s="26"/>
      <c r="Y51" s="26"/>
      <c r="Z51" s="26">
        <v>187.3</v>
      </c>
      <c r="AA51" s="26"/>
      <c r="AB51" s="58"/>
      <c r="AC51" s="26">
        <v>270.8</v>
      </c>
      <c r="AD51" s="26"/>
      <c r="AE51" s="26"/>
      <c r="AF51" s="26"/>
      <c r="AG51" s="26"/>
      <c r="AH51" s="26"/>
      <c r="AI51" s="19">
        <f t="shared" si="14"/>
        <v>773.1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4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R53" s="26">
        <v>10210.52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69">
        <v>8228.7999999999993</v>
      </c>
      <c r="AH53" s="26"/>
      <c r="AI53" s="19">
        <f t="shared" si="14"/>
        <v>18439.32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>
        <v>900.36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69"/>
      <c r="AH54" s="26"/>
      <c r="AI54" s="19">
        <f t="shared" si="14"/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>
        <f>674.6</f>
        <v>674.6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>
        <v>329.35</v>
      </c>
      <c r="AH55" s="26"/>
      <c r="AI55" s="19">
        <f t="shared" si="14"/>
        <v>1003.95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4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4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4"/>
        <v>0</v>
      </c>
    </row>
    <row r="59" spans="2:35" ht="16.5" customHeight="1" x14ac:dyDescent="0.2">
      <c r="B59" s="117"/>
      <c r="C59" s="25" t="s">
        <v>32</v>
      </c>
      <c r="D59" s="26"/>
      <c r="E59" s="26"/>
      <c r="F59" s="26"/>
      <c r="H59" s="26">
        <v>3519.37</v>
      </c>
      <c r="I59" s="26"/>
      <c r="J59" s="26"/>
      <c r="K59" s="26"/>
      <c r="L59" s="26">
        <f>1003.68</f>
        <v>1003.68</v>
      </c>
      <c r="M59" s="26"/>
      <c r="O59" s="26"/>
      <c r="P59" s="26"/>
      <c r="R59" s="26">
        <f>1590+1355.19+342.5+585.45+720</f>
        <v>4593.1400000000003</v>
      </c>
      <c r="S59" s="26"/>
      <c r="T59" s="26"/>
      <c r="U59" s="26"/>
      <c r="V59" s="26"/>
      <c r="W59" s="26"/>
      <c r="Y59" s="26"/>
      <c r="Z59" s="26">
        <f>1023</f>
        <v>1023</v>
      </c>
      <c r="AA59" s="26"/>
      <c r="AC59" s="26">
        <f>391.2</f>
        <v>391.2</v>
      </c>
      <c r="AD59" s="26"/>
      <c r="AE59" s="26"/>
      <c r="AF59" s="26"/>
      <c r="AG59" s="26">
        <f>3180+7950</f>
        <v>11130</v>
      </c>
      <c r="AH59" s="26"/>
      <c r="AI59" s="19">
        <f t="shared" si="14"/>
        <v>21660.39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4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4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4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f>920</f>
        <v>920</v>
      </c>
      <c r="R63" s="26"/>
      <c r="S63" s="26">
        <v>439.99</v>
      </c>
      <c r="T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4"/>
        <v>1359.99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H64" s="26">
        <f>788.68</f>
        <v>788.68</v>
      </c>
      <c r="I64" s="26"/>
      <c r="J64" s="26"/>
      <c r="K64" s="26">
        <v>618.33000000000004</v>
      </c>
      <c r="L64" s="4">
        <v>788.68</v>
      </c>
      <c r="M64" s="26"/>
      <c r="O64" s="26"/>
      <c r="P64" s="26"/>
      <c r="Q64" s="26">
        <v>14118</v>
      </c>
      <c r="R64" s="26"/>
      <c r="S64" s="26">
        <v>5650</v>
      </c>
      <c r="T64" s="26"/>
      <c r="U64" s="26"/>
      <c r="W64" s="26"/>
      <c r="X64" s="26"/>
      <c r="Y64" s="26"/>
      <c r="Z64" s="26">
        <v>2015</v>
      </c>
      <c r="AA64" s="26"/>
      <c r="AB64" s="26"/>
      <c r="AD64" s="26"/>
      <c r="AE64" s="26"/>
      <c r="AF64" s="26"/>
      <c r="AH64" s="26"/>
      <c r="AI64" s="19">
        <f t="shared" si="14"/>
        <v>23978.690000000002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v>711</v>
      </c>
      <c r="L65" s="58"/>
      <c r="M65" s="26"/>
      <c r="N65" s="26"/>
      <c r="O65" s="26"/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/>
      <c r="AG65" s="26">
        <f>412.3</f>
        <v>412.3</v>
      </c>
      <c r="AH65" s="26"/>
      <c r="AI65" s="19">
        <f t="shared" si="14"/>
        <v>1123.3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4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v>1260.74</v>
      </c>
      <c r="L67" s="26"/>
      <c r="M67" s="26"/>
      <c r="N67" s="26"/>
      <c r="O67" s="26"/>
      <c r="P67" s="26"/>
      <c r="Q67" s="26"/>
      <c r="R67" s="26">
        <v>1800</v>
      </c>
      <c r="S67" s="26"/>
      <c r="T67" s="26"/>
      <c r="U67" s="58"/>
      <c r="V67" s="26"/>
      <c r="W67" s="26"/>
      <c r="X67" s="26"/>
      <c r="Y67" s="26"/>
      <c r="Z67" s="26">
        <f>333.29</f>
        <v>333.29</v>
      </c>
      <c r="AA67" s="26"/>
      <c r="AB67" s="26"/>
      <c r="AC67" s="26"/>
      <c r="AD67" s="26"/>
      <c r="AE67" s="26"/>
      <c r="AF67" s="26"/>
      <c r="AG67" s="26"/>
      <c r="AH67" s="26"/>
      <c r="AI67" s="19">
        <f t="shared" si="14"/>
        <v>3394.0299999999997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>
        <f>241.4+332.94+127.45+169.54+198.4+134.32+150.62</f>
        <v>1354.67</v>
      </c>
      <c r="T68" s="26"/>
      <c r="U68" s="58"/>
      <c r="V68" s="58"/>
      <c r="W68" s="26"/>
      <c r="X68" s="26"/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4"/>
        <v>1354.67</v>
      </c>
    </row>
    <row r="69" spans="2:35" ht="16.5" customHeight="1" x14ac:dyDescent="0.2">
      <c r="B69" s="117"/>
      <c r="C69" s="25" t="s">
        <v>83</v>
      </c>
      <c r="E69" s="26">
        <v>122.3</v>
      </c>
      <c r="G69" s="26"/>
      <c r="H69" s="26"/>
      <c r="I69" s="26"/>
      <c r="J69" s="26"/>
      <c r="K69" s="26"/>
      <c r="M69" s="26"/>
      <c r="N69" s="26"/>
      <c r="O69" s="26"/>
      <c r="P69" s="58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C69" s="26">
        <f>2159</f>
        <v>2159</v>
      </c>
      <c r="AD69" s="26"/>
      <c r="AE69" s="26"/>
      <c r="AF69" s="26"/>
      <c r="AG69" s="26"/>
      <c r="AH69" s="26"/>
      <c r="AI69" s="19">
        <f t="shared" si="14"/>
        <v>2281.3000000000002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>
        <v>201</v>
      </c>
      <c r="L70" s="26">
        <f>242</f>
        <v>242</v>
      </c>
      <c r="M70" s="58"/>
      <c r="O70" s="26"/>
      <c r="P70" s="26"/>
      <c r="Q70" s="58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4"/>
        <v>443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5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4"/>
        <v>0</v>
      </c>
    </row>
    <row r="72" spans="2:35" ht="16.5" customHeight="1" x14ac:dyDescent="0.2">
      <c r="B72" s="117"/>
      <c r="C72" s="25" t="s">
        <v>6</v>
      </c>
      <c r="D72" s="26">
        <f>46.2</f>
        <v>46.2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19">
        <f t="shared" si="14"/>
        <v>46.2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4"/>
        <v>0</v>
      </c>
    </row>
    <row r="74" spans="2:35" ht="16.5" customHeight="1" x14ac:dyDescent="0.2">
      <c r="B74" s="117"/>
      <c r="C74" s="28" t="s">
        <v>10</v>
      </c>
      <c r="D74" s="29">
        <f t="shared" ref="D74:AI74" si="15">-SUM(D41:D73)</f>
        <v>-46.2</v>
      </c>
      <c r="E74" s="29">
        <f t="shared" si="15"/>
        <v>-8464.4699999999993</v>
      </c>
      <c r="F74" s="29">
        <f t="shared" si="15"/>
        <v>0</v>
      </c>
      <c r="G74" s="29">
        <f t="shared" si="15"/>
        <v>0</v>
      </c>
      <c r="H74" s="29">
        <f t="shared" si="15"/>
        <v>-24923.35</v>
      </c>
      <c r="I74" s="29">
        <f t="shared" si="15"/>
        <v>0</v>
      </c>
      <c r="J74" s="29">
        <f t="shared" si="15"/>
        <v>0</v>
      </c>
      <c r="K74" s="29">
        <f t="shared" si="15"/>
        <v>-30365.850000000002</v>
      </c>
      <c r="L74" s="29">
        <f t="shared" si="15"/>
        <v>-33088.6</v>
      </c>
      <c r="M74" s="29">
        <f t="shared" si="15"/>
        <v>0</v>
      </c>
      <c r="N74" s="29">
        <f t="shared" si="15"/>
        <v>0</v>
      </c>
      <c r="O74" s="29">
        <f t="shared" si="15"/>
        <v>0</v>
      </c>
      <c r="P74" s="29">
        <f t="shared" si="15"/>
        <v>0</v>
      </c>
      <c r="Q74" s="29">
        <f t="shared" si="15"/>
        <v>-71569.350000000006</v>
      </c>
      <c r="R74" s="29">
        <f t="shared" si="15"/>
        <v>-18045.730000000003</v>
      </c>
      <c r="S74" s="29">
        <f>-SUM(S41:S73)</f>
        <v>-52833.82</v>
      </c>
      <c r="T74" s="29">
        <f>-SUM(T41:T73)</f>
        <v>0</v>
      </c>
      <c r="U74" s="29">
        <f t="shared" si="15"/>
        <v>0</v>
      </c>
      <c r="V74" s="29">
        <f>-SUM(V41:V73)</f>
        <v>0</v>
      </c>
      <c r="W74" s="29">
        <f>-SUM(W41:W73)</f>
        <v>0</v>
      </c>
      <c r="X74" s="29">
        <f>-SUM(X41:X73)</f>
        <v>-207396.58000000002</v>
      </c>
      <c r="Y74" s="29">
        <f t="shared" si="15"/>
        <v>-13000</v>
      </c>
      <c r="Z74" s="29">
        <f>-SUM(Z41:Z73)</f>
        <v>-31731.99</v>
      </c>
      <c r="AA74" s="29">
        <f t="shared" si="15"/>
        <v>0</v>
      </c>
      <c r="AB74" s="29">
        <f t="shared" si="15"/>
        <v>0</v>
      </c>
      <c r="AC74" s="29">
        <f t="shared" si="15"/>
        <v>-3112.4</v>
      </c>
      <c r="AD74" s="29">
        <f>-SUM(AD41:AD73)</f>
        <v>0</v>
      </c>
      <c r="AE74" s="29">
        <f>-SUM(AE41:AE73)</f>
        <v>-13448.68</v>
      </c>
      <c r="AF74" s="29">
        <f>-SUM(AF41:AF73)</f>
        <v>0</v>
      </c>
      <c r="AG74" s="29">
        <f t="shared" si="15"/>
        <v>-77254.450000000012</v>
      </c>
      <c r="AH74" s="29">
        <f t="shared" si="15"/>
        <v>0</v>
      </c>
      <c r="AI74" s="29">
        <f t="shared" si="15"/>
        <v>-585281.47000000009</v>
      </c>
    </row>
    <row r="75" spans="2:35" ht="16.5" customHeight="1" x14ac:dyDescent="0.2">
      <c r="B75" s="114"/>
      <c r="C75" s="28" t="s">
        <v>36</v>
      </c>
      <c r="D75" s="29">
        <f t="shared" ref="D75:AI75" si="16">D25+D36+D40+D74</f>
        <v>-16820.95</v>
      </c>
      <c r="E75" s="29">
        <f t="shared" si="16"/>
        <v>-8576.869999999999</v>
      </c>
      <c r="F75" s="29">
        <f t="shared" si="16"/>
        <v>0</v>
      </c>
      <c r="G75" s="29">
        <f t="shared" si="16"/>
        <v>0</v>
      </c>
      <c r="H75" s="29">
        <f t="shared" si="16"/>
        <v>-24923.35</v>
      </c>
      <c r="I75" s="29">
        <f t="shared" si="16"/>
        <v>0</v>
      </c>
      <c r="J75" s="29">
        <f t="shared" si="16"/>
        <v>0</v>
      </c>
      <c r="K75" s="29">
        <f t="shared" si="16"/>
        <v>-30365.850000000002</v>
      </c>
      <c r="L75" s="29">
        <f t="shared" si="16"/>
        <v>-97533.68</v>
      </c>
      <c r="M75" s="29">
        <f t="shared" si="16"/>
        <v>0</v>
      </c>
      <c r="N75" s="29">
        <f t="shared" si="16"/>
        <v>0</v>
      </c>
      <c r="O75" s="29">
        <f t="shared" si="16"/>
        <v>0</v>
      </c>
      <c r="P75" s="29">
        <f t="shared" si="16"/>
        <v>0</v>
      </c>
      <c r="Q75" s="29">
        <f t="shared" si="16"/>
        <v>-72143.350000000006</v>
      </c>
      <c r="R75" s="29">
        <f t="shared" si="16"/>
        <v>-141055.69999999998</v>
      </c>
      <c r="S75" s="29">
        <f t="shared" si="16"/>
        <v>-52833.82</v>
      </c>
      <c r="T75" s="29">
        <f t="shared" si="16"/>
        <v>0</v>
      </c>
      <c r="U75" s="29">
        <f t="shared" si="16"/>
        <v>0</v>
      </c>
      <c r="V75" s="29">
        <f t="shared" si="16"/>
        <v>-969.37999999999988</v>
      </c>
      <c r="W75" s="29">
        <f t="shared" si="16"/>
        <v>0</v>
      </c>
      <c r="X75" s="29">
        <f t="shared" si="16"/>
        <v>-207396.58000000002</v>
      </c>
      <c r="Y75" s="29">
        <f t="shared" si="16"/>
        <v>-13000</v>
      </c>
      <c r="Z75" s="29">
        <f t="shared" si="16"/>
        <v>-61363.490000000005</v>
      </c>
      <c r="AA75" s="29">
        <f t="shared" si="16"/>
        <v>0</v>
      </c>
      <c r="AB75" s="29">
        <f t="shared" si="16"/>
        <v>0</v>
      </c>
      <c r="AC75" s="29">
        <f t="shared" si="16"/>
        <v>-3112.4</v>
      </c>
      <c r="AD75" s="29">
        <f t="shared" si="16"/>
        <v>0</v>
      </c>
      <c r="AE75" s="29">
        <f t="shared" si="16"/>
        <v>-13497.630000000001</v>
      </c>
      <c r="AF75" s="29">
        <f t="shared" si="16"/>
        <v>0</v>
      </c>
      <c r="AG75" s="29">
        <f t="shared" si="16"/>
        <v>-158538.41000000003</v>
      </c>
      <c r="AH75" s="29">
        <f t="shared" si="16"/>
        <v>0</v>
      </c>
      <c r="AI75" s="29">
        <f t="shared" si="16"/>
        <v>-902131.46000000008</v>
      </c>
    </row>
    <row r="76" spans="2:35" ht="7.5" customHeight="1" x14ac:dyDescent="0.2">
      <c r="B76" s="105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104"/>
      <c r="C77" s="32" t="s">
        <v>13</v>
      </c>
      <c r="D77" s="13">
        <f t="shared" ref="D77:AI77" si="17">D6+D18+D75</f>
        <v>129808.59869999964</v>
      </c>
      <c r="E77" s="13">
        <f t="shared" si="17"/>
        <v>144610.65869999965</v>
      </c>
      <c r="F77" s="13">
        <f t="shared" si="17"/>
        <v>145610.65869999965</v>
      </c>
      <c r="G77" s="13">
        <f t="shared" si="17"/>
        <v>146610.65869999965</v>
      </c>
      <c r="H77" s="13">
        <f t="shared" si="17"/>
        <v>158306.92869999964</v>
      </c>
      <c r="I77" s="13">
        <f t="shared" si="17"/>
        <v>167430.15869999965</v>
      </c>
      <c r="J77" s="13">
        <f t="shared" si="17"/>
        <v>176868.41869999966</v>
      </c>
      <c r="K77" s="13">
        <f t="shared" si="17"/>
        <v>189470.27869999965</v>
      </c>
      <c r="L77" s="13">
        <f t="shared" si="17"/>
        <v>189063.04869999964</v>
      </c>
      <c r="M77" s="13">
        <f t="shared" si="17"/>
        <v>213247.44869999963</v>
      </c>
      <c r="N77" s="13">
        <f t="shared" si="17"/>
        <v>267305.13869999966</v>
      </c>
      <c r="O77" s="13">
        <f t="shared" si="17"/>
        <v>316598.82869999966</v>
      </c>
      <c r="P77" s="13">
        <f t="shared" si="17"/>
        <v>384303.14869999967</v>
      </c>
      <c r="Q77" s="13">
        <f t="shared" si="17"/>
        <v>346665.48869999964</v>
      </c>
      <c r="R77" s="13">
        <f t="shared" si="17"/>
        <v>248745.32869999963</v>
      </c>
      <c r="S77" s="13">
        <f t="shared" si="17"/>
        <v>230417.19869999966</v>
      </c>
      <c r="T77" s="13">
        <f t="shared" si="17"/>
        <v>273552.73869999964</v>
      </c>
      <c r="U77" s="13">
        <f t="shared" si="17"/>
        <v>303740.58869999961</v>
      </c>
      <c r="V77" s="13">
        <f t="shared" si="17"/>
        <v>339780.7586999996</v>
      </c>
      <c r="W77" s="13">
        <f t="shared" si="17"/>
        <v>409022.58869999961</v>
      </c>
      <c r="X77" s="13">
        <f t="shared" si="17"/>
        <v>233666.11869999958</v>
      </c>
      <c r="Y77" s="13">
        <f t="shared" si="17"/>
        <v>289907.9486999996</v>
      </c>
      <c r="Z77" s="13">
        <f t="shared" si="17"/>
        <v>260584.5686999996</v>
      </c>
      <c r="AA77" s="13">
        <f t="shared" si="17"/>
        <v>343963.48869999958</v>
      </c>
      <c r="AB77" s="13">
        <f t="shared" si="17"/>
        <v>363124.07869999961</v>
      </c>
      <c r="AC77" s="13">
        <f t="shared" si="17"/>
        <v>383574.35869999958</v>
      </c>
      <c r="AD77" s="13">
        <f t="shared" si="17"/>
        <v>445078.4486999996</v>
      </c>
      <c r="AE77" s="13">
        <f t="shared" si="17"/>
        <v>452638.5686999996</v>
      </c>
      <c r="AF77" s="13">
        <f t="shared" si="17"/>
        <v>514142.65869999956</v>
      </c>
      <c r="AG77" s="13">
        <f t="shared" si="17"/>
        <v>376661.99869999953</v>
      </c>
      <c r="AH77" s="13">
        <f t="shared" si="17"/>
        <v>376661.99869999953</v>
      </c>
      <c r="AI77" s="13">
        <f t="shared" si="17"/>
        <v>376661.99869999976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Setembro!AG83</f>
        <v>517966.18000000052</v>
      </c>
      <c r="E79" s="33">
        <f>D83</f>
        <v>518169.1600000005</v>
      </c>
      <c r="F79" s="33">
        <f t="shared" ref="F79:AH79" si="18">E83</f>
        <v>518169.1600000005</v>
      </c>
      <c r="G79" s="33">
        <f t="shared" si="18"/>
        <v>518169.1600000005</v>
      </c>
      <c r="H79" s="33">
        <f t="shared" si="18"/>
        <v>518169.1600000005</v>
      </c>
      <c r="I79" s="33">
        <f t="shared" si="18"/>
        <v>518169.1600000005</v>
      </c>
      <c r="J79" s="33">
        <f t="shared" si="18"/>
        <v>518169.1600000005</v>
      </c>
      <c r="K79" s="33">
        <f t="shared" si="18"/>
        <v>518169.1600000005</v>
      </c>
      <c r="L79" s="33">
        <f t="shared" si="18"/>
        <v>518169.1600000005</v>
      </c>
      <c r="M79" s="33">
        <f t="shared" si="18"/>
        <v>518169.1600000005</v>
      </c>
      <c r="N79" s="33">
        <f t="shared" si="18"/>
        <v>518169.1600000005</v>
      </c>
      <c r="O79" s="33">
        <f t="shared" si="18"/>
        <v>518169.1600000005</v>
      </c>
      <c r="P79" s="33">
        <f t="shared" si="18"/>
        <v>518169.1600000005</v>
      </c>
      <c r="Q79" s="33">
        <f t="shared" si="18"/>
        <v>518169.1600000005</v>
      </c>
      <c r="R79" s="33">
        <f t="shared" si="18"/>
        <v>518169.1600000005</v>
      </c>
      <c r="S79" s="33">
        <f t="shared" si="18"/>
        <v>518169.1600000005</v>
      </c>
      <c r="T79" s="33">
        <f t="shared" si="18"/>
        <v>518169.1600000005</v>
      </c>
      <c r="U79" s="33">
        <f t="shared" si="18"/>
        <v>518169.1600000005</v>
      </c>
      <c r="V79" s="33">
        <f t="shared" si="18"/>
        <v>518169.1600000005</v>
      </c>
      <c r="W79" s="33">
        <f t="shared" si="18"/>
        <v>518169.1600000005</v>
      </c>
      <c r="X79" s="33">
        <f t="shared" si="18"/>
        <v>518169.1600000005</v>
      </c>
      <c r="Y79" s="33">
        <f t="shared" si="18"/>
        <v>518169.1600000005</v>
      </c>
      <c r="Z79" s="33">
        <f t="shared" si="18"/>
        <v>518169.1600000005</v>
      </c>
      <c r="AA79" s="33">
        <f t="shared" si="18"/>
        <v>518169.1600000005</v>
      </c>
      <c r="AB79" s="33">
        <f t="shared" si="18"/>
        <v>518169.1600000005</v>
      </c>
      <c r="AC79" s="33">
        <f t="shared" si="18"/>
        <v>518169.1600000005</v>
      </c>
      <c r="AD79" s="33">
        <f t="shared" si="18"/>
        <v>518169.1600000005</v>
      </c>
      <c r="AE79" s="33">
        <f t="shared" si="18"/>
        <v>518169.1600000005</v>
      </c>
      <c r="AF79" s="33">
        <f t="shared" si="18"/>
        <v>518169.1600000005</v>
      </c>
      <c r="AG79" s="33">
        <f t="shared" si="18"/>
        <v>518169.1600000005</v>
      </c>
      <c r="AH79" s="33">
        <f t="shared" si="18"/>
        <v>518169.1600000005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9">SUM(G81:AF81)</f>
        <v>0</v>
      </c>
    </row>
    <row r="82" spans="2:35" ht="16.5" customHeight="1" x14ac:dyDescent="0.2">
      <c r="B82" s="117"/>
      <c r="C82" s="17" t="s">
        <v>24</v>
      </c>
      <c r="D82" s="18">
        <v>202.98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9">
        <f t="shared" si="19"/>
        <v>0</v>
      </c>
    </row>
    <row r="83" spans="2:35" ht="16.5" customHeight="1" x14ac:dyDescent="0.2">
      <c r="B83" s="117"/>
      <c r="C83" s="21" t="s">
        <v>30</v>
      </c>
      <c r="D83" s="22">
        <f>SUM(D80:D82)+D79</f>
        <v>518169.1600000005</v>
      </c>
      <c r="E83" s="22">
        <f t="shared" ref="E83:AH83" si="20">SUM(E80:E82)+D83</f>
        <v>518169.1600000005</v>
      </c>
      <c r="F83" s="22">
        <f>SUM(F80:F82)+E83</f>
        <v>518169.1600000005</v>
      </c>
      <c r="G83" s="22">
        <f t="shared" si="20"/>
        <v>518169.1600000005</v>
      </c>
      <c r="H83" s="22">
        <f t="shared" si="20"/>
        <v>518169.1600000005</v>
      </c>
      <c r="I83" s="22">
        <f t="shared" si="20"/>
        <v>518169.1600000005</v>
      </c>
      <c r="J83" s="22">
        <f t="shared" si="20"/>
        <v>518169.1600000005</v>
      </c>
      <c r="K83" s="22">
        <f>SUM(K80:K82)+J83</f>
        <v>518169.1600000005</v>
      </c>
      <c r="L83" s="22">
        <f t="shared" si="20"/>
        <v>518169.1600000005</v>
      </c>
      <c r="M83" s="22">
        <f t="shared" si="20"/>
        <v>518169.1600000005</v>
      </c>
      <c r="N83" s="22">
        <f t="shared" si="20"/>
        <v>518169.1600000005</v>
      </c>
      <c r="O83" s="22">
        <f t="shared" si="20"/>
        <v>518169.1600000005</v>
      </c>
      <c r="P83" s="22">
        <f t="shared" si="20"/>
        <v>518169.1600000005</v>
      </c>
      <c r="Q83" s="22">
        <f t="shared" si="20"/>
        <v>518169.1600000005</v>
      </c>
      <c r="R83" s="22">
        <f>SUM(R80:R82)+Q83</f>
        <v>518169.1600000005</v>
      </c>
      <c r="S83" s="22">
        <f>SUM(S80:S82)+R83</f>
        <v>518169.1600000005</v>
      </c>
      <c r="T83" s="22">
        <f t="shared" si="20"/>
        <v>518169.1600000005</v>
      </c>
      <c r="U83" s="22">
        <f t="shared" si="20"/>
        <v>518169.1600000005</v>
      </c>
      <c r="V83" s="22">
        <f t="shared" si="20"/>
        <v>518169.1600000005</v>
      </c>
      <c r="W83" s="22">
        <f t="shared" si="20"/>
        <v>518169.1600000005</v>
      </c>
      <c r="X83" s="22">
        <f t="shared" si="20"/>
        <v>518169.1600000005</v>
      </c>
      <c r="Y83" s="22">
        <f t="shared" si="20"/>
        <v>518169.1600000005</v>
      </c>
      <c r="Z83" s="22">
        <f>SUM(Z80:Z82)+Y83</f>
        <v>518169.1600000005</v>
      </c>
      <c r="AA83" s="22">
        <f t="shared" ref="AA83" si="21">SUM(AA80:AA82)+Z83</f>
        <v>518169.1600000005</v>
      </c>
      <c r="AB83" s="22">
        <f t="shared" ref="AB83" si="22">SUM(AB80:AB82)+AA83</f>
        <v>518169.1600000005</v>
      </c>
      <c r="AC83" s="22">
        <f t="shared" ref="AC83:AD83" si="23">SUM(AC80:AC82)+AB83</f>
        <v>518169.1600000005</v>
      </c>
      <c r="AD83" s="22">
        <f t="shared" si="23"/>
        <v>518169.1600000005</v>
      </c>
      <c r="AE83" s="22">
        <f>SUM(AE80:AE82)+AD83</f>
        <v>518169.1600000005</v>
      </c>
      <c r="AF83" s="22">
        <f>SUM(AF80:AF82)+AE83</f>
        <v>518169.1600000005</v>
      </c>
      <c r="AG83" s="22">
        <f t="shared" si="20"/>
        <v>518169.1600000005</v>
      </c>
      <c r="AH83" s="22">
        <f t="shared" si="20"/>
        <v>549295.00000000047</v>
      </c>
      <c r="AI83" s="22">
        <f>AH83</f>
        <v>549295.00000000047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4">D77+D83</f>
        <v>647977.75870000012</v>
      </c>
      <c r="E85" s="37">
        <f t="shared" si="24"/>
        <v>662779.81870000018</v>
      </c>
      <c r="F85" s="37">
        <f t="shared" si="24"/>
        <v>663779.81870000018</v>
      </c>
      <c r="G85" s="37">
        <f t="shared" si="24"/>
        <v>664779.81870000018</v>
      </c>
      <c r="H85" s="37">
        <f t="shared" si="24"/>
        <v>676476.0887000002</v>
      </c>
      <c r="I85" s="37">
        <f t="shared" si="24"/>
        <v>685599.31870000018</v>
      </c>
      <c r="J85" s="37">
        <f t="shared" si="24"/>
        <v>695037.57870000019</v>
      </c>
      <c r="K85" s="37">
        <f t="shared" si="24"/>
        <v>707639.43870000017</v>
      </c>
      <c r="L85" s="37">
        <f t="shared" si="24"/>
        <v>707232.20870000008</v>
      </c>
      <c r="M85" s="37">
        <f t="shared" si="24"/>
        <v>731416.6087000001</v>
      </c>
      <c r="N85" s="37">
        <f t="shared" si="24"/>
        <v>785474.29870000016</v>
      </c>
      <c r="O85" s="37">
        <f t="shared" si="24"/>
        <v>834767.9887000001</v>
      </c>
      <c r="P85" s="37">
        <f t="shared" si="24"/>
        <v>902472.30870000017</v>
      </c>
      <c r="Q85" s="37">
        <f t="shared" si="24"/>
        <v>864834.64870000014</v>
      </c>
      <c r="R85" s="37">
        <f t="shared" si="24"/>
        <v>766914.4887000001</v>
      </c>
      <c r="S85" s="37">
        <f t="shared" si="24"/>
        <v>748586.35870000022</v>
      </c>
      <c r="T85" s="37">
        <f t="shared" si="24"/>
        <v>791721.89870000014</v>
      </c>
      <c r="U85" s="37">
        <f t="shared" si="24"/>
        <v>821909.74870000011</v>
      </c>
      <c r="V85" s="37">
        <f t="shared" si="24"/>
        <v>857949.91870000004</v>
      </c>
      <c r="W85" s="37">
        <f t="shared" si="24"/>
        <v>927191.74870000011</v>
      </c>
      <c r="X85" s="37">
        <f t="shared" si="24"/>
        <v>751835.27870000014</v>
      </c>
      <c r="Y85" s="37">
        <f t="shared" si="24"/>
        <v>808077.1087000001</v>
      </c>
      <c r="Z85" s="37">
        <f t="shared" si="24"/>
        <v>778753.72870000009</v>
      </c>
      <c r="AA85" s="37">
        <f t="shared" si="24"/>
        <v>862132.64870000002</v>
      </c>
      <c r="AB85" s="37">
        <f t="shared" si="24"/>
        <v>881293.2387000001</v>
      </c>
      <c r="AC85" s="37">
        <f t="shared" si="24"/>
        <v>901743.51870000013</v>
      </c>
      <c r="AD85" s="37">
        <f t="shared" si="24"/>
        <v>963247.6087000001</v>
      </c>
      <c r="AE85" s="37">
        <f t="shared" si="24"/>
        <v>970807.72870000009</v>
      </c>
      <c r="AF85" s="37">
        <f t="shared" si="24"/>
        <v>1032311.8187000001</v>
      </c>
      <c r="AG85" s="37">
        <f t="shared" si="24"/>
        <v>894831.15870000003</v>
      </c>
      <c r="AH85" s="37">
        <f t="shared" si="24"/>
        <v>925956.9987</v>
      </c>
      <c r="AI85" s="37">
        <f>AI77+AI83</f>
        <v>925956.99870000023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E5</f>
        <v>42279</v>
      </c>
    </row>
    <row r="89" spans="2:35" ht="18.75" x14ac:dyDescent="0.25">
      <c r="B89" s="41"/>
      <c r="C89" s="50" t="s">
        <v>46</v>
      </c>
      <c r="D89" s="51">
        <f>E6</f>
        <v>129808.59869999964</v>
      </c>
    </row>
    <row r="90" spans="2:35" ht="18.75" x14ac:dyDescent="0.25">
      <c r="B90" s="41"/>
      <c r="C90" s="50" t="s">
        <v>40</v>
      </c>
      <c r="D90" s="52">
        <f>E18</f>
        <v>23378.93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E75</f>
        <v>-8576.869999999999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107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144610.65869999965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106"/>
    </row>
    <row r="93" spans="2:35" ht="18.75" x14ac:dyDescent="0.25">
      <c r="B93" s="41"/>
      <c r="C93" s="50" t="s">
        <v>91</v>
      </c>
      <c r="D93" s="51">
        <v>12447.78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3799.18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501922.2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662779.81869999971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L21:L24 K21:K23 I20:L20 D20:D24 F20:F24 H20:H24 I21:J24 G21:G22 AA22:AC23 W24 V22:X23 AC24 Y22:Z24 AD22:AF24 R21:AF21 M22:M24 O22:O24 N22:N23 P21:P24 Q22:U24" name="Intervalo3"/>
    <protectedRange sqref="E17:H17 O17 D16:H16 I16:I17 J17:L17 D10:L13 K16:L16 Q17:S17 O10:S13 AC10:AF10 AC12:AF13 AC11:AH11 AC17:AG17 V10:Z13 AC16:AF16 O16:S16 V16:Z17 D14:AH15" name="Intervalo2"/>
    <protectedRange sqref="O7:S9 D7:L9 V7:Z9 AC7:AF9" name="Intervalo1"/>
    <protectedRange sqref="L38 F31 M37:AF39 K37:L37 K39:L39 D37:E39 I38 F37 F39 G37:G39 J37:J39 H37:I37 H39:I39" name="Intervalo4"/>
    <protectedRange sqref="S52:T52 Z52:AA52 X53:AE53 S53:V53 AH55 G71:H71 AE47:AE52 M72:M73 W54:W59 P70:P72 P46:P68 R69:T72 J49:K49 D49:E52 E48 E55 I46:J47 H54:H59 E53 F48:F51 D46:H46 J48 K50:K58 K60:K69 L66:L68 N71:N73 N52:N54 W66:W73 AA49:AC49 AF46:AF47 AF49:AF52 AD69:AF69 D56:E58 AD59:AF59 AD63:AD68 Y66:Y73 AF55:AF58 AD60:AD61 AA69:AA73 AF70:AF72 H47:H51 D54:E54 I50:J73 F72:F73 H72:H73 G72 W61:W64 Q60:Q69 Y54:Y64 AC47 AD49:AD50 AE60:AE68 AF60:AF62 D70:D73 E60:E73 D60:D68 AF65:AF68 Y48:Z49 H64 F70:H70 Q71:Q72 V54:V63 X60:X73 V65:V67 U69:V73 Y51:Z51 AC50 X54:X58 AC59:AC63 AC65:AC69 N56:N58 O46:O73 N60:N63 M65:N69 R47:R49 R53:R66 Q46:R46 Q48:Q52 Q54:Q58 T54:T68 U64:U66 U47:U50 S46:S49 T46:T51 S51 Z54:Z73 E47:F47 F54:F60 G49:G58 F62:F68 G60:H63 G65:H69 K46:K48 N47:N50 M56:M64 M48:M53 L46:L58 L60:L63 K70:L73 V46:X51 U54:U62 S54:S67 Z46:AE46 AC51:AD51 AA54:AA67 AB54:AE58 AB60:AB61 AB63:AB68 AB70:AE73" name="Intervalo5"/>
    <protectedRange sqref="W28:W31 AH34:AH35 D26:E35 F26:F30 F32:F35 G26:J35 M27 T28:V35 AE34:AF35 W34:AC35 W26 K26:L30 K32:M35 N26:P35 R26:S35 Q27:Q35 V26:V27 Z32:Z33 T26:T27 AC26:AF33 X26:Y33 Z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Jan</vt:lpstr>
      <vt:lpstr>Fev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financeiro1</dc:creator>
  <cp:lastModifiedBy>Cris</cp:lastModifiedBy>
  <cp:lastPrinted>2015-09-30T12:27:31Z</cp:lastPrinted>
  <dcterms:created xsi:type="dcterms:W3CDTF">2012-11-29T12:54:59Z</dcterms:created>
  <dcterms:modified xsi:type="dcterms:W3CDTF">2017-07-02T20:05:27Z</dcterms:modified>
</cp:coreProperties>
</file>