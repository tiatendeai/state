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a35\AC\Temp\"/>
    </mc:Choice>
  </mc:AlternateContent>
  <xr:revisionPtr revIDLastSave="0" documentId="8_{12D2B6E7-1F09-C842-A90A-6CFB0FBA161E}" xr6:coauthVersionLast="37" xr6:coauthVersionMax="37" xr10:uidLastSave="{00000000-0000-0000-0000-000000000000}"/>
  <bookViews>
    <workbookView xWindow="32760" yWindow="32760" windowWidth="16380" windowHeight="8190" tabRatio="191" xr2:uid="{00000000-000D-0000-FFFF-FFFF00000000}"/>
  </bookViews>
  <sheets>
    <sheet name="Planilha1" sheetId="1" r:id="rId1"/>
    <sheet name="Planilha2" sheetId="2" r:id="rId2"/>
    <sheet name="Planilha3" sheetId="3" r:id="rId3"/>
  </sheets>
  <calcPr calcId="179020"/>
</workbook>
</file>

<file path=xl/calcChain.xml><?xml version="1.0" encoding="utf-8"?>
<calcChain xmlns="http://schemas.openxmlformats.org/spreadsheetml/2006/main">
  <c r="K6" i="1" l="1"/>
  <c r="G12" i="1"/>
  <c r="I12" i="1"/>
  <c r="J12" i="1"/>
  <c r="K12" i="1"/>
  <c r="G13" i="1"/>
  <c r="I13" i="1"/>
  <c r="J13" i="1"/>
  <c r="K13" i="1"/>
  <c r="G14" i="1"/>
  <c r="I14" i="1"/>
  <c r="J14" i="1"/>
  <c r="K14" i="1"/>
  <c r="G15" i="1"/>
  <c r="I15" i="1"/>
  <c r="J15" i="1"/>
  <c r="K15" i="1"/>
  <c r="G16" i="1"/>
  <c r="I16" i="1"/>
  <c r="J16" i="1"/>
  <c r="K16" i="1"/>
  <c r="G17" i="1"/>
  <c r="I17" i="1"/>
  <c r="J17" i="1"/>
  <c r="K17" i="1"/>
  <c r="G18" i="1"/>
  <c r="I18" i="1"/>
  <c r="J18" i="1"/>
  <c r="K18" i="1"/>
  <c r="G19" i="1"/>
  <c r="I19" i="1"/>
  <c r="J19" i="1"/>
  <c r="K19" i="1"/>
  <c r="G20" i="1"/>
  <c r="I20" i="1"/>
  <c r="J20" i="1"/>
  <c r="K20" i="1"/>
  <c r="G21" i="1"/>
  <c r="I21" i="1"/>
  <c r="J21" i="1"/>
  <c r="K21" i="1"/>
  <c r="G22" i="1"/>
  <c r="I22" i="1"/>
  <c r="J22" i="1"/>
  <c r="K22" i="1"/>
  <c r="E23" i="1"/>
  <c r="F23" i="1"/>
  <c r="G23" i="1"/>
  <c r="I23" i="1"/>
  <c r="J23" i="1"/>
  <c r="K23" i="1"/>
  <c r="K25" i="1"/>
  <c r="K26" i="1"/>
  <c r="K27" i="1"/>
  <c r="K2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000-000001000000}">
      <text>
        <r>
          <rPr>
            <sz val="10"/>
            <rFont val="Arial"/>
            <family val="2"/>
          </rPr>
          <t>BUSCAR ESTA INFOMAÇÃO DA NF E VER O QUE SIGNIFICA EM PLANILHA ANEXA. EX: 
000 – MERCADORIA NACIONAL TRIBUTAÇÃO INTEGRAL</t>
        </r>
      </text>
    </comment>
    <comment ref="H10" authorId="0" shapeId="0" xr:uid="{00000000-0006-0000-0000-000002000000}">
      <text>
        <r>
          <rPr>
            <sz val="10"/>
            <rFont val="Arial"/>
            <family val="2"/>
          </rPr>
          <t xml:space="preserve">BUSCAR ESTA INFORMAÇÃO NA LISTAGEM DO ANEXO I DO SEFAZ-RJ
</t>
        </r>
      </text>
    </comment>
  </commentList>
</comments>
</file>

<file path=xl/sharedStrings.xml><?xml version="1.0" encoding="utf-8"?>
<sst xmlns="http://schemas.openxmlformats.org/spreadsheetml/2006/main" count="50" uniqueCount="47">
  <si>
    <t xml:space="preserve">PLANILHA DE CALCULO DE SUBSTITUIÇÃO TRIBUTÁRIA </t>
  </si>
  <si>
    <t>ATENÇÃO: Verifique na nf de compra o “CST”, a classificação fiscal do produto. A guia de recolhimento do ICMS/ST paga no estado de origem deve estar em nome de sua empresa, caso haja. Conferir valores pagos. verificar com contador. A RESPONSABILIDADE POR ERROS SERÁ SEMPRE SUA.</t>
  </si>
  <si>
    <t>VALOR NF &gt;&gt;&gt;&gt;&gt;&gt;&gt;&gt;&gt;&gt;&gt;&gt;&gt;&gt;&gt;&gt;&gt;&gt;&gt;&gt;&gt;&gt;&gt;&gt;Rs</t>
  </si>
  <si>
    <t>ICMS CRED %</t>
  </si>
  <si>
    <t>ICMS CRED R$</t>
  </si>
  <si>
    <t>FRETE &gt;&gt;&gt;&gt;&gt;R$</t>
  </si>
  <si>
    <t>FRETE %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</si>
  <si>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</si>
  <si>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</si>
  <si>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</si>
  <si>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</si>
  <si>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</si>
  <si>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</si>
  <si>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</si>
  <si>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</si>
  <si>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</si>
  <si>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</si>
  <si>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</si>
  <si>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PRODUTO</t>
  </si>
  <si>
    <t>QTD</t>
  </si>
  <si>
    <t xml:space="preserve">R$/UN PRO- DUTO </t>
  </si>
  <si>
    <t>CST**</t>
  </si>
  <si>
    <t>FRETE</t>
  </si>
  <si>
    <t>IPI VALOR</t>
  </si>
  <si>
    <t xml:space="preserve">R$ /  TOTAL </t>
  </si>
  <si>
    <t>MVA *</t>
  </si>
  <si>
    <t>MVA R$</t>
  </si>
  <si>
    <t>BASE CALCULO SUBST TRIB</t>
  </si>
  <si>
    <t xml:space="preserve"> ICMS  / ST 18%</t>
  </si>
  <si>
    <t xml:space="preserve">     ENTRAR   COM   DADOS,   MANUALMENTE</t>
  </si>
  <si>
    <t>(C+E+F)*B</t>
  </si>
  <si>
    <t xml:space="preserve"> %</t>
  </si>
  <si>
    <t>G*H</t>
  </si>
  <si>
    <t>G+I</t>
  </si>
  <si>
    <t>J * 18%</t>
  </si>
  <si>
    <t>PRODUTO QUALQUER</t>
  </si>
  <si>
    <t>010</t>
  </si>
  <si>
    <t xml:space="preserve"> </t>
  </si>
  <si>
    <t>TOTAIS</t>
  </si>
  <si>
    <t>CREDITO DE ICMS SOBRE NOTA DE COMPRA  (subtrair do total do ICMS DA SUBST TRIBUTÁRIA)</t>
  </si>
  <si>
    <t>DEDUZIR</t>
  </si>
  <si>
    <t>FUNDO ESTADUAL DE  COMBATE A POBREZA 1%</t>
  </si>
  <si>
    <t xml:space="preserve">ICMS DA SUBSTITUIÇÃO TRIBUTÁRIA (a ser pago 3 dias após último dia da dezena da chegada da NF -13, 23 ou 03) </t>
  </si>
  <si>
    <t>TOTAL A PAGAR &gt;&gt;&gt;&gt;&gt;&gt;&gt;&gt;&gt;&gt;&gt;&gt;&gt;&gt;&gt;&gt;&gt;&gt;&gt;&gt;&gt;&gt;&gt;&gt;&gt;&gt;&gt;&gt;&gt;&gt;&gt;&gt;&gt;&gt;&gt;&gt;&gt;&gt;&gt;&gt;&gt;&gt;&gt;&gt;&gt;&gt;&gt;&gt;</t>
  </si>
  <si>
    <t xml:space="preserve">** CÓDIGO DA SITUAÇÃO TRIBUTÁRIA </t>
  </si>
  <si>
    <t>NOTA: A SUBST. TRIBUTÁRIA é uma antecipação do pagamento do ICMS sobre a venda, ao adquirir a mercadoria. Só gerará custo extra se você vender a mercadoria com margem menor que a estabelecida na lei que determina o MVA do produto.</t>
  </si>
  <si>
    <t>ACONSELHAMOS QUE SALVE ESTA PLANILHA EM UMA PASTA E FAÇA CÓPIA DELA PARA USO.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</si>
</sst>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;\-#,##0.00\ ;&quot; -&quot;#\ ;@\ "/>
  </numFmts>
  <fonts count="13" x14ac:knownFonts="1">
    <font>
      <sz val="10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0.5"/>
      <color indexed="8"/>
      <name val="Arial"/>
      <family val="2"/>
    </font>
    <font>
      <b/>
      <sz val="9"/>
      <color indexed="8"/>
      <name val="Arial"/>
      <family val="2"/>
    </font>
    <font>
      <sz val="10.5"/>
      <color indexed="8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2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5"/>
        <bgColor indexed="35"/>
      </patternFill>
    </fill>
    <fill>
      <patternFill patternType="solid">
        <fgColor indexed="11"/>
        <bgColor indexed="49"/>
      </patternFill>
    </fill>
    <fill>
      <patternFill patternType="solid">
        <fgColor indexed="47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22"/>
        <bgColor indexed="55"/>
      </patternFill>
    </fill>
    <fill>
      <patternFill patternType="solid">
        <fgColor indexed="52"/>
        <bgColor indexed="53"/>
      </patternFill>
    </fill>
  </fills>
  <borders count="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</borders>
  <cellStyleXfs count="2">
    <xf numFmtId="0" fontId="0" fillId="0" borderId="0"/>
    <xf numFmtId="164" fontId="10" fillId="0" borderId="0" applyFill="0" applyBorder="0" applyAlignment="0" applyProtection="0"/>
  </cellStyleXfs>
  <cellXfs count="64">
    <xf numFmtId="0" fontId="0" fillId="0" borderId="0" xfId="0"/>
    <xf numFmtId="0" fontId="0" fillId="0" borderId="0" xfId="0" applyFont="1" applyProtection="1">
      <protection locked="0"/>
    </xf>
    <xf numFmtId="0" fontId="2" fillId="0" borderId="0" xfId="0" applyFont="1" applyProtection="1">
      <protection locked="0"/>
    </xf>
    <xf numFmtId="10" fontId="3" fillId="0" borderId="0" xfId="0" applyNumberFormat="1" applyFont="1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164" fontId="0" fillId="0" borderId="2" xfId="0" applyNumberFormat="1" applyFont="1" applyBorder="1"/>
    <xf numFmtId="0" fontId="0" fillId="0" borderId="0" xfId="0" applyFont="1"/>
    <xf numFmtId="0" fontId="4" fillId="0" borderId="2" xfId="0" applyFont="1" applyBorder="1" applyAlignment="1" applyProtection="1">
      <alignment horizontal="center"/>
      <protection locked="0"/>
    </xf>
    <xf numFmtId="164" fontId="4" fillId="0" borderId="2" xfId="0" applyNumberFormat="1" applyFont="1" applyBorder="1" applyAlignment="1" applyProtection="1">
      <alignment horizontal="center"/>
      <protection locked="0"/>
    </xf>
    <xf numFmtId="10" fontId="4" fillId="0" borderId="2" xfId="0" applyNumberFormat="1" applyFont="1" applyBorder="1" applyAlignment="1" applyProtection="1">
      <alignment horizontal="center"/>
      <protection locked="0"/>
    </xf>
    <xf numFmtId="0" fontId="6" fillId="0" borderId="0" xfId="0" applyFont="1" applyAlignme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protection locked="0"/>
    </xf>
    <xf numFmtId="0" fontId="6" fillId="2" borderId="3" xfId="0" applyFont="1" applyFill="1" applyBorder="1" applyAlignment="1" applyProtection="1">
      <protection locked="0"/>
    </xf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6" fillId="2" borderId="4" xfId="0" applyFont="1" applyFill="1" applyBorder="1" applyAlignment="1" applyProtection="1">
      <alignment horizontal="center" vertical="center" textRotation="90" wrapText="1"/>
      <protection locked="0"/>
    </xf>
    <xf numFmtId="0" fontId="6" fillId="2" borderId="1" xfId="0" applyFont="1" applyFill="1" applyBorder="1" applyAlignment="1" applyProtection="1">
      <alignment horizontal="center" vertical="center" textRotation="90" wrapText="1"/>
      <protection locked="0"/>
    </xf>
    <xf numFmtId="0" fontId="6" fillId="3" borderId="1" xfId="0" applyFont="1" applyFill="1" applyBorder="1" applyAlignment="1" applyProtection="1">
      <alignment horizontal="center" vertical="center" textRotation="90" wrapText="1"/>
      <protection locked="0"/>
    </xf>
    <xf numFmtId="0" fontId="6" fillId="4" borderId="1" xfId="0" applyFont="1" applyFill="1" applyBorder="1" applyAlignment="1" applyProtection="1">
      <alignment horizontal="center" vertical="center" textRotation="90" wrapText="1"/>
      <protection locked="0"/>
    </xf>
    <xf numFmtId="0" fontId="5" fillId="5" borderId="1" xfId="0" applyFont="1" applyFill="1" applyBorder="1" applyAlignment="1" applyProtection="1">
      <alignment horizontal="center" vertical="center" textRotation="90" wrapText="1"/>
      <protection locked="0"/>
    </xf>
    <xf numFmtId="9" fontId="6" fillId="6" borderId="1" xfId="0" applyNumberFormat="1" applyFont="1" applyFill="1" applyBorder="1" applyAlignment="1" applyProtection="1">
      <alignment horizontal="center" vertical="center" textRotation="90" wrapText="1"/>
      <protection locked="0"/>
    </xf>
    <xf numFmtId="0" fontId="7" fillId="7" borderId="5" xfId="0" applyFont="1" applyFill="1" applyBorder="1" applyAlignment="1" applyProtection="1">
      <alignment vertical="center"/>
      <protection locked="0"/>
    </xf>
    <xf numFmtId="0" fontId="7" fillId="7" borderId="6" xfId="0" applyFont="1" applyFill="1" applyBorder="1" applyAlignment="1" applyProtection="1">
      <alignment horizontal="center" vertical="center"/>
      <protection locked="0"/>
    </xf>
    <xf numFmtId="0" fontId="7" fillId="7" borderId="4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center" wrapText="1"/>
    </xf>
    <xf numFmtId="0" fontId="7" fillId="4" borderId="1" xfId="0" applyFont="1" applyFill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 applyProtection="1">
      <alignment horizontal="center" vertical="center" wrapText="1"/>
    </xf>
    <xf numFmtId="0" fontId="7" fillId="5" borderId="1" xfId="0" applyFont="1" applyFill="1" applyBorder="1" applyAlignment="1" applyProtection="1">
      <alignment horizontal="center" vertical="center" wrapText="1"/>
    </xf>
    <xf numFmtId="9" fontId="7" fillId="6" borderId="1" xfId="0" applyNumberFormat="1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Protection="1">
      <protection locked="0"/>
    </xf>
    <xf numFmtId="0" fontId="9" fillId="2" borderId="2" xfId="0" applyFont="1" applyFill="1" applyBorder="1" applyProtection="1">
      <protection locked="0"/>
    </xf>
    <xf numFmtId="2" fontId="9" fillId="2" borderId="2" xfId="0" applyNumberFormat="1" applyFont="1" applyFill="1" applyBorder="1" applyProtection="1">
      <protection locked="0"/>
    </xf>
    <xf numFmtId="49" fontId="9" fillId="2" borderId="2" xfId="0" applyNumberFormat="1" applyFont="1" applyFill="1" applyBorder="1" applyAlignment="1" applyProtection="1">
      <alignment horizontal="center"/>
      <protection locked="0"/>
    </xf>
    <xf numFmtId="2" fontId="9" fillId="3" borderId="2" xfId="0" applyNumberFormat="1" applyFont="1" applyFill="1" applyBorder="1" applyProtection="1"/>
    <xf numFmtId="2" fontId="0" fillId="2" borderId="2" xfId="0" applyNumberFormat="1" applyFont="1" applyFill="1" applyBorder="1" applyAlignment="1" applyProtection="1">
      <alignment horizontal="center"/>
      <protection locked="0"/>
    </xf>
    <xf numFmtId="2" fontId="9" fillId="4" borderId="2" xfId="0" applyNumberFormat="1" applyFont="1" applyFill="1" applyBorder="1" applyProtection="1"/>
    <xf numFmtId="2" fontId="9" fillId="5" borderId="2" xfId="1" applyNumberFormat="1" applyFont="1" applyFill="1" applyBorder="1" applyAlignment="1" applyProtection="1"/>
    <xf numFmtId="2" fontId="9" fillId="6" borderId="2" xfId="0" applyNumberFormat="1" applyFont="1" applyFill="1" applyBorder="1" applyProtection="1"/>
    <xf numFmtId="2" fontId="9" fillId="2" borderId="2" xfId="0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Protection="1">
      <protection locked="0"/>
    </xf>
    <xf numFmtId="164" fontId="5" fillId="2" borderId="1" xfId="1" applyFont="1" applyFill="1" applyBorder="1" applyAlignment="1" applyProtection="1">
      <protection locked="0"/>
    </xf>
    <xf numFmtId="2" fontId="5" fillId="2" borderId="1" xfId="0" applyNumberFormat="1" applyFont="1" applyFill="1" applyBorder="1" applyProtection="1"/>
    <xf numFmtId="164" fontId="5" fillId="3" borderId="1" xfId="1" applyFont="1" applyFill="1" applyBorder="1" applyAlignment="1" applyProtection="1"/>
    <xf numFmtId="2" fontId="5" fillId="4" borderId="1" xfId="0" applyNumberFormat="1" applyFont="1" applyFill="1" applyBorder="1" applyProtection="1">
      <protection locked="0"/>
    </xf>
    <xf numFmtId="2" fontId="5" fillId="4" borderId="1" xfId="0" applyNumberFormat="1" applyFont="1" applyFill="1" applyBorder="1" applyProtection="1"/>
    <xf numFmtId="2" fontId="5" fillId="5" borderId="1" xfId="0" applyNumberFormat="1" applyFont="1" applyFill="1" applyBorder="1" applyProtection="1"/>
    <xf numFmtId="2" fontId="5" fillId="6" borderId="1" xfId="0" applyNumberFormat="1" applyFont="1" applyFill="1" applyBorder="1" applyProtection="1"/>
    <xf numFmtId="0" fontId="5" fillId="2" borderId="7" xfId="0" applyFont="1" applyFill="1" applyBorder="1" applyProtection="1">
      <protection locked="0"/>
    </xf>
    <xf numFmtId="164" fontId="5" fillId="2" borderId="7" xfId="1" applyFont="1" applyFill="1" applyBorder="1" applyAlignment="1" applyProtection="1">
      <protection locked="0"/>
    </xf>
    <xf numFmtId="2" fontId="5" fillId="2" borderId="7" xfId="0" applyNumberFormat="1" applyFont="1" applyFill="1" applyBorder="1" applyProtection="1">
      <protection locked="0"/>
    </xf>
    <xf numFmtId="0" fontId="0" fillId="2" borderId="0" xfId="0" applyFont="1" applyFill="1" applyProtection="1">
      <protection locked="0"/>
    </xf>
    <xf numFmtId="0" fontId="4" fillId="0" borderId="0" xfId="0" applyFont="1" applyProtection="1"/>
    <xf numFmtId="2" fontId="2" fillId="0" borderId="2" xfId="0" applyNumberFormat="1" applyFont="1" applyBorder="1" applyProtection="1"/>
    <xf numFmtId="0" fontId="2" fillId="8" borderId="0" xfId="0" applyFont="1" applyFill="1" applyProtection="1">
      <protection locked="0"/>
    </xf>
    <xf numFmtId="0" fontId="11" fillId="8" borderId="2" xfId="0" applyFont="1" applyFill="1" applyBorder="1" applyAlignment="1" applyProtection="1">
      <alignment horizontal="right"/>
      <protection locked="0"/>
    </xf>
    <xf numFmtId="0" fontId="0" fillId="0" borderId="0" xfId="0" applyFont="1" applyProtection="1"/>
    <xf numFmtId="0" fontId="12" fillId="0" borderId="0" xfId="0" applyFont="1" applyProtection="1">
      <protection locked="0"/>
    </xf>
    <xf numFmtId="0" fontId="0" fillId="0" borderId="0" xfId="0" applyFont="1" applyAlignment="1" applyProtection="1">
      <alignment wrapText="1"/>
      <protection locked="0"/>
    </xf>
    <xf numFmtId="0" fontId="1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justify" vertical="center" wrapText="1"/>
    </xf>
    <xf numFmtId="0" fontId="5" fillId="0" borderId="2" xfId="0" applyFont="1" applyBorder="1" applyAlignment="1" applyProtection="1">
      <alignment horizontal="left"/>
      <protection locked="0"/>
    </xf>
    <xf numFmtId="10" fontId="5" fillId="0" borderId="2" xfId="0" applyNumberFormat="1" applyFont="1" applyBorder="1" applyAlignment="1" applyProtection="1">
      <alignment horizontal="left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3B3B3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50E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A1A1A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 xr3:uid="{AEA406A1-0E4B-5B11-9CD5-51D6E497D94C}">
      <selection activeCell="A20" sqref="A20"/>
    </sheetView>
  </sheetViews>
  <sheetFormatPr defaultColWidth="11.0546875" defaultRowHeight="12.75" x14ac:dyDescent="0.15"/>
  <cols>
    <col min="1" max="1" width="36.41015625" style="1" customWidth="1"/>
    <col min="2" max="2" width="4.44921875" style="1" customWidth="1"/>
    <col min="3" max="3" width="8.62890625" style="1" customWidth="1"/>
    <col min="4" max="4" width="6.203125" style="1" customWidth="1"/>
    <col min="5" max="5" width="7.4140625" style="1" customWidth="1"/>
    <col min="6" max="6" width="7.953125" style="1" customWidth="1"/>
    <col min="7" max="7" width="8.8984375" style="1" customWidth="1"/>
    <col min="8" max="8" width="9.70703125" style="1" customWidth="1"/>
    <col min="9" max="9" width="9.57421875" style="1" customWidth="1"/>
    <col min="10" max="10" width="10.515625" style="1" customWidth="1"/>
    <col min="11" max="11" width="11.4609375" style="1" customWidth="1"/>
    <col min="12" max="253" width="10.78515625" style="1" customWidth="1"/>
    <col min="254" max="16384" width="11.0546875" style="1"/>
  </cols>
  <sheetData>
    <row r="1" spans="1:11" ht="20.100000000000001" customHeight="1" x14ac:dyDescent="0.2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ht="12.6" customHeight="1" x14ac:dyDescent="0.15">
      <c r="A2" s="2"/>
      <c r="C2" s="3"/>
      <c r="D2" s="2"/>
      <c r="E2" s="2"/>
      <c r="F2" s="4"/>
      <c r="G2" s="4"/>
      <c r="H2" s="4"/>
      <c r="I2" s="4"/>
      <c r="J2" s="4"/>
      <c r="K2" s="2"/>
    </row>
    <row r="3" spans="1:11" ht="18.600000000000001" customHeight="1" x14ac:dyDescent="0.15">
      <c r="A3" s="61" t="s">
        <v>1</v>
      </c>
      <c r="B3" s="61"/>
      <c r="C3" s="61"/>
      <c r="D3" s="61"/>
      <c r="E3" s="61"/>
      <c r="F3" s="61"/>
      <c r="G3" s="61"/>
      <c r="H3" s="61"/>
      <c r="I3" s="61"/>
      <c r="J3" s="61"/>
      <c r="K3" s="61"/>
    </row>
    <row r="4" spans="1:11" ht="18.600000000000001" customHeight="1" x14ac:dyDescent="0.15">
      <c r="A4" s="61"/>
      <c r="B4" s="61"/>
      <c r="C4" s="61"/>
      <c r="D4" s="61"/>
      <c r="E4" s="61"/>
      <c r="F4" s="61"/>
      <c r="G4" s="61"/>
      <c r="H4" s="61"/>
      <c r="I4" s="61"/>
      <c r="J4" s="61"/>
      <c r="K4" s="61"/>
    </row>
    <row r="5" spans="1:11" ht="12.6" customHeight="1" x14ac:dyDescent="0.15">
      <c r="A5" s="5"/>
      <c r="C5" s="3"/>
      <c r="D5" s="2"/>
      <c r="E5" s="2"/>
      <c r="F5" s="4"/>
      <c r="G5" s="4"/>
      <c r="H5" s="4"/>
      <c r="I5" s="4"/>
      <c r="J5" s="4"/>
      <c r="K5" s="2"/>
    </row>
    <row r="6" spans="1:11" ht="17.100000000000001" customHeight="1" x14ac:dyDescent="0.15">
      <c r="A6" s="62" t="s">
        <v>2</v>
      </c>
      <c r="B6" s="62"/>
      <c r="C6" s="6">
        <v>500</v>
      </c>
      <c r="D6" s="7"/>
      <c r="E6" s="63" t="s">
        <v>3</v>
      </c>
      <c r="F6" s="63"/>
      <c r="G6" s="8">
        <v>12</v>
      </c>
      <c r="H6"/>
      <c r="I6" s="63" t="s">
        <v>4</v>
      </c>
      <c r="J6" s="63"/>
      <c r="K6" s="9">
        <f>G6*C6/100</f>
        <v>60</v>
      </c>
    </row>
    <row r="7" spans="1:11" ht="17.100000000000001" customHeight="1" x14ac:dyDescent="0.15">
      <c r="A7" s="5"/>
      <c r="C7" s="7"/>
      <c r="D7" s="7"/>
      <c r="E7" s="63" t="s">
        <v>5</v>
      </c>
      <c r="F7" s="63"/>
      <c r="G7" s="8">
        <v>0</v>
      </c>
      <c r="H7"/>
      <c r="I7" s="63" t="s">
        <v>6</v>
      </c>
      <c r="J7" s="63"/>
      <c r="K7" s="10">
        <v>0</v>
      </c>
    </row>
    <row r="8" spans="1:11" ht="11.85" customHeight="1" x14ac:dyDescent="0.15">
      <c r="A8" s="2"/>
      <c r="B8" s="4"/>
      <c r="C8" s="11"/>
      <c r="D8" s="11"/>
      <c r="E8" s="11"/>
      <c r="F8" s="11"/>
      <c r="G8" s="11"/>
      <c r="H8" s="12"/>
      <c r="I8" s="12"/>
      <c r="J8" s="4"/>
      <c r="K8" s="2"/>
    </row>
    <row r="9" spans="1:11" ht="17.100000000000001" customHeight="1" x14ac:dyDescent="0.15">
      <c r="A9" s="13" t="s">
        <v>7</v>
      </c>
      <c r="B9" s="14" t="s">
        <v>8</v>
      </c>
      <c r="C9" s="15" t="s">
        <v>9</v>
      </c>
      <c r="D9" s="15" t="s">
        <v>10</v>
      </c>
      <c r="E9" s="15" t="s">
        <v>11</v>
      </c>
      <c r="F9" s="15" t="s">
        <v>12</v>
      </c>
      <c r="G9" s="15" t="s">
        <v>13</v>
      </c>
      <c r="H9" s="15" t="s">
        <v>14</v>
      </c>
      <c r="I9" s="15" t="s">
        <v>15</v>
      </c>
      <c r="J9" s="15" t="s">
        <v>16</v>
      </c>
      <c r="K9" s="15" t="s">
        <v>17</v>
      </c>
    </row>
    <row r="10" spans="1:11" ht="74.650000000000006" customHeight="1" x14ac:dyDescent="0.15">
      <c r="A10" s="16" t="s">
        <v>18</v>
      </c>
      <c r="B10" s="17" t="s">
        <v>19</v>
      </c>
      <c r="C10" s="17" t="s">
        <v>20</v>
      </c>
      <c r="D10" s="17" t="s">
        <v>21</v>
      </c>
      <c r="E10" s="17" t="s">
        <v>22</v>
      </c>
      <c r="F10" s="18" t="s">
        <v>23</v>
      </c>
      <c r="G10" s="19" t="s">
        <v>24</v>
      </c>
      <c r="H10" s="20" t="s">
        <v>25</v>
      </c>
      <c r="I10" s="20" t="s">
        <v>26</v>
      </c>
      <c r="J10" s="21" t="s">
        <v>27</v>
      </c>
      <c r="K10" s="22" t="s">
        <v>28</v>
      </c>
    </row>
    <row r="11" spans="1:11" ht="22.35" customHeight="1" x14ac:dyDescent="0.15">
      <c r="A11" s="23" t="s">
        <v>29</v>
      </c>
      <c r="B11" s="24"/>
      <c r="C11" s="24"/>
      <c r="D11" s="24"/>
      <c r="E11" s="24"/>
      <c r="F11" s="25"/>
      <c r="G11" s="26" t="s">
        <v>30</v>
      </c>
      <c r="H11" s="27" t="s">
        <v>31</v>
      </c>
      <c r="I11" s="28" t="s">
        <v>32</v>
      </c>
      <c r="J11" s="29" t="s">
        <v>33</v>
      </c>
      <c r="K11" s="30" t="s">
        <v>34</v>
      </c>
    </row>
    <row r="12" spans="1:11" ht="13.5" x14ac:dyDescent="0.15">
      <c r="A12" s="31" t="s">
        <v>35</v>
      </c>
      <c r="B12" s="32">
        <v>1</v>
      </c>
      <c r="C12" s="33">
        <v>500</v>
      </c>
      <c r="D12" s="34" t="s">
        <v>36</v>
      </c>
      <c r="E12" s="33">
        <v>0</v>
      </c>
      <c r="F12" s="33">
        <v>0</v>
      </c>
      <c r="G12" s="35">
        <f t="shared" ref="G12:G22" si="0">(C12+E12+F12)*B12</f>
        <v>500</v>
      </c>
      <c r="H12" s="36">
        <v>59.93</v>
      </c>
      <c r="I12" s="37">
        <f t="shared" ref="I12:I22" si="1">(G12*H12)/100</f>
        <v>299.64999999999998</v>
      </c>
      <c r="J12" s="38">
        <f t="shared" ref="J12:J22" si="2">SUM(G12+I12)</f>
        <v>799.65</v>
      </c>
      <c r="K12" s="39">
        <f t="shared" ref="K12:K22" si="3">(J12*0.18)</f>
        <v>143.93699999999998</v>
      </c>
    </row>
    <row r="13" spans="1:11" ht="13.5" x14ac:dyDescent="0.15">
      <c r="A13" s="32" t="s">
        <v>37</v>
      </c>
      <c r="B13" s="32">
        <v>0</v>
      </c>
      <c r="C13" s="33">
        <v>0</v>
      </c>
      <c r="D13" s="34" t="s">
        <v>37</v>
      </c>
      <c r="E13" s="33">
        <v>0</v>
      </c>
      <c r="F13" s="33">
        <v>0</v>
      </c>
      <c r="G13" s="35">
        <f t="shared" si="0"/>
        <v>0</v>
      </c>
      <c r="H13" s="40">
        <v>0.59930000000000005</v>
      </c>
      <c r="I13" s="37">
        <f t="shared" si="1"/>
        <v>0</v>
      </c>
      <c r="J13" s="38">
        <f t="shared" si="2"/>
        <v>0</v>
      </c>
      <c r="K13" s="39">
        <f t="shared" si="3"/>
        <v>0</v>
      </c>
    </row>
    <row r="14" spans="1:11" ht="13.5" x14ac:dyDescent="0.15">
      <c r="A14" s="32" t="s">
        <v>37</v>
      </c>
      <c r="B14" s="32">
        <v>0</v>
      </c>
      <c r="C14" s="33">
        <v>0</v>
      </c>
      <c r="D14" s="34" t="s">
        <v>37</v>
      </c>
      <c r="E14" s="33">
        <v>0</v>
      </c>
      <c r="F14" s="33">
        <v>0</v>
      </c>
      <c r="G14" s="35">
        <f t="shared" si="0"/>
        <v>0</v>
      </c>
      <c r="H14" s="40">
        <v>0.59930000000000005</v>
      </c>
      <c r="I14" s="37">
        <f t="shared" si="1"/>
        <v>0</v>
      </c>
      <c r="J14" s="38">
        <f t="shared" si="2"/>
        <v>0</v>
      </c>
      <c r="K14" s="39">
        <f t="shared" si="3"/>
        <v>0</v>
      </c>
    </row>
    <row r="15" spans="1:11" ht="13.5" x14ac:dyDescent="0.15">
      <c r="A15" s="32"/>
      <c r="B15" s="32"/>
      <c r="C15" s="33">
        <v>0</v>
      </c>
      <c r="D15" s="34"/>
      <c r="E15" s="33">
        <v>0</v>
      </c>
      <c r="F15" s="33">
        <v>0</v>
      </c>
      <c r="G15" s="35">
        <f t="shared" si="0"/>
        <v>0</v>
      </c>
      <c r="H15" s="40">
        <v>0</v>
      </c>
      <c r="I15" s="37">
        <f t="shared" si="1"/>
        <v>0</v>
      </c>
      <c r="J15" s="38">
        <f t="shared" si="2"/>
        <v>0</v>
      </c>
      <c r="K15" s="39">
        <f t="shared" si="3"/>
        <v>0</v>
      </c>
    </row>
    <row r="16" spans="1:11" ht="13.5" x14ac:dyDescent="0.15">
      <c r="A16" s="32"/>
      <c r="B16" s="32"/>
      <c r="C16" s="33">
        <v>0</v>
      </c>
      <c r="D16" s="34"/>
      <c r="E16" s="33">
        <v>0</v>
      </c>
      <c r="F16" s="33">
        <v>0</v>
      </c>
      <c r="G16" s="35">
        <f t="shared" si="0"/>
        <v>0</v>
      </c>
      <c r="H16" s="40">
        <v>0</v>
      </c>
      <c r="I16" s="37">
        <f t="shared" si="1"/>
        <v>0</v>
      </c>
      <c r="J16" s="38">
        <f t="shared" si="2"/>
        <v>0</v>
      </c>
      <c r="K16" s="39">
        <f t="shared" si="3"/>
        <v>0</v>
      </c>
    </row>
    <row r="17" spans="1:12" ht="13.5" x14ac:dyDescent="0.15">
      <c r="A17" s="32"/>
      <c r="B17" s="32"/>
      <c r="C17" s="33">
        <v>0</v>
      </c>
      <c r="D17" s="34"/>
      <c r="E17" s="33">
        <v>0</v>
      </c>
      <c r="F17" s="33">
        <v>0</v>
      </c>
      <c r="G17" s="35">
        <f t="shared" si="0"/>
        <v>0</v>
      </c>
      <c r="H17" s="40">
        <v>0</v>
      </c>
      <c r="I17" s="37">
        <f t="shared" si="1"/>
        <v>0</v>
      </c>
      <c r="J17" s="38">
        <f t="shared" si="2"/>
        <v>0</v>
      </c>
      <c r="K17" s="39">
        <f t="shared" si="3"/>
        <v>0</v>
      </c>
    </row>
    <row r="18" spans="1:12" ht="13.5" x14ac:dyDescent="0.15">
      <c r="A18" s="32"/>
      <c r="B18" s="32"/>
      <c r="C18" s="33">
        <v>0</v>
      </c>
      <c r="D18" s="34"/>
      <c r="E18" s="33">
        <v>0</v>
      </c>
      <c r="F18" s="33">
        <v>0</v>
      </c>
      <c r="G18" s="35">
        <f t="shared" si="0"/>
        <v>0</v>
      </c>
      <c r="H18" s="40">
        <v>0</v>
      </c>
      <c r="I18" s="37">
        <f t="shared" si="1"/>
        <v>0</v>
      </c>
      <c r="J18" s="38">
        <f t="shared" si="2"/>
        <v>0</v>
      </c>
      <c r="K18" s="39">
        <f t="shared" si="3"/>
        <v>0</v>
      </c>
    </row>
    <row r="19" spans="1:12" ht="13.5" x14ac:dyDescent="0.15">
      <c r="A19" s="32"/>
      <c r="B19" s="32"/>
      <c r="C19" s="33">
        <v>0</v>
      </c>
      <c r="D19" s="34"/>
      <c r="E19" s="33">
        <v>0</v>
      </c>
      <c r="F19" s="33">
        <v>0</v>
      </c>
      <c r="G19" s="35">
        <f t="shared" si="0"/>
        <v>0</v>
      </c>
      <c r="H19" s="40">
        <v>0</v>
      </c>
      <c r="I19" s="37">
        <f t="shared" si="1"/>
        <v>0</v>
      </c>
      <c r="J19" s="38">
        <f t="shared" si="2"/>
        <v>0</v>
      </c>
      <c r="K19" s="39">
        <f t="shared" si="3"/>
        <v>0</v>
      </c>
    </row>
    <row r="20" spans="1:12" ht="13.5" x14ac:dyDescent="0.15">
      <c r="A20" s="32"/>
      <c r="B20" s="32"/>
      <c r="C20" s="33">
        <v>0</v>
      </c>
      <c r="D20" s="34"/>
      <c r="E20" s="33">
        <v>0</v>
      </c>
      <c r="F20" s="33">
        <v>0</v>
      </c>
      <c r="G20" s="35">
        <f t="shared" si="0"/>
        <v>0</v>
      </c>
      <c r="H20" s="40">
        <v>0</v>
      </c>
      <c r="I20" s="37">
        <f t="shared" si="1"/>
        <v>0</v>
      </c>
      <c r="J20" s="38">
        <f t="shared" si="2"/>
        <v>0</v>
      </c>
      <c r="K20" s="39">
        <f t="shared" si="3"/>
        <v>0</v>
      </c>
    </row>
    <row r="21" spans="1:12" ht="13.5" x14ac:dyDescent="0.15">
      <c r="A21" s="32"/>
      <c r="B21" s="32"/>
      <c r="C21" s="33">
        <v>0</v>
      </c>
      <c r="D21" s="34"/>
      <c r="E21" s="33">
        <v>0</v>
      </c>
      <c r="F21" s="33">
        <v>0</v>
      </c>
      <c r="G21" s="35">
        <f t="shared" si="0"/>
        <v>0</v>
      </c>
      <c r="H21" s="40">
        <v>0</v>
      </c>
      <c r="I21" s="37">
        <f t="shared" si="1"/>
        <v>0</v>
      </c>
      <c r="J21" s="38">
        <f t="shared" si="2"/>
        <v>0</v>
      </c>
      <c r="K21" s="39">
        <f t="shared" si="3"/>
        <v>0</v>
      </c>
    </row>
    <row r="22" spans="1:12" ht="13.5" x14ac:dyDescent="0.15">
      <c r="A22" s="32"/>
      <c r="B22" s="32"/>
      <c r="C22" s="33">
        <v>0</v>
      </c>
      <c r="D22" s="34"/>
      <c r="E22" s="33">
        <v>0</v>
      </c>
      <c r="F22" s="33">
        <v>0</v>
      </c>
      <c r="G22" s="35">
        <f t="shared" si="0"/>
        <v>0</v>
      </c>
      <c r="H22" s="40">
        <v>0</v>
      </c>
      <c r="I22" s="37">
        <f t="shared" si="1"/>
        <v>0</v>
      </c>
      <c r="J22" s="38">
        <f t="shared" si="2"/>
        <v>0</v>
      </c>
      <c r="K22" s="39">
        <f t="shared" si="3"/>
        <v>0</v>
      </c>
    </row>
    <row r="23" spans="1:12" x14ac:dyDescent="0.15">
      <c r="A23" s="41" t="s">
        <v>38</v>
      </c>
      <c r="B23" s="41"/>
      <c r="C23" s="42"/>
      <c r="D23" s="42"/>
      <c r="E23" s="43">
        <f>SUM(E12:E22)</f>
        <v>0</v>
      </c>
      <c r="F23" s="43">
        <f>SUM(F12:F22)</f>
        <v>0</v>
      </c>
      <c r="G23" s="44">
        <f>SUM(G12:G22)</f>
        <v>500</v>
      </c>
      <c r="H23" s="45"/>
      <c r="I23" s="46">
        <f>SUM(I12:I22)</f>
        <v>299.64999999999998</v>
      </c>
      <c r="J23" s="47">
        <f>SUM(J12:J22)</f>
        <v>799.65</v>
      </c>
      <c r="K23" s="48">
        <f>SUM(K12:K22)</f>
        <v>143.93699999999998</v>
      </c>
    </row>
    <row r="24" spans="1:12" s="52" customFormat="1" ht="7.5" customHeight="1" x14ac:dyDescent="0.15">
      <c r="A24" s="49"/>
      <c r="B24" s="49"/>
      <c r="C24" s="50"/>
      <c r="D24" s="50"/>
      <c r="E24" s="50"/>
      <c r="F24" s="51"/>
      <c r="G24" s="50"/>
      <c r="H24" s="51"/>
      <c r="I24" s="51"/>
      <c r="J24" s="51"/>
      <c r="K24" s="51"/>
    </row>
    <row r="25" spans="1:12" ht="14.25" x14ac:dyDescent="0.15">
      <c r="A25" s="53" t="s">
        <v>39</v>
      </c>
      <c r="B25" s="2"/>
      <c r="C25" s="2"/>
      <c r="D25" s="2"/>
      <c r="E25" s="2"/>
      <c r="F25" s="2"/>
      <c r="G25" s="2"/>
      <c r="H25" s="2"/>
      <c r="I25" s="2"/>
      <c r="J25" s="2" t="s">
        <v>40</v>
      </c>
      <c r="K25" s="54">
        <f>K6</f>
        <v>60</v>
      </c>
    </row>
    <row r="26" spans="1:12" ht="14.25" x14ac:dyDescent="0.15">
      <c r="A26" s="53" t="s">
        <v>41</v>
      </c>
      <c r="B26" s="2"/>
      <c r="C26" s="2"/>
      <c r="D26" s="2"/>
      <c r="E26" s="2"/>
      <c r="F26" s="2"/>
      <c r="G26" s="2"/>
      <c r="H26" s="2"/>
      <c r="I26" s="2"/>
      <c r="J26" s="2"/>
      <c r="K26" s="54">
        <f>G23*0.01</f>
        <v>5</v>
      </c>
      <c r="L26"/>
    </row>
    <row r="27" spans="1:12" ht="18.600000000000001" customHeight="1" x14ac:dyDescent="0.15">
      <c r="A27" s="53" t="s">
        <v>42</v>
      </c>
      <c r="B27" s="2"/>
      <c r="C27" s="2"/>
      <c r="D27" s="2"/>
      <c r="E27" s="2"/>
      <c r="F27" s="2"/>
      <c r="G27" s="2"/>
      <c r="H27" s="2"/>
      <c r="I27" s="2"/>
      <c r="J27" s="2"/>
      <c r="K27" s="54">
        <f>SUM(K23-K25+K26)</f>
        <v>88.936999999999983</v>
      </c>
      <c r="L27"/>
    </row>
    <row r="28" spans="1:12" ht="16.350000000000001" customHeight="1" x14ac:dyDescent="0.15">
      <c r="A28" s="55" t="s">
        <v>43</v>
      </c>
      <c r="B28" s="55"/>
      <c r="C28" s="55"/>
      <c r="D28" s="55"/>
      <c r="E28" s="55"/>
      <c r="F28" s="55"/>
      <c r="G28" s="55"/>
      <c r="H28" s="55"/>
      <c r="I28" s="55"/>
      <c r="J28" s="55"/>
      <c r="K28" s="56">
        <f>K26+K27</f>
        <v>93.936999999999983</v>
      </c>
    </row>
    <row r="29" spans="1:12" x14ac:dyDescent="0.15">
      <c r="A29" s="57" t="s">
        <v>44</v>
      </c>
    </row>
    <row r="30" spans="1:12" ht="23.1" customHeight="1" x14ac:dyDescent="0.15">
      <c r="A30" s="59" t="s">
        <v>45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</row>
    <row r="31" spans="1:12" ht="14.25" x14ac:dyDescent="0.15">
      <c r="A31" s="58" t="s">
        <v>46</v>
      </c>
    </row>
  </sheetData>
  <mergeCells count="8">
    <mergeCell ref="A30:K30"/>
    <mergeCell ref="A1:K1"/>
    <mergeCell ref="A3:K4"/>
    <mergeCell ref="A6:B6"/>
    <mergeCell ref="E6:F6"/>
    <mergeCell ref="I6:J6"/>
    <mergeCell ref="E7:F7"/>
    <mergeCell ref="I7:J7"/>
  </mergeCells>
  <pageMargins left="0.47222222222222221" right="0.39374999999999999" top="0.39374999999999999" bottom="0.39374999999999999" header="0.51180555555555551" footer="0.51180555555555551"/>
  <pageSetup paperSize="9" orientation="landscape" useFirstPageNumber="1" horizontalDpi="300" verticalDpi="300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 xr3:uid="{958C4451-9541-5A59-BF78-D2F731DF1C81}"/>
  </sheetViews>
  <sheetFormatPr defaultColWidth="11.59375" defaultRowHeight="12.75" x14ac:dyDescent="0.15"/>
  <sheetData/>
  <pageMargins left="0.47222222222222221" right="0.39374999999999999" top="0.51180555555555551" bottom="0.47222222222222221" header="0.51180555555555551" footer="0.51180555555555551"/>
  <pageSetup paperSize="9" firstPageNumber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 xr3:uid="{842E5F09-E766-5B8D-85AF-A39847EA96FD}"/>
  </sheetViews>
  <sheetFormatPr defaultColWidth="11.59375" defaultRowHeight="12.75" x14ac:dyDescent="0.15"/>
  <sheetData/>
  <pageMargins left="0.47222222222222221" right="0.39374999999999999" top="0.51180555555555551" bottom="0.47222222222222221" header="0.51180555555555551" footer="0.51180555555555551"/>
  <pageSetup paperSize="9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tivi</dc:creator>
  <cp:lastModifiedBy>X</cp:lastModifiedBy>
  <dcterms:created xsi:type="dcterms:W3CDTF">2018-09-21T09:15:15Z</dcterms:created>
  <dcterms:modified xsi:type="dcterms:W3CDTF">2018-09-21T09:15:15Z</dcterms:modified>
</cp:coreProperties>
</file>