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270" windowWidth="19155" windowHeight="7845" tabRatio="882"/>
  </bookViews>
  <sheets>
    <sheet name="Início" sheetId="1" r:id="rId1"/>
    <sheet name="Inventário" sheetId="14" r:id="rId2"/>
    <sheet name="Entradas e Saídas" sheetId="8" r:id="rId3"/>
    <sheet name="Controle" sheetId="11" r:id="rId4"/>
    <sheet name="Panorama" sheetId="16" r:id="rId5"/>
  </sheets>
  <calcPr calcId="145621"/>
</workbook>
</file>

<file path=xl/calcChain.xml><?xml version="1.0" encoding="utf-8"?>
<calcChain xmlns="http://schemas.openxmlformats.org/spreadsheetml/2006/main">
  <c r="B8" i="11" l="1"/>
  <c r="C8" i="11" s="1"/>
  <c r="K8" i="11" s="1"/>
  <c r="B9" i="11"/>
  <c r="C9" i="11" s="1"/>
  <c r="K9" i="11"/>
  <c r="B10" i="11"/>
  <c r="C10" i="11" s="1"/>
  <c r="K10" i="11" s="1"/>
  <c r="B11" i="11"/>
  <c r="C11" i="11" s="1"/>
  <c r="K11" i="11" s="1"/>
  <c r="B12" i="11"/>
  <c r="C12" i="11" s="1"/>
  <c r="K12" i="11" s="1"/>
  <c r="B13" i="11"/>
  <c r="C13" i="11" s="1"/>
  <c r="K13" i="11" s="1"/>
  <c r="B14" i="11"/>
  <c r="C14" i="11" s="1"/>
  <c r="K14" i="11" s="1"/>
  <c r="B15" i="11"/>
  <c r="C15" i="11" s="1"/>
  <c r="K15" i="11" s="1"/>
  <c r="B16" i="11"/>
  <c r="C16" i="11" s="1"/>
  <c r="K16" i="11" s="1"/>
  <c r="B17" i="11"/>
  <c r="C17" i="11" s="1"/>
  <c r="K17" i="11"/>
  <c r="B18" i="11"/>
  <c r="C18" i="11" s="1"/>
  <c r="K18" i="11" s="1"/>
  <c r="B19" i="11"/>
  <c r="C19" i="11" s="1"/>
  <c r="K19" i="11" s="1"/>
  <c r="B20" i="11"/>
  <c r="C20" i="11" s="1"/>
  <c r="K20" i="11" s="1"/>
  <c r="B21" i="11"/>
  <c r="C21" i="11" s="1"/>
  <c r="K21" i="11" s="1"/>
  <c r="B22" i="11"/>
  <c r="C22" i="11" s="1"/>
  <c r="K22" i="11" s="1"/>
  <c r="B23" i="11"/>
  <c r="C23" i="11" s="1"/>
  <c r="K23" i="11" s="1"/>
  <c r="B24" i="11"/>
  <c r="C24" i="11" s="1"/>
  <c r="K24" i="11" s="1"/>
  <c r="B25" i="11"/>
  <c r="C25" i="11" s="1"/>
  <c r="K25" i="11"/>
  <c r="B26" i="11"/>
  <c r="C26" i="11" s="1"/>
  <c r="K26" i="11" s="1"/>
  <c r="B27" i="11"/>
  <c r="C27" i="11" s="1"/>
  <c r="K27" i="11" s="1"/>
  <c r="B28" i="11"/>
  <c r="C28" i="11" s="1"/>
  <c r="K28" i="11" s="1"/>
  <c r="B29" i="11"/>
  <c r="C29" i="11" s="1"/>
  <c r="K29" i="11" s="1"/>
  <c r="B30" i="11"/>
  <c r="C30" i="11" s="1"/>
  <c r="K30" i="11" s="1"/>
  <c r="B31" i="11"/>
  <c r="C31" i="11" s="1"/>
  <c r="K31" i="11" s="1"/>
  <c r="B32" i="11"/>
  <c r="C32" i="11" s="1"/>
  <c r="K32" i="11" s="1"/>
  <c r="B33" i="11"/>
  <c r="C33" i="11" s="1"/>
  <c r="K33" i="11"/>
  <c r="B34" i="11"/>
  <c r="C34" i="11" s="1"/>
  <c r="K34" i="11" s="1"/>
  <c r="B35" i="11"/>
  <c r="C35" i="11" s="1"/>
  <c r="K35" i="11" s="1"/>
  <c r="B36" i="11"/>
  <c r="C36" i="11" s="1"/>
  <c r="K36" i="11" s="1"/>
  <c r="B37" i="11"/>
  <c r="C37" i="11" s="1"/>
  <c r="K37" i="11" s="1"/>
  <c r="B38" i="11"/>
  <c r="C38" i="11" s="1"/>
  <c r="K38" i="11" s="1"/>
  <c r="B39" i="11"/>
  <c r="C39" i="11" s="1"/>
  <c r="K39" i="11" s="1"/>
  <c r="B40" i="11"/>
  <c r="C40" i="11" s="1"/>
  <c r="K40" i="11" s="1"/>
  <c r="B41" i="11"/>
  <c r="C41" i="11" s="1"/>
  <c r="K41" i="11"/>
  <c r="B42" i="11"/>
  <c r="C42" i="11" s="1"/>
  <c r="K42" i="11" s="1"/>
  <c r="B43" i="11"/>
  <c r="C43" i="11" s="1"/>
  <c r="K43" i="11" s="1"/>
  <c r="B44" i="11"/>
  <c r="C44" i="11" s="1"/>
  <c r="K44" i="11" s="1"/>
  <c r="B45" i="11"/>
  <c r="C45" i="11" s="1"/>
  <c r="K45" i="11" s="1"/>
  <c r="B46" i="11"/>
  <c r="C46" i="11" s="1"/>
  <c r="K46" i="11" s="1"/>
  <c r="B47" i="11"/>
  <c r="C47" i="11" s="1"/>
  <c r="K47" i="11" s="1"/>
  <c r="B48" i="11"/>
  <c r="C48" i="11" s="1"/>
  <c r="K48" i="11" s="1"/>
  <c r="B49" i="11"/>
  <c r="C49" i="11" s="1"/>
  <c r="K49" i="11"/>
  <c r="B50" i="11"/>
  <c r="C50" i="11" s="1"/>
  <c r="K50" i="11" s="1"/>
  <c r="B51" i="11"/>
  <c r="C51" i="11" s="1"/>
  <c r="K51" i="11" s="1"/>
  <c r="B52" i="11"/>
  <c r="C52" i="11" s="1"/>
  <c r="K52" i="11" s="1"/>
  <c r="B53" i="11"/>
  <c r="C53" i="11" s="1"/>
  <c r="K53" i="11" s="1"/>
  <c r="B54" i="11"/>
  <c r="C54" i="11" s="1"/>
  <c r="K54" i="11" s="1"/>
  <c r="B55" i="11"/>
  <c r="C55" i="11" s="1"/>
  <c r="K55" i="11" s="1"/>
  <c r="B56" i="11"/>
  <c r="C56" i="11" s="1"/>
  <c r="K56" i="11" s="1"/>
  <c r="B57" i="11"/>
  <c r="C57" i="11" s="1"/>
  <c r="K57" i="11"/>
  <c r="L57" i="11"/>
  <c r="M57" i="11"/>
  <c r="N57" i="11" s="1"/>
  <c r="O8" i="11"/>
  <c r="P8" i="11"/>
  <c r="Q8" i="11" s="1"/>
  <c r="R8" i="11" s="1"/>
  <c r="O9" i="11"/>
  <c r="P9" i="11"/>
  <c r="Q9" i="11" s="1"/>
  <c r="R9" i="11" s="1"/>
  <c r="O10" i="11"/>
  <c r="P10" i="11"/>
  <c r="Q10" i="11" s="1"/>
  <c r="R10" i="11" s="1"/>
  <c r="O11" i="11"/>
  <c r="P11" i="11"/>
  <c r="Q11" i="11" s="1"/>
  <c r="R11" i="11" s="1"/>
  <c r="O12" i="11"/>
  <c r="P12" i="11"/>
  <c r="Q12" i="11" s="1"/>
  <c r="R12" i="11" s="1"/>
  <c r="O13" i="11"/>
  <c r="P13" i="11"/>
  <c r="Q13" i="11" s="1"/>
  <c r="R13" i="11" s="1"/>
  <c r="O14" i="11"/>
  <c r="P14" i="11"/>
  <c r="Q14" i="11" s="1"/>
  <c r="R14" i="11" s="1"/>
  <c r="O15" i="11"/>
  <c r="P15" i="11"/>
  <c r="Q15" i="11" s="1"/>
  <c r="R15" i="11" s="1"/>
  <c r="O16" i="11"/>
  <c r="P16" i="11"/>
  <c r="Q16" i="11" s="1"/>
  <c r="R16" i="11" s="1"/>
  <c r="O17" i="11"/>
  <c r="P17" i="11"/>
  <c r="Q17" i="11" s="1"/>
  <c r="R17" i="11" s="1"/>
  <c r="O18" i="11"/>
  <c r="P18" i="11"/>
  <c r="Q18" i="11" s="1"/>
  <c r="R18" i="11" s="1"/>
  <c r="O19" i="11"/>
  <c r="P19" i="11"/>
  <c r="Q19" i="11" s="1"/>
  <c r="R19" i="11" s="1"/>
  <c r="O20" i="11"/>
  <c r="P20" i="11"/>
  <c r="Q20" i="11" s="1"/>
  <c r="R20" i="11" s="1"/>
  <c r="O21" i="11"/>
  <c r="P21" i="11"/>
  <c r="Q21" i="11" s="1"/>
  <c r="R21" i="11" s="1"/>
  <c r="O22" i="11"/>
  <c r="P22" i="11"/>
  <c r="Q22" i="11" s="1"/>
  <c r="R22" i="11" s="1"/>
  <c r="P23" i="11"/>
  <c r="P24" i="11"/>
  <c r="O25" i="11"/>
  <c r="P25" i="11"/>
  <c r="Q25" i="11" s="1"/>
  <c r="R25" i="11" s="1"/>
  <c r="O26" i="11"/>
  <c r="P26" i="11"/>
  <c r="Q26" i="11" s="1"/>
  <c r="R26" i="11" s="1"/>
  <c r="P27" i="11"/>
  <c r="P28" i="11"/>
  <c r="O29" i="11"/>
  <c r="P29" i="11"/>
  <c r="Q29" i="11" s="1"/>
  <c r="R29" i="11" s="1"/>
  <c r="O30" i="11"/>
  <c r="P30" i="11"/>
  <c r="Q30" i="11" s="1"/>
  <c r="R30" i="11" s="1"/>
  <c r="P31" i="11"/>
  <c r="P32" i="11"/>
  <c r="O33" i="11"/>
  <c r="P33" i="11"/>
  <c r="Q33" i="11" s="1"/>
  <c r="R33" i="11" s="1"/>
  <c r="O34" i="11"/>
  <c r="P34" i="11"/>
  <c r="Q34" i="11" s="1"/>
  <c r="R34" i="11" s="1"/>
  <c r="P35" i="11"/>
  <c r="P36" i="11"/>
  <c r="O37" i="11"/>
  <c r="P37" i="11"/>
  <c r="Q37" i="11" s="1"/>
  <c r="R37" i="11" s="1"/>
  <c r="O38" i="11"/>
  <c r="P38" i="11"/>
  <c r="Q38" i="11" s="1"/>
  <c r="R38" i="11" s="1"/>
  <c r="P39" i="11"/>
  <c r="P40" i="11"/>
  <c r="O41" i="11"/>
  <c r="P41" i="11"/>
  <c r="Q41" i="11" s="1"/>
  <c r="R41" i="11" s="1"/>
  <c r="O42" i="11"/>
  <c r="P42" i="11"/>
  <c r="Q42" i="11" s="1"/>
  <c r="R42" i="11" s="1"/>
  <c r="P43" i="11"/>
  <c r="P44" i="11"/>
  <c r="O45" i="11"/>
  <c r="P45" i="11"/>
  <c r="Q45" i="11" s="1"/>
  <c r="R45" i="11" s="1"/>
  <c r="O46" i="11"/>
  <c r="P46" i="11"/>
  <c r="Q46" i="11" s="1"/>
  <c r="R46" i="11" s="1"/>
  <c r="P47" i="11"/>
  <c r="P48" i="11"/>
  <c r="O49" i="11"/>
  <c r="P49" i="11"/>
  <c r="Q49" i="11" s="1"/>
  <c r="R49" i="11" s="1"/>
  <c r="O50" i="11"/>
  <c r="P50" i="11"/>
  <c r="Q50" i="11" s="1"/>
  <c r="R50" i="11" s="1"/>
  <c r="P51" i="11"/>
  <c r="P52" i="11"/>
  <c r="O53" i="11"/>
  <c r="P53" i="11"/>
  <c r="Q53" i="11" s="1"/>
  <c r="R53" i="11" s="1"/>
  <c r="O54" i="11"/>
  <c r="P54" i="11"/>
  <c r="Q54" i="11" s="1"/>
  <c r="R54" i="11" s="1"/>
  <c r="P55" i="11"/>
  <c r="P56" i="11"/>
  <c r="O57" i="11"/>
  <c r="P57" i="11"/>
  <c r="Q57" i="11" s="1"/>
  <c r="R57" i="11" s="1"/>
  <c r="S8" i="11"/>
  <c r="T8" i="11"/>
  <c r="U8" i="11" s="1"/>
  <c r="V8" i="11" s="1"/>
  <c r="S9" i="11"/>
  <c r="T9" i="11"/>
  <c r="U9" i="11" s="1"/>
  <c r="V9" i="11" s="1"/>
  <c r="S10" i="11"/>
  <c r="T10" i="11"/>
  <c r="S11" i="11"/>
  <c r="T11" i="11"/>
  <c r="U11" i="11" s="1"/>
  <c r="V11" i="11" s="1"/>
  <c r="S12" i="11"/>
  <c r="T12" i="11"/>
  <c r="S13" i="11"/>
  <c r="T13" i="11"/>
  <c r="S14" i="11"/>
  <c r="T14" i="11"/>
  <c r="S15" i="11"/>
  <c r="T15" i="11"/>
  <c r="U15" i="11"/>
  <c r="V15" i="11" s="1"/>
  <c r="S16" i="11"/>
  <c r="T16" i="11"/>
  <c r="U16" i="11" s="1"/>
  <c r="V16" i="11" s="1"/>
  <c r="S17" i="11"/>
  <c r="T17" i="11"/>
  <c r="U17" i="11" s="1"/>
  <c r="V17" i="11" s="1"/>
  <c r="S18" i="11"/>
  <c r="T18" i="11"/>
  <c r="S19" i="11"/>
  <c r="T19" i="11"/>
  <c r="U19" i="11" s="1"/>
  <c r="V19" i="11" s="1"/>
  <c r="S20" i="11"/>
  <c r="T20" i="11"/>
  <c r="S21" i="11"/>
  <c r="T21" i="11"/>
  <c r="S22" i="11"/>
  <c r="T22" i="11"/>
  <c r="S23" i="11"/>
  <c r="T23" i="11"/>
  <c r="U23" i="11"/>
  <c r="V23" i="11" s="1"/>
  <c r="S24" i="11"/>
  <c r="T24" i="11"/>
  <c r="U24" i="11" s="1"/>
  <c r="V24" i="11" s="1"/>
  <c r="S25" i="11"/>
  <c r="T25" i="11"/>
  <c r="U25" i="11" s="1"/>
  <c r="V25" i="11" s="1"/>
  <c r="S26" i="11"/>
  <c r="T26" i="11"/>
  <c r="S27" i="11"/>
  <c r="T27" i="11"/>
  <c r="U27" i="11" s="1"/>
  <c r="V27" i="11" s="1"/>
  <c r="S28" i="11"/>
  <c r="T28" i="11"/>
  <c r="S29" i="11"/>
  <c r="T29" i="11"/>
  <c r="S30" i="11"/>
  <c r="T30" i="11"/>
  <c r="S31" i="11"/>
  <c r="T31" i="11"/>
  <c r="U31" i="11"/>
  <c r="V31" i="11" s="1"/>
  <c r="S32" i="11"/>
  <c r="T32" i="11"/>
  <c r="U32" i="11" s="1"/>
  <c r="V32" i="11" s="1"/>
  <c r="S33" i="11"/>
  <c r="T33" i="11"/>
  <c r="U33" i="11" s="1"/>
  <c r="V33" i="11" s="1"/>
  <c r="S34" i="11"/>
  <c r="T34" i="11"/>
  <c r="S35" i="11"/>
  <c r="T35" i="11"/>
  <c r="U35" i="11" s="1"/>
  <c r="V35" i="11" s="1"/>
  <c r="S36" i="11"/>
  <c r="T36" i="11"/>
  <c r="S37" i="11"/>
  <c r="T37" i="11"/>
  <c r="S38" i="11"/>
  <c r="T38" i="11"/>
  <c r="S39" i="11"/>
  <c r="T39" i="11"/>
  <c r="U39" i="11"/>
  <c r="V39" i="11" s="1"/>
  <c r="S40" i="11"/>
  <c r="T40" i="11"/>
  <c r="U40" i="11" s="1"/>
  <c r="V40" i="11" s="1"/>
  <c r="S41" i="11"/>
  <c r="T41" i="11"/>
  <c r="U41" i="11" s="1"/>
  <c r="V41" i="11" s="1"/>
  <c r="S42" i="11"/>
  <c r="T42" i="11"/>
  <c r="S43" i="11"/>
  <c r="T43" i="11"/>
  <c r="U43" i="11" s="1"/>
  <c r="V43" i="11" s="1"/>
  <c r="S44" i="11"/>
  <c r="T44" i="11"/>
  <c r="S45" i="11"/>
  <c r="T45" i="11"/>
  <c r="S46" i="11"/>
  <c r="T46" i="11"/>
  <c r="S47" i="11"/>
  <c r="T48" i="11"/>
  <c r="S49" i="11"/>
  <c r="T49" i="11"/>
  <c r="S50" i="11"/>
  <c r="T50" i="11"/>
  <c r="S51" i="11"/>
  <c r="T52" i="11"/>
  <c r="S53" i="11"/>
  <c r="T53" i="11"/>
  <c r="S54" i="11"/>
  <c r="T54" i="11"/>
  <c r="S55" i="11"/>
  <c r="T56" i="11"/>
  <c r="S57" i="11"/>
  <c r="T57" i="11"/>
  <c r="W8" i="11"/>
  <c r="X8" i="11"/>
  <c r="W9" i="11"/>
  <c r="X9" i="11"/>
  <c r="W10" i="11"/>
  <c r="X10" i="11"/>
  <c r="W11" i="11"/>
  <c r="X11" i="11"/>
  <c r="W12" i="11"/>
  <c r="X12" i="11"/>
  <c r="W13" i="11"/>
  <c r="X13" i="11"/>
  <c r="W14" i="11"/>
  <c r="X14" i="11"/>
  <c r="W15" i="11"/>
  <c r="X15" i="11"/>
  <c r="W16" i="11"/>
  <c r="X16" i="11"/>
  <c r="W17" i="11"/>
  <c r="X17" i="11"/>
  <c r="W18" i="11"/>
  <c r="X18" i="11"/>
  <c r="W19" i="11"/>
  <c r="X19" i="11"/>
  <c r="W20" i="11"/>
  <c r="X20" i="11"/>
  <c r="W21" i="11"/>
  <c r="X21" i="11"/>
  <c r="W22" i="11"/>
  <c r="X22" i="11"/>
  <c r="W23" i="11"/>
  <c r="X23" i="11"/>
  <c r="W24" i="11"/>
  <c r="X24" i="11"/>
  <c r="W25" i="11"/>
  <c r="X25" i="11"/>
  <c r="W26" i="11"/>
  <c r="X26" i="11"/>
  <c r="W27" i="11"/>
  <c r="X27" i="11"/>
  <c r="W28" i="11"/>
  <c r="X28" i="11"/>
  <c r="W29" i="11"/>
  <c r="X29" i="11"/>
  <c r="W30" i="11"/>
  <c r="X30" i="11"/>
  <c r="W31" i="11"/>
  <c r="X31" i="11"/>
  <c r="W32" i="11"/>
  <c r="X32" i="11"/>
  <c r="W33" i="11"/>
  <c r="X33" i="11"/>
  <c r="W34" i="11"/>
  <c r="X34" i="11"/>
  <c r="W35" i="11"/>
  <c r="X35" i="11"/>
  <c r="W36" i="11"/>
  <c r="X36" i="11"/>
  <c r="W37" i="11"/>
  <c r="X37" i="11"/>
  <c r="W38" i="11"/>
  <c r="X38" i="11"/>
  <c r="W39" i="11"/>
  <c r="X39" i="11"/>
  <c r="W40" i="11"/>
  <c r="X40" i="11"/>
  <c r="W41" i="11"/>
  <c r="X41" i="11"/>
  <c r="W42" i="11"/>
  <c r="X42" i="11"/>
  <c r="W43" i="11"/>
  <c r="X43" i="11"/>
  <c r="Y43" i="11"/>
  <c r="Z43" i="11" s="1"/>
  <c r="W44" i="11"/>
  <c r="X44" i="11"/>
  <c r="Y44" i="11" s="1"/>
  <c r="Z44" i="11" s="1"/>
  <c r="W45" i="11"/>
  <c r="X45" i="11"/>
  <c r="Y45" i="11" s="1"/>
  <c r="Z45" i="11" s="1"/>
  <c r="W46" i="11"/>
  <c r="X46" i="11"/>
  <c r="W47" i="11"/>
  <c r="X47" i="11"/>
  <c r="Y47" i="11" s="1"/>
  <c r="Z47" i="11" s="1"/>
  <c r="W48" i="11"/>
  <c r="X48" i="11"/>
  <c r="W49" i="11"/>
  <c r="X49" i="11"/>
  <c r="W50" i="11"/>
  <c r="X50" i="11"/>
  <c r="W51" i="11"/>
  <c r="X51" i="11"/>
  <c r="Y51" i="11"/>
  <c r="Z51" i="11" s="1"/>
  <c r="W52" i="11"/>
  <c r="X52" i="11"/>
  <c r="Y52" i="11" s="1"/>
  <c r="Z52" i="11" s="1"/>
  <c r="W53" i="11"/>
  <c r="X53" i="11"/>
  <c r="Y53" i="11" s="1"/>
  <c r="Z53" i="11" s="1"/>
  <c r="W54" i="11"/>
  <c r="X54" i="11"/>
  <c r="W55" i="11"/>
  <c r="X55" i="11"/>
  <c r="Y55" i="11" s="1"/>
  <c r="Z55" i="11" s="1"/>
  <c r="W56" i="11"/>
  <c r="X56" i="11"/>
  <c r="W57" i="11"/>
  <c r="X57" i="11"/>
  <c r="AA8" i="11"/>
  <c r="AB8" i="11"/>
  <c r="AA9" i="11"/>
  <c r="AB9" i="11"/>
  <c r="AA10" i="11"/>
  <c r="AB10" i="11"/>
  <c r="AA11" i="11"/>
  <c r="AB11" i="11"/>
  <c r="AA12" i="11"/>
  <c r="AB12" i="11"/>
  <c r="AA13" i="11"/>
  <c r="AB13" i="11"/>
  <c r="AA14" i="11"/>
  <c r="AB14" i="11"/>
  <c r="AA15" i="11"/>
  <c r="AB15" i="11"/>
  <c r="AA16" i="11"/>
  <c r="AB16" i="11"/>
  <c r="AA17" i="11"/>
  <c r="AB17" i="11"/>
  <c r="AA18" i="11"/>
  <c r="AB18" i="11"/>
  <c r="AA19" i="11"/>
  <c r="AB19" i="11"/>
  <c r="AA20" i="11"/>
  <c r="AB20" i="11"/>
  <c r="AA21" i="11"/>
  <c r="AB21" i="11"/>
  <c r="AA22" i="11"/>
  <c r="AB22" i="11"/>
  <c r="AA23" i="11"/>
  <c r="AB23" i="11"/>
  <c r="AA24" i="11"/>
  <c r="AB24" i="11"/>
  <c r="AA25" i="11"/>
  <c r="AB25" i="11"/>
  <c r="AA26" i="11"/>
  <c r="AB26" i="11"/>
  <c r="AA27" i="11"/>
  <c r="AB27" i="11"/>
  <c r="AA28" i="11"/>
  <c r="AB28" i="11"/>
  <c r="AA29" i="11"/>
  <c r="AB29" i="11"/>
  <c r="AA30" i="11"/>
  <c r="AB30" i="11"/>
  <c r="AA31" i="11"/>
  <c r="AB31" i="11"/>
  <c r="AA32" i="11"/>
  <c r="AB32" i="11"/>
  <c r="AA33" i="11"/>
  <c r="AB33" i="11"/>
  <c r="AA34" i="11"/>
  <c r="AB34" i="11"/>
  <c r="AA35" i="11"/>
  <c r="AB35" i="11"/>
  <c r="AA36" i="11"/>
  <c r="AB36" i="11"/>
  <c r="AA37" i="11"/>
  <c r="AB37" i="11"/>
  <c r="AA38" i="11"/>
  <c r="AB38" i="11"/>
  <c r="AA39" i="11"/>
  <c r="AB39" i="11"/>
  <c r="AA40" i="11"/>
  <c r="AB40" i="11"/>
  <c r="AA41" i="11"/>
  <c r="AB41" i="11"/>
  <c r="AA42" i="11"/>
  <c r="AB42" i="11"/>
  <c r="AA43" i="11"/>
  <c r="AB43" i="11"/>
  <c r="AA44" i="11"/>
  <c r="AB44" i="11"/>
  <c r="AA45" i="11"/>
  <c r="AB45" i="11"/>
  <c r="AA46" i="11"/>
  <c r="AB46" i="11"/>
  <c r="AA47" i="11"/>
  <c r="AB47" i="11"/>
  <c r="AA48" i="11"/>
  <c r="AB48" i="11"/>
  <c r="AA49" i="11"/>
  <c r="AB49" i="11"/>
  <c r="AA50" i="11"/>
  <c r="AB50" i="11"/>
  <c r="AA51" i="11"/>
  <c r="AB51" i="11"/>
  <c r="AA52" i="11"/>
  <c r="AB52" i="11"/>
  <c r="AA53" i="11"/>
  <c r="AB53" i="11"/>
  <c r="AA54" i="11"/>
  <c r="AB54" i="11"/>
  <c r="AA55" i="11"/>
  <c r="AB55" i="11"/>
  <c r="AA56" i="11"/>
  <c r="AB56" i="11"/>
  <c r="AA57" i="11"/>
  <c r="AB57" i="11"/>
  <c r="AE8" i="11"/>
  <c r="AF8" i="11"/>
  <c r="AE9" i="11"/>
  <c r="AF9" i="11"/>
  <c r="AG9" i="11"/>
  <c r="AH9" i="11" s="1"/>
  <c r="AE10" i="11"/>
  <c r="AF10" i="11"/>
  <c r="AG10" i="11" s="1"/>
  <c r="AH10" i="11" s="1"/>
  <c r="AE11" i="11"/>
  <c r="AF11" i="11"/>
  <c r="AG11" i="11" s="1"/>
  <c r="AH11" i="11" s="1"/>
  <c r="AE12" i="11"/>
  <c r="AF12" i="11"/>
  <c r="AE13" i="11"/>
  <c r="AF13" i="11"/>
  <c r="AG13" i="11" s="1"/>
  <c r="AH13" i="11" s="1"/>
  <c r="AE14" i="11"/>
  <c r="AF14" i="11"/>
  <c r="AE15" i="11"/>
  <c r="AF15" i="11"/>
  <c r="AE16" i="11"/>
  <c r="AF16" i="11"/>
  <c r="AE17" i="11"/>
  <c r="AF17" i="11"/>
  <c r="AG17" i="11"/>
  <c r="AH17" i="11" s="1"/>
  <c r="AE18" i="11"/>
  <c r="AF18" i="11"/>
  <c r="AG18" i="11" s="1"/>
  <c r="AH18" i="11" s="1"/>
  <c r="AE19" i="11"/>
  <c r="AF19" i="11"/>
  <c r="AG19" i="11" s="1"/>
  <c r="AH19" i="11" s="1"/>
  <c r="AE20" i="11"/>
  <c r="AF20" i="11"/>
  <c r="AE21" i="11"/>
  <c r="AF21" i="11"/>
  <c r="AG21" i="11" s="1"/>
  <c r="AH21" i="11" s="1"/>
  <c r="AE22" i="11"/>
  <c r="AF22" i="11"/>
  <c r="AE23" i="11"/>
  <c r="AF23" i="11"/>
  <c r="AE24" i="11"/>
  <c r="AF24" i="11"/>
  <c r="AE25" i="11"/>
  <c r="AF25" i="11"/>
  <c r="AG25" i="11"/>
  <c r="AH25" i="11" s="1"/>
  <c r="AE26" i="11"/>
  <c r="AF26" i="11"/>
  <c r="AG26" i="11" s="1"/>
  <c r="AH26" i="11" s="1"/>
  <c r="AE27" i="11"/>
  <c r="AF27" i="11"/>
  <c r="AG27" i="11" s="1"/>
  <c r="AH27" i="11" s="1"/>
  <c r="AE28" i="11"/>
  <c r="AF28" i="11"/>
  <c r="AE29" i="11"/>
  <c r="AF29" i="11"/>
  <c r="AG29" i="11" s="1"/>
  <c r="AH29" i="11" s="1"/>
  <c r="AE30" i="11"/>
  <c r="AF30" i="11"/>
  <c r="AE31" i="11"/>
  <c r="AF31" i="11"/>
  <c r="AE32" i="11"/>
  <c r="AF32" i="11"/>
  <c r="AE33" i="11"/>
  <c r="AF33" i="11"/>
  <c r="AG33" i="11"/>
  <c r="AH33" i="11" s="1"/>
  <c r="AE34" i="11"/>
  <c r="AF34" i="11"/>
  <c r="AG34" i="11" s="1"/>
  <c r="AH34" i="11" s="1"/>
  <c r="AE35" i="11"/>
  <c r="AF35" i="11"/>
  <c r="AG35" i="11" s="1"/>
  <c r="AH35" i="11" s="1"/>
  <c r="AE36" i="11"/>
  <c r="AF36" i="11"/>
  <c r="AE37" i="11"/>
  <c r="AF37" i="11"/>
  <c r="AG37" i="11" s="1"/>
  <c r="AH37" i="11" s="1"/>
  <c r="AE38" i="11"/>
  <c r="AF38" i="11"/>
  <c r="AE39" i="11"/>
  <c r="AF39" i="11"/>
  <c r="AE40" i="11"/>
  <c r="AF40" i="11"/>
  <c r="AE41" i="11"/>
  <c r="AF41" i="11"/>
  <c r="AG41" i="11"/>
  <c r="AH41" i="11" s="1"/>
  <c r="AE42" i="11"/>
  <c r="AF42" i="11"/>
  <c r="AG42" i="11" s="1"/>
  <c r="AH42" i="11" s="1"/>
  <c r="AE43" i="11"/>
  <c r="AF43" i="11"/>
  <c r="AG43" i="11" s="1"/>
  <c r="AH43" i="11" s="1"/>
  <c r="AE44" i="11"/>
  <c r="AF44" i="11"/>
  <c r="AE45" i="11"/>
  <c r="AF45" i="11"/>
  <c r="AG45" i="11" s="1"/>
  <c r="AH45" i="11" s="1"/>
  <c r="AE46" i="11"/>
  <c r="AF46" i="11"/>
  <c r="AE47" i="11"/>
  <c r="AF47" i="11"/>
  <c r="AE48" i="11"/>
  <c r="AF48" i="11"/>
  <c r="AE49" i="11"/>
  <c r="AF49" i="11"/>
  <c r="AG49" i="11"/>
  <c r="AH49" i="11" s="1"/>
  <c r="AE50" i="11"/>
  <c r="AF50" i="11"/>
  <c r="AG50" i="11" s="1"/>
  <c r="AH50" i="11" s="1"/>
  <c r="AE51" i="11"/>
  <c r="AF51" i="11"/>
  <c r="AG51" i="11" s="1"/>
  <c r="AH51" i="11" s="1"/>
  <c r="AE52" i="11"/>
  <c r="AF52" i="11"/>
  <c r="AE53" i="11"/>
  <c r="AF53" i="11"/>
  <c r="AG53" i="11" s="1"/>
  <c r="AH53" i="11" s="1"/>
  <c r="AE54" i="11"/>
  <c r="AF54" i="11"/>
  <c r="AE55" i="11"/>
  <c r="AF55" i="11"/>
  <c r="AE56" i="11"/>
  <c r="AF56" i="11"/>
  <c r="AE57" i="11"/>
  <c r="AF57" i="11"/>
  <c r="AG57" i="11"/>
  <c r="AH57" i="11" s="1"/>
  <c r="AI8" i="11"/>
  <c r="AJ8" i="11"/>
  <c r="AK8" i="11" s="1"/>
  <c r="AL8" i="11" s="1"/>
  <c r="AI9" i="11"/>
  <c r="AJ9" i="11"/>
  <c r="AK9" i="11" s="1"/>
  <c r="AL9" i="11" s="1"/>
  <c r="AI10" i="11"/>
  <c r="AJ10" i="11"/>
  <c r="AK10" i="11" s="1"/>
  <c r="AL10" i="11" s="1"/>
  <c r="AI11" i="11"/>
  <c r="AJ11" i="11"/>
  <c r="AK11" i="11" s="1"/>
  <c r="AL11" i="11" s="1"/>
  <c r="AI12" i="11"/>
  <c r="AJ12" i="11"/>
  <c r="AK12" i="11" s="1"/>
  <c r="AL12" i="11" s="1"/>
  <c r="AI13" i="11"/>
  <c r="AJ13" i="11"/>
  <c r="AK13" i="11" s="1"/>
  <c r="AL13" i="11" s="1"/>
  <c r="AI14" i="11"/>
  <c r="AJ14" i="11"/>
  <c r="AK14" i="11" s="1"/>
  <c r="AL14" i="11" s="1"/>
  <c r="AI15" i="11"/>
  <c r="AJ15" i="11"/>
  <c r="AK15" i="11" s="1"/>
  <c r="AL15" i="11" s="1"/>
  <c r="AI16" i="11"/>
  <c r="AJ16" i="11"/>
  <c r="AK16" i="11" s="1"/>
  <c r="AL16" i="11" s="1"/>
  <c r="AI17" i="11"/>
  <c r="AJ17" i="11"/>
  <c r="AK17" i="11" s="1"/>
  <c r="AL17" i="11" s="1"/>
  <c r="AI18" i="11"/>
  <c r="AJ18" i="11"/>
  <c r="AK18" i="11" s="1"/>
  <c r="AL18" i="11" s="1"/>
  <c r="AI19" i="11"/>
  <c r="AJ19" i="11"/>
  <c r="AK19" i="11" s="1"/>
  <c r="AL19" i="11" s="1"/>
  <c r="AI20" i="11"/>
  <c r="AJ20" i="11"/>
  <c r="AK20" i="11" s="1"/>
  <c r="AL20" i="11" s="1"/>
  <c r="AI21" i="11"/>
  <c r="AJ21" i="11"/>
  <c r="AK21" i="11" s="1"/>
  <c r="AL21" i="11" s="1"/>
  <c r="AI22" i="11"/>
  <c r="AJ22" i="11"/>
  <c r="AK22" i="11" s="1"/>
  <c r="AL22" i="11" s="1"/>
  <c r="AI23" i="11"/>
  <c r="AJ23" i="11"/>
  <c r="AK23" i="11" s="1"/>
  <c r="AL23" i="11" s="1"/>
  <c r="AI24" i="11"/>
  <c r="AJ24" i="11"/>
  <c r="AK24" i="11" s="1"/>
  <c r="AL24" i="11" s="1"/>
  <c r="AI25" i="11"/>
  <c r="AJ25" i="11"/>
  <c r="AK25" i="11" s="1"/>
  <c r="AL25" i="11" s="1"/>
  <c r="AI26" i="11"/>
  <c r="AJ26" i="11"/>
  <c r="AK26" i="11" s="1"/>
  <c r="AL26" i="11" s="1"/>
  <c r="AI27" i="11"/>
  <c r="AJ27" i="11"/>
  <c r="AK27" i="11" s="1"/>
  <c r="AL27" i="11" s="1"/>
  <c r="AI28" i="11"/>
  <c r="AJ28" i="11"/>
  <c r="AK28" i="11" s="1"/>
  <c r="AL28" i="11" s="1"/>
  <c r="AI29" i="11"/>
  <c r="AJ29" i="11"/>
  <c r="AK29" i="11" s="1"/>
  <c r="AL29" i="11" s="1"/>
  <c r="AI30" i="11"/>
  <c r="AJ30" i="11"/>
  <c r="AK30" i="11" s="1"/>
  <c r="AL30" i="11" s="1"/>
  <c r="AI31" i="11"/>
  <c r="AJ31" i="11"/>
  <c r="AK31" i="11" s="1"/>
  <c r="AL31" i="11" s="1"/>
  <c r="AI32" i="11"/>
  <c r="AJ32" i="11"/>
  <c r="AK32" i="11" s="1"/>
  <c r="AL32" i="11" s="1"/>
  <c r="AI33" i="11"/>
  <c r="AJ33" i="11"/>
  <c r="AK33" i="11" s="1"/>
  <c r="AL33" i="11" s="1"/>
  <c r="AI34" i="11"/>
  <c r="AJ34" i="11"/>
  <c r="AK34" i="11" s="1"/>
  <c r="AL34" i="11" s="1"/>
  <c r="AI35" i="11"/>
  <c r="AJ35" i="11"/>
  <c r="AK35" i="11" s="1"/>
  <c r="AL35" i="11" s="1"/>
  <c r="AI36" i="11"/>
  <c r="AJ36" i="11"/>
  <c r="AK36" i="11" s="1"/>
  <c r="AL36" i="11" s="1"/>
  <c r="AI37" i="11"/>
  <c r="AJ37" i="11"/>
  <c r="AK37" i="11" s="1"/>
  <c r="AL37" i="11" s="1"/>
  <c r="AI38" i="11"/>
  <c r="AJ38" i="11"/>
  <c r="AK38" i="11" s="1"/>
  <c r="AL38" i="11" s="1"/>
  <c r="AI39" i="11"/>
  <c r="AJ39" i="11"/>
  <c r="AK39" i="11" s="1"/>
  <c r="AL39" i="11" s="1"/>
  <c r="AI40" i="11"/>
  <c r="AJ40" i="11"/>
  <c r="AK40" i="11" s="1"/>
  <c r="AL40" i="11" s="1"/>
  <c r="AI41" i="11"/>
  <c r="AJ41" i="11"/>
  <c r="AK41" i="11" s="1"/>
  <c r="AL41" i="11" s="1"/>
  <c r="AI42" i="11"/>
  <c r="AJ42" i="11"/>
  <c r="AK42" i="11" s="1"/>
  <c r="AL42" i="11" s="1"/>
  <c r="AI43" i="11"/>
  <c r="AJ43" i="11"/>
  <c r="AK43" i="11" s="1"/>
  <c r="AL43" i="11" s="1"/>
  <c r="AI44" i="11"/>
  <c r="AJ44" i="11"/>
  <c r="AK44" i="11" s="1"/>
  <c r="AL44" i="11" s="1"/>
  <c r="AI45" i="11"/>
  <c r="AJ45" i="11"/>
  <c r="AK45" i="11" s="1"/>
  <c r="AL45" i="11" s="1"/>
  <c r="AI46" i="11"/>
  <c r="AJ46" i="11"/>
  <c r="AK46" i="11" s="1"/>
  <c r="AL46" i="11" s="1"/>
  <c r="AI47" i="11"/>
  <c r="AJ47" i="11"/>
  <c r="AK47" i="11" s="1"/>
  <c r="AL47" i="11" s="1"/>
  <c r="AI48" i="11"/>
  <c r="AJ48" i="11"/>
  <c r="AK48" i="11" s="1"/>
  <c r="AL48" i="11" s="1"/>
  <c r="AI49" i="11"/>
  <c r="AJ49" i="11"/>
  <c r="AK49" i="11" s="1"/>
  <c r="AL49" i="11" s="1"/>
  <c r="AI50" i="11"/>
  <c r="AJ50" i="11"/>
  <c r="AK50" i="11" s="1"/>
  <c r="AL50" i="11" s="1"/>
  <c r="AI51" i="11"/>
  <c r="AJ51" i="11"/>
  <c r="AK51" i="11" s="1"/>
  <c r="AL51" i="11" s="1"/>
  <c r="AI52" i="11"/>
  <c r="AJ52" i="11"/>
  <c r="AK52" i="11" s="1"/>
  <c r="AL52" i="11" s="1"/>
  <c r="AI53" i="11"/>
  <c r="AJ53" i="11"/>
  <c r="AK53" i="11" s="1"/>
  <c r="AL53" i="11" s="1"/>
  <c r="AI54" i="11"/>
  <c r="AJ54" i="11"/>
  <c r="AK54" i="11" s="1"/>
  <c r="AL54" i="11" s="1"/>
  <c r="AI55" i="11"/>
  <c r="AJ55" i="11"/>
  <c r="AK55" i="11" s="1"/>
  <c r="AL55" i="11" s="1"/>
  <c r="AI56" i="11"/>
  <c r="AJ56" i="11"/>
  <c r="AK56" i="11" s="1"/>
  <c r="AL56" i="11" s="1"/>
  <c r="AI57" i="11"/>
  <c r="AJ57" i="11"/>
  <c r="AK57" i="11" s="1"/>
  <c r="AL57" i="11" s="1"/>
  <c r="AM8" i="11"/>
  <c r="AN8" i="11"/>
  <c r="AO8" i="11" s="1"/>
  <c r="AP8" i="11" s="1"/>
  <c r="AM9" i="11"/>
  <c r="AN9" i="11"/>
  <c r="AO9" i="11" s="1"/>
  <c r="AP9" i="11" s="1"/>
  <c r="AM10" i="11"/>
  <c r="AN10" i="11"/>
  <c r="AM11" i="11"/>
  <c r="AN11" i="11"/>
  <c r="AO11" i="11" s="1"/>
  <c r="AP11" i="11" s="1"/>
  <c r="AM12" i="11"/>
  <c r="AN12" i="11"/>
  <c r="AM13" i="11"/>
  <c r="AN13" i="11"/>
  <c r="AM14" i="11"/>
  <c r="AN14" i="11"/>
  <c r="AM15" i="11"/>
  <c r="AN15" i="11"/>
  <c r="AO15" i="11"/>
  <c r="AP15" i="11" s="1"/>
  <c r="AM16" i="11"/>
  <c r="AN16" i="11"/>
  <c r="AO16" i="11" s="1"/>
  <c r="AP16" i="11" s="1"/>
  <c r="AM17" i="11"/>
  <c r="AN17" i="11"/>
  <c r="AO17" i="11" s="1"/>
  <c r="AP17" i="11" s="1"/>
  <c r="AM18" i="11"/>
  <c r="AN18" i="11"/>
  <c r="AM19" i="11"/>
  <c r="AN19" i="11"/>
  <c r="AO19" i="11" s="1"/>
  <c r="AP19" i="11" s="1"/>
  <c r="AM20" i="11"/>
  <c r="AN20" i="11"/>
  <c r="AM21" i="11"/>
  <c r="AN21" i="11"/>
  <c r="AM22" i="11"/>
  <c r="AN22" i="11"/>
  <c r="AM23" i="11"/>
  <c r="AN23" i="11"/>
  <c r="AO23" i="11"/>
  <c r="AP23" i="11" s="1"/>
  <c r="AM24" i="11"/>
  <c r="AN24" i="11"/>
  <c r="AO24" i="11" s="1"/>
  <c r="AP24" i="11" s="1"/>
  <c r="AM25" i="11"/>
  <c r="AN25" i="11"/>
  <c r="AO25" i="11" s="1"/>
  <c r="AP25" i="11" s="1"/>
  <c r="AM26" i="11"/>
  <c r="AN26" i="11"/>
  <c r="AM27" i="11"/>
  <c r="AN27" i="11"/>
  <c r="AO27" i="11" s="1"/>
  <c r="AP27" i="11" s="1"/>
  <c r="AM28" i="11"/>
  <c r="AN28" i="11"/>
  <c r="AM29" i="11"/>
  <c r="AN29" i="11"/>
  <c r="AM30" i="11"/>
  <c r="AN30" i="11"/>
  <c r="AM31" i="11"/>
  <c r="AN31" i="11"/>
  <c r="AO31" i="11"/>
  <c r="AP31" i="11" s="1"/>
  <c r="AM32" i="11"/>
  <c r="AN32" i="11"/>
  <c r="AO32" i="11" s="1"/>
  <c r="AP32" i="11" s="1"/>
  <c r="AM33" i="11"/>
  <c r="AN33" i="11"/>
  <c r="AO33" i="11" s="1"/>
  <c r="AP33" i="11" s="1"/>
  <c r="AM34" i="11"/>
  <c r="AN34" i="11"/>
  <c r="AM35" i="11"/>
  <c r="AN35" i="11"/>
  <c r="AO35" i="11" s="1"/>
  <c r="AP35" i="11" s="1"/>
  <c r="AM36" i="11"/>
  <c r="AN36" i="11"/>
  <c r="AM37" i="11"/>
  <c r="AN37" i="11"/>
  <c r="AM38" i="11"/>
  <c r="AN38" i="11"/>
  <c r="AM39" i="11"/>
  <c r="AN39" i="11"/>
  <c r="AO39" i="11"/>
  <c r="AP39" i="11" s="1"/>
  <c r="AM40" i="11"/>
  <c r="AN40" i="11"/>
  <c r="AO40" i="11" s="1"/>
  <c r="AP40" i="11" s="1"/>
  <c r="AM41" i="11"/>
  <c r="AN41" i="11"/>
  <c r="AO41" i="11" s="1"/>
  <c r="AP41" i="11" s="1"/>
  <c r="AM42" i="11"/>
  <c r="AN42" i="11"/>
  <c r="AM43" i="11"/>
  <c r="AN43" i="11"/>
  <c r="AO43" i="11" s="1"/>
  <c r="AP43" i="11" s="1"/>
  <c r="AM44" i="11"/>
  <c r="AN44" i="11"/>
  <c r="AM45" i="11"/>
  <c r="AN45" i="11"/>
  <c r="AM46" i="11"/>
  <c r="AN46" i="11"/>
  <c r="AM47" i="11"/>
  <c r="AN47" i="11"/>
  <c r="AO47" i="11"/>
  <c r="AP47" i="11" s="1"/>
  <c r="AM48" i="11"/>
  <c r="AN48" i="11"/>
  <c r="AO48" i="11" s="1"/>
  <c r="AP48" i="11" s="1"/>
  <c r="AM49" i="11"/>
  <c r="AN49" i="11"/>
  <c r="AO49" i="11" s="1"/>
  <c r="AP49" i="11" s="1"/>
  <c r="AM50" i="11"/>
  <c r="AN50" i="11"/>
  <c r="AM51" i="11"/>
  <c r="AN51" i="11"/>
  <c r="AO51" i="11" s="1"/>
  <c r="AP51" i="11" s="1"/>
  <c r="AM52" i="11"/>
  <c r="AN52" i="11"/>
  <c r="AM53" i="11"/>
  <c r="AN53" i="11"/>
  <c r="AM54" i="11"/>
  <c r="AN54" i="11"/>
  <c r="AM55" i="11"/>
  <c r="AN55" i="11"/>
  <c r="AO55" i="11"/>
  <c r="AP55" i="11" s="1"/>
  <c r="AM56" i="11"/>
  <c r="AN56" i="11"/>
  <c r="AO56" i="11" s="1"/>
  <c r="AP56" i="11" s="1"/>
  <c r="AM57" i="11"/>
  <c r="AN57" i="11"/>
  <c r="AO57" i="11" s="1"/>
  <c r="AP57" i="11" s="1"/>
  <c r="AQ8" i="11"/>
  <c r="AR8" i="11"/>
  <c r="AQ9" i="11"/>
  <c r="AR9" i="11"/>
  <c r="AQ10" i="11"/>
  <c r="AR10" i="11"/>
  <c r="AQ11" i="11"/>
  <c r="AR11" i="11"/>
  <c r="AQ12" i="11"/>
  <c r="AR12" i="11"/>
  <c r="AQ13" i="11"/>
  <c r="AR13" i="11"/>
  <c r="AQ14" i="11"/>
  <c r="AR14" i="11"/>
  <c r="AQ15" i="11"/>
  <c r="AR15" i="11"/>
  <c r="AQ16" i="11"/>
  <c r="AR16" i="11"/>
  <c r="AQ17" i="11"/>
  <c r="AR17" i="11"/>
  <c r="AQ18" i="11"/>
  <c r="AR18" i="11"/>
  <c r="AQ19" i="11"/>
  <c r="AR19" i="11"/>
  <c r="AQ20" i="11"/>
  <c r="AR20" i="11"/>
  <c r="AQ21" i="11"/>
  <c r="AR21" i="11"/>
  <c r="AQ22" i="11"/>
  <c r="AR22" i="11"/>
  <c r="AQ23" i="11"/>
  <c r="AR23" i="11"/>
  <c r="AQ24" i="11"/>
  <c r="AR24" i="11"/>
  <c r="AQ25" i="11"/>
  <c r="AR25" i="11"/>
  <c r="AQ26" i="11"/>
  <c r="AR26" i="11"/>
  <c r="AQ27" i="11"/>
  <c r="AR27" i="11"/>
  <c r="AQ28" i="11"/>
  <c r="AR28" i="11"/>
  <c r="AQ29" i="11"/>
  <c r="AR29" i="11"/>
  <c r="AQ30" i="11"/>
  <c r="AR30" i="11"/>
  <c r="AQ31" i="11"/>
  <c r="AR31" i="11"/>
  <c r="AQ32" i="11"/>
  <c r="AR32" i="11"/>
  <c r="AQ33" i="11"/>
  <c r="AR33" i="11"/>
  <c r="AQ34" i="11"/>
  <c r="AR34" i="11"/>
  <c r="AQ35" i="11"/>
  <c r="AR35" i="11"/>
  <c r="AQ36" i="11"/>
  <c r="AR36" i="11"/>
  <c r="AQ37" i="11"/>
  <c r="AR37" i="11"/>
  <c r="AQ38" i="11"/>
  <c r="AR38" i="11"/>
  <c r="AQ39" i="11"/>
  <c r="AR39" i="11"/>
  <c r="AQ40" i="11"/>
  <c r="AR40" i="11"/>
  <c r="AQ41" i="11"/>
  <c r="AR41" i="11"/>
  <c r="AQ42" i="11"/>
  <c r="AR42" i="11"/>
  <c r="AQ43" i="11"/>
  <c r="AR43" i="11"/>
  <c r="AQ44" i="11"/>
  <c r="AR44" i="11"/>
  <c r="AQ45" i="11"/>
  <c r="AR45" i="11"/>
  <c r="AQ46" i="11"/>
  <c r="AR46" i="11"/>
  <c r="AQ47" i="11"/>
  <c r="AR47" i="11"/>
  <c r="AQ48" i="11"/>
  <c r="AR48" i="11"/>
  <c r="AQ49" i="11"/>
  <c r="AR49" i="11"/>
  <c r="AQ50" i="11"/>
  <c r="AR50" i="11"/>
  <c r="AQ51" i="11"/>
  <c r="AR51" i="11"/>
  <c r="AQ52" i="11"/>
  <c r="AR52" i="11"/>
  <c r="AQ53" i="11"/>
  <c r="AR53" i="11"/>
  <c r="AQ54" i="11"/>
  <c r="AR54" i="11"/>
  <c r="AQ55" i="11"/>
  <c r="AR55" i="11"/>
  <c r="AQ56" i="11"/>
  <c r="AR56" i="11"/>
  <c r="AQ57" i="11"/>
  <c r="AR57" i="11"/>
  <c r="AU8" i="11"/>
  <c r="AV8" i="11"/>
  <c r="AW8" i="11" s="1"/>
  <c r="AX8" i="11" s="1"/>
  <c r="AU9" i="11"/>
  <c r="AV9" i="11"/>
  <c r="AU10" i="11"/>
  <c r="AV10" i="11"/>
  <c r="AU11" i="11"/>
  <c r="AV11" i="11"/>
  <c r="AU12" i="11"/>
  <c r="AV12" i="11"/>
  <c r="AW12" i="11"/>
  <c r="AX12" i="11" s="1"/>
  <c r="AU13" i="11"/>
  <c r="AV13" i="11"/>
  <c r="AW13" i="11" s="1"/>
  <c r="AX13" i="11" s="1"/>
  <c r="AU14" i="11"/>
  <c r="AV14" i="11"/>
  <c r="AW14" i="11" s="1"/>
  <c r="AX14" i="11" s="1"/>
  <c r="AU15" i="11"/>
  <c r="AV15" i="11"/>
  <c r="AU16" i="11"/>
  <c r="AV16" i="11"/>
  <c r="AW16" i="11" s="1"/>
  <c r="AX16" i="11" s="1"/>
  <c r="AU17" i="11"/>
  <c r="AV17" i="11"/>
  <c r="AU18" i="11"/>
  <c r="AV18" i="11"/>
  <c r="AU19" i="11"/>
  <c r="AV19" i="11"/>
  <c r="AU20" i="11"/>
  <c r="AV20" i="11"/>
  <c r="AW20" i="11"/>
  <c r="AX20" i="11" s="1"/>
  <c r="AU21" i="11"/>
  <c r="AV21" i="11"/>
  <c r="AW21" i="11" s="1"/>
  <c r="AX21" i="11" s="1"/>
  <c r="AU22" i="11"/>
  <c r="AV22" i="11"/>
  <c r="AW22" i="11" s="1"/>
  <c r="AX22" i="11" s="1"/>
  <c r="AU23" i="11"/>
  <c r="AV23" i="11"/>
  <c r="AU24" i="11"/>
  <c r="AV24" i="11"/>
  <c r="AU25" i="11"/>
  <c r="AV25" i="11"/>
  <c r="AW25" i="11" s="1"/>
  <c r="AX25" i="11" s="1"/>
  <c r="AU26" i="11"/>
  <c r="AV26" i="11"/>
  <c r="AW26" i="11" s="1"/>
  <c r="AX26" i="11" s="1"/>
  <c r="AU27" i="11"/>
  <c r="AV27" i="11"/>
  <c r="AU28" i="11"/>
  <c r="AV28" i="11"/>
  <c r="AW28" i="11" s="1"/>
  <c r="AX28" i="11" s="1"/>
  <c r="AU29" i="11"/>
  <c r="AV29" i="11"/>
  <c r="AU30" i="11"/>
  <c r="AV30" i="11"/>
  <c r="AU31" i="11"/>
  <c r="AV31" i="11"/>
  <c r="AU32" i="11"/>
  <c r="AW32" i="11" s="1"/>
  <c r="AX32" i="11" s="1"/>
  <c r="AV32" i="11"/>
  <c r="AU33" i="11"/>
  <c r="AV33" i="11"/>
  <c r="AU34" i="11"/>
  <c r="AV34" i="11"/>
  <c r="AU35" i="11"/>
  <c r="AV35" i="11"/>
  <c r="AU36" i="11"/>
  <c r="AV36" i="11"/>
  <c r="AU37" i="11"/>
  <c r="AV37" i="11"/>
  <c r="AU38" i="11"/>
  <c r="AV38" i="11"/>
  <c r="AW38" i="11"/>
  <c r="AX38" i="11" s="1"/>
  <c r="AU39" i="11"/>
  <c r="AV39" i="11"/>
  <c r="AW39" i="11" s="1"/>
  <c r="AX39" i="11" s="1"/>
  <c r="AU40" i="11"/>
  <c r="AV40" i="11"/>
  <c r="AW40" i="11" s="1"/>
  <c r="AX40" i="11" s="1"/>
  <c r="AU41" i="11"/>
  <c r="AV41" i="11"/>
  <c r="AU42" i="11"/>
  <c r="AV42" i="11"/>
  <c r="AW42" i="11" s="1"/>
  <c r="AX42" i="11" s="1"/>
  <c r="AU43" i="11"/>
  <c r="AV43" i="11"/>
  <c r="AU44" i="11"/>
  <c r="AV44" i="11"/>
  <c r="AU45" i="11"/>
  <c r="AV45" i="11"/>
  <c r="AU46" i="11"/>
  <c r="AV46" i="11"/>
  <c r="AW46" i="11"/>
  <c r="AX46" i="11" s="1"/>
  <c r="AU47" i="11"/>
  <c r="AV47" i="11"/>
  <c r="AW47" i="11" s="1"/>
  <c r="AX47" i="11" s="1"/>
  <c r="AU48" i="11"/>
  <c r="AV48" i="11"/>
  <c r="AW48" i="11" s="1"/>
  <c r="AX48" i="11" s="1"/>
  <c r="AU49" i="11"/>
  <c r="AV49" i="11"/>
  <c r="AU50" i="11"/>
  <c r="AV50" i="11"/>
  <c r="AW50" i="11" s="1"/>
  <c r="AX50" i="11" s="1"/>
  <c r="AU51" i="11"/>
  <c r="AV51" i="11"/>
  <c r="AU52" i="11"/>
  <c r="AV52" i="11"/>
  <c r="AU53" i="11"/>
  <c r="AV53" i="11"/>
  <c r="AU54" i="11"/>
  <c r="AV54" i="11"/>
  <c r="AW54" i="11" s="1"/>
  <c r="AX54" i="11" s="1"/>
  <c r="AU55" i="11"/>
  <c r="AV55" i="11"/>
  <c r="AU56" i="11"/>
  <c r="AV56" i="11"/>
  <c r="AU57" i="11"/>
  <c r="AV57" i="11"/>
  <c r="AY8" i="11"/>
  <c r="AZ8" i="11"/>
  <c r="AY9" i="11"/>
  <c r="AZ9" i="11"/>
  <c r="AY10" i="11"/>
  <c r="AZ10" i="11"/>
  <c r="AY11" i="11"/>
  <c r="AZ11" i="11"/>
  <c r="AY12" i="11"/>
  <c r="AZ12" i="11"/>
  <c r="AY13" i="11"/>
  <c r="AZ13" i="11"/>
  <c r="AY14" i="11"/>
  <c r="AZ14" i="11"/>
  <c r="AY15" i="11"/>
  <c r="AZ15" i="11"/>
  <c r="AY16" i="11"/>
  <c r="AZ16" i="11"/>
  <c r="AY17" i="11"/>
  <c r="AZ17" i="11"/>
  <c r="AY18" i="11"/>
  <c r="AZ18" i="11"/>
  <c r="AY19" i="11"/>
  <c r="AZ19" i="11"/>
  <c r="AY20" i="11"/>
  <c r="AZ20" i="11"/>
  <c r="AY21" i="11"/>
  <c r="AZ21" i="11"/>
  <c r="AY22" i="11"/>
  <c r="AZ22" i="11"/>
  <c r="AY23" i="11"/>
  <c r="AZ23" i="11"/>
  <c r="AY24" i="11"/>
  <c r="AZ24" i="11"/>
  <c r="AY25" i="11"/>
  <c r="AZ25" i="11"/>
  <c r="AY26" i="11"/>
  <c r="AZ26" i="11"/>
  <c r="AY27" i="11"/>
  <c r="AZ27" i="11"/>
  <c r="AY28" i="11"/>
  <c r="AZ28" i="11"/>
  <c r="AY29" i="11"/>
  <c r="AZ29" i="11"/>
  <c r="AY30" i="11"/>
  <c r="AZ30" i="11"/>
  <c r="AY31" i="11"/>
  <c r="AZ31" i="11"/>
  <c r="AY32" i="11"/>
  <c r="AZ32" i="11"/>
  <c r="AY33" i="11"/>
  <c r="AZ33" i="11"/>
  <c r="AY34" i="11"/>
  <c r="AZ34" i="11"/>
  <c r="AY35" i="11"/>
  <c r="AZ35" i="11"/>
  <c r="AY36" i="11"/>
  <c r="AZ36" i="11"/>
  <c r="AY37" i="11"/>
  <c r="AZ37" i="11"/>
  <c r="AY38" i="11"/>
  <c r="AZ38" i="11"/>
  <c r="AY39" i="11"/>
  <c r="AZ39" i="11"/>
  <c r="AY40" i="11"/>
  <c r="AZ40" i="11"/>
  <c r="AY41" i="11"/>
  <c r="AZ41" i="11"/>
  <c r="AY42" i="11"/>
  <c r="AZ42" i="11"/>
  <c r="AY43" i="11"/>
  <c r="AZ43" i="11"/>
  <c r="AY44" i="11"/>
  <c r="AZ44" i="11"/>
  <c r="AY45" i="11"/>
  <c r="AZ45" i="11"/>
  <c r="AY46" i="11"/>
  <c r="AZ46" i="11"/>
  <c r="AY47" i="11"/>
  <c r="AZ47" i="11"/>
  <c r="AY48" i="11"/>
  <c r="AZ48" i="11"/>
  <c r="AY49" i="11"/>
  <c r="AZ49" i="11"/>
  <c r="AY50" i="11"/>
  <c r="AZ50" i="11"/>
  <c r="AY51" i="11"/>
  <c r="AZ51" i="11"/>
  <c r="AY52" i="11"/>
  <c r="AZ52" i="11"/>
  <c r="AY53" i="11"/>
  <c r="AZ53" i="11"/>
  <c r="AY54" i="11"/>
  <c r="AZ54" i="11"/>
  <c r="AY55" i="11"/>
  <c r="AZ55" i="11"/>
  <c r="AY56" i="11"/>
  <c r="AZ56" i="11"/>
  <c r="AY57" i="11"/>
  <c r="AZ57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J50" i="14"/>
  <c r="J51" i="14"/>
  <c r="J52" i="14"/>
  <c r="J53" i="14"/>
  <c r="AW56" i="11" l="1"/>
  <c r="AX56" i="11" s="1"/>
  <c r="AW55" i="11"/>
  <c r="AX55" i="11" s="1"/>
  <c r="AW52" i="11"/>
  <c r="AX52" i="11" s="1"/>
  <c r="AW51" i="11"/>
  <c r="AX51" i="11" s="1"/>
  <c r="AW44" i="11"/>
  <c r="AX44" i="11" s="1"/>
  <c r="AW43" i="11"/>
  <c r="AX43" i="11" s="1"/>
  <c r="AW36" i="11"/>
  <c r="AX36" i="11" s="1"/>
  <c r="AW34" i="11"/>
  <c r="AX34" i="11" s="1"/>
  <c r="AW33" i="11"/>
  <c r="AX33" i="11" s="1"/>
  <c r="AW30" i="11"/>
  <c r="AX30" i="11" s="1"/>
  <c r="AW29" i="11"/>
  <c r="AX29" i="11" s="1"/>
  <c r="AW24" i="11"/>
  <c r="AX24" i="11" s="1"/>
  <c r="AW18" i="11"/>
  <c r="AX18" i="11" s="1"/>
  <c r="AW17" i="11"/>
  <c r="AX17" i="11" s="1"/>
  <c r="AW10" i="11"/>
  <c r="AX10" i="11" s="1"/>
  <c r="AW9" i="11"/>
  <c r="AX9" i="11" s="1"/>
  <c r="AO53" i="11"/>
  <c r="AP53" i="11" s="1"/>
  <c r="AO52" i="11"/>
  <c r="AP52" i="11" s="1"/>
  <c r="AO45" i="11"/>
  <c r="AP45" i="11" s="1"/>
  <c r="AO44" i="11"/>
  <c r="AP44" i="11" s="1"/>
  <c r="AO37" i="11"/>
  <c r="AP37" i="11" s="1"/>
  <c r="AO36" i="11"/>
  <c r="AP36" i="11" s="1"/>
  <c r="AO29" i="11"/>
  <c r="AP29" i="11" s="1"/>
  <c r="AO28" i="11"/>
  <c r="AP28" i="11" s="1"/>
  <c r="AO21" i="11"/>
  <c r="AP21" i="11" s="1"/>
  <c r="AO20" i="11"/>
  <c r="AP20" i="11" s="1"/>
  <c r="AO13" i="11"/>
  <c r="AP13" i="11" s="1"/>
  <c r="AO12" i="11"/>
  <c r="AP12" i="11" s="1"/>
  <c r="AG55" i="11"/>
  <c r="AH55" i="11" s="1"/>
  <c r="AG54" i="11"/>
  <c r="AH54" i="11" s="1"/>
  <c r="AG47" i="11"/>
  <c r="AH47" i="11" s="1"/>
  <c r="AG46" i="11"/>
  <c r="AH46" i="11" s="1"/>
  <c r="AG39" i="11"/>
  <c r="AH39" i="11" s="1"/>
  <c r="AG38" i="11"/>
  <c r="AH38" i="11" s="1"/>
  <c r="AG31" i="11"/>
  <c r="AH31" i="11" s="1"/>
  <c r="AG30" i="11"/>
  <c r="AH30" i="11" s="1"/>
  <c r="AG23" i="11"/>
  <c r="AH23" i="11" s="1"/>
  <c r="AG22" i="11"/>
  <c r="AH22" i="11" s="1"/>
  <c r="AG15" i="11"/>
  <c r="AH15" i="11" s="1"/>
  <c r="AG14" i="11"/>
  <c r="AH14" i="11" s="1"/>
  <c r="Y57" i="11"/>
  <c r="Z57" i="11" s="1"/>
  <c r="Y56" i="11"/>
  <c r="Z56" i="11" s="1"/>
  <c r="Y49" i="11"/>
  <c r="Z49" i="11" s="1"/>
  <c r="Y48" i="11"/>
  <c r="Z48" i="11" s="1"/>
  <c r="U57" i="11"/>
  <c r="V57" i="11" s="1"/>
  <c r="U53" i="11"/>
  <c r="V53" i="11" s="1"/>
  <c r="U49" i="11"/>
  <c r="V49" i="11" s="1"/>
  <c r="U45" i="11"/>
  <c r="V45" i="11" s="1"/>
  <c r="U44" i="11"/>
  <c r="V44" i="11" s="1"/>
  <c r="U37" i="11"/>
  <c r="V37" i="11" s="1"/>
  <c r="U36" i="11"/>
  <c r="V36" i="11" s="1"/>
  <c r="U29" i="11"/>
  <c r="V29" i="11" s="1"/>
  <c r="U28" i="11"/>
  <c r="V28" i="11" s="1"/>
  <c r="U21" i="11"/>
  <c r="V21" i="11" s="1"/>
  <c r="U20" i="11"/>
  <c r="V20" i="11" s="1"/>
  <c r="U13" i="11"/>
  <c r="V13" i="11" s="1"/>
  <c r="U12" i="11"/>
  <c r="V12" i="11" s="1"/>
  <c r="BA57" i="11"/>
  <c r="BB57" i="11" s="1"/>
  <c r="BA56" i="11"/>
  <c r="BB56" i="11" s="1"/>
  <c r="BA55" i="11"/>
  <c r="BB55" i="11" s="1"/>
  <c r="BA54" i="11"/>
  <c r="BB54" i="11" s="1"/>
  <c r="BA53" i="11"/>
  <c r="BB53" i="11" s="1"/>
  <c r="BA52" i="11"/>
  <c r="BB52" i="11" s="1"/>
  <c r="BA51" i="11"/>
  <c r="BB51" i="11" s="1"/>
  <c r="BA50" i="11"/>
  <c r="BB50" i="11" s="1"/>
  <c r="BA49" i="11"/>
  <c r="BB49" i="11" s="1"/>
  <c r="BA48" i="11"/>
  <c r="BB48" i="11" s="1"/>
  <c r="BA47" i="11"/>
  <c r="BB47" i="11" s="1"/>
  <c r="BA46" i="11"/>
  <c r="BB46" i="11" s="1"/>
  <c r="BA45" i="11"/>
  <c r="BB45" i="11" s="1"/>
  <c r="BA44" i="11"/>
  <c r="BB44" i="11" s="1"/>
  <c r="BA43" i="11"/>
  <c r="BB43" i="11" s="1"/>
  <c r="BA42" i="11"/>
  <c r="BB42" i="11" s="1"/>
  <c r="BA41" i="11"/>
  <c r="BB41" i="11" s="1"/>
  <c r="BA40" i="11"/>
  <c r="BB40" i="11" s="1"/>
  <c r="BA39" i="11"/>
  <c r="BB39" i="11" s="1"/>
  <c r="BA38" i="11"/>
  <c r="BB38" i="11" s="1"/>
  <c r="BA37" i="11"/>
  <c r="BB37" i="11" s="1"/>
  <c r="BA36" i="11"/>
  <c r="BB36" i="11" s="1"/>
  <c r="BA35" i="11"/>
  <c r="BB35" i="11" s="1"/>
  <c r="BA34" i="11"/>
  <c r="BB34" i="11" s="1"/>
  <c r="BA33" i="11"/>
  <c r="BB33" i="11" s="1"/>
  <c r="BA32" i="11"/>
  <c r="BB32" i="11" s="1"/>
  <c r="BA31" i="11"/>
  <c r="BB31" i="11" s="1"/>
  <c r="BA30" i="11"/>
  <c r="BB30" i="11" s="1"/>
  <c r="BA29" i="11"/>
  <c r="BB29" i="11" s="1"/>
  <c r="BA28" i="11"/>
  <c r="BB28" i="11" s="1"/>
  <c r="BA27" i="11"/>
  <c r="BB27" i="11" s="1"/>
  <c r="BA26" i="11"/>
  <c r="BB26" i="11" s="1"/>
  <c r="BA25" i="11"/>
  <c r="BB25" i="11" s="1"/>
  <c r="BA24" i="11"/>
  <c r="BB24" i="11" s="1"/>
  <c r="BA23" i="11"/>
  <c r="BB23" i="11" s="1"/>
  <c r="BA22" i="11"/>
  <c r="BB22" i="11" s="1"/>
  <c r="AW57" i="11"/>
  <c r="AX57" i="11" s="1"/>
  <c r="AW53" i="11"/>
  <c r="AX53" i="11" s="1"/>
  <c r="AW49" i="11"/>
  <c r="AX49" i="11" s="1"/>
  <c r="AW45" i="11"/>
  <c r="AX45" i="11" s="1"/>
  <c r="AW41" i="11"/>
  <c r="AX41" i="11" s="1"/>
  <c r="AW37" i="11"/>
  <c r="AX37" i="11" s="1"/>
  <c r="AW35" i="11"/>
  <c r="AX35" i="11" s="1"/>
  <c r="AW31" i="11"/>
  <c r="AX31" i="11" s="1"/>
  <c r="AW27" i="11"/>
  <c r="AX27" i="11" s="1"/>
  <c r="AW23" i="11"/>
  <c r="AX23" i="11" s="1"/>
  <c r="AW19" i="11"/>
  <c r="AX19" i="11" s="1"/>
  <c r="AW15" i="11"/>
  <c r="AX15" i="11" s="1"/>
  <c r="AW11" i="11"/>
  <c r="AX11" i="11" s="1"/>
  <c r="AS56" i="11"/>
  <c r="AT56" i="11" s="1"/>
  <c r="AS55" i="11"/>
  <c r="AT55" i="11" s="1"/>
  <c r="AS52" i="11"/>
  <c r="AT52" i="11" s="1"/>
  <c r="AS51" i="11"/>
  <c r="AT51" i="11" s="1"/>
  <c r="AS48" i="11"/>
  <c r="AT48" i="11" s="1"/>
  <c r="AS47" i="11"/>
  <c r="AT47" i="11" s="1"/>
  <c r="AS44" i="11"/>
  <c r="AT44" i="11" s="1"/>
  <c r="AS43" i="11"/>
  <c r="AT43" i="11" s="1"/>
  <c r="AS42" i="11"/>
  <c r="AT42" i="11" s="1"/>
  <c r="AS41" i="11"/>
  <c r="AT41" i="11" s="1"/>
  <c r="AS40" i="11"/>
  <c r="AT40" i="11" s="1"/>
  <c r="AS39" i="11"/>
  <c r="AT39" i="11" s="1"/>
  <c r="AS38" i="11"/>
  <c r="AT38" i="11" s="1"/>
  <c r="AS37" i="11"/>
  <c r="AT37" i="11" s="1"/>
  <c r="AS36" i="11"/>
  <c r="AT36" i="11" s="1"/>
  <c r="AS35" i="11"/>
  <c r="AT35" i="11" s="1"/>
  <c r="AS34" i="11"/>
  <c r="AT34" i="11" s="1"/>
  <c r="AS33" i="11"/>
  <c r="AT33" i="11" s="1"/>
  <c r="AS32" i="11"/>
  <c r="AT32" i="11" s="1"/>
  <c r="AS31" i="11"/>
  <c r="AT31" i="11" s="1"/>
  <c r="AS30" i="11"/>
  <c r="AT30" i="11" s="1"/>
  <c r="AS29" i="11"/>
  <c r="AT29" i="11" s="1"/>
  <c r="AS28" i="11"/>
  <c r="AT28" i="11" s="1"/>
  <c r="AS27" i="11"/>
  <c r="AT27" i="11" s="1"/>
  <c r="AS26" i="11"/>
  <c r="AT26" i="11" s="1"/>
  <c r="AS25" i="11"/>
  <c r="AT25" i="11" s="1"/>
  <c r="AS24" i="11"/>
  <c r="AT24" i="11" s="1"/>
  <c r="AS23" i="11"/>
  <c r="AT23" i="11" s="1"/>
  <c r="AS22" i="11"/>
  <c r="AT22" i="11" s="1"/>
  <c r="AS21" i="11"/>
  <c r="AT21" i="11" s="1"/>
  <c r="AS20" i="11"/>
  <c r="AT20" i="11" s="1"/>
  <c r="AS19" i="11"/>
  <c r="AT19" i="11" s="1"/>
  <c r="AS18" i="11"/>
  <c r="AT18" i="11" s="1"/>
  <c r="AS17" i="11"/>
  <c r="AT17" i="11" s="1"/>
  <c r="AS16" i="11"/>
  <c r="AT16" i="11" s="1"/>
  <c r="AS15" i="11"/>
  <c r="AT15" i="11" s="1"/>
  <c r="AS14" i="11"/>
  <c r="AT14" i="11" s="1"/>
  <c r="AS13" i="11"/>
  <c r="AT13" i="11" s="1"/>
  <c r="AS12" i="11"/>
  <c r="AT12" i="11" s="1"/>
  <c r="AS11" i="11"/>
  <c r="AT11" i="11" s="1"/>
  <c r="AS10" i="11"/>
  <c r="AT10" i="11" s="1"/>
  <c r="AS9" i="11"/>
  <c r="AT9" i="11" s="1"/>
  <c r="AS8" i="11"/>
  <c r="AT8" i="11" s="1"/>
  <c r="AO54" i="11"/>
  <c r="AP54" i="11" s="1"/>
  <c r="AO50" i="11"/>
  <c r="AP50" i="11" s="1"/>
  <c r="AO46" i="11"/>
  <c r="AP46" i="11" s="1"/>
  <c r="AO42" i="11"/>
  <c r="AP42" i="11" s="1"/>
  <c r="AO38" i="11"/>
  <c r="AP38" i="11" s="1"/>
  <c r="AO34" i="11"/>
  <c r="AP34" i="11" s="1"/>
  <c r="AO30" i="11"/>
  <c r="AP30" i="11" s="1"/>
  <c r="AO26" i="11"/>
  <c r="AP26" i="11" s="1"/>
  <c r="AO22" i="11"/>
  <c r="AP22" i="11" s="1"/>
  <c r="AO18" i="11"/>
  <c r="AP18" i="11" s="1"/>
  <c r="AO14" i="11"/>
  <c r="AP14" i="11" s="1"/>
  <c r="AO10" i="11"/>
  <c r="AP10" i="11" s="1"/>
  <c r="AG56" i="11"/>
  <c r="AH56" i="11" s="1"/>
  <c r="AG52" i="11"/>
  <c r="AH52" i="11" s="1"/>
  <c r="AG48" i="11"/>
  <c r="AH48" i="11" s="1"/>
  <c r="AG44" i="11"/>
  <c r="AH44" i="11" s="1"/>
  <c r="AG40" i="11"/>
  <c r="AH40" i="11" s="1"/>
  <c r="AG36" i="11"/>
  <c r="AH36" i="11" s="1"/>
  <c r="AG32" i="11"/>
  <c r="AH32" i="11" s="1"/>
  <c r="AG28" i="11"/>
  <c r="AH28" i="11" s="1"/>
  <c r="AG24" i="11"/>
  <c r="AH24" i="11" s="1"/>
  <c r="AG20" i="11"/>
  <c r="AH20" i="11" s="1"/>
  <c r="AG16" i="11"/>
  <c r="AH16" i="11" s="1"/>
  <c r="AG12" i="11"/>
  <c r="AH12" i="11" s="1"/>
  <c r="AG8" i="11"/>
  <c r="AH8" i="11" s="1"/>
  <c r="AC57" i="11"/>
  <c r="AD57" i="11" s="1"/>
  <c r="AC56" i="11"/>
  <c r="AD56" i="11" s="1"/>
  <c r="AC55" i="11"/>
  <c r="AD55" i="11" s="1"/>
  <c r="AC54" i="11"/>
  <c r="AD54" i="11" s="1"/>
  <c r="AC53" i="11"/>
  <c r="AD53" i="11" s="1"/>
  <c r="AC52" i="11"/>
  <c r="AD52" i="11" s="1"/>
  <c r="AC51" i="11"/>
  <c r="AD51" i="11" s="1"/>
  <c r="AC50" i="11"/>
  <c r="AD50" i="11" s="1"/>
  <c r="AC49" i="11"/>
  <c r="AD49" i="11" s="1"/>
  <c r="AC48" i="11"/>
  <c r="AD48" i="11" s="1"/>
  <c r="AC47" i="11"/>
  <c r="AD47" i="11" s="1"/>
  <c r="AC46" i="11"/>
  <c r="AD46" i="11" s="1"/>
  <c r="AC45" i="11"/>
  <c r="AD45" i="11" s="1"/>
  <c r="AC44" i="11"/>
  <c r="AD44" i="11" s="1"/>
  <c r="AC43" i="11"/>
  <c r="AD43" i="11" s="1"/>
  <c r="AC42" i="11"/>
  <c r="AD42" i="11" s="1"/>
  <c r="AC41" i="11"/>
  <c r="AD41" i="11" s="1"/>
  <c r="AC40" i="11"/>
  <c r="AD40" i="11" s="1"/>
  <c r="AC39" i="11"/>
  <c r="AD39" i="11" s="1"/>
  <c r="AC38" i="11"/>
  <c r="AD38" i="11" s="1"/>
  <c r="AC37" i="11"/>
  <c r="AD37" i="11" s="1"/>
  <c r="AC36" i="11"/>
  <c r="AD36" i="11" s="1"/>
  <c r="AC35" i="11"/>
  <c r="AD35" i="11" s="1"/>
  <c r="AC34" i="11"/>
  <c r="AD34" i="11" s="1"/>
  <c r="AC33" i="11"/>
  <c r="AD33" i="11" s="1"/>
  <c r="AC32" i="11"/>
  <c r="AD32" i="11" s="1"/>
  <c r="AC31" i="11"/>
  <c r="AD31" i="11" s="1"/>
  <c r="AC30" i="11"/>
  <c r="AD30" i="11" s="1"/>
  <c r="AC29" i="11"/>
  <c r="AD29" i="11" s="1"/>
  <c r="AC28" i="11"/>
  <c r="AD28" i="11" s="1"/>
  <c r="AC27" i="11"/>
  <c r="AD27" i="11" s="1"/>
  <c r="AC26" i="11"/>
  <c r="AD26" i="11" s="1"/>
  <c r="AC25" i="11"/>
  <c r="AD25" i="11" s="1"/>
  <c r="AC24" i="11"/>
  <c r="AD24" i="11" s="1"/>
  <c r="AC23" i="11"/>
  <c r="AD23" i="11" s="1"/>
  <c r="AC22" i="11"/>
  <c r="AD22" i="11" s="1"/>
  <c r="AC21" i="11"/>
  <c r="AD21" i="11" s="1"/>
  <c r="AC20" i="11"/>
  <c r="AD20" i="11" s="1"/>
  <c r="AC19" i="11"/>
  <c r="AD19" i="11" s="1"/>
  <c r="AC18" i="11"/>
  <c r="AD18" i="11" s="1"/>
  <c r="AC17" i="11"/>
  <c r="AD17" i="11" s="1"/>
  <c r="AC16" i="11"/>
  <c r="AD16" i="11" s="1"/>
  <c r="AC15" i="11"/>
  <c r="AD15" i="11" s="1"/>
  <c r="AC14" i="11"/>
  <c r="AD14" i="11" s="1"/>
  <c r="AC13" i="11"/>
  <c r="AD13" i="11" s="1"/>
  <c r="AC12" i="11"/>
  <c r="AD12" i="11" s="1"/>
  <c r="AC11" i="11"/>
  <c r="AD11" i="11" s="1"/>
  <c r="AC10" i="11"/>
  <c r="AD10" i="11" s="1"/>
  <c r="AC9" i="11"/>
  <c r="AD9" i="11" s="1"/>
  <c r="AC8" i="11"/>
  <c r="AD8" i="11" s="1"/>
  <c r="Y54" i="11"/>
  <c r="Z54" i="11" s="1"/>
  <c r="Y50" i="11"/>
  <c r="Z50" i="11" s="1"/>
  <c r="Y46" i="11"/>
  <c r="Z46" i="11" s="1"/>
  <c r="Y41" i="11"/>
  <c r="Z41" i="11" s="1"/>
  <c r="Y40" i="11"/>
  <c r="Z40" i="11" s="1"/>
  <c r="Y37" i="11"/>
  <c r="Z37" i="11" s="1"/>
  <c r="Y36" i="11"/>
  <c r="Z36" i="11" s="1"/>
  <c r="Y33" i="11"/>
  <c r="Z33" i="11" s="1"/>
  <c r="Y32" i="11"/>
  <c r="Z32" i="11" s="1"/>
  <c r="Y29" i="11"/>
  <c r="Z29" i="11" s="1"/>
  <c r="Y28" i="11"/>
  <c r="Z28" i="11" s="1"/>
  <c r="Y25" i="11"/>
  <c r="Z25" i="11" s="1"/>
  <c r="Y24" i="11"/>
  <c r="Z24" i="11" s="1"/>
  <c r="Y21" i="11"/>
  <c r="Z21" i="11" s="1"/>
  <c r="Y20" i="11"/>
  <c r="Z20" i="11" s="1"/>
  <c r="Y17" i="11"/>
  <c r="Z17" i="11" s="1"/>
  <c r="Y16" i="11"/>
  <c r="Z16" i="11" s="1"/>
  <c r="Y13" i="11"/>
  <c r="Z13" i="11" s="1"/>
  <c r="Y12" i="11"/>
  <c r="Z12" i="11" s="1"/>
  <c r="Y9" i="11"/>
  <c r="Z9" i="11" s="1"/>
  <c r="Y8" i="11"/>
  <c r="Z8" i="11" s="1"/>
  <c r="S56" i="11"/>
  <c r="U56" i="11" s="1"/>
  <c r="V56" i="11" s="1"/>
  <c r="T55" i="11"/>
  <c r="U55" i="11" s="1"/>
  <c r="V55" i="11" s="1"/>
  <c r="U54" i="11"/>
  <c r="V54" i="11" s="1"/>
  <c r="S52" i="11"/>
  <c r="U52" i="11" s="1"/>
  <c r="V52" i="11" s="1"/>
  <c r="T51" i="11"/>
  <c r="U51" i="11" s="1"/>
  <c r="V51" i="11" s="1"/>
  <c r="U50" i="11"/>
  <c r="V50" i="11" s="1"/>
  <c r="S48" i="11"/>
  <c r="U48" i="11" s="1"/>
  <c r="V48" i="11" s="1"/>
  <c r="T47" i="11"/>
  <c r="U47" i="11" s="1"/>
  <c r="V47" i="11" s="1"/>
  <c r="U46" i="11"/>
  <c r="V46" i="11" s="1"/>
  <c r="U42" i="11"/>
  <c r="V42" i="11" s="1"/>
  <c r="U38" i="11"/>
  <c r="V38" i="11" s="1"/>
  <c r="U34" i="11"/>
  <c r="V34" i="11" s="1"/>
  <c r="U30" i="11"/>
  <c r="V30" i="11" s="1"/>
  <c r="U26" i="11"/>
  <c r="V26" i="11" s="1"/>
  <c r="U22" i="11"/>
  <c r="V22" i="11" s="1"/>
  <c r="U18" i="11"/>
  <c r="V18" i="11" s="1"/>
  <c r="U14" i="11"/>
  <c r="V14" i="11" s="1"/>
  <c r="U10" i="11"/>
  <c r="V10" i="11" s="1"/>
  <c r="O56" i="11"/>
  <c r="Q56" i="11" s="1"/>
  <c r="R56" i="11" s="1"/>
  <c r="O55" i="11"/>
  <c r="Q55" i="11" s="1"/>
  <c r="R55" i="11" s="1"/>
  <c r="O52" i="11"/>
  <c r="Q52" i="11" s="1"/>
  <c r="R52" i="11" s="1"/>
  <c r="O51" i="11"/>
  <c r="Q51" i="11" s="1"/>
  <c r="R51" i="11" s="1"/>
  <c r="O48" i="11"/>
  <c r="Q48" i="11" s="1"/>
  <c r="R48" i="11" s="1"/>
  <c r="O47" i="11"/>
  <c r="Q47" i="11" s="1"/>
  <c r="R47" i="11" s="1"/>
  <c r="O44" i="11"/>
  <c r="Q44" i="11" s="1"/>
  <c r="R44" i="11" s="1"/>
  <c r="O43" i="11"/>
  <c r="Q43" i="11" s="1"/>
  <c r="R43" i="11" s="1"/>
  <c r="O40" i="11"/>
  <c r="Q40" i="11" s="1"/>
  <c r="R40" i="11" s="1"/>
  <c r="O39" i="11"/>
  <c r="Q39" i="11" s="1"/>
  <c r="R39" i="11" s="1"/>
  <c r="O36" i="11"/>
  <c r="Q36" i="11" s="1"/>
  <c r="R36" i="11" s="1"/>
  <c r="O35" i="11"/>
  <c r="Q35" i="11" s="1"/>
  <c r="R35" i="11" s="1"/>
  <c r="O32" i="11"/>
  <c r="Q32" i="11" s="1"/>
  <c r="R32" i="11" s="1"/>
  <c r="O31" i="11"/>
  <c r="Q31" i="11" s="1"/>
  <c r="R31" i="11" s="1"/>
  <c r="O28" i="11"/>
  <c r="Q28" i="11" s="1"/>
  <c r="R28" i="11" s="1"/>
  <c r="O27" i="11"/>
  <c r="Q27" i="11" s="1"/>
  <c r="R27" i="11" s="1"/>
  <c r="O24" i="11"/>
  <c r="Q24" i="11" s="1"/>
  <c r="R24" i="11" s="1"/>
  <c r="O23" i="11"/>
  <c r="Q23" i="11" s="1"/>
  <c r="R23" i="11" s="1"/>
  <c r="BA21" i="11"/>
  <c r="BB21" i="11" s="1"/>
  <c r="BA20" i="11"/>
  <c r="BB20" i="11" s="1"/>
  <c r="BA19" i="11"/>
  <c r="BB19" i="11" s="1"/>
  <c r="BA18" i="11"/>
  <c r="BB18" i="11" s="1"/>
  <c r="BA17" i="11"/>
  <c r="BB17" i="11" s="1"/>
  <c r="BA16" i="11"/>
  <c r="BB16" i="11" s="1"/>
  <c r="BA15" i="11"/>
  <c r="BB15" i="11" s="1"/>
  <c r="BA14" i="11"/>
  <c r="BB14" i="11" s="1"/>
  <c r="BA13" i="11"/>
  <c r="BB13" i="11" s="1"/>
  <c r="BA12" i="11"/>
  <c r="BB12" i="11" s="1"/>
  <c r="BA11" i="11"/>
  <c r="BB11" i="11" s="1"/>
  <c r="BA10" i="11"/>
  <c r="BB10" i="11" s="1"/>
  <c r="BA9" i="11"/>
  <c r="BB9" i="11" s="1"/>
  <c r="BA8" i="11"/>
  <c r="BB8" i="11" s="1"/>
  <c r="AS57" i="11"/>
  <c r="AT57" i="11" s="1"/>
  <c r="AS54" i="11"/>
  <c r="AT54" i="11" s="1"/>
  <c r="AS53" i="11"/>
  <c r="AT53" i="11" s="1"/>
  <c r="AS50" i="11"/>
  <c r="AT50" i="11" s="1"/>
  <c r="AS49" i="11"/>
  <c r="AT49" i="11" s="1"/>
  <c r="AS46" i="11"/>
  <c r="AT46" i="11" s="1"/>
  <c r="AS45" i="11"/>
  <c r="AT45" i="11" s="1"/>
  <c r="Y42" i="11"/>
  <c r="Z42" i="11" s="1"/>
  <c r="Y39" i="11"/>
  <c r="Z39" i="11" s="1"/>
  <c r="Y38" i="11"/>
  <c r="Z38" i="11" s="1"/>
  <c r="Y35" i="11"/>
  <c r="Z35" i="11" s="1"/>
  <c r="Y34" i="11"/>
  <c r="Z34" i="11" s="1"/>
  <c r="Y31" i="11"/>
  <c r="Z31" i="11" s="1"/>
  <c r="Y30" i="11"/>
  <c r="Z30" i="11" s="1"/>
  <c r="Y27" i="11"/>
  <c r="Z27" i="11" s="1"/>
  <c r="Y26" i="11"/>
  <c r="Z26" i="11" s="1"/>
  <c r="Y23" i="11"/>
  <c r="Z23" i="11" s="1"/>
  <c r="Y22" i="11"/>
  <c r="Z22" i="11" s="1"/>
  <c r="Y19" i="11"/>
  <c r="Z19" i="11" s="1"/>
  <c r="Y18" i="11"/>
  <c r="Z18" i="11" s="1"/>
  <c r="Y15" i="11"/>
  <c r="Z15" i="11" s="1"/>
  <c r="Y14" i="11"/>
  <c r="Z14" i="11" s="1"/>
  <c r="Y11" i="11"/>
  <c r="Z11" i="11" s="1"/>
  <c r="Y10" i="11"/>
  <c r="Z10" i="11" s="1"/>
  <c r="AX59" i="11"/>
  <c r="BF21" i="11" s="1"/>
  <c r="AP59" i="11"/>
  <c r="BF19" i="11" s="1"/>
  <c r="AH59" i="11"/>
  <c r="BF17" i="11" s="1"/>
  <c r="AL59" i="11"/>
  <c r="BF18" i="11" s="1"/>
  <c r="AD59" i="11"/>
  <c r="BF16" i="11" s="1"/>
  <c r="G57" i="11"/>
  <c r="H57" i="11"/>
  <c r="G55" i="11"/>
  <c r="H55" i="11"/>
  <c r="L55" i="11"/>
  <c r="M55" i="11" s="1"/>
  <c r="N55" i="11" s="1"/>
  <c r="G53" i="11"/>
  <c r="H53" i="11"/>
  <c r="L53" i="11"/>
  <c r="M53" i="11" s="1"/>
  <c r="N53" i="11" s="1"/>
  <c r="G51" i="11"/>
  <c r="H51" i="11"/>
  <c r="L51" i="11"/>
  <c r="M51" i="11" s="1"/>
  <c r="N51" i="11" s="1"/>
  <c r="G49" i="11"/>
  <c r="H49" i="11"/>
  <c r="L49" i="11"/>
  <c r="M49" i="11" s="1"/>
  <c r="N49" i="11" s="1"/>
  <c r="G47" i="11"/>
  <c r="H47" i="11"/>
  <c r="L47" i="11"/>
  <c r="M47" i="11" s="1"/>
  <c r="N47" i="11" s="1"/>
  <c r="H45" i="11"/>
  <c r="G45" i="11"/>
  <c r="L45" i="11"/>
  <c r="M45" i="11" s="1"/>
  <c r="N45" i="11" s="1"/>
  <c r="H43" i="11"/>
  <c r="G43" i="11"/>
  <c r="L43" i="11"/>
  <c r="M43" i="11" s="1"/>
  <c r="N43" i="11" s="1"/>
  <c r="H41" i="11"/>
  <c r="G41" i="11"/>
  <c r="L41" i="11"/>
  <c r="M41" i="11" s="1"/>
  <c r="N41" i="11" s="1"/>
  <c r="H39" i="11"/>
  <c r="G39" i="11"/>
  <c r="L39" i="11"/>
  <c r="M39" i="11" s="1"/>
  <c r="N39" i="11" s="1"/>
  <c r="H37" i="11"/>
  <c r="G37" i="11"/>
  <c r="L37" i="11"/>
  <c r="M37" i="11" s="1"/>
  <c r="N37" i="11" s="1"/>
  <c r="H35" i="11"/>
  <c r="G35" i="11"/>
  <c r="L35" i="11"/>
  <c r="M35" i="11" s="1"/>
  <c r="N35" i="11" s="1"/>
  <c r="H33" i="11"/>
  <c r="G33" i="11"/>
  <c r="L33" i="11"/>
  <c r="M33" i="11" s="1"/>
  <c r="N33" i="11" s="1"/>
  <c r="H31" i="11"/>
  <c r="G31" i="11"/>
  <c r="L31" i="11"/>
  <c r="M31" i="11" s="1"/>
  <c r="N31" i="11" s="1"/>
  <c r="H29" i="11"/>
  <c r="G29" i="11"/>
  <c r="L29" i="11"/>
  <c r="M29" i="11" s="1"/>
  <c r="N29" i="11" s="1"/>
  <c r="H27" i="11"/>
  <c r="G27" i="11"/>
  <c r="L27" i="11"/>
  <c r="M27" i="11" s="1"/>
  <c r="N27" i="11" s="1"/>
  <c r="H25" i="11"/>
  <c r="G25" i="11"/>
  <c r="L25" i="11"/>
  <c r="M25" i="11" s="1"/>
  <c r="N25" i="11" s="1"/>
  <c r="H23" i="11"/>
  <c r="G23" i="11"/>
  <c r="L23" i="11"/>
  <c r="M23" i="11" s="1"/>
  <c r="N23" i="11" s="1"/>
  <c r="H21" i="11"/>
  <c r="G21" i="11"/>
  <c r="L21" i="11"/>
  <c r="M21" i="11" s="1"/>
  <c r="N21" i="11" s="1"/>
  <c r="H19" i="11"/>
  <c r="G19" i="11"/>
  <c r="L19" i="11"/>
  <c r="M19" i="11" s="1"/>
  <c r="N19" i="11" s="1"/>
  <c r="H17" i="11"/>
  <c r="G17" i="11"/>
  <c r="L17" i="11"/>
  <c r="M17" i="11" s="1"/>
  <c r="N17" i="11" s="1"/>
  <c r="H15" i="11"/>
  <c r="G15" i="11"/>
  <c r="L15" i="11"/>
  <c r="M15" i="11" s="1"/>
  <c r="N15" i="11" s="1"/>
  <c r="H13" i="11"/>
  <c r="G13" i="11"/>
  <c r="L13" i="11"/>
  <c r="M13" i="11" s="1"/>
  <c r="N13" i="11" s="1"/>
  <c r="H11" i="11"/>
  <c r="G11" i="11"/>
  <c r="L11" i="11"/>
  <c r="M11" i="11" s="1"/>
  <c r="N11" i="11" s="1"/>
  <c r="H9" i="11"/>
  <c r="G9" i="11"/>
  <c r="L9" i="11"/>
  <c r="M9" i="11" s="1"/>
  <c r="N9" i="11" s="1"/>
  <c r="G56" i="11"/>
  <c r="H56" i="11"/>
  <c r="L56" i="11"/>
  <c r="M56" i="11" s="1"/>
  <c r="N56" i="11" s="1"/>
  <c r="G54" i="11"/>
  <c r="H54" i="11"/>
  <c r="L54" i="11"/>
  <c r="M54" i="11" s="1"/>
  <c r="N54" i="11" s="1"/>
  <c r="G52" i="11"/>
  <c r="H52" i="11"/>
  <c r="L52" i="11"/>
  <c r="M52" i="11" s="1"/>
  <c r="N52" i="11" s="1"/>
  <c r="G50" i="11"/>
  <c r="H50" i="11"/>
  <c r="L50" i="11"/>
  <c r="M50" i="11" s="1"/>
  <c r="N50" i="11" s="1"/>
  <c r="G48" i="11"/>
  <c r="H48" i="11"/>
  <c r="L48" i="11"/>
  <c r="M48" i="11" s="1"/>
  <c r="N48" i="11" s="1"/>
  <c r="H46" i="11"/>
  <c r="G46" i="11"/>
  <c r="L46" i="11"/>
  <c r="M46" i="11" s="1"/>
  <c r="N46" i="11" s="1"/>
  <c r="H44" i="11"/>
  <c r="G44" i="11"/>
  <c r="L44" i="11"/>
  <c r="M44" i="11" s="1"/>
  <c r="N44" i="11" s="1"/>
  <c r="H42" i="11"/>
  <c r="G42" i="11"/>
  <c r="L42" i="11"/>
  <c r="M42" i="11" s="1"/>
  <c r="N42" i="11" s="1"/>
  <c r="H40" i="11"/>
  <c r="G40" i="11"/>
  <c r="L40" i="11"/>
  <c r="M40" i="11" s="1"/>
  <c r="N40" i="11" s="1"/>
  <c r="H38" i="11"/>
  <c r="G38" i="11"/>
  <c r="L38" i="11"/>
  <c r="M38" i="11" s="1"/>
  <c r="N38" i="11" s="1"/>
  <c r="H36" i="11"/>
  <c r="G36" i="11"/>
  <c r="L36" i="11"/>
  <c r="M36" i="11" s="1"/>
  <c r="N36" i="11" s="1"/>
  <c r="H34" i="11"/>
  <c r="G34" i="11"/>
  <c r="L34" i="11"/>
  <c r="M34" i="11" s="1"/>
  <c r="N34" i="11" s="1"/>
  <c r="H32" i="11"/>
  <c r="G32" i="11"/>
  <c r="L32" i="11"/>
  <c r="M32" i="11" s="1"/>
  <c r="N32" i="11" s="1"/>
  <c r="H30" i="11"/>
  <c r="G30" i="11"/>
  <c r="L30" i="11"/>
  <c r="M30" i="11" s="1"/>
  <c r="N30" i="11" s="1"/>
  <c r="H28" i="11"/>
  <c r="G28" i="11"/>
  <c r="L28" i="11"/>
  <c r="M28" i="11" s="1"/>
  <c r="N28" i="11" s="1"/>
  <c r="H26" i="11"/>
  <c r="G26" i="11"/>
  <c r="L26" i="11"/>
  <c r="M26" i="11" s="1"/>
  <c r="N26" i="11" s="1"/>
  <c r="H24" i="11"/>
  <c r="G24" i="11"/>
  <c r="L24" i="11"/>
  <c r="M24" i="11" s="1"/>
  <c r="N24" i="11" s="1"/>
  <c r="H22" i="11"/>
  <c r="G22" i="11"/>
  <c r="L22" i="11"/>
  <c r="M22" i="11" s="1"/>
  <c r="N22" i="11" s="1"/>
  <c r="H20" i="11"/>
  <c r="G20" i="11"/>
  <c r="L20" i="11"/>
  <c r="M20" i="11" s="1"/>
  <c r="N20" i="11" s="1"/>
  <c r="H18" i="11"/>
  <c r="G18" i="11"/>
  <c r="L18" i="11"/>
  <c r="M18" i="11" s="1"/>
  <c r="N18" i="11" s="1"/>
  <c r="H16" i="11"/>
  <c r="G16" i="11"/>
  <c r="L16" i="11"/>
  <c r="M16" i="11" s="1"/>
  <c r="N16" i="11" s="1"/>
  <c r="H14" i="11"/>
  <c r="G14" i="11"/>
  <c r="L14" i="11"/>
  <c r="M14" i="11" s="1"/>
  <c r="N14" i="11" s="1"/>
  <c r="H12" i="11"/>
  <c r="G12" i="11"/>
  <c r="L12" i="11"/>
  <c r="M12" i="11" s="1"/>
  <c r="N12" i="11" s="1"/>
  <c r="H10" i="11"/>
  <c r="G10" i="11"/>
  <c r="L10" i="11"/>
  <c r="M10" i="11" s="1"/>
  <c r="N10" i="11" s="1"/>
  <c r="H8" i="11"/>
  <c r="G8" i="11"/>
  <c r="L8" i="11"/>
  <c r="M8" i="11" s="1"/>
  <c r="N8" i="11" s="1"/>
  <c r="I10" i="11" l="1"/>
  <c r="I14" i="11"/>
  <c r="J14" i="11" s="1"/>
  <c r="I18" i="11"/>
  <c r="J18" i="11" s="1"/>
  <c r="I22" i="11"/>
  <c r="J22" i="11" s="1"/>
  <c r="I26" i="11"/>
  <c r="J26" i="11" s="1"/>
  <c r="I30" i="11"/>
  <c r="J30" i="11" s="1"/>
  <c r="I34" i="11"/>
  <c r="J34" i="11" s="1"/>
  <c r="I38" i="11"/>
  <c r="J38" i="11" s="1"/>
  <c r="I42" i="11"/>
  <c r="J42" i="11" s="1"/>
  <c r="I46" i="11"/>
  <c r="J46" i="11" s="1"/>
  <c r="I48" i="11"/>
  <c r="J48" i="11" s="1"/>
  <c r="I52" i="11"/>
  <c r="J52" i="11" s="1"/>
  <c r="I56" i="11"/>
  <c r="J56" i="11" s="1"/>
  <c r="I9" i="11"/>
  <c r="J9" i="11" s="1"/>
  <c r="I13" i="11"/>
  <c r="J13" i="11" s="1"/>
  <c r="I17" i="11"/>
  <c r="J17" i="11" s="1"/>
  <c r="I21" i="11"/>
  <c r="J21" i="11" s="1"/>
  <c r="I25" i="11"/>
  <c r="J25" i="11" s="1"/>
  <c r="I29" i="11"/>
  <c r="J29" i="11" s="1"/>
  <c r="I33" i="11"/>
  <c r="J33" i="11" s="1"/>
  <c r="I37" i="11"/>
  <c r="J37" i="11" s="1"/>
  <c r="I41" i="11"/>
  <c r="J41" i="11" s="1"/>
  <c r="I45" i="11"/>
  <c r="J45" i="11" s="1"/>
  <c r="I47" i="11"/>
  <c r="J47" i="11" s="1"/>
  <c r="I51" i="11"/>
  <c r="J51" i="11" s="1"/>
  <c r="I55" i="11"/>
  <c r="J55" i="11" s="1"/>
  <c r="AT59" i="11"/>
  <c r="BF20" i="11" s="1"/>
  <c r="BB59" i="11"/>
  <c r="BF22" i="11" s="1"/>
  <c r="R59" i="11"/>
  <c r="BF13" i="11" s="1"/>
  <c r="V59" i="11"/>
  <c r="BF14" i="11" s="1"/>
  <c r="Z59" i="11"/>
  <c r="BF15" i="11" s="1"/>
  <c r="N59" i="11"/>
  <c r="BF12" i="11" s="1"/>
  <c r="D9" i="11"/>
  <c r="I57" i="11"/>
  <c r="J57" i="11" s="1"/>
  <c r="J10" i="11"/>
  <c r="D10" i="11"/>
  <c r="I8" i="11"/>
  <c r="I12" i="11"/>
  <c r="J12" i="11" s="1"/>
  <c r="I16" i="11"/>
  <c r="J16" i="11" s="1"/>
  <c r="I20" i="11"/>
  <c r="J20" i="11" s="1"/>
  <c r="I24" i="11"/>
  <c r="J24" i="11" s="1"/>
  <c r="I28" i="11"/>
  <c r="J28" i="11" s="1"/>
  <c r="I32" i="11"/>
  <c r="J32" i="11" s="1"/>
  <c r="I36" i="11"/>
  <c r="J36" i="11" s="1"/>
  <c r="I40" i="11"/>
  <c r="J40" i="11" s="1"/>
  <c r="I44" i="11"/>
  <c r="J44" i="11" s="1"/>
  <c r="I50" i="11"/>
  <c r="J50" i="11" s="1"/>
  <c r="I54" i="11"/>
  <c r="J54" i="11" s="1"/>
  <c r="I11" i="11"/>
  <c r="I15" i="11"/>
  <c r="J15" i="11" s="1"/>
  <c r="I19" i="11"/>
  <c r="J19" i="11" s="1"/>
  <c r="I23" i="11"/>
  <c r="J23" i="11" s="1"/>
  <c r="I27" i="11"/>
  <c r="J27" i="11" s="1"/>
  <c r="I31" i="11"/>
  <c r="J31" i="11" s="1"/>
  <c r="I35" i="11"/>
  <c r="J35" i="11" s="1"/>
  <c r="I39" i="11"/>
  <c r="J39" i="11" s="1"/>
  <c r="I43" i="11"/>
  <c r="J43" i="11" s="1"/>
  <c r="I49" i="11"/>
  <c r="J49" i="11" s="1"/>
  <c r="I53" i="11"/>
  <c r="J53" i="11" s="1"/>
  <c r="E10" i="11" l="1"/>
  <c r="F10" i="11"/>
  <c r="J6" i="14"/>
  <c r="J11" i="11"/>
  <c r="D11" i="11"/>
  <c r="J8" i="11"/>
  <c r="J59" i="11" s="1"/>
  <c r="BF11" i="11" s="1"/>
  <c r="D8" i="11"/>
  <c r="F9" i="11"/>
  <c r="E9" i="11"/>
  <c r="J5" i="14"/>
  <c r="E8" i="11" l="1"/>
  <c r="J4" i="14"/>
  <c r="F8" i="11" s="1"/>
  <c r="F11" i="11"/>
  <c r="E11" i="11"/>
  <c r="J7" i="14"/>
</calcChain>
</file>

<file path=xl/sharedStrings.xml><?xml version="1.0" encoding="utf-8"?>
<sst xmlns="http://schemas.openxmlformats.org/spreadsheetml/2006/main" count="187" uniqueCount="41">
  <si>
    <t>DATA</t>
  </si>
  <si>
    <t>ENTRADA</t>
  </si>
  <si>
    <t>SAÍDA</t>
  </si>
  <si>
    <t>PAGAMENTO EFETUADO</t>
  </si>
  <si>
    <t>PAGAMENTO ADIADO</t>
  </si>
  <si>
    <t>NÃO VENCIDO</t>
  </si>
  <si>
    <t>JANEIRO</t>
  </si>
  <si>
    <t xml:space="preserve">SALDO MENSAL:    </t>
  </si>
  <si>
    <t>PAGAMENTO ATRASADO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</si>
  <si>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</si>
  <si>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</si>
  <si>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</si>
  <si>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</si>
  <si>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</si>
  <si>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</si>
  <si>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</si>
  <si>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</si>
  <si>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</si>
  <si>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</si>
  <si>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</si>
  <si>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ID Produto</t>
  </si>
  <si>
    <t>NOME DO PRODUTO</t>
  </si>
  <si>
    <t>DESCRIÇÃO</t>
  </si>
  <si>
    <t>UNIDADE</t>
  </si>
  <si>
    <t>ESTOQUE INICIAL</t>
  </si>
  <si>
    <t>ESTOQUE MÍNIMO</t>
  </si>
  <si>
    <t>NOTA</t>
  </si>
  <si>
    <t>PRODUTO</t>
  </si>
  <si>
    <t>NOTA FISCAL</t>
  </si>
  <si>
    <t>TOTAL</t>
  </si>
  <si>
    <t>VALOR EM ESTOQUE</t>
  </si>
  <si>
    <t>ESTOQUE ATUAL</t>
  </si>
  <si>
    <t>VALOR DO ESTOQUE</t>
  </si>
  <si>
    <t>VALOR DA UNIDADE</t>
  </si>
  <si>
    <t>NECESSIDADE DE ESTOQUE (?)</t>
  </si>
  <si>
    <t xml:space="preserve">VALOR MENSAL EM ESTOQUE:     </t>
  </si>
  <si>
    <r>
      <rPr>
        <b/>
        <i/>
        <sz val="18"/>
        <color theme="0"/>
        <rFont val="Calibri"/>
        <family val="2"/>
        <scheme val="minor"/>
      </rPr>
      <t>CONTROLE DE ESTOQUES</t>
    </r>
    <r>
      <rPr>
        <i/>
        <sz val="16"/>
        <color theme="0"/>
        <rFont val="Calibri"/>
        <family val="2"/>
        <scheme val="minor"/>
      </rPr>
      <t>- INÍCIO</t>
    </r>
  </si>
  <si>
    <r>
      <rPr>
        <b/>
        <i/>
        <sz val="18"/>
        <color theme="0"/>
        <rFont val="Calibri"/>
        <family val="2"/>
        <scheme val="minor"/>
      </rPr>
      <t>CONTROLE DE ESTOQUES</t>
    </r>
    <r>
      <rPr>
        <i/>
        <sz val="16"/>
        <color theme="0"/>
        <rFont val="Calibri"/>
        <family val="2"/>
        <scheme val="minor"/>
      </rPr>
      <t>- INVENTÁRIO</t>
    </r>
  </si>
  <si>
    <r>
      <rPr>
        <b/>
        <i/>
        <sz val="18"/>
        <color theme="0"/>
        <rFont val="Calibri"/>
        <family val="2"/>
        <scheme val="minor"/>
      </rPr>
      <t>CONTROLE DE ESTOQUES</t>
    </r>
    <r>
      <rPr>
        <i/>
        <sz val="16"/>
        <color theme="0"/>
        <rFont val="Calibri"/>
        <family val="2"/>
        <scheme val="minor"/>
      </rPr>
      <t>- CONTROLE</t>
    </r>
  </si>
  <si>
    <r>
      <rPr>
        <b/>
        <i/>
        <sz val="18"/>
        <color theme="0"/>
        <rFont val="Calibri"/>
        <family val="2"/>
        <scheme val="minor"/>
      </rPr>
      <t>CONTROLE DE ESTOQUES</t>
    </r>
    <r>
      <rPr>
        <i/>
        <sz val="16"/>
        <color theme="0"/>
        <rFont val="Calibri"/>
        <family val="2"/>
        <scheme val="minor"/>
      </rPr>
      <t>- PANORAMA</t>
    </r>
  </si>
  <si>
    <r>
      <rPr>
        <b/>
        <i/>
        <sz val="18"/>
        <color theme="0"/>
        <rFont val="Calibri"/>
        <family val="2"/>
        <scheme val="minor"/>
      </rPr>
      <t>CONTROLE DE ESTOQUES</t>
    </r>
    <r>
      <rPr>
        <i/>
        <sz val="16"/>
        <color theme="0"/>
        <rFont val="Calibri"/>
        <family val="2"/>
        <scheme val="minor"/>
      </rPr>
      <t>- ENTRADAS E SAÍDAS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</si>
</sst>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9"/>
      <color theme="1" tint="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i/>
      <sz val="22"/>
      <color theme="0"/>
      <name val="Calibri"/>
      <family val="2"/>
      <scheme val="minor"/>
    </font>
    <font>
      <b/>
      <i/>
      <sz val="18"/>
      <color theme="0"/>
      <name val="Calibri"/>
      <family val="2"/>
      <scheme val="minor"/>
    </font>
    <font>
      <i/>
      <sz val="16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8080"/>
        <bgColor indexed="64"/>
      </patternFill>
    </fill>
  </fills>
  <borders count="26">
    <border>
      <left/>
      <right/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4.9989318521683403E-2"/>
      </left>
      <right/>
      <top style="medium">
        <color theme="0" tint="-4.9989318521683403E-2"/>
      </top>
      <bottom style="medium">
        <color theme="0" tint="-4.9989318521683403E-2"/>
      </bottom>
      <diagonal/>
    </border>
    <border>
      <left/>
      <right/>
      <top style="medium">
        <color theme="0" tint="-4.9989318521683403E-2"/>
      </top>
      <bottom style="medium">
        <color theme="0" tint="-4.9989318521683403E-2"/>
      </bottom>
      <diagonal/>
    </border>
    <border>
      <left/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/>
      <bottom style="thin">
        <color theme="1" tint="4.9989318521683403E-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theme="6" tint="-0.499984740745262"/>
      </bottom>
      <diagonal/>
    </border>
    <border>
      <left/>
      <right/>
      <top style="medium">
        <color indexed="64"/>
      </top>
      <bottom style="dashed">
        <color theme="6" tint="-0.499984740745262"/>
      </bottom>
      <diagonal/>
    </border>
    <border>
      <left/>
      <right/>
      <top/>
      <bottom style="dashed">
        <color theme="6" tint="-0.499984740745262"/>
      </bottom>
      <diagonal/>
    </border>
    <border>
      <left style="medium">
        <color indexed="64"/>
      </left>
      <right/>
      <top/>
      <bottom style="dashed">
        <color theme="6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5">
    <xf numFmtId="0" fontId="0" fillId="0" borderId="0" xfId="0"/>
    <xf numFmtId="0" fontId="0" fillId="2" borderId="0" xfId="0" applyFill="1"/>
    <xf numFmtId="0" fontId="0" fillId="0" borderId="0" xfId="0" applyBorder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3" fillId="0" borderId="0" xfId="0" applyFont="1" applyBorder="1"/>
    <xf numFmtId="0" fontId="5" fillId="4" borderId="3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3" borderId="1" xfId="0" applyFill="1" applyBorder="1" applyAlignment="1">
      <alignment vertical="center"/>
    </xf>
    <xf numFmtId="44" fontId="0" fillId="3" borderId="1" xfId="2" applyFont="1" applyFill="1" applyBorder="1" applyAlignment="1">
      <alignment vertical="center"/>
    </xf>
    <xf numFmtId="164" fontId="3" fillId="0" borderId="0" xfId="1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0" fillId="3" borderId="2" xfId="0" applyFill="1" applyBorder="1" applyAlignment="1">
      <alignment vertical="center"/>
    </xf>
    <xf numFmtId="0" fontId="0" fillId="2" borderId="0" xfId="0" applyFill="1" applyBorder="1"/>
    <xf numFmtId="0" fontId="5" fillId="2" borderId="0" xfId="0" applyFont="1" applyFill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8" fillId="0" borderId="0" xfId="0" applyFont="1"/>
    <xf numFmtId="0" fontId="8" fillId="0" borderId="0" xfId="0" applyFont="1" applyBorder="1"/>
    <xf numFmtId="0" fontId="2" fillId="0" borderId="0" xfId="0" applyFont="1" applyFill="1"/>
    <xf numFmtId="0" fontId="0" fillId="0" borderId="0" xfId="0" applyFill="1"/>
    <xf numFmtId="0" fontId="7" fillId="0" borderId="0" xfId="0" applyFont="1" applyAlignment="1">
      <alignment horizontal="left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7" fillId="0" borderId="10" xfId="0" applyFont="1" applyFill="1" applyBorder="1"/>
    <xf numFmtId="0" fontId="7" fillId="5" borderId="9" xfId="0" applyFont="1" applyFill="1" applyBorder="1" applyAlignment="1">
      <alignment horizontal="left" vertical="center"/>
    </xf>
    <xf numFmtId="16" fontId="0" fillId="3" borderId="1" xfId="0" applyNumberFormat="1" applyFill="1" applyBorder="1" applyAlignment="1">
      <alignment vertical="center"/>
    </xf>
    <xf numFmtId="16" fontId="0" fillId="3" borderId="2" xfId="0" applyNumberFormat="1" applyFill="1" applyBorder="1" applyAlignment="1">
      <alignment vertical="center"/>
    </xf>
    <xf numFmtId="0" fontId="0" fillId="0" borderId="0" xfId="0" applyFill="1" applyBorder="1"/>
    <xf numFmtId="0" fontId="7" fillId="0" borderId="0" xfId="0" applyFont="1" applyAlignment="1">
      <alignment horizontal="center"/>
    </xf>
    <xf numFmtId="0" fontId="12" fillId="0" borderId="2" xfId="0" applyFont="1" applyFill="1" applyBorder="1" applyAlignment="1">
      <alignment horizontal="left"/>
    </xf>
    <xf numFmtId="0" fontId="12" fillId="0" borderId="12" xfId="0" applyFont="1" applyFill="1" applyBorder="1" applyAlignment="1">
      <alignment horizontal="center"/>
    </xf>
    <xf numFmtId="0" fontId="12" fillId="0" borderId="13" xfId="0" applyFont="1" applyFill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164" fontId="0" fillId="0" borderId="0" xfId="1" applyNumberFormat="1" applyFont="1" applyAlignment="1">
      <alignment horizontal="center"/>
    </xf>
    <xf numFmtId="164" fontId="5" fillId="4" borderId="3" xfId="1" applyNumberFormat="1" applyFont="1" applyFill="1" applyBorder="1" applyAlignment="1">
      <alignment horizontal="center" vertical="center"/>
    </xf>
    <xf numFmtId="164" fontId="0" fillId="3" borderId="4" xfId="1" applyNumberFormat="1" applyFont="1" applyFill="1" applyBorder="1" applyAlignment="1">
      <alignment horizontal="center" vertical="center"/>
    </xf>
    <xf numFmtId="164" fontId="8" fillId="0" borderId="0" xfId="1" applyNumberFormat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7" fillId="2" borderId="0" xfId="0" applyFont="1" applyFill="1" applyBorder="1"/>
    <xf numFmtId="0" fontId="0" fillId="0" borderId="0" xfId="0" applyAlignment="1">
      <alignment horizontal="center" vertical="center"/>
    </xf>
    <xf numFmtId="44" fontId="12" fillId="0" borderId="12" xfId="2" applyFont="1" applyFill="1" applyBorder="1" applyAlignment="1">
      <alignment horizontal="center"/>
    </xf>
    <xf numFmtId="44" fontId="12" fillId="0" borderId="12" xfId="2" applyFont="1" applyBorder="1" applyAlignment="1">
      <alignment horizontal="center"/>
    </xf>
    <xf numFmtId="44" fontId="7" fillId="0" borderId="0" xfId="2" applyFont="1" applyAlignment="1">
      <alignment horizontal="center"/>
    </xf>
    <xf numFmtId="44" fontId="0" fillId="0" borderId="0" xfId="2" applyFont="1" applyAlignment="1">
      <alignment horizontal="center" vertical="center"/>
    </xf>
    <xf numFmtId="44" fontId="6" fillId="0" borderId="0" xfId="2" applyFont="1" applyFill="1" applyBorder="1" applyAlignment="1">
      <alignment horizontal="center" vertical="center"/>
    </xf>
    <xf numFmtId="44" fontId="5" fillId="2" borderId="0" xfId="2" applyFont="1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7" fillId="0" borderId="17" xfId="0" applyFont="1" applyFill="1" applyBorder="1"/>
    <xf numFmtId="0" fontId="7" fillId="2" borderId="0" xfId="0" applyFont="1" applyFill="1" applyBorder="1" applyAlignment="1">
      <alignment horizontal="left" vertical="center"/>
    </xf>
    <xf numFmtId="0" fontId="0" fillId="2" borderId="0" xfId="0" applyFill="1" applyBorder="1" applyAlignment="1">
      <alignment horizontal="center" vertical="center"/>
    </xf>
    <xf numFmtId="44" fontId="0" fillId="2" borderId="0" xfId="2" applyFont="1" applyFill="1" applyBorder="1" applyAlignment="1">
      <alignment horizontal="center" vertical="center"/>
    </xf>
    <xf numFmtId="0" fontId="7" fillId="0" borderId="11" xfId="0" applyFont="1" applyFill="1" applyBorder="1"/>
    <xf numFmtId="0" fontId="0" fillId="0" borderId="11" xfId="0" applyFill="1" applyBorder="1" applyAlignment="1">
      <alignment horizontal="center" vertical="center"/>
    </xf>
    <xf numFmtId="44" fontId="0" fillId="0" borderId="11" xfId="0" applyNumberFormat="1" applyFill="1" applyBorder="1" applyAlignment="1">
      <alignment horizontal="center" vertical="center"/>
    </xf>
    <xf numFmtId="0" fontId="4" fillId="2" borderId="0" xfId="0" applyFont="1" applyFill="1" applyBorder="1"/>
    <xf numFmtId="0" fontId="0" fillId="3" borderId="11" xfId="0" applyFill="1" applyBorder="1" applyAlignment="1">
      <alignment horizontal="center" vertical="center"/>
    </xf>
    <xf numFmtId="44" fontId="0" fillId="3" borderId="11" xfId="2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13" fillId="7" borderId="18" xfId="0" applyFont="1" applyFill="1" applyBorder="1" applyAlignment="1">
      <alignment horizontal="center" vertical="center"/>
    </xf>
    <xf numFmtId="0" fontId="13" fillId="7" borderId="11" xfId="0" applyFont="1" applyFill="1" applyBorder="1" applyAlignment="1">
      <alignment horizontal="center" vertical="center"/>
    </xf>
    <xf numFmtId="0" fontId="13" fillId="7" borderId="1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3" fillId="0" borderId="0" xfId="0" applyFont="1" applyFill="1" applyBorder="1"/>
    <xf numFmtId="44" fontId="0" fillId="0" borderId="0" xfId="0" applyNumberFormat="1" applyAlignment="1">
      <alignment horizontal="center" vertical="center"/>
    </xf>
    <xf numFmtId="44" fontId="7" fillId="0" borderId="19" xfId="0" applyNumberFormat="1" applyFont="1" applyBorder="1" applyAlignment="1">
      <alignment horizontal="center" vertical="center"/>
    </xf>
    <xf numFmtId="0" fontId="3" fillId="2" borderId="0" xfId="0" applyFont="1" applyFill="1" applyBorder="1"/>
    <xf numFmtId="0" fontId="3" fillId="0" borderId="0" xfId="0" applyFont="1" applyAlignment="1">
      <alignment vertical="center"/>
    </xf>
    <xf numFmtId="44" fontId="3" fillId="0" borderId="0" xfId="2" applyFont="1" applyAlignment="1">
      <alignment vertical="center"/>
    </xf>
    <xf numFmtId="44" fontId="3" fillId="0" borderId="0" xfId="2" applyFont="1"/>
    <xf numFmtId="0" fontId="0" fillId="2" borderId="0" xfId="0" applyFont="1" applyFill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/>
    <xf numFmtId="0" fontId="17" fillId="9" borderId="21" xfId="0" applyFont="1" applyFill="1" applyBorder="1" applyAlignment="1">
      <alignment vertical="center"/>
    </xf>
    <xf numFmtId="0" fontId="3" fillId="9" borderId="22" xfId="0" applyFont="1" applyFill="1" applyBorder="1"/>
    <xf numFmtId="0" fontId="14" fillId="9" borderId="21" xfId="0" applyFont="1" applyFill="1" applyBorder="1" applyAlignment="1">
      <alignment vertical="center"/>
    </xf>
    <xf numFmtId="0" fontId="14" fillId="9" borderId="22" xfId="0" applyFont="1" applyFill="1" applyBorder="1" applyAlignment="1">
      <alignment vertical="center"/>
    </xf>
    <xf numFmtId="0" fontId="12" fillId="0" borderId="1" xfId="0" applyFont="1" applyFill="1" applyBorder="1" applyAlignment="1">
      <alignment horizontal="left"/>
    </xf>
    <xf numFmtId="0" fontId="12" fillId="0" borderId="4" xfId="0" applyFont="1" applyFill="1" applyBorder="1" applyAlignment="1">
      <alignment horizontal="center"/>
    </xf>
    <xf numFmtId="44" fontId="12" fillId="0" borderId="4" xfId="2" applyFont="1" applyFill="1" applyBorder="1" applyAlignment="1">
      <alignment horizontal="center"/>
    </xf>
    <xf numFmtId="0" fontId="12" fillId="0" borderId="25" xfId="0" applyFont="1" applyFill="1" applyBorder="1" applyAlignment="1">
      <alignment horizontal="center"/>
    </xf>
    <xf numFmtId="0" fontId="7" fillId="7" borderId="24" xfId="0" applyFont="1" applyFill="1" applyBorder="1" applyAlignment="1">
      <alignment horizontal="left"/>
    </xf>
    <xf numFmtId="0" fontId="7" fillId="7" borderId="24" xfId="0" applyFont="1" applyFill="1" applyBorder="1" applyAlignment="1">
      <alignment horizontal="center"/>
    </xf>
    <xf numFmtId="44" fontId="7" fillId="7" borderId="24" xfId="2" applyFont="1" applyFill="1" applyBorder="1" applyAlignment="1">
      <alignment horizontal="center"/>
    </xf>
    <xf numFmtId="0" fontId="14" fillId="9" borderId="20" xfId="0" applyFont="1" applyFill="1" applyBorder="1" applyAlignment="1">
      <alignment horizontal="center" vertical="center"/>
    </xf>
    <xf numFmtId="0" fontId="14" fillId="9" borderId="21" xfId="0" applyFont="1" applyFill="1" applyBorder="1" applyAlignment="1">
      <alignment horizontal="center" vertical="center"/>
    </xf>
    <xf numFmtId="0" fontId="14" fillId="9" borderId="23" xfId="0" applyFont="1" applyFill="1" applyBorder="1" applyAlignment="1">
      <alignment horizontal="center" vertical="center"/>
    </xf>
    <xf numFmtId="0" fontId="14" fillId="9" borderId="22" xfId="0" applyFont="1" applyFill="1" applyBorder="1" applyAlignment="1">
      <alignment horizontal="center" vertical="center"/>
    </xf>
    <xf numFmtId="164" fontId="11" fillId="5" borderId="8" xfId="1" applyNumberFormat="1" applyFont="1" applyFill="1" applyBorder="1" applyAlignment="1">
      <alignment horizontal="right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right"/>
    </xf>
    <xf numFmtId="0" fontId="10" fillId="7" borderId="6" xfId="0" applyFont="1" applyFill="1" applyBorder="1" applyAlignment="1">
      <alignment horizontal="right"/>
    </xf>
    <xf numFmtId="0" fontId="10" fillId="7" borderId="7" xfId="0" applyFont="1" applyFill="1" applyBorder="1" applyAlignment="1">
      <alignment horizontal="right"/>
    </xf>
    <xf numFmtId="0" fontId="6" fillId="4" borderId="14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13" fillId="7" borderId="11" xfId="0" applyFont="1" applyFill="1" applyBorder="1" applyAlignment="1">
      <alignment horizontal="center" vertical="center"/>
    </xf>
    <xf numFmtId="44" fontId="13" fillId="7" borderId="11" xfId="2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right" vertical="center"/>
    </xf>
    <xf numFmtId="0" fontId="4" fillId="8" borderId="6" xfId="0" applyFont="1" applyFill="1" applyBorder="1" applyAlignment="1">
      <alignment horizontal="right" vertical="center"/>
    </xf>
  </cellXfs>
  <cellStyles count="3">
    <cellStyle name="Moeda" xfId="2" builtinId="4"/>
    <cellStyle name="Normal" xfId="0" builtinId="0"/>
    <cellStyle name="Vírgula" xfId="1" builtinId="3"/>
  </cellStyles>
  <dxfs count="1">
    <dxf>
      <font>
        <color rgb="FFC00000"/>
      </font>
    </dxf>
  </dxfs>
  <tableStyles count="0" defaultTableStyle="TableStyleMedium9" defaultPivotStyle="PivotStyleLight16"/>
  <colors>
    <mruColors>
      <color rgb="FF006666"/>
      <color rgb="FF008080"/>
      <color rgb="FF339933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>
                <a:solidFill>
                  <a:schemeClr val="bg1">
                    <a:lumMod val="85000"/>
                  </a:schemeClr>
                </a:solidFill>
              </a:defRPr>
            </a:pPr>
            <a:r>
              <a:rPr lang="en-US" sz="1800">
                <a:solidFill>
                  <a:schemeClr val="bg1">
                    <a:lumMod val="85000"/>
                  </a:schemeClr>
                </a:solidFill>
              </a:rPr>
              <a:t>VALORES MENSAIS EM ESTOQUE</a:t>
            </a:r>
          </a:p>
        </c:rich>
      </c:tx>
      <c:layout>
        <c:manualLayout>
          <c:xMode val="edge"/>
          <c:yMode val="edge"/>
          <c:x val="0.46277028719574764"/>
          <c:y val="4.102563155937088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1.833333573928296E-2"/>
          <c:y val="0.24133686998844245"/>
          <c:w val="0.96333332852143416"/>
          <c:h val="0.5990050465531995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60000"/>
                <a:lumOff val="40000"/>
              </a:schemeClr>
            </a:solidFill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txPr>
              <a:bodyPr/>
              <a:lstStyle/>
              <a:p>
                <a:pPr>
                  <a:defRPr lang="en-US" sz="1600" b="1">
                    <a:solidFill>
                      <a:schemeClr val="bg1">
                        <a:lumMod val="95000"/>
                      </a:schemeClr>
                    </a:solidFill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Controle!$BE$11:$BE$22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Controle!$BF$11:$BF$22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16"/>
        <c:overlap val="99"/>
        <c:axId val="94062464"/>
        <c:axId val="94090752"/>
      </c:barChart>
      <c:catAx>
        <c:axId val="94062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 sz="1200" b="1">
                <a:solidFill>
                  <a:schemeClr val="bg1">
                    <a:lumMod val="95000"/>
                  </a:schemeClr>
                </a:solidFill>
              </a:defRPr>
            </a:pPr>
            <a:endParaRPr lang="pt-BR"/>
          </a:p>
        </c:txPr>
        <c:crossAx val="94090752"/>
        <c:crosses val="autoZero"/>
        <c:auto val="1"/>
        <c:lblAlgn val="ctr"/>
        <c:lblOffset val="100"/>
        <c:noMultiLvlLbl val="0"/>
      </c:catAx>
      <c:valAx>
        <c:axId val="94090752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one"/>
        <c:crossAx val="94062464"/>
        <c:crosses val="autoZero"/>
        <c:crossBetween val="between"/>
      </c:valAx>
      <c:spPr>
        <a:noFill/>
        <a:ln w="25400">
          <a:noFill/>
        </a:ln>
        <a:scene3d>
          <a:camera prst="orthographicFront"/>
          <a:lightRig rig="threePt" dir="t"/>
        </a:scene3d>
        <a:sp3d>
          <a:bevelT/>
        </a:sp3d>
      </c:spPr>
    </c:plotArea>
    <c:plotVisOnly val="1"/>
    <c:dispBlanksAs val="gap"/>
    <c:showDLblsOverMax val="0"/>
  </c:chart>
  <c:spPr>
    <a:solidFill>
      <a:schemeClr val="tx1">
        <a:lumMod val="85000"/>
        <a:lumOff val="15000"/>
      </a:schemeClr>
    </a:solidFill>
  </c:spPr>
  <c:printSettings>
    <c:headerFooter/>
    <c:pageMargins b="0.78740157499999996" l="0.511811024" r="0.511811024" t="0.78740157499999996" header="0.31496062000000113" footer="0.3149606200000011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acelere.vc" TargetMode="External"/><Relationship Id="rId3" Type="http://schemas.openxmlformats.org/officeDocument/2006/relationships/hyperlink" Target="#Invent&#225;rio!A1"/><Relationship Id="rId7" Type="http://schemas.openxmlformats.org/officeDocument/2006/relationships/hyperlink" Target="#Panorama!A1"/><Relationship Id="rId2" Type="http://schemas.openxmlformats.org/officeDocument/2006/relationships/image" Target="../media/image1.png"/><Relationship Id="rId1" Type="http://schemas.openxmlformats.org/officeDocument/2006/relationships/hyperlink" Target="#An&#225;lise!A1"/><Relationship Id="rId6" Type="http://schemas.openxmlformats.org/officeDocument/2006/relationships/hyperlink" Target="#Controle!A1"/><Relationship Id="rId5" Type="http://schemas.openxmlformats.org/officeDocument/2006/relationships/hyperlink" Target="#'Entradas e Sa&#237;das'!A1"/><Relationship Id="rId4" Type="http://schemas.openxmlformats.org/officeDocument/2006/relationships/hyperlink" Target="#'Fatores Internos'!A1"/><Relationship Id="rId9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celere.vc" TargetMode="External"/><Relationship Id="rId2" Type="http://schemas.openxmlformats.org/officeDocument/2006/relationships/image" Target="../media/image3.png"/><Relationship Id="rId1" Type="http://schemas.openxmlformats.org/officeDocument/2006/relationships/hyperlink" Target="#In&#237;cio!A1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celere.vc" TargetMode="External"/><Relationship Id="rId2" Type="http://schemas.openxmlformats.org/officeDocument/2006/relationships/image" Target="../media/image3.png"/><Relationship Id="rId1" Type="http://schemas.openxmlformats.org/officeDocument/2006/relationships/hyperlink" Target="#In&#237;cio!A1"/><Relationship Id="rId4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celere.vc" TargetMode="External"/><Relationship Id="rId2" Type="http://schemas.openxmlformats.org/officeDocument/2006/relationships/image" Target="../media/image3.png"/><Relationship Id="rId1" Type="http://schemas.openxmlformats.org/officeDocument/2006/relationships/hyperlink" Target="#In&#237;cio!A1"/><Relationship Id="rId4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In&#237;cio!A1"/><Relationship Id="rId1" Type="http://schemas.openxmlformats.org/officeDocument/2006/relationships/chart" Target="../charts/chart1.xml"/><Relationship Id="rId5" Type="http://schemas.openxmlformats.org/officeDocument/2006/relationships/image" Target="../media/image2.png"/><Relationship Id="rId4" Type="http://schemas.openxmlformats.org/officeDocument/2006/relationships/hyperlink" Target="http://www.acelere.vc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333375</xdr:colOff>
      <xdr:row>9</xdr:row>
      <xdr:rowOff>133350</xdr:rowOff>
    </xdr:from>
    <xdr:to>
      <xdr:col>4</xdr:col>
      <xdr:colOff>400050</xdr:colOff>
      <xdr:row>12</xdr:row>
      <xdr:rowOff>100888</xdr:rowOff>
    </xdr:to>
    <xdr:grpSp>
      <xdr:nvGrpSpPr>
        <xdr:cNvPr id="9" name="Grupo 8">
          <a:hlinkClick xmlns:r="http://schemas.openxmlformats.org/officeDocument/2006/relationships" r:id="rId1"/>
        </xdr:cNvPr>
        <xdr:cNvGrpSpPr/>
      </xdr:nvGrpSpPr>
      <xdr:grpSpPr>
        <a:xfrm>
          <a:off x="942975" y="2114550"/>
          <a:ext cx="1895475" cy="539038"/>
          <a:chOff x="285750" y="2400300"/>
          <a:chExt cx="1895475" cy="539038"/>
        </a:xfrm>
      </xdr:grpSpPr>
      <xdr:pic>
        <xdr:nvPicPr>
          <xdr:cNvPr id="14" name="Imagem 13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5" name="CaixaDeTexto 14">
            <a:hlinkClick xmlns:r="http://schemas.openxmlformats.org/officeDocument/2006/relationships" r:id="rId3"/>
          </xdr:cNvPr>
          <xdr:cNvSpPr txBox="1"/>
        </xdr:nvSpPr>
        <xdr:spPr>
          <a:xfrm>
            <a:off x="542925" y="2524125"/>
            <a:ext cx="1390649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INVENTÁRIO</a:t>
            </a:r>
          </a:p>
        </xdr:txBody>
      </xdr:sp>
    </xdr:grpSp>
    <xdr:clientData/>
  </xdr:twoCellAnchor>
  <xdr:twoCellAnchor>
    <xdr:from>
      <xdr:col>6</xdr:col>
      <xdr:colOff>381000</xdr:colOff>
      <xdr:row>9</xdr:row>
      <xdr:rowOff>142875</xdr:rowOff>
    </xdr:from>
    <xdr:to>
      <xdr:col>9</xdr:col>
      <xdr:colOff>447675</xdr:colOff>
      <xdr:row>12</xdr:row>
      <xdr:rowOff>110413</xdr:rowOff>
    </xdr:to>
    <xdr:grpSp>
      <xdr:nvGrpSpPr>
        <xdr:cNvPr id="17" name="Grupo 16">
          <a:hlinkClick xmlns:r="http://schemas.openxmlformats.org/officeDocument/2006/relationships" r:id="rId4"/>
        </xdr:cNvPr>
        <xdr:cNvGrpSpPr/>
      </xdr:nvGrpSpPr>
      <xdr:grpSpPr>
        <a:xfrm>
          <a:off x="4038600" y="2124075"/>
          <a:ext cx="1895475" cy="539038"/>
          <a:chOff x="285750" y="2400300"/>
          <a:chExt cx="1895475" cy="539038"/>
        </a:xfrm>
      </xdr:grpSpPr>
      <xdr:pic>
        <xdr:nvPicPr>
          <xdr:cNvPr id="18" name="Imagem 17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9" name="CaixaDeTexto 18">
            <a:hlinkClick xmlns:r="http://schemas.openxmlformats.org/officeDocument/2006/relationships" r:id="rId5"/>
          </xdr:cNvPr>
          <xdr:cNvSpPr txBox="1"/>
        </xdr:nvSpPr>
        <xdr:spPr>
          <a:xfrm>
            <a:off x="419100" y="2524125"/>
            <a:ext cx="1638299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ENTRADAS E SAÍDAS</a:t>
            </a:r>
          </a:p>
        </xdr:txBody>
      </xdr:sp>
    </xdr:grpSp>
    <xdr:clientData/>
  </xdr:twoCellAnchor>
  <xdr:twoCellAnchor>
    <xdr:from>
      <xdr:col>11</xdr:col>
      <xdr:colOff>238125</xdr:colOff>
      <xdr:row>9</xdr:row>
      <xdr:rowOff>142875</xdr:rowOff>
    </xdr:from>
    <xdr:to>
      <xdr:col>14</xdr:col>
      <xdr:colOff>304800</xdr:colOff>
      <xdr:row>12</xdr:row>
      <xdr:rowOff>110413</xdr:rowOff>
    </xdr:to>
    <xdr:grpSp>
      <xdr:nvGrpSpPr>
        <xdr:cNvPr id="20" name="Grupo 19">
          <a:hlinkClick xmlns:r="http://schemas.openxmlformats.org/officeDocument/2006/relationships" r:id="rId1"/>
        </xdr:cNvPr>
        <xdr:cNvGrpSpPr/>
      </xdr:nvGrpSpPr>
      <xdr:grpSpPr>
        <a:xfrm>
          <a:off x="6943725" y="2124075"/>
          <a:ext cx="1895475" cy="539038"/>
          <a:chOff x="285750" y="2400300"/>
          <a:chExt cx="1895475" cy="539038"/>
        </a:xfrm>
      </xdr:grpSpPr>
      <xdr:pic>
        <xdr:nvPicPr>
          <xdr:cNvPr id="21" name="Imagem 20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2" name="CaixaDeTexto 21">
            <a:hlinkClick xmlns:r="http://schemas.openxmlformats.org/officeDocument/2006/relationships" r:id="rId6"/>
          </xdr:cNvPr>
          <xdr:cNvSpPr txBox="1"/>
        </xdr:nvSpPr>
        <xdr:spPr>
          <a:xfrm>
            <a:off x="400050" y="2524125"/>
            <a:ext cx="1685925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CONTROLE</a:t>
            </a:r>
          </a:p>
        </xdr:txBody>
      </xdr:sp>
    </xdr:grpSp>
    <xdr:clientData/>
  </xdr:twoCellAnchor>
  <xdr:twoCellAnchor>
    <xdr:from>
      <xdr:col>15</xdr:col>
      <xdr:colOff>523875</xdr:colOff>
      <xdr:row>9</xdr:row>
      <xdr:rowOff>161925</xdr:rowOff>
    </xdr:from>
    <xdr:to>
      <xdr:col>18</xdr:col>
      <xdr:colOff>590550</xdr:colOff>
      <xdr:row>12</xdr:row>
      <xdr:rowOff>129463</xdr:rowOff>
    </xdr:to>
    <xdr:grpSp>
      <xdr:nvGrpSpPr>
        <xdr:cNvPr id="24" name="Grupo 23">
          <a:hlinkClick xmlns:r="http://schemas.openxmlformats.org/officeDocument/2006/relationships" r:id="rId1"/>
        </xdr:cNvPr>
        <xdr:cNvGrpSpPr/>
      </xdr:nvGrpSpPr>
      <xdr:grpSpPr>
        <a:xfrm>
          <a:off x="9667875" y="2143125"/>
          <a:ext cx="1895475" cy="539038"/>
          <a:chOff x="285750" y="2400300"/>
          <a:chExt cx="1895475" cy="539038"/>
        </a:xfrm>
      </xdr:grpSpPr>
      <xdr:pic>
        <xdr:nvPicPr>
          <xdr:cNvPr id="25" name="Imagem 24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6" name="CaixaDeTexto 25">
            <a:hlinkClick xmlns:r="http://schemas.openxmlformats.org/officeDocument/2006/relationships" r:id="rId7"/>
          </xdr:cNvPr>
          <xdr:cNvSpPr txBox="1"/>
        </xdr:nvSpPr>
        <xdr:spPr>
          <a:xfrm>
            <a:off x="400050" y="2524125"/>
            <a:ext cx="1685925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PANORAMA</a:t>
            </a:r>
          </a:p>
        </xdr:txBody>
      </xdr:sp>
    </xdr:grpSp>
    <xdr:clientData/>
  </xdr:twoCellAnchor>
  <xdr:twoCellAnchor editAs="oneCell">
    <xdr:from>
      <xdr:col>18</xdr:col>
      <xdr:colOff>219075</xdr:colOff>
      <xdr:row>0</xdr:row>
      <xdr:rowOff>0</xdr:rowOff>
    </xdr:from>
    <xdr:to>
      <xdr:col>20</xdr:col>
      <xdr:colOff>200025</xdr:colOff>
      <xdr:row>1</xdr:row>
      <xdr:rowOff>19049</xdr:rowOff>
    </xdr:to>
    <xdr:pic>
      <xdr:nvPicPr>
        <xdr:cNvPr id="27" name="Imagem 26">
          <a:hlinkClick xmlns:r="http://schemas.openxmlformats.org/officeDocument/2006/relationships" r:id="rId8"/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91875" y="0"/>
          <a:ext cx="1200150" cy="4762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57150</xdr:rowOff>
    </xdr:from>
    <xdr:to>
      <xdr:col>1</xdr:col>
      <xdr:colOff>28575</xdr:colOff>
      <xdr:row>0</xdr:row>
      <xdr:rowOff>387199</xdr:rowOff>
    </xdr:to>
    <xdr:pic>
      <xdr:nvPicPr>
        <xdr:cNvPr id="8" name="Imagem 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7150"/>
          <a:ext cx="561975" cy="330049"/>
        </a:xfrm>
        <a:prstGeom prst="rect">
          <a:avLst/>
        </a:prstGeom>
      </xdr:spPr>
    </xdr:pic>
    <xdr:clientData/>
  </xdr:twoCellAnchor>
  <xdr:twoCellAnchor editAs="oneCell">
    <xdr:from>
      <xdr:col>12</xdr:col>
      <xdr:colOff>190500</xdr:colOff>
      <xdr:row>0</xdr:row>
      <xdr:rowOff>0</xdr:rowOff>
    </xdr:from>
    <xdr:to>
      <xdr:col>14</xdr:col>
      <xdr:colOff>171450</xdr:colOff>
      <xdr:row>1</xdr:row>
      <xdr:rowOff>19049</xdr:rowOff>
    </xdr:to>
    <xdr:pic>
      <xdr:nvPicPr>
        <xdr:cNvPr id="9" name="Imagem 8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72825" y="0"/>
          <a:ext cx="1200150" cy="4762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57150</xdr:rowOff>
    </xdr:from>
    <xdr:to>
      <xdr:col>6</xdr:col>
      <xdr:colOff>123825</xdr:colOff>
      <xdr:row>0</xdr:row>
      <xdr:rowOff>387199</xdr:rowOff>
    </xdr:to>
    <xdr:pic>
      <xdr:nvPicPr>
        <xdr:cNvPr id="6" name="Imagem 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7150"/>
          <a:ext cx="561975" cy="330049"/>
        </a:xfrm>
        <a:prstGeom prst="rect">
          <a:avLst/>
        </a:prstGeom>
      </xdr:spPr>
    </xdr:pic>
    <xdr:clientData/>
  </xdr:twoCellAnchor>
  <xdr:twoCellAnchor editAs="oneCell">
    <xdr:from>
      <xdr:col>85</xdr:col>
      <xdr:colOff>533400</xdr:colOff>
      <xdr:row>0</xdr:row>
      <xdr:rowOff>0</xdr:rowOff>
    </xdr:from>
    <xdr:to>
      <xdr:col>87</xdr:col>
      <xdr:colOff>514350</xdr:colOff>
      <xdr:row>1</xdr:row>
      <xdr:rowOff>19049</xdr:rowOff>
    </xdr:to>
    <xdr:pic>
      <xdr:nvPicPr>
        <xdr:cNvPr id="7" name="Imagem 6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72825" y="0"/>
          <a:ext cx="1200150" cy="47624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2220383</xdr:colOff>
      <xdr:row>0</xdr:row>
      <xdr:rowOff>0</xdr:rowOff>
    </xdr:from>
    <xdr:to>
      <xdr:col>42</xdr:col>
      <xdr:colOff>783166</xdr:colOff>
      <xdr:row>1</xdr:row>
      <xdr:rowOff>0</xdr:rowOff>
    </xdr:to>
    <xdr:sp macro="" textlink="">
      <xdr:nvSpPr>
        <xdr:cNvPr id="3" name="Retângulo 2"/>
        <xdr:cNvSpPr/>
      </xdr:nvSpPr>
      <xdr:spPr>
        <a:xfrm>
          <a:off x="3448050" y="0"/>
          <a:ext cx="6796616" cy="3598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2400" b="1">
              <a:solidFill>
                <a:schemeClr val="tx2">
                  <a:lumMod val="50000"/>
                </a:schemeClr>
              </a:solidFill>
              <a:latin typeface="+mn-lt"/>
              <a:ea typeface="+mn-ea"/>
              <a:cs typeface="+mn-cs"/>
            </a:rPr>
            <a:t>Fluxo de Caixa</a:t>
          </a:r>
          <a:r>
            <a:rPr lang="pt-BR" sz="2400" b="1" baseline="0">
              <a:solidFill>
                <a:schemeClr val="tx2">
                  <a:lumMod val="50000"/>
                </a:schemeClr>
              </a:solidFill>
            </a:rPr>
            <a:t> - </a:t>
          </a:r>
          <a:r>
            <a:rPr lang="pt-BR" sz="2400" b="1">
              <a:solidFill>
                <a:schemeClr val="tx2">
                  <a:lumMod val="50000"/>
                </a:schemeClr>
              </a:solidFill>
            </a:rPr>
            <a:t>DRE</a:t>
          </a:r>
        </a:p>
      </xdr:txBody>
    </xdr:sp>
    <xdr:clientData/>
  </xdr:twoCellAnchor>
  <xdr:twoCellAnchor editAs="oneCell">
    <xdr:from>
      <xdr:col>0</xdr:col>
      <xdr:colOff>76200</xdr:colOff>
      <xdr:row>0</xdr:row>
      <xdr:rowOff>57150</xdr:rowOff>
    </xdr:from>
    <xdr:to>
      <xdr:col>1</xdr:col>
      <xdr:colOff>28575</xdr:colOff>
      <xdr:row>0</xdr:row>
      <xdr:rowOff>387199</xdr:rowOff>
    </xdr:to>
    <xdr:pic>
      <xdr:nvPicPr>
        <xdr:cNvPr id="6" name="Imagem 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7150"/>
          <a:ext cx="561975" cy="330049"/>
        </a:xfrm>
        <a:prstGeom prst="rect">
          <a:avLst/>
        </a:prstGeom>
      </xdr:spPr>
    </xdr:pic>
    <xdr:clientData/>
  </xdr:twoCellAnchor>
  <xdr:twoCellAnchor editAs="oneCell">
    <xdr:from>
      <xdr:col>10</xdr:col>
      <xdr:colOff>695325</xdr:colOff>
      <xdr:row>0</xdr:row>
      <xdr:rowOff>0</xdr:rowOff>
    </xdr:from>
    <xdr:to>
      <xdr:col>11</xdr:col>
      <xdr:colOff>876300</xdr:colOff>
      <xdr:row>1</xdr:row>
      <xdr:rowOff>19049</xdr:rowOff>
    </xdr:to>
    <xdr:pic>
      <xdr:nvPicPr>
        <xdr:cNvPr id="7" name="Imagem 6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72825" y="0"/>
          <a:ext cx="1200150" cy="47624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3</xdr:row>
      <xdr:rowOff>31749</xdr:rowOff>
    </xdr:from>
    <xdr:to>
      <xdr:col>30</xdr:col>
      <xdr:colOff>412750</xdr:colOff>
      <xdr:row>30</xdr:row>
      <xdr:rowOff>174625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76200</xdr:colOff>
      <xdr:row>0</xdr:row>
      <xdr:rowOff>76200</xdr:rowOff>
    </xdr:from>
    <xdr:to>
      <xdr:col>1</xdr:col>
      <xdr:colOff>28575</xdr:colOff>
      <xdr:row>0</xdr:row>
      <xdr:rowOff>406249</xdr:rowOff>
    </xdr:to>
    <xdr:pic>
      <xdr:nvPicPr>
        <xdr:cNvPr id="9" name="Imagem 8">
          <a:hlinkClick xmlns:r="http://schemas.openxmlformats.org/officeDocument/2006/relationships" r:id="rId2"/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76200"/>
          <a:ext cx="561975" cy="330049"/>
        </a:xfrm>
        <a:prstGeom prst="rect">
          <a:avLst/>
        </a:prstGeom>
      </xdr:spPr>
    </xdr:pic>
    <xdr:clientData/>
  </xdr:twoCellAnchor>
  <xdr:twoCellAnchor editAs="oneCell">
    <xdr:from>
      <xdr:col>18</xdr:col>
      <xdr:colOff>200025</xdr:colOff>
      <xdr:row>0</xdr:row>
      <xdr:rowOff>19050</xdr:rowOff>
    </xdr:from>
    <xdr:to>
      <xdr:col>20</xdr:col>
      <xdr:colOff>180975</xdr:colOff>
      <xdr:row>1</xdr:row>
      <xdr:rowOff>38099</xdr:rowOff>
    </xdr:to>
    <xdr:pic>
      <xdr:nvPicPr>
        <xdr:cNvPr id="10" name="Imagem 9">
          <a:hlinkClick xmlns:r="http://schemas.openxmlformats.org/officeDocument/2006/relationships" r:id="rId4"/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72825" y="19050"/>
          <a:ext cx="1200150" cy="476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Views>
    <sheetView tabSelected="1" workbookViewId="0">
      <selection sqref="A1:T1"/>
    </sheetView>
  </sheetViews>
  <sheetFormatPr defaultRowHeight="15" x14ac:dyDescent="0.25"/>
  <cols>
    <col min="1" max="16384" width="9.140625" style="1"/>
  </cols>
  <sheetData>
    <row r="1" spans="1:25" s="78" customFormat="1" ht="36" customHeight="1" x14ac:dyDescent="0.25">
      <c r="A1" s="88" t="s">
        <v>36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77"/>
      <c r="V1" s="77"/>
      <c r="W1" s="77"/>
      <c r="X1" s="77"/>
      <c r="Y1" s="77"/>
    </row>
  </sheetData>
  <mergeCells count="1">
    <mergeCell ref="A1:T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3"/>
  <sheetViews>
    <sheetView showGridLines="0" workbookViewId="0">
      <selection sqref="A1:O1"/>
    </sheetView>
  </sheetViews>
  <sheetFormatPr defaultRowHeight="15" x14ac:dyDescent="0.25"/>
  <cols>
    <col min="1" max="1" width="9.140625" style="3"/>
    <col min="2" max="2" width="4.42578125" customWidth="1"/>
    <col min="3" max="3" width="10.42578125" style="22" bestFit="1" customWidth="1"/>
    <col min="4" max="4" width="19.42578125" style="31" bestFit="1" customWidth="1"/>
    <col min="5" max="5" width="24.5703125" style="31" bestFit="1" customWidth="1"/>
    <col min="6" max="6" width="14.85546875" style="31" bestFit="1" customWidth="1"/>
    <col min="7" max="7" width="20.42578125" style="46" bestFit="1" customWidth="1"/>
    <col min="8" max="8" width="16.28515625" style="31" bestFit="1" customWidth="1"/>
    <col min="9" max="9" width="17.7109375" style="31" bestFit="1" customWidth="1"/>
  </cols>
  <sheetData>
    <row r="1" spans="1:25" s="78" customFormat="1" ht="36" customHeight="1" x14ac:dyDescent="0.25">
      <c r="A1" s="88" t="s">
        <v>37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79"/>
      <c r="Q1" s="79"/>
      <c r="R1" s="79"/>
      <c r="S1" s="79"/>
      <c r="T1" s="79"/>
      <c r="U1" s="77"/>
      <c r="V1" s="77"/>
      <c r="W1" s="77"/>
      <c r="X1" s="77"/>
      <c r="Y1" s="77"/>
    </row>
    <row r="3" spans="1:25" x14ac:dyDescent="0.25">
      <c r="B3" s="2"/>
      <c r="C3" s="85" t="s">
        <v>20</v>
      </c>
      <c r="D3" s="86" t="s">
        <v>21</v>
      </c>
      <c r="E3" s="86" t="s">
        <v>22</v>
      </c>
      <c r="F3" s="86" t="s">
        <v>23</v>
      </c>
      <c r="G3" s="87" t="s">
        <v>33</v>
      </c>
      <c r="H3" s="86" t="s">
        <v>24</v>
      </c>
      <c r="I3" s="86" t="s">
        <v>25</v>
      </c>
      <c r="J3" s="2"/>
    </row>
    <row r="4" spans="1:25" s="21" customFormat="1" x14ac:dyDescent="0.25">
      <c r="A4" s="20"/>
      <c r="B4" s="30"/>
      <c r="C4" s="81"/>
      <c r="D4" s="82"/>
      <c r="E4" s="82"/>
      <c r="F4" s="82"/>
      <c r="G4" s="83"/>
      <c r="H4" s="82"/>
      <c r="I4" s="84"/>
      <c r="J4" s="67" t="e">
        <f>Inventário!I4-Controle!D8</f>
        <v>#VALUE!</v>
      </c>
    </row>
    <row r="5" spans="1:25" s="21" customFormat="1" x14ac:dyDescent="0.25">
      <c r="A5" s="20"/>
      <c r="B5" s="30"/>
      <c r="C5" s="32"/>
      <c r="D5" s="33"/>
      <c r="E5" s="33"/>
      <c r="F5" s="33"/>
      <c r="G5" s="44"/>
      <c r="H5" s="33"/>
      <c r="I5" s="34"/>
      <c r="J5" s="67" t="e">
        <f>Inventário!I5-Controle!D9</f>
        <v>#VALUE!</v>
      </c>
    </row>
    <row r="6" spans="1:25" s="21" customFormat="1" x14ac:dyDescent="0.25">
      <c r="A6" s="20"/>
      <c r="B6" s="30"/>
      <c r="C6" s="32"/>
      <c r="D6" s="33"/>
      <c r="E6" s="33"/>
      <c r="F6" s="33"/>
      <c r="G6" s="44"/>
      <c r="H6" s="33"/>
      <c r="I6" s="34"/>
      <c r="J6" s="67" t="e">
        <f>Inventário!I6-Controle!D10</f>
        <v>#VALUE!</v>
      </c>
    </row>
    <row r="7" spans="1:25" s="21" customFormat="1" x14ac:dyDescent="0.25">
      <c r="A7" s="20"/>
      <c r="B7" s="30"/>
      <c r="C7" s="32"/>
      <c r="D7" s="33"/>
      <c r="E7" s="33"/>
      <c r="F7" s="33"/>
      <c r="G7" s="44"/>
      <c r="H7" s="33"/>
      <c r="I7" s="34"/>
      <c r="J7" s="67" t="e">
        <f>Inventário!I7-Controle!D11</f>
        <v>#VALUE!</v>
      </c>
    </row>
    <row r="8" spans="1:25" s="21" customFormat="1" x14ac:dyDescent="0.25">
      <c r="A8" s="20"/>
      <c r="B8" s="30"/>
      <c r="C8" s="32"/>
      <c r="D8" s="33"/>
      <c r="E8" s="33"/>
      <c r="F8" s="33"/>
      <c r="G8" s="44"/>
      <c r="H8" s="33"/>
      <c r="I8" s="34"/>
      <c r="J8" s="67" t="e">
        <f>Inventário!I8-Controle!D12</f>
        <v>#VALUE!</v>
      </c>
    </row>
    <row r="9" spans="1:25" s="21" customFormat="1" x14ac:dyDescent="0.25">
      <c r="A9" s="20"/>
      <c r="B9" s="30"/>
      <c r="C9" s="32"/>
      <c r="D9" s="33"/>
      <c r="E9" s="33"/>
      <c r="F9" s="33"/>
      <c r="G9" s="44"/>
      <c r="H9" s="33"/>
      <c r="I9" s="34"/>
      <c r="J9" s="67" t="e">
        <f>Inventário!I9-Controle!D13</f>
        <v>#VALUE!</v>
      </c>
    </row>
    <row r="10" spans="1:25" s="21" customFormat="1" x14ac:dyDescent="0.25">
      <c r="A10" s="20"/>
      <c r="B10" s="30"/>
      <c r="C10" s="32"/>
      <c r="D10" s="33"/>
      <c r="E10" s="33"/>
      <c r="F10" s="33"/>
      <c r="G10" s="44"/>
      <c r="H10" s="33"/>
      <c r="I10" s="34"/>
      <c r="J10" s="67" t="e">
        <f>Inventário!I10-Controle!D14</f>
        <v>#VALUE!</v>
      </c>
    </row>
    <row r="11" spans="1:25" s="21" customFormat="1" x14ac:dyDescent="0.25">
      <c r="A11" s="20"/>
      <c r="B11" s="30"/>
      <c r="C11" s="32"/>
      <c r="D11" s="33"/>
      <c r="E11" s="33"/>
      <c r="F11" s="33"/>
      <c r="G11" s="44"/>
      <c r="H11" s="33"/>
      <c r="I11" s="34"/>
      <c r="J11" s="67" t="e">
        <f>Inventário!I11-Controle!D15</f>
        <v>#VALUE!</v>
      </c>
    </row>
    <row r="12" spans="1:25" s="21" customFormat="1" x14ac:dyDescent="0.25">
      <c r="A12" s="20"/>
      <c r="B12" s="30"/>
      <c r="C12" s="32"/>
      <c r="D12" s="33"/>
      <c r="E12" s="33"/>
      <c r="F12" s="33"/>
      <c r="G12" s="44"/>
      <c r="H12" s="33"/>
      <c r="I12" s="34"/>
      <c r="J12" s="67" t="e">
        <f>Inventário!I12-Controle!D16</f>
        <v>#VALUE!</v>
      </c>
    </row>
    <row r="13" spans="1:25" s="21" customFormat="1" x14ac:dyDescent="0.25">
      <c r="A13" s="20"/>
      <c r="B13" s="30"/>
      <c r="C13" s="32"/>
      <c r="D13" s="33"/>
      <c r="E13" s="33"/>
      <c r="F13" s="33"/>
      <c r="G13" s="44"/>
      <c r="H13" s="33"/>
      <c r="I13" s="34"/>
      <c r="J13" s="67" t="e">
        <f>Inventário!I13-Controle!D17</f>
        <v>#VALUE!</v>
      </c>
    </row>
    <row r="14" spans="1:25" x14ac:dyDescent="0.25">
      <c r="B14" s="30"/>
      <c r="C14" s="32"/>
      <c r="D14" s="35"/>
      <c r="E14" s="35"/>
      <c r="F14" s="35"/>
      <c r="G14" s="45"/>
      <c r="H14" s="35"/>
      <c r="I14" s="36"/>
      <c r="J14" s="67" t="e">
        <f>Inventário!I14-Controle!D18</f>
        <v>#VALUE!</v>
      </c>
    </row>
    <row r="15" spans="1:25" x14ac:dyDescent="0.25">
      <c r="B15" s="30"/>
      <c r="C15" s="32"/>
      <c r="D15" s="35"/>
      <c r="E15" s="35"/>
      <c r="F15" s="35"/>
      <c r="G15" s="45"/>
      <c r="H15" s="35"/>
      <c r="I15" s="36"/>
      <c r="J15" s="67" t="e">
        <f>Inventário!I15-Controle!D19</f>
        <v>#VALUE!</v>
      </c>
    </row>
    <row r="16" spans="1:25" x14ac:dyDescent="0.25">
      <c r="B16" s="30"/>
      <c r="C16" s="32"/>
      <c r="D16" s="35"/>
      <c r="E16" s="35"/>
      <c r="F16" s="35"/>
      <c r="G16" s="45"/>
      <c r="H16" s="35"/>
      <c r="I16" s="36"/>
      <c r="J16" s="67" t="e">
        <f>Inventário!I16-Controle!D20</f>
        <v>#VALUE!</v>
      </c>
    </row>
    <row r="17" spans="2:10" x14ac:dyDescent="0.25">
      <c r="B17" s="30"/>
      <c r="C17" s="32"/>
      <c r="D17" s="35"/>
      <c r="E17" s="35"/>
      <c r="F17" s="35"/>
      <c r="G17" s="45"/>
      <c r="H17" s="35"/>
      <c r="I17" s="36"/>
      <c r="J17" s="67" t="e">
        <f>Inventário!I17-Controle!D21</f>
        <v>#VALUE!</v>
      </c>
    </row>
    <row r="18" spans="2:10" x14ac:dyDescent="0.25">
      <c r="B18" s="30"/>
      <c r="C18" s="32"/>
      <c r="D18" s="35"/>
      <c r="E18" s="35"/>
      <c r="F18" s="35"/>
      <c r="G18" s="45"/>
      <c r="H18" s="35"/>
      <c r="I18" s="36"/>
      <c r="J18" s="67" t="e">
        <f>Inventário!I18-Controle!D22</f>
        <v>#VALUE!</v>
      </c>
    </row>
    <row r="19" spans="2:10" x14ac:dyDescent="0.25">
      <c r="B19" s="30"/>
      <c r="C19" s="32"/>
      <c r="D19" s="35"/>
      <c r="E19" s="35"/>
      <c r="F19" s="35"/>
      <c r="G19" s="45"/>
      <c r="H19" s="35"/>
      <c r="I19" s="36"/>
      <c r="J19" s="67" t="e">
        <f>Inventário!I19-Controle!D23</f>
        <v>#VALUE!</v>
      </c>
    </row>
    <row r="20" spans="2:10" x14ac:dyDescent="0.25">
      <c r="B20" s="30"/>
      <c r="C20" s="32"/>
      <c r="D20" s="35"/>
      <c r="E20" s="35"/>
      <c r="F20" s="35"/>
      <c r="G20" s="45"/>
      <c r="H20" s="35"/>
      <c r="I20" s="36"/>
      <c r="J20" s="67" t="e">
        <f>Inventário!I20-Controle!D24</f>
        <v>#VALUE!</v>
      </c>
    </row>
    <row r="21" spans="2:10" x14ac:dyDescent="0.25">
      <c r="B21" s="30"/>
      <c r="C21" s="32"/>
      <c r="D21" s="35"/>
      <c r="E21" s="35"/>
      <c r="F21" s="35"/>
      <c r="G21" s="45"/>
      <c r="H21" s="35"/>
      <c r="I21" s="36"/>
      <c r="J21" s="67" t="e">
        <f>Inventário!I21-Controle!D25</f>
        <v>#VALUE!</v>
      </c>
    </row>
    <row r="22" spans="2:10" x14ac:dyDescent="0.25">
      <c r="B22" s="30"/>
      <c r="C22" s="32"/>
      <c r="D22" s="35"/>
      <c r="E22" s="35"/>
      <c r="F22" s="35"/>
      <c r="G22" s="45"/>
      <c r="H22" s="35"/>
      <c r="I22" s="36"/>
      <c r="J22" s="67" t="e">
        <f>Inventário!I22-Controle!D26</f>
        <v>#VALUE!</v>
      </c>
    </row>
    <row r="23" spans="2:10" x14ac:dyDescent="0.25">
      <c r="B23" s="30"/>
      <c r="C23" s="32"/>
      <c r="D23" s="35"/>
      <c r="E23" s="35"/>
      <c r="F23" s="35"/>
      <c r="G23" s="45"/>
      <c r="H23" s="35"/>
      <c r="I23" s="36"/>
      <c r="J23" s="67" t="e">
        <f>Inventário!I23-Controle!D27</f>
        <v>#VALUE!</v>
      </c>
    </row>
    <row r="24" spans="2:10" x14ac:dyDescent="0.25">
      <c r="B24" s="30"/>
      <c r="C24" s="32"/>
      <c r="D24" s="35"/>
      <c r="E24" s="35"/>
      <c r="F24" s="35"/>
      <c r="G24" s="45"/>
      <c r="H24" s="35"/>
      <c r="I24" s="36"/>
      <c r="J24" s="67" t="e">
        <f>Inventário!I24-Controle!D28</f>
        <v>#VALUE!</v>
      </c>
    </row>
    <row r="25" spans="2:10" x14ac:dyDescent="0.25">
      <c r="B25" s="30"/>
      <c r="C25" s="32"/>
      <c r="D25" s="35"/>
      <c r="E25" s="35"/>
      <c r="F25" s="35"/>
      <c r="G25" s="45"/>
      <c r="H25" s="35"/>
      <c r="I25" s="36"/>
      <c r="J25" s="67" t="e">
        <f>Inventário!I25-Controle!D29</f>
        <v>#VALUE!</v>
      </c>
    </row>
    <row r="26" spans="2:10" x14ac:dyDescent="0.25">
      <c r="B26" s="30"/>
      <c r="C26" s="32"/>
      <c r="D26" s="35"/>
      <c r="E26" s="35"/>
      <c r="F26" s="35"/>
      <c r="G26" s="45"/>
      <c r="H26" s="35"/>
      <c r="I26" s="36"/>
      <c r="J26" s="67" t="e">
        <f>Inventário!I26-Controle!D30</f>
        <v>#VALUE!</v>
      </c>
    </row>
    <row r="27" spans="2:10" x14ac:dyDescent="0.25">
      <c r="B27" s="30"/>
      <c r="C27" s="32"/>
      <c r="D27" s="35"/>
      <c r="E27" s="35"/>
      <c r="F27" s="35"/>
      <c r="G27" s="45"/>
      <c r="H27" s="35"/>
      <c r="I27" s="36"/>
      <c r="J27" s="67" t="e">
        <f>Inventário!I27-Controle!D31</f>
        <v>#VALUE!</v>
      </c>
    </row>
    <row r="28" spans="2:10" x14ac:dyDescent="0.25">
      <c r="B28" s="30"/>
      <c r="C28" s="32"/>
      <c r="D28" s="35"/>
      <c r="E28" s="35"/>
      <c r="F28" s="35"/>
      <c r="G28" s="45"/>
      <c r="H28" s="35"/>
      <c r="I28" s="36"/>
      <c r="J28" s="67" t="e">
        <f>Inventário!I28-Controle!D32</f>
        <v>#VALUE!</v>
      </c>
    </row>
    <row r="29" spans="2:10" x14ac:dyDescent="0.25">
      <c r="B29" s="30"/>
      <c r="C29" s="32"/>
      <c r="D29" s="35"/>
      <c r="E29" s="35"/>
      <c r="F29" s="35"/>
      <c r="G29" s="45"/>
      <c r="H29" s="35"/>
      <c r="I29" s="36"/>
      <c r="J29" s="67" t="e">
        <f>Inventário!I29-Controle!D33</f>
        <v>#VALUE!</v>
      </c>
    </row>
    <row r="30" spans="2:10" x14ac:dyDescent="0.25">
      <c r="B30" s="30"/>
      <c r="C30" s="32"/>
      <c r="D30" s="35"/>
      <c r="E30" s="35"/>
      <c r="F30" s="35"/>
      <c r="G30" s="45"/>
      <c r="H30" s="35"/>
      <c r="I30" s="36"/>
      <c r="J30" s="67" t="e">
        <f>Inventário!I30-Controle!D34</f>
        <v>#VALUE!</v>
      </c>
    </row>
    <row r="31" spans="2:10" x14ac:dyDescent="0.25">
      <c r="B31" s="30"/>
      <c r="C31" s="32"/>
      <c r="D31" s="35"/>
      <c r="E31" s="35"/>
      <c r="F31" s="35"/>
      <c r="G31" s="45"/>
      <c r="H31" s="35"/>
      <c r="I31" s="36"/>
      <c r="J31" s="67" t="e">
        <f>Inventário!I31-Controle!D35</f>
        <v>#VALUE!</v>
      </c>
    </row>
    <row r="32" spans="2:10" x14ac:dyDescent="0.25">
      <c r="B32" s="30"/>
      <c r="C32" s="32"/>
      <c r="D32" s="35"/>
      <c r="E32" s="35"/>
      <c r="F32" s="35"/>
      <c r="G32" s="45"/>
      <c r="H32" s="35"/>
      <c r="I32" s="36"/>
      <c r="J32" s="67" t="e">
        <f>Inventário!I32-Controle!D36</f>
        <v>#VALUE!</v>
      </c>
    </row>
    <row r="33" spans="2:10" x14ac:dyDescent="0.25">
      <c r="B33" s="30"/>
      <c r="C33" s="32"/>
      <c r="D33" s="35"/>
      <c r="E33" s="35"/>
      <c r="F33" s="35"/>
      <c r="G33" s="45"/>
      <c r="H33" s="35"/>
      <c r="I33" s="36"/>
      <c r="J33" s="67" t="e">
        <f>Inventário!I33-Controle!D37</f>
        <v>#VALUE!</v>
      </c>
    </row>
    <row r="34" spans="2:10" x14ac:dyDescent="0.25">
      <c r="B34" s="30"/>
      <c r="C34" s="32"/>
      <c r="D34" s="35"/>
      <c r="E34" s="35"/>
      <c r="F34" s="35"/>
      <c r="G34" s="45"/>
      <c r="H34" s="35"/>
      <c r="I34" s="36"/>
      <c r="J34" s="67" t="e">
        <f>Inventário!I34-Controle!D38</f>
        <v>#VALUE!</v>
      </c>
    </row>
    <row r="35" spans="2:10" x14ac:dyDescent="0.25">
      <c r="B35" s="30"/>
      <c r="C35" s="32"/>
      <c r="D35" s="35"/>
      <c r="E35" s="35"/>
      <c r="F35" s="35"/>
      <c r="G35" s="45"/>
      <c r="H35" s="35"/>
      <c r="I35" s="36"/>
      <c r="J35" s="67" t="e">
        <f>Inventário!I35-Controle!D39</f>
        <v>#VALUE!</v>
      </c>
    </row>
    <row r="36" spans="2:10" x14ac:dyDescent="0.25">
      <c r="B36" s="30"/>
      <c r="C36" s="32"/>
      <c r="D36" s="35"/>
      <c r="E36" s="35"/>
      <c r="F36" s="35"/>
      <c r="G36" s="45"/>
      <c r="H36" s="35"/>
      <c r="I36" s="36"/>
      <c r="J36" s="67" t="e">
        <f>Inventário!I36-Controle!D40</f>
        <v>#VALUE!</v>
      </c>
    </row>
    <row r="37" spans="2:10" x14ac:dyDescent="0.25">
      <c r="B37" s="30"/>
      <c r="C37" s="32"/>
      <c r="D37" s="35"/>
      <c r="E37" s="35"/>
      <c r="F37" s="35"/>
      <c r="G37" s="45"/>
      <c r="H37" s="35"/>
      <c r="I37" s="36"/>
      <c r="J37" s="67" t="e">
        <f>Inventário!I37-Controle!D41</f>
        <v>#VALUE!</v>
      </c>
    </row>
    <row r="38" spans="2:10" x14ac:dyDescent="0.25">
      <c r="B38" s="30"/>
      <c r="C38" s="32"/>
      <c r="D38" s="35"/>
      <c r="E38" s="35"/>
      <c r="F38" s="35"/>
      <c r="G38" s="45"/>
      <c r="H38" s="35"/>
      <c r="I38" s="36"/>
      <c r="J38" s="67" t="e">
        <f>Inventário!I38-Controle!D42</f>
        <v>#VALUE!</v>
      </c>
    </row>
    <row r="39" spans="2:10" x14ac:dyDescent="0.25">
      <c r="B39" s="30"/>
      <c r="C39" s="32"/>
      <c r="D39" s="35"/>
      <c r="E39" s="35"/>
      <c r="F39" s="35"/>
      <c r="G39" s="45"/>
      <c r="H39" s="35"/>
      <c r="I39" s="36"/>
      <c r="J39" s="67" t="e">
        <f>Inventário!I39-Controle!D43</f>
        <v>#VALUE!</v>
      </c>
    </row>
    <row r="40" spans="2:10" x14ac:dyDescent="0.25">
      <c r="B40" s="30"/>
      <c r="C40" s="32"/>
      <c r="D40" s="35"/>
      <c r="E40" s="35"/>
      <c r="F40" s="35"/>
      <c r="G40" s="45"/>
      <c r="H40" s="35"/>
      <c r="I40" s="36"/>
      <c r="J40" s="67" t="e">
        <f>Inventário!I40-Controle!D44</f>
        <v>#VALUE!</v>
      </c>
    </row>
    <row r="41" spans="2:10" x14ac:dyDescent="0.25">
      <c r="B41" s="30"/>
      <c r="C41" s="32"/>
      <c r="D41" s="35"/>
      <c r="E41" s="35"/>
      <c r="F41" s="35"/>
      <c r="G41" s="45"/>
      <c r="H41" s="35"/>
      <c r="I41" s="36"/>
      <c r="J41" s="67" t="e">
        <f>Inventário!I41-Controle!D45</f>
        <v>#VALUE!</v>
      </c>
    </row>
    <row r="42" spans="2:10" x14ac:dyDescent="0.25">
      <c r="B42" s="30"/>
      <c r="C42" s="32"/>
      <c r="D42" s="35"/>
      <c r="E42" s="35"/>
      <c r="F42" s="35"/>
      <c r="G42" s="45"/>
      <c r="H42" s="35"/>
      <c r="I42" s="36"/>
      <c r="J42" s="67" t="e">
        <f>Inventário!I42-Controle!D46</f>
        <v>#VALUE!</v>
      </c>
    </row>
    <row r="43" spans="2:10" x14ac:dyDescent="0.25">
      <c r="B43" s="30"/>
      <c r="C43" s="32"/>
      <c r="D43" s="35"/>
      <c r="E43" s="35"/>
      <c r="F43" s="35"/>
      <c r="G43" s="45"/>
      <c r="H43" s="35"/>
      <c r="I43" s="36"/>
      <c r="J43" s="67" t="e">
        <f>Inventário!I43-Controle!D47</f>
        <v>#VALUE!</v>
      </c>
    </row>
    <row r="44" spans="2:10" x14ac:dyDescent="0.25">
      <c r="B44" s="30"/>
      <c r="C44" s="32"/>
      <c r="D44" s="35"/>
      <c r="E44" s="35"/>
      <c r="F44" s="35"/>
      <c r="G44" s="45"/>
      <c r="H44" s="35"/>
      <c r="I44" s="36"/>
      <c r="J44" s="67" t="e">
        <f>Inventário!I44-Controle!D48</f>
        <v>#VALUE!</v>
      </c>
    </row>
    <row r="45" spans="2:10" x14ac:dyDescent="0.25">
      <c r="B45" s="30"/>
      <c r="C45" s="32"/>
      <c r="D45" s="35"/>
      <c r="E45" s="35"/>
      <c r="F45" s="35"/>
      <c r="G45" s="45"/>
      <c r="H45" s="35"/>
      <c r="I45" s="36"/>
      <c r="J45" s="67" t="e">
        <f>Inventário!I45-Controle!D49</f>
        <v>#VALUE!</v>
      </c>
    </row>
    <row r="46" spans="2:10" x14ac:dyDescent="0.25">
      <c r="B46" s="30"/>
      <c r="C46" s="32"/>
      <c r="D46" s="35"/>
      <c r="E46" s="35"/>
      <c r="F46" s="35"/>
      <c r="G46" s="45"/>
      <c r="H46" s="35"/>
      <c r="I46" s="36"/>
      <c r="J46" s="67" t="e">
        <f>Inventário!I46-Controle!D50</f>
        <v>#VALUE!</v>
      </c>
    </row>
    <row r="47" spans="2:10" x14ac:dyDescent="0.25">
      <c r="B47" s="30"/>
      <c r="C47" s="32"/>
      <c r="D47" s="35"/>
      <c r="E47" s="35"/>
      <c r="F47" s="35"/>
      <c r="G47" s="45"/>
      <c r="H47" s="35"/>
      <c r="I47" s="36"/>
      <c r="J47" s="67" t="e">
        <f>Inventário!I47-Controle!D51</f>
        <v>#VALUE!</v>
      </c>
    </row>
    <row r="48" spans="2:10" x14ac:dyDescent="0.25">
      <c r="B48" s="30"/>
      <c r="C48" s="32"/>
      <c r="D48" s="35"/>
      <c r="E48" s="35"/>
      <c r="F48" s="35"/>
      <c r="G48" s="45"/>
      <c r="H48" s="35"/>
      <c r="I48" s="36"/>
      <c r="J48" s="67" t="e">
        <f>Inventário!I48-Controle!D52</f>
        <v>#VALUE!</v>
      </c>
    </row>
    <row r="49" spans="2:10" x14ac:dyDescent="0.25">
      <c r="B49" s="30"/>
      <c r="C49" s="32"/>
      <c r="D49" s="35"/>
      <c r="E49" s="35"/>
      <c r="F49" s="35"/>
      <c r="G49" s="45"/>
      <c r="H49" s="35"/>
      <c r="I49" s="36"/>
      <c r="J49" s="67" t="e">
        <f>Inventário!I49-Controle!D53</f>
        <v>#VALUE!</v>
      </c>
    </row>
    <row r="50" spans="2:10" x14ac:dyDescent="0.25">
      <c r="B50" s="30"/>
      <c r="C50" s="32"/>
      <c r="D50" s="35"/>
      <c r="E50" s="35"/>
      <c r="F50" s="35"/>
      <c r="G50" s="45"/>
      <c r="H50" s="35"/>
      <c r="I50" s="36"/>
      <c r="J50" s="67" t="e">
        <f>Inventário!I50-Controle!D54</f>
        <v>#VALUE!</v>
      </c>
    </row>
    <row r="51" spans="2:10" x14ac:dyDescent="0.25">
      <c r="B51" s="30"/>
      <c r="C51" s="32"/>
      <c r="D51" s="35"/>
      <c r="E51" s="35"/>
      <c r="F51" s="35"/>
      <c r="G51" s="45"/>
      <c r="H51" s="35"/>
      <c r="I51" s="36"/>
      <c r="J51" s="67" t="e">
        <f>Inventário!I51-Controle!D55</f>
        <v>#VALUE!</v>
      </c>
    </row>
    <row r="52" spans="2:10" x14ac:dyDescent="0.25">
      <c r="B52" s="30"/>
      <c r="C52" s="32"/>
      <c r="D52" s="35"/>
      <c r="E52" s="35"/>
      <c r="F52" s="35"/>
      <c r="G52" s="45"/>
      <c r="H52" s="35"/>
      <c r="I52" s="36"/>
      <c r="J52" s="67" t="e">
        <f>Inventário!I52-Controle!D56</f>
        <v>#VALUE!</v>
      </c>
    </row>
    <row r="53" spans="2:10" x14ac:dyDescent="0.25">
      <c r="B53" s="30"/>
      <c r="C53" s="32"/>
      <c r="D53" s="35"/>
      <c r="E53" s="35"/>
      <c r="F53" s="35"/>
      <c r="G53" s="45"/>
      <c r="H53" s="35"/>
      <c r="I53" s="36"/>
      <c r="J53" s="67" t="e">
        <f>Inventário!I53-Controle!D57</f>
        <v>#VALUE!</v>
      </c>
    </row>
  </sheetData>
  <dataConsolidate/>
  <mergeCells count="1">
    <mergeCell ref="A1:O1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J8:J53" evalError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98"/>
  <sheetViews>
    <sheetView showGridLines="0" zoomScaleNormal="100" workbookViewId="0">
      <selection sqref="A1:CJ1"/>
    </sheetView>
  </sheetViews>
  <sheetFormatPr defaultRowHeight="15" outlineLevelCol="1" x14ac:dyDescent="0.25"/>
  <cols>
    <col min="1" max="1" width="7.7109375" customWidth="1"/>
    <col min="2" max="2" width="13.140625" hidden="1" customWidth="1" outlineLevel="1"/>
    <col min="3" max="3" width="24.42578125" hidden="1" customWidth="1" outlineLevel="1"/>
    <col min="4" max="4" width="27.7109375" hidden="1" customWidth="1" outlineLevel="1"/>
    <col min="5" max="6" width="19.140625" style="37" hidden="1" customWidth="1" outlineLevel="1"/>
    <col min="7" max="7" width="3" style="6" customWidth="1" collapsed="1"/>
    <col min="8" max="8" width="13.140625" hidden="1" customWidth="1" outlineLevel="1"/>
    <col min="9" max="9" width="31" hidden="1" customWidth="1" outlineLevel="1"/>
    <col min="10" max="10" width="27.7109375" hidden="1" customWidth="1" outlineLevel="1"/>
    <col min="11" max="12" width="19.140625" style="37" hidden="1" customWidth="1" outlineLevel="1"/>
    <col min="13" max="13" width="3" style="6" customWidth="1" collapsed="1"/>
    <col min="14" max="14" width="13.140625" hidden="1" customWidth="1" outlineLevel="1"/>
    <col min="15" max="15" width="31" hidden="1" customWidth="1" outlineLevel="1"/>
    <col min="16" max="16" width="27.7109375" hidden="1" customWidth="1" outlineLevel="1"/>
    <col min="17" max="18" width="19.140625" style="37" hidden="1" customWidth="1" outlineLevel="1"/>
    <col min="19" max="19" width="3" style="6" customWidth="1" collapsed="1"/>
    <col min="20" max="20" width="13.140625" hidden="1" customWidth="1" outlineLevel="1"/>
    <col min="21" max="21" width="31" hidden="1" customWidth="1" outlineLevel="1"/>
    <col min="22" max="22" width="27.7109375" hidden="1" customWidth="1" outlineLevel="1"/>
    <col min="23" max="24" width="19.140625" style="37" hidden="1" customWidth="1" outlineLevel="1"/>
    <col min="25" max="25" width="3" style="6" customWidth="1" collapsed="1"/>
    <col min="26" max="26" width="13.140625" hidden="1" customWidth="1" outlineLevel="1"/>
    <col min="27" max="27" width="31" hidden="1" customWidth="1" outlineLevel="1"/>
    <col min="28" max="28" width="27.7109375" hidden="1" customWidth="1" outlineLevel="1"/>
    <col min="29" max="30" width="19.140625" style="37" hidden="1" customWidth="1" outlineLevel="1"/>
    <col min="31" max="31" width="3" style="6" customWidth="1" collapsed="1"/>
    <col min="32" max="32" width="13.140625" hidden="1" customWidth="1" outlineLevel="1"/>
    <col min="33" max="33" width="31" hidden="1" customWidth="1" outlineLevel="1"/>
    <col min="34" max="34" width="27.7109375" hidden="1" customWidth="1" outlineLevel="1"/>
    <col min="35" max="36" width="19.140625" style="37" hidden="1" customWidth="1" outlineLevel="1"/>
    <col min="37" max="37" width="3" style="6" customWidth="1" collapsed="1"/>
    <col min="38" max="38" width="13.140625" hidden="1" customWidth="1" outlineLevel="1"/>
    <col min="39" max="39" width="31" hidden="1" customWidth="1" outlineLevel="1"/>
    <col min="40" max="40" width="27.7109375" hidden="1" customWidth="1" outlineLevel="1"/>
    <col min="41" max="42" width="19.140625" style="37" hidden="1" customWidth="1" outlineLevel="1"/>
    <col min="43" max="43" width="3" style="6" customWidth="1" collapsed="1"/>
    <col min="44" max="44" width="13.140625" hidden="1" customWidth="1" outlineLevel="1"/>
    <col min="45" max="45" width="31" hidden="1" customWidth="1" outlineLevel="1"/>
    <col min="46" max="46" width="24.85546875" hidden="1" customWidth="1" outlineLevel="1"/>
    <col min="47" max="48" width="19.140625" style="37" hidden="1" customWidth="1" outlineLevel="1"/>
    <col min="49" max="49" width="3" style="6" customWidth="1" collapsed="1"/>
    <col min="50" max="50" width="13.140625" hidden="1" customWidth="1" outlineLevel="1"/>
    <col min="51" max="51" width="31" hidden="1" customWidth="1" outlineLevel="1"/>
    <col min="52" max="52" width="27.7109375" hidden="1" customWidth="1" outlineLevel="1"/>
    <col min="53" max="54" width="19.140625" style="37" hidden="1" customWidth="1" outlineLevel="1"/>
    <col min="55" max="55" width="3" style="6" customWidth="1" collapsed="1"/>
    <col min="56" max="56" width="13.140625" hidden="1" customWidth="1" outlineLevel="1"/>
    <col min="57" max="57" width="31" hidden="1" customWidth="1" outlineLevel="1"/>
    <col min="58" max="58" width="27.7109375" hidden="1" customWidth="1" outlineLevel="1"/>
    <col min="59" max="60" width="19.140625" style="37" hidden="1" customWidth="1" outlineLevel="1"/>
    <col min="61" max="61" width="3" style="6" customWidth="1" collapsed="1"/>
    <col min="62" max="62" width="13.140625" hidden="1" customWidth="1" outlineLevel="1"/>
    <col min="63" max="63" width="31" hidden="1" customWidth="1" outlineLevel="1"/>
    <col min="64" max="64" width="27.7109375" hidden="1" customWidth="1" outlineLevel="1"/>
    <col min="65" max="66" width="19.140625" style="37" hidden="1" customWidth="1" outlineLevel="1"/>
    <col min="67" max="67" width="3" style="6" customWidth="1" collapsed="1"/>
    <col min="68" max="68" width="13.140625" hidden="1" customWidth="1" outlineLevel="1"/>
    <col min="69" max="69" width="31" hidden="1" customWidth="1" outlineLevel="1"/>
    <col min="70" max="70" width="27.7109375" hidden="1" customWidth="1" outlineLevel="1"/>
    <col min="71" max="72" width="19.140625" style="37" hidden="1" customWidth="1" outlineLevel="1"/>
    <col min="73" max="73" width="9.140625" collapsed="1"/>
  </cols>
  <sheetData>
    <row r="1" spans="1:97" s="78" customFormat="1" ht="36" customHeight="1" x14ac:dyDescent="0.25">
      <c r="A1" s="90" t="s">
        <v>40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1"/>
      <c r="BF1" s="91"/>
      <c r="BG1" s="91"/>
      <c r="BH1" s="91"/>
      <c r="BI1" s="91"/>
      <c r="BJ1" s="91"/>
      <c r="BK1" s="91"/>
      <c r="BL1" s="91"/>
      <c r="BM1" s="91"/>
      <c r="BN1" s="91"/>
      <c r="BO1" s="91"/>
      <c r="BP1" s="91"/>
      <c r="BQ1" s="91"/>
      <c r="BR1" s="91"/>
      <c r="BS1" s="91"/>
      <c r="BT1" s="91"/>
      <c r="BU1" s="91"/>
      <c r="BV1" s="91"/>
      <c r="BW1" s="91"/>
      <c r="BX1" s="91"/>
      <c r="BY1" s="91"/>
      <c r="BZ1" s="91"/>
      <c r="CA1" s="91"/>
      <c r="CB1" s="91"/>
      <c r="CC1" s="91"/>
      <c r="CD1" s="91"/>
      <c r="CE1" s="91"/>
      <c r="CF1" s="91"/>
      <c r="CG1" s="91"/>
      <c r="CH1" s="91"/>
      <c r="CI1" s="91"/>
      <c r="CJ1" s="91"/>
      <c r="CK1" s="80"/>
      <c r="CL1" s="80"/>
      <c r="CM1" s="80"/>
      <c r="CN1" s="80"/>
      <c r="CO1" s="80"/>
      <c r="CP1" s="80"/>
      <c r="CQ1" s="80"/>
      <c r="CR1" s="80"/>
      <c r="CS1" s="80"/>
    </row>
    <row r="2" spans="1:97" ht="10.5" customHeight="1" thickBot="1" x14ac:dyDescent="0.3"/>
    <row r="3" spans="1:97" ht="20.25" customHeight="1" thickBot="1" x14ac:dyDescent="0.3">
      <c r="B3" s="93" t="s">
        <v>6</v>
      </c>
      <c r="C3" s="94"/>
      <c r="D3" s="94"/>
      <c r="E3" s="94"/>
      <c r="F3" s="94"/>
      <c r="H3" s="93" t="s">
        <v>9</v>
      </c>
      <c r="I3" s="94"/>
      <c r="J3" s="94"/>
      <c r="K3" s="94"/>
      <c r="L3" s="94"/>
      <c r="N3" s="93" t="s">
        <v>10</v>
      </c>
      <c r="O3" s="94"/>
      <c r="P3" s="94"/>
      <c r="Q3" s="94"/>
      <c r="R3" s="94"/>
      <c r="T3" s="93" t="s">
        <v>11</v>
      </c>
      <c r="U3" s="94"/>
      <c r="V3" s="94"/>
      <c r="W3" s="94"/>
      <c r="X3" s="94"/>
      <c r="Z3" s="93" t="s">
        <v>12</v>
      </c>
      <c r="AA3" s="94"/>
      <c r="AB3" s="94"/>
      <c r="AC3" s="94"/>
      <c r="AD3" s="94"/>
      <c r="AF3" s="93" t="s">
        <v>13</v>
      </c>
      <c r="AG3" s="94"/>
      <c r="AH3" s="94"/>
      <c r="AI3" s="94"/>
      <c r="AJ3" s="94"/>
      <c r="AL3" s="93" t="s">
        <v>14</v>
      </c>
      <c r="AM3" s="94"/>
      <c r="AN3" s="94"/>
      <c r="AO3" s="94"/>
      <c r="AP3" s="94"/>
      <c r="AR3" s="93" t="s">
        <v>15</v>
      </c>
      <c r="AS3" s="94"/>
      <c r="AT3" s="94"/>
      <c r="AU3" s="94"/>
      <c r="AV3" s="94"/>
      <c r="AX3" s="93" t="s">
        <v>16</v>
      </c>
      <c r="AY3" s="94"/>
      <c r="AZ3" s="94"/>
      <c r="BA3" s="94"/>
      <c r="BB3" s="94"/>
      <c r="BD3" s="93" t="s">
        <v>17</v>
      </c>
      <c r="BE3" s="94"/>
      <c r="BF3" s="94"/>
      <c r="BG3" s="94"/>
      <c r="BH3" s="94"/>
      <c r="BJ3" s="93" t="s">
        <v>18</v>
      </c>
      <c r="BK3" s="94"/>
      <c r="BL3" s="94"/>
      <c r="BM3" s="94"/>
      <c r="BN3" s="94"/>
      <c r="BP3" s="93" t="s">
        <v>19</v>
      </c>
      <c r="BQ3" s="94"/>
      <c r="BR3" s="94"/>
      <c r="BS3" s="94"/>
      <c r="BT3" s="94"/>
    </row>
    <row r="4" spans="1:97" ht="36" customHeight="1" thickBot="1" x14ac:dyDescent="0.3">
      <c r="B4" s="7" t="s">
        <v>0</v>
      </c>
      <c r="C4" s="7" t="s">
        <v>26</v>
      </c>
      <c r="D4" s="7" t="s">
        <v>27</v>
      </c>
      <c r="E4" s="38" t="s">
        <v>1</v>
      </c>
      <c r="F4" s="38" t="s">
        <v>2</v>
      </c>
      <c r="H4" s="7" t="s">
        <v>0</v>
      </c>
      <c r="I4" s="7" t="s">
        <v>28</v>
      </c>
      <c r="J4" s="7" t="s">
        <v>27</v>
      </c>
      <c r="K4" s="38" t="s">
        <v>1</v>
      </c>
      <c r="L4" s="38" t="s">
        <v>2</v>
      </c>
      <c r="N4" s="7" t="s">
        <v>0</v>
      </c>
      <c r="O4" s="7" t="s">
        <v>28</v>
      </c>
      <c r="P4" s="7" t="s">
        <v>27</v>
      </c>
      <c r="Q4" s="38" t="s">
        <v>1</v>
      </c>
      <c r="R4" s="38" t="s">
        <v>2</v>
      </c>
      <c r="T4" s="7" t="s">
        <v>0</v>
      </c>
      <c r="U4" s="7" t="s">
        <v>28</v>
      </c>
      <c r="V4" s="7" t="s">
        <v>27</v>
      </c>
      <c r="W4" s="38" t="s">
        <v>1</v>
      </c>
      <c r="X4" s="38" t="s">
        <v>2</v>
      </c>
      <c r="Z4" s="7" t="s">
        <v>0</v>
      </c>
      <c r="AA4" s="7" t="s">
        <v>28</v>
      </c>
      <c r="AB4" s="7" t="s">
        <v>27</v>
      </c>
      <c r="AC4" s="38" t="s">
        <v>1</v>
      </c>
      <c r="AD4" s="38" t="s">
        <v>2</v>
      </c>
      <c r="AF4" s="7" t="s">
        <v>0</v>
      </c>
      <c r="AG4" s="7" t="s">
        <v>28</v>
      </c>
      <c r="AH4" s="7" t="s">
        <v>27</v>
      </c>
      <c r="AI4" s="38" t="s">
        <v>1</v>
      </c>
      <c r="AJ4" s="38" t="s">
        <v>2</v>
      </c>
      <c r="AL4" s="7" t="s">
        <v>0</v>
      </c>
      <c r="AM4" s="7" t="s">
        <v>28</v>
      </c>
      <c r="AN4" s="7" t="s">
        <v>27</v>
      </c>
      <c r="AO4" s="38" t="s">
        <v>1</v>
      </c>
      <c r="AP4" s="38" t="s">
        <v>2</v>
      </c>
      <c r="AR4" s="7" t="s">
        <v>0</v>
      </c>
      <c r="AS4" s="7" t="s">
        <v>28</v>
      </c>
      <c r="AT4" s="7" t="s">
        <v>27</v>
      </c>
      <c r="AU4" s="38" t="s">
        <v>1</v>
      </c>
      <c r="AV4" s="38" t="s">
        <v>2</v>
      </c>
      <c r="AX4" s="7" t="s">
        <v>0</v>
      </c>
      <c r="AY4" s="7" t="s">
        <v>28</v>
      </c>
      <c r="AZ4" s="7" t="s">
        <v>27</v>
      </c>
      <c r="BA4" s="38" t="s">
        <v>1</v>
      </c>
      <c r="BB4" s="38" t="s">
        <v>2</v>
      </c>
      <c r="BD4" s="7" t="s">
        <v>0</v>
      </c>
      <c r="BE4" s="7" t="s">
        <v>28</v>
      </c>
      <c r="BF4" s="7" t="s">
        <v>27</v>
      </c>
      <c r="BG4" s="38" t="s">
        <v>1</v>
      </c>
      <c r="BH4" s="38" t="s">
        <v>2</v>
      </c>
      <c r="BJ4" s="7" t="s">
        <v>0</v>
      </c>
      <c r="BK4" s="7" t="s">
        <v>28</v>
      </c>
      <c r="BL4" s="7" t="s">
        <v>27</v>
      </c>
      <c r="BM4" s="38" t="s">
        <v>1</v>
      </c>
      <c r="BN4" s="38" t="s">
        <v>2</v>
      </c>
      <c r="BP4" s="7" t="s">
        <v>0</v>
      </c>
      <c r="BQ4" s="7" t="s">
        <v>28</v>
      </c>
      <c r="BR4" s="7" t="s">
        <v>27</v>
      </c>
      <c r="BS4" s="38" t="s">
        <v>1</v>
      </c>
      <c r="BT4" s="38" t="s">
        <v>2</v>
      </c>
    </row>
    <row r="5" spans="1:97" s="12" customFormat="1" ht="15.75" customHeight="1" x14ac:dyDescent="0.25">
      <c r="A5" s="17" t="s">
        <v>3</v>
      </c>
      <c r="B5" s="28"/>
      <c r="C5" s="9"/>
      <c r="D5" s="10"/>
      <c r="E5" s="39"/>
      <c r="F5" s="39"/>
      <c r="G5" s="11"/>
      <c r="H5" s="28"/>
      <c r="I5" s="9"/>
      <c r="J5" s="10"/>
      <c r="K5" s="39"/>
      <c r="L5" s="39"/>
      <c r="M5" s="11"/>
      <c r="N5" s="9"/>
      <c r="O5" s="9"/>
      <c r="P5" s="10"/>
      <c r="Q5" s="39"/>
      <c r="R5" s="39"/>
      <c r="S5" s="11"/>
      <c r="T5" s="9"/>
      <c r="U5" s="9"/>
      <c r="V5" s="10"/>
      <c r="W5" s="39"/>
      <c r="X5" s="39"/>
      <c r="Y5" s="11"/>
      <c r="Z5" s="9"/>
      <c r="AA5" s="9"/>
      <c r="AB5" s="10"/>
      <c r="AC5" s="39"/>
      <c r="AD5" s="39"/>
      <c r="AE5" s="11"/>
      <c r="AF5" s="9"/>
      <c r="AG5" s="9"/>
      <c r="AH5" s="10"/>
      <c r="AI5" s="39"/>
      <c r="AJ5" s="39"/>
      <c r="AK5" s="11"/>
      <c r="AL5" s="9"/>
      <c r="AM5" s="9"/>
      <c r="AN5" s="10"/>
      <c r="AO5" s="39"/>
      <c r="AP5" s="39"/>
      <c r="AQ5" s="11"/>
      <c r="AR5" s="9"/>
      <c r="AS5" s="9"/>
      <c r="AT5" s="10"/>
      <c r="AU5" s="39"/>
      <c r="AV5" s="39"/>
      <c r="AW5" s="11"/>
      <c r="AX5" s="9"/>
      <c r="AY5" s="9"/>
      <c r="AZ5" s="10"/>
      <c r="BA5" s="39"/>
      <c r="BB5" s="39"/>
      <c r="BC5" s="11"/>
      <c r="BD5" s="9"/>
      <c r="BE5" s="9"/>
      <c r="BF5" s="10"/>
      <c r="BG5" s="39"/>
      <c r="BH5" s="39"/>
      <c r="BI5" s="11"/>
      <c r="BJ5" s="9"/>
      <c r="BK5" s="9"/>
      <c r="BL5" s="10"/>
      <c r="BM5" s="39"/>
      <c r="BN5" s="39"/>
      <c r="BO5" s="11"/>
      <c r="BP5" s="9"/>
      <c r="BQ5" s="9"/>
      <c r="BR5" s="10"/>
      <c r="BS5" s="39"/>
      <c r="BT5" s="39"/>
    </row>
    <row r="6" spans="1:97" s="12" customFormat="1" ht="15.75" customHeight="1" x14ac:dyDescent="0.25">
      <c r="A6" s="17" t="s">
        <v>4</v>
      </c>
      <c r="B6" s="29"/>
      <c r="C6" s="13"/>
      <c r="D6" s="10"/>
      <c r="E6" s="39"/>
      <c r="F6" s="39"/>
      <c r="G6" s="11"/>
      <c r="H6" s="28"/>
      <c r="I6" s="13"/>
      <c r="J6" s="10"/>
      <c r="K6" s="39"/>
      <c r="L6" s="39"/>
      <c r="M6" s="11"/>
      <c r="N6" s="13"/>
      <c r="O6" s="13"/>
      <c r="P6" s="10"/>
      <c r="Q6" s="39"/>
      <c r="R6" s="39"/>
      <c r="S6" s="11"/>
      <c r="T6" s="13"/>
      <c r="U6" s="13"/>
      <c r="V6" s="10"/>
      <c r="W6" s="39"/>
      <c r="X6" s="39"/>
      <c r="Y6" s="11"/>
      <c r="Z6" s="13"/>
      <c r="AA6" s="13"/>
      <c r="AB6" s="10"/>
      <c r="AC6" s="39"/>
      <c r="AD6" s="39"/>
      <c r="AE6" s="11"/>
      <c r="AF6" s="13"/>
      <c r="AG6" s="13"/>
      <c r="AH6" s="10"/>
      <c r="AI6" s="39"/>
      <c r="AJ6" s="39"/>
      <c r="AK6" s="11"/>
      <c r="AL6" s="13"/>
      <c r="AM6" s="13"/>
      <c r="AN6" s="10"/>
      <c r="AO6" s="39"/>
      <c r="AP6" s="39"/>
      <c r="AQ6" s="11"/>
      <c r="AR6" s="13"/>
      <c r="AS6" s="13"/>
      <c r="AT6" s="10"/>
      <c r="AU6" s="39"/>
      <c r="AV6" s="39"/>
      <c r="AW6" s="11"/>
      <c r="AX6" s="13"/>
      <c r="AY6" s="13"/>
      <c r="AZ6" s="10"/>
      <c r="BA6" s="39"/>
      <c r="BB6" s="39"/>
      <c r="BC6" s="11"/>
      <c r="BD6" s="13"/>
      <c r="BE6" s="13"/>
      <c r="BF6" s="10"/>
      <c r="BG6" s="39"/>
      <c r="BH6" s="39"/>
      <c r="BI6" s="11"/>
      <c r="BJ6" s="13"/>
      <c r="BK6" s="13"/>
      <c r="BL6" s="10"/>
      <c r="BM6" s="39"/>
      <c r="BN6" s="39"/>
      <c r="BO6" s="11"/>
      <c r="BP6" s="13"/>
      <c r="BQ6" s="13"/>
      <c r="BR6" s="10"/>
      <c r="BS6" s="39"/>
      <c r="BT6" s="39"/>
    </row>
    <row r="7" spans="1:97" s="12" customFormat="1" ht="15.75" customHeight="1" x14ac:dyDescent="0.25">
      <c r="A7" s="17" t="s">
        <v>8</v>
      </c>
      <c r="B7" s="29"/>
      <c r="C7" s="13"/>
      <c r="D7" s="10"/>
      <c r="E7" s="39"/>
      <c r="F7" s="39"/>
      <c r="G7" s="11"/>
      <c r="H7" s="28"/>
      <c r="I7" s="13"/>
      <c r="J7" s="10"/>
      <c r="K7" s="39"/>
      <c r="L7" s="39"/>
      <c r="M7" s="11"/>
      <c r="N7" s="13"/>
      <c r="O7" s="13"/>
      <c r="P7" s="10"/>
      <c r="Q7" s="39"/>
      <c r="R7" s="39"/>
      <c r="S7" s="11"/>
      <c r="T7" s="13"/>
      <c r="U7" s="13"/>
      <c r="V7" s="10"/>
      <c r="W7" s="39"/>
      <c r="X7" s="39"/>
      <c r="Y7" s="11"/>
      <c r="Z7" s="13"/>
      <c r="AA7" s="13"/>
      <c r="AB7" s="10"/>
      <c r="AC7" s="39"/>
      <c r="AD7" s="39"/>
      <c r="AE7" s="11"/>
      <c r="AF7" s="13"/>
      <c r="AG7" s="13"/>
      <c r="AH7" s="10"/>
      <c r="AI7" s="39"/>
      <c r="AJ7" s="39"/>
      <c r="AK7" s="11"/>
      <c r="AL7" s="13"/>
      <c r="AM7" s="13"/>
      <c r="AN7" s="10"/>
      <c r="AO7" s="39"/>
      <c r="AP7" s="39"/>
      <c r="AQ7" s="11"/>
      <c r="AR7" s="13"/>
      <c r="AS7" s="13"/>
      <c r="AT7" s="10"/>
      <c r="AU7" s="39"/>
      <c r="AV7" s="39"/>
      <c r="AW7" s="11"/>
      <c r="AX7" s="13"/>
      <c r="AY7" s="13"/>
      <c r="AZ7" s="10"/>
      <c r="BA7" s="39"/>
      <c r="BB7" s="39"/>
      <c r="BC7" s="11"/>
      <c r="BD7" s="13"/>
      <c r="BE7" s="13"/>
      <c r="BF7" s="10"/>
      <c r="BG7" s="39"/>
      <c r="BH7" s="39"/>
      <c r="BI7" s="11"/>
      <c r="BJ7" s="13"/>
      <c r="BK7" s="13"/>
      <c r="BL7" s="10"/>
      <c r="BM7" s="39"/>
      <c r="BN7" s="39"/>
      <c r="BO7" s="11"/>
      <c r="BP7" s="13"/>
      <c r="BQ7" s="13"/>
      <c r="BR7" s="10"/>
      <c r="BS7" s="39"/>
      <c r="BT7" s="39"/>
    </row>
    <row r="8" spans="1:97" s="12" customFormat="1" ht="15.75" customHeight="1" x14ac:dyDescent="0.25">
      <c r="A8" s="17" t="s">
        <v>5</v>
      </c>
      <c r="B8" s="29"/>
      <c r="C8" s="13"/>
      <c r="D8" s="10"/>
      <c r="E8" s="39"/>
      <c r="F8" s="39"/>
      <c r="G8" s="11"/>
      <c r="H8" s="28"/>
      <c r="I8" s="13"/>
      <c r="J8" s="10"/>
      <c r="K8" s="39"/>
      <c r="L8" s="39"/>
      <c r="M8" s="11"/>
      <c r="N8" s="13"/>
      <c r="O8" s="13"/>
      <c r="P8" s="10"/>
      <c r="Q8" s="39"/>
      <c r="R8" s="39"/>
      <c r="S8" s="11"/>
      <c r="T8" s="13"/>
      <c r="U8" s="13"/>
      <c r="V8" s="10"/>
      <c r="W8" s="39"/>
      <c r="X8" s="39"/>
      <c r="Y8" s="11"/>
      <c r="Z8" s="13"/>
      <c r="AA8" s="13"/>
      <c r="AB8" s="10"/>
      <c r="AC8" s="39"/>
      <c r="AD8" s="39"/>
      <c r="AE8" s="11"/>
      <c r="AF8" s="13"/>
      <c r="AG8" s="13"/>
      <c r="AH8" s="10"/>
      <c r="AI8" s="39"/>
      <c r="AJ8" s="39"/>
      <c r="AK8" s="11"/>
      <c r="AL8" s="13"/>
      <c r="AM8" s="13"/>
      <c r="AN8" s="10"/>
      <c r="AO8" s="39"/>
      <c r="AP8" s="39"/>
      <c r="AQ8" s="11"/>
      <c r="AR8" s="13"/>
      <c r="AS8" s="13"/>
      <c r="AT8" s="10"/>
      <c r="AU8" s="39"/>
      <c r="AV8" s="39"/>
      <c r="AW8" s="11"/>
      <c r="AX8" s="13"/>
      <c r="AY8" s="13"/>
      <c r="AZ8" s="10"/>
      <c r="BA8" s="39"/>
      <c r="BB8" s="39"/>
      <c r="BC8" s="11"/>
      <c r="BD8" s="13"/>
      <c r="BE8" s="13"/>
      <c r="BF8" s="10"/>
      <c r="BG8" s="39"/>
      <c r="BH8" s="39"/>
      <c r="BI8" s="11"/>
      <c r="BJ8" s="13"/>
      <c r="BK8" s="13"/>
      <c r="BL8" s="10"/>
      <c r="BM8" s="39"/>
      <c r="BN8" s="39"/>
      <c r="BO8" s="11"/>
      <c r="BP8" s="13"/>
      <c r="BQ8" s="13"/>
      <c r="BR8" s="10"/>
      <c r="BS8" s="39"/>
      <c r="BT8" s="39"/>
    </row>
    <row r="9" spans="1:97" s="12" customFormat="1" ht="15.75" customHeight="1" x14ac:dyDescent="0.25">
      <c r="A9" s="16"/>
      <c r="B9" s="29"/>
      <c r="C9" s="13"/>
      <c r="D9" s="10"/>
      <c r="E9" s="39"/>
      <c r="F9" s="39"/>
      <c r="G9" s="11"/>
      <c r="H9" s="28"/>
      <c r="I9" s="13"/>
      <c r="J9" s="10"/>
      <c r="K9" s="39"/>
      <c r="L9" s="39"/>
      <c r="M9" s="11"/>
      <c r="N9" s="13"/>
      <c r="O9" s="13"/>
      <c r="P9" s="10"/>
      <c r="Q9" s="39"/>
      <c r="R9" s="39"/>
      <c r="S9" s="11"/>
      <c r="T9" s="13"/>
      <c r="U9" s="13"/>
      <c r="V9" s="10"/>
      <c r="W9" s="39"/>
      <c r="X9" s="39"/>
      <c r="Y9" s="11"/>
      <c r="Z9" s="13"/>
      <c r="AA9" s="13"/>
      <c r="AB9" s="10"/>
      <c r="AC9" s="39"/>
      <c r="AD9" s="39"/>
      <c r="AE9" s="11"/>
      <c r="AF9" s="13"/>
      <c r="AG9" s="13"/>
      <c r="AH9" s="10"/>
      <c r="AI9" s="39"/>
      <c r="AJ9" s="39"/>
      <c r="AK9" s="11"/>
      <c r="AL9" s="13"/>
      <c r="AM9" s="13"/>
      <c r="AN9" s="10"/>
      <c r="AO9" s="39"/>
      <c r="AP9" s="39"/>
      <c r="AQ9" s="11"/>
      <c r="AR9" s="13"/>
      <c r="AS9" s="13"/>
      <c r="AT9" s="10"/>
      <c r="AU9" s="39"/>
      <c r="AV9" s="39"/>
      <c r="AW9" s="11"/>
      <c r="AX9" s="13"/>
      <c r="AY9" s="13"/>
      <c r="AZ9" s="10"/>
      <c r="BA9" s="39"/>
      <c r="BB9" s="39"/>
      <c r="BC9" s="11"/>
      <c r="BD9" s="13"/>
      <c r="BE9" s="13"/>
      <c r="BF9" s="10"/>
      <c r="BG9" s="39"/>
      <c r="BH9" s="39"/>
      <c r="BI9" s="11"/>
      <c r="BJ9" s="13"/>
      <c r="BK9" s="13"/>
      <c r="BL9" s="10"/>
      <c r="BM9" s="39"/>
      <c r="BN9" s="39"/>
      <c r="BO9" s="11"/>
      <c r="BP9" s="13"/>
      <c r="BQ9" s="13"/>
      <c r="BR9" s="10"/>
      <c r="BS9" s="39"/>
      <c r="BT9" s="39"/>
    </row>
    <row r="10" spans="1:97" s="12" customFormat="1" ht="15.75" customHeight="1" x14ac:dyDescent="0.25">
      <c r="A10" s="16"/>
      <c r="B10" s="29"/>
      <c r="C10" s="13"/>
      <c r="D10" s="10"/>
      <c r="E10" s="39"/>
      <c r="F10" s="39"/>
      <c r="G10" s="11"/>
      <c r="H10" s="28"/>
      <c r="I10" s="13"/>
      <c r="J10" s="10"/>
      <c r="K10" s="39"/>
      <c r="L10" s="39"/>
      <c r="M10" s="11"/>
      <c r="N10" s="13"/>
      <c r="O10" s="13"/>
      <c r="P10" s="10"/>
      <c r="Q10" s="39"/>
      <c r="R10" s="39"/>
      <c r="S10" s="11"/>
      <c r="T10" s="13"/>
      <c r="U10" s="13"/>
      <c r="V10" s="10"/>
      <c r="W10" s="39"/>
      <c r="X10" s="39"/>
      <c r="Y10" s="11"/>
      <c r="Z10" s="13"/>
      <c r="AA10" s="13"/>
      <c r="AB10" s="10"/>
      <c r="AC10" s="39"/>
      <c r="AD10" s="39"/>
      <c r="AE10" s="11"/>
      <c r="AF10" s="13"/>
      <c r="AG10" s="13"/>
      <c r="AH10" s="10"/>
      <c r="AI10" s="39"/>
      <c r="AJ10" s="39"/>
      <c r="AK10" s="11"/>
      <c r="AL10" s="13"/>
      <c r="AM10" s="13"/>
      <c r="AN10" s="10"/>
      <c r="AO10" s="39"/>
      <c r="AP10" s="39"/>
      <c r="AQ10" s="11"/>
      <c r="AR10" s="13"/>
      <c r="AS10" s="13"/>
      <c r="AT10" s="10"/>
      <c r="AU10" s="39"/>
      <c r="AV10" s="39"/>
      <c r="AW10" s="11"/>
      <c r="AX10" s="13"/>
      <c r="AY10" s="13"/>
      <c r="AZ10" s="10"/>
      <c r="BA10" s="39"/>
      <c r="BB10" s="39"/>
      <c r="BC10" s="11"/>
      <c r="BD10" s="13"/>
      <c r="BE10" s="13"/>
      <c r="BF10" s="10"/>
      <c r="BG10" s="39"/>
      <c r="BH10" s="39"/>
      <c r="BI10" s="11"/>
      <c r="BJ10" s="13"/>
      <c r="BK10" s="13"/>
      <c r="BL10" s="10"/>
      <c r="BM10" s="39"/>
      <c r="BN10" s="39"/>
      <c r="BO10" s="11"/>
      <c r="BP10" s="13"/>
      <c r="BQ10" s="13"/>
      <c r="BR10" s="10"/>
      <c r="BS10" s="39"/>
      <c r="BT10" s="39"/>
    </row>
    <row r="11" spans="1:97" s="12" customFormat="1" ht="15.75" customHeight="1" x14ac:dyDescent="0.25">
      <c r="A11" s="16"/>
      <c r="B11" s="29"/>
      <c r="C11" s="13"/>
      <c r="D11" s="10"/>
      <c r="E11" s="39"/>
      <c r="F11" s="39"/>
      <c r="G11" s="11"/>
      <c r="H11" s="28"/>
      <c r="I11" s="13"/>
      <c r="J11" s="10"/>
      <c r="K11" s="39"/>
      <c r="L11" s="39"/>
      <c r="M11" s="11"/>
      <c r="N11" s="13"/>
      <c r="O11" s="13"/>
      <c r="P11" s="10"/>
      <c r="Q11" s="39"/>
      <c r="R11" s="39"/>
      <c r="S11" s="11"/>
      <c r="T11" s="13"/>
      <c r="U11" s="13"/>
      <c r="V11" s="10"/>
      <c r="W11" s="39"/>
      <c r="X11" s="39"/>
      <c r="Y11" s="11"/>
      <c r="Z11" s="13"/>
      <c r="AA11" s="13"/>
      <c r="AB11" s="10"/>
      <c r="AC11" s="39"/>
      <c r="AD11" s="39"/>
      <c r="AE11" s="11"/>
      <c r="AF11" s="13"/>
      <c r="AG11" s="13"/>
      <c r="AH11" s="10"/>
      <c r="AI11" s="39"/>
      <c r="AJ11" s="39"/>
      <c r="AK11" s="11"/>
      <c r="AL11" s="13"/>
      <c r="AM11" s="13"/>
      <c r="AN11" s="10"/>
      <c r="AO11" s="39"/>
      <c r="AP11" s="39"/>
      <c r="AQ11" s="11"/>
      <c r="AR11" s="13"/>
      <c r="AS11" s="13"/>
      <c r="AT11" s="10"/>
      <c r="AU11" s="39"/>
      <c r="AV11" s="39"/>
      <c r="AW11" s="11"/>
      <c r="AX11" s="13"/>
      <c r="AY11" s="13"/>
      <c r="AZ11" s="10"/>
      <c r="BA11" s="39"/>
      <c r="BB11" s="39"/>
      <c r="BC11" s="11"/>
      <c r="BD11" s="13"/>
      <c r="BE11" s="13"/>
      <c r="BF11" s="10"/>
      <c r="BG11" s="39"/>
      <c r="BH11" s="39"/>
      <c r="BI11" s="11"/>
      <c r="BJ11" s="13"/>
      <c r="BK11" s="13"/>
      <c r="BL11" s="10"/>
      <c r="BM11" s="39"/>
      <c r="BN11" s="39"/>
      <c r="BO11" s="11"/>
      <c r="BP11" s="13"/>
      <c r="BQ11" s="13"/>
      <c r="BR11" s="10"/>
      <c r="BS11" s="39"/>
      <c r="BT11" s="39"/>
    </row>
    <row r="12" spans="1:97" s="12" customFormat="1" ht="15.75" customHeight="1" x14ac:dyDescent="0.25">
      <c r="A12" s="16"/>
      <c r="B12" s="29"/>
      <c r="C12" s="13"/>
      <c r="D12" s="10"/>
      <c r="E12" s="39"/>
      <c r="F12" s="39"/>
      <c r="G12" s="11"/>
      <c r="H12" s="28"/>
      <c r="I12" s="13"/>
      <c r="J12" s="10"/>
      <c r="K12" s="39"/>
      <c r="L12" s="39"/>
      <c r="M12" s="11"/>
      <c r="N12" s="13"/>
      <c r="O12" s="13"/>
      <c r="P12" s="10"/>
      <c r="Q12" s="39"/>
      <c r="R12" s="39"/>
      <c r="S12" s="11"/>
      <c r="T12" s="13"/>
      <c r="U12" s="13"/>
      <c r="V12" s="10"/>
      <c r="W12" s="39"/>
      <c r="X12" s="39"/>
      <c r="Y12" s="11"/>
      <c r="Z12" s="13"/>
      <c r="AA12" s="13"/>
      <c r="AB12" s="10"/>
      <c r="AC12" s="39"/>
      <c r="AD12" s="39"/>
      <c r="AE12" s="11"/>
      <c r="AF12" s="13"/>
      <c r="AG12" s="13"/>
      <c r="AH12" s="10"/>
      <c r="AI12" s="39"/>
      <c r="AJ12" s="39"/>
      <c r="AK12" s="11"/>
      <c r="AL12" s="13"/>
      <c r="AM12" s="13"/>
      <c r="AN12" s="10"/>
      <c r="AO12" s="39"/>
      <c r="AP12" s="39"/>
      <c r="AQ12" s="11"/>
      <c r="AR12" s="13"/>
      <c r="AS12" s="13"/>
      <c r="AT12" s="10"/>
      <c r="AU12" s="39"/>
      <c r="AV12" s="39"/>
      <c r="AW12" s="11"/>
      <c r="AX12" s="13"/>
      <c r="AY12" s="13"/>
      <c r="AZ12" s="10"/>
      <c r="BA12" s="39"/>
      <c r="BB12" s="39"/>
      <c r="BC12" s="11"/>
      <c r="BD12" s="13"/>
      <c r="BE12" s="13"/>
      <c r="BF12" s="10"/>
      <c r="BG12" s="39"/>
      <c r="BH12" s="39"/>
      <c r="BI12" s="11"/>
      <c r="BJ12" s="13"/>
      <c r="BK12" s="13"/>
      <c r="BL12" s="10"/>
      <c r="BM12" s="39"/>
      <c r="BN12" s="39"/>
      <c r="BO12" s="11"/>
      <c r="BP12" s="13"/>
      <c r="BQ12" s="13"/>
      <c r="BR12" s="10"/>
      <c r="BS12" s="39"/>
      <c r="BT12" s="39"/>
    </row>
    <row r="13" spans="1:97" s="12" customFormat="1" ht="15.75" customHeight="1" x14ac:dyDescent="0.25">
      <c r="A13" s="8"/>
      <c r="B13" s="29"/>
      <c r="C13" s="13"/>
      <c r="D13" s="10"/>
      <c r="E13" s="39"/>
      <c r="F13" s="39"/>
      <c r="G13" s="11"/>
      <c r="H13" s="28"/>
      <c r="I13" s="13"/>
      <c r="J13" s="10"/>
      <c r="K13" s="39"/>
      <c r="L13" s="39"/>
      <c r="M13" s="11"/>
      <c r="N13" s="13"/>
      <c r="O13" s="13"/>
      <c r="P13" s="10"/>
      <c r="Q13" s="39"/>
      <c r="R13" s="39"/>
      <c r="S13" s="11"/>
      <c r="T13" s="13"/>
      <c r="U13" s="13"/>
      <c r="V13" s="10"/>
      <c r="W13" s="39"/>
      <c r="X13" s="39"/>
      <c r="Y13" s="11"/>
      <c r="Z13" s="13"/>
      <c r="AA13" s="13"/>
      <c r="AB13" s="10"/>
      <c r="AC13" s="39"/>
      <c r="AD13" s="39"/>
      <c r="AE13" s="11"/>
      <c r="AF13" s="13"/>
      <c r="AG13" s="13"/>
      <c r="AH13" s="10"/>
      <c r="AI13" s="39"/>
      <c r="AJ13" s="39"/>
      <c r="AK13" s="11"/>
      <c r="AL13" s="13"/>
      <c r="AM13" s="13"/>
      <c r="AN13" s="10"/>
      <c r="AO13" s="39"/>
      <c r="AP13" s="39"/>
      <c r="AQ13" s="11"/>
      <c r="AR13" s="13"/>
      <c r="AS13" s="13"/>
      <c r="AT13" s="10"/>
      <c r="AU13" s="39"/>
      <c r="AV13" s="39"/>
      <c r="AW13" s="11"/>
      <c r="AX13" s="13"/>
      <c r="AY13" s="13"/>
      <c r="AZ13" s="10"/>
      <c r="BA13" s="39"/>
      <c r="BB13" s="39"/>
      <c r="BC13" s="11"/>
      <c r="BD13" s="13"/>
      <c r="BE13" s="13"/>
      <c r="BF13" s="10"/>
      <c r="BG13" s="39"/>
      <c r="BH13" s="39"/>
      <c r="BI13" s="11"/>
      <c r="BJ13" s="13"/>
      <c r="BK13" s="13"/>
      <c r="BL13" s="10"/>
      <c r="BM13" s="39"/>
      <c r="BN13" s="39"/>
      <c r="BO13" s="11"/>
      <c r="BP13" s="13"/>
      <c r="BQ13" s="13"/>
      <c r="BR13" s="10"/>
      <c r="BS13" s="39"/>
      <c r="BT13" s="39"/>
    </row>
    <row r="14" spans="1:97" s="12" customFormat="1" ht="15.75" customHeight="1" x14ac:dyDescent="0.25">
      <c r="A14" s="8"/>
      <c r="B14" s="29"/>
      <c r="C14" s="13"/>
      <c r="D14" s="10"/>
      <c r="E14" s="39"/>
      <c r="F14" s="39"/>
      <c r="G14" s="11"/>
      <c r="H14" s="28"/>
      <c r="I14" s="13"/>
      <c r="J14" s="10"/>
      <c r="K14" s="39"/>
      <c r="L14" s="39"/>
      <c r="M14" s="11"/>
      <c r="N14" s="13"/>
      <c r="O14" s="13"/>
      <c r="P14" s="10"/>
      <c r="Q14" s="39"/>
      <c r="R14" s="39"/>
      <c r="S14" s="11"/>
      <c r="T14" s="13"/>
      <c r="U14" s="13"/>
      <c r="V14" s="10"/>
      <c r="W14" s="39"/>
      <c r="X14" s="39"/>
      <c r="Y14" s="11"/>
      <c r="Z14" s="13"/>
      <c r="AA14" s="13"/>
      <c r="AB14" s="10"/>
      <c r="AC14" s="39"/>
      <c r="AD14" s="39"/>
      <c r="AE14" s="11"/>
      <c r="AF14" s="13"/>
      <c r="AG14" s="13"/>
      <c r="AH14" s="10"/>
      <c r="AI14" s="39"/>
      <c r="AJ14" s="39"/>
      <c r="AK14" s="11"/>
      <c r="AL14" s="13"/>
      <c r="AM14" s="13"/>
      <c r="AN14" s="10"/>
      <c r="AO14" s="39"/>
      <c r="AP14" s="39"/>
      <c r="AQ14" s="11"/>
      <c r="AR14" s="13"/>
      <c r="AS14" s="13"/>
      <c r="AT14" s="10"/>
      <c r="AU14" s="39"/>
      <c r="AV14" s="39"/>
      <c r="AW14" s="11"/>
      <c r="AX14" s="13"/>
      <c r="AY14" s="13"/>
      <c r="AZ14" s="10"/>
      <c r="BA14" s="39"/>
      <c r="BB14" s="39"/>
      <c r="BC14" s="11"/>
      <c r="BD14" s="13"/>
      <c r="BE14" s="13"/>
      <c r="BF14" s="10"/>
      <c r="BG14" s="39"/>
      <c r="BH14" s="39"/>
      <c r="BI14" s="11"/>
      <c r="BJ14" s="13"/>
      <c r="BK14" s="13"/>
      <c r="BL14" s="10"/>
      <c r="BM14" s="39"/>
      <c r="BN14" s="39"/>
      <c r="BO14" s="11"/>
      <c r="BP14" s="13"/>
      <c r="BQ14" s="13"/>
      <c r="BR14" s="10"/>
      <c r="BS14" s="39"/>
      <c r="BT14" s="39"/>
    </row>
    <row r="15" spans="1:97" s="12" customFormat="1" ht="15.75" customHeight="1" x14ac:dyDescent="0.25">
      <c r="A15" s="8"/>
      <c r="B15" s="29"/>
      <c r="C15" s="13"/>
      <c r="D15" s="10"/>
      <c r="E15" s="39"/>
      <c r="F15" s="39"/>
      <c r="G15" s="11"/>
      <c r="H15" s="28"/>
      <c r="I15" s="13"/>
      <c r="J15" s="10"/>
      <c r="K15" s="39"/>
      <c r="L15" s="39"/>
      <c r="M15" s="11"/>
      <c r="N15" s="9"/>
      <c r="O15" s="9"/>
      <c r="P15" s="10"/>
      <c r="Q15" s="39"/>
      <c r="R15" s="39"/>
      <c r="S15" s="11"/>
      <c r="T15" s="9"/>
      <c r="U15" s="9"/>
      <c r="V15" s="10"/>
      <c r="W15" s="39"/>
      <c r="X15" s="39"/>
      <c r="Y15" s="11"/>
      <c r="Z15" s="9"/>
      <c r="AA15" s="9"/>
      <c r="AB15" s="10"/>
      <c r="AC15" s="39"/>
      <c r="AD15" s="39"/>
      <c r="AE15" s="11"/>
      <c r="AF15" s="9"/>
      <c r="AG15" s="9"/>
      <c r="AH15" s="10"/>
      <c r="AI15" s="39"/>
      <c r="AJ15" s="39"/>
      <c r="AK15" s="11"/>
      <c r="AL15" s="9"/>
      <c r="AM15" s="9"/>
      <c r="AN15" s="10"/>
      <c r="AO15" s="39"/>
      <c r="AP15" s="39"/>
      <c r="AQ15" s="11"/>
      <c r="AR15" s="9"/>
      <c r="AS15" s="9"/>
      <c r="AT15" s="10"/>
      <c r="AU15" s="39"/>
      <c r="AV15" s="39"/>
      <c r="AW15" s="11"/>
      <c r="AX15" s="9"/>
      <c r="AY15" s="9"/>
      <c r="AZ15" s="10"/>
      <c r="BA15" s="39"/>
      <c r="BB15" s="39"/>
      <c r="BC15" s="11"/>
      <c r="BD15" s="9"/>
      <c r="BE15" s="9"/>
      <c r="BF15" s="10"/>
      <c r="BG15" s="39"/>
      <c r="BH15" s="39"/>
      <c r="BI15" s="11"/>
      <c r="BJ15" s="9"/>
      <c r="BK15" s="9"/>
      <c r="BL15" s="10"/>
      <c r="BM15" s="39"/>
      <c r="BN15" s="39"/>
      <c r="BO15" s="11"/>
      <c r="BP15" s="9"/>
      <c r="BQ15" s="9"/>
      <c r="BR15" s="10"/>
      <c r="BS15" s="39"/>
      <c r="BT15" s="39"/>
    </row>
    <row r="16" spans="1:97" s="12" customFormat="1" ht="15.75" customHeight="1" x14ac:dyDescent="0.25">
      <c r="A16" s="8"/>
      <c r="B16" s="13"/>
      <c r="C16" s="13"/>
      <c r="D16" s="10"/>
      <c r="E16" s="39"/>
      <c r="F16" s="39"/>
      <c r="G16" s="11"/>
      <c r="H16" s="13"/>
      <c r="I16" s="13"/>
      <c r="J16" s="10"/>
      <c r="K16" s="39"/>
      <c r="L16" s="39"/>
      <c r="M16" s="11"/>
      <c r="N16" s="13"/>
      <c r="O16" s="13"/>
      <c r="P16" s="10"/>
      <c r="Q16" s="39"/>
      <c r="R16" s="39"/>
      <c r="S16" s="11"/>
      <c r="T16" s="13"/>
      <c r="U16" s="13"/>
      <c r="V16" s="10"/>
      <c r="W16" s="39"/>
      <c r="X16" s="39"/>
      <c r="Y16" s="11"/>
      <c r="Z16" s="13"/>
      <c r="AA16" s="13"/>
      <c r="AB16" s="10"/>
      <c r="AC16" s="39"/>
      <c r="AD16" s="39"/>
      <c r="AE16" s="11"/>
      <c r="AF16" s="13"/>
      <c r="AG16" s="13"/>
      <c r="AH16" s="10"/>
      <c r="AI16" s="39"/>
      <c r="AJ16" s="39"/>
      <c r="AK16" s="11"/>
      <c r="AL16" s="13"/>
      <c r="AM16" s="13"/>
      <c r="AN16" s="10"/>
      <c r="AO16" s="39"/>
      <c r="AP16" s="39"/>
      <c r="AQ16" s="11"/>
      <c r="AR16" s="13"/>
      <c r="AS16" s="13"/>
      <c r="AT16" s="10"/>
      <c r="AU16" s="39"/>
      <c r="AV16" s="39"/>
      <c r="AW16" s="11"/>
      <c r="AX16" s="13"/>
      <c r="AY16" s="13"/>
      <c r="AZ16" s="10"/>
      <c r="BA16" s="39"/>
      <c r="BB16" s="39"/>
      <c r="BC16" s="11"/>
      <c r="BD16" s="13"/>
      <c r="BE16" s="13"/>
      <c r="BF16" s="10"/>
      <c r="BG16" s="39"/>
      <c r="BH16" s="39"/>
      <c r="BI16" s="11"/>
      <c r="BJ16" s="13"/>
      <c r="BK16" s="13"/>
      <c r="BL16" s="10"/>
      <c r="BM16" s="39"/>
      <c r="BN16" s="39"/>
      <c r="BO16" s="11"/>
      <c r="BP16" s="13"/>
      <c r="BQ16" s="13"/>
      <c r="BR16" s="10"/>
      <c r="BS16" s="39"/>
      <c r="BT16" s="39"/>
    </row>
    <row r="17" spans="1:72" s="12" customFormat="1" ht="15.75" customHeight="1" x14ac:dyDescent="0.25">
      <c r="A17" s="8"/>
      <c r="B17" s="13"/>
      <c r="C17" s="13"/>
      <c r="D17" s="10"/>
      <c r="E17" s="39"/>
      <c r="F17" s="39"/>
      <c r="G17" s="11"/>
      <c r="H17" s="13"/>
      <c r="I17" s="13"/>
      <c r="J17" s="10"/>
      <c r="K17" s="39"/>
      <c r="L17" s="39"/>
      <c r="M17" s="11"/>
      <c r="N17" s="13"/>
      <c r="O17" s="13"/>
      <c r="P17" s="10"/>
      <c r="Q17" s="39"/>
      <c r="R17" s="39"/>
      <c r="S17" s="11"/>
      <c r="T17" s="13"/>
      <c r="U17" s="13"/>
      <c r="V17" s="10"/>
      <c r="W17" s="39"/>
      <c r="X17" s="39"/>
      <c r="Y17" s="11"/>
      <c r="Z17" s="13"/>
      <c r="AA17" s="13"/>
      <c r="AB17" s="10"/>
      <c r="AC17" s="39"/>
      <c r="AD17" s="39"/>
      <c r="AE17" s="11"/>
      <c r="AF17" s="13"/>
      <c r="AG17" s="13"/>
      <c r="AH17" s="10"/>
      <c r="AI17" s="39"/>
      <c r="AJ17" s="39"/>
      <c r="AK17" s="11"/>
      <c r="AL17" s="13"/>
      <c r="AM17" s="13"/>
      <c r="AN17" s="10"/>
      <c r="AO17" s="39"/>
      <c r="AP17" s="39"/>
      <c r="AQ17" s="11"/>
      <c r="AR17" s="13"/>
      <c r="AS17" s="13"/>
      <c r="AT17" s="10"/>
      <c r="AU17" s="39"/>
      <c r="AV17" s="39"/>
      <c r="AW17" s="11"/>
      <c r="AX17" s="13"/>
      <c r="AY17" s="13"/>
      <c r="AZ17" s="10"/>
      <c r="BA17" s="39"/>
      <c r="BB17" s="39"/>
      <c r="BC17" s="11"/>
      <c r="BD17" s="13"/>
      <c r="BE17" s="13"/>
      <c r="BF17" s="10"/>
      <c r="BG17" s="39"/>
      <c r="BH17" s="39"/>
      <c r="BI17" s="11"/>
      <c r="BJ17" s="13"/>
      <c r="BK17" s="13"/>
      <c r="BL17" s="10"/>
      <c r="BM17" s="39"/>
      <c r="BN17" s="39"/>
      <c r="BO17" s="11"/>
      <c r="BP17" s="13"/>
      <c r="BQ17" s="13"/>
      <c r="BR17" s="10"/>
      <c r="BS17" s="39"/>
      <c r="BT17" s="39"/>
    </row>
    <row r="18" spans="1:72" s="12" customFormat="1" ht="15.75" customHeight="1" x14ac:dyDescent="0.25">
      <c r="A18" s="8"/>
      <c r="B18" s="13"/>
      <c r="C18" s="13"/>
      <c r="D18" s="10"/>
      <c r="E18" s="39"/>
      <c r="F18" s="39"/>
      <c r="G18" s="11"/>
      <c r="H18" s="13"/>
      <c r="I18" s="13"/>
      <c r="J18" s="10"/>
      <c r="K18" s="39"/>
      <c r="L18" s="39"/>
      <c r="M18" s="11"/>
      <c r="N18" s="13"/>
      <c r="O18" s="13"/>
      <c r="P18" s="10"/>
      <c r="Q18" s="39"/>
      <c r="R18" s="39"/>
      <c r="S18" s="11"/>
      <c r="T18" s="13"/>
      <c r="U18" s="13"/>
      <c r="V18" s="10"/>
      <c r="W18" s="39"/>
      <c r="X18" s="39"/>
      <c r="Y18" s="11"/>
      <c r="Z18" s="13"/>
      <c r="AA18" s="13"/>
      <c r="AB18" s="10"/>
      <c r="AC18" s="39"/>
      <c r="AD18" s="39"/>
      <c r="AE18" s="11"/>
      <c r="AF18" s="13"/>
      <c r="AG18" s="13"/>
      <c r="AH18" s="10"/>
      <c r="AI18" s="39"/>
      <c r="AJ18" s="39"/>
      <c r="AK18" s="11"/>
      <c r="AL18" s="13"/>
      <c r="AM18" s="13"/>
      <c r="AN18" s="10"/>
      <c r="AO18" s="39"/>
      <c r="AP18" s="39"/>
      <c r="AQ18" s="11"/>
      <c r="AR18" s="13"/>
      <c r="AS18" s="13"/>
      <c r="AT18" s="10"/>
      <c r="AU18" s="39"/>
      <c r="AV18" s="39"/>
      <c r="AW18" s="11"/>
      <c r="AX18" s="13"/>
      <c r="AY18" s="13"/>
      <c r="AZ18" s="10"/>
      <c r="BA18" s="39"/>
      <c r="BB18" s="39"/>
      <c r="BC18" s="11"/>
      <c r="BD18" s="13"/>
      <c r="BE18" s="13"/>
      <c r="BF18" s="10"/>
      <c r="BG18" s="39"/>
      <c r="BH18" s="39"/>
      <c r="BI18" s="11"/>
      <c r="BJ18" s="13"/>
      <c r="BK18" s="13"/>
      <c r="BL18" s="10"/>
      <c r="BM18" s="39"/>
      <c r="BN18" s="39"/>
      <c r="BO18" s="11"/>
      <c r="BP18" s="13"/>
      <c r="BQ18" s="13"/>
      <c r="BR18" s="10"/>
      <c r="BS18" s="39"/>
      <c r="BT18" s="39"/>
    </row>
    <row r="19" spans="1:72" s="12" customFormat="1" ht="15.75" customHeight="1" x14ac:dyDescent="0.25">
      <c r="A19" s="8"/>
      <c r="B19" s="13"/>
      <c r="C19" s="13"/>
      <c r="D19" s="10"/>
      <c r="E19" s="39"/>
      <c r="F19" s="39"/>
      <c r="G19" s="11"/>
      <c r="H19" s="13"/>
      <c r="I19" s="13"/>
      <c r="J19" s="10"/>
      <c r="K19" s="39"/>
      <c r="L19" s="39"/>
      <c r="M19" s="11"/>
      <c r="N19" s="13"/>
      <c r="O19" s="13"/>
      <c r="P19" s="10"/>
      <c r="Q19" s="39"/>
      <c r="R19" s="39"/>
      <c r="S19" s="11"/>
      <c r="T19" s="13"/>
      <c r="U19" s="13"/>
      <c r="V19" s="10"/>
      <c r="W19" s="39"/>
      <c r="X19" s="39"/>
      <c r="Y19" s="11"/>
      <c r="Z19" s="13"/>
      <c r="AA19" s="13"/>
      <c r="AB19" s="10"/>
      <c r="AC19" s="39"/>
      <c r="AD19" s="39"/>
      <c r="AE19" s="11"/>
      <c r="AF19" s="13"/>
      <c r="AG19" s="13"/>
      <c r="AH19" s="10"/>
      <c r="AI19" s="39"/>
      <c r="AJ19" s="39"/>
      <c r="AK19" s="11"/>
      <c r="AL19" s="13"/>
      <c r="AM19" s="13"/>
      <c r="AN19" s="10"/>
      <c r="AO19" s="39"/>
      <c r="AP19" s="39"/>
      <c r="AQ19" s="11"/>
      <c r="AR19" s="13"/>
      <c r="AS19" s="13"/>
      <c r="AT19" s="10"/>
      <c r="AU19" s="39"/>
      <c r="AV19" s="39"/>
      <c r="AW19" s="11"/>
      <c r="AX19" s="13"/>
      <c r="AY19" s="13"/>
      <c r="AZ19" s="10"/>
      <c r="BA19" s="39"/>
      <c r="BB19" s="39"/>
      <c r="BC19" s="11"/>
      <c r="BD19" s="13"/>
      <c r="BE19" s="13"/>
      <c r="BF19" s="10"/>
      <c r="BG19" s="39"/>
      <c r="BH19" s="39"/>
      <c r="BI19" s="11"/>
      <c r="BJ19" s="13"/>
      <c r="BK19" s="13"/>
      <c r="BL19" s="10"/>
      <c r="BM19" s="39"/>
      <c r="BN19" s="39"/>
      <c r="BO19" s="11"/>
      <c r="BP19" s="13"/>
      <c r="BQ19" s="13"/>
      <c r="BR19" s="10"/>
      <c r="BS19" s="39"/>
      <c r="BT19" s="39"/>
    </row>
    <row r="20" spans="1:72" s="12" customFormat="1" ht="15.75" customHeight="1" x14ac:dyDescent="0.25">
      <c r="A20" s="8"/>
      <c r="B20" s="13"/>
      <c r="C20" s="13"/>
      <c r="D20" s="10"/>
      <c r="E20" s="39"/>
      <c r="F20" s="39"/>
      <c r="G20" s="11"/>
      <c r="H20" s="13"/>
      <c r="I20" s="13"/>
      <c r="J20" s="10"/>
      <c r="K20" s="39"/>
      <c r="L20" s="39"/>
      <c r="M20" s="11"/>
      <c r="N20" s="13"/>
      <c r="O20" s="13"/>
      <c r="P20" s="10"/>
      <c r="Q20" s="39"/>
      <c r="R20" s="39"/>
      <c r="S20" s="11"/>
      <c r="T20" s="13"/>
      <c r="U20" s="13"/>
      <c r="V20" s="10"/>
      <c r="W20" s="39"/>
      <c r="X20" s="39"/>
      <c r="Y20" s="11"/>
      <c r="Z20" s="13"/>
      <c r="AA20" s="13"/>
      <c r="AB20" s="10"/>
      <c r="AC20" s="39"/>
      <c r="AD20" s="39"/>
      <c r="AE20" s="11"/>
      <c r="AF20" s="13"/>
      <c r="AG20" s="13"/>
      <c r="AH20" s="10"/>
      <c r="AI20" s="39"/>
      <c r="AJ20" s="39"/>
      <c r="AK20" s="11"/>
      <c r="AL20" s="13"/>
      <c r="AM20" s="13"/>
      <c r="AN20" s="10"/>
      <c r="AO20" s="39"/>
      <c r="AP20" s="39"/>
      <c r="AQ20" s="11"/>
      <c r="AR20" s="13"/>
      <c r="AS20" s="13"/>
      <c r="AT20" s="10"/>
      <c r="AU20" s="39"/>
      <c r="AV20" s="39"/>
      <c r="AW20" s="11"/>
      <c r="AX20" s="13"/>
      <c r="AY20" s="13"/>
      <c r="AZ20" s="10"/>
      <c r="BA20" s="39"/>
      <c r="BB20" s="39"/>
      <c r="BC20" s="11"/>
      <c r="BD20" s="13"/>
      <c r="BE20" s="13"/>
      <c r="BF20" s="10"/>
      <c r="BG20" s="39"/>
      <c r="BH20" s="39"/>
      <c r="BI20" s="11"/>
      <c r="BJ20" s="13"/>
      <c r="BK20" s="13"/>
      <c r="BL20" s="10"/>
      <c r="BM20" s="39"/>
      <c r="BN20" s="39"/>
      <c r="BO20" s="11"/>
      <c r="BP20" s="13"/>
      <c r="BQ20" s="13"/>
      <c r="BR20" s="10"/>
      <c r="BS20" s="39"/>
      <c r="BT20" s="39"/>
    </row>
    <row r="21" spans="1:72" s="12" customFormat="1" ht="15.75" customHeight="1" x14ac:dyDescent="0.25">
      <c r="A21" s="8"/>
      <c r="B21" s="13"/>
      <c r="C21" s="13"/>
      <c r="D21" s="10"/>
      <c r="E21" s="39"/>
      <c r="F21" s="39"/>
      <c r="G21" s="11"/>
      <c r="H21" s="13"/>
      <c r="I21" s="13"/>
      <c r="J21" s="10"/>
      <c r="K21" s="39"/>
      <c r="L21" s="39"/>
      <c r="M21" s="11"/>
      <c r="N21" s="13"/>
      <c r="O21" s="13"/>
      <c r="P21" s="10"/>
      <c r="Q21" s="39"/>
      <c r="R21" s="39"/>
      <c r="S21" s="11"/>
      <c r="T21" s="13"/>
      <c r="U21" s="13"/>
      <c r="V21" s="10"/>
      <c r="W21" s="39"/>
      <c r="X21" s="39"/>
      <c r="Y21" s="11"/>
      <c r="Z21" s="13"/>
      <c r="AA21" s="13"/>
      <c r="AB21" s="10"/>
      <c r="AC21" s="39"/>
      <c r="AD21" s="39"/>
      <c r="AE21" s="11"/>
      <c r="AF21" s="13"/>
      <c r="AG21" s="13"/>
      <c r="AH21" s="10"/>
      <c r="AI21" s="39"/>
      <c r="AJ21" s="39"/>
      <c r="AK21" s="11"/>
      <c r="AL21" s="13"/>
      <c r="AM21" s="13"/>
      <c r="AN21" s="10"/>
      <c r="AO21" s="39"/>
      <c r="AP21" s="39"/>
      <c r="AQ21" s="11"/>
      <c r="AR21" s="13"/>
      <c r="AS21" s="13"/>
      <c r="AT21" s="10"/>
      <c r="AU21" s="39"/>
      <c r="AV21" s="39"/>
      <c r="AW21" s="11"/>
      <c r="AX21" s="13"/>
      <c r="AY21" s="13"/>
      <c r="AZ21" s="10"/>
      <c r="BA21" s="39"/>
      <c r="BB21" s="39"/>
      <c r="BC21" s="11"/>
      <c r="BD21" s="13"/>
      <c r="BE21" s="13"/>
      <c r="BF21" s="10"/>
      <c r="BG21" s="39"/>
      <c r="BH21" s="39"/>
      <c r="BI21" s="11"/>
      <c r="BJ21" s="13"/>
      <c r="BK21" s="13"/>
      <c r="BL21" s="10"/>
      <c r="BM21" s="39"/>
      <c r="BN21" s="39"/>
      <c r="BO21" s="11"/>
      <c r="BP21" s="13"/>
      <c r="BQ21" s="13"/>
      <c r="BR21" s="10"/>
      <c r="BS21" s="39"/>
      <c r="BT21" s="39"/>
    </row>
    <row r="22" spans="1:72" s="12" customFormat="1" ht="15.75" customHeight="1" x14ac:dyDescent="0.25">
      <c r="A22" s="8"/>
      <c r="B22" s="13"/>
      <c r="C22" s="13"/>
      <c r="D22" s="10"/>
      <c r="E22" s="39"/>
      <c r="F22" s="39"/>
      <c r="G22" s="11"/>
      <c r="H22" s="13"/>
      <c r="I22" s="13"/>
      <c r="J22" s="10"/>
      <c r="K22" s="39"/>
      <c r="L22" s="39"/>
      <c r="M22" s="11"/>
      <c r="N22" s="13"/>
      <c r="O22" s="13"/>
      <c r="P22" s="10"/>
      <c r="Q22" s="39"/>
      <c r="R22" s="39"/>
      <c r="S22" s="11"/>
      <c r="T22" s="13"/>
      <c r="U22" s="13"/>
      <c r="V22" s="10"/>
      <c r="W22" s="39"/>
      <c r="X22" s="39"/>
      <c r="Y22" s="11"/>
      <c r="Z22" s="13"/>
      <c r="AA22" s="13"/>
      <c r="AB22" s="10"/>
      <c r="AC22" s="39"/>
      <c r="AD22" s="39"/>
      <c r="AE22" s="11"/>
      <c r="AF22" s="13"/>
      <c r="AG22" s="13"/>
      <c r="AH22" s="10"/>
      <c r="AI22" s="39"/>
      <c r="AJ22" s="39"/>
      <c r="AK22" s="11"/>
      <c r="AL22" s="13"/>
      <c r="AM22" s="13"/>
      <c r="AN22" s="10"/>
      <c r="AO22" s="39"/>
      <c r="AP22" s="39"/>
      <c r="AQ22" s="11"/>
      <c r="AR22" s="13"/>
      <c r="AS22" s="13"/>
      <c r="AT22" s="10"/>
      <c r="AU22" s="39"/>
      <c r="AV22" s="39"/>
      <c r="AW22" s="11"/>
      <c r="AX22" s="13"/>
      <c r="AY22" s="13"/>
      <c r="AZ22" s="10"/>
      <c r="BA22" s="39"/>
      <c r="BB22" s="39"/>
      <c r="BC22" s="11"/>
      <c r="BD22" s="13"/>
      <c r="BE22" s="13"/>
      <c r="BF22" s="10"/>
      <c r="BG22" s="39"/>
      <c r="BH22" s="39"/>
      <c r="BI22" s="11"/>
      <c r="BJ22" s="13"/>
      <c r="BK22" s="13"/>
      <c r="BL22" s="10"/>
      <c r="BM22" s="39"/>
      <c r="BN22" s="39"/>
      <c r="BO22" s="11"/>
      <c r="BP22" s="13"/>
      <c r="BQ22" s="13"/>
      <c r="BR22" s="10"/>
      <c r="BS22" s="39"/>
      <c r="BT22" s="39"/>
    </row>
    <row r="23" spans="1:72" s="12" customFormat="1" ht="15.75" customHeight="1" x14ac:dyDescent="0.25">
      <c r="A23" s="8"/>
      <c r="B23" s="13"/>
      <c r="C23" s="13"/>
      <c r="D23" s="10"/>
      <c r="E23" s="39"/>
      <c r="F23" s="39"/>
      <c r="G23" s="11"/>
      <c r="H23" s="13"/>
      <c r="I23" s="13"/>
      <c r="J23" s="10"/>
      <c r="K23" s="39"/>
      <c r="L23" s="39"/>
      <c r="M23" s="11"/>
      <c r="N23" s="13"/>
      <c r="O23" s="13"/>
      <c r="P23" s="10"/>
      <c r="Q23" s="39"/>
      <c r="R23" s="39"/>
      <c r="S23" s="11"/>
      <c r="T23" s="13"/>
      <c r="U23" s="13"/>
      <c r="V23" s="10"/>
      <c r="W23" s="39"/>
      <c r="X23" s="39"/>
      <c r="Y23" s="11"/>
      <c r="Z23" s="13"/>
      <c r="AA23" s="13"/>
      <c r="AB23" s="10"/>
      <c r="AC23" s="39"/>
      <c r="AD23" s="39"/>
      <c r="AE23" s="11"/>
      <c r="AF23" s="13"/>
      <c r="AG23" s="13"/>
      <c r="AH23" s="10"/>
      <c r="AI23" s="39"/>
      <c r="AJ23" s="39"/>
      <c r="AK23" s="11"/>
      <c r="AL23" s="13"/>
      <c r="AM23" s="13"/>
      <c r="AN23" s="10"/>
      <c r="AO23" s="39"/>
      <c r="AP23" s="39"/>
      <c r="AQ23" s="11"/>
      <c r="AR23" s="13"/>
      <c r="AS23" s="13"/>
      <c r="AT23" s="10"/>
      <c r="AU23" s="39"/>
      <c r="AV23" s="39"/>
      <c r="AW23" s="11"/>
      <c r="AX23" s="13"/>
      <c r="AY23" s="13"/>
      <c r="AZ23" s="10"/>
      <c r="BA23" s="39"/>
      <c r="BB23" s="39"/>
      <c r="BC23" s="11"/>
      <c r="BD23" s="13"/>
      <c r="BE23" s="13"/>
      <c r="BF23" s="10"/>
      <c r="BG23" s="39"/>
      <c r="BH23" s="39"/>
      <c r="BI23" s="11"/>
      <c r="BJ23" s="13"/>
      <c r="BK23" s="13"/>
      <c r="BL23" s="10"/>
      <c r="BM23" s="39"/>
      <c r="BN23" s="39"/>
      <c r="BO23" s="11"/>
      <c r="BP23" s="13"/>
      <c r="BQ23" s="13"/>
      <c r="BR23" s="10"/>
      <c r="BS23" s="39"/>
      <c r="BT23" s="39"/>
    </row>
    <row r="24" spans="1:72" s="12" customFormat="1" ht="15.75" customHeight="1" x14ac:dyDescent="0.25">
      <c r="A24" s="8"/>
      <c r="B24" s="13"/>
      <c r="C24" s="13"/>
      <c r="D24" s="10"/>
      <c r="E24" s="39"/>
      <c r="F24" s="39"/>
      <c r="G24" s="11"/>
      <c r="H24" s="13"/>
      <c r="I24" s="13"/>
      <c r="J24" s="10"/>
      <c r="K24" s="39"/>
      <c r="L24" s="39"/>
      <c r="M24" s="11"/>
      <c r="N24" s="13"/>
      <c r="O24" s="13"/>
      <c r="P24" s="10"/>
      <c r="Q24" s="39"/>
      <c r="R24" s="39"/>
      <c r="S24" s="11"/>
      <c r="T24" s="13"/>
      <c r="U24" s="13"/>
      <c r="V24" s="10"/>
      <c r="W24" s="39"/>
      <c r="X24" s="39"/>
      <c r="Y24" s="11"/>
      <c r="Z24" s="13"/>
      <c r="AA24" s="13"/>
      <c r="AB24" s="10"/>
      <c r="AC24" s="39"/>
      <c r="AD24" s="39"/>
      <c r="AE24" s="11"/>
      <c r="AF24" s="13"/>
      <c r="AG24" s="13"/>
      <c r="AH24" s="10"/>
      <c r="AI24" s="39"/>
      <c r="AJ24" s="39"/>
      <c r="AK24" s="11"/>
      <c r="AL24" s="13"/>
      <c r="AM24" s="13"/>
      <c r="AN24" s="10"/>
      <c r="AO24" s="39"/>
      <c r="AP24" s="39"/>
      <c r="AQ24" s="11"/>
      <c r="AR24" s="13"/>
      <c r="AS24" s="13"/>
      <c r="AT24" s="10"/>
      <c r="AU24" s="39"/>
      <c r="AV24" s="39"/>
      <c r="AW24" s="11"/>
      <c r="AX24" s="13"/>
      <c r="AY24" s="13"/>
      <c r="AZ24" s="10"/>
      <c r="BA24" s="39"/>
      <c r="BB24" s="39"/>
      <c r="BC24" s="11"/>
      <c r="BD24" s="13"/>
      <c r="BE24" s="13"/>
      <c r="BF24" s="10"/>
      <c r="BG24" s="39"/>
      <c r="BH24" s="39"/>
      <c r="BI24" s="11"/>
      <c r="BJ24" s="13"/>
      <c r="BK24" s="13"/>
      <c r="BL24" s="10"/>
      <c r="BM24" s="39"/>
      <c r="BN24" s="39"/>
      <c r="BO24" s="11"/>
      <c r="BP24" s="13"/>
      <c r="BQ24" s="13"/>
      <c r="BR24" s="10"/>
      <c r="BS24" s="39"/>
      <c r="BT24" s="39"/>
    </row>
    <row r="25" spans="1:72" s="12" customFormat="1" ht="15.75" customHeight="1" x14ac:dyDescent="0.25">
      <c r="A25" s="8"/>
      <c r="B25" s="9"/>
      <c r="C25" s="9"/>
      <c r="D25" s="10"/>
      <c r="E25" s="39"/>
      <c r="F25" s="39"/>
      <c r="G25" s="11"/>
      <c r="H25" s="9"/>
      <c r="I25" s="9"/>
      <c r="J25" s="10"/>
      <c r="K25" s="39"/>
      <c r="L25" s="39"/>
      <c r="M25" s="11"/>
      <c r="N25" s="9"/>
      <c r="O25" s="9"/>
      <c r="P25" s="10"/>
      <c r="Q25" s="39"/>
      <c r="R25" s="39"/>
      <c r="S25" s="11"/>
      <c r="T25" s="9"/>
      <c r="U25" s="9"/>
      <c r="V25" s="10"/>
      <c r="W25" s="39"/>
      <c r="X25" s="39"/>
      <c r="Y25" s="11"/>
      <c r="Z25" s="9"/>
      <c r="AA25" s="9"/>
      <c r="AB25" s="10"/>
      <c r="AC25" s="39"/>
      <c r="AD25" s="39"/>
      <c r="AE25" s="11"/>
      <c r="AF25" s="9"/>
      <c r="AG25" s="9"/>
      <c r="AH25" s="10"/>
      <c r="AI25" s="39"/>
      <c r="AJ25" s="39"/>
      <c r="AK25" s="11"/>
      <c r="AL25" s="9"/>
      <c r="AM25" s="9"/>
      <c r="AN25" s="10"/>
      <c r="AO25" s="39"/>
      <c r="AP25" s="39"/>
      <c r="AQ25" s="11"/>
      <c r="AR25" s="9"/>
      <c r="AS25" s="9"/>
      <c r="AT25" s="10"/>
      <c r="AU25" s="39"/>
      <c r="AV25" s="39"/>
      <c r="AW25" s="11"/>
      <c r="AX25" s="9"/>
      <c r="AY25" s="9"/>
      <c r="AZ25" s="10"/>
      <c r="BA25" s="39"/>
      <c r="BB25" s="39"/>
      <c r="BC25" s="11"/>
      <c r="BD25" s="9"/>
      <c r="BE25" s="9"/>
      <c r="BF25" s="10"/>
      <c r="BG25" s="39"/>
      <c r="BH25" s="39"/>
      <c r="BI25" s="11"/>
      <c r="BJ25" s="9"/>
      <c r="BK25" s="9"/>
      <c r="BL25" s="10"/>
      <c r="BM25" s="39"/>
      <c r="BN25" s="39"/>
      <c r="BO25" s="11"/>
      <c r="BP25" s="9"/>
      <c r="BQ25" s="9"/>
      <c r="BR25" s="10"/>
      <c r="BS25" s="39"/>
      <c r="BT25" s="39"/>
    </row>
    <row r="26" spans="1:72" s="12" customFormat="1" ht="15.75" customHeight="1" x14ac:dyDescent="0.25">
      <c r="A26" s="8"/>
      <c r="B26" s="13"/>
      <c r="C26" s="13"/>
      <c r="D26" s="10"/>
      <c r="E26" s="39"/>
      <c r="F26" s="39"/>
      <c r="G26" s="11"/>
      <c r="H26" s="13"/>
      <c r="I26" s="13"/>
      <c r="J26" s="10"/>
      <c r="K26" s="39"/>
      <c r="L26" s="39"/>
      <c r="M26" s="11"/>
      <c r="N26" s="13"/>
      <c r="O26" s="13"/>
      <c r="P26" s="10"/>
      <c r="Q26" s="39"/>
      <c r="R26" s="39"/>
      <c r="S26" s="11"/>
      <c r="T26" s="13"/>
      <c r="U26" s="13"/>
      <c r="V26" s="10"/>
      <c r="W26" s="39"/>
      <c r="X26" s="39"/>
      <c r="Y26" s="11"/>
      <c r="Z26" s="13"/>
      <c r="AA26" s="13"/>
      <c r="AB26" s="10"/>
      <c r="AC26" s="39"/>
      <c r="AD26" s="39"/>
      <c r="AE26" s="11"/>
      <c r="AF26" s="13"/>
      <c r="AG26" s="13"/>
      <c r="AH26" s="10"/>
      <c r="AI26" s="39"/>
      <c r="AJ26" s="39"/>
      <c r="AK26" s="11"/>
      <c r="AL26" s="13"/>
      <c r="AM26" s="13"/>
      <c r="AN26" s="10"/>
      <c r="AO26" s="39"/>
      <c r="AP26" s="39"/>
      <c r="AQ26" s="11"/>
      <c r="AR26" s="13"/>
      <c r="AS26" s="13"/>
      <c r="AT26" s="10"/>
      <c r="AU26" s="39"/>
      <c r="AV26" s="39"/>
      <c r="AW26" s="11"/>
      <c r="AX26" s="13"/>
      <c r="AY26" s="13"/>
      <c r="AZ26" s="10"/>
      <c r="BA26" s="39"/>
      <c r="BB26" s="39"/>
      <c r="BC26" s="11"/>
      <c r="BD26" s="13"/>
      <c r="BE26" s="13"/>
      <c r="BF26" s="10"/>
      <c r="BG26" s="39"/>
      <c r="BH26" s="39"/>
      <c r="BI26" s="11"/>
      <c r="BJ26" s="13"/>
      <c r="BK26" s="13"/>
      <c r="BL26" s="10"/>
      <c r="BM26" s="39"/>
      <c r="BN26" s="39"/>
      <c r="BO26" s="11"/>
      <c r="BP26" s="13"/>
      <c r="BQ26" s="13"/>
      <c r="BR26" s="10"/>
      <c r="BS26" s="39"/>
      <c r="BT26" s="39"/>
    </row>
    <row r="27" spans="1:72" s="12" customFormat="1" ht="15.75" customHeight="1" x14ac:dyDescent="0.25">
      <c r="A27" s="8"/>
      <c r="B27" s="13"/>
      <c r="C27" s="13"/>
      <c r="D27" s="10"/>
      <c r="E27" s="39"/>
      <c r="F27" s="39"/>
      <c r="G27" s="11"/>
      <c r="H27" s="13"/>
      <c r="I27" s="13"/>
      <c r="J27" s="10"/>
      <c r="K27" s="39"/>
      <c r="L27" s="39"/>
      <c r="M27" s="11"/>
      <c r="N27" s="13"/>
      <c r="O27" s="13"/>
      <c r="P27" s="10"/>
      <c r="Q27" s="39"/>
      <c r="R27" s="39"/>
      <c r="S27" s="11"/>
      <c r="T27" s="13"/>
      <c r="U27" s="13"/>
      <c r="V27" s="10"/>
      <c r="W27" s="39"/>
      <c r="X27" s="39"/>
      <c r="Y27" s="11"/>
      <c r="Z27" s="13"/>
      <c r="AA27" s="13"/>
      <c r="AB27" s="10"/>
      <c r="AC27" s="39"/>
      <c r="AD27" s="39"/>
      <c r="AE27" s="11"/>
      <c r="AF27" s="13"/>
      <c r="AG27" s="13"/>
      <c r="AH27" s="10"/>
      <c r="AI27" s="39"/>
      <c r="AJ27" s="39"/>
      <c r="AK27" s="11"/>
      <c r="AL27" s="13"/>
      <c r="AM27" s="13"/>
      <c r="AN27" s="10"/>
      <c r="AO27" s="39"/>
      <c r="AP27" s="39"/>
      <c r="AQ27" s="11"/>
      <c r="AR27" s="13"/>
      <c r="AS27" s="13"/>
      <c r="AT27" s="10"/>
      <c r="AU27" s="39"/>
      <c r="AV27" s="39"/>
      <c r="AW27" s="11"/>
      <c r="AX27" s="13"/>
      <c r="AY27" s="13"/>
      <c r="AZ27" s="10"/>
      <c r="BA27" s="39"/>
      <c r="BB27" s="39"/>
      <c r="BC27" s="11"/>
      <c r="BD27" s="13"/>
      <c r="BE27" s="13"/>
      <c r="BF27" s="10"/>
      <c r="BG27" s="39"/>
      <c r="BH27" s="39"/>
      <c r="BI27" s="11"/>
      <c r="BJ27" s="13"/>
      <c r="BK27" s="13"/>
      <c r="BL27" s="10"/>
      <c r="BM27" s="39"/>
      <c r="BN27" s="39"/>
      <c r="BO27" s="11"/>
      <c r="BP27" s="13"/>
      <c r="BQ27" s="13"/>
      <c r="BR27" s="10"/>
      <c r="BS27" s="39"/>
      <c r="BT27" s="39"/>
    </row>
    <row r="28" spans="1:72" s="12" customFormat="1" ht="15.75" customHeight="1" x14ac:dyDescent="0.25">
      <c r="A28" s="8"/>
      <c r="B28" s="13"/>
      <c r="C28" s="13"/>
      <c r="D28" s="10"/>
      <c r="E28" s="39"/>
      <c r="F28" s="39"/>
      <c r="G28" s="11"/>
      <c r="H28" s="13"/>
      <c r="I28" s="13"/>
      <c r="J28" s="10"/>
      <c r="K28" s="39"/>
      <c r="L28" s="39"/>
      <c r="M28" s="11"/>
      <c r="N28" s="13"/>
      <c r="O28" s="13"/>
      <c r="P28" s="10"/>
      <c r="Q28" s="39"/>
      <c r="R28" s="39"/>
      <c r="S28" s="11"/>
      <c r="T28" s="13"/>
      <c r="U28" s="13"/>
      <c r="V28" s="10"/>
      <c r="W28" s="39"/>
      <c r="X28" s="39"/>
      <c r="Y28" s="11"/>
      <c r="Z28" s="13"/>
      <c r="AA28" s="13"/>
      <c r="AB28" s="10"/>
      <c r="AC28" s="39"/>
      <c r="AD28" s="39"/>
      <c r="AE28" s="11"/>
      <c r="AF28" s="13"/>
      <c r="AG28" s="13"/>
      <c r="AH28" s="10"/>
      <c r="AI28" s="39"/>
      <c r="AJ28" s="39"/>
      <c r="AK28" s="11"/>
      <c r="AL28" s="13"/>
      <c r="AM28" s="13"/>
      <c r="AN28" s="10"/>
      <c r="AO28" s="39"/>
      <c r="AP28" s="39"/>
      <c r="AQ28" s="11"/>
      <c r="AR28" s="13"/>
      <c r="AS28" s="13"/>
      <c r="AT28" s="10"/>
      <c r="AU28" s="39"/>
      <c r="AV28" s="39"/>
      <c r="AW28" s="11"/>
      <c r="AX28" s="13"/>
      <c r="AY28" s="13"/>
      <c r="AZ28" s="10"/>
      <c r="BA28" s="39"/>
      <c r="BB28" s="39"/>
      <c r="BC28" s="11"/>
      <c r="BD28" s="13"/>
      <c r="BE28" s="13"/>
      <c r="BF28" s="10"/>
      <c r="BG28" s="39"/>
      <c r="BH28" s="39"/>
      <c r="BI28" s="11"/>
      <c r="BJ28" s="13"/>
      <c r="BK28" s="13"/>
      <c r="BL28" s="10"/>
      <c r="BM28" s="39"/>
      <c r="BN28" s="39"/>
      <c r="BO28" s="11"/>
      <c r="BP28" s="13"/>
      <c r="BQ28" s="13"/>
      <c r="BR28" s="10"/>
      <c r="BS28" s="39"/>
      <c r="BT28" s="39"/>
    </row>
    <row r="29" spans="1:72" s="12" customFormat="1" ht="15.75" customHeight="1" x14ac:dyDescent="0.25">
      <c r="A29" s="8"/>
      <c r="B29" s="13"/>
      <c r="C29" s="13"/>
      <c r="D29" s="10"/>
      <c r="E29" s="39"/>
      <c r="F29" s="39"/>
      <c r="G29" s="11"/>
      <c r="H29" s="13"/>
      <c r="I29" s="13"/>
      <c r="J29" s="10"/>
      <c r="K29" s="39"/>
      <c r="L29" s="39"/>
      <c r="M29" s="11"/>
      <c r="N29" s="13"/>
      <c r="O29" s="13"/>
      <c r="P29" s="10"/>
      <c r="Q29" s="39"/>
      <c r="R29" s="39"/>
      <c r="S29" s="11"/>
      <c r="T29" s="13"/>
      <c r="U29" s="13"/>
      <c r="V29" s="10"/>
      <c r="W29" s="39"/>
      <c r="X29" s="39"/>
      <c r="Y29" s="11"/>
      <c r="Z29" s="13"/>
      <c r="AA29" s="13"/>
      <c r="AB29" s="10"/>
      <c r="AC29" s="39"/>
      <c r="AD29" s="39"/>
      <c r="AE29" s="11"/>
      <c r="AF29" s="13"/>
      <c r="AG29" s="13"/>
      <c r="AH29" s="10"/>
      <c r="AI29" s="39"/>
      <c r="AJ29" s="39"/>
      <c r="AK29" s="11"/>
      <c r="AL29" s="13"/>
      <c r="AM29" s="13"/>
      <c r="AN29" s="10"/>
      <c r="AO29" s="39"/>
      <c r="AP29" s="39"/>
      <c r="AQ29" s="11"/>
      <c r="AR29" s="13"/>
      <c r="AS29" s="13"/>
      <c r="AT29" s="10"/>
      <c r="AU29" s="39"/>
      <c r="AV29" s="39"/>
      <c r="AW29" s="11"/>
      <c r="AX29" s="13"/>
      <c r="AY29" s="13"/>
      <c r="AZ29" s="10"/>
      <c r="BA29" s="39"/>
      <c r="BB29" s="39"/>
      <c r="BC29" s="11"/>
      <c r="BD29" s="13"/>
      <c r="BE29" s="13"/>
      <c r="BF29" s="10"/>
      <c r="BG29" s="39"/>
      <c r="BH29" s="39"/>
      <c r="BI29" s="11"/>
      <c r="BJ29" s="13"/>
      <c r="BK29" s="13"/>
      <c r="BL29" s="10"/>
      <c r="BM29" s="39"/>
      <c r="BN29" s="39"/>
      <c r="BO29" s="11"/>
      <c r="BP29" s="13"/>
      <c r="BQ29" s="13"/>
      <c r="BR29" s="10"/>
      <c r="BS29" s="39"/>
      <c r="BT29" s="39"/>
    </row>
    <row r="30" spans="1:72" s="12" customFormat="1" ht="15.75" customHeight="1" x14ac:dyDescent="0.25">
      <c r="A30" s="8"/>
      <c r="B30" s="13"/>
      <c r="C30" s="13"/>
      <c r="D30" s="10"/>
      <c r="E30" s="39"/>
      <c r="F30" s="39"/>
      <c r="G30" s="11"/>
      <c r="H30" s="13"/>
      <c r="I30" s="13"/>
      <c r="J30" s="10"/>
      <c r="K30" s="39"/>
      <c r="L30" s="39"/>
      <c r="M30" s="11"/>
      <c r="N30" s="13"/>
      <c r="O30" s="13"/>
      <c r="P30" s="10"/>
      <c r="Q30" s="39"/>
      <c r="R30" s="39"/>
      <c r="S30" s="11"/>
      <c r="T30" s="13"/>
      <c r="U30" s="13"/>
      <c r="V30" s="10"/>
      <c r="W30" s="39"/>
      <c r="X30" s="39"/>
      <c r="Y30" s="11"/>
      <c r="Z30" s="13"/>
      <c r="AA30" s="13"/>
      <c r="AB30" s="10"/>
      <c r="AC30" s="39"/>
      <c r="AD30" s="39"/>
      <c r="AE30" s="11"/>
      <c r="AF30" s="13"/>
      <c r="AG30" s="13"/>
      <c r="AH30" s="10"/>
      <c r="AI30" s="39"/>
      <c r="AJ30" s="39"/>
      <c r="AK30" s="11"/>
      <c r="AL30" s="13"/>
      <c r="AM30" s="13"/>
      <c r="AN30" s="10"/>
      <c r="AO30" s="39"/>
      <c r="AP30" s="39"/>
      <c r="AQ30" s="11"/>
      <c r="AR30" s="13"/>
      <c r="AS30" s="13"/>
      <c r="AT30" s="10"/>
      <c r="AU30" s="39"/>
      <c r="AV30" s="39"/>
      <c r="AW30" s="11"/>
      <c r="AX30" s="13"/>
      <c r="AY30" s="13"/>
      <c r="AZ30" s="10"/>
      <c r="BA30" s="39"/>
      <c r="BB30" s="39"/>
      <c r="BC30" s="11"/>
      <c r="BD30" s="13"/>
      <c r="BE30" s="13"/>
      <c r="BF30" s="10"/>
      <c r="BG30" s="39"/>
      <c r="BH30" s="39"/>
      <c r="BI30" s="11"/>
      <c r="BJ30" s="13"/>
      <c r="BK30" s="13"/>
      <c r="BL30" s="10"/>
      <c r="BM30" s="39"/>
      <c r="BN30" s="39"/>
      <c r="BO30" s="11"/>
      <c r="BP30" s="13"/>
      <c r="BQ30" s="13"/>
      <c r="BR30" s="10"/>
      <c r="BS30" s="39"/>
      <c r="BT30" s="39"/>
    </row>
    <row r="31" spans="1:72" s="12" customFormat="1" ht="15.75" customHeight="1" x14ac:dyDescent="0.25">
      <c r="A31" s="8"/>
      <c r="B31" s="13"/>
      <c r="C31" s="13"/>
      <c r="D31" s="10"/>
      <c r="E31" s="39"/>
      <c r="F31" s="39"/>
      <c r="G31" s="11"/>
      <c r="H31" s="13"/>
      <c r="I31" s="13"/>
      <c r="J31" s="10"/>
      <c r="K31" s="39"/>
      <c r="L31" s="39"/>
      <c r="M31" s="11"/>
      <c r="N31" s="13"/>
      <c r="O31" s="13"/>
      <c r="P31" s="10"/>
      <c r="Q31" s="39"/>
      <c r="R31" s="39"/>
      <c r="S31" s="11"/>
      <c r="T31" s="13"/>
      <c r="U31" s="13"/>
      <c r="V31" s="10"/>
      <c r="W31" s="39"/>
      <c r="X31" s="39"/>
      <c r="Y31" s="11"/>
      <c r="Z31" s="13"/>
      <c r="AA31" s="13"/>
      <c r="AB31" s="10"/>
      <c r="AC31" s="39"/>
      <c r="AD31" s="39"/>
      <c r="AE31" s="11"/>
      <c r="AF31" s="13"/>
      <c r="AG31" s="13"/>
      <c r="AH31" s="10"/>
      <c r="AI31" s="39"/>
      <c r="AJ31" s="39"/>
      <c r="AK31" s="11"/>
      <c r="AL31" s="13"/>
      <c r="AM31" s="13"/>
      <c r="AN31" s="10"/>
      <c r="AO31" s="39"/>
      <c r="AP31" s="39"/>
      <c r="AQ31" s="11"/>
      <c r="AR31" s="13"/>
      <c r="AS31" s="13"/>
      <c r="AT31" s="10"/>
      <c r="AU31" s="39"/>
      <c r="AV31" s="39"/>
      <c r="AW31" s="11"/>
      <c r="AX31" s="13"/>
      <c r="AY31" s="13"/>
      <c r="AZ31" s="10"/>
      <c r="BA31" s="39"/>
      <c r="BB31" s="39"/>
      <c r="BC31" s="11"/>
      <c r="BD31" s="13"/>
      <c r="BE31" s="13"/>
      <c r="BF31" s="10"/>
      <c r="BG31" s="39"/>
      <c r="BH31" s="39"/>
      <c r="BI31" s="11"/>
      <c r="BJ31" s="13"/>
      <c r="BK31" s="13"/>
      <c r="BL31" s="10"/>
      <c r="BM31" s="39"/>
      <c r="BN31" s="39"/>
      <c r="BO31" s="11"/>
      <c r="BP31" s="13"/>
      <c r="BQ31" s="13"/>
      <c r="BR31" s="10"/>
      <c r="BS31" s="39"/>
      <c r="BT31" s="39"/>
    </row>
    <row r="32" spans="1:72" s="12" customFormat="1" ht="15.75" customHeight="1" x14ac:dyDescent="0.25">
      <c r="A32" s="8"/>
      <c r="B32" s="13"/>
      <c r="C32" s="13"/>
      <c r="D32" s="10"/>
      <c r="E32" s="39"/>
      <c r="F32" s="39"/>
      <c r="G32" s="11"/>
      <c r="H32" s="13"/>
      <c r="I32" s="13"/>
      <c r="J32" s="10"/>
      <c r="K32" s="39"/>
      <c r="L32" s="39"/>
      <c r="M32" s="11"/>
      <c r="N32" s="13"/>
      <c r="O32" s="13"/>
      <c r="P32" s="10"/>
      <c r="Q32" s="39"/>
      <c r="R32" s="39"/>
      <c r="S32" s="11"/>
      <c r="T32" s="13"/>
      <c r="U32" s="13"/>
      <c r="V32" s="10"/>
      <c r="W32" s="39"/>
      <c r="X32" s="39"/>
      <c r="Y32" s="11"/>
      <c r="Z32" s="13"/>
      <c r="AA32" s="13"/>
      <c r="AB32" s="10"/>
      <c r="AC32" s="39"/>
      <c r="AD32" s="39"/>
      <c r="AE32" s="11"/>
      <c r="AF32" s="13"/>
      <c r="AG32" s="13"/>
      <c r="AH32" s="10"/>
      <c r="AI32" s="39"/>
      <c r="AJ32" s="39"/>
      <c r="AK32" s="11"/>
      <c r="AL32" s="13"/>
      <c r="AM32" s="13"/>
      <c r="AN32" s="10"/>
      <c r="AO32" s="39"/>
      <c r="AP32" s="39"/>
      <c r="AQ32" s="11"/>
      <c r="AR32" s="13"/>
      <c r="AS32" s="13"/>
      <c r="AT32" s="10"/>
      <c r="AU32" s="39"/>
      <c r="AV32" s="39"/>
      <c r="AW32" s="11"/>
      <c r="AX32" s="13"/>
      <c r="AY32" s="13"/>
      <c r="AZ32" s="10"/>
      <c r="BA32" s="39"/>
      <c r="BB32" s="39"/>
      <c r="BC32" s="11"/>
      <c r="BD32" s="13"/>
      <c r="BE32" s="13"/>
      <c r="BF32" s="10"/>
      <c r="BG32" s="39"/>
      <c r="BH32" s="39"/>
      <c r="BI32" s="11"/>
      <c r="BJ32" s="13"/>
      <c r="BK32" s="13"/>
      <c r="BL32" s="10"/>
      <c r="BM32" s="39"/>
      <c r="BN32" s="39"/>
      <c r="BO32" s="11"/>
      <c r="BP32" s="13"/>
      <c r="BQ32" s="13"/>
      <c r="BR32" s="10"/>
      <c r="BS32" s="39"/>
      <c r="BT32" s="39"/>
    </row>
    <row r="33" spans="1:72" s="12" customFormat="1" ht="15.75" customHeight="1" x14ac:dyDescent="0.25">
      <c r="A33" s="8"/>
      <c r="B33" s="13"/>
      <c r="C33" s="13"/>
      <c r="D33" s="10"/>
      <c r="E33" s="39"/>
      <c r="F33" s="39"/>
      <c r="G33" s="11"/>
      <c r="H33" s="13"/>
      <c r="I33" s="13"/>
      <c r="J33" s="10"/>
      <c r="K33" s="39"/>
      <c r="L33" s="39"/>
      <c r="M33" s="11"/>
      <c r="N33" s="13"/>
      <c r="O33" s="13"/>
      <c r="P33" s="10"/>
      <c r="Q33" s="39"/>
      <c r="R33" s="39"/>
      <c r="S33" s="11"/>
      <c r="T33" s="13"/>
      <c r="U33" s="13"/>
      <c r="V33" s="10"/>
      <c r="W33" s="39"/>
      <c r="X33" s="39"/>
      <c r="Y33" s="11"/>
      <c r="Z33" s="13"/>
      <c r="AA33" s="13"/>
      <c r="AB33" s="10"/>
      <c r="AC33" s="39"/>
      <c r="AD33" s="39"/>
      <c r="AE33" s="11"/>
      <c r="AF33" s="13"/>
      <c r="AG33" s="13"/>
      <c r="AH33" s="10"/>
      <c r="AI33" s="39"/>
      <c r="AJ33" s="39"/>
      <c r="AK33" s="11"/>
      <c r="AL33" s="13"/>
      <c r="AM33" s="13"/>
      <c r="AN33" s="10"/>
      <c r="AO33" s="39"/>
      <c r="AP33" s="39"/>
      <c r="AQ33" s="11"/>
      <c r="AR33" s="13"/>
      <c r="AS33" s="13"/>
      <c r="AT33" s="10"/>
      <c r="AU33" s="39"/>
      <c r="AV33" s="39"/>
      <c r="AW33" s="11"/>
      <c r="AX33" s="13"/>
      <c r="AY33" s="13"/>
      <c r="AZ33" s="10"/>
      <c r="BA33" s="39"/>
      <c r="BB33" s="39"/>
      <c r="BC33" s="11"/>
      <c r="BD33" s="13"/>
      <c r="BE33" s="13"/>
      <c r="BF33" s="10"/>
      <c r="BG33" s="39"/>
      <c r="BH33" s="39"/>
      <c r="BI33" s="11"/>
      <c r="BJ33" s="13"/>
      <c r="BK33" s="13"/>
      <c r="BL33" s="10"/>
      <c r="BM33" s="39"/>
      <c r="BN33" s="39"/>
      <c r="BO33" s="11"/>
      <c r="BP33" s="13"/>
      <c r="BQ33" s="13"/>
      <c r="BR33" s="10"/>
      <c r="BS33" s="39"/>
      <c r="BT33" s="39"/>
    </row>
    <row r="34" spans="1:72" s="12" customFormat="1" ht="15.75" customHeight="1" x14ac:dyDescent="0.25">
      <c r="A34" s="8"/>
      <c r="B34" s="13"/>
      <c r="C34" s="13"/>
      <c r="D34" s="10"/>
      <c r="E34" s="39"/>
      <c r="F34" s="39"/>
      <c r="G34" s="11"/>
      <c r="H34" s="13"/>
      <c r="I34" s="13"/>
      <c r="J34" s="10"/>
      <c r="K34" s="39"/>
      <c r="L34" s="39"/>
      <c r="M34" s="11"/>
      <c r="N34" s="13"/>
      <c r="O34" s="13"/>
      <c r="P34" s="10"/>
      <c r="Q34" s="39"/>
      <c r="R34" s="39"/>
      <c r="S34" s="11"/>
      <c r="T34" s="13"/>
      <c r="U34" s="13"/>
      <c r="V34" s="10"/>
      <c r="W34" s="39"/>
      <c r="X34" s="39"/>
      <c r="Y34" s="11"/>
      <c r="Z34" s="13"/>
      <c r="AA34" s="13"/>
      <c r="AB34" s="10"/>
      <c r="AC34" s="39"/>
      <c r="AD34" s="39"/>
      <c r="AE34" s="11"/>
      <c r="AF34" s="13"/>
      <c r="AG34" s="13"/>
      <c r="AH34" s="10"/>
      <c r="AI34" s="39"/>
      <c r="AJ34" s="39"/>
      <c r="AK34" s="11"/>
      <c r="AL34" s="13"/>
      <c r="AM34" s="13"/>
      <c r="AN34" s="10"/>
      <c r="AO34" s="39"/>
      <c r="AP34" s="39"/>
      <c r="AQ34" s="11"/>
      <c r="AR34" s="13"/>
      <c r="AS34" s="13"/>
      <c r="AT34" s="10"/>
      <c r="AU34" s="39"/>
      <c r="AV34" s="39"/>
      <c r="AW34" s="11"/>
      <c r="AX34" s="13"/>
      <c r="AY34" s="13"/>
      <c r="AZ34" s="10"/>
      <c r="BA34" s="39"/>
      <c r="BB34" s="39"/>
      <c r="BC34" s="11"/>
      <c r="BD34" s="13"/>
      <c r="BE34" s="13"/>
      <c r="BF34" s="10"/>
      <c r="BG34" s="39"/>
      <c r="BH34" s="39"/>
      <c r="BI34" s="11"/>
      <c r="BJ34" s="13"/>
      <c r="BK34" s="13"/>
      <c r="BL34" s="10"/>
      <c r="BM34" s="39"/>
      <c r="BN34" s="39"/>
      <c r="BO34" s="11"/>
      <c r="BP34" s="13"/>
      <c r="BQ34" s="13"/>
      <c r="BR34" s="10"/>
      <c r="BS34" s="39"/>
      <c r="BT34" s="39"/>
    </row>
    <row r="35" spans="1:72" s="12" customFormat="1" ht="15.75" customHeight="1" x14ac:dyDescent="0.25">
      <c r="A35" s="8"/>
      <c r="B35" s="9"/>
      <c r="C35" s="9"/>
      <c r="D35" s="10"/>
      <c r="E35" s="39"/>
      <c r="F35" s="39"/>
      <c r="G35" s="11"/>
      <c r="H35" s="9"/>
      <c r="I35" s="9"/>
      <c r="J35" s="10"/>
      <c r="K35" s="39"/>
      <c r="L35" s="39"/>
      <c r="M35" s="11"/>
      <c r="N35" s="9"/>
      <c r="O35" s="9"/>
      <c r="P35" s="10"/>
      <c r="Q35" s="39"/>
      <c r="R35" s="39"/>
      <c r="S35" s="11"/>
      <c r="T35" s="9"/>
      <c r="U35" s="9"/>
      <c r="V35" s="10"/>
      <c r="W35" s="39"/>
      <c r="X35" s="39"/>
      <c r="Y35" s="11"/>
      <c r="Z35" s="9"/>
      <c r="AA35" s="9"/>
      <c r="AB35" s="10"/>
      <c r="AC35" s="39"/>
      <c r="AD35" s="39"/>
      <c r="AE35" s="11"/>
      <c r="AF35" s="9"/>
      <c r="AG35" s="9"/>
      <c r="AH35" s="10"/>
      <c r="AI35" s="39"/>
      <c r="AJ35" s="39"/>
      <c r="AK35" s="11"/>
      <c r="AL35" s="9"/>
      <c r="AM35" s="9"/>
      <c r="AN35" s="10"/>
      <c r="AO35" s="39"/>
      <c r="AP35" s="39"/>
      <c r="AQ35" s="11"/>
      <c r="AR35" s="9"/>
      <c r="AS35" s="9"/>
      <c r="AT35" s="10"/>
      <c r="AU35" s="39"/>
      <c r="AV35" s="39"/>
      <c r="AW35" s="11"/>
      <c r="AX35" s="9"/>
      <c r="AY35" s="9"/>
      <c r="AZ35" s="10"/>
      <c r="BA35" s="39"/>
      <c r="BB35" s="39"/>
      <c r="BC35" s="11"/>
      <c r="BD35" s="9"/>
      <c r="BE35" s="9"/>
      <c r="BF35" s="10"/>
      <c r="BG35" s="39"/>
      <c r="BH35" s="39"/>
      <c r="BI35" s="11"/>
      <c r="BJ35" s="9"/>
      <c r="BK35" s="9"/>
      <c r="BL35" s="10"/>
      <c r="BM35" s="39"/>
      <c r="BN35" s="39"/>
      <c r="BO35" s="11"/>
      <c r="BP35" s="9"/>
      <c r="BQ35" s="9"/>
      <c r="BR35" s="10"/>
      <c r="BS35" s="39"/>
      <c r="BT35" s="39"/>
    </row>
    <row r="36" spans="1:72" s="12" customFormat="1" ht="15.75" customHeight="1" x14ac:dyDescent="0.25">
      <c r="A36" s="8"/>
      <c r="B36" s="13"/>
      <c r="C36" s="13"/>
      <c r="D36" s="10"/>
      <c r="E36" s="39"/>
      <c r="F36" s="39"/>
      <c r="G36" s="11"/>
      <c r="H36" s="13"/>
      <c r="I36" s="13"/>
      <c r="J36" s="10"/>
      <c r="K36" s="39"/>
      <c r="L36" s="39"/>
      <c r="M36" s="11"/>
      <c r="N36" s="13"/>
      <c r="O36" s="13"/>
      <c r="P36" s="10"/>
      <c r="Q36" s="39"/>
      <c r="R36" s="39"/>
      <c r="S36" s="11"/>
      <c r="T36" s="13"/>
      <c r="U36" s="13"/>
      <c r="V36" s="10"/>
      <c r="W36" s="39"/>
      <c r="X36" s="39"/>
      <c r="Y36" s="11"/>
      <c r="Z36" s="13"/>
      <c r="AA36" s="13"/>
      <c r="AB36" s="10"/>
      <c r="AC36" s="39"/>
      <c r="AD36" s="39"/>
      <c r="AE36" s="11"/>
      <c r="AF36" s="13"/>
      <c r="AG36" s="13"/>
      <c r="AH36" s="10"/>
      <c r="AI36" s="39"/>
      <c r="AJ36" s="39"/>
      <c r="AK36" s="11"/>
      <c r="AL36" s="13"/>
      <c r="AM36" s="13"/>
      <c r="AN36" s="10"/>
      <c r="AO36" s="39"/>
      <c r="AP36" s="39"/>
      <c r="AQ36" s="11"/>
      <c r="AR36" s="13"/>
      <c r="AS36" s="13"/>
      <c r="AT36" s="10"/>
      <c r="AU36" s="39"/>
      <c r="AV36" s="39"/>
      <c r="AW36" s="11"/>
      <c r="AX36" s="13"/>
      <c r="AY36" s="13"/>
      <c r="AZ36" s="10"/>
      <c r="BA36" s="39"/>
      <c r="BB36" s="39"/>
      <c r="BC36" s="11"/>
      <c r="BD36" s="13"/>
      <c r="BE36" s="13"/>
      <c r="BF36" s="10"/>
      <c r="BG36" s="39"/>
      <c r="BH36" s="39"/>
      <c r="BI36" s="11"/>
      <c r="BJ36" s="13"/>
      <c r="BK36" s="13"/>
      <c r="BL36" s="10"/>
      <c r="BM36" s="39"/>
      <c r="BN36" s="39"/>
      <c r="BO36" s="11"/>
      <c r="BP36" s="13"/>
      <c r="BQ36" s="13"/>
      <c r="BR36" s="10"/>
      <c r="BS36" s="39"/>
      <c r="BT36" s="39"/>
    </row>
    <row r="37" spans="1:72" s="12" customFormat="1" ht="15.75" customHeight="1" x14ac:dyDescent="0.25">
      <c r="A37" s="8"/>
      <c r="B37" s="13"/>
      <c r="C37" s="13"/>
      <c r="D37" s="10"/>
      <c r="E37" s="39"/>
      <c r="F37" s="39"/>
      <c r="G37" s="11"/>
      <c r="H37" s="13"/>
      <c r="I37" s="13"/>
      <c r="J37" s="10"/>
      <c r="K37" s="39"/>
      <c r="L37" s="39"/>
      <c r="M37" s="11"/>
      <c r="N37" s="13"/>
      <c r="O37" s="13"/>
      <c r="P37" s="10"/>
      <c r="Q37" s="39"/>
      <c r="R37" s="39"/>
      <c r="S37" s="11"/>
      <c r="T37" s="13"/>
      <c r="U37" s="13"/>
      <c r="V37" s="10"/>
      <c r="W37" s="39"/>
      <c r="X37" s="39"/>
      <c r="Y37" s="11"/>
      <c r="Z37" s="13"/>
      <c r="AA37" s="13"/>
      <c r="AB37" s="10"/>
      <c r="AC37" s="39"/>
      <c r="AD37" s="39"/>
      <c r="AE37" s="11"/>
      <c r="AF37" s="13"/>
      <c r="AG37" s="13"/>
      <c r="AH37" s="10"/>
      <c r="AI37" s="39"/>
      <c r="AJ37" s="39"/>
      <c r="AK37" s="11"/>
      <c r="AL37" s="13"/>
      <c r="AM37" s="13"/>
      <c r="AN37" s="10"/>
      <c r="AO37" s="39"/>
      <c r="AP37" s="39"/>
      <c r="AQ37" s="11"/>
      <c r="AR37" s="13"/>
      <c r="AS37" s="13"/>
      <c r="AT37" s="10"/>
      <c r="AU37" s="39"/>
      <c r="AV37" s="39"/>
      <c r="AW37" s="11"/>
      <c r="AX37" s="13"/>
      <c r="AY37" s="13"/>
      <c r="AZ37" s="10"/>
      <c r="BA37" s="39"/>
      <c r="BB37" s="39"/>
      <c r="BC37" s="11"/>
      <c r="BD37" s="13"/>
      <c r="BE37" s="13"/>
      <c r="BF37" s="10"/>
      <c r="BG37" s="39"/>
      <c r="BH37" s="39"/>
      <c r="BI37" s="11"/>
      <c r="BJ37" s="13"/>
      <c r="BK37" s="13"/>
      <c r="BL37" s="10"/>
      <c r="BM37" s="39"/>
      <c r="BN37" s="39"/>
      <c r="BO37" s="11"/>
      <c r="BP37" s="13"/>
      <c r="BQ37" s="13"/>
      <c r="BR37" s="10"/>
      <c r="BS37" s="39"/>
      <c r="BT37" s="39"/>
    </row>
    <row r="38" spans="1:72" s="12" customFormat="1" ht="15.75" customHeight="1" x14ac:dyDescent="0.25">
      <c r="A38" s="8"/>
      <c r="B38" s="13"/>
      <c r="C38" s="13"/>
      <c r="D38" s="10"/>
      <c r="E38" s="39"/>
      <c r="F38" s="39"/>
      <c r="G38" s="11"/>
      <c r="H38" s="13"/>
      <c r="I38" s="13"/>
      <c r="J38" s="10"/>
      <c r="K38" s="39"/>
      <c r="L38" s="39"/>
      <c r="M38" s="11"/>
      <c r="N38" s="13"/>
      <c r="O38" s="13"/>
      <c r="P38" s="10"/>
      <c r="Q38" s="39"/>
      <c r="R38" s="39"/>
      <c r="S38" s="11"/>
      <c r="T38" s="13"/>
      <c r="U38" s="13"/>
      <c r="V38" s="10"/>
      <c r="W38" s="39"/>
      <c r="X38" s="39"/>
      <c r="Y38" s="11"/>
      <c r="Z38" s="13"/>
      <c r="AA38" s="13"/>
      <c r="AB38" s="10"/>
      <c r="AC38" s="39"/>
      <c r="AD38" s="39"/>
      <c r="AE38" s="11"/>
      <c r="AF38" s="13"/>
      <c r="AG38" s="13"/>
      <c r="AH38" s="10"/>
      <c r="AI38" s="39"/>
      <c r="AJ38" s="39"/>
      <c r="AK38" s="11"/>
      <c r="AL38" s="13"/>
      <c r="AM38" s="13"/>
      <c r="AN38" s="10"/>
      <c r="AO38" s="39"/>
      <c r="AP38" s="39"/>
      <c r="AQ38" s="11"/>
      <c r="AR38" s="13"/>
      <c r="AS38" s="13"/>
      <c r="AT38" s="10"/>
      <c r="AU38" s="39"/>
      <c r="AV38" s="39"/>
      <c r="AW38" s="11"/>
      <c r="AX38" s="13"/>
      <c r="AY38" s="13"/>
      <c r="AZ38" s="10"/>
      <c r="BA38" s="39"/>
      <c r="BB38" s="39"/>
      <c r="BC38" s="11"/>
      <c r="BD38" s="13"/>
      <c r="BE38" s="13"/>
      <c r="BF38" s="10"/>
      <c r="BG38" s="39"/>
      <c r="BH38" s="39"/>
      <c r="BI38" s="11"/>
      <c r="BJ38" s="13"/>
      <c r="BK38" s="13"/>
      <c r="BL38" s="10"/>
      <c r="BM38" s="39"/>
      <c r="BN38" s="39"/>
      <c r="BO38" s="11"/>
      <c r="BP38" s="13"/>
      <c r="BQ38" s="13"/>
      <c r="BR38" s="10"/>
      <c r="BS38" s="39"/>
      <c r="BT38" s="39"/>
    </row>
    <row r="39" spans="1:72" s="12" customFormat="1" ht="15.75" customHeight="1" x14ac:dyDescent="0.25">
      <c r="A39" s="8"/>
      <c r="B39" s="13"/>
      <c r="C39" s="13"/>
      <c r="D39" s="10"/>
      <c r="E39" s="39"/>
      <c r="F39" s="39"/>
      <c r="G39" s="11"/>
      <c r="H39" s="13"/>
      <c r="I39" s="13"/>
      <c r="J39" s="10"/>
      <c r="K39" s="39"/>
      <c r="L39" s="39"/>
      <c r="M39" s="11"/>
      <c r="N39" s="13"/>
      <c r="O39" s="13"/>
      <c r="P39" s="10"/>
      <c r="Q39" s="39"/>
      <c r="R39" s="39"/>
      <c r="S39" s="11"/>
      <c r="T39" s="13"/>
      <c r="U39" s="13"/>
      <c r="V39" s="10"/>
      <c r="W39" s="39"/>
      <c r="X39" s="39"/>
      <c r="Y39" s="11"/>
      <c r="Z39" s="13"/>
      <c r="AA39" s="13"/>
      <c r="AB39" s="10"/>
      <c r="AC39" s="39"/>
      <c r="AD39" s="39"/>
      <c r="AE39" s="11"/>
      <c r="AF39" s="13"/>
      <c r="AG39" s="13"/>
      <c r="AH39" s="10"/>
      <c r="AI39" s="39"/>
      <c r="AJ39" s="39"/>
      <c r="AK39" s="11"/>
      <c r="AL39" s="13"/>
      <c r="AM39" s="13"/>
      <c r="AN39" s="10"/>
      <c r="AO39" s="39"/>
      <c r="AP39" s="39"/>
      <c r="AQ39" s="11"/>
      <c r="AR39" s="13"/>
      <c r="AS39" s="13"/>
      <c r="AT39" s="10"/>
      <c r="AU39" s="39"/>
      <c r="AV39" s="39"/>
      <c r="AW39" s="11"/>
      <c r="AX39" s="13"/>
      <c r="AY39" s="13"/>
      <c r="AZ39" s="10"/>
      <c r="BA39" s="39"/>
      <c r="BB39" s="39"/>
      <c r="BC39" s="11"/>
      <c r="BD39" s="13"/>
      <c r="BE39" s="13"/>
      <c r="BF39" s="10"/>
      <c r="BG39" s="39"/>
      <c r="BH39" s="39"/>
      <c r="BI39" s="11"/>
      <c r="BJ39" s="13"/>
      <c r="BK39" s="13"/>
      <c r="BL39" s="10"/>
      <c r="BM39" s="39"/>
      <c r="BN39" s="39"/>
      <c r="BO39" s="11"/>
      <c r="BP39" s="13"/>
      <c r="BQ39" s="13"/>
      <c r="BR39" s="10"/>
      <c r="BS39" s="39"/>
      <c r="BT39" s="39"/>
    </row>
    <row r="40" spans="1:72" s="12" customFormat="1" ht="15.75" customHeight="1" x14ac:dyDescent="0.25">
      <c r="A40" s="8"/>
      <c r="B40" s="13"/>
      <c r="C40" s="13"/>
      <c r="D40" s="10"/>
      <c r="E40" s="39"/>
      <c r="F40" s="39"/>
      <c r="G40" s="11"/>
      <c r="H40" s="13"/>
      <c r="I40" s="13"/>
      <c r="J40" s="10"/>
      <c r="K40" s="39"/>
      <c r="L40" s="39"/>
      <c r="M40" s="11"/>
      <c r="N40" s="13"/>
      <c r="O40" s="13"/>
      <c r="P40" s="10"/>
      <c r="Q40" s="39"/>
      <c r="R40" s="39"/>
      <c r="S40" s="11"/>
      <c r="T40" s="13"/>
      <c r="U40" s="13"/>
      <c r="V40" s="10"/>
      <c r="W40" s="39"/>
      <c r="X40" s="39"/>
      <c r="Y40" s="11"/>
      <c r="Z40" s="13"/>
      <c r="AA40" s="13"/>
      <c r="AB40" s="10"/>
      <c r="AC40" s="39"/>
      <c r="AD40" s="39"/>
      <c r="AE40" s="11"/>
      <c r="AF40" s="13"/>
      <c r="AG40" s="13"/>
      <c r="AH40" s="10"/>
      <c r="AI40" s="39"/>
      <c r="AJ40" s="39"/>
      <c r="AK40" s="11"/>
      <c r="AL40" s="13"/>
      <c r="AM40" s="13"/>
      <c r="AN40" s="10"/>
      <c r="AO40" s="39"/>
      <c r="AP40" s="39"/>
      <c r="AQ40" s="11"/>
      <c r="AR40" s="13"/>
      <c r="AS40" s="13"/>
      <c r="AT40" s="10"/>
      <c r="AU40" s="39"/>
      <c r="AV40" s="39"/>
      <c r="AW40" s="11"/>
      <c r="AX40" s="13"/>
      <c r="AY40" s="13"/>
      <c r="AZ40" s="10"/>
      <c r="BA40" s="39"/>
      <c r="BB40" s="39"/>
      <c r="BC40" s="11"/>
      <c r="BD40" s="13"/>
      <c r="BE40" s="13"/>
      <c r="BF40" s="10"/>
      <c r="BG40" s="39"/>
      <c r="BH40" s="39"/>
      <c r="BI40" s="11"/>
      <c r="BJ40" s="13"/>
      <c r="BK40" s="13"/>
      <c r="BL40" s="10"/>
      <c r="BM40" s="39"/>
      <c r="BN40" s="39"/>
      <c r="BO40" s="11"/>
      <c r="BP40" s="13"/>
      <c r="BQ40" s="13"/>
      <c r="BR40" s="10"/>
      <c r="BS40" s="39"/>
      <c r="BT40" s="39"/>
    </row>
    <row r="41" spans="1:72" s="12" customFormat="1" ht="15.75" customHeight="1" x14ac:dyDescent="0.25">
      <c r="A41" s="8"/>
      <c r="B41" s="13"/>
      <c r="C41" s="13"/>
      <c r="D41" s="10"/>
      <c r="E41" s="39"/>
      <c r="F41" s="39"/>
      <c r="G41" s="11"/>
      <c r="H41" s="13"/>
      <c r="I41" s="13"/>
      <c r="J41" s="10"/>
      <c r="K41" s="39"/>
      <c r="L41" s="39"/>
      <c r="M41" s="11"/>
      <c r="N41" s="13"/>
      <c r="O41" s="13"/>
      <c r="P41" s="10"/>
      <c r="Q41" s="39"/>
      <c r="R41" s="39"/>
      <c r="S41" s="11"/>
      <c r="T41" s="13"/>
      <c r="U41" s="13"/>
      <c r="V41" s="10"/>
      <c r="W41" s="39"/>
      <c r="X41" s="39"/>
      <c r="Y41" s="11"/>
      <c r="Z41" s="13"/>
      <c r="AA41" s="13"/>
      <c r="AB41" s="10"/>
      <c r="AC41" s="39"/>
      <c r="AD41" s="39"/>
      <c r="AE41" s="11"/>
      <c r="AF41" s="13"/>
      <c r="AG41" s="13"/>
      <c r="AH41" s="10"/>
      <c r="AI41" s="39"/>
      <c r="AJ41" s="39"/>
      <c r="AK41" s="11"/>
      <c r="AL41" s="13"/>
      <c r="AM41" s="13"/>
      <c r="AN41" s="10"/>
      <c r="AO41" s="39"/>
      <c r="AP41" s="39"/>
      <c r="AQ41" s="11"/>
      <c r="AR41" s="13"/>
      <c r="AS41" s="13"/>
      <c r="AT41" s="10"/>
      <c r="AU41" s="39"/>
      <c r="AV41" s="39"/>
      <c r="AW41" s="11"/>
      <c r="AX41" s="13"/>
      <c r="AY41" s="13"/>
      <c r="AZ41" s="10"/>
      <c r="BA41" s="39"/>
      <c r="BB41" s="39"/>
      <c r="BC41" s="11"/>
      <c r="BD41" s="13"/>
      <c r="BE41" s="13"/>
      <c r="BF41" s="10"/>
      <c r="BG41" s="39"/>
      <c r="BH41" s="39"/>
      <c r="BI41" s="11"/>
      <c r="BJ41" s="13"/>
      <c r="BK41" s="13"/>
      <c r="BL41" s="10"/>
      <c r="BM41" s="39"/>
      <c r="BN41" s="39"/>
      <c r="BO41" s="11"/>
      <c r="BP41" s="13"/>
      <c r="BQ41" s="13"/>
      <c r="BR41" s="10"/>
      <c r="BS41" s="39"/>
      <c r="BT41" s="39"/>
    </row>
    <row r="42" spans="1:72" s="12" customFormat="1" ht="15.75" customHeight="1" x14ac:dyDescent="0.25">
      <c r="A42" s="8"/>
      <c r="B42" s="13"/>
      <c r="C42" s="13"/>
      <c r="D42" s="10"/>
      <c r="E42" s="39"/>
      <c r="F42" s="39"/>
      <c r="G42" s="11"/>
      <c r="H42" s="13"/>
      <c r="I42" s="13"/>
      <c r="J42" s="10"/>
      <c r="K42" s="39"/>
      <c r="L42" s="39"/>
      <c r="M42" s="11"/>
      <c r="N42" s="13"/>
      <c r="O42" s="13"/>
      <c r="P42" s="10"/>
      <c r="Q42" s="39"/>
      <c r="R42" s="39"/>
      <c r="S42" s="11"/>
      <c r="T42" s="13"/>
      <c r="U42" s="13"/>
      <c r="V42" s="10"/>
      <c r="W42" s="39"/>
      <c r="X42" s="39"/>
      <c r="Y42" s="11"/>
      <c r="Z42" s="13"/>
      <c r="AA42" s="13"/>
      <c r="AB42" s="10"/>
      <c r="AC42" s="39"/>
      <c r="AD42" s="39"/>
      <c r="AE42" s="11"/>
      <c r="AF42" s="13"/>
      <c r="AG42" s="13"/>
      <c r="AH42" s="10"/>
      <c r="AI42" s="39"/>
      <c r="AJ42" s="39"/>
      <c r="AK42" s="11"/>
      <c r="AL42" s="13"/>
      <c r="AM42" s="13"/>
      <c r="AN42" s="10"/>
      <c r="AO42" s="39"/>
      <c r="AP42" s="39"/>
      <c r="AQ42" s="11"/>
      <c r="AR42" s="13"/>
      <c r="AS42" s="13"/>
      <c r="AT42" s="10"/>
      <c r="AU42" s="39"/>
      <c r="AV42" s="39"/>
      <c r="AW42" s="11"/>
      <c r="AX42" s="13"/>
      <c r="AY42" s="13"/>
      <c r="AZ42" s="10"/>
      <c r="BA42" s="39"/>
      <c r="BB42" s="39"/>
      <c r="BC42" s="11"/>
      <c r="BD42" s="13"/>
      <c r="BE42" s="13"/>
      <c r="BF42" s="10"/>
      <c r="BG42" s="39"/>
      <c r="BH42" s="39"/>
      <c r="BI42" s="11"/>
      <c r="BJ42" s="13"/>
      <c r="BK42" s="13"/>
      <c r="BL42" s="10"/>
      <c r="BM42" s="39"/>
      <c r="BN42" s="39"/>
      <c r="BO42" s="11"/>
      <c r="BP42" s="13"/>
      <c r="BQ42" s="13"/>
      <c r="BR42" s="10"/>
      <c r="BS42" s="39"/>
      <c r="BT42" s="39"/>
    </row>
    <row r="43" spans="1:72" s="12" customFormat="1" ht="15.75" customHeight="1" x14ac:dyDescent="0.25">
      <c r="A43" s="8"/>
      <c r="B43" s="13"/>
      <c r="C43" s="13"/>
      <c r="D43" s="10"/>
      <c r="E43" s="39"/>
      <c r="F43" s="39"/>
      <c r="G43" s="11"/>
      <c r="H43" s="13"/>
      <c r="I43" s="13"/>
      <c r="J43" s="10"/>
      <c r="K43" s="39"/>
      <c r="L43" s="39"/>
      <c r="M43" s="11"/>
      <c r="N43" s="13"/>
      <c r="O43" s="13"/>
      <c r="P43" s="10"/>
      <c r="Q43" s="39"/>
      <c r="R43" s="39"/>
      <c r="S43" s="11"/>
      <c r="T43" s="13"/>
      <c r="U43" s="13"/>
      <c r="V43" s="10"/>
      <c r="W43" s="39"/>
      <c r="X43" s="39"/>
      <c r="Y43" s="11"/>
      <c r="Z43" s="13"/>
      <c r="AA43" s="13"/>
      <c r="AB43" s="10"/>
      <c r="AC43" s="39"/>
      <c r="AD43" s="39"/>
      <c r="AE43" s="11"/>
      <c r="AF43" s="13"/>
      <c r="AG43" s="13"/>
      <c r="AH43" s="10"/>
      <c r="AI43" s="39"/>
      <c r="AJ43" s="39"/>
      <c r="AK43" s="11"/>
      <c r="AL43" s="13"/>
      <c r="AM43" s="13"/>
      <c r="AN43" s="10"/>
      <c r="AO43" s="39"/>
      <c r="AP43" s="39"/>
      <c r="AQ43" s="11"/>
      <c r="AR43" s="13"/>
      <c r="AS43" s="13"/>
      <c r="AT43" s="10"/>
      <c r="AU43" s="39"/>
      <c r="AV43" s="39"/>
      <c r="AW43" s="11"/>
      <c r="AX43" s="13"/>
      <c r="AY43" s="13"/>
      <c r="AZ43" s="10"/>
      <c r="BA43" s="39"/>
      <c r="BB43" s="39"/>
      <c r="BC43" s="11"/>
      <c r="BD43" s="13"/>
      <c r="BE43" s="13"/>
      <c r="BF43" s="10"/>
      <c r="BG43" s="39"/>
      <c r="BH43" s="39"/>
      <c r="BI43" s="11"/>
      <c r="BJ43" s="13"/>
      <c r="BK43" s="13"/>
      <c r="BL43" s="10"/>
      <c r="BM43" s="39"/>
      <c r="BN43" s="39"/>
      <c r="BO43" s="11"/>
      <c r="BP43" s="13"/>
      <c r="BQ43" s="13"/>
      <c r="BR43" s="10"/>
      <c r="BS43" s="39"/>
      <c r="BT43" s="39"/>
    </row>
    <row r="44" spans="1:72" s="12" customFormat="1" ht="15.75" customHeight="1" x14ac:dyDescent="0.25">
      <c r="A44" s="8"/>
      <c r="B44" s="13"/>
      <c r="C44" s="13"/>
      <c r="D44" s="10"/>
      <c r="E44" s="39"/>
      <c r="F44" s="39"/>
      <c r="G44" s="11"/>
      <c r="H44" s="13"/>
      <c r="I44" s="13"/>
      <c r="J44" s="10"/>
      <c r="K44" s="39"/>
      <c r="L44" s="39"/>
      <c r="M44" s="11"/>
      <c r="N44" s="13"/>
      <c r="O44" s="13"/>
      <c r="P44" s="10"/>
      <c r="Q44" s="39"/>
      <c r="R44" s="39"/>
      <c r="S44" s="11"/>
      <c r="T44" s="13"/>
      <c r="U44" s="13"/>
      <c r="V44" s="10"/>
      <c r="W44" s="39"/>
      <c r="X44" s="39"/>
      <c r="Y44" s="11"/>
      <c r="Z44" s="13"/>
      <c r="AA44" s="13"/>
      <c r="AB44" s="10"/>
      <c r="AC44" s="39"/>
      <c r="AD44" s="39"/>
      <c r="AE44" s="11"/>
      <c r="AF44" s="13"/>
      <c r="AG44" s="13"/>
      <c r="AH44" s="10"/>
      <c r="AI44" s="39"/>
      <c r="AJ44" s="39"/>
      <c r="AK44" s="11"/>
      <c r="AL44" s="13"/>
      <c r="AM44" s="13"/>
      <c r="AN44" s="10"/>
      <c r="AO44" s="39"/>
      <c r="AP44" s="39"/>
      <c r="AQ44" s="11"/>
      <c r="AR44" s="13"/>
      <c r="AS44" s="13"/>
      <c r="AT44" s="10"/>
      <c r="AU44" s="39"/>
      <c r="AV44" s="39"/>
      <c r="AW44" s="11"/>
      <c r="AX44" s="13"/>
      <c r="AY44" s="13"/>
      <c r="AZ44" s="10"/>
      <c r="BA44" s="39"/>
      <c r="BB44" s="39"/>
      <c r="BC44" s="11"/>
      <c r="BD44" s="13"/>
      <c r="BE44" s="13"/>
      <c r="BF44" s="10"/>
      <c r="BG44" s="39"/>
      <c r="BH44" s="39"/>
      <c r="BI44" s="11"/>
      <c r="BJ44" s="13"/>
      <c r="BK44" s="13"/>
      <c r="BL44" s="10"/>
      <c r="BM44" s="39"/>
      <c r="BN44" s="39"/>
      <c r="BO44" s="11"/>
      <c r="BP44" s="13"/>
      <c r="BQ44" s="13"/>
      <c r="BR44" s="10"/>
      <c r="BS44" s="39"/>
      <c r="BT44" s="39"/>
    </row>
    <row r="45" spans="1:72" s="18" customFormat="1" ht="15.75" thickBot="1" x14ac:dyDescent="0.3">
      <c r="E45" s="40"/>
      <c r="F45" s="40"/>
      <c r="G45" s="19"/>
      <c r="K45" s="40"/>
      <c r="L45" s="40"/>
      <c r="M45" s="19"/>
      <c r="Q45" s="40"/>
      <c r="R45" s="40"/>
      <c r="S45" s="19"/>
      <c r="W45" s="40"/>
      <c r="X45" s="40"/>
      <c r="Y45" s="19"/>
      <c r="AC45" s="40"/>
      <c r="AD45" s="40"/>
      <c r="AE45" s="19"/>
      <c r="AI45" s="40"/>
      <c r="AJ45" s="40"/>
      <c r="AK45" s="19"/>
      <c r="AO45" s="40"/>
      <c r="AP45" s="40"/>
      <c r="AQ45" s="19"/>
      <c r="AU45" s="40"/>
      <c r="AV45" s="40"/>
      <c r="AW45" s="19"/>
      <c r="BA45" s="40"/>
      <c r="BB45" s="40"/>
      <c r="BC45" s="19"/>
      <c r="BG45" s="40"/>
      <c r="BH45" s="40"/>
      <c r="BI45" s="19"/>
      <c r="BM45" s="40"/>
      <c r="BN45" s="40"/>
      <c r="BO45" s="19"/>
      <c r="BS45" s="40"/>
      <c r="BT45" s="40"/>
    </row>
    <row r="46" spans="1:72" s="4" customFormat="1" ht="19.5" thickBot="1" x14ac:dyDescent="0.35">
      <c r="B46" s="95" t="s">
        <v>7</v>
      </c>
      <c r="C46" s="96"/>
      <c r="D46" s="96"/>
      <c r="E46" s="96"/>
      <c r="F46" s="97"/>
      <c r="G46" s="6"/>
      <c r="H46" s="95" t="s">
        <v>7</v>
      </c>
      <c r="I46" s="96"/>
      <c r="J46" s="96"/>
      <c r="K46" s="96"/>
      <c r="L46" s="97"/>
      <c r="M46" s="6"/>
      <c r="N46" s="95" t="s">
        <v>7</v>
      </c>
      <c r="O46" s="96"/>
      <c r="P46" s="96"/>
      <c r="Q46" s="96"/>
      <c r="R46" s="97"/>
      <c r="S46" s="6"/>
      <c r="T46" s="95" t="s">
        <v>7</v>
      </c>
      <c r="U46" s="96"/>
      <c r="V46" s="96"/>
      <c r="W46" s="96"/>
      <c r="X46" s="97"/>
      <c r="Y46" s="6"/>
      <c r="Z46" s="95" t="s">
        <v>7</v>
      </c>
      <c r="AA46" s="96"/>
      <c r="AB46" s="96"/>
      <c r="AC46" s="96"/>
      <c r="AD46" s="97"/>
      <c r="AE46" s="6"/>
      <c r="AF46" s="95" t="s">
        <v>7</v>
      </c>
      <c r="AG46" s="96"/>
      <c r="AH46" s="96"/>
      <c r="AI46" s="96"/>
      <c r="AJ46" s="97"/>
      <c r="AK46" s="6"/>
      <c r="AL46" s="95" t="s">
        <v>7</v>
      </c>
      <c r="AM46" s="96"/>
      <c r="AN46" s="96"/>
      <c r="AO46" s="96"/>
      <c r="AP46" s="97"/>
      <c r="AQ46" s="6"/>
      <c r="AR46" s="95" t="s">
        <v>7</v>
      </c>
      <c r="AS46" s="96"/>
      <c r="AT46" s="96"/>
      <c r="AU46" s="96"/>
      <c r="AV46" s="97"/>
      <c r="AW46" s="6"/>
      <c r="AX46" s="95" t="s">
        <v>7</v>
      </c>
      <c r="AY46" s="96"/>
      <c r="AZ46" s="96"/>
      <c r="BA46" s="96"/>
      <c r="BB46" s="97"/>
      <c r="BC46" s="6"/>
      <c r="BD46" s="95" t="s">
        <v>7</v>
      </c>
      <c r="BE46" s="96"/>
      <c r="BF46" s="96"/>
      <c r="BG46" s="96"/>
      <c r="BH46" s="97"/>
      <c r="BI46" s="6"/>
      <c r="BJ46" s="95" t="s">
        <v>7</v>
      </c>
      <c r="BK46" s="96"/>
      <c r="BL46" s="96"/>
      <c r="BM46" s="96"/>
      <c r="BN46" s="97"/>
      <c r="BO46" s="6"/>
      <c r="BP46" s="95" t="s">
        <v>7</v>
      </c>
      <c r="BQ46" s="96"/>
      <c r="BR46" s="96"/>
      <c r="BS46" s="96"/>
      <c r="BT46" s="97"/>
    </row>
    <row r="47" spans="1:72" s="4" customFormat="1" ht="10.5" customHeight="1" thickBot="1" x14ac:dyDescent="0.3">
      <c r="E47" s="41"/>
      <c r="F47" s="41"/>
      <c r="G47" s="6"/>
      <c r="K47" s="41"/>
      <c r="L47" s="41"/>
      <c r="M47" s="6"/>
      <c r="Q47" s="41"/>
      <c r="R47" s="41"/>
      <c r="S47" s="6"/>
      <c r="W47" s="41"/>
      <c r="X47" s="41"/>
      <c r="Y47" s="6"/>
      <c r="AC47" s="41"/>
      <c r="AD47" s="41"/>
      <c r="AE47" s="6"/>
      <c r="AI47" s="41"/>
      <c r="AJ47" s="41"/>
      <c r="AK47" s="6"/>
      <c r="AO47" s="41"/>
      <c r="AP47" s="41"/>
      <c r="AQ47" s="6"/>
      <c r="AU47" s="41"/>
      <c r="AV47" s="41"/>
      <c r="AW47" s="6"/>
      <c r="BA47" s="41"/>
      <c r="BB47" s="41"/>
      <c r="BC47" s="6"/>
      <c r="BG47" s="41"/>
      <c r="BH47" s="41"/>
      <c r="BI47" s="6"/>
      <c r="BM47" s="41"/>
      <c r="BN47" s="41"/>
      <c r="BO47" s="6"/>
      <c r="BS47" s="41"/>
      <c r="BT47" s="41"/>
    </row>
    <row r="48" spans="1:72" s="4" customFormat="1" ht="16.5" thickTop="1" thickBot="1" x14ac:dyDescent="0.3">
      <c r="E48" s="92"/>
      <c r="F48" s="92"/>
      <c r="G48" s="6"/>
      <c r="K48" s="92"/>
      <c r="L48" s="92"/>
      <c r="M48" s="6"/>
      <c r="Q48" s="92"/>
      <c r="R48" s="92"/>
      <c r="S48" s="6"/>
      <c r="W48" s="92"/>
      <c r="X48" s="92"/>
      <c r="Y48" s="6"/>
      <c r="AC48" s="92"/>
      <c r="AD48" s="92"/>
      <c r="AE48" s="6"/>
      <c r="AI48" s="92"/>
      <c r="AJ48" s="92"/>
      <c r="AK48" s="6"/>
      <c r="AO48" s="92"/>
      <c r="AP48" s="92"/>
      <c r="AQ48" s="6"/>
      <c r="AU48" s="92"/>
      <c r="AV48" s="92"/>
      <c r="AW48" s="6"/>
      <c r="BA48" s="92"/>
      <c r="BB48" s="92"/>
      <c r="BC48" s="6"/>
      <c r="BG48" s="92"/>
      <c r="BH48" s="92"/>
      <c r="BI48" s="6"/>
      <c r="BM48" s="92"/>
      <c r="BN48" s="92"/>
      <c r="BO48" s="6"/>
      <c r="BS48" s="92"/>
      <c r="BT48" s="92"/>
    </row>
    <row r="49" spans="5:72" s="4" customFormat="1" ht="16.5" thickTop="1" thickBot="1" x14ac:dyDescent="0.3">
      <c r="E49" s="92"/>
      <c r="F49" s="92"/>
      <c r="G49" s="6"/>
      <c r="K49" s="92"/>
      <c r="L49" s="92"/>
      <c r="M49" s="6"/>
      <c r="Q49" s="92"/>
      <c r="R49" s="92"/>
      <c r="S49" s="6"/>
      <c r="W49" s="92"/>
      <c r="X49" s="92"/>
      <c r="Y49" s="6"/>
      <c r="AC49" s="92"/>
      <c r="AD49" s="92"/>
      <c r="AE49" s="6"/>
      <c r="AI49" s="92"/>
      <c r="AJ49" s="92"/>
      <c r="AK49" s="6"/>
      <c r="AO49" s="92"/>
      <c r="AP49" s="92"/>
      <c r="AQ49" s="6"/>
      <c r="AU49" s="92"/>
      <c r="AV49" s="92"/>
      <c r="AW49" s="6"/>
      <c r="BA49" s="92"/>
      <c r="BB49" s="92"/>
      <c r="BC49" s="6"/>
      <c r="BG49" s="92"/>
      <c r="BH49" s="92"/>
      <c r="BI49" s="6"/>
      <c r="BM49" s="92"/>
      <c r="BN49" s="92"/>
      <c r="BO49" s="6"/>
      <c r="BS49" s="92"/>
      <c r="BT49" s="92"/>
    </row>
    <row r="50" spans="5:72" s="4" customFormat="1" ht="16.5" thickTop="1" thickBot="1" x14ac:dyDescent="0.3">
      <c r="E50" s="92"/>
      <c r="F50" s="92"/>
      <c r="G50" s="6"/>
      <c r="K50" s="92"/>
      <c r="L50" s="92"/>
      <c r="M50" s="6"/>
      <c r="Q50" s="92"/>
      <c r="R50" s="92"/>
      <c r="S50" s="6"/>
      <c r="W50" s="92"/>
      <c r="X50" s="92"/>
      <c r="Y50" s="6"/>
      <c r="AC50" s="92"/>
      <c r="AD50" s="92"/>
      <c r="AE50" s="6"/>
      <c r="AI50" s="92"/>
      <c r="AJ50" s="92"/>
      <c r="AK50" s="6"/>
      <c r="AO50" s="92"/>
      <c r="AP50" s="92"/>
      <c r="AQ50" s="6"/>
      <c r="AU50" s="92"/>
      <c r="AV50" s="92"/>
      <c r="AW50" s="6"/>
      <c r="BA50" s="92"/>
      <c r="BB50" s="92"/>
      <c r="BC50" s="6"/>
      <c r="BG50" s="92"/>
      <c r="BH50" s="92"/>
      <c r="BI50" s="6"/>
      <c r="BM50" s="92"/>
      <c r="BN50" s="92"/>
      <c r="BO50" s="6"/>
      <c r="BS50" s="92"/>
      <c r="BT50" s="92"/>
    </row>
    <row r="51" spans="5:72" s="4" customFormat="1" ht="16.5" thickTop="1" thickBot="1" x14ac:dyDescent="0.3">
      <c r="E51" s="92"/>
      <c r="F51" s="92"/>
      <c r="G51" s="6"/>
      <c r="K51" s="92"/>
      <c r="L51" s="92"/>
      <c r="M51" s="6"/>
      <c r="Q51" s="92"/>
      <c r="R51" s="92"/>
      <c r="S51" s="6"/>
      <c r="W51" s="92"/>
      <c r="X51" s="92"/>
      <c r="Y51" s="6"/>
      <c r="AC51" s="92"/>
      <c r="AD51" s="92"/>
      <c r="AE51" s="6"/>
      <c r="AI51" s="92"/>
      <c r="AJ51" s="92"/>
      <c r="AK51" s="6"/>
      <c r="AO51" s="92"/>
      <c r="AP51" s="92"/>
      <c r="AQ51" s="6"/>
      <c r="AU51" s="92"/>
      <c r="AV51" s="92"/>
      <c r="AW51" s="6"/>
      <c r="BA51" s="92"/>
      <c r="BB51" s="92"/>
      <c r="BC51" s="6"/>
      <c r="BG51" s="92"/>
      <c r="BH51" s="92"/>
      <c r="BI51" s="6"/>
      <c r="BM51" s="92"/>
      <c r="BN51" s="92"/>
      <c r="BO51" s="6"/>
      <c r="BS51" s="92"/>
      <c r="BT51" s="92"/>
    </row>
    <row r="52" spans="5:72" s="4" customFormat="1" ht="15.75" thickTop="1" x14ac:dyDescent="0.25">
      <c r="E52" s="41"/>
      <c r="F52" s="41"/>
      <c r="G52" s="6"/>
      <c r="K52" s="41"/>
      <c r="L52" s="41"/>
      <c r="M52" s="6"/>
      <c r="Q52" s="41"/>
      <c r="R52" s="41"/>
      <c r="S52" s="6"/>
      <c r="W52" s="41"/>
      <c r="X52" s="41"/>
      <c r="Y52" s="6"/>
      <c r="AC52" s="41"/>
      <c r="AD52" s="41"/>
      <c r="AE52" s="6"/>
      <c r="AI52" s="41"/>
      <c r="AJ52" s="41"/>
      <c r="AK52" s="6"/>
      <c r="AO52" s="41"/>
      <c r="AP52" s="41"/>
      <c r="AQ52" s="6"/>
      <c r="AU52" s="41"/>
      <c r="AV52" s="41"/>
      <c r="AW52" s="6"/>
      <c r="BA52" s="41"/>
      <c r="BB52" s="41"/>
      <c r="BC52" s="6"/>
      <c r="BG52" s="41"/>
      <c r="BH52" s="41"/>
      <c r="BI52" s="6"/>
      <c r="BM52" s="41"/>
      <c r="BN52" s="41"/>
      <c r="BO52" s="6"/>
      <c r="BS52" s="41"/>
      <c r="BT52" s="41"/>
    </row>
    <row r="53" spans="5:72" s="4" customFormat="1" x14ac:dyDescent="0.25">
      <c r="E53" s="41"/>
      <c r="F53" s="41"/>
      <c r="G53" s="6"/>
      <c r="K53" s="41"/>
      <c r="L53" s="41"/>
      <c r="M53" s="6"/>
      <c r="Q53" s="41"/>
      <c r="R53" s="41"/>
      <c r="S53" s="6"/>
      <c r="W53" s="41"/>
      <c r="X53" s="41"/>
      <c r="Y53" s="6"/>
      <c r="AC53" s="41"/>
      <c r="AD53" s="41"/>
      <c r="AE53" s="6"/>
      <c r="AI53" s="41"/>
      <c r="AJ53" s="41"/>
      <c r="AK53" s="6"/>
      <c r="AO53" s="41"/>
      <c r="AP53" s="41"/>
      <c r="AQ53" s="6"/>
      <c r="AU53" s="41"/>
      <c r="AV53" s="41"/>
      <c r="AW53" s="6"/>
      <c r="BA53" s="41"/>
      <c r="BB53" s="41"/>
      <c r="BC53" s="6"/>
      <c r="BG53" s="41"/>
      <c r="BH53" s="41"/>
      <c r="BI53" s="6"/>
      <c r="BM53" s="41"/>
      <c r="BN53" s="41"/>
      <c r="BO53" s="6"/>
      <c r="BS53" s="41"/>
      <c r="BT53" s="41"/>
    </row>
    <row r="54" spans="5:72" s="4" customFormat="1" x14ac:dyDescent="0.25">
      <c r="E54" s="41"/>
      <c r="F54" s="41"/>
      <c r="G54" s="6"/>
      <c r="K54" s="41"/>
      <c r="L54" s="41"/>
      <c r="M54" s="6"/>
      <c r="Q54" s="41"/>
      <c r="R54" s="41"/>
      <c r="S54" s="6"/>
      <c r="W54" s="41"/>
      <c r="X54" s="41"/>
      <c r="Y54" s="6"/>
      <c r="AC54" s="41"/>
      <c r="AD54" s="41"/>
      <c r="AE54" s="6"/>
      <c r="AI54" s="41"/>
      <c r="AJ54" s="41"/>
      <c r="AK54" s="6"/>
      <c r="AO54" s="41"/>
      <c r="AP54" s="41"/>
      <c r="AQ54" s="6"/>
      <c r="AU54" s="41"/>
      <c r="AV54" s="41"/>
      <c r="AW54" s="6"/>
      <c r="BA54" s="41"/>
      <c r="BB54" s="41"/>
      <c r="BC54" s="6"/>
      <c r="BG54" s="41"/>
      <c r="BH54" s="41"/>
      <c r="BI54" s="6"/>
      <c r="BM54" s="41"/>
      <c r="BN54" s="41"/>
      <c r="BO54" s="6"/>
      <c r="BS54" s="41"/>
      <c r="BT54" s="41"/>
    </row>
    <row r="55" spans="5:72" s="4" customFormat="1" x14ac:dyDescent="0.25">
      <c r="E55" s="41"/>
      <c r="F55" s="41"/>
      <c r="G55" s="6"/>
      <c r="K55" s="41"/>
      <c r="L55" s="41"/>
      <c r="M55" s="6"/>
      <c r="Q55" s="41"/>
      <c r="R55" s="41"/>
      <c r="S55" s="6"/>
      <c r="W55" s="41"/>
      <c r="X55" s="41"/>
      <c r="Y55" s="6"/>
      <c r="AC55" s="41"/>
      <c r="AD55" s="41"/>
      <c r="AE55" s="6"/>
      <c r="AI55" s="41"/>
      <c r="AJ55" s="41"/>
      <c r="AK55" s="6"/>
      <c r="AO55" s="41"/>
      <c r="AP55" s="41"/>
      <c r="AQ55" s="6"/>
      <c r="AU55" s="41"/>
      <c r="AV55" s="41"/>
      <c r="AW55" s="6"/>
      <c r="BA55" s="41"/>
      <c r="BB55" s="41"/>
      <c r="BC55" s="6"/>
      <c r="BG55" s="41"/>
      <c r="BH55" s="41"/>
      <c r="BI55" s="6"/>
      <c r="BM55" s="41"/>
      <c r="BN55" s="41"/>
      <c r="BO55" s="6"/>
      <c r="BS55" s="41"/>
      <c r="BT55" s="41"/>
    </row>
    <row r="56" spans="5:72" s="4" customFormat="1" x14ac:dyDescent="0.25">
      <c r="E56" s="41"/>
      <c r="F56" s="41"/>
      <c r="G56" s="6"/>
      <c r="K56" s="41"/>
      <c r="L56" s="41"/>
      <c r="M56" s="6"/>
      <c r="Q56" s="41"/>
      <c r="R56" s="41"/>
      <c r="S56" s="6"/>
      <c r="W56" s="41"/>
      <c r="X56" s="41"/>
      <c r="Y56" s="6"/>
      <c r="AC56" s="41"/>
      <c r="AD56" s="41"/>
      <c r="AE56" s="6"/>
      <c r="AI56" s="41"/>
      <c r="AJ56" s="41"/>
      <c r="AK56" s="6"/>
      <c r="AO56" s="41"/>
      <c r="AP56" s="41"/>
      <c r="AQ56" s="6"/>
      <c r="AU56" s="41"/>
      <c r="AV56" s="41"/>
      <c r="AW56" s="6"/>
      <c r="BA56" s="41"/>
      <c r="BB56" s="41"/>
      <c r="BC56" s="6"/>
      <c r="BG56" s="41"/>
      <c r="BH56" s="41"/>
      <c r="BI56" s="6"/>
      <c r="BM56" s="41"/>
      <c r="BN56" s="41"/>
      <c r="BO56" s="6"/>
      <c r="BS56" s="41"/>
      <c r="BT56" s="41"/>
    </row>
    <row r="57" spans="5:72" s="4" customFormat="1" x14ac:dyDescent="0.25">
      <c r="E57" s="41"/>
      <c r="F57" s="41"/>
      <c r="G57" s="6"/>
      <c r="K57" s="41"/>
      <c r="L57" s="41"/>
      <c r="M57" s="6"/>
      <c r="Q57" s="41"/>
      <c r="R57" s="41"/>
      <c r="S57" s="6"/>
      <c r="W57" s="41"/>
      <c r="X57" s="41"/>
      <c r="Y57" s="6"/>
      <c r="AC57" s="41"/>
      <c r="AD57" s="41"/>
      <c r="AE57" s="6"/>
      <c r="AI57" s="41"/>
      <c r="AJ57" s="41"/>
      <c r="AK57" s="6"/>
      <c r="AO57" s="41"/>
      <c r="AP57" s="41"/>
      <c r="AQ57" s="6"/>
      <c r="AU57" s="41"/>
      <c r="AV57" s="41"/>
      <c r="AW57" s="6"/>
      <c r="BA57" s="41"/>
      <c r="BB57" s="41"/>
      <c r="BC57" s="6"/>
      <c r="BG57" s="41"/>
      <c r="BH57" s="41"/>
      <c r="BI57" s="6"/>
      <c r="BM57" s="41"/>
      <c r="BN57" s="41"/>
      <c r="BO57" s="6"/>
      <c r="BS57" s="41"/>
      <c r="BT57" s="41"/>
    </row>
    <row r="58" spans="5:72" s="4" customFormat="1" x14ac:dyDescent="0.25">
      <c r="E58" s="41"/>
      <c r="F58" s="41"/>
      <c r="G58" s="6"/>
      <c r="K58" s="41"/>
      <c r="L58" s="41"/>
      <c r="M58" s="6"/>
      <c r="Q58" s="41"/>
      <c r="R58" s="41"/>
      <c r="S58" s="6"/>
      <c r="W58" s="41"/>
      <c r="X58" s="41"/>
      <c r="Y58" s="6"/>
      <c r="AC58" s="41"/>
      <c r="AD58" s="41"/>
      <c r="AE58" s="6"/>
      <c r="AI58" s="41"/>
      <c r="AJ58" s="41"/>
      <c r="AK58" s="6"/>
      <c r="AO58" s="41"/>
      <c r="AP58" s="41"/>
      <c r="AQ58" s="6"/>
      <c r="AU58" s="41"/>
      <c r="AV58" s="41"/>
      <c r="AW58" s="6"/>
      <c r="BA58" s="41"/>
      <c r="BB58" s="41"/>
      <c r="BC58" s="6"/>
      <c r="BG58" s="41"/>
      <c r="BH58" s="41"/>
      <c r="BI58" s="6"/>
      <c r="BM58" s="41"/>
      <c r="BN58" s="41"/>
      <c r="BO58" s="6"/>
      <c r="BS58" s="41"/>
      <c r="BT58" s="41"/>
    </row>
    <row r="59" spans="5:72" s="4" customFormat="1" x14ac:dyDescent="0.25">
      <c r="E59" s="41"/>
      <c r="F59" s="41"/>
      <c r="G59" s="6"/>
      <c r="K59" s="41"/>
      <c r="L59" s="41"/>
      <c r="M59" s="6"/>
      <c r="Q59" s="41"/>
      <c r="R59" s="41"/>
      <c r="S59" s="6"/>
      <c r="W59" s="41"/>
      <c r="X59" s="41"/>
      <c r="Y59" s="6"/>
      <c r="AC59" s="41"/>
      <c r="AD59" s="41"/>
      <c r="AE59" s="6"/>
      <c r="AI59" s="41"/>
      <c r="AJ59" s="41"/>
      <c r="AK59" s="6"/>
      <c r="AO59" s="41"/>
      <c r="AP59" s="41"/>
      <c r="AQ59" s="6"/>
      <c r="AU59" s="41"/>
      <c r="AV59" s="41"/>
      <c r="AW59" s="6"/>
      <c r="BA59" s="41"/>
      <c r="BB59" s="41"/>
      <c r="BC59" s="6"/>
      <c r="BG59" s="41"/>
      <c r="BH59" s="41"/>
      <c r="BI59" s="6"/>
      <c r="BM59" s="41"/>
      <c r="BN59" s="41"/>
      <c r="BO59" s="6"/>
      <c r="BS59" s="41"/>
      <c r="BT59" s="41"/>
    </row>
    <row r="60" spans="5:72" s="4" customFormat="1" x14ac:dyDescent="0.25">
      <c r="E60" s="41"/>
      <c r="F60" s="41"/>
      <c r="G60" s="6"/>
      <c r="K60" s="41"/>
      <c r="L60" s="41"/>
      <c r="M60" s="6"/>
      <c r="Q60" s="41"/>
      <c r="R60" s="41"/>
      <c r="S60" s="6"/>
      <c r="W60" s="41"/>
      <c r="X60" s="41"/>
      <c r="Y60" s="6"/>
      <c r="AC60" s="41"/>
      <c r="AD60" s="41"/>
      <c r="AE60" s="6"/>
      <c r="AI60" s="41"/>
      <c r="AJ60" s="41"/>
      <c r="AK60" s="6"/>
      <c r="AO60" s="41"/>
      <c r="AP60" s="41"/>
      <c r="AQ60" s="6"/>
      <c r="AU60" s="41"/>
      <c r="AV60" s="41"/>
      <c r="AW60" s="6"/>
      <c r="BA60" s="41"/>
      <c r="BB60" s="41"/>
      <c r="BC60" s="6"/>
      <c r="BG60" s="41"/>
      <c r="BH60" s="41"/>
      <c r="BI60" s="6"/>
      <c r="BM60" s="41"/>
      <c r="BN60" s="41"/>
      <c r="BO60" s="6"/>
      <c r="BS60" s="41"/>
      <c r="BT60" s="41"/>
    </row>
    <row r="61" spans="5:72" s="4" customFormat="1" x14ac:dyDescent="0.25">
      <c r="E61" s="41"/>
      <c r="F61" s="41"/>
      <c r="G61" s="6"/>
      <c r="K61" s="41"/>
      <c r="L61" s="41"/>
      <c r="M61" s="6"/>
      <c r="Q61" s="41"/>
      <c r="R61" s="41"/>
      <c r="S61" s="6"/>
      <c r="W61" s="41"/>
      <c r="X61" s="41"/>
      <c r="Y61" s="6"/>
      <c r="AC61" s="41"/>
      <c r="AD61" s="41"/>
      <c r="AE61" s="6"/>
      <c r="AI61" s="41"/>
      <c r="AJ61" s="41"/>
      <c r="AK61" s="6"/>
      <c r="AO61" s="41"/>
      <c r="AP61" s="41"/>
      <c r="AQ61" s="6"/>
      <c r="AU61" s="41"/>
      <c r="AV61" s="41"/>
      <c r="AW61" s="6"/>
      <c r="BA61" s="41"/>
      <c r="BB61" s="41"/>
      <c r="BC61" s="6"/>
      <c r="BG61" s="41"/>
      <c r="BH61" s="41"/>
      <c r="BI61" s="6"/>
      <c r="BM61" s="41"/>
      <c r="BN61" s="41"/>
      <c r="BO61" s="6"/>
      <c r="BS61" s="41"/>
      <c r="BT61" s="41"/>
    </row>
    <row r="62" spans="5:72" s="4" customFormat="1" x14ac:dyDescent="0.25">
      <c r="E62" s="41"/>
      <c r="F62" s="41"/>
      <c r="G62" s="6"/>
      <c r="K62" s="41"/>
      <c r="L62" s="41"/>
      <c r="M62" s="6"/>
      <c r="Q62" s="41"/>
      <c r="R62" s="41"/>
      <c r="S62" s="6"/>
      <c r="W62" s="41"/>
      <c r="X62" s="41"/>
      <c r="Y62" s="6"/>
      <c r="AC62" s="41"/>
      <c r="AD62" s="41"/>
      <c r="AE62" s="6"/>
      <c r="AI62" s="41"/>
      <c r="AJ62" s="41"/>
      <c r="AK62" s="6"/>
      <c r="AO62" s="41"/>
      <c r="AP62" s="41"/>
      <c r="AQ62" s="6"/>
      <c r="AU62" s="41"/>
      <c r="AV62" s="41"/>
      <c r="AW62" s="6"/>
      <c r="BA62" s="41"/>
      <c r="BB62" s="41"/>
      <c r="BC62" s="6"/>
      <c r="BG62" s="41"/>
      <c r="BH62" s="41"/>
      <c r="BI62" s="6"/>
      <c r="BM62" s="41"/>
      <c r="BN62" s="41"/>
      <c r="BO62" s="6"/>
      <c r="BS62" s="41"/>
      <c r="BT62" s="41"/>
    </row>
    <row r="63" spans="5:72" s="4" customFormat="1" x14ac:dyDescent="0.25">
      <c r="E63" s="41"/>
      <c r="F63" s="41"/>
      <c r="G63" s="6"/>
      <c r="K63" s="41"/>
      <c r="L63" s="41"/>
      <c r="M63" s="6"/>
      <c r="Q63" s="41"/>
      <c r="R63" s="41"/>
      <c r="S63" s="6"/>
      <c r="W63" s="41"/>
      <c r="X63" s="41"/>
      <c r="Y63" s="6"/>
      <c r="AC63" s="41"/>
      <c r="AD63" s="41"/>
      <c r="AE63" s="6"/>
      <c r="AI63" s="41"/>
      <c r="AJ63" s="41"/>
      <c r="AK63" s="6"/>
      <c r="AO63" s="41"/>
      <c r="AP63" s="41"/>
      <c r="AQ63" s="6"/>
      <c r="AU63" s="41"/>
      <c r="AV63" s="41"/>
      <c r="AW63" s="6"/>
      <c r="BA63" s="41"/>
      <c r="BB63" s="41"/>
      <c r="BC63" s="6"/>
      <c r="BG63" s="41"/>
      <c r="BH63" s="41"/>
      <c r="BI63" s="6"/>
      <c r="BM63" s="41"/>
      <c r="BN63" s="41"/>
      <c r="BO63" s="6"/>
      <c r="BS63" s="41"/>
      <c r="BT63" s="41"/>
    </row>
    <row r="64" spans="5:72" s="4" customFormat="1" x14ac:dyDescent="0.25">
      <c r="E64" s="41"/>
      <c r="F64" s="41"/>
      <c r="G64" s="6"/>
      <c r="K64" s="41"/>
      <c r="L64" s="41"/>
      <c r="M64" s="6"/>
      <c r="Q64" s="41"/>
      <c r="R64" s="41"/>
      <c r="S64" s="6"/>
      <c r="W64" s="41"/>
      <c r="X64" s="41"/>
      <c r="Y64" s="6"/>
      <c r="AC64" s="41"/>
      <c r="AD64" s="41"/>
      <c r="AE64" s="6"/>
      <c r="AI64" s="41"/>
      <c r="AJ64" s="41"/>
      <c r="AK64" s="6"/>
      <c r="AO64" s="41"/>
      <c r="AP64" s="41"/>
      <c r="AQ64" s="6"/>
      <c r="AU64" s="41"/>
      <c r="AV64" s="41"/>
      <c r="AW64" s="6"/>
      <c r="BA64" s="41"/>
      <c r="BB64" s="41"/>
      <c r="BC64" s="6"/>
      <c r="BG64" s="41"/>
      <c r="BH64" s="41"/>
      <c r="BI64" s="6"/>
      <c r="BM64" s="41"/>
      <c r="BN64" s="41"/>
      <c r="BO64" s="6"/>
      <c r="BS64" s="41"/>
      <c r="BT64" s="41"/>
    </row>
    <row r="65" spans="5:72" s="4" customFormat="1" x14ac:dyDescent="0.25">
      <c r="E65" s="41"/>
      <c r="F65" s="41"/>
      <c r="G65" s="6"/>
      <c r="K65" s="41"/>
      <c r="L65" s="41"/>
      <c r="M65" s="6"/>
      <c r="Q65" s="41"/>
      <c r="R65" s="41"/>
      <c r="S65" s="6"/>
      <c r="W65" s="41"/>
      <c r="X65" s="41"/>
      <c r="Y65" s="6"/>
      <c r="AC65" s="41"/>
      <c r="AD65" s="41"/>
      <c r="AE65" s="6"/>
      <c r="AI65" s="41"/>
      <c r="AJ65" s="41"/>
      <c r="AK65" s="6"/>
      <c r="AO65" s="41"/>
      <c r="AP65" s="41"/>
      <c r="AQ65" s="6"/>
      <c r="AU65" s="41"/>
      <c r="AV65" s="41"/>
      <c r="AW65" s="6"/>
      <c r="BA65" s="41"/>
      <c r="BB65" s="41"/>
      <c r="BC65" s="6"/>
      <c r="BG65" s="41"/>
      <c r="BH65" s="41"/>
      <c r="BI65" s="6"/>
      <c r="BM65" s="41"/>
      <c r="BN65" s="41"/>
      <c r="BO65" s="6"/>
      <c r="BS65" s="41"/>
      <c r="BT65" s="41"/>
    </row>
    <row r="66" spans="5:72" s="4" customFormat="1" x14ac:dyDescent="0.25">
      <c r="E66" s="41"/>
      <c r="F66" s="41"/>
      <c r="G66" s="6"/>
      <c r="K66" s="41"/>
      <c r="L66" s="41"/>
      <c r="M66" s="6"/>
      <c r="Q66" s="41"/>
      <c r="R66" s="41"/>
      <c r="S66" s="6"/>
      <c r="W66" s="41"/>
      <c r="X66" s="41"/>
      <c r="Y66" s="6"/>
      <c r="AC66" s="41"/>
      <c r="AD66" s="41"/>
      <c r="AE66" s="6"/>
      <c r="AI66" s="41"/>
      <c r="AJ66" s="41"/>
      <c r="AK66" s="6"/>
      <c r="AO66" s="41"/>
      <c r="AP66" s="41"/>
      <c r="AQ66" s="6"/>
      <c r="AU66" s="41"/>
      <c r="AV66" s="41"/>
      <c r="AW66" s="6"/>
      <c r="BA66" s="41"/>
      <c r="BB66" s="41"/>
      <c r="BC66" s="6"/>
      <c r="BG66" s="41"/>
      <c r="BH66" s="41"/>
      <c r="BI66" s="6"/>
      <c r="BM66" s="41"/>
      <c r="BN66" s="41"/>
      <c r="BO66" s="6"/>
      <c r="BS66" s="41"/>
      <c r="BT66" s="41"/>
    </row>
    <row r="67" spans="5:72" s="4" customFormat="1" x14ac:dyDescent="0.25">
      <c r="E67" s="41"/>
      <c r="F67" s="41"/>
      <c r="G67" s="6"/>
      <c r="K67" s="41"/>
      <c r="L67" s="41"/>
      <c r="M67" s="6"/>
      <c r="Q67" s="41"/>
      <c r="R67" s="41"/>
      <c r="S67" s="6"/>
      <c r="W67" s="41"/>
      <c r="X67" s="41"/>
      <c r="Y67" s="6"/>
      <c r="AC67" s="41"/>
      <c r="AD67" s="41"/>
      <c r="AE67" s="6"/>
      <c r="AI67" s="41"/>
      <c r="AJ67" s="41"/>
      <c r="AK67" s="6"/>
      <c r="AO67" s="41"/>
      <c r="AP67" s="41"/>
      <c r="AQ67" s="6"/>
      <c r="AU67" s="41"/>
      <c r="AV67" s="41"/>
      <c r="AW67" s="6"/>
      <c r="BA67" s="41"/>
      <c r="BB67" s="41"/>
      <c r="BC67" s="6"/>
      <c r="BG67" s="41"/>
      <c r="BH67" s="41"/>
      <c r="BI67" s="6"/>
      <c r="BM67" s="41"/>
      <c r="BN67" s="41"/>
      <c r="BO67" s="6"/>
      <c r="BS67" s="41"/>
      <c r="BT67" s="41"/>
    </row>
    <row r="68" spans="5:72" s="4" customFormat="1" x14ac:dyDescent="0.25">
      <c r="E68" s="41"/>
      <c r="F68" s="41"/>
      <c r="G68" s="6"/>
      <c r="K68" s="41"/>
      <c r="L68" s="41"/>
      <c r="M68" s="6"/>
      <c r="Q68" s="41"/>
      <c r="R68" s="41"/>
      <c r="S68" s="6"/>
      <c r="W68" s="41"/>
      <c r="X68" s="41"/>
      <c r="Y68" s="6"/>
      <c r="AC68" s="41"/>
      <c r="AD68" s="41"/>
      <c r="AE68" s="6"/>
      <c r="AI68" s="41"/>
      <c r="AJ68" s="41"/>
      <c r="AK68" s="6"/>
      <c r="AO68" s="41"/>
      <c r="AP68" s="41"/>
      <c r="AQ68" s="6"/>
      <c r="AU68" s="41"/>
      <c r="AV68" s="41"/>
      <c r="AW68" s="6"/>
      <c r="BA68" s="41"/>
      <c r="BB68" s="41"/>
      <c r="BC68" s="6"/>
      <c r="BG68" s="41"/>
      <c r="BH68" s="41"/>
      <c r="BI68" s="6"/>
      <c r="BM68" s="41"/>
      <c r="BN68" s="41"/>
      <c r="BO68" s="6"/>
      <c r="BS68" s="41"/>
      <c r="BT68" s="41"/>
    </row>
    <row r="69" spans="5:72" s="4" customFormat="1" x14ac:dyDescent="0.25">
      <c r="E69" s="41"/>
      <c r="F69" s="41"/>
      <c r="G69" s="6"/>
      <c r="K69" s="41"/>
      <c r="L69" s="41"/>
      <c r="M69" s="6"/>
      <c r="Q69" s="41"/>
      <c r="R69" s="41"/>
      <c r="S69" s="6"/>
      <c r="W69" s="41"/>
      <c r="X69" s="41"/>
      <c r="Y69" s="6"/>
      <c r="AC69" s="41"/>
      <c r="AD69" s="41"/>
      <c r="AE69" s="6"/>
      <c r="AI69" s="41"/>
      <c r="AJ69" s="41"/>
      <c r="AK69" s="6"/>
      <c r="AO69" s="41"/>
      <c r="AP69" s="41"/>
      <c r="AQ69" s="6"/>
      <c r="AU69" s="41"/>
      <c r="AV69" s="41"/>
      <c r="AW69" s="6"/>
      <c r="BA69" s="41"/>
      <c r="BB69" s="41"/>
      <c r="BC69" s="6"/>
      <c r="BG69" s="41"/>
      <c r="BH69" s="41"/>
      <c r="BI69" s="6"/>
      <c r="BM69" s="41"/>
      <c r="BN69" s="41"/>
      <c r="BO69" s="6"/>
      <c r="BS69" s="41"/>
      <c r="BT69" s="41"/>
    </row>
    <row r="70" spans="5:72" s="4" customFormat="1" x14ac:dyDescent="0.25">
      <c r="E70" s="41"/>
      <c r="F70" s="41"/>
      <c r="G70" s="6"/>
      <c r="K70" s="41"/>
      <c r="L70" s="41"/>
      <c r="M70" s="6"/>
      <c r="Q70" s="41"/>
      <c r="R70" s="41"/>
      <c r="S70" s="6"/>
      <c r="W70" s="41"/>
      <c r="X70" s="41"/>
      <c r="Y70" s="6"/>
      <c r="AC70" s="41"/>
      <c r="AD70" s="41"/>
      <c r="AE70" s="6"/>
      <c r="AI70" s="41"/>
      <c r="AJ70" s="41"/>
      <c r="AK70" s="6"/>
      <c r="AO70" s="41"/>
      <c r="AP70" s="41"/>
      <c r="AQ70" s="6"/>
      <c r="AU70" s="41"/>
      <c r="AV70" s="41"/>
      <c r="AW70" s="6"/>
      <c r="BA70" s="41"/>
      <c r="BB70" s="41"/>
      <c r="BC70" s="6"/>
      <c r="BG70" s="41"/>
      <c r="BH70" s="41"/>
      <c r="BI70" s="6"/>
      <c r="BM70" s="41"/>
      <c r="BN70" s="41"/>
      <c r="BO70" s="6"/>
      <c r="BS70" s="41"/>
      <c r="BT70" s="41"/>
    </row>
    <row r="71" spans="5:72" s="4" customFormat="1" x14ac:dyDescent="0.25">
      <c r="E71" s="41"/>
      <c r="F71" s="41"/>
      <c r="G71" s="6"/>
      <c r="K71" s="41"/>
      <c r="L71" s="41"/>
      <c r="M71" s="6"/>
      <c r="Q71" s="41"/>
      <c r="R71" s="41"/>
      <c r="S71" s="6"/>
      <c r="W71" s="41"/>
      <c r="X71" s="41"/>
      <c r="Y71" s="6"/>
      <c r="AC71" s="41"/>
      <c r="AD71" s="41"/>
      <c r="AE71" s="6"/>
      <c r="AI71" s="41"/>
      <c r="AJ71" s="41"/>
      <c r="AK71" s="6"/>
      <c r="AO71" s="41"/>
      <c r="AP71" s="41"/>
      <c r="AQ71" s="6"/>
      <c r="AU71" s="41"/>
      <c r="AV71" s="41"/>
      <c r="AW71" s="6"/>
      <c r="BA71" s="41"/>
      <c r="BB71" s="41"/>
      <c r="BC71" s="6"/>
      <c r="BG71" s="41"/>
      <c r="BH71" s="41"/>
      <c r="BI71" s="6"/>
      <c r="BM71" s="41"/>
      <c r="BN71" s="41"/>
      <c r="BO71" s="6"/>
      <c r="BS71" s="41"/>
      <c r="BT71" s="41"/>
    </row>
    <row r="72" spans="5:72" s="4" customFormat="1" x14ac:dyDescent="0.25">
      <c r="E72" s="41"/>
      <c r="F72" s="41"/>
      <c r="G72" s="6"/>
      <c r="K72" s="41"/>
      <c r="L72" s="41"/>
      <c r="M72" s="6"/>
      <c r="Q72" s="41"/>
      <c r="R72" s="41"/>
      <c r="S72" s="6"/>
      <c r="W72" s="41"/>
      <c r="X72" s="41"/>
      <c r="Y72" s="6"/>
      <c r="AC72" s="41"/>
      <c r="AD72" s="41"/>
      <c r="AE72" s="6"/>
      <c r="AI72" s="41"/>
      <c r="AJ72" s="41"/>
      <c r="AK72" s="6"/>
      <c r="AO72" s="41"/>
      <c r="AP72" s="41"/>
      <c r="AQ72" s="6"/>
      <c r="AU72" s="41"/>
      <c r="AV72" s="41"/>
      <c r="AW72" s="6"/>
      <c r="BA72" s="41"/>
      <c r="BB72" s="41"/>
      <c r="BC72" s="6"/>
      <c r="BG72" s="41"/>
      <c r="BH72" s="41"/>
      <c r="BI72" s="6"/>
      <c r="BM72" s="41"/>
      <c r="BN72" s="41"/>
      <c r="BO72" s="6"/>
      <c r="BS72" s="41"/>
      <c r="BT72" s="41"/>
    </row>
    <row r="73" spans="5:72" s="4" customFormat="1" x14ac:dyDescent="0.25">
      <c r="E73" s="41"/>
      <c r="F73" s="41"/>
      <c r="G73" s="6"/>
      <c r="K73" s="41"/>
      <c r="L73" s="41"/>
      <c r="M73" s="6"/>
      <c r="Q73" s="41"/>
      <c r="R73" s="41"/>
      <c r="S73" s="6"/>
      <c r="W73" s="41"/>
      <c r="X73" s="41"/>
      <c r="Y73" s="6"/>
      <c r="AC73" s="41"/>
      <c r="AD73" s="41"/>
      <c r="AE73" s="6"/>
      <c r="AI73" s="41"/>
      <c r="AJ73" s="41"/>
      <c r="AK73" s="6"/>
      <c r="AO73" s="41"/>
      <c r="AP73" s="41"/>
      <c r="AQ73" s="6"/>
      <c r="AU73" s="41"/>
      <c r="AV73" s="41"/>
      <c r="AW73" s="6"/>
      <c r="BA73" s="41"/>
      <c r="BB73" s="41"/>
      <c r="BC73" s="6"/>
      <c r="BG73" s="41"/>
      <c r="BH73" s="41"/>
      <c r="BI73" s="6"/>
      <c r="BM73" s="41"/>
      <c r="BN73" s="41"/>
      <c r="BO73" s="6"/>
      <c r="BS73" s="41"/>
      <c r="BT73" s="41"/>
    </row>
    <row r="74" spans="5:72" s="4" customFormat="1" x14ac:dyDescent="0.25">
      <c r="E74" s="41"/>
      <c r="F74" s="41"/>
      <c r="G74" s="6"/>
      <c r="K74" s="41"/>
      <c r="L74" s="41"/>
      <c r="M74" s="6"/>
      <c r="Q74" s="41"/>
      <c r="R74" s="41"/>
      <c r="S74" s="6"/>
      <c r="W74" s="41"/>
      <c r="X74" s="41"/>
      <c r="Y74" s="6"/>
      <c r="AC74" s="41"/>
      <c r="AD74" s="41"/>
      <c r="AE74" s="6"/>
      <c r="AI74" s="41"/>
      <c r="AJ74" s="41"/>
      <c r="AK74" s="6"/>
      <c r="AO74" s="41"/>
      <c r="AP74" s="41"/>
      <c r="AQ74" s="6"/>
      <c r="AU74" s="41"/>
      <c r="AV74" s="41"/>
      <c r="AW74" s="6"/>
      <c r="BA74" s="41"/>
      <c r="BB74" s="41"/>
      <c r="BC74" s="6"/>
      <c r="BG74" s="41"/>
      <c r="BH74" s="41"/>
      <c r="BI74" s="6"/>
      <c r="BM74" s="41"/>
      <c r="BN74" s="41"/>
      <c r="BO74" s="6"/>
      <c r="BS74" s="41"/>
      <c r="BT74" s="41"/>
    </row>
    <row r="75" spans="5:72" s="4" customFormat="1" x14ac:dyDescent="0.25">
      <c r="E75" s="41"/>
      <c r="F75" s="41"/>
      <c r="G75" s="6"/>
      <c r="K75" s="41"/>
      <c r="L75" s="41"/>
      <c r="M75" s="6"/>
      <c r="Q75" s="41"/>
      <c r="R75" s="41"/>
      <c r="S75" s="6"/>
      <c r="W75" s="41"/>
      <c r="X75" s="41"/>
      <c r="Y75" s="6"/>
      <c r="AC75" s="41"/>
      <c r="AD75" s="41"/>
      <c r="AE75" s="6"/>
      <c r="AI75" s="41"/>
      <c r="AJ75" s="41"/>
      <c r="AK75" s="6"/>
      <c r="AO75" s="41"/>
      <c r="AP75" s="41"/>
      <c r="AQ75" s="6"/>
      <c r="AU75" s="41"/>
      <c r="AV75" s="41"/>
      <c r="AW75" s="6"/>
      <c r="BA75" s="41"/>
      <c r="BB75" s="41"/>
      <c r="BC75" s="6"/>
      <c r="BG75" s="41"/>
      <c r="BH75" s="41"/>
      <c r="BI75" s="6"/>
      <c r="BM75" s="41"/>
      <c r="BN75" s="41"/>
      <c r="BO75" s="6"/>
      <c r="BS75" s="41"/>
      <c r="BT75" s="41"/>
    </row>
    <row r="76" spans="5:72" s="4" customFormat="1" x14ac:dyDescent="0.25">
      <c r="E76" s="41"/>
      <c r="F76" s="41"/>
      <c r="G76" s="6"/>
      <c r="K76" s="41"/>
      <c r="L76" s="41"/>
      <c r="M76" s="6"/>
      <c r="Q76" s="41"/>
      <c r="R76" s="41"/>
      <c r="S76" s="6"/>
      <c r="W76" s="41"/>
      <c r="X76" s="41"/>
      <c r="Y76" s="6"/>
      <c r="AC76" s="41"/>
      <c r="AD76" s="41"/>
      <c r="AE76" s="6"/>
      <c r="AI76" s="41"/>
      <c r="AJ76" s="41"/>
      <c r="AK76" s="6"/>
      <c r="AO76" s="41"/>
      <c r="AP76" s="41"/>
      <c r="AQ76" s="6"/>
      <c r="AU76" s="41"/>
      <c r="AV76" s="41"/>
      <c r="AW76" s="6"/>
      <c r="BA76" s="41"/>
      <c r="BB76" s="41"/>
      <c r="BC76" s="6"/>
      <c r="BG76" s="41"/>
      <c r="BH76" s="41"/>
      <c r="BI76" s="6"/>
      <c r="BM76" s="41"/>
      <c r="BN76" s="41"/>
      <c r="BO76" s="6"/>
      <c r="BS76" s="41"/>
      <c r="BT76" s="41"/>
    </row>
    <row r="77" spans="5:72" s="4" customFormat="1" x14ac:dyDescent="0.25">
      <c r="E77" s="41"/>
      <c r="F77" s="41"/>
      <c r="G77" s="6"/>
      <c r="K77" s="41"/>
      <c r="L77" s="41"/>
      <c r="M77" s="6"/>
      <c r="Q77" s="41"/>
      <c r="R77" s="41"/>
      <c r="S77" s="6"/>
      <c r="W77" s="41"/>
      <c r="X77" s="41"/>
      <c r="Y77" s="6"/>
      <c r="AC77" s="41"/>
      <c r="AD77" s="41"/>
      <c r="AE77" s="6"/>
      <c r="AI77" s="41"/>
      <c r="AJ77" s="41"/>
      <c r="AK77" s="6"/>
      <c r="AO77" s="41"/>
      <c r="AP77" s="41"/>
      <c r="AQ77" s="6"/>
      <c r="AU77" s="41"/>
      <c r="AV77" s="41"/>
      <c r="AW77" s="6"/>
      <c r="BA77" s="41"/>
      <c r="BB77" s="41"/>
      <c r="BC77" s="6"/>
      <c r="BG77" s="41"/>
      <c r="BH77" s="41"/>
      <c r="BI77" s="6"/>
      <c r="BM77" s="41"/>
      <c r="BN77" s="41"/>
      <c r="BO77" s="6"/>
      <c r="BS77" s="41"/>
      <c r="BT77" s="41"/>
    </row>
    <row r="78" spans="5:72" s="4" customFormat="1" x14ac:dyDescent="0.25">
      <c r="E78" s="41"/>
      <c r="F78" s="41"/>
      <c r="G78" s="6"/>
      <c r="K78" s="41"/>
      <c r="L78" s="41"/>
      <c r="M78" s="6"/>
      <c r="Q78" s="41"/>
      <c r="R78" s="41"/>
      <c r="S78" s="6"/>
      <c r="W78" s="41"/>
      <c r="X78" s="41"/>
      <c r="Y78" s="6"/>
      <c r="AC78" s="41"/>
      <c r="AD78" s="41"/>
      <c r="AE78" s="6"/>
      <c r="AI78" s="41"/>
      <c r="AJ78" s="41"/>
      <c r="AK78" s="6"/>
      <c r="AO78" s="41"/>
      <c r="AP78" s="41"/>
      <c r="AQ78" s="6"/>
      <c r="AU78" s="41"/>
      <c r="AV78" s="41"/>
      <c r="AW78" s="6"/>
      <c r="BA78" s="41"/>
      <c r="BB78" s="41"/>
      <c r="BC78" s="6"/>
      <c r="BG78" s="41"/>
      <c r="BH78" s="41"/>
      <c r="BI78" s="6"/>
      <c r="BM78" s="41"/>
      <c r="BN78" s="41"/>
      <c r="BO78" s="6"/>
      <c r="BS78" s="41"/>
      <c r="BT78" s="41"/>
    </row>
    <row r="79" spans="5:72" s="4" customFormat="1" x14ac:dyDescent="0.25">
      <c r="E79" s="41"/>
      <c r="F79" s="41"/>
      <c r="G79" s="6"/>
      <c r="K79" s="41"/>
      <c r="L79" s="41"/>
      <c r="M79" s="6"/>
      <c r="Q79" s="41"/>
      <c r="R79" s="41"/>
      <c r="S79" s="6"/>
      <c r="W79" s="41"/>
      <c r="X79" s="41"/>
      <c r="Y79" s="6"/>
      <c r="AC79" s="41"/>
      <c r="AD79" s="41"/>
      <c r="AE79" s="6"/>
      <c r="AI79" s="41"/>
      <c r="AJ79" s="41"/>
      <c r="AK79" s="6"/>
      <c r="AO79" s="41"/>
      <c r="AP79" s="41"/>
      <c r="AQ79" s="6"/>
      <c r="AU79" s="41"/>
      <c r="AV79" s="41"/>
      <c r="AW79" s="6"/>
      <c r="BA79" s="41"/>
      <c r="BB79" s="41"/>
      <c r="BC79" s="6"/>
      <c r="BG79" s="41"/>
      <c r="BH79" s="41"/>
      <c r="BI79" s="6"/>
      <c r="BM79" s="41"/>
      <c r="BN79" s="41"/>
      <c r="BO79" s="6"/>
      <c r="BS79" s="41"/>
      <c r="BT79" s="41"/>
    </row>
    <row r="80" spans="5:72" s="4" customFormat="1" x14ac:dyDescent="0.25">
      <c r="E80" s="41"/>
      <c r="F80" s="41"/>
      <c r="G80" s="6"/>
      <c r="K80" s="41"/>
      <c r="L80" s="41"/>
      <c r="M80" s="6"/>
      <c r="Q80" s="41"/>
      <c r="R80" s="41"/>
      <c r="S80" s="6"/>
      <c r="W80" s="41"/>
      <c r="X80" s="41"/>
      <c r="Y80" s="6"/>
      <c r="AC80" s="41"/>
      <c r="AD80" s="41"/>
      <c r="AE80" s="6"/>
      <c r="AI80" s="41"/>
      <c r="AJ80" s="41"/>
      <c r="AK80" s="6"/>
      <c r="AO80" s="41"/>
      <c r="AP80" s="41"/>
      <c r="AQ80" s="6"/>
      <c r="AU80" s="41"/>
      <c r="AV80" s="41"/>
      <c r="AW80" s="6"/>
      <c r="BA80" s="41"/>
      <c r="BB80" s="41"/>
      <c r="BC80" s="6"/>
      <c r="BG80" s="41"/>
      <c r="BH80" s="41"/>
      <c r="BI80" s="6"/>
      <c r="BM80" s="41"/>
      <c r="BN80" s="41"/>
      <c r="BO80" s="6"/>
      <c r="BS80" s="41"/>
      <c r="BT80" s="41"/>
    </row>
    <row r="81" spans="5:72" s="4" customFormat="1" x14ac:dyDescent="0.25">
      <c r="E81" s="41"/>
      <c r="F81" s="41"/>
      <c r="G81" s="6"/>
      <c r="K81" s="41"/>
      <c r="L81" s="41"/>
      <c r="M81" s="6"/>
      <c r="Q81" s="41"/>
      <c r="R81" s="41"/>
      <c r="S81" s="6"/>
      <c r="W81" s="41"/>
      <c r="X81" s="41"/>
      <c r="Y81" s="6"/>
      <c r="AC81" s="41"/>
      <c r="AD81" s="41"/>
      <c r="AE81" s="6"/>
      <c r="AI81" s="41"/>
      <c r="AJ81" s="41"/>
      <c r="AK81" s="6"/>
      <c r="AO81" s="41"/>
      <c r="AP81" s="41"/>
      <c r="AQ81" s="6"/>
      <c r="AU81" s="41"/>
      <c r="AV81" s="41"/>
      <c r="AW81" s="6"/>
      <c r="BA81" s="41"/>
      <c r="BB81" s="41"/>
      <c r="BC81" s="6"/>
      <c r="BG81" s="41"/>
      <c r="BH81" s="41"/>
      <c r="BI81" s="6"/>
      <c r="BM81" s="41"/>
      <c r="BN81" s="41"/>
      <c r="BO81" s="6"/>
      <c r="BS81" s="41"/>
      <c r="BT81" s="41"/>
    </row>
    <row r="82" spans="5:72" s="4" customFormat="1" x14ac:dyDescent="0.25">
      <c r="E82" s="41"/>
      <c r="F82" s="41"/>
      <c r="G82" s="6"/>
      <c r="K82" s="41"/>
      <c r="L82" s="41"/>
      <c r="M82" s="6"/>
      <c r="Q82" s="41"/>
      <c r="R82" s="41"/>
      <c r="S82" s="6"/>
      <c r="W82" s="41"/>
      <c r="X82" s="41"/>
      <c r="Y82" s="6"/>
      <c r="AC82" s="41"/>
      <c r="AD82" s="41"/>
      <c r="AE82" s="6"/>
      <c r="AI82" s="41"/>
      <c r="AJ82" s="41"/>
      <c r="AK82" s="6"/>
      <c r="AO82" s="41"/>
      <c r="AP82" s="41"/>
      <c r="AQ82" s="6"/>
      <c r="AU82" s="41"/>
      <c r="AV82" s="41"/>
      <c r="AW82" s="6"/>
      <c r="BA82" s="41"/>
      <c r="BB82" s="41"/>
      <c r="BC82" s="6"/>
      <c r="BG82" s="41"/>
      <c r="BH82" s="41"/>
      <c r="BI82" s="6"/>
      <c r="BM82" s="41"/>
      <c r="BN82" s="41"/>
      <c r="BO82" s="6"/>
      <c r="BS82" s="41"/>
      <c r="BT82" s="41"/>
    </row>
    <row r="83" spans="5:72" s="4" customFormat="1" x14ac:dyDescent="0.25">
      <c r="E83" s="41"/>
      <c r="F83" s="41"/>
      <c r="G83" s="6"/>
      <c r="K83" s="41"/>
      <c r="L83" s="41"/>
      <c r="M83" s="6"/>
      <c r="Q83" s="41"/>
      <c r="R83" s="41"/>
      <c r="S83" s="6"/>
      <c r="W83" s="41"/>
      <c r="X83" s="41"/>
      <c r="Y83" s="6"/>
      <c r="AC83" s="41"/>
      <c r="AD83" s="41"/>
      <c r="AE83" s="6"/>
      <c r="AI83" s="41"/>
      <c r="AJ83" s="41"/>
      <c r="AK83" s="6"/>
      <c r="AO83" s="41"/>
      <c r="AP83" s="41"/>
      <c r="AQ83" s="6"/>
      <c r="AU83" s="41"/>
      <c r="AV83" s="41"/>
      <c r="AW83" s="6"/>
      <c r="BA83" s="41"/>
      <c r="BB83" s="41"/>
      <c r="BC83" s="6"/>
      <c r="BG83" s="41"/>
      <c r="BH83" s="41"/>
      <c r="BI83" s="6"/>
      <c r="BM83" s="41"/>
      <c r="BN83" s="41"/>
      <c r="BO83" s="6"/>
      <c r="BS83" s="41"/>
      <c r="BT83" s="41"/>
    </row>
    <row r="84" spans="5:72" s="4" customFormat="1" x14ac:dyDescent="0.25">
      <c r="E84" s="41"/>
      <c r="F84" s="41"/>
      <c r="G84" s="6"/>
      <c r="K84" s="41"/>
      <c r="L84" s="41"/>
      <c r="M84" s="6"/>
      <c r="Q84" s="41"/>
      <c r="R84" s="41"/>
      <c r="S84" s="6"/>
      <c r="W84" s="41"/>
      <c r="X84" s="41"/>
      <c r="Y84" s="6"/>
      <c r="AC84" s="41"/>
      <c r="AD84" s="41"/>
      <c r="AE84" s="6"/>
      <c r="AI84" s="41"/>
      <c r="AJ84" s="41"/>
      <c r="AK84" s="6"/>
      <c r="AO84" s="41"/>
      <c r="AP84" s="41"/>
      <c r="AQ84" s="6"/>
      <c r="AU84" s="41"/>
      <c r="AV84" s="41"/>
      <c r="AW84" s="6"/>
      <c r="BA84" s="41"/>
      <c r="BB84" s="41"/>
      <c r="BC84" s="6"/>
      <c r="BG84" s="41"/>
      <c r="BH84" s="41"/>
      <c r="BI84" s="6"/>
      <c r="BM84" s="41"/>
      <c r="BN84" s="41"/>
      <c r="BO84" s="6"/>
      <c r="BS84" s="41"/>
      <c r="BT84" s="41"/>
    </row>
    <row r="85" spans="5:72" s="4" customFormat="1" x14ac:dyDescent="0.25">
      <c r="E85" s="41"/>
      <c r="F85" s="41"/>
      <c r="G85" s="6"/>
      <c r="K85" s="41"/>
      <c r="L85" s="41"/>
      <c r="M85" s="6"/>
      <c r="Q85" s="41"/>
      <c r="R85" s="41"/>
      <c r="S85" s="6"/>
      <c r="W85" s="41"/>
      <c r="X85" s="41"/>
      <c r="Y85" s="6"/>
      <c r="AC85" s="41"/>
      <c r="AD85" s="41"/>
      <c r="AE85" s="6"/>
      <c r="AI85" s="41"/>
      <c r="AJ85" s="41"/>
      <c r="AK85" s="6"/>
      <c r="AO85" s="41"/>
      <c r="AP85" s="41"/>
      <c r="AQ85" s="6"/>
      <c r="AU85" s="41"/>
      <c r="AV85" s="41"/>
      <c r="AW85" s="6"/>
      <c r="BA85" s="41"/>
      <c r="BB85" s="41"/>
      <c r="BC85" s="6"/>
      <c r="BG85" s="41"/>
      <c r="BH85" s="41"/>
      <c r="BI85" s="6"/>
      <c r="BM85" s="41"/>
      <c r="BN85" s="41"/>
      <c r="BO85" s="6"/>
      <c r="BS85" s="41"/>
      <c r="BT85" s="41"/>
    </row>
    <row r="86" spans="5:72" s="4" customFormat="1" x14ac:dyDescent="0.25">
      <c r="E86" s="41"/>
      <c r="F86" s="41"/>
      <c r="G86" s="6"/>
      <c r="K86" s="41"/>
      <c r="L86" s="41"/>
      <c r="M86" s="6"/>
      <c r="Q86" s="41"/>
      <c r="R86" s="41"/>
      <c r="S86" s="6"/>
      <c r="W86" s="41"/>
      <c r="X86" s="41"/>
      <c r="Y86" s="6"/>
      <c r="AC86" s="41"/>
      <c r="AD86" s="41"/>
      <c r="AE86" s="6"/>
      <c r="AI86" s="41"/>
      <c r="AJ86" s="41"/>
      <c r="AK86" s="6"/>
      <c r="AO86" s="41"/>
      <c r="AP86" s="41"/>
      <c r="AQ86" s="6"/>
      <c r="AU86" s="41"/>
      <c r="AV86" s="41"/>
      <c r="AW86" s="6"/>
      <c r="BA86" s="41"/>
      <c r="BB86" s="41"/>
      <c r="BC86" s="6"/>
      <c r="BG86" s="41"/>
      <c r="BH86" s="41"/>
      <c r="BI86" s="6"/>
      <c r="BM86" s="41"/>
      <c r="BN86" s="41"/>
      <c r="BO86" s="6"/>
      <c r="BS86" s="41"/>
      <c r="BT86" s="41"/>
    </row>
    <row r="87" spans="5:72" s="4" customFormat="1" x14ac:dyDescent="0.25">
      <c r="E87" s="41"/>
      <c r="F87" s="41"/>
      <c r="G87" s="6"/>
      <c r="K87" s="41"/>
      <c r="L87" s="41"/>
      <c r="M87" s="6"/>
      <c r="Q87" s="41"/>
      <c r="R87" s="41"/>
      <c r="S87" s="6"/>
      <c r="W87" s="41"/>
      <c r="X87" s="41"/>
      <c r="Y87" s="6"/>
      <c r="AC87" s="41"/>
      <c r="AD87" s="41"/>
      <c r="AE87" s="6"/>
      <c r="AI87" s="41"/>
      <c r="AJ87" s="41"/>
      <c r="AK87" s="6"/>
      <c r="AO87" s="41"/>
      <c r="AP87" s="41"/>
      <c r="AQ87" s="6"/>
      <c r="AU87" s="41"/>
      <c r="AV87" s="41"/>
      <c r="AW87" s="6"/>
      <c r="BA87" s="41"/>
      <c r="BB87" s="41"/>
      <c r="BC87" s="6"/>
      <c r="BG87" s="41"/>
      <c r="BH87" s="41"/>
      <c r="BI87" s="6"/>
      <c r="BM87" s="41"/>
      <c r="BN87" s="41"/>
      <c r="BO87" s="6"/>
      <c r="BS87" s="41"/>
      <c r="BT87" s="41"/>
    </row>
    <row r="88" spans="5:72" s="4" customFormat="1" x14ac:dyDescent="0.25">
      <c r="E88" s="41"/>
      <c r="F88" s="41"/>
      <c r="G88" s="6"/>
      <c r="K88" s="41"/>
      <c r="L88" s="41"/>
      <c r="M88" s="6"/>
      <c r="Q88" s="41"/>
      <c r="R88" s="41"/>
      <c r="S88" s="6"/>
      <c r="W88" s="41"/>
      <c r="X88" s="41"/>
      <c r="Y88" s="6"/>
      <c r="AC88" s="41"/>
      <c r="AD88" s="41"/>
      <c r="AE88" s="6"/>
      <c r="AI88" s="41"/>
      <c r="AJ88" s="41"/>
      <c r="AK88" s="6"/>
      <c r="AO88" s="41"/>
      <c r="AP88" s="41"/>
      <c r="AQ88" s="6"/>
      <c r="AU88" s="41"/>
      <c r="AV88" s="41"/>
      <c r="AW88" s="6"/>
      <c r="BA88" s="41"/>
      <c r="BB88" s="41"/>
      <c r="BC88" s="6"/>
      <c r="BG88" s="41"/>
      <c r="BH88" s="41"/>
      <c r="BI88" s="6"/>
      <c r="BM88" s="41"/>
      <c r="BN88" s="41"/>
      <c r="BO88" s="6"/>
      <c r="BS88" s="41"/>
      <c r="BT88" s="41"/>
    </row>
    <row r="89" spans="5:72" s="4" customFormat="1" x14ac:dyDescent="0.25">
      <c r="E89" s="41"/>
      <c r="F89" s="41"/>
      <c r="G89" s="6"/>
      <c r="K89" s="41"/>
      <c r="L89" s="41"/>
      <c r="M89" s="6"/>
      <c r="Q89" s="41"/>
      <c r="R89" s="41"/>
      <c r="S89" s="6"/>
      <c r="W89" s="41"/>
      <c r="X89" s="41"/>
      <c r="Y89" s="6"/>
      <c r="AC89" s="41"/>
      <c r="AD89" s="41"/>
      <c r="AE89" s="6"/>
      <c r="AI89" s="41"/>
      <c r="AJ89" s="41"/>
      <c r="AK89" s="6"/>
      <c r="AO89" s="41"/>
      <c r="AP89" s="41"/>
      <c r="AQ89" s="6"/>
      <c r="AU89" s="41"/>
      <c r="AV89" s="41"/>
      <c r="AW89" s="6"/>
      <c r="BA89" s="41"/>
      <c r="BB89" s="41"/>
      <c r="BC89" s="6"/>
      <c r="BG89" s="41"/>
      <c r="BH89" s="41"/>
      <c r="BI89" s="6"/>
      <c r="BM89" s="41"/>
      <c r="BN89" s="41"/>
      <c r="BO89" s="6"/>
      <c r="BS89" s="41"/>
      <c r="BT89" s="41"/>
    </row>
    <row r="90" spans="5:72" s="4" customFormat="1" x14ac:dyDescent="0.25">
      <c r="E90" s="41"/>
      <c r="F90" s="41"/>
      <c r="G90" s="6"/>
      <c r="K90" s="41"/>
      <c r="L90" s="41"/>
      <c r="M90" s="6"/>
      <c r="Q90" s="41"/>
      <c r="R90" s="41"/>
      <c r="S90" s="6"/>
      <c r="W90" s="41"/>
      <c r="X90" s="41"/>
      <c r="Y90" s="6"/>
      <c r="AC90" s="41"/>
      <c r="AD90" s="41"/>
      <c r="AE90" s="6"/>
      <c r="AI90" s="41"/>
      <c r="AJ90" s="41"/>
      <c r="AK90" s="6"/>
      <c r="AO90" s="41"/>
      <c r="AP90" s="41"/>
      <c r="AQ90" s="6"/>
      <c r="AU90" s="41"/>
      <c r="AV90" s="41"/>
      <c r="AW90" s="6"/>
      <c r="BA90" s="41"/>
      <c r="BB90" s="41"/>
      <c r="BC90" s="6"/>
      <c r="BG90" s="41"/>
      <c r="BH90" s="41"/>
      <c r="BI90" s="6"/>
      <c r="BM90" s="41"/>
      <c r="BN90" s="41"/>
      <c r="BO90" s="6"/>
      <c r="BS90" s="41"/>
      <c r="BT90" s="41"/>
    </row>
    <row r="91" spans="5:72" s="4" customFormat="1" x14ac:dyDescent="0.25">
      <c r="E91" s="41"/>
      <c r="F91" s="41"/>
      <c r="G91" s="6"/>
      <c r="K91" s="41"/>
      <c r="L91" s="41"/>
      <c r="M91" s="6"/>
      <c r="Q91" s="41"/>
      <c r="R91" s="41"/>
      <c r="S91" s="6"/>
      <c r="W91" s="41"/>
      <c r="X91" s="41"/>
      <c r="Y91" s="6"/>
      <c r="AC91" s="41"/>
      <c r="AD91" s="41"/>
      <c r="AE91" s="6"/>
      <c r="AI91" s="41"/>
      <c r="AJ91" s="41"/>
      <c r="AK91" s="6"/>
      <c r="AO91" s="41"/>
      <c r="AP91" s="41"/>
      <c r="AQ91" s="6"/>
      <c r="AU91" s="41"/>
      <c r="AV91" s="41"/>
      <c r="AW91" s="6"/>
      <c r="BA91" s="41"/>
      <c r="BB91" s="41"/>
      <c r="BC91" s="6"/>
      <c r="BG91" s="41"/>
      <c r="BH91" s="41"/>
      <c r="BI91" s="6"/>
      <c r="BM91" s="41"/>
      <c r="BN91" s="41"/>
      <c r="BO91" s="6"/>
      <c r="BS91" s="41"/>
      <c r="BT91" s="41"/>
    </row>
    <row r="92" spans="5:72" s="4" customFormat="1" x14ac:dyDescent="0.25">
      <c r="E92" s="41"/>
      <c r="F92" s="41"/>
      <c r="G92" s="6"/>
      <c r="K92" s="41"/>
      <c r="L92" s="41"/>
      <c r="M92" s="6"/>
      <c r="Q92" s="41"/>
      <c r="R92" s="41"/>
      <c r="S92" s="6"/>
      <c r="W92" s="41"/>
      <c r="X92" s="41"/>
      <c r="Y92" s="6"/>
      <c r="AC92" s="41"/>
      <c r="AD92" s="41"/>
      <c r="AE92" s="6"/>
      <c r="AI92" s="41"/>
      <c r="AJ92" s="41"/>
      <c r="AK92" s="6"/>
      <c r="AO92" s="41"/>
      <c r="AP92" s="41"/>
      <c r="AQ92" s="6"/>
      <c r="AU92" s="41"/>
      <c r="AV92" s="41"/>
      <c r="AW92" s="6"/>
      <c r="BA92" s="41"/>
      <c r="BB92" s="41"/>
      <c r="BC92" s="6"/>
      <c r="BG92" s="41"/>
      <c r="BH92" s="41"/>
      <c r="BI92" s="6"/>
      <c r="BM92" s="41"/>
      <c r="BN92" s="41"/>
      <c r="BO92" s="6"/>
      <c r="BS92" s="41"/>
      <c r="BT92" s="41"/>
    </row>
    <row r="93" spans="5:72" s="4" customFormat="1" x14ac:dyDescent="0.25">
      <c r="E93" s="41"/>
      <c r="F93" s="41"/>
      <c r="G93" s="6"/>
      <c r="K93" s="41"/>
      <c r="L93" s="41"/>
      <c r="M93" s="6"/>
      <c r="Q93" s="41"/>
      <c r="R93" s="41"/>
      <c r="S93" s="6"/>
      <c r="W93" s="41"/>
      <c r="X93" s="41"/>
      <c r="Y93" s="6"/>
      <c r="AC93" s="41"/>
      <c r="AD93" s="41"/>
      <c r="AE93" s="6"/>
      <c r="AI93" s="41"/>
      <c r="AJ93" s="41"/>
      <c r="AK93" s="6"/>
      <c r="AO93" s="41"/>
      <c r="AP93" s="41"/>
      <c r="AQ93" s="6"/>
      <c r="AU93" s="41"/>
      <c r="AV93" s="41"/>
      <c r="AW93" s="6"/>
      <c r="BA93" s="41"/>
      <c r="BB93" s="41"/>
      <c r="BC93" s="6"/>
      <c r="BG93" s="41"/>
      <c r="BH93" s="41"/>
      <c r="BI93" s="6"/>
      <c r="BM93" s="41"/>
      <c r="BN93" s="41"/>
      <c r="BO93" s="6"/>
      <c r="BS93" s="41"/>
      <c r="BT93" s="41"/>
    </row>
    <row r="94" spans="5:72" s="4" customFormat="1" x14ac:dyDescent="0.25">
      <c r="E94" s="41"/>
      <c r="F94" s="41"/>
      <c r="G94" s="6"/>
      <c r="K94" s="41"/>
      <c r="L94" s="41"/>
      <c r="M94" s="6"/>
      <c r="Q94" s="41"/>
      <c r="R94" s="41"/>
      <c r="S94" s="6"/>
      <c r="W94" s="41"/>
      <c r="X94" s="41"/>
      <c r="Y94" s="6"/>
      <c r="AC94" s="41"/>
      <c r="AD94" s="41"/>
      <c r="AE94" s="6"/>
      <c r="AI94" s="41"/>
      <c r="AJ94" s="41"/>
      <c r="AK94" s="6"/>
      <c r="AO94" s="41"/>
      <c r="AP94" s="41"/>
      <c r="AQ94" s="6"/>
      <c r="AU94" s="41"/>
      <c r="AV94" s="41"/>
      <c r="AW94" s="6"/>
      <c r="BA94" s="41"/>
      <c r="BB94" s="41"/>
      <c r="BC94" s="6"/>
      <c r="BG94" s="41"/>
      <c r="BH94" s="41"/>
      <c r="BI94" s="6"/>
      <c r="BM94" s="41"/>
      <c r="BN94" s="41"/>
      <c r="BO94" s="6"/>
      <c r="BS94" s="41"/>
      <c r="BT94" s="41"/>
    </row>
    <row r="95" spans="5:72" s="4" customFormat="1" x14ac:dyDescent="0.25">
      <c r="E95" s="41"/>
      <c r="F95" s="41"/>
      <c r="G95" s="6"/>
      <c r="K95" s="41"/>
      <c r="L95" s="41"/>
      <c r="M95" s="6"/>
      <c r="Q95" s="41"/>
      <c r="R95" s="41"/>
      <c r="S95" s="6"/>
      <c r="W95" s="41"/>
      <c r="X95" s="41"/>
      <c r="Y95" s="6"/>
      <c r="AC95" s="41"/>
      <c r="AD95" s="41"/>
      <c r="AE95" s="6"/>
      <c r="AI95" s="41"/>
      <c r="AJ95" s="41"/>
      <c r="AK95" s="6"/>
      <c r="AO95" s="41"/>
      <c r="AP95" s="41"/>
      <c r="AQ95" s="6"/>
      <c r="AU95" s="41"/>
      <c r="AV95" s="41"/>
      <c r="AW95" s="6"/>
      <c r="BA95" s="41"/>
      <c r="BB95" s="41"/>
      <c r="BC95" s="6"/>
      <c r="BG95" s="41"/>
      <c r="BH95" s="41"/>
      <c r="BI95" s="6"/>
      <c r="BM95" s="41"/>
      <c r="BN95" s="41"/>
      <c r="BO95" s="6"/>
      <c r="BS95" s="41"/>
      <c r="BT95" s="41"/>
    </row>
    <row r="96" spans="5:72" s="4" customFormat="1" x14ac:dyDescent="0.25">
      <c r="E96" s="41"/>
      <c r="F96" s="41"/>
      <c r="G96" s="6"/>
      <c r="K96" s="41"/>
      <c r="L96" s="41"/>
      <c r="M96" s="6"/>
      <c r="Q96" s="41"/>
      <c r="R96" s="41"/>
      <c r="S96" s="6"/>
      <c r="W96" s="41"/>
      <c r="X96" s="41"/>
      <c r="Y96" s="6"/>
      <c r="AC96" s="41"/>
      <c r="AD96" s="41"/>
      <c r="AE96" s="6"/>
      <c r="AI96" s="41"/>
      <c r="AJ96" s="41"/>
      <c r="AK96" s="6"/>
      <c r="AO96" s="41"/>
      <c r="AP96" s="41"/>
      <c r="AQ96" s="6"/>
      <c r="AU96" s="41"/>
      <c r="AV96" s="41"/>
      <c r="AW96" s="6"/>
      <c r="BA96" s="41"/>
      <c r="BB96" s="41"/>
      <c r="BC96" s="6"/>
      <c r="BG96" s="41"/>
      <c r="BH96" s="41"/>
      <c r="BI96" s="6"/>
      <c r="BM96" s="41"/>
      <c r="BN96" s="41"/>
      <c r="BO96" s="6"/>
      <c r="BS96" s="41"/>
      <c r="BT96" s="41"/>
    </row>
    <row r="97" spans="5:72" s="4" customFormat="1" x14ac:dyDescent="0.25">
      <c r="E97" s="41"/>
      <c r="F97" s="41"/>
      <c r="G97" s="6"/>
      <c r="K97" s="41"/>
      <c r="L97" s="41"/>
      <c r="M97" s="6"/>
      <c r="Q97" s="41"/>
      <c r="R97" s="41"/>
      <c r="S97" s="6"/>
      <c r="W97" s="41"/>
      <c r="X97" s="41"/>
      <c r="Y97" s="6"/>
      <c r="AC97" s="41"/>
      <c r="AD97" s="41"/>
      <c r="AE97" s="6"/>
      <c r="AI97" s="41"/>
      <c r="AJ97" s="41"/>
      <c r="AK97" s="6"/>
      <c r="AO97" s="41"/>
      <c r="AP97" s="41"/>
      <c r="AQ97" s="6"/>
      <c r="AU97" s="41"/>
      <c r="AV97" s="41"/>
      <c r="AW97" s="6"/>
      <c r="BA97" s="41"/>
      <c r="BB97" s="41"/>
      <c r="BC97" s="6"/>
      <c r="BG97" s="41"/>
      <c r="BH97" s="41"/>
      <c r="BI97" s="6"/>
      <c r="BM97" s="41"/>
      <c r="BN97" s="41"/>
      <c r="BO97" s="6"/>
      <c r="BS97" s="41"/>
      <c r="BT97" s="41"/>
    </row>
    <row r="98" spans="5:72" s="4" customFormat="1" x14ac:dyDescent="0.25">
      <c r="E98" s="41"/>
      <c r="F98" s="41"/>
      <c r="G98" s="6"/>
      <c r="K98" s="41"/>
      <c r="L98" s="41"/>
      <c r="M98" s="6"/>
      <c r="Q98" s="41"/>
      <c r="R98" s="41"/>
      <c r="S98" s="6"/>
      <c r="W98" s="41"/>
      <c r="X98" s="41"/>
      <c r="Y98" s="6"/>
      <c r="AC98" s="41"/>
      <c r="AD98" s="41"/>
      <c r="AE98" s="6"/>
      <c r="AI98" s="41"/>
      <c r="AJ98" s="41"/>
      <c r="AK98" s="6"/>
      <c r="AO98" s="41"/>
      <c r="AP98" s="41"/>
      <c r="AQ98" s="6"/>
      <c r="AU98" s="41"/>
      <c r="AV98" s="41"/>
      <c r="AW98" s="6"/>
      <c r="BA98" s="41"/>
      <c r="BB98" s="41"/>
      <c r="BC98" s="6"/>
      <c r="BG98" s="41"/>
      <c r="BH98" s="41"/>
      <c r="BI98" s="6"/>
      <c r="BM98" s="41"/>
      <c r="BN98" s="41"/>
      <c r="BO98" s="6"/>
      <c r="BS98" s="41"/>
      <c r="BT98" s="41"/>
    </row>
  </sheetData>
  <mergeCells count="73">
    <mergeCell ref="K51:L51"/>
    <mergeCell ref="B3:F3"/>
    <mergeCell ref="B46:F46"/>
    <mergeCell ref="E48:F48"/>
    <mergeCell ref="E49:F49"/>
    <mergeCell ref="E50:F50"/>
    <mergeCell ref="E51:F51"/>
    <mergeCell ref="H3:L3"/>
    <mergeCell ref="H46:L46"/>
    <mergeCell ref="K48:L48"/>
    <mergeCell ref="K49:L49"/>
    <mergeCell ref="K50:L50"/>
    <mergeCell ref="W51:X51"/>
    <mergeCell ref="N3:R3"/>
    <mergeCell ref="N46:R46"/>
    <mergeCell ref="Q48:R48"/>
    <mergeCell ref="Q49:R49"/>
    <mergeCell ref="Q50:R50"/>
    <mergeCell ref="Q51:R51"/>
    <mergeCell ref="T3:X3"/>
    <mergeCell ref="T46:X46"/>
    <mergeCell ref="W48:X48"/>
    <mergeCell ref="W49:X49"/>
    <mergeCell ref="W50:X50"/>
    <mergeCell ref="AI51:AJ51"/>
    <mergeCell ref="Z3:AD3"/>
    <mergeCell ref="Z46:AD46"/>
    <mergeCell ref="AC48:AD48"/>
    <mergeCell ref="AC49:AD49"/>
    <mergeCell ref="AC50:AD50"/>
    <mergeCell ref="AC51:AD51"/>
    <mergeCell ref="AF3:AJ3"/>
    <mergeCell ref="AF46:AJ46"/>
    <mergeCell ref="AI48:AJ48"/>
    <mergeCell ref="AI49:AJ49"/>
    <mergeCell ref="AI50:AJ50"/>
    <mergeCell ref="AU51:AV51"/>
    <mergeCell ref="AL3:AP3"/>
    <mergeCell ref="AL46:AP46"/>
    <mergeCell ref="AO48:AP48"/>
    <mergeCell ref="AO49:AP49"/>
    <mergeCell ref="AO50:AP50"/>
    <mergeCell ref="AO51:AP51"/>
    <mergeCell ref="AR3:AV3"/>
    <mergeCell ref="AR46:AV46"/>
    <mergeCell ref="AU48:AV48"/>
    <mergeCell ref="AU49:AV49"/>
    <mergeCell ref="AU50:AV50"/>
    <mergeCell ref="BA48:BB48"/>
    <mergeCell ref="BA49:BB49"/>
    <mergeCell ref="BA50:BB50"/>
    <mergeCell ref="BA51:BB51"/>
    <mergeCell ref="BD3:BH3"/>
    <mergeCell ref="BD46:BH46"/>
    <mergeCell ref="BG48:BH48"/>
    <mergeCell ref="BG49:BH49"/>
    <mergeCell ref="BG50:BH50"/>
    <mergeCell ref="A1:CJ1"/>
    <mergeCell ref="BS51:BT51"/>
    <mergeCell ref="BJ3:BN3"/>
    <mergeCell ref="BJ46:BN46"/>
    <mergeCell ref="BM48:BN48"/>
    <mergeCell ref="BM49:BN49"/>
    <mergeCell ref="BM50:BN50"/>
    <mergeCell ref="BM51:BN51"/>
    <mergeCell ref="BP3:BT3"/>
    <mergeCell ref="BP46:BT46"/>
    <mergeCell ref="BS48:BT48"/>
    <mergeCell ref="BS49:BT49"/>
    <mergeCell ref="BS50:BT50"/>
    <mergeCell ref="BG51:BH51"/>
    <mergeCell ref="AX3:BB3"/>
    <mergeCell ref="AX46:BB46"/>
  </mergeCells>
  <dataValidations count="1">
    <dataValidation type="list" allowBlank="1" showInputMessage="1" showErrorMessage="1" sqref="J5:J44 BR5:BR44 BL5:BL44 BF5:BF44 AZ5:AZ44 AT5:AT44 AN5:AN44 AH5:AH44 AB5:AB44 V5:V44 P5:P44">
      <formula1>$D$3:$D$52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25">
        <x14:dataValidation type="list" allowBlank="1" showInputMessage="1" showErrorMessage="1">
          <x14:formula1>
            <xm:f>Inventário!$D$4:$D$53</xm:f>
          </x14:formula1>
          <xm:sqref>D5:D44</xm:sqref>
        </x14:dataValidation>
        <x14:dataValidation type="list" allowBlank="1" showInputMessage="1" showErrorMessage="1">
          <x14:formula1>
            <xm:f>Inventário!AZ48:AZ97</xm:f>
          </x14:formula1>
          <xm:sqref>AZ45:AZ1048576</xm:sqref>
        </x14:dataValidation>
        <x14:dataValidation type="list" allowBlank="1" showInputMessage="1" showErrorMessage="1">
          <x14:formula1>
            <xm:f>Inventário!BR48:BR97</xm:f>
          </x14:formula1>
          <xm:sqref>BR45:BR1048576</xm:sqref>
        </x14:dataValidation>
        <x14:dataValidation type="list" allowBlank="1" showInputMessage="1" showErrorMessage="1">
          <x14:formula1>
            <xm:f>Inventário!D48:D97</xm:f>
          </x14:formula1>
          <xm:sqref>D45:D1048576</xm:sqref>
        </x14:dataValidation>
        <x14:dataValidation type="list" allowBlank="1" showInputMessage="1" showErrorMessage="1">
          <x14:formula1>
            <xm:f>Inventário!AT48:AT97</xm:f>
          </x14:formula1>
          <xm:sqref>AT45:AT1048576</xm:sqref>
        </x14:dataValidation>
        <x14:dataValidation type="list" allowBlank="1" showInputMessage="1" showErrorMessage="1">
          <x14:formula1>
            <xm:f>Inventário!AN48:AN97</xm:f>
          </x14:formula1>
          <xm:sqref>AN45:AN1048576</xm:sqref>
        </x14:dataValidation>
        <x14:dataValidation type="list" allowBlank="1" showInputMessage="1" showErrorMessage="1">
          <x14:formula1>
            <xm:f>Inventário!AH48:AH97</xm:f>
          </x14:formula1>
          <xm:sqref>AH45:AH1048576</xm:sqref>
        </x14:dataValidation>
        <x14:dataValidation type="list" allowBlank="1" showInputMessage="1" showErrorMessage="1">
          <x14:formula1>
            <xm:f>Inventário!AB48:AB97</xm:f>
          </x14:formula1>
          <xm:sqref>AB45:AB1048576</xm:sqref>
        </x14:dataValidation>
        <x14:dataValidation type="list" allowBlank="1" showInputMessage="1" showErrorMessage="1">
          <x14:formula1>
            <xm:f>Inventário!V48:V97</xm:f>
          </x14:formula1>
          <xm:sqref>V45:V1048576</xm:sqref>
        </x14:dataValidation>
        <x14:dataValidation type="list" allowBlank="1" showInputMessage="1" showErrorMessage="1">
          <x14:formula1>
            <xm:f>Inventário!P48:P97</xm:f>
          </x14:formula1>
          <xm:sqref>P45:P1048576</xm:sqref>
        </x14:dataValidation>
        <x14:dataValidation type="list" allowBlank="1" showInputMessage="1" showErrorMessage="1">
          <x14:formula1>
            <xm:f>Inventário!J48:J97</xm:f>
          </x14:formula1>
          <xm:sqref>J45:J1048576</xm:sqref>
        </x14:dataValidation>
        <x14:dataValidation type="list" allowBlank="1" showInputMessage="1" showErrorMessage="1">
          <x14:formula1>
            <xm:f>Inventário!BF48:BF97</xm:f>
          </x14:formula1>
          <xm:sqref>BF45:BF1048576</xm:sqref>
        </x14:dataValidation>
        <x14:dataValidation type="list" allowBlank="1" showInputMessage="1" showErrorMessage="1">
          <x14:formula1>
            <xm:f>Inventário!BL48:BL97</xm:f>
          </x14:formula1>
          <xm:sqref>BL45:BL1048576</xm:sqref>
        </x14:dataValidation>
        <x14:dataValidation type="list" allowBlank="1" showInputMessage="1" showErrorMessage="1">
          <x14:formula1>
            <xm:f>Inventário!BR6:BR55</xm:f>
          </x14:formula1>
          <xm:sqref>BR2:BR4</xm:sqref>
        </x14:dataValidation>
        <x14:dataValidation type="list" allowBlank="1" showInputMessage="1" showErrorMessage="1">
          <x14:formula1>
            <xm:f>Inventário!D6:D55</xm:f>
          </x14:formula1>
          <xm:sqref>D2:D4</xm:sqref>
        </x14:dataValidation>
        <x14:dataValidation type="list" allowBlank="1" showInputMessage="1" showErrorMessage="1">
          <x14:formula1>
            <xm:f>Inventário!J6:J55</xm:f>
          </x14:formula1>
          <xm:sqref>J2:J4</xm:sqref>
        </x14:dataValidation>
        <x14:dataValidation type="list" allowBlank="1" showInputMessage="1" showErrorMessage="1">
          <x14:formula1>
            <xm:f>Inventário!P6:P55</xm:f>
          </x14:formula1>
          <xm:sqref>P2:P4</xm:sqref>
        </x14:dataValidation>
        <x14:dataValidation type="list" allowBlank="1" showInputMessage="1" showErrorMessage="1">
          <x14:formula1>
            <xm:f>Inventário!V6:V55</xm:f>
          </x14:formula1>
          <xm:sqref>V2:V4</xm:sqref>
        </x14:dataValidation>
        <x14:dataValidation type="list" allowBlank="1" showInputMessage="1" showErrorMessage="1">
          <x14:formula1>
            <xm:f>Inventário!AB6:AB55</xm:f>
          </x14:formula1>
          <xm:sqref>AB2:AB4</xm:sqref>
        </x14:dataValidation>
        <x14:dataValidation type="list" allowBlank="1" showInputMessage="1" showErrorMessage="1">
          <x14:formula1>
            <xm:f>Inventário!AH6:AH55</xm:f>
          </x14:formula1>
          <xm:sqref>AH2:AH4</xm:sqref>
        </x14:dataValidation>
        <x14:dataValidation type="list" allowBlank="1" showInputMessage="1" showErrorMessage="1">
          <x14:formula1>
            <xm:f>Inventário!AN6:AN55</xm:f>
          </x14:formula1>
          <xm:sqref>AN2:AN4</xm:sqref>
        </x14:dataValidation>
        <x14:dataValidation type="list" allowBlank="1" showInputMessage="1" showErrorMessage="1">
          <x14:formula1>
            <xm:f>Inventário!AT6:AT55</xm:f>
          </x14:formula1>
          <xm:sqref>AT2:AT4</xm:sqref>
        </x14:dataValidation>
        <x14:dataValidation type="list" allowBlank="1" showInputMessage="1" showErrorMessage="1">
          <x14:formula1>
            <xm:f>Inventário!AZ6:AZ55</xm:f>
          </x14:formula1>
          <xm:sqref>AZ2:AZ4</xm:sqref>
        </x14:dataValidation>
        <x14:dataValidation type="list" allowBlank="1" showInputMessage="1" showErrorMessage="1">
          <x14:formula1>
            <xm:f>Inventário!BF6:BF55</xm:f>
          </x14:formula1>
          <xm:sqref>BF2:BF4</xm:sqref>
        </x14:dataValidation>
        <x14:dataValidation type="list" allowBlank="1" showInputMessage="1" showErrorMessage="1">
          <x14:formula1>
            <xm:f>Inventário!BL6:BL55</xm:f>
          </x14:formula1>
          <xm:sqref>BL2:BL4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59"/>
  <sheetViews>
    <sheetView showGridLines="0" zoomScaleNormal="100" workbookViewId="0">
      <selection sqref="A1:L1"/>
    </sheetView>
  </sheetViews>
  <sheetFormatPr defaultRowHeight="15" x14ac:dyDescent="0.25"/>
  <cols>
    <col min="2" max="2" width="9.140625" style="22" bestFit="1" customWidth="1"/>
    <col min="3" max="3" width="31.85546875" customWidth="1"/>
    <col min="4" max="4" width="15.28515625" style="43" customWidth="1"/>
    <col min="5" max="6" width="15.28515625" style="47" customWidth="1"/>
    <col min="7" max="10" width="15.28515625" style="43" customWidth="1"/>
    <col min="11" max="54" width="15.28515625" style="5" customWidth="1"/>
    <col min="57" max="57" width="9.140625" style="4"/>
    <col min="58" max="58" width="15" style="4" bestFit="1" customWidth="1"/>
  </cols>
  <sheetData>
    <row r="1" spans="1:97" s="78" customFormat="1" ht="36" customHeight="1" x14ac:dyDescent="0.25">
      <c r="A1" s="90" t="s">
        <v>38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0"/>
      <c r="BS1" s="80"/>
      <c r="BT1" s="80"/>
      <c r="BU1" s="80"/>
      <c r="BV1" s="80"/>
      <c r="BW1" s="80"/>
      <c r="BX1" s="80"/>
      <c r="BY1" s="80"/>
      <c r="BZ1" s="80"/>
      <c r="CA1" s="80"/>
      <c r="CB1" s="80"/>
      <c r="CC1" s="80"/>
      <c r="CD1" s="80"/>
      <c r="CE1" s="80"/>
      <c r="CF1" s="80"/>
      <c r="CG1" s="80"/>
      <c r="CH1" s="80"/>
      <c r="CI1" s="80"/>
      <c r="CJ1" s="80"/>
      <c r="CK1" s="80"/>
      <c r="CL1" s="80"/>
      <c r="CM1" s="80"/>
      <c r="CN1" s="80"/>
      <c r="CO1" s="80"/>
      <c r="CP1" s="80"/>
      <c r="CQ1" s="80"/>
      <c r="CR1" s="80"/>
      <c r="CS1" s="80"/>
    </row>
    <row r="2" spans="1:97" ht="10.5" customHeight="1" thickBot="1" x14ac:dyDescent="0.3"/>
    <row r="3" spans="1:97" s="2" customFormat="1" ht="25.5" customHeight="1" thickBot="1" x14ac:dyDescent="0.3">
      <c r="B3" s="24"/>
      <c r="C3" s="23"/>
      <c r="D3" s="23"/>
      <c r="E3" s="48"/>
      <c r="F3" s="48"/>
      <c r="G3" s="98" t="s">
        <v>6</v>
      </c>
      <c r="H3" s="99"/>
      <c r="I3" s="99"/>
      <c r="J3" s="100"/>
      <c r="K3" s="98" t="s">
        <v>9</v>
      </c>
      <c r="L3" s="99"/>
      <c r="M3" s="99"/>
      <c r="N3" s="100"/>
      <c r="O3" s="98" t="s">
        <v>10</v>
      </c>
      <c r="P3" s="99"/>
      <c r="Q3" s="99"/>
      <c r="R3" s="100"/>
      <c r="S3" s="98" t="s">
        <v>11</v>
      </c>
      <c r="T3" s="99"/>
      <c r="U3" s="99"/>
      <c r="V3" s="100"/>
      <c r="W3" s="98" t="s">
        <v>12</v>
      </c>
      <c r="X3" s="99"/>
      <c r="Y3" s="99"/>
      <c r="Z3" s="100"/>
      <c r="AA3" s="98" t="s">
        <v>13</v>
      </c>
      <c r="AB3" s="99"/>
      <c r="AC3" s="99"/>
      <c r="AD3" s="100"/>
      <c r="AE3" s="98" t="s">
        <v>14</v>
      </c>
      <c r="AF3" s="99"/>
      <c r="AG3" s="99"/>
      <c r="AH3" s="100"/>
      <c r="AI3" s="98" t="s">
        <v>15</v>
      </c>
      <c r="AJ3" s="99"/>
      <c r="AK3" s="99"/>
      <c r="AL3" s="100"/>
      <c r="AM3" s="98" t="s">
        <v>16</v>
      </c>
      <c r="AN3" s="99"/>
      <c r="AO3" s="99"/>
      <c r="AP3" s="100"/>
      <c r="AQ3" s="98" t="s">
        <v>17</v>
      </c>
      <c r="AR3" s="99"/>
      <c r="AS3" s="99"/>
      <c r="AT3" s="100"/>
      <c r="AU3" s="98" t="s">
        <v>18</v>
      </c>
      <c r="AV3" s="99"/>
      <c r="AW3" s="99"/>
      <c r="AX3" s="100"/>
      <c r="AY3" s="98" t="s">
        <v>19</v>
      </c>
      <c r="AZ3" s="99"/>
      <c r="BA3" s="99"/>
      <c r="BB3" s="100"/>
      <c r="BE3" s="6"/>
      <c r="BF3" s="6"/>
    </row>
    <row r="4" spans="1:97" s="14" customFormat="1" ht="9" customHeight="1" x14ac:dyDescent="0.25">
      <c r="B4" s="25"/>
      <c r="C4" s="15"/>
      <c r="D4" s="15"/>
      <c r="E4" s="49"/>
      <c r="F4" s="49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E4" s="70"/>
      <c r="BF4" s="70"/>
    </row>
    <row r="5" spans="1:97" s="14" customFormat="1" ht="6.75" customHeight="1" x14ac:dyDescent="0.25">
      <c r="B5" s="52"/>
      <c r="C5" s="58"/>
      <c r="D5" s="101" t="s">
        <v>31</v>
      </c>
      <c r="E5" s="102" t="s">
        <v>32</v>
      </c>
      <c r="F5" s="102" t="s">
        <v>34</v>
      </c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E5" s="70"/>
      <c r="BF5" s="70"/>
    </row>
    <row r="6" spans="1:97" s="66" customFormat="1" ht="27" customHeight="1" x14ac:dyDescent="0.25">
      <c r="A6" s="62"/>
      <c r="B6" s="52"/>
      <c r="C6" s="42"/>
      <c r="D6" s="101"/>
      <c r="E6" s="102"/>
      <c r="F6" s="102"/>
      <c r="G6" s="63" t="s">
        <v>1</v>
      </c>
      <c r="H6" s="64" t="s">
        <v>2</v>
      </c>
      <c r="I6" s="64" t="s">
        <v>29</v>
      </c>
      <c r="J6" s="65" t="s">
        <v>30</v>
      </c>
      <c r="K6" s="64" t="s">
        <v>1</v>
      </c>
      <c r="L6" s="64" t="s">
        <v>2</v>
      </c>
      <c r="M6" s="64" t="s">
        <v>29</v>
      </c>
      <c r="N6" s="65" t="s">
        <v>30</v>
      </c>
      <c r="O6" s="64" t="s">
        <v>1</v>
      </c>
      <c r="P6" s="64" t="s">
        <v>2</v>
      </c>
      <c r="Q6" s="64" t="s">
        <v>29</v>
      </c>
      <c r="R6" s="65" t="s">
        <v>30</v>
      </c>
      <c r="S6" s="64" t="s">
        <v>1</v>
      </c>
      <c r="T6" s="64" t="s">
        <v>2</v>
      </c>
      <c r="U6" s="64" t="s">
        <v>29</v>
      </c>
      <c r="V6" s="65" t="s">
        <v>30</v>
      </c>
      <c r="W6" s="64" t="s">
        <v>1</v>
      </c>
      <c r="X6" s="64" t="s">
        <v>2</v>
      </c>
      <c r="Y6" s="64" t="s">
        <v>29</v>
      </c>
      <c r="Z6" s="65" t="s">
        <v>30</v>
      </c>
      <c r="AA6" s="64" t="s">
        <v>1</v>
      </c>
      <c r="AB6" s="64" t="s">
        <v>2</v>
      </c>
      <c r="AC6" s="64" t="s">
        <v>29</v>
      </c>
      <c r="AD6" s="65" t="s">
        <v>30</v>
      </c>
      <c r="AE6" s="64" t="s">
        <v>1</v>
      </c>
      <c r="AF6" s="64" t="s">
        <v>2</v>
      </c>
      <c r="AG6" s="64" t="s">
        <v>29</v>
      </c>
      <c r="AH6" s="65" t="s">
        <v>30</v>
      </c>
      <c r="AI6" s="64" t="s">
        <v>1</v>
      </c>
      <c r="AJ6" s="64" t="s">
        <v>2</v>
      </c>
      <c r="AK6" s="64" t="s">
        <v>29</v>
      </c>
      <c r="AL6" s="65" t="s">
        <v>30</v>
      </c>
      <c r="AM6" s="64" t="s">
        <v>1</v>
      </c>
      <c r="AN6" s="64" t="s">
        <v>2</v>
      </c>
      <c r="AO6" s="64" t="s">
        <v>29</v>
      </c>
      <c r="AP6" s="65" t="s">
        <v>30</v>
      </c>
      <c r="AQ6" s="64" t="s">
        <v>1</v>
      </c>
      <c r="AR6" s="64" t="s">
        <v>2</v>
      </c>
      <c r="AS6" s="64" t="s">
        <v>29</v>
      </c>
      <c r="AT6" s="65" t="s">
        <v>30</v>
      </c>
      <c r="AU6" s="64" t="s">
        <v>1</v>
      </c>
      <c r="AV6" s="64" t="s">
        <v>2</v>
      </c>
      <c r="AW6" s="64" t="s">
        <v>29</v>
      </c>
      <c r="AX6" s="65" t="s">
        <v>30</v>
      </c>
      <c r="AY6" s="64" t="s">
        <v>1</v>
      </c>
      <c r="AZ6" s="64" t="s">
        <v>2</v>
      </c>
      <c r="BA6" s="64" t="s">
        <v>29</v>
      </c>
      <c r="BB6" s="65" t="s">
        <v>30</v>
      </c>
    </row>
    <row r="7" spans="1:97" s="50" customFormat="1" ht="15.75" customHeight="1" x14ac:dyDescent="0.25">
      <c r="B7" s="52"/>
      <c r="C7" s="42"/>
      <c r="D7" s="53"/>
      <c r="E7" s="54"/>
      <c r="F7" s="54"/>
      <c r="G7" s="53"/>
      <c r="H7" s="53"/>
      <c r="I7" s="53"/>
      <c r="J7" s="53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74"/>
      <c r="BD7" s="74"/>
      <c r="BE7" s="74"/>
      <c r="BF7" s="74"/>
      <c r="BG7" s="74"/>
    </row>
    <row r="8" spans="1:97" s="12" customFormat="1" ht="15.75" customHeight="1" x14ac:dyDescent="0.25">
      <c r="A8" s="8"/>
      <c r="B8" s="27" t="str">
        <f>IF(Inventário!C4="","",Inventário!C4)</f>
        <v/>
      </c>
      <c r="C8" s="55" t="str">
        <f>IF(B8="","",VLOOKUP(B8,Inventário!$C$4:$D$53,2,FALSE))</f>
        <v/>
      </c>
      <c r="D8" s="59" t="str">
        <f>IF(B8="","",I8+M8+Q8+U8+Y8+AC8+AG8+AK8+AO8+AS8+AW8+BA8+Inventário!H4)</f>
        <v/>
      </c>
      <c r="E8" s="60" t="str">
        <f>IF(B8="","",IF(D8&lt;0,"-",(D8*Inventário!G4)))</f>
        <v/>
      </c>
      <c r="F8" s="60" t="str">
        <f>IF(B8="","",IF(D8&gt;Inventário!I4,"NÃO",CONCATENATE("SIM:"," ",Inventário!J4," ","unid")))</f>
        <v/>
      </c>
      <c r="G8" s="56">
        <f>SUMIF('Entradas e Saídas'!$D$5:$D$44,Controle!$C8,'Entradas e Saídas'!$E$5:$E$44)</f>
        <v>0</v>
      </c>
      <c r="H8" s="56">
        <f>SUMIF('Entradas e Saídas'!$D$5:$D$44,Controle!$C8,'Entradas e Saídas'!$F$5:$F$44)</f>
        <v>0</v>
      </c>
      <c r="I8" s="56">
        <f>G8-H8</f>
        <v>0</v>
      </c>
      <c r="J8" s="57">
        <f>I8*Inventário!$G4</f>
        <v>0</v>
      </c>
      <c r="K8" s="56">
        <f>SUMIF('Entradas e Saídas'!$J$5:$J$44,Controle!$C8,'Entradas e Saídas'!$K$5:$K$44)</f>
        <v>0</v>
      </c>
      <c r="L8" s="56">
        <f>SUMIF('Entradas e Saídas'!$J$5:$J$44,Controle!$C8,'Entradas e Saídas'!$L$5:$L$44)</f>
        <v>0</v>
      </c>
      <c r="M8" s="56">
        <f>K8-L8</f>
        <v>0</v>
      </c>
      <c r="N8" s="57">
        <f>M8*Inventário!$G4</f>
        <v>0</v>
      </c>
      <c r="O8" s="56">
        <f>SUMIF('Entradas e Saídas'!$P$5:$P$44,Controle!$C8,'Entradas e Saídas'!$Q$5:$Q$44)</f>
        <v>0</v>
      </c>
      <c r="P8" s="56">
        <f>SUMIF('Entradas e Saídas'!$P$5:$P$44,Controle!$C8,'Entradas e Saídas'!$R$5:$R$44)</f>
        <v>0</v>
      </c>
      <c r="Q8" s="56">
        <f>O8-P8</f>
        <v>0</v>
      </c>
      <c r="R8" s="57">
        <f>Q8*Inventário!$G4</f>
        <v>0</v>
      </c>
      <c r="S8" s="56">
        <f>SUMIF('Entradas e Saídas'!$V$5:$V$44,Controle!$C8,'Entradas e Saídas'!$W$5:$W$44)</f>
        <v>0</v>
      </c>
      <c r="T8" s="56">
        <f>SUMIF('Entradas e Saídas'!$V$5:$V$44,Controle!$C8,'Entradas e Saídas'!$X$5:$X$44)</f>
        <v>0</v>
      </c>
      <c r="U8" s="56">
        <f>S8-T8</f>
        <v>0</v>
      </c>
      <c r="V8" s="57">
        <f>U8*Inventário!$G4</f>
        <v>0</v>
      </c>
      <c r="W8" s="56">
        <f>SUMIF('Entradas e Saídas'!$AB$5:$AB$44,Controle!$C8,'Entradas e Saídas'!$AC$5:$AC$44)</f>
        <v>0</v>
      </c>
      <c r="X8" s="56">
        <f>SUMIF('Entradas e Saídas'!$AB$5:$AB$44,Controle!$C8,'Entradas e Saídas'!$AD$5:$AD$44)</f>
        <v>0</v>
      </c>
      <c r="Y8" s="56">
        <f>W8-X8</f>
        <v>0</v>
      </c>
      <c r="Z8" s="57">
        <f>Y8*Inventário!$G4</f>
        <v>0</v>
      </c>
      <c r="AA8" s="56">
        <f>SUMIF('Entradas e Saídas'!$AH$5:$AH$44,Controle!$C8,'Entradas e Saídas'!$AI$5:$AI$44)</f>
        <v>0</v>
      </c>
      <c r="AB8" s="56">
        <f>SUMIF('Entradas e Saídas'!$AH$5:$AH$44,Controle!$C8,'Entradas e Saídas'!$AJ$5:$AJ$44)</f>
        <v>0</v>
      </c>
      <c r="AC8" s="56">
        <f>AA8-AB8</f>
        <v>0</v>
      </c>
      <c r="AD8" s="57">
        <f>AC8*Inventário!$G4</f>
        <v>0</v>
      </c>
      <c r="AE8" s="56">
        <f>SUMIF('Entradas e Saídas'!$AN$5:$AN$44,Controle!$C8,'Entradas e Saídas'!$AO$5:$AO$44)</f>
        <v>0</v>
      </c>
      <c r="AF8" s="56">
        <f>SUMIF('Entradas e Saídas'!$AH$5:$AH$44,Controle!$C8,'Entradas e Saídas'!$AP$5:$AP$44)</f>
        <v>0</v>
      </c>
      <c r="AG8" s="56">
        <f>AE8-AF8</f>
        <v>0</v>
      </c>
      <c r="AH8" s="57">
        <f>AG8*Inventário!$G4</f>
        <v>0</v>
      </c>
      <c r="AI8" s="56">
        <f>SUMIF('Entradas e Saídas'!$AT$5:$AT$44,Controle!$C8,'Entradas e Saídas'!$AU$5:$AU$44)</f>
        <v>0</v>
      </c>
      <c r="AJ8" s="56">
        <f>SUMIF('Entradas e Saídas'!$AT$5:$AT$44,Controle!$C8,'Entradas e Saídas'!$AV$5:$AV$44)</f>
        <v>0</v>
      </c>
      <c r="AK8" s="56">
        <f>AI8-AJ8</f>
        <v>0</v>
      </c>
      <c r="AL8" s="57">
        <f>AK8*Inventário!$G4</f>
        <v>0</v>
      </c>
      <c r="AM8" s="56">
        <f>SUMIF('Entradas e Saídas'!$AZ$5:$AZ$44,Controle!$C8,'Entradas e Saídas'!$BA$5:$BA$44)</f>
        <v>0</v>
      </c>
      <c r="AN8" s="56">
        <f>SUMIF('Entradas e Saídas'!$AZ$5:$AZ$44,Controle!$C8,'Entradas e Saídas'!$BB$5:$BB$44)</f>
        <v>0</v>
      </c>
      <c r="AO8" s="56">
        <f>AM8-AN8</f>
        <v>0</v>
      </c>
      <c r="AP8" s="57">
        <f>AO8*Inventário!$G4</f>
        <v>0</v>
      </c>
      <c r="AQ8" s="56">
        <f>SUMIF('Entradas e Saídas'!$BF$5:$BF$44,Controle!$C8,'Entradas e Saídas'!$BG$5:$BG$44)</f>
        <v>0</v>
      </c>
      <c r="AR8" s="56">
        <f>SUMIF('Entradas e Saídas'!$BF$5:$BF$44,Controle!$C8,'Entradas e Saídas'!$BH$5:$BH$44)</f>
        <v>0</v>
      </c>
      <c r="AS8" s="56">
        <f>AQ8-AR8</f>
        <v>0</v>
      </c>
      <c r="AT8" s="57">
        <f>AS8*Inventário!$G4</f>
        <v>0</v>
      </c>
      <c r="AU8" s="56">
        <f>SUMIF('Entradas e Saídas'!$BL$5:$BL$44,Controle!$C8,'Entradas e Saídas'!$BM$5:$BM$44)</f>
        <v>0</v>
      </c>
      <c r="AV8" s="56">
        <f>SUMIF('Entradas e Saídas'!$BL$5:$BL$44,Controle!$C8,'Entradas e Saídas'!$BN$5:$BN$44)</f>
        <v>0</v>
      </c>
      <c r="AW8" s="56">
        <f>AU8-AV8</f>
        <v>0</v>
      </c>
      <c r="AX8" s="57">
        <f>AW8*Inventário!$G4</f>
        <v>0</v>
      </c>
      <c r="AY8" s="56">
        <f>SUMIF('Entradas e Saídas'!$BR$5:$BR$44,Controle!$C8,'Entradas e Saídas'!$BS$5:$BS$44)</f>
        <v>0</v>
      </c>
      <c r="AZ8" s="56">
        <f>SUMIF('Entradas e Saídas'!$BR$5:$BR$44,Controle!$C8,'Entradas e Saídas'!$BT$5:$BT$44)</f>
        <v>0</v>
      </c>
      <c r="BA8" s="56">
        <f>AY8-AZ8</f>
        <v>0</v>
      </c>
      <c r="BB8" s="57">
        <f>BA8*Inventário!$G4</f>
        <v>0</v>
      </c>
      <c r="BC8" s="75"/>
      <c r="BD8" s="75"/>
      <c r="BE8" s="75"/>
      <c r="BF8" s="75"/>
      <c r="BG8" s="75"/>
    </row>
    <row r="9" spans="1:97" s="12" customFormat="1" ht="15.75" customHeight="1" x14ac:dyDescent="0.25">
      <c r="A9" s="8"/>
      <c r="B9" s="27" t="str">
        <f>IF(Inventário!C5="","",Inventário!C5)</f>
        <v/>
      </c>
      <c r="C9" s="51" t="str">
        <f>IF(B9="","",VLOOKUP(B9,Inventário!$C$4:$D$53,2,FALSE))</f>
        <v/>
      </c>
      <c r="D9" s="59" t="str">
        <f>IF(B9="","",I9+M9+Q9+U9+Y9+AC9+AG9+AK9+AO9+AS9+AW9+BA9+Inventário!H5)</f>
        <v/>
      </c>
      <c r="E9" s="60" t="str">
        <f>IF(B9="","",IF(D9&lt;0,"-",(D9*Inventário!G5)))</f>
        <v/>
      </c>
      <c r="F9" s="60" t="str">
        <f>IF(B9="","",IF(D9&gt;Inventário!I5,"NÃO",CONCATENATE("SIM:"," ",Inventário!J5," ","unid")))</f>
        <v/>
      </c>
      <c r="G9" s="56">
        <f>SUMIF('Entradas e Saídas'!$D$5:$D$44,Controle!$C9,'Entradas e Saídas'!$E$5:$E$44)</f>
        <v>0</v>
      </c>
      <c r="H9" s="56">
        <f>SUMIF('Entradas e Saídas'!$D$5:$D$44,Controle!$C9,'Entradas e Saídas'!$F$5:$F$44)</f>
        <v>0</v>
      </c>
      <c r="I9" s="56">
        <f t="shared" ref="I9:I57" si="0">G9-H9</f>
        <v>0</v>
      </c>
      <c r="J9" s="57">
        <f>I9*Inventário!G5</f>
        <v>0</v>
      </c>
      <c r="K9" s="56">
        <f>SUMIF('Entradas e Saídas'!$J$5:$J$44,Controle!$C9,'Entradas e Saídas'!$K$5:$K$44)</f>
        <v>0</v>
      </c>
      <c r="L9" s="56">
        <f>SUMIF('Entradas e Saídas'!$J$5:$J$44,Controle!$C9,'Entradas e Saídas'!$L$5:$L$44)</f>
        <v>0</v>
      </c>
      <c r="M9" s="56">
        <f t="shared" ref="M9:M57" si="1">K9-L9</f>
        <v>0</v>
      </c>
      <c r="N9" s="57">
        <f>M9*Inventário!$G5</f>
        <v>0</v>
      </c>
      <c r="O9" s="56">
        <f>SUMIF('Entradas e Saídas'!$P$5:$P$44,Controle!$C9,'Entradas e Saídas'!$Q$5:$Q$44)</f>
        <v>0</v>
      </c>
      <c r="P9" s="56">
        <f>SUMIF('Entradas e Saídas'!$P$5:$P$44,Controle!$C9,'Entradas e Saídas'!$R$5:$R$44)</f>
        <v>0</v>
      </c>
      <c r="Q9" s="56">
        <f t="shared" ref="Q9:Q57" si="2">O9-P9</f>
        <v>0</v>
      </c>
      <c r="R9" s="57">
        <f>Q9*Inventário!$G5</f>
        <v>0</v>
      </c>
      <c r="S9" s="56">
        <f>SUMIF('Entradas e Saídas'!$V$5:$V$44,Controle!$C9,'Entradas e Saídas'!$W$5:$W$44)</f>
        <v>0</v>
      </c>
      <c r="T9" s="56">
        <f>SUMIF('Entradas e Saídas'!$V$5:$V$44,Controle!$C9,'Entradas e Saídas'!$X$5:$X$44)</f>
        <v>0</v>
      </c>
      <c r="U9" s="56">
        <f t="shared" ref="U9:U57" si="3">S9-T9</f>
        <v>0</v>
      </c>
      <c r="V9" s="57">
        <f>U9*Inventário!$G5</f>
        <v>0</v>
      </c>
      <c r="W9" s="56">
        <f>SUMIF('Entradas e Saídas'!$AB$5:$AB$44,Controle!$C9,'Entradas e Saídas'!$AC$5:$AC$44)</f>
        <v>0</v>
      </c>
      <c r="X9" s="56">
        <f>SUMIF('Entradas e Saídas'!$AB$5:$AB$44,Controle!$C9,'Entradas e Saídas'!$AD$5:$AD$44)</f>
        <v>0</v>
      </c>
      <c r="Y9" s="56">
        <f t="shared" ref="Y9:Y57" si="4">W9-X9</f>
        <v>0</v>
      </c>
      <c r="Z9" s="57">
        <f>Y9*Inventário!$G5</f>
        <v>0</v>
      </c>
      <c r="AA9" s="56">
        <f>SUMIF('Entradas e Saídas'!$AH$5:$AH$44,Controle!$C9,'Entradas e Saídas'!$AI$5:$AI$44)</f>
        <v>0</v>
      </c>
      <c r="AB9" s="56">
        <f>SUMIF('Entradas e Saídas'!$AH$5:$AH$44,Controle!$C9,'Entradas e Saídas'!$AJ$5:$AJ$44)</f>
        <v>0</v>
      </c>
      <c r="AC9" s="56">
        <f t="shared" ref="AC9:AC57" si="5">AA9-AB9</f>
        <v>0</v>
      </c>
      <c r="AD9" s="57">
        <f>AC9*Inventário!$G5</f>
        <v>0</v>
      </c>
      <c r="AE9" s="56">
        <f>SUMIF('Entradas e Saídas'!$AN$5:$AN$44,Controle!$C9,'Entradas e Saídas'!$AO$5:$AO$44)</f>
        <v>0</v>
      </c>
      <c r="AF9" s="56">
        <f>SUMIF('Entradas e Saídas'!$AH$5:$AH$44,Controle!$C9,'Entradas e Saídas'!$AP$5:$AP$44)</f>
        <v>0</v>
      </c>
      <c r="AG9" s="56">
        <f t="shared" ref="AG9:AG57" si="6">AE9-AF9</f>
        <v>0</v>
      </c>
      <c r="AH9" s="57">
        <f>AG9*Inventário!$G5</f>
        <v>0</v>
      </c>
      <c r="AI9" s="56">
        <f>SUMIF('Entradas e Saídas'!$AT$5:$AT$44,Controle!$C9,'Entradas e Saídas'!$AU$5:$AU$44)</f>
        <v>0</v>
      </c>
      <c r="AJ9" s="56">
        <f>SUMIF('Entradas e Saídas'!$AT$5:$AT$44,Controle!$C9,'Entradas e Saídas'!$AV$5:$AV$44)</f>
        <v>0</v>
      </c>
      <c r="AK9" s="56">
        <f t="shared" ref="AK9:AK57" si="7">AI9-AJ9</f>
        <v>0</v>
      </c>
      <c r="AL9" s="57">
        <f>AK9*Inventário!$G5</f>
        <v>0</v>
      </c>
      <c r="AM9" s="56">
        <f>SUMIF('Entradas e Saídas'!$AZ$5:$AZ$44,Controle!$C9,'Entradas e Saídas'!$BA$5:$BA$44)</f>
        <v>0</v>
      </c>
      <c r="AN9" s="56">
        <f>SUMIF('Entradas e Saídas'!$AZ$5:$AZ$44,Controle!$C9,'Entradas e Saídas'!$BB$5:$BB$44)</f>
        <v>0</v>
      </c>
      <c r="AO9" s="56">
        <f t="shared" ref="AO9:AO57" si="8">AM9-AN9</f>
        <v>0</v>
      </c>
      <c r="AP9" s="57">
        <f>AO9*Inventário!$G5</f>
        <v>0</v>
      </c>
      <c r="AQ9" s="56">
        <f>SUMIF('Entradas e Saídas'!$BF$5:$BF$44,Controle!$C9,'Entradas e Saídas'!$BG$5:$BG$44)</f>
        <v>0</v>
      </c>
      <c r="AR9" s="56">
        <f>SUMIF('Entradas e Saídas'!$BF$5:$BF$44,Controle!$C9,'Entradas e Saídas'!$BH$5:$BH$44)</f>
        <v>0</v>
      </c>
      <c r="AS9" s="56">
        <f t="shared" ref="AS9:AS57" si="9">AQ9-AR9</f>
        <v>0</v>
      </c>
      <c r="AT9" s="57">
        <f>AS9*Inventário!$G5</f>
        <v>0</v>
      </c>
      <c r="AU9" s="56">
        <f>SUMIF('Entradas e Saídas'!$BL$5:$BL$44,Controle!$C9,'Entradas e Saídas'!$BM$5:$BM$44)</f>
        <v>0</v>
      </c>
      <c r="AV9" s="56">
        <f>SUMIF('Entradas e Saídas'!$BL$5:$BL$44,Controle!$C9,'Entradas e Saídas'!$BN$5:$BN$44)</f>
        <v>0</v>
      </c>
      <c r="AW9" s="56">
        <f t="shared" ref="AW9:AW57" si="10">AU9-AV9</f>
        <v>0</v>
      </c>
      <c r="AX9" s="57">
        <f>AW9*Inventário!$G5</f>
        <v>0</v>
      </c>
      <c r="AY9" s="56">
        <f>SUMIF('Entradas e Saídas'!$BR$5:$BR$44,Controle!$C9,'Entradas e Saídas'!$BS$5:$BS$44)</f>
        <v>0</v>
      </c>
      <c r="AZ9" s="56">
        <f>SUMIF('Entradas e Saídas'!$BR$5:$BR$44,Controle!$C9,'Entradas e Saídas'!$BT$5:$BT$44)</f>
        <v>0</v>
      </c>
      <c r="BA9" s="56">
        <f t="shared" ref="BA9:BA57" si="11">AY9-AZ9</f>
        <v>0</v>
      </c>
      <c r="BB9" s="57">
        <f>BA9*Inventário!$G5</f>
        <v>0</v>
      </c>
      <c r="BC9" s="75"/>
      <c r="BD9" s="75"/>
      <c r="BE9" s="75"/>
      <c r="BF9" s="75"/>
      <c r="BG9" s="75"/>
    </row>
    <row r="10" spans="1:97" s="12" customFormat="1" ht="15.75" customHeight="1" x14ac:dyDescent="0.25">
      <c r="A10" s="8"/>
      <c r="B10" s="27" t="str">
        <f>IF(Inventário!C6="","",Inventário!C6)</f>
        <v/>
      </c>
      <c r="C10" s="26" t="str">
        <f>IF(B10="","",VLOOKUP(B10,Inventário!$C$4:$D$53,2,FALSE))</f>
        <v/>
      </c>
      <c r="D10" s="59" t="str">
        <f>IF(B10="","",I10+M10+Q10+U10+Y10+AC10+AG10+AK10+AO10+AS10+AW10+BA10+Inventário!H6)</f>
        <v/>
      </c>
      <c r="E10" s="60" t="str">
        <f>IF(B10="","",IF(D10&lt;0,"-",(D10*Inventário!G6)))</f>
        <v/>
      </c>
      <c r="F10" s="60" t="str">
        <f>IF(B10="","",IF(D10&gt;Inventário!I6,"NÃO",CONCATENATE("SIM:"," ",Inventário!J6," ","unid")))</f>
        <v/>
      </c>
      <c r="G10" s="56">
        <f>SUMIF('Entradas e Saídas'!$D$5:$D$44,Controle!$C10,'Entradas e Saídas'!$E$5:$E$44)</f>
        <v>0</v>
      </c>
      <c r="H10" s="56">
        <f>SUMIF('Entradas e Saídas'!$D$5:$D$44,Controle!$C10,'Entradas e Saídas'!$F$5:$F$44)</f>
        <v>0</v>
      </c>
      <c r="I10" s="56">
        <f t="shared" si="0"/>
        <v>0</v>
      </c>
      <c r="J10" s="57">
        <f>I10*Inventário!G6</f>
        <v>0</v>
      </c>
      <c r="K10" s="56">
        <f>SUMIF('Entradas e Saídas'!$J$5:$J$44,Controle!$C10,'Entradas e Saídas'!$K$5:$K$44)</f>
        <v>0</v>
      </c>
      <c r="L10" s="56">
        <f>SUMIF('Entradas e Saídas'!$J$5:$J$44,Controle!$C10,'Entradas e Saídas'!$L$5:$L$44)</f>
        <v>0</v>
      </c>
      <c r="M10" s="56">
        <f t="shared" si="1"/>
        <v>0</v>
      </c>
      <c r="N10" s="57">
        <f>M10*Inventário!$G6</f>
        <v>0</v>
      </c>
      <c r="O10" s="56">
        <f>SUMIF('Entradas e Saídas'!$P$5:$P$44,Controle!$C10,'Entradas e Saídas'!$Q$5:$Q$44)</f>
        <v>0</v>
      </c>
      <c r="P10" s="56">
        <f>SUMIF('Entradas e Saídas'!$P$5:$P$44,Controle!$C10,'Entradas e Saídas'!$R$5:$R$44)</f>
        <v>0</v>
      </c>
      <c r="Q10" s="56">
        <f t="shared" si="2"/>
        <v>0</v>
      </c>
      <c r="R10" s="57">
        <f>Q10*Inventário!$G6</f>
        <v>0</v>
      </c>
      <c r="S10" s="56">
        <f>SUMIF('Entradas e Saídas'!$V$5:$V$44,Controle!$C10,'Entradas e Saídas'!$W$5:$W$44)</f>
        <v>0</v>
      </c>
      <c r="T10" s="56">
        <f>SUMIF('Entradas e Saídas'!$V$5:$V$44,Controle!$C10,'Entradas e Saídas'!$X$5:$X$44)</f>
        <v>0</v>
      </c>
      <c r="U10" s="56">
        <f t="shared" si="3"/>
        <v>0</v>
      </c>
      <c r="V10" s="57">
        <f>U10*Inventário!$G6</f>
        <v>0</v>
      </c>
      <c r="W10" s="56">
        <f>SUMIF('Entradas e Saídas'!$AB$5:$AB$44,Controle!$C10,'Entradas e Saídas'!$AC$5:$AC$44)</f>
        <v>0</v>
      </c>
      <c r="X10" s="56">
        <f>SUMIF('Entradas e Saídas'!$AB$5:$AB$44,Controle!$C10,'Entradas e Saídas'!$AD$5:$AD$44)</f>
        <v>0</v>
      </c>
      <c r="Y10" s="56">
        <f t="shared" si="4"/>
        <v>0</v>
      </c>
      <c r="Z10" s="57">
        <f>Y10*Inventário!$G6</f>
        <v>0</v>
      </c>
      <c r="AA10" s="56">
        <f>SUMIF('Entradas e Saídas'!$AH$5:$AH$44,Controle!$C10,'Entradas e Saídas'!$AI$5:$AI$44)</f>
        <v>0</v>
      </c>
      <c r="AB10" s="56">
        <f>SUMIF('Entradas e Saídas'!$AH$5:$AH$44,Controle!$C10,'Entradas e Saídas'!$AJ$5:$AJ$44)</f>
        <v>0</v>
      </c>
      <c r="AC10" s="56">
        <f t="shared" si="5"/>
        <v>0</v>
      </c>
      <c r="AD10" s="57">
        <f>AC10*Inventário!$G6</f>
        <v>0</v>
      </c>
      <c r="AE10" s="56">
        <f>SUMIF('Entradas e Saídas'!$AN$5:$AN$44,Controle!$C10,'Entradas e Saídas'!$AO$5:$AO$44)</f>
        <v>0</v>
      </c>
      <c r="AF10" s="56">
        <f>SUMIF('Entradas e Saídas'!$AH$5:$AH$44,Controle!$C10,'Entradas e Saídas'!$AP$5:$AP$44)</f>
        <v>0</v>
      </c>
      <c r="AG10" s="56">
        <f t="shared" si="6"/>
        <v>0</v>
      </c>
      <c r="AH10" s="57">
        <f>AG10*Inventário!$G6</f>
        <v>0</v>
      </c>
      <c r="AI10" s="56">
        <f>SUMIF('Entradas e Saídas'!$AT$5:$AT$44,Controle!$C10,'Entradas e Saídas'!$AU$5:$AU$44)</f>
        <v>0</v>
      </c>
      <c r="AJ10" s="56">
        <f>SUMIF('Entradas e Saídas'!$AT$5:$AT$44,Controle!$C10,'Entradas e Saídas'!$AV$5:$AV$44)</f>
        <v>0</v>
      </c>
      <c r="AK10" s="56">
        <f t="shared" si="7"/>
        <v>0</v>
      </c>
      <c r="AL10" s="57">
        <f>AK10*Inventário!$G6</f>
        <v>0</v>
      </c>
      <c r="AM10" s="56">
        <f>SUMIF('Entradas e Saídas'!$AZ$5:$AZ$44,Controle!$C10,'Entradas e Saídas'!$BA$5:$BA$44)</f>
        <v>0</v>
      </c>
      <c r="AN10" s="56">
        <f>SUMIF('Entradas e Saídas'!$AZ$5:$AZ$44,Controle!$C10,'Entradas e Saídas'!$BB$5:$BB$44)</f>
        <v>0</v>
      </c>
      <c r="AO10" s="56">
        <f t="shared" si="8"/>
        <v>0</v>
      </c>
      <c r="AP10" s="57">
        <f>AO10*Inventário!$G6</f>
        <v>0</v>
      </c>
      <c r="AQ10" s="56">
        <f>SUMIF('Entradas e Saídas'!$BF$5:$BF$44,Controle!$C10,'Entradas e Saídas'!$BG$5:$BG$44)</f>
        <v>0</v>
      </c>
      <c r="AR10" s="56">
        <f>SUMIF('Entradas e Saídas'!$BF$5:$BF$44,Controle!$C10,'Entradas e Saídas'!$BH$5:$BH$44)</f>
        <v>0</v>
      </c>
      <c r="AS10" s="56">
        <f t="shared" si="9"/>
        <v>0</v>
      </c>
      <c r="AT10" s="57">
        <f>AS10*Inventário!$G6</f>
        <v>0</v>
      </c>
      <c r="AU10" s="56">
        <f>SUMIF('Entradas e Saídas'!$BL$5:$BL$44,Controle!$C10,'Entradas e Saídas'!$BM$5:$BM$44)</f>
        <v>0</v>
      </c>
      <c r="AV10" s="56">
        <f>SUMIF('Entradas e Saídas'!$BL$5:$BL$44,Controle!$C10,'Entradas e Saídas'!$BN$5:$BN$44)</f>
        <v>0</v>
      </c>
      <c r="AW10" s="56">
        <f t="shared" si="10"/>
        <v>0</v>
      </c>
      <c r="AX10" s="57">
        <f>AW10*Inventário!$G6</f>
        <v>0</v>
      </c>
      <c r="AY10" s="56">
        <f>SUMIF('Entradas e Saídas'!$BR$5:$BR$44,Controle!$C10,'Entradas e Saídas'!$BS$5:$BS$44)</f>
        <v>0</v>
      </c>
      <c r="AZ10" s="56">
        <f>SUMIF('Entradas e Saídas'!$BR$5:$BR$44,Controle!$C10,'Entradas e Saídas'!$BT$5:$BT$44)</f>
        <v>0</v>
      </c>
      <c r="BA10" s="56">
        <f t="shared" si="11"/>
        <v>0</v>
      </c>
      <c r="BB10" s="57">
        <f>BA10*Inventário!$G6</f>
        <v>0</v>
      </c>
      <c r="BC10" s="75"/>
      <c r="BD10" s="71"/>
      <c r="BE10" s="71"/>
      <c r="BF10" s="71"/>
      <c r="BG10" s="75"/>
    </row>
    <row r="11" spans="1:97" s="12" customFormat="1" ht="15.75" customHeight="1" x14ac:dyDescent="0.25">
      <c r="A11" s="8"/>
      <c r="B11" s="27" t="str">
        <f>IF(Inventário!C7="","",Inventário!C7)</f>
        <v/>
      </c>
      <c r="C11" s="26" t="str">
        <f>IF(B11="","",VLOOKUP(B11,Inventário!$C$4:$D$53,2,FALSE))</f>
        <v/>
      </c>
      <c r="D11" s="59" t="str">
        <f>IF(B11="","",I11+M11+Q11+U11+Y11+AC11+AG11+AK11+AO11+AS11+AW11+BA11+Inventário!H7)</f>
        <v/>
      </c>
      <c r="E11" s="60" t="str">
        <f>IF(B11="","",IF(D11&lt;0,"-",(D11*Inventário!G7)))</f>
        <v/>
      </c>
      <c r="F11" s="60" t="str">
        <f>IF(B11="","",IF(D11&gt;Inventário!I7,"NÃO",CONCATENATE("SIM:"," ",Inventário!J7," ","unid")))</f>
        <v/>
      </c>
      <c r="G11" s="56">
        <f>SUMIF('Entradas e Saídas'!$D$5:$D$44,Controle!$C11,'Entradas e Saídas'!$E$5:$E$44)</f>
        <v>0</v>
      </c>
      <c r="H11" s="56">
        <f>SUMIF('Entradas e Saídas'!$D$5:$D$44,Controle!$C11,'Entradas e Saídas'!$F$5:$F$44)</f>
        <v>0</v>
      </c>
      <c r="I11" s="56">
        <f t="shared" si="0"/>
        <v>0</v>
      </c>
      <c r="J11" s="57">
        <f>I11*Inventário!G7</f>
        <v>0</v>
      </c>
      <c r="K11" s="56">
        <f>SUMIF('Entradas e Saídas'!$J$5:$J$44,Controle!$C11,'Entradas e Saídas'!$K$5:$K$44)</f>
        <v>0</v>
      </c>
      <c r="L11" s="56">
        <f>SUMIF('Entradas e Saídas'!$J$5:$J$44,Controle!$C11,'Entradas e Saídas'!$L$5:$L$44)</f>
        <v>0</v>
      </c>
      <c r="M11" s="56">
        <f t="shared" si="1"/>
        <v>0</v>
      </c>
      <c r="N11" s="57">
        <f>M11*Inventário!$G7</f>
        <v>0</v>
      </c>
      <c r="O11" s="56">
        <f>SUMIF('Entradas e Saídas'!$P$5:$P$44,Controle!$C11,'Entradas e Saídas'!$Q$5:$Q$44)</f>
        <v>0</v>
      </c>
      <c r="P11" s="56">
        <f>SUMIF('Entradas e Saídas'!$P$5:$P$44,Controle!$C11,'Entradas e Saídas'!$R$5:$R$44)</f>
        <v>0</v>
      </c>
      <c r="Q11" s="56">
        <f t="shared" si="2"/>
        <v>0</v>
      </c>
      <c r="R11" s="57">
        <f>Q11*Inventário!$G7</f>
        <v>0</v>
      </c>
      <c r="S11" s="56">
        <f>SUMIF('Entradas e Saídas'!$V$5:$V$44,Controle!$C11,'Entradas e Saídas'!$W$5:$W$44)</f>
        <v>0</v>
      </c>
      <c r="T11" s="56">
        <f>SUMIF('Entradas e Saídas'!$V$5:$V$44,Controle!$C11,'Entradas e Saídas'!$X$5:$X$44)</f>
        <v>0</v>
      </c>
      <c r="U11" s="56">
        <f t="shared" si="3"/>
        <v>0</v>
      </c>
      <c r="V11" s="57">
        <f>U11*Inventário!$G7</f>
        <v>0</v>
      </c>
      <c r="W11" s="56">
        <f>SUMIF('Entradas e Saídas'!$AB$5:$AB$44,Controle!$C11,'Entradas e Saídas'!$AC$5:$AC$44)</f>
        <v>0</v>
      </c>
      <c r="X11" s="56">
        <f>SUMIF('Entradas e Saídas'!$AB$5:$AB$44,Controle!$C11,'Entradas e Saídas'!$AD$5:$AD$44)</f>
        <v>0</v>
      </c>
      <c r="Y11" s="56">
        <f t="shared" si="4"/>
        <v>0</v>
      </c>
      <c r="Z11" s="57">
        <f>Y11*Inventário!$G7</f>
        <v>0</v>
      </c>
      <c r="AA11" s="56">
        <f>SUMIF('Entradas e Saídas'!$AH$5:$AH$44,Controle!$C11,'Entradas e Saídas'!$AI$5:$AI$44)</f>
        <v>0</v>
      </c>
      <c r="AB11" s="56">
        <f>SUMIF('Entradas e Saídas'!$AH$5:$AH$44,Controle!$C11,'Entradas e Saídas'!$AJ$5:$AJ$44)</f>
        <v>0</v>
      </c>
      <c r="AC11" s="56">
        <f t="shared" si="5"/>
        <v>0</v>
      </c>
      <c r="AD11" s="57">
        <f>AC11*Inventário!$G7</f>
        <v>0</v>
      </c>
      <c r="AE11" s="56">
        <f>SUMIF('Entradas e Saídas'!$AN$5:$AN$44,Controle!$C11,'Entradas e Saídas'!$AO$5:$AO$44)</f>
        <v>0</v>
      </c>
      <c r="AF11" s="56">
        <f>SUMIF('Entradas e Saídas'!$AH$5:$AH$44,Controle!$C11,'Entradas e Saídas'!$AP$5:$AP$44)</f>
        <v>0</v>
      </c>
      <c r="AG11" s="56">
        <f t="shared" si="6"/>
        <v>0</v>
      </c>
      <c r="AH11" s="57">
        <f>AG11*Inventário!$G7</f>
        <v>0</v>
      </c>
      <c r="AI11" s="56">
        <f>SUMIF('Entradas e Saídas'!$AT$5:$AT$44,Controle!$C11,'Entradas e Saídas'!$AU$5:$AU$44)</f>
        <v>0</v>
      </c>
      <c r="AJ11" s="56">
        <f>SUMIF('Entradas e Saídas'!$AT$5:$AT$44,Controle!$C11,'Entradas e Saídas'!$AV$5:$AV$44)</f>
        <v>0</v>
      </c>
      <c r="AK11" s="56">
        <f t="shared" si="7"/>
        <v>0</v>
      </c>
      <c r="AL11" s="57">
        <f>AK11*Inventário!$G7</f>
        <v>0</v>
      </c>
      <c r="AM11" s="56">
        <f>SUMIF('Entradas e Saídas'!$AZ$5:$AZ$44,Controle!$C11,'Entradas e Saídas'!$BA$5:$BA$44)</f>
        <v>0</v>
      </c>
      <c r="AN11" s="56">
        <f>SUMIF('Entradas e Saídas'!$AZ$5:$AZ$44,Controle!$C11,'Entradas e Saídas'!$BB$5:$BB$44)</f>
        <v>0</v>
      </c>
      <c r="AO11" s="56">
        <f t="shared" si="8"/>
        <v>0</v>
      </c>
      <c r="AP11" s="57">
        <f>AO11*Inventário!$G7</f>
        <v>0</v>
      </c>
      <c r="AQ11" s="56">
        <f>SUMIF('Entradas e Saídas'!$BF$5:$BF$44,Controle!$C11,'Entradas e Saídas'!$BG$5:$BG$44)</f>
        <v>0</v>
      </c>
      <c r="AR11" s="56">
        <f>SUMIF('Entradas e Saídas'!$BF$5:$BF$44,Controle!$C11,'Entradas e Saídas'!$BH$5:$BH$44)</f>
        <v>0</v>
      </c>
      <c r="AS11" s="56">
        <f t="shared" si="9"/>
        <v>0</v>
      </c>
      <c r="AT11" s="57">
        <f>AS11*Inventário!$G7</f>
        <v>0</v>
      </c>
      <c r="AU11" s="56">
        <f>SUMIF('Entradas e Saídas'!$BL$5:$BL$44,Controle!$C11,'Entradas e Saídas'!$BM$5:$BM$44)</f>
        <v>0</v>
      </c>
      <c r="AV11" s="56">
        <f>SUMIF('Entradas e Saídas'!$BL$5:$BL$44,Controle!$C11,'Entradas e Saídas'!$BN$5:$BN$44)</f>
        <v>0</v>
      </c>
      <c r="AW11" s="56">
        <f t="shared" si="10"/>
        <v>0</v>
      </c>
      <c r="AX11" s="57">
        <f>AW11*Inventário!$G7</f>
        <v>0</v>
      </c>
      <c r="AY11" s="56">
        <f>SUMIF('Entradas e Saídas'!$BR$5:$BR$44,Controle!$C11,'Entradas e Saídas'!$BS$5:$BS$44)</f>
        <v>0</v>
      </c>
      <c r="AZ11" s="56">
        <f>SUMIF('Entradas e Saídas'!$BR$5:$BR$44,Controle!$C11,'Entradas e Saídas'!$BT$5:$BT$44)</f>
        <v>0</v>
      </c>
      <c r="BA11" s="56">
        <f t="shared" si="11"/>
        <v>0</v>
      </c>
      <c r="BB11" s="57">
        <f>BA11*Inventário!$G7</f>
        <v>0</v>
      </c>
      <c r="BC11" s="75"/>
      <c r="BD11" s="71"/>
      <c r="BE11" s="71" t="s">
        <v>6</v>
      </c>
      <c r="BF11" s="72">
        <f>J59</f>
        <v>0</v>
      </c>
      <c r="BG11" s="75"/>
    </row>
    <row r="12" spans="1:97" s="12" customFormat="1" ht="15.75" customHeight="1" x14ac:dyDescent="0.25">
      <c r="A12" s="8"/>
      <c r="B12" s="27" t="str">
        <f>IF(Inventário!C8="","",Inventário!C8)</f>
        <v/>
      </c>
      <c r="C12" s="26" t="str">
        <f>IF(B12="","",VLOOKUP(B12,Inventário!$C$4:$D$53,2,FALSE))</f>
        <v/>
      </c>
      <c r="D12" s="59" t="str">
        <f>IF(B12="","",I12+M12+Q12+U12+Y12+AC12+AG12+AK12+AO12+AS12+AW12+BA12+Inventário!H8)</f>
        <v/>
      </c>
      <c r="E12" s="60" t="str">
        <f>IF(B12="","",IF(D12&lt;0,"-",(D12*Inventário!G8)))</f>
        <v/>
      </c>
      <c r="F12" s="60" t="str">
        <f>IF(B12="","",IF(D12&gt;Inventário!I8,"NÃO",CONCATENATE("SIM:"," ",Inventário!J8," ","unid")))</f>
        <v/>
      </c>
      <c r="G12" s="56">
        <f>SUMIF('Entradas e Saídas'!$D$5:$D$44,Controle!$C12,'Entradas e Saídas'!$E$5:$E$44)</f>
        <v>0</v>
      </c>
      <c r="H12" s="56">
        <f>SUMIF('Entradas e Saídas'!$D$5:$D$44,Controle!$C12,'Entradas e Saídas'!$F$5:$F$44)</f>
        <v>0</v>
      </c>
      <c r="I12" s="56">
        <f t="shared" si="0"/>
        <v>0</v>
      </c>
      <c r="J12" s="57">
        <f>I12*Inventário!G8</f>
        <v>0</v>
      </c>
      <c r="K12" s="56">
        <f>SUMIF('Entradas e Saídas'!$J$5:$J$44,Controle!$C12,'Entradas e Saídas'!$K$5:$K$44)</f>
        <v>0</v>
      </c>
      <c r="L12" s="56">
        <f>SUMIF('Entradas e Saídas'!$J$5:$J$44,Controle!$C12,'Entradas e Saídas'!$L$5:$L$44)</f>
        <v>0</v>
      </c>
      <c r="M12" s="56">
        <f t="shared" si="1"/>
        <v>0</v>
      </c>
      <c r="N12" s="57">
        <f>M12*Inventário!$G8</f>
        <v>0</v>
      </c>
      <c r="O12" s="56">
        <f>SUMIF('Entradas e Saídas'!$P$5:$P$44,Controle!$C12,'Entradas e Saídas'!$Q$5:$Q$44)</f>
        <v>0</v>
      </c>
      <c r="P12" s="56">
        <f>SUMIF('Entradas e Saídas'!$P$5:$P$44,Controle!$C12,'Entradas e Saídas'!$R$5:$R$44)</f>
        <v>0</v>
      </c>
      <c r="Q12" s="56">
        <f t="shared" si="2"/>
        <v>0</v>
      </c>
      <c r="R12" s="57">
        <f>Q12*Inventário!$G8</f>
        <v>0</v>
      </c>
      <c r="S12" s="56">
        <f>SUMIF('Entradas e Saídas'!$V$5:$V$44,Controle!$C12,'Entradas e Saídas'!$W$5:$W$44)</f>
        <v>0</v>
      </c>
      <c r="T12" s="56">
        <f>SUMIF('Entradas e Saídas'!$V$5:$V$44,Controle!$C12,'Entradas e Saídas'!$X$5:$X$44)</f>
        <v>0</v>
      </c>
      <c r="U12" s="56">
        <f t="shared" si="3"/>
        <v>0</v>
      </c>
      <c r="V12" s="57">
        <f>U12*Inventário!$G8</f>
        <v>0</v>
      </c>
      <c r="W12" s="56">
        <f>SUMIF('Entradas e Saídas'!$AB$5:$AB$44,Controle!$C12,'Entradas e Saídas'!$AC$5:$AC$44)</f>
        <v>0</v>
      </c>
      <c r="X12" s="56">
        <f>SUMIF('Entradas e Saídas'!$AB$5:$AB$44,Controle!$C12,'Entradas e Saídas'!$AD$5:$AD$44)</f>
        <v>0</v>
      </c>
      <c r="Y12" s="56">
        <f t="shared" si="4"/>
        <v>0</v>
      </c>
      <c r="Z12" s="57">
        <f>Y12*Inventário!$G8</f>
        <v>0</v>
      </c>
      <c r="AA12" s="56">
        <f>SUMIF('Entradas e Saídas'!$AH$5:$AH$44,Controle!$C12,'Entradas e Saídas'!$AI$5:$AI$44)</f>
        <v>0</v>
      </c>
      <c r="AB12" s="56">
        <f>SUMIF('Entradas e Saídas'!$AH$5:$AH$44,Controle!$C12,'Entradas e Saídas'!$AJ$5:$AJ$44)</f>
        <v>0</v>
      </c>
      <c r="AC12" s="56">
        <f t="shared" si="5"/>
        <v>0</v>
      </c>
      <c r="AD12" s="57">
        <f>AC12*Inventário!$G8</f>
        <v>0</v>
      </c>
      <c r="AE12" s="56">
        <f>SUMIF('Entradas e Saídas'!$AN$5:$AN$44,Controle!$C12,'Entradas e Saídas'!$AO$5:$AO$44)</f>
        <v>0</v>
      </c>
      <c r="AF12" s="56">
        <f>SUMIF('Entradas e Saídas'!$AH$5:$AH$44,Controle!$C12,'Entradas e Saídas'!$AP$5:$AP$44)</f>
        <v>0</v>
      </c>
      <c r="AG12" s="56">
        <f t="shared" si="6"/>
        <v>0</v>
      </c>
      <c r="AH12" s="57">
        <f>AG12*Inventário!$G8</f>
        <v>0</v>
      </c>
      <c r="AI12" s="56">
        <f>SUMIF('Entradas e Saídas'!$AT$5:$AT$44,Controle!$C12,'Entradas e Saídas'!$AU$5:$AU$44)</f>
        <v>0</v>
      </c>
      <c r="AJ12" s="56">
        <f>SUMIF('Entradas e Saídas'!$AT$5:$AT$44,Controle!$C12,'Entradas e Saídas'!$AV$5:$AV$44)</f>
        <v>0</v>
      </c>
      <c r="AK12" s="56">
        <f t="shared" si="7"/>
        <v>0</v>
      </c>
      <c r="AL12" s="57">
        <f>AK12*Inventário!$G8</f>
        <v>0</v>
      </c>
      <c r="AM12" s="56">
        <f>SUMIF('Entradas e Saídas'!$AZ$5:$AZ$44,Controle!$C12,'Entradas e Saídas'!$BA$5:$BA$44)</f>
        <v>0</v>
      </c>
      <c r="AN12" s="56">
        <f>SUMIF('Entradas e Saídas'!$AZ$5:$AZ$44,Controle!$C12,'Entradas e Saídas'!$BB$5:$BB$44)</f>
        <v>0</v>
      </c>
      <c r="AO12" s="56">
        <f t="shared" si="8"/>
        <v>0</v>
      </c>
      <c r="AP12" s="57">
        <f>AO12*Inventário!$G8</f>
        <v>0</v>
      </c>
      <c r="AQ12" s="56">
        <f>SUMIF('Entradas e Saídas'!$BF$5:$BF$44,Controle!$C12,'Entradas e Saídas'!$BG$5:$BG$44)</f>
        <v>0</v>
      </c>
      <c r="AR12" s="56">
        <f>SUMIF('Entradas e Saídas'!$BF$5:$BF$44,Controle!$C12,'Entradas e Saídas'!$BH$5:$BH$44)</f>
        <v>0</v>
      </c>
      <c r="AS12" s="56">
        <f t="shared" si="9"/>
        <v>0</v>
      </c>
      <c r="AT12" s="57">
        <f>AS12*Inventário!$G8</f>
        <v>0</v>
      </c>
      <c r="AU12" s="56">
        <f>SUMIF('Entradas e Saídas'!$BL$5:$BL$44,Controle!$C12,'Entradas e Saídas'!$BM$5:$BM$44)</f>
        <v>0</v>
      </c>
      <c r="AV12" s="56">
        <f>SUMIF('Entradas e Saídas'!$BL$5:$BL$44,Controle!$C12,'Entradas e Saídas'!$BN$5:$BN$44)</f>
        <v>0</v>
      </c>
      <c r="AW12" s="56">
        <f t="shared" si="10"/>
        <v>0</v>
      </c>
      <c r="AX12" s="57">
        <f>AW12*Inventário!$G8</f>
        <v>0</v>
      </c>
      <c r="AY12" s="56">
        <f>SUMIF('Entradas e Saídas'!$BR$5:$BR$44,Controle!$C12,'Entradas e Saídas'!$BS$5:$BS$44)</f>
        <v>0</v>
      </c>
      <c r="AZ12" s="56">
        <f>SUMIF('Entradas e Saídas'!$BR$5:$BR$44,Controle!$C12,'Entradas e Saídas'!$BT$5:$BT$44)</f>
        <v>0</v>
      </c>
      <c r="BA12" s="56">
        <f t="shared" si="11"/>
        <v>0</v>
      </c>
      <c r="BB12" s="57">
        <f>BA12*Inventário!$G8</f>
        <v>0</v>
      </c>
      <c r="BC12" s="75"/>
      <c r="BD12" s="71"/>
      <c r="BE12" s="71" t="s">
        <v>9</v>
      </c>
      <c r="BF12" s="72">
        <f>N59</f>
        <v>0</v>
      </c>
      <c r="BG12" s="75"/>
    </row>
    <row r="13" spans="1:97" s="12" customFormat="1" ht="15.75" customHeight="1" x14ac:dyDescent="0.25">
      <c r="A13" s="8"/>
      <c r="B13" s="27" t="str">
        <f>IF(Inventário!C9="","",Inventário!C9)</f>
        <v/>
      </c>
      <c r="C13" s="26" t="str">
        <f>IF(B13="","",VLOOKUP(B13,Inventário!$C$4:$D$53,2,FALSE))</f>
        <v/>
      </c>
      <c r="D13" s="59" t="str">
        <f>IF(B13="","",I13+M13+Q13+U13+Y13+AC13+AG13+AK13+AO13+AS13+AW13+BA13+Inventário!H9)</f>
        <v/>
      </c>
      <c r="E13" s="60" t="str">
        <f>IF(B13="","",IF(D13&lt;0,"-",(D13*Inventário!G9)))</f>
        <v/>
      </c>
      <c r="F13" s="60" t="str">
        <f>IF(B13="","",IF(D13&gt;Inventário!I9,"NÃO",CONCATENATE("SIM:"," ",Inventário!J9," ","unid")))</f>
        <v/>
      </c>
      <c r="G13" s="56">
        <f>SUMIF('Entradas e Saídas'!$D$5:$D$44,Controle!$C13,'Entradas e Saídas'!$E$5:$E$44)</f>
        <v>0</v>
      </c>
      <c r="H13" s="56">
        <f>SUMIF('Entradas e Saídas'!$D$5:$D$44,Controle!$C13,'Entradas e Saídas'!$F$5:$F$44)</f>
        <v>0</v>
      </c>
      <c r="I13" s="56">
        <f t="shared" si="0"/>
        <v>0</v>
      </c>
      <c r="J13" s="57">
        <f>I13*Inventário!G9</f>
        <v>0</v>
      </c>
      <c r="K13" s="56">
        <f>SUMIF('Entradas e Saídas'!$J$5:$J$44,Controle!$C13,'Entradas e Saídas'!$K$5:$K$44)</f>
        <v>0</v>
      </c>
      <c r="L13" s="56">
        <f>SUMIF('Entradas e Saídas'!$J$5:$J$44,Controle!$C13,'Entradas e Saídas'!$L$5:$L$44)</f>
        <v>0</v>
      </c>
      <c r="M13" s="56">
        <f t="shared" si="1"/>
        <v>0</v>
      </c>
      <c r="N13" s="57">
        <f>M13*Inventário!$G9</f>
        <v>0</v>
      </c>
      <c r="O13" s="56">
        <f>SUMIF('Entradas e Saídas'!$P$5:$P$44,Controle!$C13,'Entradas e Saídas'!$Q$5:$Q$44)</f>
        <v>0</v>
      </c>
      <c r="P13" s="56">
        <f>SUMIF('Entradas e Saídas'!$P$5:$P$44,Controle!$C13,'Entradas e Saídas'!$R$5:$R$44)</f>
        <v>0</v>
      </c>
      <c r="Q13" s="56">
        <f t="shared" si="2"/>
        <v>0</v>
      </c>
      <c r="R13" s="57">
        <f>Q13*Inventário!$G9</f>
        <v>0</v>
      </c>
      <c r="S13" s="56">
        <f>SUMIF('Entradas e Saídas'!$V$5:$V$44,Controle!$C13,'Entradas e Saídas'!$W$5:$W$44)</f>
        <v>0</v>
      </c>
      <c r="T13" s="56">
        <f>SUMIF('Entradas e Saídas'!$V$5:$V$44,Controle!$C13,'Entradas e Saídas'!$X$5:$X$44)</f>
        <v>0</v>
      </c>
      <c r="U13" s="56">
        <f t="shared" si="3"/>
        <v>0</v>
      </c>
      <c r="V13" s="57">
        <f>U13*Inventário!$G9</f>
        <v>0</v>
      </c>
      <c r="W13" s="56">
        <f>SUMIF('Entradas e Saídas'!$AB$5:$AB$44,Controle!$C13,'Entradas e Saídas'!$AC$5:$AC$44)</f>
        <v>0</v>
      </c>
      <c r="X13" s="56">
        <f>SUMIF('Entradas e Saídas'!$AB$5:$AB$44,Controle!$C13,'Entradas e Saídas'!$AD$5:$AD$44)</f>
        <v>0</v>
      </c>
      <c r="Y13" s="56">
        <f t="shared" si="4"/>
        <v>0</v>
      </c>
      <c r="Z13" s="57">
        <f>Y13*Inventário!$G9</f>
        <v>0</v>
      </c>
      <c r="AA13" s="56">
        <f>SUMIF('Entradas e Saídas'!$AH$5:$AH$44,Controle!$C13,'Entradas e Saídas'!$AI$5:$AI$44)</f>
        <v>0</v>
      </c>
      <c r="AB13" s="56">
        <f>SUMIF('Entradas e Saídas'!$AH$5:$AH$44,Controle!$C13,'Entradas e Saídas'!$AJ$5:$AJ$44)</f>
        <v>0</v>
      </c>
      <c r="AC13" s="56">
        <f t="shared" si="5"/>
        <v>0</v>
      </c>
      <c r="AD13" s="57">
        <f>AC13*Inventário!$G9</f>
        <v>0</v>
      </c>
      <c r="AE13" s="56">
        <f>SUMIF('Entradas e Saídas'!$AN$5:$AN$44,Controle!$C13,'Entradas e Saídas'!$AO$5:$AO$44)</f>
        <v>0</v>
      </c>
      <c r="AF13" s="56">
        <f>SUMIF('Entradas e Saídas'!$AH$5:$AH$44,Controle!$C13,'Entradas e Saídas'!$AP$5:$AP$44)</f>
        <v>0</v>
      </c>
      <c r="AG13" s="56">
        <f t="shared" si="6"/>
        <v>0</v>
      </c>
      <c r="AH13" s="57">
        <f>AG13*Inventário!$G9</f>
        <v>0</v>
      </c>
      <c r="AI13" s="56">
        <f>SUMIF('Entradas e Saídas'!$AT$5:$AT$44,Controle!$C13,'Entradas e Saídas'!$AU$5:$AU$44)</f>
        <v>0</v>
      </c>
      <c r="AJ13" s="56">
        <f>SUMIF('Entradas e Saídas'!$AT$5:$AT$44,Controle!$C13,'Entradas e Saídas'!$AV$5:$AV$44)</f>
        <v>0</v>
      </c>
      <c r="AK13" s="56">
        <f t="shared" si="7"/>
        <v>0</v>
      </c>
      <c r="AL13" s="57">
        <f>AK13*Inventário!$G9</f>
        <v>0</v>
      </c>
      <c r="AM13" s="56">
        <f>SUMIF('Entradas e Saídas'!$AZ$5:$AZ$44,Controle!$C13,'Entradas e Saídas'!$BA$5:$BA$44)</f>
        <v>0</v>
      </c>
      <c r="AN13" s="56">
        <f>SUMIF('Entradas e Saídas'!$AZ$5:$AZ$44,Controle!$C13,'Entradas e Saídas'!$BB$5:$BB$44)</f>
        <v>0</v>
      </c>
      <c r="AO13" s="56">
        <f t="shared" si="8"/>
        <v>0</v>
      </c>
      <c r="AP13" s="57">
        <f>AO13*Inventário!$G9</f>
        <v>0</v>
      </c>
      <c r="AQ13" s="56">
        <f>SUMIF('Entradas e Saídas'!$BF$5:$BF$44,Controle!$C13,'Entradas e Saídas'!$BG$5:$BG$44)</f>
        <v>0</v>
      </c>
      <c r="AR13" s="56">
        <f>SUMIF('Entradas e Saídas'!$BF$5:$BF$44,Controle!$C13,'Entradas e Saídas'!$BH$5:$BH$44)</f>
        <v>0</v>
      </c>
      <c r="AS13" s="56">
        <f t="shared" si="9"/>
        <v>0</v>
      </c>
      <c r="AT13" s="57">
        <f>AS13*Inventário!$G9</f>
        <v>0</v>
      </c>
      <c r="AU13" s="56">
        <f>SUMIF('Entradas e Saídas'!$BL$5:$BL$44,Controle!$C13,'Entradas e Saídas'!$BM$5:$BM$44)</f>
        <v>0</v>
      </c>
      <c r="AV13" s="56">
        <f>SUMIF('Entradas e Saídas'!$BL$5:$BL$44,Controle!$C13,'Entradas e Saídas'!$BN$5:$BN$44)</f>
        <v>0</v>
      </c>
      <c r="AW13" s="56">
        <f t="shared" si="10"/>
        <v>0</v>
      </c>
      <c r="AX13" s="57">
        <f>AW13*Inventário!$G9</f>
        <v>0</v>
      </c>
      <c r="AY13" s="56">
        <f>SUMIF('Entradas e Saídas'!$BR$5:$BR$44,Controle!$C13,'Entradas e Saídas'!$BS$5:$BS$44)</f>
        <v>0</v>
      </c>
      <c r="AZ13" s="56">
        <f>SUMIF('Entradas e Saídas'!$BR$5:$BR$44,Controle!$C13,'Entradas e Saídas'!$BT$5:$BT$44)</f>
        <v>0</v>
      </c>
      <c r="BA13" s="56">
        <f t="shared" si="11"/>
        <v>0</v>
      </c>
      <c r="BB13" s="57">
        <f>BA13*Inventário!$G9</f>
        <v>0</v>
      </c>
      <c r="BC13" s="75"/>
      <c r="BD13" s="71"/>
      <c r="BE13" s="71" t="s">
        <v>10</v>
      </c>
      <c r="BF13" s="72">
        <f>R59</f>
        <v>0</v>
      </c>
      <c r="BG13" s="75"/>
    </row>
    <row r="14" spans="1:97" s="12" customFormat="1" ht="15.75" customHeight="1" x14ac:dyDescent="0.25">
      <c r="A14" s="8"/>
      <c r="B14" s="27" t="str">
        <f>IF(Inventário!C10="","",Inventário!C10)</f>
        <v/>
      </c>
      <c r="C14" s="26" t="str">
        <f>IF(B14="","",VLOOKUP(B14,Inventário!$C$4:$D$53,2,FALSE))</f>
        <v/>
      </c>
      <c r="D14" s="59" t="str">
        <f>IF(B14="","",I14+M14+Q14+U14+Y14+AC14+AG14+AK14+AO14+AS14+AW14+BA14+Inventário!H10)</f>
        <v/>
      </c>
      <c r="E14" s="60" t="str">
        <f>IF(B14="","",IF(D14&lt;0,"-",(D14*Inventário!G10)))</f>
        <v/>
      </c>
      <c r="F14" s="60" t="str">
        <f>IF(B14="","",IF(D14&gt;Inventário!I10,"NÃO",CONCATENATE("SIM:"," ",Inventário!J10," ","unid")))</f>
        <v/>
      </c>
      <c r="G14" s="56">
        <f>SUMIF('Entradas e Saídas'!$D$5:$D$44,Controle!$C14,'Entradas e Saídas'!$E$5:$E$44)</f>
        <v>0</v>
      </c>
      <c r="H14" s="56">
        <f>SUMIF('Entradas e Saídas'!$D$5:$D$44,Controle!$C14,'Entradas e Saídas'!$F$5:$F$44)</f>
        <v>0</v>
      </c>
      <c r="I14" s="56">
        <f t="shared" si="0"/>
        <v>0</v>
      </c>
      <c r="J14" s="57">
        <f>I14*Inventário!G10</f>
        <v>0</v>
      </c>
      <c r="K14" s="56">
        <f>SUMIF('Entradas e Saídas'!$J$5:$J$44,Controle!$C14,'Entradas e Saídas'!$K$5:$K$44)</f>
        <v>0</v>
      </c>
      <c r="L14" s="56">
        <f>SUMIF('Entradas e Saídas'!$J$5:$J$44,Controle!$C14,'Entradas e Saídas'!$L$5:$L$44)</f>
        <v>0</v>
      </c>
      <c r="M14" s="56">
        <f t="shared" si="1"/>
        <v>0</v>
      </c>
      <c r="N14" s="57">
        <f>M14*Inventário!$G10</f>
        <v>0</v>
      </c>
      <c r="O14" s="56">
        <f>SUMIF('Entradas e Saídas'!$P$5:$P$44,Controle!$C14,'Entradas e Saídas'!$Q$5:$Q$44)</f>
        <v>0</v>
      </c>
      <c r="P14" s="56">
        <f>SUMIF('Entradas e Saídas'!$P$5:$P$44,Controle!$C14,'Entradas e Saídas'!$R$5:$R$44)</f>
        <v>0</v>
      </c>
      <c r="Q14" s="56">
        <f t="shared" si="2"/>
        <v>0</v>
      </c>
      <c r="R14" s="57">
        <f>Q14*Inventário!$G10</f>
        <v>0</v>
      </c>
      <c r="S14" s="56">
        <f>SUMIF('Entradas e Saídas'!$V$5:$V$44,Controle!$C14,'Entradas e Saídas'!$W$5:$W$44)</f>
        <v>0</v>
      </c>
      <c r="T14" s="56">
        <f>SUMIF('Entradas e Saídas'!$V$5:$V$44,Controle!$C14,'Entradas e Saídas'!$X$5:$X$44)</f>
        <v>0</v>
      </c>
      <c r="U14" s="56">
        <f t="shared" si="3"/>
        <v>0</v>
      </c>
      <c r="V14" s="57">
        <f>U14*Inventário!$G10</f>
        <v>0</v>
      </c>
      <c r="W14" s="56">
        <f>SUMIF('Entradas e Saídas'!$AB$5:$AB$44,Controle!$C14,'Entradas e Saídas'!$AC$5:$AC$44)</f>
        <v>0</v>
      </c>
      <c r="X14" s="56">
        <f>SUMIF('Entradas e Saídas'!$AB$5:$AB$44,Controle!$C14,'Entradas e Saídas'!$AD$5:$AD$44)</f>
        <v>0</v>
      </c>
      <c r="Y14" s="56">
        <f t="shared" si="4"/>
        <v>0</v>
      </c>
      <c r="Z14" s="57">
        <f>Y14*Inventário!$G10</f>
        <v>0</v>
      </c>
      <c r="AA14" s="56">
        <f>SUMIF('Entradas e Saídas'!$AH$5:$AH$44,Controle!$C14,'Entradas e Saídas'!$AI$5:$AI$44)</f>
        <v>0</v>
      </c>
      <c r="AB14" s="56">
        <f>SUMIF('Entradas e Saídas'!$AH$5:$AH$44,Controle!$C14,'Entradas e Saídas'!$AJ$5:$AJ$44)</f>
        <v>0</v>
      </c>
      <c r="AC14" s="56">
        <f t="shared" si="5"/>
        <v>0</v>
      </c>
      <c r="AD14" s="57">
        <f>AC14*Inventário!$G10</f>
        <v>0</v>
      </c>
      <c r="AE14" s="56">
        <f>SUMIF('Entradas e Saídas'!$AN$5:$AN$44,Controle!$C14,'Entradas e Saídas'!$AO$5:$AO$44)</f>
        <v>0</v>
      </c>
      <c r="AF14" s="56">
        <f>SUMIF('Entradas e Saídas'!$AH$5:$AH$44,Controle!$C14,'Entradas e Saídas'!$AP$5:$AP$44)</f>
        <v>0</v>
      </c>
      <c r="AG14" s="56">
        <f t="shared" si="6"/>
        <v>0</v>
      </c>
      <c r="AH14" s="57">
        <f>AG14*Inventário!$G10</f>
        <v>0</v>
      </c>
      <c r="AI14" s="56">
        <f>SUMIF('Entradas e Saídas'!$AT$5:$AT$44,Controle!$C14,'Entradas e Saídas'!$AU$5:$AU$44)</f>
        <v>0</v>
      </c>
      <c r="AJ14" s="56">
        <f>SUMIF('Entradas e Saídas'!$AT$5:$AT$44,Controle!$C14,'Entradas e Saídas'!$AV$5:$AV$44)</f>
        <v>0</v>
      </c>
      <c r="AK14" s="56">
        <f t="shared" si="7"/>
        <v>0</v>
      </c>
      <c r="AL14" s="57">
        <f>AK14*Inventário!$G10</f>
        <v>0</v>
      </c>
      <c r="AM14" s="56">
        <f>SUMIF('Entradas e Saídas'!$AZ$5:$AZ$44,Controle!$C14,'Entradas e Saídas'!$BA$5:$BA$44)</f>
        <v>0</v>
      </c>
      <c r="AN14" s="56">
        <f>SUMIF('Entradas e Saídas'!$AZ$5:$AZ$44,Controle!$C14,'Entradas e Saídas'!$BB$5:$BB$44)</f>
        <v>0</v>
      </c>
      <c r="AO14" s="56">
        <f t="shared" si="8"/>
        <v>0</v>
      </c>
      <c r="AP14" s="57">
        <f>AO14*Inventário!$G10</f>
        <v>0</v>
      </c>
      <c r="AQ14" s="56">
        <f>SUMIF('Entradas e Saídas'!$BF$5:$BF$44,Controle!$C14,'Entradas e Saídas'!$BG$5:$BG$44)</f>
        <v>0</v>
      </c>
      <c r="AR14" s="56">
        <f>SUMIF('Entradas e Saídas'!$BF$5:$BF$44,Controle!$C14,'Entradas e Saídas'!$BH$5:$BH$44)</f>
        <v>0</v>
      </c>
      <c r="AS14" s="56">
        <f t="shared" si="9"/>
        <v>0</v>
      </c>
      <c r="AT14" s="57">
        <f>AS14*Inventário!$G10</f>
        <v>0</v>
      </c>
      <c r="AU14" s="56">
        <f>SUMIF('Entradas e Saídas'!$BL$5:$BL$44,Controle!$C14,'Entradas e Saídas'!$BM$5:$BM$44)</f>
        <v>0</v>
      </c>
      <c r="AV14" s="56">
        <f>SUMIF('Entradas e Saídas'!$BL$5:$BL$44,Controle!$C14,'Entradas e Saídas'!$BN$5:$BN$44)</f>
        <v>0</v>
      </c>
      <c r="AW14" s="56">
        <f t="shared" si="10"/>
        <v>0</v>
      </c>
      <c r="AX14" s="57">
        <f>AW14*Inventário!$G10</f>
        <v>0</v>
      </c>
      <c r="AY14" s="56">
        <f>SUMIF('Entradas e Saídas'!$BR$5:$BR$44,Controle!$C14,'Entradas e Saídas'!$BS$5:$BS$44)</f>
        <v>0</v>
      </c>
      <c r="AZ14" s="56">
        <f>SUMIF('Entradas e Saídas'!$BR$5:$BR$44,Controle!$C14,'Entradas e Saídas'!$BT$5:$BT$44)</f>
        <v>0</v>
      </c>
      <c r="BA14" s="56">
        <f t="shared" si="11"/>
        <v>0</v>
      </c>
      <c r="BB14" s="57">
        <f>BA14*Inventário!$G10</f>
        <v>0</v>
      </c>
      <c r="BC14" s="75"/>
      <c r="BD14" s="71"/>
      <c r="BE14" s="71" t="s">
        <v>11</v>
      </c>
      <c r="BF14" s="72">
        <f>V59</f>
        <v>0</v>
      </c>
      <c r="BG14" s="75"/>
    </row>
    <row r="15" spans="1:97" s="12" customFormat="1" ht="15.75" customHeight="1" x14ac:dyDescent="0.25">
      <c r="A15" s="8"/>
      <c r="B15" s="27" t="str">
        <f>IF(Inventário!C11="","",Inventário!C11)</f>
        <v/>
      </c>
      <c r="C15" s="26" t="str">
        <f>IF(B15="","",VLOOKUP(B15,Inventário!$C$4:$D$53,2,FALSE))</f>
        <v/>
      </c>
      <c r="D15" s="59" t="str">
        <f>IF(B15="","",I15+M15+Q15+U15+Y15+AC15+AG15+AK15+AO15+AS15+AW15+BA15+Inventário!H11)</f>
        <v/>
      </c>
      <c r="E15" s="60" t="str">
        <f>IF(B15="","",IF(D15&lt;0,"-",(D15*Inventário!G11)))</f>
        <v/>
      </c>
      <c r="F15" s="60" t="str">
        <f>IF(B15="","",IF(D15&gt;Inventário!I11,"NÃO",CONCATENATE("SIM:"," ",Inventário!J11," ","unid")))</f>
        <v/>
      </c>
      <c r="G15" s="56">
        <f>SUMIF('Entradas e Saídas'!$D$5:$D$44,Controle!$C15,'Entradas e Saídas'!$E$5:$E$44)</f>
        <v>0</v>
      </c>
      <c r="H15" s="56">
        <f>SUMIF('Entradas e Saídas'!$D$5:$D$44,Controle!$C15,'Entradas e Saídas'!$F$5:$F$44)</f>
        <v>0</v>
      </c>
      <c r="I15" s="56">
        <f t="shared" si="0"/>
        <v>0</v>
      </c>
      <c r="J15" s="57">
        <f>I15*Inventário!G11</f>
        <v>0</v>
      </c>
      <c r="K15" s="56">
        <f>SUMIF('Entradas e Saídas'!$J$5:$J$44,Controle!$C15,'Entradas e Saídas'!$K$5:$K$44)</f>
        <v>0</v>
      </c>
      <c r="L15" s="56">
        <f>SUMIF('Entradas e Saídas'!$J$5:$J$44,Controle!$C15,'Entradas e Saídas'!$L$5:$L$44)</f>
        <v>0</v>
      </c>
      <c r="M15" s="56">
        <f t="shared" si="1"/>
        <v>0</v>
      </c>
      <c r="N15" s="57">
        <f>M15*Inventário!$G11</f>
        <v>0</v>
      </c>
      <c r="O15" s="56">
        <f>SUMIF('Entradas e Saídas'!$P$5:$P$44,Controle!$C15,'Entradas e Saídas'!$Q$5:$Q$44)</f>
        <v>0</v>
      </c>
      <c r="P15" s="56">
        <f>SUMIF('Entradas e Saídas'!$P$5:$P$44,Controle!$C15,'Entradas e Saídas'!$R$5:$R$44)</f>
        <v>0</v>
      </c>
      <c r="Q15" s="56">
        <f t="shared" si="2"/>
        <v>0</v>
      </c>
      <c r="R15" s="57">
        <f>Q15*Inventário!$G11</f>
        <v>0</v>
      </c>
      <c r="S15" s="56">
        <f>SUMIF('Entradas e Saídas'!$V$5:$V$44,Controle!$C15,'Entradas e Saídas'!$W$5:$W$44)</f>
        <v>0</v>
      </c>
      <c r="T15" s="56">
        <f>SUMIF('Entradas e Saídas'!$V$5:$V$44,Controle!$C15,'Entradas e Saídas'!$X$5:$X$44)</f>
        <v>0</v>
      </c>
      <c r="U15" s="56">
        <f t="shared" si="3"/>
        <v>0</v>
      </c>
      <c r="V15" s="57">
        <f>U15*Inventário!$G11</f>
        <v>0</v>
      </c>
      <c r="W15" s="56">
        <f>SUMIF('Entradas e Saídas'!$AB$5:$AB$44,Controle!$C15,'Entradas e Saídas'!$AC$5:$AC$44)</f>
        <v>0</v>
      </c>
      <c r="X15" s="56">
        <f>SUMIF('Entradas e Saídas'!$AB$5:$AB$44,Controle!$C15,'Entradas e Saídas'!$AD$5:$AD$44)</f>
        <v>0</v>
      </c>
      <c r="Y15" s="56">
        <f t="shared" si="4"/>
        <v>0</v>
      </c>
      <c r="Z15" s="57">
        <f>Y15*Inventário!$G11</f>
        <v>0</v>
      </c>
      <c r="AA15" s="56">
        <f>SUMIF('Entradas e Saídas'!$AH$5:$AH$44,Controle!$C15,'Entradas e Saídas'!$AI$5:$AI$44)</f>
        <v>0</v>
      </c>
      <c r="AB15" s="56">
        <f>SUMIF('Entradas e Saídas'!$AH$5:$AH$44,Controle!$C15,'Entradas e Saídas'!$AJ$5:$AJ$44)</f>
        <v>0</v>
      </c>
      <c r="AC15" s="56">
        <f t="shared" si="5"/>
        <v>0</v>
      </c>
      <c r="AD15" s="57">
        <f>AC15*Inventário!$G11</f>
        <v>0</v>
      </c>
      <c r="AE15" s="56">
        <f>SUMIF('Entradas e Saídas'!$AN$5:$AN$44,Controle!$C15,'Entradas e Saídas'!$AO$5:$AO$44)</f>
        <v>0</v>
      </c>
      <c r="AF15" s="56">
        <f>SUMIF('Entradas e Saídas'!$AH$5:$AH$44,Controle!$C15,'Entradas e Saídas'!$AP$5:$AP$44)</f>
        <v>0</v>
      </c>
      <c r="AG15" s="56">
        <f t="shared" si="6"/>
        <v>0</v>
      </c>
      <c r="AH15" s="57">
        <f>AG15*Inventário!$G11</f>
        <v>0</v>
      </c>
      <c r="AI15" s="56">
        <f>SUMIF('Entradas e Saídas'!$AT$5:$AT$44,Controle!$C15,'Entradas e Saídas'!$AU$5:$AU$44)</f>
        <v>0</v>
      </c>
      <c r="AJ15" s="56">
        <f>SUMIF('Entradas e Saídas'!$AT$5:$AT$44,Controle!$C15,'Entradas e Saídas'!$AV$5:$AV$44)</f>
        <v>0</v>
      </c>
      <c r="AK15" s="56">
        <f t="shared" si="7"/>
        <v>0</v>
      </c>
      <c r="AL15" s="57">
        <f>AK15*Inventário!$G11</f>
        <v>0</v>
      </c>
      <c r="AM15" s="56">
        <f>SUMIF('Entradas e Saídas'!$AZ$5:$AZ$44,Controle!$C15,'Entradas e Saídas'!$BA$5:$BA$44)</f>
        <v>0</v>
      </c>
      <c r="AN15" s="56">
        <f>SUMIF('Entradas e Saídas'!$AZ$5:$AZ$44,Controle!$C15,'Entradas e Saídas'!$BB$5:$BB$44)</f>
        <v>0</v>
      </c>
      <c r="AO15" s="56">
        <f t="shared" si="8"/>
        <v>0</v>
      </c>
      <c r="AP15" s="57">
        <f>AO15*Inventário!$G11</f>
        <v>0</v>
      </c>
      <c r="AQ15" s="56">
        <f>SUMIF('Entradas e Saídas'!$BF$5:$BF$44,Controle!$C15,'Entradas e Saídas'!$BG$5:$BG$44)</f>
        <v>0</v>
      </c>
      <c r="AR15" s="56">
        <f>SUMIF('Entradas e Saídas'!$BF$5:$BF$44,Controle!$C15,'Entradas e Saídas'!$BH$5:$BH$44)</f>
        <v>0</v>
      </c>
      <c r="AS15" s="56">
        <f t="shared" si="9"/>
        <v>0</v>
      </c>
      <c r="AT15" s="57">
        <f>AS15*Inventário!$G11</f>
        <v>0</v>
      </c>
      <c r="AU15" s="56">
        <f>SUMIF('Entradas e Saídas'!$BL$5:$BL$44,Controle!$C15,'Entradas e Saídas'!$BM$5:$BM$44)</f>
        <v>0</v>
      </c>
      <c r="AV15" s="56">
        <f>SUMIF('Entradas e Saídas'!$BL$5:$BL$44,Controle!$C15,'Entradas e Saídas'!$BN$5:$BN$44)</f>
        <v>0</v>
      </c>
      <c r="AW15" s="56">
        <f t="shared" si="10"/>
        <v>0</v>
      </c>
      <c r="AX15" s="57">
        <f>AW15*Inventário!$G11</f>
        <v>0</v>
      </c>
      <c r="AY15" s="56">
        <f>SUMIF('Entradas e Saídas'!$BR$5:$BR$44,Controle!$C15,'Entradas e Saídas'!$BS$5:$BS$44)</f>
        <v>0</v>
      </c>
      <c r="AZ15" s="56">
        <f>SUMIF('Entradas e Saídas'!$BR$5:$BR$44,Controle!$C15,'Entradas e Saídas'!$BT$5:$BT$44)</f>
        <v>0</v>
      </c>
      <c r="BA15" s="56">
        <f t="shared" si="11"/>
        <v>0</v>
      </c>
      <c r="BB15" s="57">
        <f>BA15*Inventário!$G11</f>
        <v>0</v>
      </c>
      <c r="BC15" s="75"/>
      <c r="BD15" s="71"/>
      <c r="BE15" s="71" t="s">
        <v>12</v>
      </c>
      <c r="BF15" s="73">
        <f>Z59</f>
        <v>0</v>
      </c>
      <c r="BG15" s="75"/>
    </row>
    <row r="16" spans="1:97" s="3" customFormat="1" ht="15.75" customHeight="1" x14ac:dyDescent="0.25">
      <c r="A16" s="8"/>
      <c r="B16" s="27" t="str">
        <f>IF(Inventário!C12="","",Inventário!C12)</f>
        <v/>
      </c>
      <c r="C16" s="26" t="str">
        <f>IF(B16="","",VLOOKUP(B16,Inventário!$C$4:$D$53,2,FALSE))</f>
        <v/>
      </c>
      <c r="D16" s="59" t="str">
        <f>IF(B16="","",I16+M16+Q16+U16+Y16+AC16+AG16+AK16+AO16+AS16+AW16+BA16+Inventário!H12)</f>
        <v/>
      </c>
      <c r="E16" s="60" t="str">
        <f>IF(B16="","",IF(D16&lt;0,"-",(D16*Inventário!G12)))</f>
        <v/>
      </c>
      <c r="F16" s="60" t="str">
        <f>IF(B16="","",IF(D16&gt;Inventário!I12,"NÃO",CONCATENATE("SIM:"," ",Inventário!J12," ","unid")))</f>
        <v/>
      </c>
      <c r="G16" s="56">
        <f>SUMIF('Entradas e Saídas'!$D$5:$D$44,Controle!$C16,'Entradas e Saídas'!$E$5:$E$44)</f>
        <v>0</v>
      </c>
      <c r="H16" s="56">
        <f>SUMIF('Entradas e Saídas'!$D$5:$D$44,Controle!$C16,'Entradas e Saídas'!$F$5:$F$44)</f>
        <v>0</v>
      </c>
      <c r="I16" s="56">
        <f t="shared" si="0"/>
        <v>0</v>
      </c>
      <c r="J16" s="57">
        <f>I16*Inventário!G12</f>
        <v>0</v>
      </c>
      <c r="K16" s="56">
        <f>SUMIF('Entradas e Saídas'!$J$5:$J$44,Controle!$C16,'Entradas e Saídas'!$K$5:$K$44)</f>
        <v>0</v>
      </c>
      <c r="L16" s="56">
        <f>SUMIF('Entradas e Saídas'!$J$5:$J$44,Controle!$C16,'Entradas e Saídas'!$L$5:$L$44)</f>
        <v>0</v>
      </c>
      <c r="M16" s="56">
        <f t="shared" si="1"/>
        <v>0</v>
      </c>
      <c r="N16" s="57">
        <f>M16*Inventário!$G12</f>
        <v>0</v>
      </c>
      <c r="O16" s="56">
        <f>SUMIF('Entradas e Saídas'!$P$5:$P$44,Controle!$C16,'Entradas e Saídas'!$Q$5:$Q$44)</f>
        <v>0</v>
      </c>
      <c r="P16" s="56">
        <f>SUMIF('Entradas e Saídas'!$P$5:$P$44,Controle!$C16,'Entradas e Saídas'!$R$5:$R$44)</f>
        <v>0</v>
      </c>
      <c r="Q16" s="56">
        <f t="shared" si="2"/>
        <v>0</v>
      </c>
      <c r="R16" s="57">
        <f>Q16*Inventário!$G12</f>
        <v>0</v>
      </c>
      <c r="S16" s="56">
        <f>SUMIF('Entradas e Saídas'!$V$5:$V$44,Controle!$C16,'Entradas e Saídas'!$W$5:$W$44)</f>
        <v>0</v>
      </c>
      <c r="T16" s="56">
        <f>SUMIF('Entradas e Saídas'!$V$5:$V$44,Controle!$C16,'Entradas e Saídas'!$X$5:$X$44)</f>
        <v>0</v>
      </c>
      <c r="U16" s="56">
        <f t="shared" si="3"/>
        <v>0</v>
      </c>
      <c r="V16" s="57">
        <f>U16*Inventário!$G12</f>
        <v>0</v>
      </c>
      <c r="W16" s="56">
        <f>SUMIF('Entradas e Saídas'!$AB$5:$AB$44,Controle!$C16,'Entradas e Saídas'!$AC$5:$AC$44)</f>
        <v>0</v>
      </c>
      <c r="X16" s="56">
        <f>SUMIF('Entradas e Saídas'!$AB$5:$AB$44,Controle!$C16,'Entradas e Saídas'!$AD$5:$AD$44)</f>
        <v>0</v>
      </c>
      <c r="Y16" s="56">
        <f t="shared" si="4"/>
        <v>0</v>
      </c>
      <c r="Z16" s="57">
        <f>Y16*Inventário!$G12</f>
        <v>0</v>
      </c>
      <c r="AA16" s="56">
        <f>SUMIF('Entradas e Saídas'!$AH$5:$AH$44,Controle!$C16,'Entradas e Saídas'!$AI$5:$AI$44)</f>
        <v>0</v>
      </c>
      <c r="AB16" s="56">
        <f>SUMIF('Entradas e Saídas'!$AH$5:$AH$44,Controle!$C16,'Entradas e Saídas'!$AJ$5:$AJ$44)</f>
        <v>0</v>
      </c>
      <c r="AC16" s="56">
        <f t="shared" si="5"/>
        <v>0</v>
      </c>
      <c r="AD16" s="57">
        <f>AC16*Inventário!$G12</f>
        <v>0</v>
      </c>
      <c r="AE16" s="56">
        <f>SUMIF('Entradas e Saídas'!$AN$5:$AN$44,Controle!$C16,'Entradas e Saídas'!$AO$5:$AO$44)</f>
        <v>0</v>
      </c>
      <c r="AF16" s="56">
        <f>SUMIF('Entradas e Saídas'!$AH$5:$AH$44,Controle!$C16,'Entradas e Saídas'!$AP$5:$AP$44)</f>
        <v>0</v>
      </c>
      <c r="AG16" s="56">
        <f t="shared" si="6"/>
        <v>0</v>
      </c>
      <c r="AH16" s="57">
        <f>AG16*Inventário!$G12</f>
        <v>0</v>
      </c>
      <c r="AI16" s="56">
        <f>SUMIF('Entradas e Saídas'!$AT$5:$AT$44,Controle!$C16,'Entradas e Saídas'!$AU$5:$AU$44)</f>
        <v>0</v>
      </c>
      <c r="AJ16" s="56">
        <f>SUMIF('Entradas e Saídas'!$AT$5:$AT$44,Controle!$C16,'Entradas e Saídas'!$AV$5:$AV$44)</f>
        <v>0</v>
      </c>
      <c r="AK16" s="56">
        <f t="shared" si="7"/>
        <v>0</v>
      </c>
      <c r="AL16" s="57">
        <f>AK16*Inventário!$G12</f>
        <v>0</v>
      </c>
      <c r="AM16" s="56">
        <f>SUMIF('Entradas e Saídas'!$AZ$5:$AZ$44,Controle!$C16,'Entradas e Saídas'!$BA$5:$BA$44)</f>
        <v>0</v>
      </c>
      <c r="AN16" s="56">
        <f>SUMIF('Entradas e Saídas'!$AZ$5:$AZ$44,Controle!$C16,'Entradas e Saídas'!$BB$5:$BB$44)</f>
        <v>0</v>
      </c>
      <c r="AO16" s="56">
        <f t="shared" si="8"/>
        <v>0</v>
      </c>
      <c r="AP16" s="57">
        <f>AO16*Inventário!$G12</f>
        <v>0</v>
      </c>
      <c r="AQ16" s="56">
        <f>SUMIF('Entradas e Saídas'!$BF$5:$BF$44,Controle!$C16,'Entradas e Saídas'!$BG$5:$BG$44)</f>
        <v>0</v>
      </c>
      <c r="AR16" s="56">
        <f>SUMIF('Entradas e Saídas'!$BF$5:$BF$44,Controle!$C16,'Entradas e Saídas'!$BH$5:$BH$44)</f>
        <v>0</v>
      </c>
      <c r="AS16" s="56">
        <f t="shared" si="9"/>
        <v>0</v>
      </c>
      <c r="AT16" s="57">
        <f>AS16*Inventário!$G12</f>
        <v>0</v>
      </c>
      <c r="AU16" s="56">
        <f>SUMIF('Entradas e Saídas'!$BL$5:$BL$44,Controle!$C16,'Entradas e Saídas'!$BM$5:$BM$44)</f>
        <v>0</v>
      </c>
      <c r="AV16" s="56">
        <f>SUMIF('Entradas e Saídas'!$BL$5:$BL$44,Controle!$C16,'Entradas e Saídas'!$BN$5:$BN$44)</f>
        <v>0</v>
      </c>
      <c r="AW16" s="56">
        <f t="shared" si="10"/>
        <v>0</v>
      </c>
      <c r="AX16" s="57">
        <f>AW16*Inventário!$G12</f>
        <v>0</v>
      </c>
      <c r="AY16" s="56">
        <f>SUMIF('Entradas e Saídas'!$BR$5:$BR$44,Controle!$C16,'Entradas e Saídas'!$BS$5:$BS$44)</f>
        <v>0</v>
      </c>
      <c r="AZ16" s="56">
        <f>SUMIF('Entradas e Saídas'!$BR$5:$BR$44,Controle!$C16,'Entradas e Saídas'!$BT$5:$BT$44)</f>
        <v>0</v>
      </c>
      <c r="BA16" s="56">
        <f t="shared" si="11"/>
        <v>0</v>
      </c>
      <c r="BB16" s="57">
        <f>BA16*Inventário!$G12</f>
        <v>0</v>
      </c>
      <c r="BC16" s="76"/>
      <c r="BD16" s="4"/>
      <c r="BE16" s="71" t="s">
        <v>13</v>
      </c>
      <c r="BF16" s="72">
        <f>AD59</f>
        <v>0</v>
      </c>
      <c r="BG16" s="76"/>
    </row>
    <row r="17" spans="1:59" s="4" customFormat="1" ht="15.75" customHeight="1" x14ac:dyDescent="0.25">
      <c r="A17" s="8"/>
      <c r="B17" s="27" t="str">
        <f>IF(Inventário!C13="","",Inventário!C13)</f>
        <v/>
      </c>
      <c r="C17" s="26" t="str">
        <f>IF(B17="","",VLOOKUP(B17,Inventário!$C$4:$D$53,2,FALSE))</f>
        <v/>
      </c>
      <c r="D17" s="59" t="str">
        <f>IF(B17="","",I17+M17+Q17+U17+Y17+AC17+AG17+AK17+AO17+AS17+AW17+BA17+Inventário!H13)</f>
        <v/>
      </c>
      <c r="E17" s="60" t="str">
        <f>IF(B17="","",IF(D17&lt;0,"-",(D17*Inventário!G13)))</f>
        <v/>
      </c>
      <c r="F17" s="60" t="str">
        <f>IF(B17="","",IF(D17&gt;Inventário!I13,"NÃO",CONCATENATE("SIM:"," ",Inventário!J13," ","unid")))</f>
        <v/>
      </c>
      <c r="G17" s="56">
        <f>SUMIF('Entradas e Saídas'!$D$5:$D$44,Controle!$C17,'Entradas e Saídas'!$E$5:$E$44)</f>
        <v>0</v>
      </c>
      <c r="H17" s="56">
        <f>SUMIF('Entradas e Saídas'!$D$5:$D$44,Controle!$C17,'Entradas e Saídas'!$F$5:$F$44)</f>
        <v>0</v>
      </c>
      <c r="I17" s="56">
        <f t="shared" si="0"/>
        <v>0</v>
      </c>
      <c r="J17" s="57">
        <f>I17*Inventário!G13</f>
        <v>0</v>
      </c>
      <c r="K17" s="56">
        <f>SUMIF('Entradas e Saídas'!$J$5:$J$44,Controle!$C17,'Entradas e Saídas'!$K$5:$K$44)</f>
        <v>0</v>
      </c>
      <c r="L17" s="56">
        <f>SUMIF('Entradas e Saídas'!$J$5:$J$44,Controle!$C17,'Entradas e Saídas'!$L$5:$L$44)</f>
        <v>0</v>
      </c>
      <c r="M17" s="56">
        <f t="shared" si="1"/>
        <v>0</v>
      </c>
      <c r="N17" s="57">
        <f>M17*Inventário!$G13</f>
        <v>0</v>
      </c>
      <c r="O17" s="56">
        <f>SUMIF('Entradas e Saídas'!$P$5:$P$44,Controle!$C17,'Entradas e Saídas'!$Q$5:$Q$44)</f>
        <v>0</v>
      </c>
      <c r="P17" s="56">
        <f>SUMIF('Entradas e Saídas'!$P$5:$P$44,Controle!$C17,'Entradas e Saídas'!$R$5:$R$44)</f>
        <v>0</v>
      </c>
      <c r="Q17" s="56">
        <f t="shared" si="2"/>
        <v>0</v>
      </c>
      <c r="R17" s="57">
        <f>Q17*Inventário!$G13</f>
        <v>0</v>
      </c>
      <c r="S17" s="56">
        <f>SUMIF('Entradas e Saídas'!$V$5:$V$44,Controle!$C17,'Entradas e Saídas'!$W$5:$W$44)</f>
        <v>0</v>
      </c>
      <c r="T17" s="56">
        <f>SUMIF('Entradas e Saídas'!$V$5:$V$44,Controle!$C17,'Entradas e Saídas'!$X$5:$X$44)</f>
        <v>0</v>
      </c>
      <c r="U17" s="56">
        <f t="shared" si="3"/>
        <v>0</v>
      </c>
      <c r="V17" s="57">
        <f>U17*Inventário!$G13</f>
        <v>0</v>
      </c>
      <c r="W17" s="56">
        <f>SUMIF('Entradas e Saídas'!$AB$5:$AB$44,Controle!$C17,'Entradas e Saídas'!$AC$5:$AC$44)</f>
        <v>0</v>
      </c>
      <c r="X17" s="56">
        <f>SUMIF('Entradas e Saídas'!$AB$5:$AB$44,Controle!$C17,'Entradas e Saídas'!$AD$5:$AD$44)</f>
        <v>0</v>
      </c>
      <c r="Y17" s="56">
        <f t="shared" si="4"/>
        <v>0</v>
      </c>
      <c r="Z17" s="57">
        <f>Y17*Inventário!$G13</f>
        <v>0</v>
      </c>
      <c r="AA17" s="56">
        <f>SUMIF('Entradas e Saídas'!$AH$5:$AH$44,Controle!$C17,'Entradas e Saídas'!$AI$5:$AI$44)</f>
        <v>0</v>
      </c>
      <c r="AB17" s="56">
        <f>SUMIF('Entradas e Saídas'!$AH$5:$AH$44,Controle!$C17,'Entradas e Saídas'!$AJ$5:$AJ$44)</f>
        <v>0</v>
      </c>
      <c r="AC17" s="56">
        <f t="shared" si="5"/>
        <v>0</v>
      </c>
      <c r="AD17" s="57">
        <f>AC17*Inventário!$G13</f>
        <v>0</v>
      </c>
      <c r="AE17" s="56">
        <f>SUMIF('Entradas e Saídas'!$AN$5:$AN$44,Controle!$C17,'Entradas e Saídas'!$AO$5:$AO$44)</f>
        <v>0</v>
      </c>
      <c r="AF17" s="56">
        <f>SUMIF('Entradas e Saídas'!$AH$5:$AH$44,Controle!$C17,'Entradas e Saídas'!$AP$5:$AP$44)</f>
        <v>0</v>
      </c>
      <c r="AG17" s="56">
        <f t="shared" si="6"/>
        <v>0</v>
      </c>
      <c r="AH17" s="57">
        <f>AG17*Inventário!$G13</f>
        <v>0</v>
      </c>
      <c r="AI17" s="56">
        <f>SUMIF('Entradas e Saídas'!$AT$5:$AT$44,Controle!$C17,'Entradas e Saídas'!$AU$5:$AU$44)</f>
        <v>0</v>
      </c>
      <c r="AJ17" s="56">
        <f>SUMIF('Entradas e Saídas'!$AT$5:$AT$44,Controle!$C17,'Entradas e Saídas'!$AV$5:$AV$44)</f>
        <v>0</v>
      </c>
      <c r="AK17" s="56">
        <f t="shared" si="7"/>
        <v>0</v>
      </c>
      <c r="AL17" s="57">
        <f>AK17*Inventário!$G13</f>
        <v>0</v>
      </c>
      <c r="AM17" s="56">
        <f>SUMIF('Entradas e Saídas'!$AZ$5:$AZ$44,Controle!$C17,'Entradas e Saídas'!$BA$5:$BA$44)</f>
        <v>0</v>
      </c>
      <c r="AN17" s="56">
        <f>SUMIF('Entradas e Saídas'!$AZ$5:$AZ$44,Controle!$C17,'Entradas e Saídas'!$BB$5:$BB$44)</f>
        <v>0</v>
      </c>
      <c r="AO17" s="56">
        <f t="shared" si="8"/>
        <v>0</v>
      </c>
      <c r="AP17" s="57">
        <f>AO17*Inventário!$G13</f>
        <v>0</v>
      </c>
      <c r="AQ17" s="56">
        <f>SUMIF('Entradas e Saídas'!$BF$5:$BF$44,Controle!$C17,'Entradas e Saídas'!$BG$5:$BG$44)</f>
        <v>0</v>
      </c>
      <c r="AR17" s="56">
        <f>SUMIF('Entradas e Saídas'!$BF$5:$BF$44,Controle!$C17,'Entradas e Saídas'!$BH$5:$BH$44)</f>
        <v>0</v>
      </c>
      <c r="AS17" s="56">
        <f t="shared" si="9"/>
        <v>0</v>
      </c>
      <c r="AT17" s="57">
        <f>AS17*Inventário!$G13</f>
        <v>0</v>
      </c>
      <c r="AU17" s="56">
        <f>SUMIF('Entradas e Saídas'!$BL$5:$BL$44,Controle!$C17,'Entradas e Saídas'!$BM$5:$BM$44)</f>
        <v>0</v>
      </c>
      <c r="AV17" s="56">
        <f>SUMIF('Entradas e Saídas'!$BL$5:$BL$44,Controle!$C17,'Entradas e Saídas'!$BN$5:$BN$44)</f>
        <v>0</v>
      </c>
      <c r="AW17" s="56">
        <f t="shared" si="10"/>
        <v>0</v>
      </c>
      <c r="AX17" s="57">
        <f>AW17*Inventário!$G13</f>
        <v>0</v>
      </c>
      <c r="AY17" s="56">
        <f>SUMIF('Entradas e Saídas'!$BR$5:$BR$44,Controle!$C17,'Entradas e Saídas'!$BS$5:$BS$44)</f>
        <v>0</v>
      </c>
      <c r="AZ17" s="56">
        <f>SUMIF('Entradas e Saídas'!$BR$5:$BR$44,Controle!$C17,'Entradas e Saídas'!$BT$5:$BT$44)</f>
        <v>0</v>
      </c>
      <c r="BA17" s="56">
        <f t="shared" si="11"/>
        <v>0</v>
      </c>
      <c r="BB17" s="57">
        <f>BA17*Inventário!$G13</f>
        <v>0</v>
      </c>
      <c r="BC17" s="76"/>
      <c r="BE17" s="71" t="s">
        <v>14</v>
      </c>
      <c r="BF17" s="72">
        <f>AH59</f>
        <v>0</v>
      </c>
      <c r="BG17" s="76"/>
    </row>
    <row r="18" spans="1:59" s="12" customFormat="1" ht="15.75" customHeight="1" x14ac:dyDescent="0.25">
      <c r="A18" s="8"/>
      <c r="B18" s="27" t="str">
        <f>IF(Inventário!C14="","",Inventário!C14)</f>
        <v/>
      </c>
      <c r="C18" s="26" t="str">
        <f>IF(B18="","",VLOOKUP(B18,Inventário!$C$4:$D$53,2,FALSE))</f>
        <v/>
      </c>
      <c r="D18" s="59" t="str">
        <f>IF(B18="","",I18+M18+Q18+U18+Y18+AC18+AG18+AK18+AO18+AS18+AW18+BA18+Inventário!H14)</f>
        <v/>
      </c>
      <c r="E18" s="60" t="str">
        <f>IF(B18="","",IF(D18&lt;0,"-",(D18*Inventário!G14)))</f>
        <v/>
      </c>
      <c r="F18" s="60" t="str">
        <f>IF(B18="","",IF(D18&gt;Inventário!I14,"NÃO",CONCATENATE("SIM:"," ",Inventário!J14," ","unid")))</f>
        <v/>
      </c>
      <c r="G18" s="56">
        <f>SUMIF('Entradas e Saídas'!$D$5:$D$44,Controle!$C18,'Entradas e Saídas'!$E$5:$E$44)</f>
        <v>0</v>
      </c>
      <c r="H18" s="56">
        <f>SUMIF('Entradas e Saídas'!$D$5:$D$44,Controle!$C18,'Entradas e Saídas'!$F$5:$F$44)</f>
        <v>0</v>
      </c>
      <c r="I18" s="56">
        <f t="shared" si="0"/>
        <v>0</v>
      </c>
      <c r="J18" s="57">
        <f>I18*Inventário!G14</f>
        <v>0</v>
      </c>
      <c r="K18" s="56">
        <f>SUMIF('Entradas e Saídas'!$J$5:$J$44,Controle!$C18,'Entradas e Saídas'!$K$5:$K$44)</f>
        <v>0</v>
      </c>
      <c r="L18" s="56">
        <f>SUMIF('Entradas e Saídas'!$J$5:$J$44,Controle!$C18,'Entradas e Saídas'!$L$5:$L$44)</f>
        <v>0</v>
      </c>
      <c r="M18" s="56">
        <f t="shared" si="1"/>
        <v>0</v>
      </c>
      <c r="N18" s="57">
        <f>M18*Inventário!$G14</f>
        <v>0</v>
      </c>
      <c r="O18" s="56">
        <f>SUMIF('Entradas e Saídas'!$P$5:$P$44,Controle!$C18,'Entradas e Saídas'!$Q$5:$Q$44)</f>
        <v>0</v>
      </c>
      <c r="P18" s="56">
        <f>SUMIF('Entradas e Saídas'!$P$5:$P$44,Controle!$C18,'Entradas e Saídas'!$R$5:$R$44)</f>
        <v>0</v>
      </c>
      <c r="Q18" s="56">
        <f t="shared" si="2"/>
        <v>0</v>
      </c>
      <c r="R18" s="57">
        <f>Q18*Inventário!$G14</f>
        <v>0</v>
      </c>
      <c r="S18" s="56">
        <f>SUMIF('Entradas e Saídas'!$V$5:$V$44,Controle!$C18,'Entradas e Saídas'!$W$5:$W$44)</f>
        <v>0</v>
      </c>
      <c r="T18" s="56">
        <f>SUMIF('Entradas e Saídas'!$V$5:$V$44,Controle!$C18,'Entradas e Saídas'!$X$5:$X$44)</f>
        <v>0</v>
      </c>
      <c r="U18" s="56">
        <f t="shared" si="3"/>
        <v>0</v>
      </c>
      <c r="V18" s="57">
        <f>U18*Inventário!$G14</f>
        <v>0</v>
      </c>
      <c r="W18" s="56">
        <f>SUMIF('Entradas e Saídas'!$AB$5:$AB$44,Controle!$C18,'Entradas e Saídas'!$AC$5:$AC$44)</f>
        <v>0</v>
      </c>
      <c r="X18" s="56">
        <f>SUMIF('Entradas e Saídas'!$AB$5:$AB$44,Controle!$C18,'Entradas e Saídas'!$AD$5:$AD$44)</f>
        <v>0</v>
      </c>
      <c r="Y18" s="56">
        <f t="shared" si="4"/>
        <v>0</v>
      </c>
      <c r="Z18" s="57">
        <f>Y18*Inventário!$G14</f>
        <v>0</v>
      </c>
      <c r="AA18" s="56">
        <f>SUMIF('Entradas e Saídas'!$AH$5:$AH$44,Controle!$C18,'Entradas e Saídas'!$AI$5:$AI$44)</f>
        <v>0</v>
      </c>
      <c r="AB18" s="56">
        <f>SUMIF('Entradas e Saídas'!$AH$5:$AH$44,Controle!$C18,'Entradas e Saídas'!$AJ$5:$AJ$44)</f>
        <v>0</v>
      </c>
      <c r="AC18" s="56">
        <f t="shared" si="5"/>
        <v>0</v>
      </c>
      <c r="AD18" s="57">
        <f>AC18*Inventário!$G14</f>
        <v>0</v>
      </c>
      <c r="AE18" s="56">
        <f>SUMIF('Entradas e Saídas'!$AN$5:$AN$44,Controle!$C18,'Entradas e Saídas'!$AO$5:$AO$44)</f>
        <v>0</v>
      </c>
      <c r="AF18" s="56">
        <f>SUMIF('Entradas e Saídas'!$AH$5:$AH$44,Controle!$C18,'Entradas e Saídas'!$AP$5:$AP$44)</f>
        <v>0</v>
      </c>
      <c r="AG18" s="56">
        <f t="shared" si="6"/>
        <v>0</v>
      </c>
      <c r="AH18" s="57">
        <f>AG18*Inventário!$G14</f>
        <v>0</v>
      </c>
      <c r="AI18" s="56">
        <f>SUMIF('Entradas e Saídas'!$AT$5:$AT$44,Controle!$C18,'Entradas e Saídas'!$AU$5:$AU$44)</f>
        <v>0</v>
      </c>
      <c r="AJ18" s="56">
        <f>SUMIF('Entradas e Saídas'!$AT$5:$AT$44,Controle!$C18,'Entradas e Saídas'!$AV$5:$AV$44)</f>
        <v>0</v>
      </c>
      <c r="AK18" s="56">
        <f t="shared" si="7"/>
        <v>0</v>
      </c>
      <c r="AL18" s="57">
        <f>AK18*Inventário!$G14</f>
        <v>0</v>
      </c>
      <c r="AM18" s="56">
        <f>SUMIF('Entradas e Saídas'!$AZ$5:$AZ$44,Controle!$C18,'Entradas e Saídas'!$BA$5:$BA$44)</f>
        <v>0</v>
      </c>
      <c r="AN18" s="56">
        <f>SUMIF('Entradas e Saídas'!$AZ$5:$AZ$44,Controle!$C18,'Entradas e Saídas'!$BB$5:$BB$44)</f>
        <v>0</v>
      </c>
      <c r="AO18" s="56">
        <f t="shared" si="8"/>
        <v>0</v>
      </c>
      <c r="AP18" s="57">
        <f>AO18*Inventário!$G14</f>
        <v>0</v>
      </c>
      <c r="AQ18" s="56">
        <f>SUMIF('Entradas e Saídas'!$BF$5:$BF$44,Controle!$C18,'Entradas e Saídas'!$BG$5:$BG$44)</f>
        <v>0</v>
      </c>
      <c r="AR18" s="56">
        <f>SUMIF('Entradas e Saídas'!$BF$5:$BF$44,Controle!$C18,'Entradas e Saídas'!$BH$5:$BH$44)</f>
        <v>0</v>
      </c>
      <c r="AS18" s="56">
        <f t="shared" si="9"/>
        <v>0</v>
      </c>
      <c r="AT18" s="57">
        <f>AS18*Inventário!$G14</f>
        <v>0</v>
      </c>
      <c r="AU18" s="56">
        <f>SUMIF('Entradas e Saídas'!$BL$5:$BL$44,Controle!$C18,'Entradas e Saídas'!$BM$5:$BM$44)</f>
        <v>0</v>
      </c>
      <c r="AV18" s="56">
        <f>SUMIF('Entradas e Saídas'!$BL$5:$BL$44,Controle!$C18,'Entradas e Saídas'!$BN$5:$BN$44)</f>
        <v>0</v>
      </c>
      <c r="AW18" s="56">
        <f t="shared" si="10"/>
        <v>0</v>
      </c>
      <c r="AX18" s="57">
        <f>AW18*Inventário!$G14</f>
        <v>0</v>
      </c>
      <c r="AY18" s="56">
        <f>SUMIF('Entradas e Saídas'!$BR$5:$BR$44,Controle!$C18,'Entradas e Saídas'!$BS$5:$BS$44)</f>
        <v>0</v>
      </c>
      <c r="AZ18" s="56">
        <f>SUMIF('Entradas e Saídas'!$BR$5:$BR$44,Controle!$C18,'Entradas e Saídas'!$BT$5:$BT$44)</f>
        <v>0</v>
      </c>
      <c r="BA18" s="56">
        <f t="shared" si="11"/>
        <v>0</v>
      </c>
      <c r="BB18" s="57">
        <f>BA18*Inventário!$G14</f>
        <v>0</v>
      </c>
      <c r="BC18" s="75"/>
      <c r="BD18" s="71"/>
      <c r="BE18" s="71" t="s">
        <v>15</v>
      </c>
      <c r="BF18" s="72">
        <f>AL59</f>
        <v>0</v>
      </c>
      <c r="BG18" s="75"/>
    </row>
    <row r="19" spans="1:59" s="12" customFormat="1" ht="15.75" customHeight="1" x14ac:dyDescent="0.25">
      <c r="A19" s="8"/>
      <c r="B19" s="27" t="str">
        <f>IF(Inventário!C15="","",Inventário!C15)</f>
        <v/>
      </c>
      <c r="C19" s="26" t="str">
        <f>IF(B19="","",VLOOKUP(B19,Inventário!$C$4:$D$53,2,FALSE))</f>
        <v/>
      </c>
      <c r="D19" s="59" t="str">
        <f>IF(B19="","",I19+M19+Q19+U19+Y19+AC19+AG19+AK19+AO19+AS19+AW19+BA19+Inventário!H15)</f>
        <v/>
      </c>
      <c r="E19" s="60" t="str">
        <f>IF(B19="","",IF(D19&lt;0,"-",(D19*Inventário!G15)))</f>
        <v/>
      </c>
      <c r="F19" s="60" t="str">
        <f>IF(B19="","",IF(D19&gt;Inventário!I15,"NÃO",CONCATENATE("SIM:"," ",Inventário!J15," ","unid")))</f>
        <v/>
      </c>
      <c r="G19" s="56">
        <f>SUMIF('Entradas e Saídas'!$D$5:$D$44,Controle!$C19,'Entradas e Saídas'!$E$5:$E$44)</f>
        <v>0</v>
      </c>
      <c r="H19" s="56">
        <f>SUMIF('Entradas e Saídas'!$D$5:$D$44,Controle!$C19,'Entradas e Saídas'!$F$5:$F$44)</f>
        <v>0</v>
      </c>
      <c r="I19" s="56">
        <f t="shared" si="0"/>
        <v>0</v>
      </c>
      <c r="J19" s="57">
        <f>I19*Inventário!G15</f>
        <v>0</v>
      </c>
      <c r="K19" s="56">
        <f>SUMIF('Entradas e Saídas'!$J$5:$J$44,Controle!$C19,'Entradas e Saídas'!$K$5:$K$44)</f>
        <v>0</v>
      </c>
      <c r="L19" s="56">
        <f>SUMIF('Entradas e Saídas'!$J$5:$J$44,Controle!$C19,'Entradas e Saídas'!$L$5:$L$44)</f>
        <v>0</v>
      </c>
      <c r="M19" s="56">
        <f t="shared" si="1"/>
        <v>0</v>
      </c>
      <c r="N19" s="57">
        <f>M19*Inventário!$G15</f>
        <v>0</v>
      </c>
      <c r="O19" s="56">
        <f>SUMIF('Entradas e Saídas'!$P$5:$P$44,Controle!$C19,'Entradas e Saídas'!$Q$5:$Q$44)</f>
        <v>0</v>
      </c>
      <c r="P19" s="56">
        <f>SUMIF('Entradas e Saídas'!$P$5:$P$44,Controle!$C19,'Entradas e Saídas'!$R$5:$R$44)</f>
        <v>0</v>
      </c>
      <c r="Q19" s="56">
        <f t="shared" si="2"/>
        <v>0</v>
      </c>
      <c r="R19" s="57">
        <f>Q19*Inventário!$G15</f>
        <v>0</v>
      </c>
      <c r="S19" s="56">
        <f>SUMIF('Entradas e Saídas'!$V$5:$V$44,Controle!$C19,'Entradas e Saídas'!$W$5:$W$44)</f>
        <v>0</v>
      </c>
      <c r="T19" s="56">
        <f>SUMIF('Entradas e Saídas'!$V$5:$V$44,Controle!$C19,'Entradas e Saídas'!$X$5:$X$44)</f>
        <v>0</v>
      </c>
      <c r="U19" s="56">
        <f t="shared" si="3"/>
        <v>0</v>
      </c>
      <c r="V19" s="57">
        <f>U19*Inventário!$G15</f>
        <v>0</v>
      </c>
      <c r="W19" s="56">
        <f>SUMIF('Entradas e Saídas'!$AB$5:$AB$44,Controle!$C19,'Entradas e Saídas'!$AC$5:$AC$44)</f>
        <v>0</v>
      </c>
      <c r="X19" s="56">
        <f>SUMIF('Entradas e Saídas'!$AB$5:$AB$44,Controle!$C19,'Entradas e Saídas'!$AD$5:$AD$44)</f>
        <v>0</v>
      </c>
      <c r="Y19" s="56">
        <f t="shared" si="4"/>
        <v>0</v>
      </c>
      <c r="Z19" s="57">
        <f>Y19*Inventário!$G15</f>
        <v>0</v>
      </c>
      <c r="AA19" s="56">
        <f>SUMIF('Entradas e Saídas'!$AH$5:$AH$44,Controle!$C19,'Entradas e Saídas'!$AI$5:$AI$44)</f>
        <v>0</v>
      </c>
      <c r="AB19" s="56">
        <f>SUMIF('Entradas e Saídas'!$AH$5:$AH$44,Controle!$C19,'Entradas e Saídas'!$AJ$5:$AJ$44)</f>
        <v>0</v>
      </c>
      <c r="AC19" s="56">
        <f t="shared" si="5"/>
        <v>0</v>
      </c>
      <c r="AD19" s="57">
        <f>AC19*Inventário!$G15</f>
        <v>0</v>
      </c>
      <c r="AE19" s="56">
        <f>SUMIF('Entradas e Saídas'!$AN$5:$AN$44,Controle!$C19,'Entradas e Saídas'!$AO$5:$AO$44)</f>
        <v>0</v>
      </c>
      <c r="AF19" s="56">
        <f>SUMIF('Entradas e Saídas'!$AH$5:$AH$44,Controle!$C19,'Entradas e Saídas'!$AP$5:$AP$44)</f>
        <v>0</v>
      </c>
      <c r="AG19" s="56">
        <f t="shared" si="6"/>
        <v>0</v>
      </c>
      <c r="AH19" s="57">
        <f>AG19*Inventário!$G15</f>
        <v>0</v>
      </c>
      <c r="AI19" s="56">
        <f>SUMIF('Entradas e Saídas'!$AT$5:$AT$44,Controle!$C19,'Entradas e Saídas'!$AU$5:$AU$44)</f>
        <v>0</v>
      </c>
      <c r="AJ19" s="56">
        <f>SUMIF('Entradas e Saídas'!$AT$5:$AT$44,Controle!$C19,'Entradas e Saídas'!$AV$5:$AV$44)</f>
        <v>0</v>
      </c>
      <c r="AK19" s="56">
        <f t="shared" si="7"/>
        <v>0</v>
      </c>
      <c r="AL19" s="57">
        <f>AK19*Inventário!$G15</f>
        <v>0</v>
      </c>
      <c r="AM19" s="56">
        <f>SUMIF('Entradas e Saídas'!$AZ$5:$AZ$44,Controle!$C19,'Entradas e Saídas'!$BA$5:$BA$44)</f>
        <v>0</v>
      </c>
      <c r="AN19" s="56">
        <f>SUMIF('Entradas e Saídas'!$AZ$5:$AZ$44,Controle!$C19,'Entradas e Saídas'!$BB$5:$BB$44)</f>
        <v>0</v>
      </c>
      <c r="AO19" s="56">
        <f t="shared" si="8"/>
        <v>0</v>
      </c>
      <c r="AP19" s="57">
        <f>AO19*Inventário!$G15</f>
        <v>0</v>
      </c>
      <c r="AQ19" s="56">
        <f>SUMIF('Entradas e Saídas'!$BF$5:$BF$44,Controle!$C19,'Entradas e Saídas'!$BG$5:$BG$44)</f>
        <v>0</v>
      </c>
      <c r="AR19" s="56">
        <f>SUMIF('Entradas e Saídas'!$BF$5:$BF$44,Controle!$C19,'Entradas e Saídas'!$BH$5:$BH$44)</f>
        <v>0</v>
      </c>
      <c r="AS19" s="56">
        <f t="shared" si="9"/>
        <v>0</v>
      </c>
      <c r="AT19" s="57">
        <f>AS19*Inventário!$G15</f>
        <v>0</v>
      </c>
      <c r="AU19" s="56">
        <f>SUMIF('Entradas e Saídas'!$BL$5:$BL$44,Controle!$C19,'Entradas e Saídas'!$BM$5:$BM$44)</f>
        <v>0</v>
      </c>
      <c r="AV19" s="56">
        <f>SUMIF('Entradas e Saídas'!$BL$5:$BL$44,Controle!$C19,'Entradas e Saídas'!$BN$5:$BN$44)</f>
        <v>0</v>
      </c>
      <c r="AW19" s="56">
        <f t="shared" si="10"/>
        <v>0</v>
      </c>
      <c r="AX19" s="57">
        <f>AW19*Inventário!$G15</f>
        <v>0</v>
      </c>
      <c r="AY19" s="56">
        <f>SUMIF('Entradas e Saídas'!$BR$5:$BR$44,Controle!$C19,'Entradas e Saídas'!$BS$5:$BS$44)</f>
        <v>0</v>
      </c>
      <c r="AZ19" s="56">
        <f>SUMIF('Entradas e Saídas'!$BR$5:$BR$44,Controle!$C19,'Entradas e Saídas'!$BT$5:$BT$44)</f>
        <v>0</v>
      </c>
      <c r="BA19" s="56">
        <f t="shared" si="11"/>
        <v>0</v>
      </c>
      <c r="BB19" s="57">
        <f>BA19*Inventário!$G15</f>
        <v>0</v>
      </c>
      <c r="BC19" s="75"/>
      <c r="BD19" s="71"/>
      <c r="BE19" s="71" t="s">
        <v>16</v>
      </c>
      <c r="BF19" s="72">
        <f>AP59</f>
        <v>0</v>
      </c>
      <c r="BG19" s="75"/>
    </row>
    <row r="20" spans="1:59" s="12" customFormat="1" ht="15.75" customHeight="1" x14ac:dyDescent="0.25">
      <c r="A20" s="8"/>
      <c r="B20" s="27" t="str">
        <f>IF(Inventário!C16="","",Inventário!C16)</f>
        <v/>
      </c>
      <c r="C20" s="26" t="str">
        <f>IF(B20="","",VLOOKUP(B20,Inventário!$C$4:$D$53,2,FALSE))</f>
        <v/>
      </c>
      <c r="D20" s="59" t="str">
        <f>IF(B20="","",I20+M20+Q20+U20+Y20+AC20+AG20+AK20+AO20+AS20+AW20+BA20+Inventário!H16)</f>
        <v/>
      </c>
      <c r="E20" s="60" t="str">
        <f>IF(B20="","",IF(D20&lt;0,"-",(D20*Inventário!G16)))</f>
        <v/>
      </c>
      <c r="F20" s="60" t="str">
        <f>IF(B20="","",IF(D20&gt;Inventário!I16,"NÃO",CONCATENATE("SIM:"," ",Inventário!J16," ","unid")))</f>
        <v/>
      </c>
      <c r="G20" s="56">
        <f>SUMIF('Entradas e Saídas'!$D$5:$D$44,Controle!$C20,'Entradas e Saídas'!$E$5:$E$44)</f>
        <v>0</v>
      </c>
      <c r="H20" s="56">
        <f>SUMIF('Entradas e Saídas'!$D$5:$D$44,Controle!$C20,'Entradas e Saídas'!$F$5:$F$44)</f>
        <v>0</v>
      </c>
      <c r="I20" s="56">
        <f t="shared" si="0"/>
        <v>0</v>
      </c>
      <c r="J20" s="57">
        <f>I20*Inventário!G16</f>
        <v>0</v>
      </c>
      <c r="K20" s="56">
        <f>SUMIF('Entradas e Saídas'!$J$5:$J$44,Controle!$C20,'Entradas e Saídas'!$K$5:$K$44)</f>
        <v>0</v>
      </c>
      <c r="L20" s="56">
        <f>SUMIF('Entradas e Saídas'!$J$5:$J$44,Controle!$C20,'Entradas e Saídas'!$L$5:$L$44)</f>
        <v>0</v>
      </c>
      <c r="M20" s="56">
        <f t="shared" si="1"/>
        <v>0</v>
      </c>
      <c r="N20" s="57">
        <f>M20*Inventário!$G16</f>
        <v>0</v>
      </c>
      <c r="O20" s="56">
        <f>SUMIF('Entradas e Saídas'!$P$5:$P$44,Controle!$C20,'Entradas e Saídas'!$Q$5:$Q$44)</f>
        <v>0</v>
      </c>
      <c r="P20" s="56">
        <f>SUMIF('Entradas e Saídas'!$P$5:$P$44,Controle!$C20,'Entradas e Saídas'!$R$5:$R$44)</f>
        <v>0</v>
      </c>
      <c r="Q20" s="56">
        <f t="shared" si="2"/>
        <v>0</v>
      </c>
      <c r="R20" s="57">
        <f>Q20*Inventário!$G16</f>
        <v>0</v>
      </c>
      <c r="S20" s="56">
        <f>SUMIF('Entradas e Saídas'!$V$5:$V$44,Controle!$C20,'Entradas e Saídas'!$W$5:$W$44)</f>
        <v>0</v>
      </c>
      <c r="T20" s="56">
        <f>SUMIF('Entradas e Saídas'!$V$5:$V$44,Controle!$C20,'Entradas e Saídas'!$X$5:$X$44)</f>
        <v>0</v>
      </c>
      <c r="U20" s="56">
        <f t="shared" si="3"/>
        <v>0</v>
      </c>
      <c r="V20" s="57">
        <f>U20*Inventário!$G16</f>
        <v>0</v>
      </c>
      <c r="W20" s="56">
        <f>SUMIF('Entradas e Saídas'!$AB$5:$AB$44,Controle!$C20,'Entradas e Saídas'!$AC$5:$AC$44)</f>
        <v>0</v>
      </c>
      <c r="X20" s="56">
        <f>SUMIF('Entradas e Saídas'!$AB$5:$AB$44,Controle!$C20,'Entradas e Saídas'!$AD$5:$AD$44)</f>
        <v>0</v>
      </c>
      <c r="Y20" s="56">
        <f t="shared" si="4"/>
        <v>0</v>
      </c>
      <c r="Z20" s="57">
        <f>Y20*Inventário!$G16</f>
        <v>0</v>
      </c>
      <c r="AA20" s="56">
        <f>SUMIF('Entradas e Saídas'!$AH$5:$AH$44,Controle!$C20,'Entradas e Saídas'!$AI$5:$AI$44)</f>
        <v>0</v>
      </c>
      <c r="AB20" s="56">
        <f>SUMIF('Entradas e Saídas'!$AH$5:$AH$44,Controle!$C20,'Entradas e Saídas'!$AJ$5:$AJ$44)</f>
        <v>0</v>
      </c>
      <c r="AC20" s="56">
        <f t="shared" si="5"/>
        <v>0</v>
      </c>
      <c r="AD20" s="57">
        <f>AC20*Inventário!$G16</f>
        <v>0</v>
      </c>
      <c r="AE20" s="56">
        <f>SUMIF('Entradas e Saídas'!$AN$5:$AN$44,Controle!$C20,'Entradas e Saídas'!$AO$5:$AO$44)</f>
        <v>0</v>
      </c>
      <c r="AF20" s="56">
        <f>SUMIF('Entradas e Saídas'!$AH$5:$AH$44,Controle!$C20,'Entradas e Saídas'!$AP$5:$AP$44)</f>
        <v>0</v>
      </c>
      <c r="AG20" s="56">
        <f t="shared" si="6"/>
        <v>0</v>
      </c>
      <c r="AH20" s="57">
        <f>AG20*Inventário!$G16</f>
        <v>0</v>
      </c>
      <c r="AI20" s="56">
        <f>SUMIF('Entradas e Saídas'!$AT$5:$AT$44,Controle!$C20,'Entradas e Saídas'!$AU$5:$AU$44)</f>
        <v>0</v>
      </c>
      <c r="AJ20" s="56">
        <f>SUMIF('Entradas e Saídas'!$AT$5:$AT$44,Controle!$C20,'Entradas e Saídas'!$AV$5:$AV$44)</f>
        <v>0</v>
      </c>
      <c r="AK20" s="56">
        <f t="shared" si="7"/>
        <v>0</v>
      </c>
      <c r="AL20" s="57">
        <f>AK20*Inventário!$G16</f>
        <v>0</v>
      </c>
      <c r="AM20" s="56">
        <f>SUMIF('Entradas e Saídas'!$AZ$5:$AZ$44,Controle!$C20,'Entradas e Saídas'!$BA$5:$BA$44)</f>
        <v>0</v>
      </c>
      <c r="AN20" s="56">
        <f>SUMIF('Entradas e Saídas'!$AZ$5:$AZ$44,Controle!$C20,'Entradas e Saídas'!$BB$5:$BB$44)</f>
        <v>0</v>
      </c>
      <c r="AO20" s="56">
        <f t="shared" si="8"/>
        <v>0</v>
      </c>
      <c r="AP20" s="57">
        <f>AO20*Inventário!$G16</f>
        <v>0</v>
      </c>
      <c r="AQ20" s="56">
        <f>SUMIF('Entradas e Saídas'!$BF$5:$BF$44,Controle!$C20,'Entradas e Saídas'!$BG$5:$BG$44)</f>
        <v>0</v>
      </c>
      <c r="AR20" s="56">
        <f>SUMIF('Entradas e Saídas'!$BF$5:$BF$44,Controle!$C20,'Entradas e Saídas'!$BH$5:$BH$44)</f>
        <v>0</v>
      </c>
      <c r="AS20" s="56">
        <f t="shared" si="9"/>
        <v>0</v>
      </c>
      <c r="AT20" s="57">
        <f>AS20*Inventário!$G16</f>
        <v>0</v>
      </c>
      <c r="AU20" s="56">
        <f>SUMIF('Entradas e Saídas'!$BL$5:$BL$44,Controle!$C20,'Entradas e Saídas'!$BM$5:$BM$44)</f>
        <v>0</v>
      </c>
      <c r="AV20" s="56">
        <f>SUMIF('Entradas e Saídas'!$BL$5:$BL$44,Controle!$C20,'Entradas e Saídas'!$BN$5:$BN$44)</f>
        <v>0</v>
      </c>
      <c r="AW20" s="56">
        <f t="shared" si="10"/>
        <v>0</v>
      </c>
      <c r="AX20" s="57">
        <f>AW20*Inventário!$G16</f>
        <v>0</v>
      </c>
      <c r="AY20" s="56">
        <f>SUMIF('Entradas e Saídas'!$BR$5:$BR$44,Controle!$C20,'Entradas e Saídas'!$BS$5:$BS$44)</f>
        <v>0</v>
      </c>
      <c r="AZ20" s="56">
        <f>SUMIF('Entradas e Saídas'!$BR$5:$BR$44,Controle!$C20,'Entradas e Saídas'!$BT$5:$BT$44)</f>
        <v>0</v>
      </c>
      <c r="BA20" s="56">
        <f t="shared" si="11"/>
        <v>0</v>
      </c>
      <c r="BB20" s="57">
        <f>BA20*Inventário!$G16</f>
        <v>0</v>
      </c>
      <c r="BC20" s="75"/>
      <c r="BD20" s="71"/>
      <c r="BE20" s="71" t="s">
        <v>17</v>
      </c>
      <c r="BF20" s="73">
        <f>AT59</f>
        <v>0</v>
      </c>
      <c r="BG20" s="75"/>
    </row>
    <row r="21" spans="1:59" s="12" customFormat="1" ht="15.75" customHeight="1" x14ac:dyDescent="0.25">
      <c r="A21" s="8"/>
      <c r="B21" s="27" t="str">
        <f>IF(Inventário!C17="","",Inventário!C17)</f>
        <v/>
      </c>
      <c r="C21" s="26" t="str">
        <f>IF(B21="","",VLOOKUP(B21,Inventário!$C$4:$D$53,2,FALSE))</f>
        <v/>
      </c>
      <c r="D21" s="59" t="str">
        <f>IF(B21="","",I21+M21+Q21+U21+Y21+AC21+AG21+AK21+AO21+AS21+AW21+BA21+Inventário!H17)</f>
        <v/>
      </c>
      <c r="E21" s="60" t="str">
        <f>IF(B21="","",IF(D21&lt;0,"-",(D21*Inventário!G17)))</f>
        <v/>
      </c>
      <c r="F21" s="60" t="str">
        <f>IF(B21="","",IF(D21&gt;Inventário!I17,"NÃO",CONCATENATE("SIM:"," ",Inventário!J17," ","unid")))</f>
        <v/>
      </c>
      <c r="G21" s="56">
        <f>SUMIF('Entradas e Saídas'!$D$5:$D$44,Controle!$C21,'Entradas e Saídas'!$E$5:$E$44)</f>
        <v>0</v>
      </c>
      <c r="H21" s="56">
        <f>SUMIF('Entradas e Saídas'!$D$5:$D$44,Controle!$C21,'Entradas e Saídas'!$F$5:$F$44)</f>
        <v>0</v>
      </c>
      <c r="I21" s="56">
        <f t="shared" si="0"/>
        <v>0</v>
      </c>
      <c r="J21" s="57">
        <f>I21*Inventário!G17</f>
        <v>0</v>
      </c>
      <c r="K21" s="56">
        <f>SUMIF('Entradas e Saídas'!$J$5:$J$44,Controle!$C21,'Entradas e Saídas'!$K$5:$K$44)</f>
        <v>0</v>
      </c>
      <c r="L21" s="56">
        <f>SUMIF('Entradas e Saídas'!$J$5:$J$44,Controle!$C21,'Entradas e Saídas'!$L$5:$L$44)</f>
        <v>0</v>
      </c>
      <c r="M21" s="56">
        <f t="shared" si="1"/>
        <v>0</v>
      </c>
      <c r="N21" s="57">
        <f>M21*Inventário!$G17</f>
        <v>0</v>
      </c>
      <c r="O21" s="56">
        <f>SUMIF('Entradas e Saídas'!$P$5:$P$44,Controle!$C21,'Entradas e Saídas'!$Q$5:$Q$44)</f>
        <v>0</v>
      </c>
      <c r="P21" s="56">
        <f>SUMIF('Entradas e Saídas'!$P$5:$P$44,Controle!$C21,'Entradas e Saídas'!$R$5:$R$44)</f>
        <v>0</v>
      </c>
      <c r="Q21" s="56">
        <f t="shared" si="2"/>
        <v>0</v>
      </c>
      <c r="R21" s="57">
        <f>Q21*Inventário!$G17</f>
        <v>0</v>
      </c>
      <c r="S21" s="56">
        <f>SUMIF('Entradas e Saídas'!$V$5:$V$44,Controle!$C21,'Entradas e Saídas'!$W$5:$W$44)</f>
        <v>0</v>
      </c>
      <c r="T21" s="56">
        <f>SUMIF('Entradas e Saídas'!$V$5:$V$44,Controle!$C21,'Entradas e Saídas'!$X$5:$X$44)</f>
        <v>0</v>
      </c>
      <c r="U21" s="56">
        <f t="shared" si="3"/>
        <v>0</v>
      </c>
      <c r="V21" s="57">
        <f>U21*Inventário!$G17</f>
        <v>0</v>
      </c>
      <c r="W21" s="56">
        <f>SUMIF('Entradas e Saídas'!$AB$5:$AB$44,Controle!$C21,'Entradas e Saídas'!$AC$5:$AC$44)</f>
        <v>0</v>
      </c>
      <c r="X21" s="56">
        <f>SUMIF('Entradas e Saídas'!$AB$5:$AB$44,Controle!$C21,'Entradas e Saídas'!$AD$5:$AD$44)</f>
        <v>0</v>
      </c>
      <c r="Y21" s="56">
        <f t="shared" si="4"/>
        <v>0</v>
      </c>
      <c r="Z21" s="57">
        <f>Y21*Inventário!$G17</f>
        <v>0</v>
      </c>
      <c r="AA21" s="56">
        <f>SUMIF('Entradas e Saídas'!$AH$5:$AH$44,Controle!$C21,'Entradas e Saídas'!$AI$5:$AI$44)</f>
        <v>0</v>
      </c>
      <c r="AB21" s="56">
        <f>SUMIF('Entradas e Saídas'!$AH$5:$AH$44,Controle!$C21,'Entradas e Saídas'!$AJ$5:$AJ$44)</f>
        <v>0</v>
      </c>
      <c r="AC21" s="56">
        <f t="shared" si="5"/>
        <v>0</v>
      </c>
      <c r="AD21" s="57">
        <f>AC21*Inventário!$G17</f>
        <v>0</v>
      </c>
      <c r="AE21" s="56">
        <f>SUMIF('Entradas e Saídas'!$AN$5:$AN$44,Controle!$C21,'Entradas e Saídas'!$AO$5:$AO$44)</f>
        <v>0</v>
      </c>
      <c r="AF21" s="56">
        <f>SUMIF('Entradas e Saídas'!$AH$5:$AH$44,Controle!$C21,'Entradas e Saídas'!$AP$5:$AP$44)</f>
        <v>0</v>
      </c>
      <c r="AG21" s="56">
        <f t="shared" si="6"/>
        <v>0</v>
      </c>
      <c r="AH21" s="57">
        <f>AG21*Inventário!$G17</f>
        <v>0</v>
      </c>
      <c r="AI21" s="56">
        <f>SUMIF('Entradas e Saídas'!$AT$5:$AT$44,Controle!$C21,'Entradas e Saídas'!$AU$5:$AU$44)</f>
        <v>0</v>
      </c>
      <c r="AJ21" s="56">
        <f>SUMIF('Entradas e Saídas'!$AT$5:$AT$44,Controle!$C21,'Entradas e Saídas'!$AV$5:$AV$44)</f>
        <v>0</v>
      </c>
      <c r="AK21" s="56">
        <f t="shared" si="7"/>
        <v>0</v>
      </c>
      <c r="AL21" s="57">
        <f>AK21*Inventário!$G17</f>
        <v>0</v>
      </c>
      <c r="AM21" s="56">
        <f>SUMIF('Entradas e Saídas'!$AZ$5:$AZ$44,Controle!$C21,'Entradas e Saídas'!$BA$5:$BA$44)</f>
        <v>0</v>
      </c>
      <c r="AN21" s="56">
        <f>SUMIF('Entradas e Saídas'!$AZ$5:$AZ$44,Controle!$C21,'Entradas e Saídas'!$BB$5:$BB$44)</f>
        <v>0</v>
      </c>
      <c r="AO21" s="56">
        <f t="shared" si="8"/>
        <v>0</v>
      </c>
      <c r="AP21" s="57">
        <f>AO21*Inventário!$G17</f>
        <v>0</v>
      </c>
      <c r="AQ21" s="56">
        <f>SUMIF('Entradas e Saídas'!$BF$5:$BF$44,Controle!$C21,'Entradas e Saídas'!$BG$5:$BG$44)</f>
        <v>0</v>
      </c>
      <c r="AR21" s="56">
        <f>SUMIF('Entradas e Saídas'!$BF$5:$BF$44,Controle!$C21,'Entradas e Saídas'!$BH$5:$BH$44)</f>
        <v>0</v>
      </c>
      <c r="AS21" s="56">
        <f t="shared" si="9"/>
        <v>0</v>
      </c>
      <c r="AT21" s="57">
        <f>AS21*Inventário!$G17</f>
        <v>0</v>
      </c>
      <c r="AU21" s="56">
        <f>SUMIF('Entradas e Saídas'!$BL$5:$BL$44,Controle!$C21,'Entradas e Saídas'!$BM$5:$BM$44)</f>
        <v>0</v>
      </c>
      <c r="AV21" s="56">
        <f>SUMIF('Entradas e Saídas'!$BL$5:$BL$44,Controle!$C21,'Entradas e Saídas'!$BN$5:$BN$44)</f>
        <v>0</v>
      </c>
      <c r="AW21" s="56">
        <f t="shared" si="10"/>
        <v>0</v>
      </c>
      <c r="AX21" s="57">
        <f>AW21*Inventário!$G17</f>
        <v>0</v>
      </c>
      <c r="AY21" s="56">
        <f>SUMIF('Entradas e Saídas'!$BR$5:$BR$44,Controle!$C21,'Entradas e Saídas'!$BS$5:$BS$44)</f>
        <v>0</v>
      </c>
      <c r="AZ21" s="56">
        <f>SUMIF('Entradas e Saídas'!$BR$5:$BR$44,Controle!$C21,'Entradas e Saídas'!$BT$5:$BT$44)</f>
        <v>0</v>
      </c>
      <c r="BA21" s="56">
        <f t="shared" si="11"/>
        <v>0</v>
      </c>
      <c r="BB21" s="57">
        <f>BA21*Inventário!$G17</f>
        <v>0</v>
      </c>
      <c r="BC21" s="75"/>
      <c r="BD21" s="71"/>
      <c r="BE21" s="71" t="s">
        <v>18</v>
      </c>
      <c r="BF21" s="73">
        <f>AX59</f>
        <v>0</v>
      </c>
      <c r="BG21" s="75"/>
    </row>
    <row r="22" spans="1:59" s="12" customFormat="1" ht="15.75" customHeight="1" x14ac:dyDescent="0.25">
      <c r="A22" s="8"/>
      <c r="B22" s="27" t="str">
        <f>IF(Inventário!C18="","",Inventário!C18)</f>
        <v/>
      </c>
      <c r="C22" s="26" t="str">
        <f>IF(B22="","",VLOOKUP(B22,Inventário!$C$4:$D$53,2,FALSE))</f>
        <v/>
      </c>
      <c r="D22" s="59" t="str">
        <f>IF(B22="","",I22+M22+Q22+U22+Y22+AC22+AG22+AK22+AO22+AS22+AW22+BA22+Inventário!H18)</f>
        <v/>
      </c>
      <c r="E22" s="60" t="str">
        <f>IF(B22="","",IF(D22&lt;0,"-",(D22*Inventário!G18)))</f>
        <v/>
      </c>
      <c r="F22" s="60" t="str">
        <f>IF(B22="","",IF(D22&gt;Inventário!I18,"NÃO",CONCATENATE("SIM:"," ",Inventário!J18," ","unid")))</f>
        <v/>
      </c>
      <c r="G22" s="56">
        <f>SUMIF('Entradas e Saídas'!$D$5:$D$44,Controle!$C22,'Entradas e Saídas'!$E$5:$E$44)</f>
        <v>0</v>
      </c>
      <c r="H22" s="56">
        <f>SUMIF('Entradas e Saídas'!$D$5:$D$44,Controle!$C22,'Entradas e Saídas'!$F$5:$F$44)</f>
        <v>0</v>
      </c>
      <c r="I22" s="56">
        <f t="shared" si="0"/>
        <v>0</v>
      </c>
      <c r="J22" s="57">
        <f>I22*Inventário!G18</f>
        <v>0</v>
      </c>
      <c r="K22" s="56">
        <f>SUMIF('Entradas e Saídas'!$J$5:$J$44,Controle!$C22,'Entradas e Saídas'!$K$5:$K$44)</f>
        <v>0</v>
      </c>
      <c r="L22" s="56">
        <f>SUMIF('Entradas e Saídas'!$J$5:$J$44,Controle!$C22,'Entradas e Saídas'!$L$5:$L$44)</f>
        <v>0</v>
      </c>
      <c r="M22" s="56">
        <f t="shared" si="1"/>
        <v>0</v>
      </c>
      <c r="N22" s="57">
        <f>M22*Inventário!$G18</f>
        <v>0</v>
      </c>
      <c r="O22" s="56">
        <f>SUMIF('Entradas e Saídas'!$P$5:$P$44,Controle!$C22,'Entradas e Saídas'!$Q$5:$Q$44)</f>
        <v>0</v>
      </c>
      <c r="P22" s="56">
        <f>SUMIF('Entradas e Saídas'!$P$5:$P$44,Controle!$C22,'Entradas e Saídas'!$R$5:$R$44)</f>
        <v>0</v>
      </c>
      <c r="Q22" s="56">
        <f t="shared" si="2"/>
        <v>0</v>
      </c>
      <c r="R22" s="57">
        <f>Q22*Inventário!$G18</f>
        <v>0</v>
      </c>
      <c r="S22" s="56">
        <f>SUMIF('Entradas e Saídas'!$V$5:$V$44,Controle!$C22,'Entradas e Saídas'!$W$5:$W$44)</f>
        <v>0</v>
      </c>
      <c r="T22" s="56">
        <f>SUMIF('Entradas e Saídas'!$V$5:$V$44,Controle!$C22,'Entradas e Saídas'!$X$5:$X$44)</f>
        <v>0</v>
      </c>
      <c r="U22" s="56">
        <f t="shared" si="3"/>
        <v>0</v>
      </c>
      <c r="V22" s="57">
        <f>U22*Inventário!$G18</f>
        <v>0</v>
      </c>
      <c r="W22" s="56">
        <f>SUMIF('Entradas e Saídas'!$AB$5:$AB$44,Controle!$C22,'Entradas e Saídas'!$AC$5:$AC$44)</f>
        <v>0</v>
      </c>
      <c r="X22" s="56">
        <f>SUMIF('Entradas e Saídas'!$AB$5:$AB$44,Controle!$C22,'Entradas e Saídas'!$AD$5:$AD$44)</f>
        <v>0</v>
      </c>
      <c r="Y22" s="56">
        <f t="shared" si="4"/>
        <v>0</v>
      </c>
      <c r="Z22" s="57">
        <f>Y22*Inventário!$G18</f>
        <v>0</v>
      </c>
      <c r="AA22" s="56">
        <f>SUMIF('Entradas e Saídas'!$AH$5:$AH$44,Controle!$C22,'Entradas e Saídas'!$AI$5:$AI$44)</f>
        <v>0</v>
      </c>
      <c r="AB22" s="56">
        <f>SUMIF('Entradas e Saídas'!$AH$5:$AH$44,Controle!$C22,'Entradas e Saídas'!$AJ$5:$AJ$44)</f>
        <v>0</v>
      </c>
      <c r="AC22" s="56">
        <f t="shared" si="5"/>
        <v>0</v>
      </c>
      <c r="AD22" s="57">
        <f>AC22*Inventário!$G18</f>
        <v>0</v>
      </c>
      <c r="AE22" s="56">
        <f>SUMIF('Entradas e Saídas'!$AN$5:$AN$44,Controle!$C22,'Entradas e Saídas'!$AO$5:$AO$44)</f>
        <v>0</v>
      </c>
      <c r="AF22" s="56">
        <f>SUMIF('Entradas e Saídas'!$AH$5:$AH$44,Controle!$C22,'Entradas e Saídas'!$AP$5:$AP$44)</f>
        <v>0</v>
      </c>
      <c r="AG22" s="56">
        <f t="shared" si="6"/>
        <v>0</v>
      </c>
      <c r="AH22" s="57">
        <f>AG22*Inventário!$G18</f>
        <v>0</v>
      </c>
      <c r="AI22" s="56">
        <f>SUMIF('Entradas e Saídas'!$AT$5:$AT$44,Controle!$C22,'Entradas e Saídas'!$AU$5:$AU$44)</f>
        <v>0</v>
      </c>
      <c r="AJ22" s="56">
        <f>SUMIF('Entradas e Saídas'!$AT$5:$AT$44,Controle!$C22,'Entradas e Saídas'!$AV$5:$AV$44)</f>
        <v>0</v>
      </c>
      <c r="AK22" s="56">
        <f t="shared" si="7"/>
        <v>0</v>
      </c>
      <c r="AL22" s="57">
        <f>AK22*Inventário!$G18</f>
        <v>0</v>
      </c>
      <c r="AM22" s="56">
        <f>SUMIF('Entradas e Saídas'!$AZ$5:$AZ$44,Controle!$C22,'Entradas e Saídas'!$BA$5:$BA$44)</f>
        <v>0</v>
      </c>
      <c r="AN22" s="56">
        <f>SUMIF('Entradas e Saídas'!$AZ$5:$AZ$44,Controle!$C22,'Entradas e Saídas'!$BB$5:$BB$44)</f>
        <v>0</v>
      </c>
      <c r="AO22" s="56">
        <f t="shared" si="8"/>
        <v>0</v>
      </c>
      <c r="AP22" s="57">
        <f>AO22*Inventário!$G18</f>
        <v>0</v>
      </c>
      <c r="AQ22" s="56">
        <f>SUMIF('Entradas e Saídas'!$BF$5:$BF$44,Controle!$C22,'Entradas e Saídas'!$BG$5:$BG$44)</f>
        <v>0</v>
      </c>
      <c r="AR22" s="56">
        <f>SUMIF('Entradas e Saídas'!$BF$5:$BF$44,Controle!$C22,'Entradas e Saídas'!$BH$5:$BH$44)</f>
        <v>0</v>
      </c>
      <c r="AS22" s="56">
        <f t="shared" si="9"/>
        <v>0</v>
      </c>
      <c r="AT22" s="57">
        <f>AS22*Inventário!$G18</f>
        <v>0</v>
      </c>
      <c r="AU22" s="56">
        <f>SUMIF('Entradas e Saídas'!$BL$5:$BL$44,Controle!$C22,'Entradas e Saídas'!$BM$5:$BM$44)</f>
        <v>0</v>
      </c>
      <c r="AV22" s="56">
        <f>SUMIF('Entradas e Saídas'!$BL$5:$BL$44,Controle!$C22,'Entradas e Saídas'!$BN$5:$BN$44)</f>
        <v>0</v>
      </c>
      <c r="AW22" s="56">
        <f t="shared" si="10"/>
        <v>0</v>
      </c>
      <c r="AX22" s="57">
        <f>AW22*Inventário!$G18</f>
        <v>0</v>
      </c>
      <c r="AY22" s="56">
        <f>SUMIF('Entradas e Saídas'!$BR$5:$BR$44,Controle!$C22,'Entradas e Saídas'!$BS$5:$BS$44)</f>
        <v>0</v>
      </c>
      <c r="AZ22" s="56">
        <f>SUMIF('Entradas e Saídas'!$BR$5:$BR$44,Controle!$C22,'Entradas e Saídas'!$BT$5:$BT$44)</f>
        <v>0</v>
      </c>
      <c r="BA22" s="56">
        <f t="shared" si="11"/>
        <v>0</v>
      </c>
      <c r="BB22" s="57">
        <f>BA22*Inventário!$G18</f>
        <v>0</v>
      </c>
      <c r="BC22" s="75"/>
      <c r="BD22" s="71"/>
      <c r="BE22" s="71" t="s">
        <v>19</v>
      </c>
      <c r="BF22" s="73">
        <f>BB59</f>
        <v>0</v>
      </c>
      <c r="BG22" s="75"/>
    </row>
    <row r="23" spans="1:59" s="12" customFormat="1" ht="15.75" customHeight="1" x14ac:dyDescent="0.25">
      <c r="A23" s="8"/>
      <c r="B23" s="27" t="str">
        <f>IF(Inventário!C19="","",Inventário!C19)</f>
        <v/>
      </c>
      <c r="C23" s="26" t="str">
        <f>IF(B23="","",VLOOKUP(B23,Inventário!$C$4:$D$53,2,FALSE))</f>
        <v/>
      </c>
      <c r="D23" s="59" t="str">
        <f>IF(B23="","",I23+M23+Q23+U23+Y23+AC23+AG23+AK23+AO23+AS23+AW23+BA23+Inventário!H19)</f>
        <v/>
      </c>
      <c r="E23" s="60" t="str">
        <f>IF(B23="","",IF(D23&lt;0,"-",(D23*Inventário!G19)))</f>
        <v/>
      </c>
      <c r="F23" s="60" t="str">
        <f>IF(B23="","",IF(D23&gt;Inventário!I19,"NÃO",CONCATENATE("SIM:"," ",Inventário!J19," ","unid")))</f>
        <v/>
      </c>
      <c r="G23" s="56">
        <f>SUMIF('Entradas e Saídas'!$D$5:$D$44,Controle!$C23,'Entradas e Saídas'!$E$5:$E$44)</f>
        <v>0</v>
      </c>
      <c r="H23" s="56">
        <f>SUMIF('Entradas e Saídas'!$D$5:$D$44,Controle!$C23,'Entradas e Saídas'!$F$5:$F$44)</f>
        <v>0</v>
      </c>
      <c r="I23" s="56">
        <f t="shared" si="0"/>
        <v>0</v>
      </c>
      <c r="J23" s="57">
        <f>I23*Inventário!G19</f>
        <v>0</v>
      </c>
      <c r="K23" s="56">
        <f>SUMIF('Entradas e Saídas'!$J$5:$J$44,Controle!$C23,'Entradas e Saídas'!$K$5:$K$44)</f>
        <v>0</v>
      </c>
      <c r="L23" s="56">
        <f>SUMIF('Entradas e Saídas'!$J$5:$J$44,Controle!$C23,'Entradas e Saídas'!$L$5:$L$44)</f>
        <v>0</v>
      </c>
      <c r="M23" s="56">
        <f t="shared" si="1"/>
        <v>0</v>
      </c>
      <c r="N23" s="57">
        <f>M23*Inventário!$G19</f>
        <v>0</v>
      </c>
      <c r="O23" s="56">
        <f>SUMIF('Entradas e Saídas'!$P$5:$P$44,Controle!$C23,'Entradas e Saídas'!$Q$5:$Q$44)</f>
        <v>0</v>
      </c>
      <c r="P23" s="56">
        <f>SUMIF('Entradas e Saídas'!$P$5:$P$44,Controle!$C23,'Entradas e Saídas'!$R$5:$R$44)</f>
        <v>0</v>
      </c>
      <c r="Q23" s="56">
        <f t="shared" si="2"/>
        <v>0</v>
      </c>
      <c r="R23" s="57">
        <f>Q23*Inventário!$G19</f>
        <v>0</v>
      </c>
      <c r="S23" s="56">
        <f>SUMIF('Entradas e Saídas'!$V$5:$V$44,Controle!$C23,'Entradas e Saídas'!$W$5:$W$44)</f>
        <v>0</v>
      </c>
      <c r="T23" s="56">
        <f>SUMIF('Entradas e Saídas'!$V$5:$V$44,Controle!$C23,'Entradas e Saídas'!$X$5:$X$44)</f>
        <v>0</v>
      </c>
      <c r="U23" s="56">
        <f t="shared" si="3"/>
        <v>0</v>
      </c>
      <c r="V23" s="57">
        <f>U23*Inventário!$G19</f>
        <v>0</v>
      </c>
      <c r="W23" s="56">
        <f>SUMIF('Entradas e Saídas'!$AB$5:$AB$44,Controle!$C23,'Entradas e Saídas'!$AC$5:$AC$44)</f>
        <v>0</v>
      </c>
      <c r="X23" s="56">
        <f>SUMIF('Entradas e Saídas'!$AB$5:$AB$44,Controle!$C23,'Entradas e Saídas'!$AD$5:$AD$44)</f>
        <v>0</v>
      </c>
      <c r="Y23" s="56">
        <f t="shared" si="4"/>
        <v>0</v>
      </c>
      <c r="Z23" s="57">
        <f>Y23*Inventário!$G19</f>
        <v>0</v>
      </c>
      <c r="AA23" s="56">
        <f>SUMIF('Entradas e Saídas'!$AH$5:$AH$44,Controle!$C23,'Entradas e Saídas'!$AI$5:$AI$44)</f>
        <v>0</v>
      </c>
      <c r="AB23" s="56">
        <f>SUMIF('Entradas e Saídas'!$AH$5:$AH$44,Controle!$C23,'Entradas e Saídas'!$AJ$5:$AJ$44)</f>
        <v>0</v>
      </c>
      <c r="AC23" s="56">
        <f t="shared" si="5"/>
        <v>0</v>
      </c>
      <c r="AD23" s="57">
        <f>AC23*Inventário!$G19</f>
        <v>0</v>
      </c>
      <c r="AE23" s="56">
        <f>SUMIF('Entradas e Saídas'!$AN$5:$AN$44,Controle!$C23,'Entradas e Saídas'!$AO$5:$AO$44)</f>
        <v>0</v>
      </c>
      <c r="AF23" s="56">
        <f>SUMIF('Entradas e Saídas'!$AH$5:$AH$44,Controle!$C23,'Entradas e Saídas'!$AP$5:$AP$44)</f>
        <v>0</v>
      </c>
      <c r="AG23" s="56">
        <f t="shared" si="6"/>
        <v>0</v>
      </c>
      <c r="AH23" s="57">
        <f>AG23*Inventário!$G19</f>
        <v>0</v>
      </c>
      <c r="AI23" s="56">
        <f>SUMIF('Entradas e Saídas'!$AT$5:$AT$44,Controle!$C23,'Entradas e Saídas'!$AU$5:$AU$44)</f>
        <v>0</v>
      </c>
      <c r="AJ23" s="56">
        <f>SUMIF('Entradas e Saídas'!$AT$5:$AT$44,Controle!$C23,'Entradas e Saídas'!$AV$5:$AV$44)</f>
        <v>0</v>
      </c>
      <c r="AK23" s="56">
        <f t="shared" si="7"/>
        <v>0</v>
      </c>
      <c r="AL23" s="57">
        <f>AK23*Inventário!$G19</f>
        <v>0</v>
      </c>
      <c r="AM23" s="56">
        <f>SUMIF('Entradas e Saídas'!$AZ$5:$AZ$44,Controle!$C23,'Entradas e Saídas'!$BA$5:$BA$44)</f>
        <v>0</v>
      </c>
      <c r="AN23" s="56">
        <f>SUMIF('Entradas e Saídas'!$AZ$5:$AZ$44,Controle!$C23,'Entradas e Saídas'!$BB$5:$BB$44)</f>
        <v>0</v>
      </c>
      <c r="AO23" s="56">
        <f t="shared" si="8"/>
        <v>0</v>
      </c>
      <c r="AP23" s="57">
        <f>AO23*Inventário!$G19</f>
        <v>0</v>
      </c>
      <c r="AQ23" s="56">
        <f>SUMIF('Entradas e Saídas'!$BF$5:$BF$44,Controle!$C23,'Entradas e Saídas'!$BG$5:$BG$44)</f>
        <v>0</v>
      </c>
      <c r="AR23" s="56">
        <f>SUMIF('Entradas e Saídas'!$BF$5:$BF$44,Controle!$C23,'Entradas e Saídas'!$BH$5:$BH$44)</f>
        <v>0</v>
      </c>
      <c r="AS23" s="56">
        <f t="shared" si="9"/>
        <v>0</v>
      </c>
      <c r="AT23" s="57">
        <f>AS23*Inventário!$G19</f>
        <v>0</v>
      </c>
      <c r="AU23" s="56">
        <f>SUMIF('Entradas e Saídas'!$BL$5:$BL$44,Controle!$C23,'Entradas e Saídas'!$BM$5:$BM$44)</f>
        <v>0</v>
      </c>
      <c r="AV23" s="56">
        <f>SUMIF('Entradas e Saídas'!$BL$5:$BL$44,Controle!$C23,'Entradas e Saídas'!$BN$5:$BN$44)</f>
        <v>0</v>
      </c>
      <c r="AW23" s="56">
        <f t="shared" si="10"/>
        <v>0</v>
      </c>
      <c r="AX23" s="57">
        <f>AW23*Inventário!$G19</f>
        <v>0</v>
      </c>
      <c r="AY23" s="56">
        <f>SUMIF('Entradas e Saídas'!$BR$5:$BR$44,Controle!$C23,'Entradas e Saídas'!$BS$5:$BS$44)</f>
        <v>0</v>
      </c>
      <c r="AZ23" s="56">
        <f>SUMIF('Entradas e Saídas'!$BR$5:$BR$44,Controle!$C23,'Entradas e Saídas'!$BT$5:$BT$44)</f>
        <v>0</v>
      </c>
      <c r="BA23" s="56">
        <f t="shared" si="11"/>
        <v>0</v>
      </c>
      <c r="BB23" s="57">
        <f>BA23*Inventário!$G19</f>
        <v>0</v>
      </c>
      <c r="BC23" s="75"/>
      <c r="BD23" s="71"/>
      <c r="BE23" s="71"/>
      <c r="BF23" s="4"/>
      <c r="BG23" s="75"/>
    </row>
    <row r="24" spans="1:59" s="12" customFormat="1" ht="15.75" customHeight="1" x14ac:dyDescent="0.25">
      <c r="A24" s="8"/>
      <c r="B24" s="27" t="str">
        <f>IF(Inventário!C20="","",Inventário!C20)</f>
        <v/>
      </c>
      <c r="C24" s="26" t="str">
        <f>IF(B24="","",VLOOKUP(B24,Inventário!$C$4:$D$53,2,FALSE))</f>
        <v/>
      </c>
      <c r="D24" s="59" t="str">
        <f>IF(B24="","",I24+M24+Q24+U24+Y24+AC24+AG24+AK24+AO24+AS24+AW24+BA24+Inventário!H20)</f>
        <v/>
      </c>
      <c r="E24" s="60" t="str">
        <f>IF(B24="","",IF(D24&lt;0,"-",(D24*Inventário!G20)))</f>
        <v/>
      </c>
      <c r="F24" s="60" t="str">
        <f>IF(B24="","",IF(D24&gt;Inventário!I20,"NÃO",CONCATENATE("SIM:"," ",Inventário!J20," ","unid")))</f>
        <v/>
      </c>
      <c r="G24" s="56">
        <f>SUMIF('Entradas e Saídas'!$D$5:$D$44,Controle!$C24,'Entradas e Saídas'!$E$5:$E$44)</f>
        <v>0</v>
      </c>
      <c r="H24" s="56">
        <f>SUMIF('Entradas e Saídas'!$D$5:$D$44,Controle!$C24,'Entradas e Saídas'!$F$5:$F$44)</f>
        <v>0</v>
      </c>
      <c r="I24" s="56">
        <f t="shared" si="0"/>
        <v>0</v>
      </c>
      <c r="J24" s="57">
        <f>I24*Inventário!G20</f>
        <v>0</v>
      </c>
      <c r="K24" s="56">
        <f>SUMIF('Entradas e Saídas'!$J$5:$J$44,Controle!$C24,'Entradas e Saídas'!$K$5:$K$44)</f>
        <v>0</v>
      </c>
      <c r="L24" s="56">
        <f>SUMIF('Entradas e Saídas'!$J$5:$J$44,Controle!$C24,'Entradas e Saídas'!$L$5:$L$44)</f>
        <v>0</v>
      </c>
      <c r="M24" s="56">
        <f t="shared" si="1"/>
        <v>0</v>
      </c>
      <c r="N24" s="57">
        <f>M24*Inventário!$G20</f>
        <v>0</v>
      </c>
      <c r="O24" s="56">
        <f>SUMIF('Entradas e Saídas'!$P$5:$P$44,Controle!$C24,'Entradas e Saídas'!$Q$5:$Q$44)</f>
        <v>0</v>
      </c>
      <c r="P24" s="56">
        <f>SUMIF('Entradas e Saídas'!$P$5:$P$44,Controle!$C24,'Entradas e Saídas'!$R$5:$R$44)</f>
        <v>0</v>
      </c>
      <c r="Q24" s="56">
        <f t="shared" si="2"/>
        <v>0</v>
      </c>
      <c r="R24" s="57">
        <f>Q24*Inventário!$G20</f>
        <v>0</v>
      </c>
      <c r="S24" s="56">
        <f>SUMIF('Entradas e Saídas'!$V$5:$V$44,Controle!$C24,'Entradas e Saídas'!$W$5:$W$44)</f>
        <v>0</v>
      </c>
      <c r="T24" s="56">
        <f>SUMIF('Entradas e Saídas'!$V$5:$V$44,Controle!$C24,'Entradas e Saídas'!$X$5:$X$44)</f>
        <v>0</v>
      </c>
      <c r="U24" s="56">
        <f t="shared" si="3"/>
        <v>0</v>
      </c>
      <c r="V24" s="57">
        <f>U24*Inventário!$G20</f>
        <v>0</v>
      </c>
      <c r="W24" s="56">
        <f>SUMIF('Entradas e Saídas'!$AB$5:$AB$44,Controle!$C24,'Entradas e Saídas'!$AC$5:$AC$44)</f>
        <v>0</v>
      </c>
      <c r="X24" s="56">
        <f>SUMIF('Entradas e Saídas'!$AB$5:$AB$44,Controle!$C24,'Entradas e Saídas'!$AD$5:$AD$44)</f>
        <v>0</v>
      </c>
      <c r="Y24" s="56">
        <f t="shared" si="4"/>
        <v>0</v>
      </c>
      <c r="Z24" s="57">
        <f>Y24*Inventário!$G20</f>
        <v>0</v>
      </c>
      <c r="AA24" s="56">
        <f>SUMIF('Entradas e Saídas'!$AH$5:$AH$44,Controle!$C24,'Entradas e Saídas'!$AI$5:$AI$44)</f>
        <v>0</v>
      </c>
      <c r="AB24" s="56">
        <f>SUMIF('Entradas e Saídas'!$AH$5:$AH$44,Controle!$C24,'Entradas e Saídas'!$AJ$5:$AJ$44)</f>
        <v>0</v>
      </c>
      <c r="AC24" s="56">
        <f t="shared" si="5"/>
        <v>0</v>
      </c>
      <c r="AD24" s="57">
        <f>AC24*Inventário!$G20</f>
        <v>0</v>
      </c>
      <c r="AE24" s="56">
        <f>SUMIF('Entradas e Saídas'!$AN$5:$AN$44,Controle!$C24,'Entradas e Saídas'!$AO$5:$AO$44)</f>
        <v>0</v>
      </c>
      <c r="AF24" s="56">
        <f>SUMIF('Entradas e Saídas'!$AH$5:$AH$44,Controle!$C24,'Entradas e Saídas'!$AP$5:$AP$44)</f>
        <v>0</v>
      </c>
      <c r="AG24" s="56">
        <f t="shared" si="6"/>
        <v>0</v>
      </c>
      <c r="AH24" s="57">
        <f>AG24*Inventário!$G20</f>
        <v>0</v>
      </c>
      <c r="AI24" s="56">
        <f>SUMIF('Entradas e Saídas'!$AT$5:$AT$44,Controle!$C24,'Entradas e Saídas'!$AU$5:$AU$44)</f>
        <v>0</v>
      </c>
      <c r="AJ24" s="56">
        <f>SUMIF('Entradas e Saídas'!$AT$5:$AT$44,Controle!$C24,'Entradas e Saídas'!$AV$5:$AV$44)</f>
        <v>0</v>
      </c>
      <c r="AK24" s="56">
        <f t="shared" si="7"/>
        <v>0</v>
      </c>
      <c r="AL24" s="57">
        <f>AK24*Inventário!$G20</f>
        <v>0</v>
      </c>
      <c r="AM24" s="56">
        <f>SUMIF('Entradas e Saídas'!$AZ$5:$AZ$44,Controle!$C24,'Entradas e Saídas'!$BA$5:$BA$44)</f>
        <v>0</v>
      </c>
      <c r="AN24" s="56">
        <f>SUMIF('Entradas e Saídas'!$AZ$5:$AZ$44,Controle!$C24,'Entradas e Saídas'!$BB$5:$BB$44)</f>
        <v>0</v>
      </c>
      <c r="AO24" s="56">
        <f t="shared" si="8"/>
        <v>0</v>
      </c>
      <c r="AP24" s="57">
        <f>AO24*Inventário!$G20</f>
        <v>0</v>
      </c>
      <c r="AQ24" s="56">
        <f>SUMIF('Entradas e Saídas'!$BF$5:$BF$44,Controle!$C24,'Entradas e Saídas'!$BG$5:$BG$44)</f>
        <v>0</v>
      </c>
      <c r="AR24" s="56">
        <f>SUMIF('Entradas e Saídas'!$BF$5:$BF$44,Controle!$C24,'Entradas e Saídas'!$BH$5:$BH$44)</f>
        <v>0</v>
      </c>
      <c r="AS24" s="56">
        <f t="shared" si="9"/>
        <v>0</v>
      </c>
      <c r="AT24" s="57">
        <f>AS24*Inventário!$G20</f>
        <v>0</v>
      </c>
      <c r="AU24" s="56">
        <f>SUMIF('Entradas e Saídas'!$BL$5:$BL$44,Controle!$C24,'Entradas e Saídas'!$BM$5:$BM$44)</f>
        <v>0</v>
      </c>
      <c r="AV24" s="56">
        <f>SUMIF('Entradas e Saídas'!$BL$5:$BL$44,Controle!$C24,'Entradas e Saídas'!$BN$5:$BN$44)</f>
        <v>0</v>
      </c>
      <c r="AW24" s="56">
        <f t="shared" si="10"/>
        <v>0</v>
      </c>
      <c r="AX24" s="57">
        <f>AW24*Inventário!$G20</f>
        <v>0</v>
      </c>
      <c r="AY24" s="56">
        <f>SUMIF('Entradas e Saídas'!$BR$5:$BR$44,Controle!$C24,'Entradas e Saídas'!$BS$5:$BS$44)</f>
        <v>0</v>
      </c>
      <c r="AZ24" s="56">
        <f>SUMIF('Entradas e Saídas'!$BR$5:$BR$44,Controle!$C24,'Entradas e Saídas'!$BT$5:$BT$44)</f>
        <v>0</v>
      </c>
      <c r="BA24" s="56">
        <f t="shared" si="11"/>
        <v>0</v>
      </c>
      <c r="BB24" s="57">
        <f>BA24*Inventário!$G20</f>
        <v>0</v>
      </c>
      <c r="BC24" s="75"/>
      <c r="BD24" s="71"/>
      <c r="BE24" s="71"/>
      <c r="BF24" s="4"/>
      <c r="BG24" s="75"/>
    </row>
    <row r="25" spans="1:59" s="12" customFormat="1" ht="15.75" customHeight="1" x14ac:dyDescent="0.25">
      <c r="A25" s="8"/>
      <c r="B25" s="27" t="str">
        <f>IF(Inventário!C21="","",Inventário!C21)</f>
        <v/>
      </c>
      <c r="C25" s="26" t="str">
        <f>IF(B25="","",VLOOKUP(B25,Inventário!$C$4:$D$53,2,FALSE))</f>
        <v/>
      </c>
      <c r="D25" s="59" t="str">
        <f>IF(B25="","",I25+M25+Q25+U25+Y25+AC25+AG25+AK25+AO25+AS25+AW25+BA25+Inventário!H21)</f>
        <v/>
      </c>
      <c r="E25" s="60" t="str">
        <f>IF(B25="","",IF(D25&lt;0,"-",(D25*Inventário!G21)))</f>
        <v/>
      </c>
      <c r="F25" s="60" t="str">
        <f>IF(B25="","",IF(D25&gt;Inventário!I21,"NÃO",CONCATENATE("SIM:"," ",Inventário!J21," ","unid")))</f>
        <v/>
      </c>
      <c r="G25" s="56">
        <f>SUMIF('Entradas e Saídas'!$D$5:$D$44,Controle!$C25,'Entradas e Saídas'!$E$5:$E$44)</f>
        <v>0</v>
      </c>
      <c r="H25" s="56">
        <f>SUMIF('Entradas e Saídas'!$D$5:$D$44,Controle!$C25,'Entradas e Saídas'!$F$5:$F$44)</f>
        <v>0</v>
      </c>
      <c r="I25" s="56">
        <f t="shared" si="0"/>
        <v>0</v>
      </c>
      <c r="J25" s="57">
        <f>I25*Inventário!G21</f>
        <v>0</v>
      </c>
      <c r="K25" s="56">
        <f>SUMIF('Entradas e Saídas'!$J$5:$J$44,Controle!$C25,'Entradas e Saídas'!$K$5:$K$44)</f>
        <v>0</v>
      </c>
      <c r="L25" s="56">
        <f>SUMIF('Entradas e Saídas'!$J$5:$J$44,Controle!$C25,'Entradas e Saídas'!$L$5:$L$44)</f>
        <v>0</v>
      </c>
      <c r="M25" s="56">
        <f t="shared" si="1"/>
        <v>0</v>
      </c>
      <c r="N25" s="57">
        <f>M25*Inventário!$G21</f>
        <v>0</v>
      </c>
      <c r="O25" s="56">
        <f>SUMIF('Entradas e Saídas'!$P$5:$P$44,Controle!$C25,'Entradas e Saídas'!$Q$5:$Q$44)</f>
        <v>0</v>
      </c>
      <c r="P25" s="56">
        <f>SUMIF('Entradas e Saídas'!$P$5:$P$44,Controle!$C25,'Entradas e Saídas'!$R$5:$R$44)</f>
        <v>0</v>
      </c>
      <c r="Q25" s="56">
        <f t="shared" si="2"/>
        <v>0</v>
      </c>
      <c r="R25" s="57">
        <f>Q25*Inventário!$G21</f>
        <v>0</v>
      </c>
      <c r="S25" s="56">
        <f>SUMIF('Entradas e Saídas'!$V$5:$V$44,Controle!$C25,'Entradas e Saídas'!$W$5:$W$44)</f>
        <v>0</v>
      </c>
      <c r="T25" s="56">
        <f>SUMIF('Entradas e Saídas'!$V$5:$V$44,Controle!$C25,'Entradas e Saídas'!$X$5:$X$44)</f>
        <v>0</v>
      </c>
      <c r="U25" s="56">
        <f t="shared" si="3"/>
        <v>0</v>
      </c>
      <c r="V25" s="57">
        <f>U25*Inventário!$G21</f>
        <v>0</v>
      </c>
      <c r="W25" s="56">
        <f>SUMIF('Entradas e Saídas'!$AB$5:$AB$44,Controle!$C25,'Entradas e Saídas'!$AC$5:$AC$44)</f>
        <v>0</v>
      </c>
      <c r="X25" s="56">
        <f>SUMIF('Entradas e Saídas'!$AB$5:$AB$44,Controle!$C25,'Entradas e Saídas'!$AD$5:$AD$44)</f>
        <v>0</v>
      </c>
      <c r="Y25" s="56">
        <f t="shared" si="4"/>
        <v>0</v>
      </c>
      <c r="Z25" s="57">
        <f>Y25*Inventário!$G21</f>
        <v>0</v>
      </c>
      <c r="AA25" s="56">
        <f>SUMIF('Entradas e Saídas'!$AH$5:$AH$44,Controle!$C25,'Entradas e Saídas'!$AI$5:$AI$44)</f>
        <v>0</v>
      </c>
      <c r="AB25" s="56">
        <f>SUMIF('Entradas e Saídas'!$AH$5:$AH$44,Controle!$C25,'Entradas e Saídas'!$AJ$5:$AJ$44)</f>
        <v>0</v>
      </c>
      <c r="AC25" s="56">
        <f t="shared" si="5"/>
        <v>0</v>
      </c>
      <c r="AD25" s="57">
        <f>AC25*Inventário!$G21</f>
        <v>0</v>
      </c>
      <c r="AE25" s="56">
        <f>SUMIF('Entradas e Saídas'!$AN$5:$AN$44,Controle!$C25,'Entradas e Saídas'!$AO$5:$AO$44)</f>
        <v>0</v>
      </c>
      <c r="AF25" s="56">
        <f>SUMIF('Entradas e Saídas'!$AH$5:$AH$44,Controle!$C25,'Entradas e Saídas'!$AP$5:$AP$44)</f>
        <v>0</v>
      </c>
      <c r="AG25" s="56">
        <f t="shared" si="6"/>
        <v>0</v>
      </c>
      <c r="AH25" s="57">
        <f>AG25*Inventário!$G21</f>
        <v>0</v>
      </c>
      <c r="AI25" s="56">
        <f>SUMIF('Entradas e Saídas'!$AT$5:$AT$44,Controle!$C25,'Entradas e Saídas'!$AU$5:$AU$44)</f>
        <v>0</v>
      </c>
      <c r="AJ25" s="56">
        <f>SUMIF('Entradas e Saídas'!$AT$5:$AT$44,Controle!$C25,'Entradas e Saídas'!$AV$5:$AV$44)</f>
        <v>0</v>
      </c>
      <c r="AK25" s="56">
        <f t="shared" si="7"/>
        <v>0</v>
      </c>
      <c r="AL25" s="57">
        <f>AK25*Inventário!$G21</f>
        <v>0</v>
      </c>
      <c r="AM25" s="56">
        <f>SUMIF('Entradas e Saídas'!$AZ$5:$AZ$44,Controle!$C25,'Entradas e Saídas'!$BA$5:$BA$44)</f>
        <v>0</v>
      </c>
      <c r="AN25" s="56">
        <f>SUMIF('Entradas e Saídas'!$AZ$5:$AZ$44,Controle!$C25,'Entradas e Saídas'!$BB$5:$BB$44)</f>
        <v>0</v>
      </c>
      <c r="AO25" s="56">
        <f t="shared" si="8"/>
        <v>0</v>
      </c>
      <c r="AP25" s="57">
        <f>AO25*Inventário!$G21</f>
        <v>0</v>
      </c>
      <c r="AQ25" s="56">
        <f>SUMIF('Entradas e Saídas'!$BF$5:$BF$44,Controle!$C25,'Entradas e Saídas'!$BG$5:$BG$44)</f>
        <v>0</v>
      </c>
      <c r="AR25" s="56">
        <f>SUMIF('Entradas e Saídas'!$BF$5:$BF$44,Controle!$C25,'Entradas e Saídas'!$BH$5:$BH$44)</f>
        <v>0</v>
      </c>
      <c r="AS25" s="56">
        <f t="shared" si="9"/>
        <v>0</v>
      </c>
      <c r="AT25" s="57">
        <f>AS25*Inventário!$G21</f>
        <v>0</v>
      </c>
      <c r="AU25" s="56">
        <f>SUMIF('Entradas e Saídas'!$BL$5:$BL$44,Controle!$C25,'Entradas e Saídas'!$BM$5:$BM$44)</f>
        <v>0</v>
      </c>
      <c r="AV25" s="56">
        <f>SUMIF('Entradas e Saídas'!$BL$5:$BL$44,Controle!$C25,'Entradas e Saídas'!$BN$5:$BN$44)</f>
        <v>0</v>
      </c>
      <c r="AW25" s="56">
        <f t="shared" si="10"/>
        <v>0</v>
      </c>
      <c r="AX25" s="57">
        <f>AW25*Inventário!$G21</f>
        <v>0</v>
      </c>
      <c r="AY25" s="56">
        <f>SUMIF('Entradas e Saídas'!$BR$5:$BR$44,Controle!$C25,'Entradas e Saídas'!$BS$5:$BS$44)</f>
        <v>0</v>
      </c>
      <c r="AZ25" s="56">
        <f>SUMIF('Entradas e Saídas'!$BR$5:$BR$44,Controle!$C25,'Entradas e Saídas'!$BT$5:$BT$44)</f>
        <v>0</v>
      </c>
      <c r="BA25" s="56">
        <f t="shared" si="11"/>
        <v>0</v>
      </c>
      <c r="BB25" s="57">
        <f>BA25*Inventário!$G21</f>
        <v>0</v>
      </c>
      <c r="BE25" s="71"/>
      <c r="BF25" s="4"/>
    </row>
    <row r="26" spans="1:59" s="12" customFormat="1" ht="15.75" customHeight="1" x14ac:dyDescent="0.25">
      <c r="A26" s="8"/>
      <c r="B26" s="27" t="str">
        <f>IF(Inventário!C22="","",Inventário!C22)</f>
        <v/>
      </c>
      <c r="C26" s="26" t="str">
        <f>IF(B26="","",VLOOKUP(B26,Inventário!$C$4:$D$53,2,FALSE))</f>
        <v/>
      </c>
      <c r="D26" s="59" t="str">
        <f>IF(B26="","",I26+M26+Q26+U26+Y26+AC26+AG26+AK26+AO26+AS26+AW26+BA26+Inventário!H22)</f>
        <v/>
      </c>
      <c r="E26" s="60" t="str">
        <f>IF(B26="","",IF(D26&lt;0,"-",(D26*Inventário!G22)))</f>
        <v/>
      </c>
      <c r="F26" s="60" t="str">
        <f>IF(B26="","",IF(D26&gt;Inventário!I22,"NÃO",CONCATENATE("SIM:"," ",Inventário!J22," ","unid")))</f>
        <v/>
      </c>
      <c r="G26" s="56">
        <f>SUMIF('Entradas e Saídas'!$D$5:$D$44,Controle!$C26,'Entradas e Saídas'!$E$5:$E$44)</f>
        <v>0</v>
      </c>
      <c r="H26" s="56">
        <f>SUMIF('Entradas e Saídas'!$D$5:$D$44,Controle!$C26,'Entradas e Saídas'!$F$5:$F$44)</f>
        <v>0</v>
      </c>
      <c r="I26" s="56">
        <f t="shared" si="0"/>
        <v>0</v>
      </c>
      <c r="J26" s="57">
        <f>I26*Inventário!G22</f>
        <v>0</v>
      </c>
      <c r="K26" s="56">
        <f>SUMIF('Entradas e Saídas'!$J$5:$J$44,Controle!$C26,'Entradas e Saídas'!$K$5:$K$44)</f>
        <v>0</v>
      </c>
      <c r="L26" s="56">
        <f>SUMIF('Entradas e Saídas'!$J$5:$J$44,Controle!$C26,'Entradas e Saídas'!$L$5:$L$44)</f>
        <v>0</v>
      </c>
      <c r="M26" s="56">
        <f t="shared" si="1"/>
        <v>0</v>
      </c>
      <c r="N26" s="57">
        <f>M26*Inventário!$G22</f>
        <v>0</v>
      </c>
      <c r="O26" s="56">
        <f>SUMIF('Entradas e Saídas'!$P$5:$P$44,Controle!$C26,'Entradas e Saídas'!$Q$5:$Q$44)</f>
        <v>0</v>
      </c>
      <c r="P26" s="56">
        <f>SUMIF('Entradas e Saídas'!$P$5:$P$44,Controle!$C26,'Entradas e Saídas'!$R$5:$R$44)</f>
        <v>0</v>
      </c>
      <c r="Q26" s="56">
        <f t="shared" si="2"/>
        <v>0</v>
      </c>
      <c r="R26" s="57">
        <f>Q26*Inventário!$G22</f>
        <v>0</v>
      </c>
      <c r="S26" s="56">
        <f>SUMIF('Entradas e Saídas'!$V$5:$V$44,Controle!$C26,'Entradas e Saídas'!$W$5:$W$44)</f>
        <v>0</v>
      </c>
      <c r="T26" s="56">
        <f>SUMIF('Entradas e Saídas'!$V$5:$V$44,Controle!$C26,'Entradas e Saídas'!$X$5:$X$44)</f>
        <v>0</v>
      </c>
      <c r="U26" s="56">
        <f t="shared" si="3"/>
        <v>0</v>
      </c>
      <c r="V26" s="57">
        <f>U26*Inventário!$G22</f>
        <v>0</v>
      </c>
      <c r="W26" s="56">
        <f>SUMIF('Entradas e Saídas'!$AB$5:$AB$44,Controle!$C26,'Entradas e Saídas'!$AC$5:$AC$44)</f>
        <v>0</v>
      </c>
      <c r="X26" s="56">
        <f>SUMIF('Entradas e Saídas'!$AB$5:$AB$44,Controle!$C26,'Entradas e Saídas'!$AD$5:$AD$44)</f>
        <v>0</v>
      </c>
      <c r="Y26" s="56">
        <f t="shared" si="4"/>
        <v>0</v>
      </c>
      <c r="Z26" s="57">
        <f>Y26*Inventário!$G22</f>
        <v>0</v>
      </c>
      <c r="AA26" s="56">
        <f>SUMIF('Entradas e Saídas'!$AH$5:$AH$44,Controle!$C26,'Entradas e Saídas'!$AI$5:$AI$44)</f>
        <v>0</v>
      </c>
      <c r="AB26" s="56">
        <f>SUMIF('Entradas e Saídas'!$AH$5:$AH$44,Controle!$C26,'Entradas e Saídas'!$AJ$5:$AJ$44)</f>
        <v>0</v>
      </c>
      <c r="AC26" s="56">
        <f t="shared" si="5"/>
        <v>0</v>
      </c>
      <c r="AD26" s="57">
        <f>AC26*Inventário!$G22</f>
        <v>0</v>
      </c>
      <c r="AE26" s="56">
        <f>SUMIF('Entradas e Saídas'!$AN$5:$AN$44,Controle!$C26,'Entradas e Saídas'!$AO$5:$AO$44)</f>
        <v>0</v>
      </c>
      <c r="AF26" s="56">
        <f>SUMIF('Entradas e Saídas'!$AH$5:$AH$44,Controle!$C26,'Entradas e Saídas'!$AP$5:$AP$44)</f>
        <v>0</v>
      </c>
      <c r="AG26" s="56">
        <f t="shared" si="6"/>
        <v>0</v>
      </c>
      <c r="AH26" s="57">
        <f>AG26*Inventário!$G22</f>
        <v>0</v>
      </c>
      <c r="AI26" s="56">
        <f>SUMIF('Entradas e Saídas'!$AT$5:$AT$44,Controle!$C26,'Entradas e Saídas'!$AU$5:$AU$44)</f>
        <v>0</v>
      </c>
      <c r="AJ26" s="56">
        <f>SUMIF('Entradas e Saídas'!$AT$5:$AT$44,Controle!$C26,'Entradas e Saídas'!$AV$5:$AV$44)</f>
        <v>0</v>
      </c>
      <c r="AK26" s="56">
        <f t="shared" si="7"/>
        <v>0</v>
      </c>
      <c r="AL26" s="57">
        <f>AK26*Inventário!$G22</f>
        <v>0</v>
      </c>
      <c r="AM26" s="56">
        <f>SUMIF('Entradas e Saídas'!$AZ$5:$AZ$44,Controle!$C26,'Entradas e Saídas'!$BA$5:$BA$44)</f>
        <v>0</v>
      </c>
      <c r="AN26" s="56">
        <f>SUMIF('Entradas e Saídas'!$AZ$5:$AZ$44,Controle!$C26,'Entradas e Saídas'!$BB$5:$BB$44)</f>
        <v>0</v>
      </c>
      <c r="AO26" s="56">
        <f t="shared" si="8"/>
        <v>0</v>
      </c>
      <c r="AP26" s="57">
        <f>AO26*Inventário!$G22</f>
        <v>0</v>
      </c>
      <c r="AQ26" s="56">
        <f>SUMIF('Entradas e Saídas'!$BF$5:$BF$44,Controle!$C26,'Entradas e Saídas'!$BG$5:$BG$44)</f>
        <v>0</v>
      </c>
      <c r="AR26" s="56">
        <f>SUMIF('Entradas e Saídas'!$BF$5:$BF$44,Controle!$C26,'Entradas e Saídas'!$BH$5:$BH$44)</f>
        <v>0</v>
      </c>
      <c r="AS26" s="56">
        <f t="shared" si="9"/>
        <v>0</v>
      </c>
      <c r="AT26" s="57">
        <f>AS26*Inventário!$G22</f>
        <v>0</v>
      </c>
      <c r="AU26" s="56">
        <f>SUMIF('Entradas e Saídas'!$BL$5:$BL$44,Controle!$C26,'Entradas e Saídas'!$BM$5:$BM$44)</f>
        <v>0</v>
      </c>
      <c r="AV26" s="56">
        <f>SUMIF('Entradas e Saídas'!$BL$5:$BL$44,Controle!$C26,'Entradas e Saídas'!$BN$5:$BN$44)</f>
        <v>0</v>
      </c>
      <c r="AW26" s="56">
        <f t="shared" si="10"/>
        <v>0</v>
      </c>
      <c r="AX26" s="57">
        <f>AW26*Inventário!$G22</f>
        <v>0</v>
      </c>
      <c r="AY26" s="56">
        <f>SUMIF('Entradas e Saídas'!$BR$5:$BR$44,Controle!$C26,'Entradas e Saídas'!$BS$5:$BS$44)</f>
        <v>0</v>
      </c>
      <c r="AZ26" s="56">
        <f>SUMIF('Entradas e Saídas'!$BR$5:$BR$44,Controle!$C26,'Entradas e Saídas'!$BT$5:$BT$44)</f>
        <v>0</v>
      </c>
      <c r="BA26" s="56">
        <f t="shared" si="11"/>
        <v>0</v>
      </c>
      <c r="BB26" s="57">
        <f>BA26*Inventário!$G22</f>
        <v>0</v>
      </c>
      <c r="BE26" s="71"/>
      <c r="BF26" s="4"/>
    </row>
    <row r="27" spans="1:59" s="4" customFormat="1" ht="15.75" customHeight="1" x14ac:dyDescent="0.25">
      <c r="A27" s="8"/>
      <c r="B27" s="27" t="str">
        <f>IF(Inventário!C23="","",Inventário!C23)</f>
        <v/>
      </c>
      <c r="C27" s="26" t="str">
        <f>IF(B27="","",VLOOKUP(B27,Inventário!$C$4:$D$53,2,FALSE))</f>
        <v/>
      </c>
      <c r="D27" s="59" t="str">
        <f>IF(B27="","",I27+M27+Q27+U27+Y27+AC27+AG27+AK27+AO27+AS27+AW27+BA27+Inventário!H23)</f>
        <v/>
      </c>
      <c r="E27" s="60" t="str">
        <f>IF(B27="","",IF(D27&lt;0,"-",(D27*Inventário!G23)))</f>
        <v/>
      </c>
      <c r="F27" s="60" t="str">
        <f>IF(B27="","",IF(D27&gt;Inventário!I23,"NÃO",CONCATENATE("SIM:"," ",Inventário!J23," ","unid")))</f>
        <v/>
      </c>
      <c r="G27" s="56">
        <f>SUMIF('Entradas e Saídas'!$D$5:$D$44,Controle!$C27,'Entradas e Saídas'!$E$5:$E$44)</f>
        <v>0</v>
      </c>
      <c r="H27" s="56">
        <f>SUMIF('Entradas e Saídas'!$D$5:$D$44,Controle!$C27,'Entradas e Saídas'!$F$5:$F$44)</f>
        <v>0</v>
      </c>
      <c r="I27" s="56">
        <f t="shared" si="0"/>
        <v>0</v>
      </c>
      <c r="J27" s="57">
        <f>I27*Inventário!G23</f>
        <v>0</v>
      </c>
      <c r="K27" s="56">
        <f>SUMIF('Entradas e Saídas'!$J$5:$J$44,Controle!$C27,'Entradas e Saídas'!$K$5:$K$44)</f>
        <v>0</v>
      </c>
      <c r="L27" s="56">
        <f>SUMIF('Entradas e Saídas'!$J$5:$J$44,Controle!$C27,'Entradas e Saídas'!$L$5:$L$44)</f>
        <v>0</v>
      </c>
      <c r="M27" s="56">
        <f t="shared" si="1"/>
        <v>0</v>
      </c>
      <c r="N27" s="57">
        <f>M27*Inventário!$G23</f>
        <v>0</v>
      </c>
      <c r="O27" s="56">
        <f>SUMIF('Entradas e Saídas'!$P$5:$P$44,Controle!$C27,'Entradas e Saídas'!$Q$5:$Q$44)</f>
        <v>0</v>
      </c>
      <c r="P27" s="56">
        <f>SUMIF('Entradas e Saídas'!$P$5:$P$44,Controle!$C27,'Entradas e Saídas'!$R$5:$R$44)</f>
        <v>0</v>
      </c>
      <c r="Q27" s="56">
        <f t="shared" si="2"/>
        <v>0</v>
      </c>
      <c r="R27" s="57">
        <f>Q27*Inventário!$G23</f>
        <v>0</v>
      </c>
      <c r="S27" s="56">
        <f>SUMIF('Entradas e Saídas'!$V$5:$V$44,Controle!$C27,'Entradas e Saídas'!$W$5:$W$44)</f>
        <v>0</v>
      </c>
      <c r="T27" s="56">
        <f>SUMIF('Entradas e Saídas'!$V$5:$V$44,Controle!$C27,'Entradas e Saídas'!$X$5:$X$44)</f>
        <v>0</v>
      </c>
      <c r="U27" s="56">
        <f t="shared" si="3"/>
        <v>0</v>
      </c>
      <c r="V27" s="57">
        <f>U27*Inventário!$G23</f>
        <v>0</v>
      </c>
      <c r="W27" s="56">
        <f>SUMIF('Entradas e Saídas'!$AB$5:$AB$44,Controle!$C27,'Entradas e Saídas'!$AC$5:$AC$44)</f>
        <v>0</v>
      </c>
      <c r="X27" s="56">
        <f>SUMIF('Entradas e Saídas'!$AB$5:$AB$44,Controle!$C27,'Entradas e Saídas'!$AD$5:$AD$44)</f>
        <v>0</v>
      </c>
      <c r="Y27" s="56">
        <f t="shared" si="4"/>
        <v>0</v>
      </c>
      <c r="Z27" s="57">
        <f>Y27*Inventário!$G23</f>
        <v>0</v>
      </c>
      <c r="AA27" s="56">
        <f>SUMIF('Entradas e Saídas'!$AH$5:$AH$44,Controle!$C27,'Entradas e Saídas'!$AI$5:$AI$44)</f>
        <v>0</v>
      </c>
      <c r="AB27" s="56">
        <f>SUMIF('Entradas e Saídas'!$AH$5:$AH$44,Controle!$C27,'Entradas e Saídas'!$AJ$5:$AJ$44)</f>
        <v>0</v>
      </c>
      <c r="AC27" s="56">
        <f t="shared" si="5"/>
        <v>0</v>
      </c>
      <c r="AD27" s="57">
        <f>AC27*Inventário!$G23</f>
        <v>0</v>
      </c>
      <c r="AE27" s="56">
        <f>SUMIF('Entradas e Saídas'!$AN$5:$AN$44,Controle!$C27,'Entradas e Saídas'!$AO$5:$AO$44)</f>
        <v>0</v>
      </c>
      <c r="AF27" s="56">
        <f>SUMIF('Entradas e Saídas'!$AH$5:$AH$44,Controle!$C27,'Entradas e Saídas'!$AP$5:$AP$44)</f>
        <v>0</v>
      </c>
      <c r="AG27" s="56">
        <f t="shared" si="6"/>
        <v>0</v>
      </c>
      <c r="AH27" s="57">
        <f>AG27*Inventário!$G23</f>
        <v>0</v>
      </c>
      <c r="AI27" s="56">
        <f>SUMIF('Entradas e Saídas'!$AT$5:$AT$44,Controle!$C27,'Entradas e Saídas'!$AU$5:$AU$44)</f>
        <v>0</v>
      </c>
      <c r="AJ27" s="56">
        <f>SUMIF('Entradas e Saídas'!$AT$5:$AT$44,Controle!$C27,'Entradas e Saídas'!$AV$5:$AV$44)</f>
        <v>0</v>
      </c>
      <c r="AK27" s="56">
        <f t="shared" si="7"/>
        <v>0</v>
      </c>
      <c r="AL27" s="57">
        <f>AK27*Inventário!$G23</f>
        <v>0</v>
      </c>
      <c r="AM27" s="56">
        <f>SUMIF('Entradas e Saídas'!$AZ$5:$AZ$44,Controle!$C27,'Entradas e Saídas'!$BA$5:$BA$44)</f>
        <v>0</v>
      </c>
      <c r="AN27" s="56">
        <f>SUMIF('Entradas e Saídas'!$AZ$5:$AZ$44,Controle!$C27,'Entradas e Saídas'!$BB$5:$BB$44)</f>
        <v>0</v>
      </c>
      <c r="AO27" s="56">
        <f t="shared" si="8"/>
        <v>0</v>
      </c>
      <c r="AP27" s="57">
        <f>AO27*Inventário!$G23</f>
        <v>0</v>
      </c>
      <c r="AQ27" s="56">
        <f>SUMIF('Entradas e Saídas'!$BF$5:$BF$44,Controle!$C27,'Entradas e Saídas'!$BG$5:$BG$44)</f>
        <v>0</v>
      </c>
      <c r="AR27" s="56">
        <f>SUMIF('Entradas e Saídas'!$BF$5:$BF$44,Controle!$C27,'Entradas e Saídas'!$BH$5:$BH$44)</f>
        <v>0</v>
      </c>
      <c r="AS27" s="56">
        <f t="shared" si="9"/>
        <v>0</v>
      </c>
      <c r="AT27" s="57">
        <f>AS27*Inventário!$G23</f>
        <v>0</v>
      </c>
      <c r="AU27" s="56">
        <f>SUMIF('Entradas e Saídas'!$BL$5:$BL$44,Controle!$C27,'Entradas e Saídas'!$BM$5:$BM$44)</f>
        <v>0</v>
      </c>
      <c r="AV27" s="56">
        <f>SUMIF('Entradas e Saídas'!$BL$5:$BL$44,Controle!$C27,'Entradas e Saídas'!$BN$5:$BN$44)</f>
        <v>0</v>
      </c>
      <c r="AW27" s="56">
        <f t="shared" si="10"/>
        <v>0</v>
      </c>
      <c r="AX27" s="57">
        <f>AW27*Inventário!$G23</f>
        <v>0</v>
      </c>
      <c r="AY27" s="56">
        <f>SUMIF('Entradas e Saídas'!$BR$5:$BR$44,Controle!$C27,'Entradas e Saídas'!$BS$5:$BS$44)</f>
        <v>0</v>
      </c>
      <c r="AZ27" s="56">
        <f>SUMIF('Entradas e Saídas'!$BR$5:$BR$44,Controle!$C27,'Entradas e Saídas'!$BT$5:$BT$44)</f>
        <v>0</v>
      </c>
      <c r="BA27" s="56">
        <f t="shared" si="11"/>
        <v>0</v>
      </c>
      <c r="BB27" s="57">
        <f>BA27*Inventário!$G23</f>
        <v>0</v>
      </c>
    </row>
    <row r="28" spans="1:59" s="12" customFormat="1" ht="15.75" customHeight="1" x14ac:dyDescent="0.25">
      <c r="A28" s="8"/>
      <c r="B28" s="27" t="str">
        <f>IF(Inventário!C24="","",Inventário!C24)</f>
        <v/>
      </c>
      <c r="C28" s="26" t="str">
        <f>IF(B28="","",VLOOKUP(B28,Inventário!$C$4:$D$53,2,FALSE))</f>
        <v/>
      </c>
      <c r="D28" s="59" t="str">
        <f>IF(B28="","",I28+M28+Q28+U28+Y28+AC28+AG28+AK28+AO28+AS28+AW28+BA28+Inventário!H24)</f>
        <v/>
      </c>
      <c r="E28" s="60" t="str">
        <f>IF(B28="","",IF(D28&lt;0,"-",(D28*Inventário!G24)))</f>
        <v/>
      </c>
      <c r="F28" s="60" t="str">
        <f>IF(B28="","",IF(D28&gt;Inventário!I24,"NÃO",CONCATENATE("SIM:"," ",Inventário!J24," ","unid")))</f>
        <v/>
      </c>
      <c r="G28" s="56">
        <f>SUMIF('Entradas e Saídas'!$D$5:$D$44,Controle!$C28,'Entradas e Saídas'!$E$5:$E$44)</f>
        <v>0</v>
      </c>
      <c r="H28" s="56">
        <f>SUMIF('Entradas e Saídas'!$D$5:$D$44,Controle!$C28,'Entradas e Saídas'!$F$5:$F$44)</f>
        <v>0</v>
      </c>
      <c r="I28" s="56">
        <f t="shared" si="0"/>
        <v>0</v>
      </c>
      <c r="J28" s="57">
        <f>I28*Inventário!G24</f>
        <v>0</v>
      </c>
      <c r="K28" s="56">
        <f>SUMIF('Entradas e Saídas'!$J$5:$J$44,Controle!$C28,'Entradas e Saídas'!$K$5:$K$44)</f>
        <v>0</v>
      </c>
      <c r="L28" s="56">
        <f>SUMIF('Entradas e Saídas'!$J$5:$J$44,Controle!$C28,'Entradas e Saídas'!$L$5:$L$44)</f>
        <v>0</v>
      </c>
      <c r="M28" s="56">
        <f t="shared" si="1"/>
        <v>0</v>
      </c>
      <c r="N28" s="57">
        <f>M28*Inventário!$G24</f>
        <v>0</v>
      </c>
      <c r="O28" s="56">
        <f>SUMIF('Entradas e Saídas'!$P$5:$P$44,Controle!$C28,'Entradas e Saídas'!$Q$5:$Q$44)</f>
        <v>0</v>
      </c>
      <c r="P28" s="56">
        <f>SUMIF('Entradas e Saídas'!$P$5:$P$44,Controle!$C28,'Entradas e Saídas'!$R$5:$R$44)</f>
        <v>0</v>
      </c>
      <c r="Q28" s="56">
        <f t="shared" si="2"/>
        <v>0</v>
      </c>
      <c r="R28" s="57">
        <f>Q28*Inventário!$G24</f>
        <v>0</v>
      </c>
      <c r="S28" s="56">
        <f>SUMIF('Entradas e Saídas'!$V$5:$V$44,Controle!$C28,'Entradas e Saídas'!$W$5:$W$44)</f>
        <v>0</v>
      </c>
      <c r="T28" s="56">
        <f>SUMIF('Entradas e Saídas'!$V$5:$V$44,Controle!$C28,'Entradas e Saídas'!$X$5:$X$44)</f>
        <v>0</v>
      </c>
      <c r="U28" s="56">
        <f t="shared" si="3"/>
        <v>0</v>
      </c>
      <c r="V28" s="57">
        <f>U28*Inventário!$G24</f>
        <v>0</v>
      </c>
      <c r="W28" s="56">
        <f>SUMIF('Entradas e Saídas'!$AB$5:$AB$44,Controle!$C28,'Entradas e Saídas'!$AC$5:$AC$44)</f>
        <v>0</v>
      </c>
      <c r="X28" s="56">
        <f>SUMIF('Entradas e Saídas'!$AB$5:$AB$44,Controle!$C28,'Entradas e Saídas'!$AD$5:$AD$44)</f>
        <v>0</v>
      </c>
      <c r="Y28" s="56">
        <f t="shared" si="4"/>
        <v>0</v>
      </c>
      <c r="Z28" s="57">
        <f>Y28*Inventário!$G24</f>
        <v>0</v>
      </c>
      <c r="AA28" s="56">
        <f>SUMIF('Entradas e Saídas'!$AH$5:$AH$44,Controle!$C28,'Entradas e Saídas'!$AI$5:$AI$44)</f>
        <v>0</v>
      </c>
      <c r="AB28" s="56">
        <f>SUMIF('Entradas e Saídas'!$AH$5:$AH$44,Controle!$C28,'Entradas e Saídas'!$AJ$5:$AJ$44)</f>
        <v>0</v>
      </c>
      <c r="AC28" s="56">
        <f t="shared" si="5"/>
        <v>0</v>
      </c>
      <c r="AD28" s="57">
        <f>AC28*Inventário!$G24</f>
        <v>0</v>
      </c>
      <c r="AE28" s="56">
        <f>SUMIF('Entradas e Saídas'!$AN$5:$AN$44,Controle!$C28,'Entradas e Saídas'!$AO$5:$AO$44)</f>
        <v>0</v>
      </c>
      <c r="AF28" s="56">
        <f>SUMIF('Entradas e Saídas'!$AH$5:$AH$44,Controle!$C28,'Entradas e Saídas'!$AP$5:$AP$44)</f>
        <v>0</v>
      </c>
      <c r="AG28" s="56">
        <f t="shared" si="6"/>
        <v>0</v>
      </c>
      <c r="AH28" s="57">
        <f>AG28*Inventário!$G24</f>
        <v>0</v>
      </c>
      <c r="AI28" s="56">
        <f>SUMIF('Entradas e Saídas'!$AT$5:$AT$44,Controle!$C28,'Entradas e Saídas'!$AU$5:$AU$44)</f>
        <v>0</v>
      </c>
      <c r="AJ28" s="56">
        <f>SUMIF('Entradas e Saídas'!$AT$5:$AT$44,Controle!$C28,'Entradas e Saídas'!$AV$5:$AV$44)</f>
        <v>0</v>
      </c>
      <c r="AK28" s="56">
        <f t="shared" si="7"/>
        <v>0</v>
      </c>
      <c r="AL28" s="57">
        <f>AK28*Inventário!$G24</f>
        <v>0</v>
      </c>
      <c r="AM28" s="56">
        <f>SUMIF('Entradas e Saídas'!$AZ$5:$AZ$44,Controle!$C28,'Entradas e Saídas'!$BA$5:$BA$44)</f>
        <v>0</v>
      </c>
      <c r="AN28" s="56">
        <f>SUMIF('Entradas e Saídas'!$AZ$5:$AZ$44,Controle!$C28,'Entradas e Saídas'!$BB$5:$BB$44)</f>
        <v>0</v>
      </c>
      <c r="AO28" s="56">
        <f t="shared" si="8"/>
        <v>0</v>
      </c>
      <c r="AP28" s="57">
        <f>AO28*Inventário!$G24</f>
        <v>0</v>
      </c>
      <c r="AQ28" s="56">
        <f>SUMIF('Entradas e Saídas'!$BF$5:$BF$44,Controle!$C28,'Entradas e Saídas'!$BG$5:$BG$44)</f>
        <v>0</v>
      </c>
      <c r="AR28" s="56">
        <f>SUMIF('Entradas e Saídas'!$BF$5:$BF$44,Controle!$C28,'Entradas e Saídas'!$BH$5:$BH$44)</f>
        <v>0</v>
      </c>
      <c r="AS28" s="56">
        <f t="shared" si="9"/>
        <v>0</v>
      </c>
      <c r="AT28" s="57">
        <f>AS28*Inventário!$G24</f>
        <v>0</v>
      </c>
      <c r="AU28" s="56">
        <f>SUMIF('Entradas e Saídas'!$BL$5:$BL$44,Controle!$C28,'Entradas e Saídas'!$BM$5:$BM$44)</f>
        <v>0</v>
      </c>
      <c r="AV28" s="56">
        <f>SUMIF('Entradas e Saídas'!$BL$5:$BL$44,Controle!$C28,'Entradas e Saídas'!$BN$5:$BN$44)</f>
        <v>0</v>
      </c>
      <c r="AW28" s="56">
        <f t="shared" si="10"/>
        <v>0</v>
      </c>
      <c r="AX28" s="57">
        <f>AW28*Inventário!$G24</f>
        <v>0</v>
      </c>
      <c r="AY28" s="56">
        <f>SUMIF('Entradas e Saídas'!$BR$5:$BR$44,Controle!$C28,'Entradas e Saídas'!$BS$5:$BS$44)</f>
        <v>0</v>
      </c>
      <c r="AZ28" s="56">
        <f>SUMIF('Entradas e Saídas'!$BR$5:$BR$44,Controle!$C28,'Entradas e Saídas'!$BT$5:$BT$44)</f>
        <v>0</v>
      </c>
      <c r="BA28" s="56">
        <f t="shared" si="11"/>
        <v>0</v>
      </c>
      <c r="BB28" s="57">
        <f>BA28*Inventário!$G24</f>
        <v>0</v>
      </c>
      <c r="BE28" s="71"/>
      <c r="BF28" s="4"/>
    </row>
    <row r="29" spans="1:59" s="12" customFormat="1" ht="15.75" customHeight="1" x14ac:dyDescent="0.25">
      <c r="A29" s="8"/>
      <c r="B29" s="27" t="str">
        <f>IF(Inventário!C25="","",Inventário!C25)</f>
        <v/>
      </c>
      <c r="C29" s="26" t="str">
        <f>IF(B29="","",VLOOKUP(B29,Inventário!$C$4:$D$53,2,FALSE))</f>
        <v/>
      </c>
      <c r="D29" s="59" t="str">
        <f>IF(B29="","",I29+M29+Q29+U29+Y29+AC29+AG29+AK29+AO29+AS29+AW29+BA29+Inventário!H25)</f>
        <v/>
      </c>
      <c r="E29" s="60" t="str">
        <f>IF(B29="","",IF(D29&lt;0,"-",(D29*Inventário!G25)))</f>
        <v/>
      </c>
      <c r="F29" s="60" t="str">
        <f>IF(B29="","",IF(D29&gt;Inventário!I25,"NÃO",CONCATENATE("SIM:"," ",Inventário!J25," ","unid")))</f>
        <v/>
      </c>
      <c r="G29" s="56">
        <f>SUMIF('Entradas e Saídas'!$D$5:$D$44,Controle!$C29,'Entradas e Saídas'!$E$5:$E$44)</f>
        <v>0</v>
      </c>
      <c r="H29" s="56">
        <f>SUMIF('Entradas e Saídas'!$D$5:$D$44,Controle!$C29,'Entradas e Saídas'!$F$5:$F$44)</f>
        <v>0</v>
      </c>
      <c r="I29" s="56">
        <f t="shared" si="0"/>
        <v>0</v>
      </c>
      <c r="J29" s="57">
        <f>I29*Inventário!G25</f>
        <v>0</v>
      </c>
      <c r="K29" s="56">
        <f>SUMIF('Entradas e Saídas'!$J$5:$J$44,Controle!$C29,'Entradas e Saídas'!$K$5:$K$44)</f>
        <v>0</v>
      </c>
      <c r="L29" s="56">
        <f>SUMIF('Entradas e Saídas'!$J$5:$J$44,Controle!$C29,'Entradas e Saídas'!$L$5:$L$44)</f>
        <v>0</v>
      </c>
      <c r="M29" s="56">
        <f t="shared" si="1"/>
        <v>0</v>
      </c>
      <c r="N29" s="57">
        <f>M29*Inventário!$G25</f>
        <v>0</v>
      </c>
      <c r="O29" s="56">
        <f>SUMIF('Entradas e Saídas'!$P$5:$P$44,Controle!$C29,'Entradas e Saídas'!$Q$5:$Q$44)</f>
        <v>0</v>
      </c>
      <c r="P29" s="56">
        <f>SUMIF('Entradas e Saídas'!$P$5:$P$44,Controle!$C29,'Entradas e Saídas'!$R$5:$R$44)</f>
        <v>0</v>
      </c>
      <c r="Q29" s="56">
        <f t="shared" si="2"/>
        <v>0</v>
      </c>
      <c r="R29" s="57">
        <f>Q29*Inventário!$G25</f>
        <v>0</v>
      </c>
      <c r="S29" s="56">
        <f>SUMIF('Entradas e Saídas'!$V$5:$V$44,Controle!$C29,'Entradas e Saídas'!$W$5:$W$44)</f>
        <v>0</v>
      </c>
      <c r="T29" s="56">
        <f>SUMIF('Entradas e Saídas'!$V$5:$V$44,Controle!$C29,'Entradas e Saídas'!$X$5:$X$44)</f>
        <v>0</v>
      </c>
      <c r="U29" s="56">
        <f t="shared" si="3"/>
        <v>0</v>
      </c>
      <c r="V29" s="57">
        <f>U29*Inventário!$G25</f>
        <v>0</v>
      </c>
      <c r="W29" s="56">
        <f>SUMIF('Entradas e Saídas'!$AB$5:$AB$44,Controle!$C29,'Entradas e Saídas'!$AC$5:$AC$44)</f>
        <v>0</v>
      </c>
      <c r="X29" s="56">
        <f>SUMIF('Entradas e Saídas'!$AB$5:$AB$44,Controle!$C29,'Entradas e Saídas'!$AD$5:$AD$44)</f>
        <v>0</v>
      </c>
      <c r="Y29" s="56">
        <f t="shared" si="4"/>
        <v>0</v>
      </c>
      <c r="Z29" s="57">
        <f>Y29*Inventário!$G25</f>
        <v>0</v>
      </c>
      <c r="AA29" s="56">
        <f>SUMIF('Entradas e Saídas'!$AH$5:$AH$44,Controle!$C29,'Entradas e Saídas'!$AI$5:$AI$44)</f>
        <v>0</v>
      </c>
      <c r="AB29" s="56">
        <f>SUMIF('Entradas e Saídas'!$AH$5:$AH$44,Controle!$C29,'Entradas e Saídas'!$AJ$5:$AJ$44)</f>
        <v>0</v>
      </c>
      <c r="AC29" s="56">
        <f t="shared" si="5"/>
        <v>0</v>
      </c>
      <c r="AD29" s="57">
        <f>AC29*Inventário!$G25</f>
        <v>0</v>
      </c>
      <c r="AE29" s="56">
        <f>SUMIF('Entradas e Saídas'!$AN$5:$AN$44,Controle!$C29,'Entradas e Saídas'!$AO$5:$AO$44)</f>
        <v>0</v>
      </c>
      <c r="AF29" s="56">
        <f>SUMIF('Entradas e Saídas'!$AH$5:$AH$44,Controle!$C29,'Entradas e Saídas'!$AP$5:$AP$44)</f>
        <v>0</v>
      </c>
      <c r="AG29" s="56">
        <f t="shared" si="6"/>
        <v>0</v>
      </c>
      <c r="AH29" s="57">
        <f>AG29*Inventário!$G25</f>
        <v>0</v>
      </c>
      <c r="AI29" s="56">
        <f>SUMIF('Entradas e Saídas'!$AT$5:$AT$44,Controle!$C29,'Entradas e Saídas'!$AU$5:$AU$44)</f>
        <v>0</v>
      </c>
      <c r="AJ29" s="56">
        <f>SUMIF('Entradas e Saídas'!$AT$5:$AT$44,Controle!$C29,'Entradas e Saídas'!$AV$5:$AV$44)</f>
        <v>0</v>
      </c>
      <c r="AK29" s="56">
        <f t="shared" si="7"/>
        <v>0</v>
      </c>
      <c r="AL29" s="57">
        <f>AK29*Inventário!$G25</f>
        <v>0</v>
      </c>
      <c r="AM29" s="56">
        <f>SUMIF('Entradas e Saídas'!$AZ$5:$AZ$44,Controle!$C29,'Entradas e Saídas'!$BA$5:$BA$44)</f>
        <v>0</v>
      </c>
      <c r="AN29" s="56">
        <f>SUMIF('Entradas e Saídas'!$AZ$5:$AZ$44,Controle!$C29,'Entradas e Saídas'!$BB$5:$BB$44)</f>
        <v>0</v>
      </c>
      <c r="AO29" s="56">
        <f t="shared" si="8"/>
        <v>0</v>
      </c>
      <c r="AP29" s="57">
        <f>AO29*Inventário!$G25</f>
        <v>0</v>
      </c>
      <c r="AQ29" s="56">
        <f>SUMIF('Entradas e Saídas'!$BF$5:$BF$44,Controle!$C29,'Entradas e Saídas'!$BG$5:$BG$44)</f>
        <v>0</v>
      </c>
      <c r="AR29" s="56">
        <f>SUMIF('Entradas e Saídas'!$BF$5:$BF$44,Controle!$C29,'Entradas e Saídas'!$BH$5:$BH$44)</f>
        <v>0</v>
      </c>
      <c r="AS29" s="56">
        <f t="shared" si="9"/>
        <v>0</v>
      </c>
      <c r="AT29" s="57">
        <f>AS29*Inventário!$G25</f>
        <v>0</v>
      </c>
      <c r="AU29" s="56">
        <f>SUMIF('Entradas e Saídas'!$BL$5:$BL$44,Controle!$C29,'Entradas e Saídas'!$BM$5:$BM$44)</f>
        <v>0</v>
      </c>
      <c r="AV29" s="56">
        <f>SUMIF('Entradas e Saídas'!$BL$5:$BL$44,Controle!$C29,'Entradas e Saídas'!$BN$5:$BN$44)</f>
        <v>0</v>
      </c>
      <c r="AW29" s="56">
        <f t="shared" si="10"/>
        <v>0</v>
      </c>
      <c r="AX29" s="57">
        <f>AW29*Inventário!$G25</f>
        <v>0</v>
      </c>
      <c r="AY29" s="56">
        <f>SUMIF('Entradas e Saídas'!$BR$5:$BR$44,Controle!$C29,'Entradas e Saídas'!$BS$5:$BS$44)</f>
        <v>0</v>
      </c>
      <c r="AZ29" s="56">
        <f>SUMIF('Entradas e Saídas'!$BR$5:$BR$44,Controle!$C29,'Entradas e Saídas'!$BT$5:$BT$44)</f>
        <v>0</v>
      </c>
      <c r="BA29" s="56">
        <f t="shared" si="11"/>
        <v>0</v>
      </c>
      <c r="BB29" s="57">
        <f>BA29*Inventário!$G25</f>
        <v>0</v>
      </c>
      <c r="BE29" s="71"/>
      <c r="BF29" s="4"/>
    </row>
    <row r="30" spans="1:59" s="12" customFormat="1" ht="15.75" customHeight="1" x14ac:dyDescent="0.25">
      <c r="A30" s="8"/>
      <c r="B30" s="27" t="str">
        <f>IF(Inventário!C26="","",Inventário!C26)</f>
        <v/>
      </c>
      <c r="C30" s="26" t="str">
        <f>IF(B30="","",VLOOKUP(B30,Inventário!$C$4:$D$53,2,FALSE))</f>
        <v/>
      </c>
      <c r="D30" s="59" t="str">
        <f>IF(B30="","",I30+M30+Q30+U30+Y30+AC30+AG30+AK30+AO30+AS30+AW30+BA30+Inventário!H26)</f>
        <v/>
      </c>
      <c r="E30" s="60" t="str">
        <f>IF(B30="","",IF(D30&lt;0,"-",(D30*Inventário!G26)))</f>
        <v/>
      </c>
      <c r="F30" s="60" t="str">
        <f>IF(B30="","",IF(D30&gt;Inventário!I26,"NÃO",CONCATENATE("SIM:"," ",Inventário!J26," ","unid")))</f>
        <v/>
      </c>
      <c r="G30" s="56">
        <f>SUMIF('Entradas e Saídas'!$D$5:$D$44,Controle!$C30,'Entradas e Saídas'!$E$5:$E$44)</f>
        <v>0</v>
      </c>
      <c r="H30" s="56">
        <f>SUMIF('Entradas e Saídas'!$D$5:$D$44,Controle!$C30,'Entradas e Saídas'!$F$5:$F$44)</f>
        <v>0</v>
      </c>
      <c r="I30" s="56">
        <f t="shared" si="0"/>
        <v>0</v>
      </c>
      <c r="J30" s="57">
        <f>I30*Inventário!G26</f>
        <v>0</v>
      </c>
      <c r="K30" s="56">
        <f>SUMIF('Entradas e Saídas'!$J$5:$J$44,Controle!$C30,'Entradas e Saídas'!$K$5:$K$44)</f>
        <v>0</v>
      </c>
      <c r="L30" s="56">
        <f>SUMIF('Entradas e Saídas'!$J$5:$J$44,Controle!$C30,'Entradas e Saídas'!$L$5:$L$44)</f>
        <v>0</v>
      </c>
      <c r="M30" s="56">
        <f t="shared" si="1"/>
        <v>0</v>
      </c>
      <c r="N30" s="57">
        <f>M30*Inventário!$G26</f>
        <v>0</v>
      </c>
      <c r="O30" s="56">
        <f>SUMIF('Entradas e Saídas'!$P$5:$P$44,Controle!$C30,'Entradas e Saídas'!$Q$5:$Q$44)</f>
        <v>0</v>
      </c>
      <c r="P30" s="56">
        <f>SUMIF('Entradas e Saídas'!$P$5:$P$44,Controle!$C30,'Entradas e Saídas'!$R$5:$R$44)</f>
        <v>0</v>
      </c>
      <c r="Q30" s="56">
        <f t="shared" si="2"/>
        <v>0</v>
      </c>
      <c r="R30" s="57">
        <f>Q30*Inventário!$G26</f>
        <v>0</v>
      </c>
      <c r="S30" s="56">
        <f>SUMIF('Entradas e Saídas'!$V$5:$V$44,Controle!$C30,'Entradas e Saídas'!$W$5:$W$44)</f>
        <v>0</v>
      </c>
      <c r="T30" s="56">
        <f>SUMIF('Entradas e Saídas'!$V$5:$V$44,Controle!$C30,'Entradas e Saídas'!$X$5:$X$44)</f>
        <v>0</v>
      </c>
      <c r="U30" s="56">
        <f t="shared" si="3"/>
        <v>0</v>
      </c>
      <c r="V30" s="57">
        <f>U30*Inventário!$G26</f>
        <v>0</v>
      </c>
      <c r="W30" s="56">
        <f>SUMIF('Entradas e Saídas'!$AB$5:$AB$44,Controle!$C30,'Entradas e Saídas'!$AC$5:$AC$44)</f>
        <v>0</v>
      </c>
      <c r="X30" s="56">
        <f>SUMIF('Entradas e Saídas'!$AB$5:$AB$44,Controle!$C30,'Entradas e Saídas'!$AD$5:$AD$44)</f>
        <v>0</v>
      </c>
      <c r="Y30" s="56">
        <f t="shared" si="4"/>
        <v>0</v>
      </c>
      <c r="Z30" s="57">
        <f>Y30*Inventário!$G26</f>
        <v>0</v>
      </c>
      <c r="AA30" s="56">
        <f>SUMIF('Entradas e Saídas'!$AH$5:$AH$44,Controle!$C30,'Entradas e Saídas'!$AI$5:$AI$44)</f>
        <v>0</v>
      </c>
      <c r="AB30" s="56">
        <f>SUMIF('Entradas e Saídas'!$AH$5:$AH$44,Controle!$C30,'Entradas e Saídas'!$AJ$5:$AJ$44)</f>
        <v>0</v>
      </c>
      <c r="AC30" s="56">
        <f t="shared" si="5"/>
        <v>0</v>
      </c>
      <c r="AD30" s="57">
        <f>AC30*Inventário!$G26</f>
        <v>0</v>
      </c>
      <c r="AE30" s="56">
        <f>SUMIF('Entradas e Saídas'!$AN$5:$AN$44,Controle!$C30,'Entradas e Saídas'!$AO$5:$AO$44)</f>
        <v>0</v>
      </c>
      <c r="AF30" s="56">
        <f>SUMIF('Entradas e Saídas'!$AH$5:$AH$44,Controle!$C30,'Entradas e Saídas'!$AP$5:$AP$44)</f>
        <v>0</v>
      </c>
      <c r="AG30" s="56">
        <f t="shared" si="6"/>
        <v>0</v>
      </c>
      <c r="AH30" s="57">
        <f>AG30*Inventário!$G26</f>
        <v>0</v>
      </c>
      <c r="AI30" s="56">
        <f>SUMIF('Entradas e Saídas'!$AT$5:$AT$44,Controle!$C30,'Entradas e Saídas'!$AU$5:$AU$44)</f>
        <v>0</v>
      </c>
      <c r="AJ30" s="56">
        <f>SUMIF('Entradas e Saídas'!$AT$5:$AT$44,Controle!$C30,'Entradas e Saídas'!$AV$5:$AV$44)</f>
        <v>0</v>
      </c>
      <c r="AK30" s="56">
        <f t="shared" si="7"/>
        <v>0</v>
      </c>
      <c r="AL30" s="57">
        <f>AK30*Inventário!$G26</f>
        <v>0</v>
      </c>
      <c r="AM30" s="56">
        <f>SUMIF('Entradas e Saídas'!$AZ$5:$AZ$44,Controle!$C30,'Entradas e Saídas'!$BA$5:$BA$44)</f>
        <v>0</v>
      </c>
      <c r="AN30" s="56">
        <f>SUMIF('Entradas e Saídas'!$AZ$5:$AZ$44,Controle!$C30,'Entradas e Saídas'!$BB$5:$BB$44)</f>
        <v>0</v>
      </c>
      <c r="AO30" s="56">
        <f t="shared" si="8"/>
        <v>0</v>
      </c>
      <c r="AP30" s="57">
        <f>AO30*Inventário!$G26</f>
        <v>0</v>
      </c>
      <c r="AQ30" s="56">
        <f>SUMIF('Entradas e Saídas'!$BF$5:$BF$44,Controle!$C30,'Entradas e Saídas'!$BG$5:$BG$44)</f>
        <v>0</v>
      </c>
      <c r="AR30" s="56">
        <f>SUMIF('Entradas e Saídas'!$BF$5:$BF$44,Controle!$C30,'Entradas e Saídas'!$BH$5:$BH$44)</f>
        <v>0</v>
      </c>
      <c r="AS30" s="56">
        <f t="shared" si="9"/>
        <v>0</v>
      </c>
      <c r="AT30" s="57">
        <f>AS30*Inventário!$G26</f>
        <v>0</v>
      </c>
      <c r="AU30" s="56">
        <f>SUMIF('Entradas e Saídas'!$BL$5:$BL$44,Controle!$C30,'Entradas e Saídas'!$BM$5:$BM$44)</f>
        <v>0</v>
      </c>
      <c r="AV30" s="56">
        <f>SUMIF('Entradas e Saídas'!$BL$5:$BL$44,Controle!$C30,'Entradas e Saídas'!$BN$5:$BN$44)</f>
        <v>0</v>
      </c>
      <c r="AW30" s="56">
        <f t="shared" si="10"/>
        <v>0</v>
      </c>
      <c r="AX30" s="57">
        <f>AW30*Inventário!$G26</f>
        <v>0</v>
      </c>
      <c r="AY30" s="56">
        <f>SUMIF('Entradas e Saídas'!$BR$5:$BR$44,Controle!$C30,'Entradas e Saídas'!$BS$5:$BS$44)</f>
        <v>0</v>
      </c>
      <c r="AZ30" s="56">
        <f>SUMIF('Entradas e Saídas'!$BR$5:$BR$44,Controle!$C30,'Entradas e Saídas'!$BT$5:$BT$44)</f>
        <v>0</v>
      </c>
      <c r="BA30" s="56">
        <f t="shared" si="11"/>
        <v>0</v>
      </c>
      <c r="BB30" s="57">
        <f>BA30*Inventário!$G26</f>
        <v>0</v>
      </c>
      <c r="BE30" s="71"/>
      <c r="BF30" s="4"/>
    </row>
    <row r="31" spans="1:59" s="12" customFormat="1" ht="15.75" customHeight="1" x14ac:dyDescent="0.25">
      <c r="A31" s="8"/>
      <c r="B31" s="27" t="str">
        <f>IF(Inventário!C27="","",Inventário!C27)</f>
        <v/>
      </c>
      <c r="C31" s="26" t="str">
        <f>IF(B31="","",VLOOKUP(B31,Inventário!$C$4:$D$53,2,FALSE))</f>
        <v/>
      </c>
      <c r="D31" s="59" t="str">
        <f>IF(B31="","",I31+M31+Q31+U31+Y31+AC31+AG31+AK31+AO31+AS31+AW31+BA31+Inventário!H27)</f>
        <v/>
      </c>
      <c r="E31" s="60" t="str">
        <f>IF(B31="","",IF(D31&lt;0,"-",(D31*Inventário!G27)))</f>
        <v/>
      </c>
      <c r="F31" s="60" t="str">
        <f>IF(B31="","",IF(D31&gt;Inventário!I27,"NÃO",CONCATENATE("SIM:"," ",Inventário!J27," ","unid")))</f>
        <v/>
      </c>
      <c r="G31" s="56">
        <f>SUMIF('Entradas e Saídas'!$D$5:$D$44,Controle!$C31,'Entradas e Saídas'!$E$5:$E$44)</f>
        <v>0</v>
      </c>
      <c r="H31" s="56">
        <f>SUMIF('Entradas e Saídas'!$D$5:$D$44,Controle!$C31,'Entradas e Saídas'!$F$5:$F$44)</f>
        <v>0</v>
      </c>
      <c r="I31" s="56">
        <f t="shared" si="0"/>
        <v>0</v>
      </c>
      <c r="J31" s="57">
        <f>I31*Inventário!G27</f>
        <v>0</v>
      </c>
      <c r="K31" s="56">
        <f>SUMIF('Entradas e Saídas'!$J$5:$J$44,Controle!$C31,'Entradas e Saídas'!$K$5:$K$44)</f>
        <v>0</v>
      </c>
      <c r="L31" s="56">
        <f>SUMIF('Entradas e Saídas'!$J$5:$J$44,Controle!$C31,'Entradas e Saídas'!$L$5:$L$44)</f>
        <v>0</v>
      </c>
      <c r="M31" s="56">
        <f t="shared" si="1"/>
        <v>0</v>
      </c>
      <c r="N31" s="57">
        <f>M31*Inventário!$G27</f>
        <v>0</v>
      </c>
      <c r="O31" s="56">
        <f>SUMIF('Entradas e Saídas'!$P$5:$P$44,Controle!$C31,'Entradas e Saídas'!$Q$5:$Q$44)</f>
        <v>0</v>
      </c>
      <c r="P31" s="56">
        <f>SUMIF('Entradas e Saídas'!$P$5:$P$44,Controle!$C31,'Entradas e Saídas'!$R$5:$R$44)</f>
        <v>0</v>
      </c>
      <c r="Q31" s="56">
        <f t="shared" si="2"/>
        <v>0</v>
      </c>
      <c r="R31" s="57">
        <f>Q31*Inventário!$G27</f>
        <v>0</v>
      </c>
      <c r="S31" s="56">
        <f>SUMIF('Entradas e Saídas'!$V$5:$V$44,Controle!$C31,'Entradas e Saídas'!$W$5:$W$44)</f>
        <v>0</v>
      </c>
      <c r="T31" s="56">
        <f>SUMIF('Entradas e Saídas'!$V$5:$V$44,Controle!$C31,'Entradas e Saídas'!$X$5:$X$44)</f>
        <v>0</v>
      </c>
      <c r="U31" s="56">
        <f t="shared" si="3"/>
        <v>0</v>
      </c>
      <c r="V31" s="57">
        <f>U31*Inventário!$G27</f>
        <v>0</v>
      </c>
      <c r="W31" s="56">
        <f>SUMIF('Entradas e Saídas'!$AB$5:$AB$44,Controle!$C31,'Entradas e Saídas'!$AC$5:$AC$44)</f>
        <v>0</v>
      </c>
      <c r="X31" s="56">
        <f>SUMIF('Entradas e Saídas'!$AB$5:$AB$44,Controle!$C31,'Entradas e Saídas'!$AD$5:$AD$44)</f>
        <v>0</v>
      </c>
      <c r="Y31" s="56">
        <f t="shared" si="4"/>
        <v>0</v>
      </c>
      <c r="Z31" s="57">
        <f>Y31*Inventário!$G27</f>
        <v>0</v>
      </c>
      <c r="AA31" s="56">
        <f>SUMIF('Entradas e Saídas'!$AH$5:$AH$44,Controle!$C31,'Entradas e Saídas'!$AI$5:$AI$44)</f>
        <v>0</v>
      </c>
      <c r="AB31" s="56">
        <f>SUMIF('Entradas e Saídas'!$AH$5:$AH$44,Controle!$C31,'Entradas e Saídas'!$AJ$5:$AJ$44)</f>
        <v>0</v>
      </c>
      <c r="AC31" s="56">
        <f t="shared" si="5"/>
        <v>0</v>
      </c>
      <c r="AD31" s="57">
        <f>AC31*Inventário!$G27</f>
        <v>0</v>
      </c>
      <c r="AE31" s="56">
        <f>SUMIF('Entradas e Saídas'!$AN$5:$AN$44,Controle!$C31,'Entradas e Saídas'!$AO$5:$AO$44)</f>
        <v>0</v>
      </c>
      <c r="AF31" s="56">
        <f>SUMIF('Entradas e Saídas'!$AH$5:$AH$44,Controle!$C31,'Entradas e Saídas'!$AP$5:$AP$44)</f>
        <v>0</v>
      </c>
      <c r="AG31" s="56">
        <f t="shared" si="6"/>
        <v>0</v>
      </c>
      <c r="AH31" s="57">
        <f>AG31*Inventário!$G27</f>
        <v>0</v>
      </c>
      <c r="AI31" s="56">
        <f>SUMIF('Entradas e Saídas'!$AT$5:$AT$44,Controle!$C31,'Entradas e Saídas'!$AU$5:$AU$44)</f>
        <v>0</v>
      </c>
      <c r="AJ31" s="56">
        <f>SUMIF('Entradas e Saídas'!$AT$5:$AT$44,Controle!$C31,'Entradas e Saídas'!$AV$5:$AV$44)</f>
        <v>0</v>
      </c>
      <c r="AK31" s="56">
        <f t="shared" si="7"/>
        <v>0</v>
      </c>
      <c r="AL31" s="57">
        <f>AK31*Inventário!$G27</f>
        <v>0</v>
      </c>
      <c r="AM31" s="56">
        <f>SUMIF('Entradas e Saídas'!$AZ$5:$AZ$44,Controle!$C31,'Entradas e Saídas'!$BA$5:$BA$44)</f>
        <v>0</v>
      </c>
      <c r="AN31" s="56">
        <f>SUMIF('Entradas e Saídas'!$AZ$5:$AZ$44,Controle!$C31,'Entradas e Saídas'!$BB$5:$BB$44)</f>
        <v>0</v>
      </c>
      <c r="AO31" s="56">
        <f t="shared" si="8"/>
        <v>0</v>
      </c>
      <c r="AP31" s="57">
        <f>AO31*Inventário!$G27</f>
        <v>0</v>
      </c>
      <c r="AQ31" s="56">
        <f>SUMIF('Entradas e Saídas'!$BF$5:$BF$44,Controle!$C31,'Entradas e Saídas'!$BG$5:$BG$44)</f>
        <v>0</v>
      </c>
      <c r="AR31" s="56">
        <f>SUMIF('Entradas e Saídas'!$BF$5:$BF$44,Controle!$C31,'Entradas e Saídas'!$BH$5:$BH$44)</f>
        <v>0</v>
      </c>
      <c r="AS31" s="56">
        <f t="shared" si="9"/>
        <v>0</v>
      </c>
      <c r="AT31" s="57">
        <f>AS31*Inventário!$G27</f>
        <v>0</v>
      </c>
      <c r="AU31" s="56">
        <f>SUMIF('Entradas e Saídas'!$BL$5:$BL$44,Controle!$C31,'Entradas e Saídas'!$BM$5:$BM$44)</f>
        <v>0</v>
      </c>
      <c r="AV31" s="56">
        <f>SUMIF('Entradas e Saídas'!$BL$5:$BL$44,Controle!$C31,'Entradas e Saídas'!$BN$5:$BN$44)</f>
        <v>0</v>
      </c>
      <c r="AW31" s="56">
        <f t="shared" si="10"/>
        <v>0</v>
      </c>
      <c r="AX31" s="57">
        <f>AW31*Inventário!$G27</f>
        <v>0</v>
      </c>
      <c r="AY31" s="56">
        <f>SUMIF('Entradas e Saídas'!$BR$5:$BR$44,Controle!$C31,'Entradas e Saídas'!$BS$5:$BS$44)</f>
        <v>0</v>
      </c>
      <c r="AZ31" s="56">
        <f>SUMIF('Entradas e Saídas'!$BR$5:$BR$44,Controle!$C31,'Entradas e Saídas'!$BT$5:$BT$44)</f>
        <v>0</v>
      </c>
      <c r="BA31" s="56">
        <f t="shared" si="11"/>
        <v>0</v>
      </c>
      <c r="BB31" s="57">
        <f>BA31*Inventário!$G27</f>
        <v>0</v>
      </c>
      <c r="BE31" s="71"/>
      <c r="BF31" s="4"/>
    </row>
    <row r="32" spans="1:59" s="12" customFormat="1" ht="15.75" customHeight="1" x14ac:dyDescent="0.25">
      <c r="A32" s="8"/>
      <c r="B32" s="27" t="str">
        <f>IF(Inventário!C28="","",Inventário!C28)</f>
        <v/>
      </c>
      <c r="C32" s="26" t="str">
        <f>IF(B32="","",VLOOKUP(B32,Inventário!$C$4:$D$53,2,FALSE))</f>
        <v/>
      </c>
      <c r="D32" s="59" t="str">
        <f>IF(B32="","",I32+M32+Q32+U32+Y32+AC32+AG32+AK32+AO32+AS32+AW32+BA32+Inventário!H28)</f>
        <v/>
      </c>
      <c r="E32" s="60" t="str">
        <f>IF(B32="","",IF(D32&lt;0,"-",(D32*Inventário!G28)))</f>
        <v/>
      </c>
      <c r="F32" s="60" t="str">
        <f>IF(B32="","",IF(D32&gt;Inventário!I28,"NÃO",CONCATENATE("SIM:"," ",Inventário!J28," ","unid")))</f>
        <v/>
      </c>
      <c r="G32" s="56">
        <f>SUMIF('Entradas e Saídas'!$D$5:$D$44,Controle!$C32,'Entradas e Saídas'!$E$5:$E$44)</f>
        <v>0</v>
      </c>
      <c r="H32" s="56">
        <f>SUMIF('Entradas e Saídas'!$D$5:$D$44,Controle!$C32,'Entradas e Saídas'!$F$5:$F$44)</f>
        <v>0</v>
      </c>
      <c r="I32" s="56">
        <f t="shared" si="0"/>
        <v>0</v>
      </c>
      <c r="J32" s="57">
        <f>I32*Inventário!G28</f>
        <v>0</v>
      </c>
      <c r="K32" s="56">
        <f>SUMIF('Entradas e Saídas'!$J$5:$J$44,Controle!$C32,'Entradas e Saídas'!$K$5:$K$44)</f>
        <v>0</v>
      </c>
      <c r="L32" s="56">
        <f>SUMIF('Entradas e Saídas'!$J$5:$J$44,Controle!$C32,'Entradas e Saídas'!$L$5:$L$44)</f>
        <v>0</v>
      </c>
      <c r="M32" s="56">
        <f t="shared" si="1"/>
        <v>0</v>
      </c>
      <c r="N32" s="57">
        <f>M32*Inventário!$G28</f>
        <v>0</v>
      </c>
      <c r="O32" s="56">
        <f>SUMIF('Entradas e Saídas'!$P$5:$P$44,Controle!$C32,'Entradas e Saídas'!$Q$5:$Q$44)</f>
        <v>0</v>
      </c>
      <c r="P32" s="56">
        <f>SUMIF('Entradas e Saídas'!$P$5:$P$44,Controle!$C32,'Entradas e Saídas'!$R$5:$R$44)</f>
        <v>0</v>
      </c>
      <c r="Q32" s="56">
        <f t="shared" si="2"/>
        <v>0</v>
      </c>
      <c r="R32" s="57">
        <f>Q32*Inventário!$G28</f>
        <v>0</v>
      </c>
      <c r="S32" s="56">
        <f>SUMIF('Entradas e Saídas'!$V$5:$V$44,Controle!$C32,'Entradas e Saídas'!$W$5:$W$44)</f>
        <v>0</v>
      </c>
      <c r="T32" s="56">
        <f>SUMIF('Entradas e Saídas'!$V$5:$V$44,Controle!$C32,'Entradas e Saídas'!$X$5:$X$44)</f>
        <v>0</v>
      </c>
      <c r="U32" s="56">
        <f t="shared" si="3"/>
        <v>0</v>
      </c>
      <c r="V32" s="57">
        <f>U32*Inventário!$G28</f>
        <v>0</v>
      </c>
      <c r="W32" s="56">
        <f>SUMIF('Entradas e Saídas'!$AB$5:$AB$44,Controle!$C32,'Entradas e Saídas'!$AC$5:$AC$44)</f>
        <v>0</v>
      </c>
      <c r="X32" s="56">
        <f>SUMIF('Entradas e Saídas'!$AB$5:$AB$44,Controle!$C32,'Entradas e Saídas'!$AD$5:$AD$44)</f>
        <v>0</v>
      </c>
      <c r="Y32" s="56">
        <f t="shared" si="4"/>
        <v>0</v>
      </c>
      <c r="Z32" s="57">
        <f>Y32*Inventário!$G28</f>
        <v>0</v>
      </c>
      <c r="AA32" s="56">
        <f>SUMIF('Entradas e Saídas'!$AH$5:$AH$44,Controle!$C32,'Entradas e Saídas'!$AI$5:$AI$44)</f>
        <v>0</v>
      </c>
      <c r="AB32" s="56">
        <f>SUMIF('Entradas e Saídas'!$AH$5:$AH$44,Controle!$C32,'Entradas e Saídas'!$AJ$5:$AJ$44)</f>
        <v>0</v>
      </c>
      <c r="AC32" s="56">
        <f t="shared" si="5"/>
        <v>0</v>
      </c>
      <c r="AD32" s="57">
        <f>AC32*Inventário!$G28</f>
        <v>0</v>
      </c>
      <c r="AE32" s="56">
        <f>SUMIF('Entradas e Saídas'!$AN$5:$AN$44,Controle!$C32,'Entradas e Saídas'!$AO$5:$AO$44)</f>
        <v>0</v>
      </c>
      <c r="AF32" s="56">
        <f>SUMIF('Entradas e Saídas'!$AH$5:$AH$44,Controle!$C32,'Entradas e Saídas'!$AP$5:$AP$44)</f>
        <v>0</v>
      </c>
      <c r="AG32" s="56">
        <f t="shared" si="6"/>
        <v>0</v>
      </c>
      <c r="AH32" s="57">
        <f>AG32*Inventário!$G28</f>
        <v>0</v>
      </c>
      <c r="AI32" s="56">
        <f>SUMIF('Entradas e Saídas'!$AT$5:$AT$44,Controle!$C32,'Entradas e Saídas'!$AU$5:$AU$44)</f>
        <v>0</v>
      </c>
      <c r="AJ32" s="56">
        <f>SUMIF('Entradas e Saídas'!$AT$5:$AT$44,Controle!$C32,'Entradas e Saídas'!$AV$5:$AV$44)</f>
        <v>0</v>
      </c>
      <c r="AK32" s="56">
        <f t="shared" si="7"/>
        <v>0</v>
      </c>
      <c r="AL32" s="57">
        <f>AK32*Inventário!$G28</f>
        <v>0</v>
      </c>
      <c r="AM32" s="56">
        <f>SUMIF('Entradas e Saídas'!$AZ$5:$AZ$44,Controle!$C32,'Entradas e Saídas'!$BA$5:$BA$44)</f>
        <v>0</v>
      </c>
      <c r="AN32" s="56">
        <f>SUMIF('Entradas e Saídas'!$AZ$5:$AZ$44,Controle!$C32,'Entradas e Saídas'!$BB$5:$BB$44)</f>
        <v>0</v>
      </c>
      <c r="AO32" s="56">
        <f t="shared" si="8"/>
        <v>0</v>
      </c>
      <c r="AP32" s="57">
        <f>AO32*Inventário!$G28</f>
        <v>0</v>
      </c>
      <c r="AQ32" s="56">
        <f>SUMIF('Entradas e Saídas'!$BF$5:$BF$44,Controle!$C32,'Entradas e Saídas'!$BG$5:$BG$44)</f>
        <v>0</v>
      </c>
      <c r="AR32" s="56">
        <f>SUMIF('Entradas e Saídas'!$BF$5:$BF$44,Controle!$C32,'Entradas e Saídas'!$BH$5:$BH$44)</f>
        <v>0</v>
      </c>
      <c r="AS32" s="56">
        <f t="shared" si="9"/>
        <v>0</v>
      </c>
      <c r="AT32" s="57">
        <f>AS32*Inventário!$G28</f>
        <v>0</v>
      </c>
      <c r="AU32" s="56">
        <f>SUMIF('Entradas e Saídas'!$BL$5:$BL$44,Controle!$C32,'Entradas e Saídas'!$BM$5:$BM$44)</f>
        <v>0</v>
      </c>
      <c r="AV32" s="56">
        <f>SUMIF('Entradas e Saídas'!$BL$5:$BL$44,Controle!$C32,'Entradas e Saídas'!$BN$5:$BN$44)</f>
        <v>0</v>
      </c>
      <c r="AW32" s="56">
        <f t="shared" si="10"/>
        <v>0</v>
      </c>
      <c r="AX32" s="57">
        <f>AW32*Inventário!$G28</f>
        <v>0</v>
      </c>
      <c r="AY32" s="56">
        <f>SUMIF('Entradas e Saídas'!$BR$5:$BR$44,Controle!$C32,'Entradas e Saídas'!$BS$5:$BS$44)</f>
        <v>0</v>
      </c>
      <c r="AZ32" s="56">
        <f>SUMIF('Entradas e Saídas'!$BR$5:$BR$44,Controle!$C32,'Entradas e Saídas'!$BT$5:$BT$44)</f>
        <v>0</v>
      </c>
      <c r="BA32" s="56">
        <f t="shared" si="11"/>
        <v>0</v>
      </c>
      <c r="BB32" s="57">
        <f>BA32*Inventário!$G28</f>
        <v>0</v>
      </c>
      <c r="BE32" s="71"/>
      <c r="BF32" s="4"/>
    </row>
    <row r="33" spans="1:58" s="12" customFormat="1" ht="15.75" customHeight="1" x14ac:dyDescent="0.25">
      <c r="A33" s="8"/>
      <c r="B33" s="27" t="str">
        <f>IF(Inventário!C29="","",Inventário!C29)</f>
        <v/>
      </c>
      <c r="C33" s="26" t="str">
        <f>IF(B33="","",VLOOKUP(B33,Inventário!$C$4:$D$53,2,FALSE))</f>
        <v/>
      </c>
      <c r="D33" s="59" t="str">
        <f>IF(B33="","",I33+M33+Q33+U33+Y33+AC33+AG33+AK33+AO33+AS33+AW33+BA33+Inventário!H29)</f>
        <v/>
      </c>
      <c r="E33" s="60" t="str">
        <f>IF(B33="","",IF(D33&lt;0,"-",(D33*Inventário!G29)))</f>
        <v/>
      </c>
      <c r="F33" s="60" t="str">
        <f>IF(B33="","",IF(D33&gt;Inventário!I29,"NÃO",CONCATENATE("SIM:"," ",Inventário!J29," ","unid")))</f>
        <v/>
      </c>
      <c r="G33" s="56">
        <f>SUMIF('Entradas e Saídas'!$D$5:$D$44,Controle!$C33,'Entradas e Saídas'!$E$5:$E$44)</f>
        <v>0</v>
      </c>
      <c r="H33" s="56">
        <f>SUMIF('Entradas e Saídas'!$D$5:$D$44,Controle!$C33,'Entradas e Saídas'!$F$5:$F$44)</f>
        <v>0</v>
      </c>
      <c r="I33" s="56">
        <f t="shared" si="0"/>
        <v>0</v>
      </c>
      <c r="J33" s="57">
        <f>I33*Inventário!G29</f>
        <v>0</v>
      </c>
      <c r="K33" s="56">
        <f>SUMIF('Entradas e Saídas'!$J$5:$J$44,Controle!$C33,'Entradas e Saídas'!$K$5:$K$44)</f>
        <v>0</v>
      </c>
      <c r="L33" s="56">
        <f>SUMIF('Entradas e Saídas'!$J$5:$J$44,Controle!$C33,'Entradas e Saídas'!$L$5:$L$44)</f>
        <v>0</v>
      </c>
      <c r="M33" s="56">
        <f t="shared" si="1"/>
        <v>0</v>
      </c>
      <c r="N33" s="57">
        <f>M33*Inventário!$G29</f>
        <v>0</v>
      </c>
      <c r="O33" s="56">
        <f>SUMIF('Entradas e Saídas'!$P$5:$P$44,Controle!$C33,'Entradas e Saídas'!$Q$5:$Q$44)</f>
        <v>0</v>
      </c>
      <c r="P33" s="56">
        <f>SUMIF('Entradas e Saídas'!$P$5:$P$44,Controle!$C33,'Entradas e Saídas'!$R$5:$R$44)</f>
        <v>0</v>
      </c>
      <c r="Q33" s="56">
        <f t="shared" si="2"/>
        <v>0</v>
      </c>
      <c r="R33" s="57">
        <f>Q33*Inventário!$G29</f>
        <v>0</v>
      </c>
      <c r="S33" s="56">
        <f>SUMIF('Entradas e Saídas'!$V$5:$V$44,Controle!$C33,'Entradas e Saídas'!$W$5:$W$44)</f>
        <v>0</v>
      </c>
      <c r="T33" s="56">
        <f>SUMIF('Entradas e Saídas'!$V$5:$V$44,Controle!$C33,'Entradas e Saídas'!$X$5:$X$44)</f>
        <v>0</v>
      </c>
      <c r="U33" s="56">
        <f t="shared" si="3"/>
        <v>0</v>
      </c>
      <c r="V33" s="57">
        <f>U33*Inventário!$G29</f>
        <v>0</v>
      </c>
      <c r="W33" s="56">
        <f>SUMIF('Entradas e Saídas'!$AB$5:$AB$44,Controle!$C33,'Entradas e Saídas'!$AC$5:$AC$44)</f>
        <v>0</v>
      </c>
      <c r="X33" s="56">
        <f>SUMIF('Entradas e Saídas'!$AB$5:$AB$44,Controle!$C33,'Entradas e Saídas'!$AD$5:$AD$44)</f>
        <v>0</v>
      </c>
      <c r="Y33" s="56">
        <f t="shared" si="4"/>
        <v>0</v>
      </c>
      <c r="Z33" s="57">
        <f>Y33*Inventário!$G29</f>
        <v>0</v>
      </c>
      <c r="AA33" s="56">
        <f>SUMIF('Entradas e Saídas'!$AH$5:$AH$44,Controle!$C33,'Entradas e Saídas'!$AI$5:$AI$44)</f>
        <v>0</v>
      </c>
      <c r="AB33" s="56">
        <f>SUMIF('Entradas e Saídas'!$AH$5:$AH$44,Controle!$C33,'Entradas e Saídas'!$AJ$5:$AJ$44)</f>
        <v>0</v>
      </c>
      <c r="AC33" s="56">
        <f t="shared" si="5"/>
        <v>0</v>
      </c>
      <c r="AD33" s="57">
        <f>AC33*Inventário!$G29</f>
        <v>0</v>
      </c>
      <c r="AE33" s="56">
        <f>SUMIF('Entradas e Saídas'!$AN$5:$AN$44,Controle!$C33,'Entradas e Saídas'!$AO$5:$AO$44)</f>
        <v>0</v>
      </c>
      <c r="AF33" s="56">
        <f>SUMIF('Entradas e Saídas'!$AH$5:$AH$44,Controle!$C33,'Entradas e Saídas'!$AP$5:$AP$44)</f>
        <v>0</v>
      </c>
      <c r="AG33" s="56">
        <f t="shared" si="6"/>
        <v>0</v>
      </c>
      <c r="AH33" s="57">
        <f>AG33*Inventário!$G29</f>
        <v>0</v>
      </c>
      <c r="AI33" s="56">
        <f>SUMIF('Entradas e Saídas'!$AT$5:$AT$44,Controle!$C33,'Entradas e Saídas'!$AU$5:$AU$44)</f>
        <v>0</v>
      </c>
      <c r="AJ33" s="56">
        <f>SUMIF('Entradas e Saídas'!$AT$5:$AT$44,Controle!$C33,'Entradas e Saídas'!$AV$5:$AV$44)</f>
        <v>0</v>
      </c>
      <c r="AK33" s="56">
        <f t="shared" si="7"/>
        <v>0</v>
      </c>
      <c r="AL33" s="57">
        <f>AK33*Inventário!$G29</f>
        <v>0</v>
      </c>
      <c r="AM33" s="56">
        <f>SUMIF('Entradas e Saídas'!$AZ$5:$AZ$44,Controle!$C33,'Entradas e Saídas'!$BA$5:$BA$44)</f>
        <v>0</v>
      </c>
      <c r="AN33" s="56">
        <f>SUMIF('Entradas e Saídas'!$AZ$5:$AZ$44,Controle!$C33,'Entradas e Saídas'!$BB$5:$BB$44)</f>
        <v>0</v>
      </c>
      <c r="AO33" s="56">
        <f t="shared" si="8"/>
        <v>0</v>
      </c>
      <c r="AP33" s="57">
        <f>AO33*Inventário!$G29</f>
        <v>0</v>
      </c>
      <c r="AQ33" s="56">
        <f>SUMIF('Entradas e Saídas'!$BF$5:$BF$44,Controle!$C33,'Entradas e Saídas'!$BG$5:$BG$44)</f>
        <v>0</v>
      </c>
      <c r="AR33" s="56">
        <f>SUMIF('Entradas e Saídas'!$BF$5:$BF$44,Controle!$C33,'Entradas e Saídas'!$BH$5:$BH$44)</f>
        <v>0</v>
      </c>
      <c r="AS33" s="56">
        <f t="shared" si="9"/>
        <v>0</v>
      </c>
      <c r="AT33" s="57">
        <f>AS33*Inventário!$G29</f>
        <v>0</v>
      </c>
      <c r="AU33" s="56">
        <f>SUMIF('Entradas e Saídas'!$BL$5:$BL$44,Controle!$C33,'Entradas e Saídas'!$BM$5:$BM$44)</f>
        <v>0</v>
      </c>
      <c r="AV33" s="56">
        <f>SUMIF('Entradas e Saídas'!$BL$5:$BL$44,Controle!$C33,'Entradas e Saídas'!$BN$5:$BN$44)</f>
        <v>0</v>
      </c>
      <c r="AW33" s="56">
        <f t="shared" si="10"/>
        <v>0</v>
      </c>
      <c r="AX33" s="57">
        <f>AW33*Inventário!$G29</f>
        <v>0</v>
      </c>
      <c r="AY33" s="56">
        <f>SUMIF('Entradas e Saídas'!$BR$5:$BR$44,Controle!$C33,'Entradas e Saídas'!$BS$5:$BS$44)</f>
        <v>0</v>
      </c>
      <c r="AZ33" s="56">
        <f>SUMIF('Entradas e Saídas'!$BR$5:$BR$44,Controle!$C33,'Entradas e Saídas'!$BT$5:$BT$44)</f>
        <v>0</v>
      </c>
      <c r="BA33" s="56">
        <f t="shared" si="11"/>
        <v>0</v>
      </c>
      <c r="BB33" s="57">
        <f>BA33*Inventário!$G29</f>
        <v>0</v>
      </c>
      <c r="BE33" s="71"/>
      <c r="BF33" s="4"/>
    </row>
    <row r="34" spans="1:58" s="12" customFormat="1" ht="15.75" customHeight="1" x14ac:dyDescent="0.25">
      <c r="A34" s="8"/>
      <c r="B34" s="27" t="str">
        <f>IF(Inventário!C30="","",Inventário!C30)</f>
        <v/>
      </c>
      <c r="C34" s="26" t="str">
        <f>IF(B34="","",VLOOKUP(B34,Inventário!$C$4:$D$53,2,FALSE))</f>
        <v/>
      </c>
      <c r="D34" s="59" t="str">
        <f>IF(B34="","",I34+M34+Q34+U34+Y34+AC34+AG34+AK34+AO34+AS34+AW34+BA34+Inventário!H30)</f>
        <v/>
      </c>
      <c r="E34" s="60" t="str">
        <f>IF(B34="","",IF(D34&lt;0,"-",(D34*Inventário!G30)))</f>
        <v/>
      </c>
      <c r="F34" s="60" t="str">
        <f>IF(B34="","",IF(D34&gt;Inventário!I30,"NÃO",CONCATENATE("SIM:"," ",Inventário!J30," ","unid")))</f>
        <v/>
      </c>
      <c r="G34" s="56">
        <f>SUMIF('Entradas e Saídas'!$D$5:$D$44,Controle!$C34,'Entradas e Saídas'!$E$5:$E$44)</f>
        <v>0</v>
      </c>
      <c r="H34" s="56">
        <f>SUMIF('Entradas e Saídas'!$D$5:$D$44,Controle!$C34,'Entradas e Saídas'!$F$5:$F$44)</f>
        <v>0</v>
      </c>
      <c r="I34" s="56">
        <f t="shared" si="0"/>
        <v>0</v>
      </c>
      <c r="J34" s="57">
        <f>I34*Inventário!G30</f>
        <v>0</v>
      </c>
      <c r="K34" s="56">
        <f>SUMIF('Entradas e Saídas'!$J$5:$J$44,Controle!$C34,'Entradas e Saídas'!$K$5:$K$44)</f>
        <v>0</v>
      </c>
      <c r="L34" s="56">
        <f>SUMIF('Entradas e Saídas'!$J$5:$J$44,Controle!$C34,'Entradas e Saídas'!$L$5:$L$44)</f>
        <v>0</v>
      </c>
      <c r="M34" s="56">
        <f t="shared" si="1"/>
        <v>0</v>
      </c>
      <c r="N34" s="57">
        <f>M34*Inventário!$G30</f>
        <v>0</v>
      </c>
      <c r="O34" s="56">
        <f>SUMIF('Entradas e Saídas'!$P$5:$P$44,Controle!$C34,'Entradas e Saídas'!$Q$5:$Q$44)</f>
        <v>0</v>
      </c>
      <c r="P34" s="56">
        <f>SUMIF('Entradas e Saídas'!$P$5:$P$44,Controle!$C34,'Entradas e Saídas'!$R$5:$R$44)</f>
        <v>0</v>
      </c>
      <c r="Q34" s="56">
        <f t="shared" si="2"/>
        <v>0</v>
      </c>
      <c r="R34" s="57">
        <f>Q34*Inventário!$G30</f>
        <v>0</v>
      </c>
      <c r="S34" s="56">
        <f>SUMIF('Entradas e Saídas'!$V$5:$V$44,Controle!$C34,'Entradas e Saídas'!$W$5:$W$44)</f>
        <v>0</v>
      </c>
      <c r="T34" s="56">
        <f>SUMIF('Entradas e Saídas'!$V$5:$V$44,Controle!$C34,'Entradas e Saídas'!$X$5:$X$44)</f>
        <v>0</v>
      </c>
      <c r="U34" s="56">
        <f t="shared" si="3"/>
        <v>0</v>
      </c>
      <c r="V34" s="57">
        <f>U34*Inventário!$G30</f>
        <v>0</v>
      </c>
      <c r="W34" s="56">
        <f>SUMIF('Entradas e Saídas'!$AB$5:$AB$44,Controle!$C34,'Entradas e Saídas'!$AC$5:$AC$44)</f>
        <v>0</v>
      </c>
      <c r="X34" s="56">
        <f>SUMIF('Entradas e Saídas'!$AB$5:$AB$44,Controle!$C34,'Entradas e Saídas'!$AD$5:$AD$44)</f>
        <v>0</v>
      </c>
      <c r="Y34" s="56">
        <f t="shared" si="4"/>
        <v>0</v>
      </c>
      <c r="Z34" s="57">
        <f>Y34*Inventário!$G30</f>
        <v>0</v>
      </c>
      <c r="AA34" s="56">
        <f>SUMIF('Entradas e Saídas'!$AH$5:$AH$44,Controle!$C34,'Entradas e Saídas'!$AI$5:$AI$44)</f>
        <v>0</v>
      </c>
      <c r="AB34" s="56">
        <f>SUMIF('Entradas e Saídas'!$AH$5:$AH$44,Controle!$C34,'Entradas e Saídas'!$AJ$5:$AJ$44)</f>
        <v>0</v>
      </c>
      <c r="AC34" s="56">
        <f t="shared" si="5"/>
        <v>0</v>
      </c>
      <c r="AD34" s="57">
        <f>AC34*Inventário!$G30</f>
        <v>0</v>
      </c>
      <c r="AE34" s="56">
        <f>SUMIF('Entradas e Saídas'!$AN$5:$AN$44,Controle!$C34,'Entradas e Saídas'!$AO$5:$AO$44)</f>
        <v>0</v>
      </c>
      <c r="AF34" s="56">
        <f>SUMIF('Entradas e Saídas'!$AH$5:$AH$44,Controle!$C34,'Entradas e Saídas'!$AP$5:$AP$44)</f>
        <v>0</v>
      </c>
      <c r="AG34" s="56">
        <f t="shared" si="6"/>
        <v>0</v>
      </c>
      <c r="AH34" s="57">
        <f>AG34*Inventário!$G30</f>
        <v>0</v>
      </c>
      <c r="AI34" s="56">
        <f>SUMIF('Entradas e Saídas'!$AT$5:$AT$44,Controle!$C34,'Entradas e Saídas'!$AU$5:$AU$44)</f>
        <v>0</v>
      </c>
      <c r="AJ34" s="56">
        <f>SUMIF('Entradas e Saídas'!$AT$5:$AT$44,Controle!$C34,'Entradas e Saídas'!$AV$5:$AV$44)</f>
        <v>0</v>
      </c>
      <c r="AK34" s="56">
        <f t="shared" si="7"/>
        <v>0</v>
      </c>
      <c r="AL34" s="57">
        <f>AK34*Inventário!$G30</f>
        <v>0</v>
      </c>
      <c r="AM34" s="56">
        <f>SUMIF('Entradas e Saídas'!$AZ$5:$AZ$44,Controle!$C34,'Entradas e Saídas'!$BA$5:$BA$44)</f>
        <v>0</v>
      </c>
      <c r="AN34" s="56">
        <f>SUMIF('Entradas e Saídas'!$AZ$5:$AZ$44,Controle!$C34,'Entradas e Saídas'!$BB$5:$BB$44)</f>
        <v>0</v>
      </c>
      <c r="AO34" s="56">
        <f t="shared" si="8"/>
        <v>0</v>
      </c>
      <c r="AP34" s="57">
        <f>AO34*Inventário!$G30</f>
        <v>0</v>
      </c>
      <c r="AQ34" s="56">
        <f>SUMIF('Entradas e Saídas'!$BF$5:$BF$44,Controle!$C34,'Entradas e Saídas'!$BG$5:$BG$44)</f>
        <v>0</v>
      </c>
      <c r="AR34" s="56">
        <f>SUMIF('Entradas e Saídas'!$BF$5:$BF$44,Controle!$C34,'Entradas e Saídas'!$BH$5:$BH$44)</f>
        <v>0</v>
      </c>
      <c r="AS34" s="56">
        <f t="shared" si="9"/>
        <v>0</v>
      </c>
      <c r="AT34" s="57">
        <f>AS34*Inventário!$G30</f>
        <v>0</v>
      </c>
      <c r="AU34" s="56">
        <f>SUMIF('Entradas e Saídas'!$BL$5:$BL$44,Controle!$C34,'Entradas e Saídas'!$BM$5:$BM$44)</f>
        <v>0</v>
      </c>
      <c r="AV34" s="56">
        <f>SUMIF('Entradas e Saídas'!$BL$5:$BL$44,Controle!$C34,'Entradas e Saídas'!$BN$5:$BN$44)</f>
        <v>0</v>
      </c>
      <c r="AW34" s="56">
        <f t="shared" si="10"/>
        <v>0</v>
      </c>
      <c r="AX34" s="57">
        <f>AW34*Inventário!$G30</f>
        <v>0</v>
      </c>
      <c r="AY34" s="56">
        <f>SUMIF('Entradas e Saídas'!$BR$5:$BR$44,Controle!$C34,'Entradas e Saídas'!$BS$5:$BS$44)</f>
        <v>0</v>
      </c>
      <c r="AZ34" s="56">
        <f>SUMIF('Entradas e Saídas'!$BR$5:$BR$44,Controle!$C34,'Entradas e Saídas'!$BT$5:$BT$44)</f>
        <v>0</v>
      </c>
      <c r="BA34" s="56">
        <f t="shared" si="11"/>
        <v>0</v>
      </c>
      <c r="BB34" s="57">
        <f>BA34*Inventário!$G30</f>
        <v>0</v>
      </c>
      <c r="BE34" s="71"/>
      <c r="BF34" s="4"/>
    </row>
    <row r="35" spans="1:58" s="12" customFormat="1" ht="15.75" customHeight="1" x14ac:dyDescent="0.25">
      <c r="A35" s="8"/>
      <c r="B35" s="27" t="str">
        <f>IF(Inventário!C31="","",Inventário!C31)</f>
        <v/>
      </c>
      <c r="C35" s="26" t="str">
        <f>IF(B35="","",VLOOKUP(B35,Inventário!$C$4:$D$53,2,FALSE))</f>
        <v/>
      </c>
      <c r="D35" s="59" t="str">
        <f>IF(B35="","",I35+M35+Q35+U35+Y35+AC35+AG35+AK35+AO35+AS35+AW35+BA35+Inventário!H31)</f>
        <v/>
      </c>
      <c r="E35" s="60" t="str">
        <f>IF(B35="","",IF(D35&lt;0,"-",(D35*Inventário!G31)))</f>
        <v/>
      </c>
      <c r="F35" s="60" t="str">
        <f>IF(B35="","",IF(D35&gt;Inventário!I31,"NÃO",CONCATENATE("SIM:"," ",Inventário!J31," ","unid")))</f>
        <v/>
      </c>
      <c r="G35" s="56">
        <f>SUMIF('Entradas e Saídas'!$D$5:$D$44,Controle!$C35,'Entradas e Saídas'!$E$5:$E$44)</f>
        <v>0</v>
      </c>
      <c r="H35" s="56">
        <f>SUMIF('Entradas e Saídas'!$D$5:$D$44,Controle!$C35,'Entradas e Saídas'!$F$5:$F$44)</f>
        <v>0</v>
      </c>
      <c r="I35" s="56">
        <f t="shared" si="0"/>
        <v>0</v>
      </c>
      <c r="J35" s="57">
        <f>I35*Inventário!G31</f>
        <v>0</v>
      </c>
      <c r="K35" s="56">
        <f>SUMIF('Entradas e Saídas'!$J$5:$J$44,Controle!$C35,'Entradas e Saídas'!$K$5:$K$44)</f>
        <v>0</v>
      </c>
      <c r="L35" s="56">
        <f>SUMIF('Entradas e Saídas'!$J$5:$J$44,Controle!$C35,'Entradas e Saídas'!$L$5:$L$44)</f>
        <v>0</v>
      </c>
      <c r="M35" s="56">
        <f t="shared" si="1"/>
        <v>0</v>
      </c>
      <c r="N35" s="57">
        <f>M35*Inventário!$G31</f>
        <v>0</v>
      </c>
      <c r="O35" s="56">
        <f>SUMIF('Entradas e Saídas'!$P$5:$P$44,Controle!$C35,'Entradas e Saídas'!$Q$5:$Q$44)</f>
        <v>0</v>
      </c>
      <c r="P35" s="56">
        <f>SUMIF('Entradas e Saídas'!$P$5:$P$44,Controle!$C35,'Entradas e Saídas'!$R$5:$R$44)</f>
        <v>0</v>
      </c>
      <c r="Q35" s="56">
        <f t="shared" si="2"/>
        <v>0</v>
      </c>
      <c r="R35" s="57">
        <f>Q35*Inventário!$G31</f>
        <v>0</v>
      </c>
      <c r="S35" s="56">
        <f>SUMIF('Entradas e Saídas'!$V$5:$V$44,Controle!$C35,'Entradas e Saídas'!$W$5:$W$44)</f>
        <v>0</v>
      </c>
      <c r="T35" s="56">
        <f>SUMIF('Entradas e Saídas'!$V$5:$V$44,Controle!$C35,'Entradas e Saídas'!$X$5:$X$44)</f>
        <v>0</v>
      </c>
      <c r="U35" s="56">
        <f t="shared" si="3"/>
        <v>0</v>
      </c>
      <c r="V35" s="57">
        <f>U35*Inventário!$G31</f>
        <v>0</v>
      </c>
      <c r="W35" s="56">
        <f>SUMIF('Entradas e Saídas'!$AB$5:$AB$44,Controle!$C35,'Entradas e Saídas'!$AC$5:$AC$44)</f>
        <v>0</v>
      </c>
      <c r="X35" s="56">
        <f>SUMIF('Entradas e Saídas'!$AB$5:$AB$44,Controle!$C35,'Entradas e Saídas'!$AD$5:$AD$44)</f>
        <v>0</v>
      </c>
      <c r="Y35" s="56">
        <f t="shared" si="4"/>
        <v>0</v>
      </c>
      <c r="Z35" s="57">
        <f>Y35*Inventário!$G31</f>
        <v>0</v>
      </c>
      <c r="AA35" s="56">
        <f>SUMIF('Entradas e Saídas'!$AH$5:$AH$44,Controle!$C35,'Entradas e Saídas'!$AI$5:$AI$44)</f>
        <v>0</v>
      </c>
      <c r="AB35" s="56">
        <f>SUMIF('Entradas e Saídas'!$AH$5:$AH$44,Controle!$C35,'Entradas e Saídas'!$AJ$5:$AJ$44)</f>
        <v>0</v>
      </c>
      <c r="AC35" s="56">
        <f t="shared" si="5"/>
        <v>0</v>
      </c>
      <c r="AD35" s="57">
        <f>AC35*Inventário!$G31</f>
        <v>0</v>
      </c>
      <c r="AE35" s="56">
        <f>SUMIF('Entradas e Saídas'!$AN$5:$AN$44,Controle!$C35,'Entradas e Saídas'!$AO$5:$AO$44)</f>
        <v>0</v>
      </c>
      <c r="AF35" s="56">
        <f>SUMIF('Entradas e Saídas'!$AH$5:$AH$44,Controle!$C35,'Entradas e Saídas'!$AP$5:$AP$44)</f>
        <v>0</v>
      </c>
      <c r="AG35" s="56">
        <f t="shared" si="6"/>
        <v>0</v>
      </c>
      <c r="AH35" s="57">
        <f>AG35*Inventário!$G31</f>
        <v>0</v>
      </c>
      <c r="AI35" s="56">
        <f>SUMIF('Entradas e Saídas'!$AT$5:$AT$44,Controle!$C35,'Entradas e Saídas'!$AU$5:$AU$44)</f>
        <v>0</v>
      </c>
      <c r="AJ35" s="56">
        <f>SUMIF('Entradas e Saídas'!$AT$5:$AT$44,Controle!$C35,'Entradas e Saídas'!$AV$5:$AV$44)</f>
        <v>0</v>
      </c>
      <c r="AK35" s="56">
        <f t="shared" si="7"/>
        <v>0</v>
      </c>
      <c r="AL35" s="57">
        <f>AK35*Inventário!$G31</f>
        <v>0</v>
      </c>
      <c r="AM35" s="56">
        <f>SUMIF('Entradas e Saídas'!$AZ$5:$AZ$44,Controle!$C35,'Entradas e Saídas'!$BA$5:$BA$44)</f>
        <v>0</v>
      </c>
      <c r="AN35" s="56">
        <f>SUMIF('Entradas e Saídas'!$AZ$5:$AZ$44,Controle!$C35,'Entradas e Saídas'!$BB$5:$BB$44)</f>
        <v>0</v>
      </c>
      <c r="AO35" s="56">
        <f t="shared" si="8"/>
        <v>0</v>
      </c>
      <c r="AP35" s="57">
        <f>AO35*Inventário!$G31</f>
        <v>0</v>
      </c>
      <c r="AQ35" s="56">
        <f>SUMIF('Entradas e Saídas'!$BF$5:$BF$44,Controle!$C35,'Entradas e Saídas'!$BG$5:$BG$44)</f>
        <v>0</v>
      </c>
      <c r="AR35" s="56">
        <f>SUMIF('Entradas e Saídas'!$BF$5:$BF$44,Controle!$C35,'Entradas e Saídas'!$BH$5:$BH$44)</f>
        <v>0</v>
      </c>
      <c r="AS35" s="56">
        <f t="shared" si="9"/>
        <v>0</v>
      </c>
      <c r="AT35" s="57">
        <f>AS35*Inventário!$G31</f>
        <v>0</v>
      </c>
      <c r="AU35" s="56">
        <f>SUMIF('Entradas e Saídas'!$BL$5:$BL$44,Controle!$C35,'Entradas e Saídas'!$BM$5:$BM$44)</f>
        <v>0</v>
      </c>
      <c r="AV35" s="56">
        <f>SUMIF('Entradas e Saídas'!$BL$5:$BL$44,Controle!$C35,'Entradas e Saídas'!$BN$5:$BN$44)</f>
        <v>0</v>
      </c>
      <c r="AW35" s="56">
        <f t="shared" si="10"/>
        <v>0</v>
      </c>
      <c r="AX35" s="57">
        <f>AW35*Inventário!$G31</f>
        <v>0</v>
      </c>
      <c r="AY35" s="56">
        <f>SUMIF('Entradas e Saídas'!$BR$5:$BR$44,Controle!$C35,'Entradas e Saídas'!$BS$5:$BS$44)</f>
        <v>0</v>
      </c>
      <c r="AZ35" s="56">
        <f>SUMIF('Entradas e Saídas'!$BR$5:$BR$44,Controle!$C35,'Entradas e Saídas'!$BT$5:$BT$44)</f>
        <v>0</v>
      </c>
      <c r="BA35" s="56">
        <f t="shared" si="11"/>
        <v>0</v>
      </c>
      <c r="BB35" s="57">
        <f>BA35*Inventário!$G31</f>
        <v>0</v>
      </c>
      <c r="BE35" s="71"/>
      <c r="BF35" s="4"/>
    </row>
    <row r="36" spans="1:58" s="12" customFormat="1" ht="15.75" customHeight="1" x14ac:dyDescent="0.25">
      <c r="A36" s="8"/>
      <c r="B36" s="27" t="str">
        <f>IF(Inventário!C32="","",Inventário!C32)</f>
        <v/>
      </c>
      <c r="C36" s="26" t="str">
        <f>IF(B36="","",VLOOKUP(B36,Inventário!$C$4:$D$53,2,FALSE))</f>
        <v/>
      </c>
      <c r="D36" s="59" t="str">
        <f>IF(B36="","",I36+M36+Q36+U36+Y36+AC36+AG36+AK36+AO36+AS36+AW36+BA36+Inventário!H32)</f>
        <v/>
      </c>
      <c r="E36" s="60" t="str">
        <f>IF(B36="","",IF(D36&lt;0,"-",(D36*Inventário!G32)))</f>
        <v/>
      </c>
      <c r="F36" s="60" t="str">
        <f>IF(B36="","",IF(D36&gt;Inventário!I32,"NÃO",CONCATENATE("SIM:"," ",Inventário!J32," ","unid")))</f>
        <v/>
      </c>
      <c r="G36" s="56">
        <f>SUMIF('Entradas e Saídas'!$D$5:$D$44,Controle!$C36,'Entradas e Saídas'!$E$5:$E$44)</f>
        <v>0</v>
      </c>
      <c r="H36" s="56">
        <f>SUMIF('Entradas e Saídas'!$D$5:$D$44,Controle!$C36,'Entradas e Saídas'!$F$5:$F$44)</f>
        <v>0</v>
      </c>
      <c r="I36" s="56">
        <f t="shared" si="0"/>
        <v>0</v>
      </c>
      <c r="J36" s="57">
        <f>I36*Inventário!G32</f>
        <v>0</v>
      </c>
      <c r="K36" s="56">
        <f>SUMIF('Entradas e Saídas'!$J$5:$J$44,Controle!$C36,'Entradas e Saídas'!$K$5:$K$44)</f>
        <v>0</v>
      </c>
      <c r="L36" s="56">
        <f>SUMIF('Entradas e Saídas'!$J$5:$J$44,Controle!$C36,'Entradas e Saídas'!$L$5:$L$44)</f>
        <v>0</v>
      </c>
      <c r="M36" s="56">
        <f t="shared" si="1"/>
        <v>0</v>
      </c>
      <c r="N36" s="57">
        <f>M36*Inventário!$G32</f>
        <v>0</v>
      </c>
      <c r="O36" s="56">
        <f>SUMIF('Entradas e Saídas'!$P$5:$P$44,Controle!$C36,'Entradas e Saídas'!$Q$5:$Q$44)</f>
        <v>0</v>
      </c>
      <c r="P36" s="56">
        <f>SUMIF('Entradas e Saídas'!$P$5:$P$44,Controle!$C36,'Entradas e Saídas'!$R$5:$R$44)</f>
        <v>0</v>
      </c>
      <c r="Q36" s="56">
        <f t="shared" si="2"/>
        <v>0</v>
      </c>
      <c r="R36" s="57">
        <f>Q36*Inventário!$G32</f>
        <v>0</v>
      </c>
      <c r="S36" s="56">
        <f>SUMIF('Entradas e Saídas'!$V$5:$V$44,Controle!$C36,'Entradas e Saídas'!$W$5:$W$44)</f>
        <v>0</v>
      </c>
      <c r="T36" s="56">
        <f>SUMIF('Entradas e Saídas'!$V$5:$V$44,Controle!$C36,'Entradas e Saídas'!$X$5:$X$44)</f>
        <v>0</v>
      </c>
      <c r="U36" s="56">
        <f t="shared" si="3"/>
        <v>0</v>
      </c>
      <c r="V36" s="57">
        <f>U36*Inventário!$G32</f>
        <v>0</v>
      </c>
      <c r="W36" s="56">
        <f>SUMIF('Entradas e Saídas'!$AB$5:$AB$44,Controle!$C36,'Entradas e Saídas'!$AC$5:$AC$44)</f>
        <v>0</v>
      </c>
      <c r="X36" s="56">
        <f>SUMIF('Entradas e Saídas'!$AB$5:$AB$44,Controle!$C36,'Entradas e Saídas'!$AD$5:$AD$44)</f>
        <v>0</v>
      </c>
      <c r="Y36" s="56">
        <f t="shared" si="4"/>
        <v>0</v>
      </c>
      <c r="Z36" s="57">
        <f>Y36*Inventário!$G32</f>
        <v>0</v>
      </c>
      <c r="AA36" s="56">
        <f>SUMIF('Entradas e Saídas'!$AH$5:$AH$44,Controle!$C36,'Entradas e Saídas'!$AI$5:$AI$44)</f>
        <v>0</v>
      </c>
      <c r="AB36" s="56">
        <f>SUMIF('Entradas e Saídas'!$AH$5:$AH$44,Controle!$C36,'Entradas e Saídas'!$AJ$5:$AJ$44)</f>
        <v>0</v>
      </c>
      <c r="AC36" s="56">
        <f t="shared" si="5"/>
        <v>0</v>
      </c>
      <c r="AD36" s="57">
        <f>AC36*Inventário!$G32</f>
        <v>0</v>
      </c>
      <c r="AE36" s="56">
        <f>SUMIF('Entradas e Saídas'!$AN$5:$AN$44,Controle!$C36,'Entradas e Saídas'!$AO$5:$AO$44)</f>
        <v>0</v>
      </c>
      <c r="AF36" s="56">
        <f>SUMIF('Entradas e Saídas'!$AH$5:$AH$44,Controle!$C36,'Entradas e Saídas'!$AP$5:$AP$44)</f>
        <v>0</v>
      </c>
      <c r="AG36" s="56">
        <f t="shared" si="6"/>
        <v>0</v>
      </c>
      <c r="AH36" s="57">
        <f>AG36*Inventário!$G32</f>
        <v>0</v>
      </c>
      <c r="AI36" s="56">
        <f>SUMIF('Entradas e Saídas'!$AT$5:$AT$44,Controle!$C36,'Entradas e Saídas'!$AU$5:$AU$44)</f>
        <v>0</v>
      </c>
      <c r="AJ36" s="56">
        <f>SUMIF('Entradas e Saídas'!$AT$5:$AT$44,Controle!$C36,'Entradas e Saídas'!$AV$5:$AV$44)</f>
        <v>0</v>
      </c>
      <c r="AK36" s="56">
        <f t="shared" si="7"/>
        <v>0</v>
      </c>
      <c r="AL36" s="57">
        <f>AK36*Inventário!$G32</f>
        <v>0</v>
      </c>
      <c r="AM36" s="56">
        <f>SUMIF('Entradas e Saídas'!$AZ$5:$AZ$44,Controle!$C36,'Entradas e Saídas'!$BA$5:$BA$44)</f>
        <v>0</v>
      </c>
      <c r="AN36" s="56">
        <f>SUMIF('Entradas e Saídas'!$AZ$5:$AZ$44,Controle!$C36,'Entradas e Saídas'!$BB$5:$BB$44)</f>
        <v>0</v>
      </c>
      <c r="AO36" s="56">
        <f t="shared" si="8"/>
        <v>0</v>
      </c>
      <c r="AP36" s="57">
        <f>AO36*Inventário!$G32</f>
        <v>0</v>
      </c>
      <c r="AQ36" s="56">
        <f>SUMIF('Entradas e Saídas'!$BF$5:$BF$44,Controle!$C36,'Entradas e Saídas'!$BG$5:$BG$44)</f>
        <v>0</v>
      </c>
      <c r="AR36" s="56">
        <f>SUMIF('Entradas e Saídas'!$BF$5:$BF$44,Controle!$C36,'Entradas e Saídas'!$BH$5:$BH$44)</f>
        <v>0</v>
      </c>
      <c r="AS36" s="56">
        <f t="shared" si="9"/>
        <v>0</v>
      </c>
      <c r="AT36" s="57">
        <f>AS36*Inventário!$G32</f>
        <v>0</v>
      </c>
      <c r="AU36" s="56">
        <f>SUMIF('Entradas e Saídas'!$BL$5:$BL$44,Controle!$C36,'Entradas e Saídas'!$BM$5:$BM$44)</f>
        <v>0</v>
      </c>
      <c r="AV36" s="56">
        <f>SUMIF('Entradas e Saídas'!$BL$5:$BL$44,Controle!$C36,'Entradas e Saídas'!$BN$5:$BN$44)</f>
        <v>0</v>
      </c>
      <c r="AW36" s="56">
        <f t="shared" si="10"/>
        <v>0</v>
      </c>
      <c r="AX36" s="57">
        <f>AW36*Inventário!$G32</f>
        <v>0</v>
      </c>
      <c r="AY36" s="56">
        <f>SUMIF('Entradas e Saídas'!$BR$5:$BR$44,Controle!$C36,'Entradas e Saídas'!$BS$5:$BS$44)</f>
        <v>0</v>
      </c>
      <c r="AZ36" s="56">
        <f>SUMIF('Entradas e Saídas'!$BR$5:$BR$44,Controle!$C36,'Entradas e Saídas'!$BT$5:$BT$44)</f>
        <v>0</v>
      </c>
      <c r="BA36" s="56">
        <f t="shared" si="11"/>
        <v>0</v>
      </c>
      <c r="BB36" s="57">
        <f>BA36*Inventário!$G32</f>
        <v>0</v>
      </c>
      <c r="BE36" s="71"/>
      <c r="BF36" s="4"/>
    </row>
    <row r="37" spans="1:58" s="12" customFormat="1" ht="15.75" customHeight="1" x14ac:dyDescent="0.25">
      <c r="A37" s="8"/>
      <c r="B37" s="27" t="str">
        <f>IF(Inventário!C33="","",Inventário!C33)</f>
        <v/>
      </c>
      <c r="C37" s="26" t="str">
        <f>IF(B37="","",VLOOKUP(B37,Inventário!$C$4:$D$53,2,FALSE))</f>
        <v/>
      </c>
      <c r="D37" s="59" t="str">
        <f>IF(B37="","",I37+M37+Q37+U37+Y37+AC37+AG37+AK37+AO37+AS37+AW37+BA37+Inventário!H33)</f>
        <v/>
      </c>
      <c r="E37" s="60" t="str">
        <f>IF(B37="","",IF(D37&lt;0,"-",(D37*Inventário!G33)))</f>
        <v/>
      </c>
      <c r="F37" s="60" t="str">
        <f>IF(B37="","",IF(D37&gt;Inventário!I33,"NÃO",CONCATENATE("SIM:"," ",Inventário!J33," ","unid")))</f>
        <v/>
      </c>
      <c r="G37" s="56">
        <f>SUMIF('Entradas e Saídas'!$D$5:$D$44,Controle!$C37,'Entradas e Saídas'!$E$5:$E$44)</f>
        <v>0</v>
      </c>
      <c r="H37" s="56">
        <f>SUMIF('Entradas e Saídas'!$D$5:$D$44,Controle!$C37,'Entradas e Saídas'!$F$5:$F$44)</f>
        <v>0</v>
      </c>
      <c r="I37" s="56">
        <f t="shared" si="0"/>
        <v>0</v>
      </c>
      <c r="J37" s="57">
        <f>I37*Inventário!G33</f>
        <v>0</v>
      </c>
      <c r="K37" s="56">
        <f>SUMIF('Entradas e Saídas'!$J$5:$J$44,Controle!$C37,'Entradas e Saídas'!$K$5:$K$44)</f>
        <v>0</v>
      </c>
      <c r="L37" s="56">
        <f>SUMIF('Entradas e Saídas'!$J$5:$J$44,Controle!$C37,'Entradas e Saídas'!$L$5:$L$44)</f>
        <v>0</v>
      </c>
      <c r="M37" s="56">
        <f t="shared" si="1"/>
        <v>0</v>
      </c>
      <c r="N37" s="57">
        <f>M37*Inventário!$G33</f>
        <v>0</v>
      </c>
      <c r="O37" s="56">
        <f>SUMIF('Entradas e Saídas'!$P$5:$P$44,Controle!$C37,'Entradas e Saídas'!$Q$5:$Q$44)</f>
        <v>0</v>
      </c>
      <c r="P37" s="56">
        <f>SUMIF('Entradas e Saídas'!$P$5:$P$44,Controle!$C37,'Entradas e Saídas'!$R$5:$R$44)</f>
        <v>0</v>
      </c>
      <c r="Q37" s="56">
        <f t="shared" si="2"/>
        <v>0</v>
      </c>
      <c r="R37" s="57">
        <f>Q37*Inventário!$G33</f>
        <v>0</v>
      </c>
      <c r="S37" s="56">
        <f>SUMIF('Entradas e Saídas'!$V$5:$V$44,Controle!$C37,'Entradas e Saídas'!$W$5:$W$44)</f>
        <v>0</v>
      </c>
      <c r="T37" s="56">
        <f>SUMIF('Entradas e Saídas'!$V$5:$V$44,Controle!$C37,'Entradas e Saídas'!$X$5:$X$44)</f>
        <v>0</v>
      </c>
      <c r="U37" s="56">
        <f t="shared" si="3"/>
        <v>0</v>
      </c>
      <c r="V37" s="57">
        <f>U37*Inventário!$G33</f>
        <v>0</v>
      </c>
      <c r="W37" s="56">
        <f>SUMIF('Entradas e Saídas'!$AB$5:$AB$44,Controle!$C37,'Entradas e Saídas'!$AC$5:$AC$44)</f>
        <v>0</v>
      </c>
      <c r="X37" s="56">
        <f>SUMIF('Entradas e Saídas'!$AB$5:$AB$44,Controle!$C37,'Entradas e Saídas'!$AD$5:$AD$44)</f>
        <v>0</v>
      </c>
      <c r="Y37" s="56">
        <f t="shared" si="4"/>
        <v>0</v>
      </c>
      <c r="Z37" s="57">
        <f>Y37*Inventário!$G33</f>
        <v>0</v>
      </c>
      <c r="AA37" s="56">
        <f>SUMIF('Entradas e Saídas'!$AH$5:$AH$44,Controle!$C37,'Entradas e Saídas'!$AI$5:$AI$44)</f>
        <v>0</v>
      </c>
      <c r="AB37" s="56">
        <f>SUMIF('Entradas e Saídas'!$AH$5:$AH$44,Controle!$C37,'Entradas e Saídas'!$AJ$5:$AJ$44)</f>
        <v>0</v>
      </c>
      <c r="AC37" s="56">
        <f t="shared" si="5"/>
        <v>0</v>
      </c>
      <c r="AD37" s="57">
        <f>AC37*Inventário!$G33</f>
        <v>0</v>
      </c>
      <c r="AE37" s="56">
        <f>SUMIF('Entradas e Saídas'!$AN$5:$AN$44,Controle!$C37,'Entradas e Saídas'!$AO$5:$AO$44)</f>
        <v>0</v>
      </c>
      <c r="AF37" s="56">
        <f>SUMIF('Entradas e Saídas'!$AH$5:$AH$44,Controle!$C37,'Entradas e Saídas'!$AP$5:$AP$44)</f>
        <v>0</v>
      </c>
      <c r="AG37" s="56">
        <f t="shared" si="6"/>
        <v>0</v>
      </c>
      <c r="AH37" s="57">
        <f>AG37*Inventário!$G33</f>
        <v>0</v>
      </c>
      <c r="AI37" s="56">
        <f>SUMIF('Entradas e Saídas'!$AT$5:$AT$44,Controle!$C37,'Entradas e Saídas'!$AU$5:$AU$44)</f>
        <v>0</v>
      </c>
      <c r="AJ37" s="56">
        <f>SUMIF('Entradas e Saídas'!$AT$5:$AT$44,Controle!$C37,'Entradas e Saídas'!$AV$5:$AV$44)</f>
        <v>0</v>
      </c>
      <c r="AK37" s="56">
        <f t="shared" si="7"/>
        <v>0</v>
      </c>
      <c r="AL37" s="57">
        <f>AK37*Inventário!$G33</f>
        <v>0</v>
      </c>
      <c r="AM37" s="56">
        <f>SUMIF('Entradas e Saídas'!$AZ$5:$AZ$44,Controle!$C37,'Entradas e Saídas'!$BA$5:$BA$44)</f>
        <v>0</v>
      </c>
      <c r="AN37" s="56">
        <f>SUMIF('Entradas e Saídas'!$AZ$5:$AZ$44,Controle!$C37,'Entradas e Saídas'!$BB$5:$BB$44)</f>
        <v>0</v>
      </c>
      <c r="AO37" s="56">
        <f t="shared" si="8"/>
        <v>0</v>
      </c>
      <c r="AP37" s="57">
        <f>AO37*Inventário!$G33</f>
        <v>0</v>
      </c>
      <c r="AQ37" s="56">
        <f>SUMIF('Entradas e Saídas'!$BF$5:$BF$44,Controle!$C37,'Entradas e Saídas'!$BG$5:$BG$44)</f>
        <v>0</v>
      </c>
      <c r="AR37" s="56">
        <f>SUMIF('Entradas e Saídas'!$BF$5:$BF$44,Controle!$C37,'Entradas e Saídas'!$BH$5:$BH$44)</f>
        <v>0</v>
      </c>
      <c r="AS37" s="56">
        <f t="shared" si="9"/>
        <v>0</v>
      </c>
      <c r="AT37" s="57">
        <f>AS37*Inventário!$G33</f>
        <v>0</v>
      </c>
      <c r="AU37" s="56">
        <f>SUMIF('Entradas e Saídas'!$BL$5:$BL$44,Controle!$C37,'Entradas e Saídas'!$BM$5:$BM$44)</f>
        <v>0</v>
      </c>
      <c r="AV37" s="56">
        <f>SUMIF('Entradas e Saídas'!$BL$5:$BL$44,Controle!$C37,'Entradas e Saídas'!$BN$5:$BN$44)</f>
        <v>0</v>
      </c>
      <c r="AW37" s="56">
        <f t="shared" si="10"/>
        <v>0</v>
      </c>
      <c r="AX37" s="57">
        <f>AW37*Inventário!$G33</f>
        <v>0</v>
      </c>
      <c r="AY37" s="56">
        <f>SUMIF('Entradas e Saídas'!$BR$5:$BR$44,Controle!$C37,'Entradas e Saídas'!$BS$5:$BS$44)</f>
        <v>0</v>
      </c>
      <c r="AZ37" s="56">
        <f>SUMIF('Entradas e Saídas'!$BR$5:$BR$44,Controle!$C37,'Entradas e Saídas'!$BT$5:$BT$44)</f>
        <v>0</v>
      </c>
      <c r="BA37" s="56">
        <f t="shared" si="11"/>
        <v>0</v>
      </c>
      <c r="BB37" s="57">
        <f>BA37*Inventário!$G33</f>
        <v>0</v>
      </c>
      <c r="BE37" s="71"/>
      <c r="BF37" s="4"/>
    </row>
    <row r="38" spans="1:58" s="12" customFormat="1" ht="15.75" customHeight="1" x14ac:dyDescent="0.25">
      <c r="A38" s="8"/>
      <c r="B38" s="27" t="str">
        <f>IF(Inventário!C34="","",Inventário!C34)</f>
        <v/>
      </c>
      <c r="C38" s="26" t="str">
        <f>IF(B38="","",VLOOKUP(B38,Inventário!$C$4:$D$53,2,FALSE))</f>
        <v/>
      </c>
      <c r="D38" s="59" t="str">
        <f>IF(B38="","",I38+M38+Q38+U38+Y38+AC38+AG38+AK38+AO38+AS38+AW38+BA38+Inventário!H34)</f>
        <v/>
      </c>
      <c r="E38" s="60" t="str">
        <f>IF(B38="","",IF(D38&lt;0,"-",(D38*Inventário!G34)))</f>
        <v/>
      </c>
      <c r="F38" s="60" t="str">
        <f>IF(B38="","",IF(D38&gt;Inventário!I34,"NÃO",CONCATENATE("SIM:"," ",Inventário!J34," ","unid")))</f>
        <v/>
      </c>
      <c r="G38" s="56">
        <f>SUMIF('Entradas e Saídas'!$D$5:$D$44,Controle!$C38,'Entradas e Saídas'!$E$5:$E$44)</f>
        <v>0</v>
      </c>
      <c r="H38" s="56">
        <f>SUMIF('Entradas e Saídas'!$D$5:$D$44,Controle!$C38,'Entradas e Saídas'!$F$5:$F$44)</f>
        <v>0</v>
      </c>
      <c r="I38" s="56">
        <f t="shared" si="0"/>
        <v>0</v>
      </c>
      <c r="J38" s="57">
        <f>I38*Inventário!G34</f>
        <v>0</v>
      </c>
      <c r="K38" s="56">
        <f>SUMIF('Entradas e Saídas'!$J$5:$J$44,Controle!$C38,'Entradas e Saídas'!$K$5:$K$44)</f>
        <v>0</v>
      </c>
      <c r="L38" s="56">
        <f>SUMIF('Entradas e Saídas'!$J$5:$J$44,Controle!$C38,'Entradas e Saídas'!$L$5:$L$44)</f>
        <v>0</v>
      </c>
      <c r="M38" s="56">
        <f t="shared" si="1"/>
        <v>0</v>
      </c>
      <c r="N38" s="57">
        <f>M38*Inventário!$G34</f>
        <v>0</v>
      </c>
      <c r="O38" s="56">
        <f>SUMIF('Entradas e Saídas'!$P$5:$P$44,Controle!$C38,'Entradas e Saídas'!$Q$5:$Q$44)</f>
        <v>0</v>
      </c>
      <c r="P38" s="56">
        <f>SUMIF('Entradas e Saídas'!$P$5:$P$44,Controle!$C38,'Entradas e Saídas'!$R$5:$R$44)</f>
        <v>0</v>
      </c>
      <c r="Q38" s="56">
        <f t="shared" si="2"/>
        <v>0</v>
      </c>
      <c r="R38" s="57">
        <f>Q38*Inventário!$G34</f>
        <v>0</v>
      </c>
      <c r="S38" s="56">
        <f>SUMIF('Entradas e Saídas'!$V$5:$V$44,Controle!$C38,'Entradas e Saídas'!$W$5:$W$44)</f>
        <v>0</v>
      </c>
      <c r="T38" s="56">
        <f>SUMIF('Entradas e Saídas'!$V$5:$V$44,Controle!$C38,'Entradas e Saídas'!$X$5:$X$44)</f>
        <v>0</v>
      </c>
      <c r="U38" s="56">
        <f t="shared" si="3"/>
        <v>0</v>
      </c>
      <c r="V38" s="57">
        <f>U38*Inventário!$G34</f>
        <v>0</v>
      </c>
      <c r="W38" s="56">
        <f>SUMIF('Entradas e Saídas'!$AB$5:$AB$44,Controle!$C38,'Entradas e Saídas'!$AC$5:$AC$44)</f>
        <v>0</v>
      </c>
      <c r="X38" s="56">
        <f>SUMIF('Entradas e Saídas'!$AB$5:$AB$44,Controle!$C38,'Entradas e Saídas'!$AD$5:$AD$44)</f>
        <v>0</v>
      </c>
      <c r="Y38" s="56">
        <f t="shared" si="4"/>
        <v>0</v>
      </c>
      <c r="Z38" s="57">
        <f>Y38*Inventário!$G34</f>
        <v>0</v>
      </c>
      <c r="AA38" s="56">
        <f>SUMIF('Entradas e Saídas'!$AH$5:$AH$44,Controle!$C38,'Entradas e Saídas'!$AI$5:$AI$44)</f>
        <v>0</v>
      </c>
      <c r="AB38" s="56">
        <f>SUMIF('Entradas e Saídas'!$AH$5:$AH$44,Controle!$C38,'Entradas e Saídas'!$AJ$5:$AJ$44)</f>
        <v>0</v>
      </c>
      <c r="AC38" s="56">
        <f t="shared" si="5"/>
        <v>0</v>
      </c>
      <c r="AD38" s="57">
        <f>AC38*Inventário!$G34</f>
        <v>0</v>
      </c>
      <c r="AE38" s="56">
        <f>SUMIF('Entradas e Saídas'!$AN$5:$AN$44,Controle!$C38,'Entradas e Saídas'!$AO$5:$AO$44)</f>
        <v>0</v>
      </c>
      <c r="AF38" s="56">
        <f>SUMIF('Entradas e Saídas'!$AH$5:$AH$44,Controle!$C38,'Entradas e Saídas'!$AP$5:$AP$44)</f>
        <v>0</v>
      </c>
      <c r="AG38" s="56">
        <f t="shared" si="6"/>
        <v>0</v>
      </c>
      <c r="AH38" s="57">
        <f>AG38*Inventário!$G34</f>
        <v>0</v>
      </c>
      <c r="AI38" s="56">
        <f>SUMIF('Entradas e Saídas'!$AT$5:$AT$44,Controle!$C38,'Entradas e Saídas'!$AU$5:$AU$44)</f>
        <v>0</v>
      </c>
      <c r="AJ38" s="56">
        <f>SUMIF('Entradas e Saídas'!$AT$5:$AT$44,Controle!$C38,'Entradas e Saídas'!$AV$5:$AV$44)</f>
        <v>0</v>
      </c>
      <c r="AK38" s="56">
        <f t="shared" si="7"/>
        <v>0</v>
      </c>
      <c r="AL38" s="57">
        <f>AK38*Inventário!$G34</f>
        <v>0</v>
      </c>
      <c r="AM38" s="56">
        <f>SUMIF('Entradas e Saídas'!$AZ$5:$AZ$44,Controle!$C38,'Entradas e Saídas'!$BA$5:$BA$44)</f>
        <v>0</v>
      </c>
      <c r="AN38" s="56">
        <f>SUMIF('Entradas e Saídas'!$AZ$5:$AZ$44,Controle!$C38,'Entradas e Saídas'!$BB$5:$BB$44)</f>
        <v>0</v>
      </c>
      <c r="AO38" s="56">
        <f t="shared" si="8"/>
        <v>0</v>
      </c>
      <c r="AP38" s="57">
        <f>AO38*Inventário!$G34</f>
        <v>0</v>
      </c>
      <c r="AQ38" s="56">
        <f>SUMIF('Entradas e Saídas'!$BF$5:$BF$44,Controle!$C38,'Entradas e Saídas'!$BG$5:$BG$44)</f>
        <v>0</v>
      </c>
      <c r="AR38" s="56">
        <f>SUMIF('Entradas e Saídas'!$BF$5:$BF$44,Controle!$C38,'Entradas e Saídas'!$BH$5:$BH$44)</f>
        <v>0</v>
      </c>
      <c r="AS38" s="56">
        <f t="shared" si="9"/>
        <v>0</v>
      </c>
      <c r="AT38" s="57">
        <f>AS38*Inventário!$G34</f>
        <v>0</v>
      </c>
      <c r="AU38" s="56">
        <f>SUMIF('Entradas e Saídas'!$BL$5:$BL$44,Controle!$C38,'Entradas e Saídas'!$BM$5:$BM$44)</f>
        <v>0</v>
      </c>
      <c r="AV38" s="56">
        <f>SUMIF('Entradas e Saídas'!$BL$5:$BL$44,Controle!$C38,'Entradas e Saídas'!$BN$5:$BN$44)</f>
        <v>0</v>
      </c>
      <c r="AW38" s="56">
        <f t="shared" si="10"/>
        <v>0</v>
      </c>
      <c r="AX38" s="57">
        <f>AW38*Inventário!$G34</f>
        <v>0</v>
      </c>
      <c r="AY38" s="56">
        <f>SUMIF('Entradas e Saídas'!$BR$5:$BR$44,Controle!$C38,'Entradas e Saídas'!$BS$5:$BS$44)</f>
        <v>0</v>
      </c>
      <c r="AZ38" s="56">
        <f>SUMIF('Entradas e Saídas'!$BR$5:$BR$44,Controle!$C38,'Entradas e Saídas'!$BT$5:$BT$44)</f>
        <v>0</v>
      </c>
      <c r="BA38" s="56">
        <f t="shared" si="11"/>
        <v>0</v>
      </c>
      <c r="BB38" s="57">
        <f>BA38*Inventário!$G34</f>
        <v>0</v>
      </c>
      <c r="BE38" s="71"/>
      <c r="BF38" s="4"/>
    </row>
    <row r="39" spans="1:58" s="12" customFormat="1" ht="15.75" customHeight="1" x14ac:dyDescent="0.25">
      <c r="A39" s="8"/>
      <c r="B39" s="27" t="str">
        <f>IF(Inventário!C35="","",Inventário!C35)</f>
        <v/>
      </c>
      <c r="C39" s="26" t="str">
        <f>IF(B39="","",VLOOKUP(B39,Inventário!$C$4:$D$53,2,FALSE))</f>
        <v/>
      </c>
      <c r="D39" s="59" t="str">
        <f>IF(B39="","",I39+M39+Q39+U39+Y39+AC39+AG39+AK39+AO39+AS39+AW39+BA39+Inventário!H35)</f>
        <v/>
      </c>
      <c r="E39" s="60" t="str">
        <f>IF(B39="","",IF(D39&lt;0,"-",(D39*Inventário!G35)))</f>
        <v/>
      </c>
      <c r="F39" s="60" t="str">
        <f>IF(B39="","",IF(D39&gt;Inventário!I35,"NÃO",CONCATENATE("SIM:"," ",Inventário!J35," ","unid")))</f>
        <v/>
      </c>
      <c r="G39" s="56">
        <f>SUMIF('Entradas e Saídas'!$D$5:$D$44,Controle!$C39,'Entradas e Saídas'!$E$5:$E$44)</f>
        <v>0</v>
      </c>
      <c r="H39" s="56">
        <f>SUMIF('Entradas e Saídas'!$D$5:$D$44,Controle!$C39,'Entradas e Saídas'!$F$5:$F$44)</f>
        <v>0</v>
      </c>
      <c r="I39" s="56">
        <f t="shared" si="0"/>
        <v>0</v>
      </c>
      <c r="J39" s="57">
        <f>I39*Inventário!G35</f>
        <v>0</v>
      </c>
      <c r="K39" s="56">
        <f>SUMIF('Entradas e Saídas'!$J$5:$J$44,Controle!$C39,'Entradas e Saídas'!$K$5:$K$44)</f>
        <v>0</v>
      </c>
      <c r="L39" s="56">
        <f>SUMIF('Entradas e Saídas'!$J$5:$J$44,Controle!$C39,'Entradas e Saídas'!$L$5:$L$44)</f>
        <v>0</v>
      </c>
      <c r="M39" s="56">
        <f t="shared" si="1"/>
        <v>0</v>
      </c>
      <c r="N39" s="57">
        <f>M39*Inventário!$G35</f>
        <v>0</v>
      </c>
      <c r="O39" s="56">
        <f>SUMIF('Entradas e Saídas'!$P$5:$P$44,Controle!$C39,'Entradas e Saídas'!$Q$5:$Q$44)</f>
        <v>0</v>
      </c>
      <c r="P39" s="56">
        <f>SUMIF('Entradas e Saídas'!$P$5:$P$44,Controle!$C39,'Entradas e Saídas'!$R$5:$R$44)</f>
        <v>0</v>
      </c>
      <c r="Q39" s="56">
        <f t="shared" si="2"/>
        <v>0</v>
      </c>
      <c r="R39" s="57">
        <f>Q39*Inventário!$G35</f>
        <v>0</v>
      </c>
      <c r="S39" s="56">
        <f>SUMIF('Entradas e Saídas'!$V$5:$V$44,Controle!$C39,'Entradas e Saídas'!$W$5:$W$44)</f>
        <v>0</v>
      </c>
      <c r="T39" s="56">
        <f>SUMIF('Entradas e Saídas'!$V$5:$V$44,Controle!$C39,'Entradas e Saídas'!$X$5:$X$44)</f>
        <v>0</v>
      </c>
      <c r="U39" s="56">
        <f t="shared" si="3"/>
        <v>0</v>
      </c>
      <c r="V39" s="57">
        <f>U39*Inventário!$G35</f>
        <v>0</v>
      </c>
      <c r="W39" s="56">
        <f>SUMIF('Entradas e Saídas'!$AB$5:$AB$44,Controle!$C39,'Entradas e Saídas'!$AC$5:$AC$44)</f>
        <v>0</v>
      </c>
      <c r="X39" s="56">
        <f>SUMIF('Entradas e Saídas'!$AB$5:$AB$44,Controle!$C39,'Entradas e Saídas'!$AD$5:$AD$44)</f>
        <v>0</v>
      </c>
      <c r="Y39" s="56">
        <f t="shared" si="4"/>
        <v>0</v>
      </c>
      <c r="Z39" s="57">
        <f>Y39*Inventário!$G35</f>
        <v>0</v>
      </c>
      <c r="AA39" s="56">
        <f>SUMIF('Entradas e Saídas'!$AH$5:$AH$44,Controle!$C39,'Entradas e Saídas'!$AI$5:$AI$44)</f>
        <v>0</v>
      </c>
      <c r="AB39" s="56">
        <f>SUMIF('Entradas e Saídas'!$AH$5:$AH$44,Controle!$C39,'Entradas e Saídas'!$AJ$5:$AJ$44)</f>
        <v>0</v>
      </c>
      <c r="AC39" s="56">
        <f t="shared" si="5"/>
        <v>0</v>
      </c>
      <c r="AD39" s="57">
        <f>AC39*Inventário!$G35</f>
        <v>0</v>
      </c>
      <c r="AE39" s="56">
        <f>SUMIF('Entradas e Saídas'!$AN$5:$AN$44,Controle!$C39,'Entradas e Saídas'!$AO$5:$AO$44)</f>
        <v>0</v>
      </c>
      <c r="AF39" s="56">
        <f>SUMIF('Entradas e Saídas'!$AH$5:$AH$44,Controle!$C39,'Entradas e Saídas'!$AP$5:$AP$44)</f>
        <v>0</v>
      </c>
      <c r="AG39" s="56">
        <f t="shared" si="6"/>
        <v>0</v>
      </c>
      <c r="AH39" s="57">
        <f>AG39*Inventário!$G35</f>
        <v>0</v>
      </c>
      <c r="AI39" s="56">
        <f>SUMIF('Entradas e Saídas'!$AT$5:$AT$44,Controle!$C39,'Entradas e Saídas'!$AU$5:$AU$44)</f>
        <v>0</v>
      </c>
      <c r="AJ39" s="56">
        <f>SUMIF('Entradas e Saídas'!$AT$5:$AT$44,Controle!$C39,'Entradas e Saídas'!$AV$5:$AV$44)</f>
        <v>0</v>
      </c>
      <c r="AK39" s="56">
        <f t="shared" si="7"/>
        <v>0</v>
      </c>
      <c r="AL39" s="57">
        <f>AK39*Inventário!$G35</f>
        <v>0</v>
      </c>
      <c r="AM39" s="56">
        <f>SUMIF('Entradas e Saídas'!$AZ$5:$AZ$44,Controle!$C39,'Entradas e Saídas'!$BA$5:$BA$44)</f>
        <v>0</v>
      </c>
      <c r="AN39" s="56">
        <f>SUMIF('Entradas e Saídas'!$AZ$5:$AZ$44,Controle!$C39,'Entradas e Saídas'!$BB$5:$BB$44)</f>
        <v>0</v>
      </c>
      <c r="AO39" s="56">
        <f t="shared" si="8"/>
        <v>0</v>
      </c>
      <c r="AP39" s="57">
        <f>AO39*Inventário!$G35</f>
        <v>0</v>
      </c>
      <c r="AQ39" s="56">
        <f>SUMIF('Entradas e Saídas'!$BF$5:$BF$44,Controle!$C39,'Entradas e Saídas'!$BG$5:$BG$44)</f>
        <v>0</v>
      </c>
      <c r="AR39" s="56">
        <f>SUMIF('Entradas e Saídas'!$BF$5:$BF$44,Controle!$C39,'Entradas e Saídas'!$BH$5:$BH$44)</f>
        <v>0</v>
      </c>
      <c r="AS39" s="56">
        <f t="shared" si="9"/>
        <v>0</v>
      </c>
      <c r="AT39" s="57">
        <f>AS39*Inventário!$G35</f>
        <v>0</v>
      </c>
      <c r="AU39" s="56">
        <f>SUMIF('Entradas e Saídas'!$BL$5:$BL$44,Controle!$C39,'Entradas e Saídas'!$BM$5:$BM$44)</f>
        <v>0</v>
      </c>
      <c r="AV39" s="56">
        <f>SUMIF('Entradas e Saídas'!$BL$5:$BL$44,Controle!$C39,'Entradas e Saídas'!$BN$5:$BN$44)</f>
        <v>0</v>
      </c>
      <c r="AW39" s="56">
        <f t="shared" si="10"/>
        <v>0</v>
      </c>
      <c r="AX39" s="57">
        <f>AW39*Inventário!$G35</f>
        <v>0</v>
      </c>
      <c r="AY39" s="56">
        <f>SUMIF('Entradas e Saídas'!$BR$5:$BR$44,Controle!$C39,'Entradas e Saídas'!$BS$5:$BS$44)</f>
        <v>0</v>
      </c>
      <c r="AZ39" s="56">
        <f>SUMIF('Entradas e Saídas'!$BR$5:$BR$44,Controle!$C39,'Entradas e Saídas'!$BT$5:$BT$44)</f>
        <v>0</v>
      </c>
      <c r="BA39" s="56">
        <f t="shared" si="11"/>
        <v>0</v>
      </c>
      <c r="BB39" s="57">
        <f>BA39*Inventário!$G35</f>
        <v>0</v>
      </c>
      <c r="BE39" s="71"/>
      <c r="BF39" s="4"/>
    </row>
    <row r="40" spans="1:58" s="12" customFormat="1" ht="15.75" customHeight="1" x14ac:dyDescent="0.25">
      <c r="A40" s="8"/>
      <c r="B40" s="27" t="str">
        <f>IF(Inventário!C36="","",Inventário!C36)</f>
        <v/>
      </c>
      <c r="C40" s="26" t="str">
        <f>IF(B40="","",VLOOKUP(B40,Inventário!$C$4:$D$53,2,FALSE))</f>
        <v/>
      </c>
      <c r="D40" s="59" t="str">
        <f>IF(B40="","",I40+M40+Q40+U40+Y40+AC40+AG40+AK40+AO40+AS40+AW40+BA40+Inventário!H36)</f>
        <v/>
      </c>
      <c r="E40" s="60" t="str">
        <f>IF(B40="","",IF(D40&lt;0,"-",(D40*Inventário!G36)))</f>
        <v/>
      </c>
      <c r="F40" s="60" t="str">
        <f>IF(B40="","",IF(D40&gt;Inventário!I36,"NÃO",CONCATENATE("SIM:"," ",Inventário!J36," ","unid")))</f>
        <v/>
      </c>
      <c r="G40" s="56">
        <f>SUMIF('Entradas e Saídas'!$D$5:$D$44,Controle!$C40,'Entradas e Saídas'!$E$5:$E$44)</f>
        <v>0</v>
      </c>
      <c r="H40" s="56">
        <f>SUMIF('Entradas e Saídas'!$D$5:$D$44,Controle!$C40,'Entradas e Saídas'!$F$5:$F$44)</f>
        <v>0</v>
      </c>
      <c r="I40" s="56">
        <f t="shared" si="0"/>
        <v>0</v>
      </c>
      <c r="J40" s="57">
        <f>I40*Inventário!G36</f>
        <v>0</v>
      </c>
      <c r="K40" s="56">
        <f>SUMIF('Entradas e Saídas'!$J$5:$J$44,Controle!$C40,'Entradas e Saídas'!$K$5:$K$44)</f>
        <v>0</v>
      </c>
      <c r="L40" s="56">
        <f>SUMIF('Entradas e Saídas'!$J$5:$J$44,Controle!$C40,'Entradas e Saídas'!$L$5:$L$44)</f>
        <v>0</v>
      </c>
      <c r="M40" s="56">
        <f t="shared" si="1"/>
        <v>0</v>
      </c>
      <c r="N40" s="57">
        <f>M40*Inventário!$G36</f>
        <v>0</v>
      </c>
      <c r="O40" s="56">
        <f>SUMIF('Entradas e Saídas'!$P$5:$P$44,Controle!$C40,'Entradas e Saídas'!$Q$5:$Q$44)</f>
        <v>0</v>
      </c>
      <c r="P40" s="56">
        <f>SUMIF('Entradas e Saídas'!$P$5:$P$44,Controle!$C40,'Entradas e Saídas'!$R$5:$R$44)</f>
        <v>0</v>
      </c>
      <c r="Q40" s="56">
        <f t="shared" si="2"/>
        <v>0</v>
      </c>
      <c r="R40" s="57">
        <f>Q40*Inventário!$G36</f>
        <v>0</v>
      </c>
      <c r="S40" s="56">
        <f>SUMIF('Entradas e Saídas'!$V$5:$V$44,Controle!$C40,'Entradas e Saídas'!$W$5:$W$44)</f>
        <v>0</v>
      </c>
      <c r="T40" s="56">
        <f>SUMIF('Entradas e Saídas'!$V$5:$V$44,Controle!$C40,'Entradas e Saídas'!$X$5:$X$44)</f>
        <v>0</v>
      </c>
      <c r="U40" s="56">
        <f t="shared" si="3"/>
        <v>0</v>
      </c>
      <c r="V40" s="57">
        <f>U40*Inventário!$G36</f>
        <v>0</v>
      </c>
      <c r="W40" s="56">
        <f>SUMIF('Entradas e Saídas'!$AB$5:$AB$44,Controle!$C40,'Entradas e Saídas'!$AC$5:$AC$44)</f>
        <v>0</v>
      </c>
      <c r="X40" s="56">
        <f>SUMIF('Entradas e Saídas'!$AB$5:$AB$44,Controle!$C40,'Entradas e Saídas'!$AD$5:$AD$44)</f>
        <v>0</v>
      </c>
      <c r="Y40" s="56">
        <f t="shared" si="4"/>
        <v>0</v>
      </c>
      <c r="Z40" s="57">
        <f>Y40*Inventário!$G36</f>
        <v>0</v>
      </c>
      <c r="AA40" s="56">
        <f>SUMIF('Entradas e Saídas'!$AH$5:$AH$44,Controle!$C40,'Entradas e Saídas'!$AI$5:$AI$44)</f>
        <v>0</v>
      </c>
      <c r="AB40" s="56">
        <f>SUMIF('Entradas e Saídas'!$AH$5:$AH$44,Controle!$C40,'Entradas e Saídas'!$AJ$5:$AJ$44)</f>
        <v>0</v>
      </c>
      <c r="AC40" s="56">
        <f t="shared" si="5"/>
        <v>0</v>
      </c>
      <c r="AD40" s="57">
        <f>AC40*Inventário!$G36</f>
        <v>0</v>
      </c>
      <c r="AE40" s="56">
        <f>SUMIF('Entradas e Saídas'!$AN$5:$AN$44,Controle!$C40,'Entradas e Saídas'!$AO$5:$AO$44)</f>
        <v>0</v>
      </c>
      <c r="AF40" s="56">
        <f>SUMIF('Entradas e Saídas'!$AH$5:$AH$44,Controle!$C40,'Entradas e Saídas'!$AP$5:$AP$44)</f>
        <v>0</v>
      </c>
      <c r="AG40" s="56">
        <f t="shared" si="6"/>
        <v>0</v>
      </c>
      <c r="AH40" s="57">
        <f>AG40*Inventário!$G36</f>
        <v>0</v>
      </c>
      <c r="AI40" s="56">
        <f>SUMIF('Entradas e Saídas'!$AT$5:$AT$44,Controle!$C40,'Entradas e Saídas'!$AU$5:$AU$44)</f>
        <v>0</v>
      </c>
      <c r="AJ40" s="56">
        <f>SUMIF('Entradas e Saídas'!$AT$5:$AT$44,Controle!$C40,'Entradas e Saídas'!$AV$5:$AV$44)</f>
        <v>0</v>
      </c>
      <c r="AK40" s="56">
        <f t="shared" si="7"/>
        <v>0</v>
      </c>
      <c r="AL40" s="57">
        <f>AK40*Inventário!$G36</f>
        <v>0</v>
      </c>
      <c r="AM40" s="56">
        <f>SUMIF('Entradas e Saídas'!$AZ$5:$AZ$44,Controle!$C40,'Entradas e Saídas'!$BA$5:$BA$44)</f>
        <v>0</v>
      </c>
      <c r="AN40" s="56">
        <f>SUMIF('Entradas e Saídas'!$AZ$5:$AZ$44,Controle!$C40,'Entradas e Saídas'!$BB$5:$BB$44)</f>
        <v>0</v>
      </c>
      <c r="AO40" s="56">
        <f t="shared" si="8"/>
        <v>0</v>
      </c>
      <c r="AP40" s="57">
        <f>AO40*Inventário!$G36</f>
        <v>0</v>
      </c>
      <c r="AQ40" s="56">
        <f>SUMIF('Entradas e Saídas'!$BF$5:$BF$44,Controle!$C40,'Entradas e Saídas'!$BG$5:$BG$44)</f>
        <v>0</v>
      </c>
      <c r="AR40" s="56">
        <f>SUMIF('Entradas e Saídas'!$BF$5:$BF$44,Controle!$C40,'Entradas e Saídas'!$BH$5:$BH$44)</f>
        <v>0</v>
      </c>
      <c r="AS40" s="56">
        <f t="shared" si="9"/>
        <v>0</v>
      </c>
      <c r="AT40" s="57">
        <f>AS40*Inventário!$G36</f>
        <v>0</v>
      </c>
      <c r="AU40" s="56">
        <f>SUMIF('Entradas e Saídas'!$BL$5:$BL$44,Controle!$C40,'Entradas e Saídas'!$BM$5:$BM$44)</f>
        <v>0</v>
      </c>
      <c r="AV40" s="56">
        <f>SUMIF('Entradas e Saídas'!$BL$5:$BL$44,Controle!$C40,'Entradas e Saídas'!$BN$5:$BN$44)</f>
        <v>0</v>
      </c>
      <c r="AW40" s="56">
        <f t="shared" si="10"/>
        <v>0</v>
      </c>
      <c r="AX40" s="57">
        <f>AW40*Inventário!$G36</f>
        <v>0</v>
      </c>
      <c r="AY40" s="56">
        <f>SUMIF('Entradas e Saídas'!$BR$5:$BR$44,Controle!$C40,'Entradas e Saídas'!$BS$5:$BS$44)</f>
        <v>0</v>
      </c>
      <c r="AZ40" s="56">
        <f>SUMIF('Entradas e Saídas'!$BR$5:$BR$44,Controle!$C40,'Entradas e Saídas'!$BT$5:$BT$44)</f>
        <v>0</v>
      </c>
      <c r="BA40" s="56">
        <f t="shared" si="11"/>
        <v>0</v>
      </c>
      <c r="BB40" s="57">
        <f>BA40*Inventário!$G36</f>
        <v>0</v>
      </c>
      <c r="BE40" s="71"/>
      <c r="BF40" s="4"/>
    </row>
    <row r="41" spans="1:58" s="12" customFormat="1" ht="15.75" customHeight="1" x14ac:dyDescent="0.25">
      <c r="A41" s="8"/>
      <c r="B41" s="27" t="str">
        <f>IF(Inventário!C37="","",Inventário!C37)</f>
        <v/>
      </c>
      <c r="C41" s="26" t="str">
        <f>IF(B41="","",VLOOKUP(B41,Inventário!$C$4:$D$53,2,FALSE))</f>
        <v/>
      </c>
      <c r="D41" s="59" t="str">
        <f>IF(B41="","",I41+M41+Q41+U41+Y41+AC41+AG41+AK41+AO41+AS41+AW41+BA41+Inventário!H37)</f>
        <v/>
      </c>
      <c r="E41" s="60" t="str">
        <f>IF(B41="","",IF(D41&lt;0,"-",(D41*Inventário!G37)))</f>
        <v/>
      </c>
      <c r="F41" s="60" t="str">
        <f>IF(B41="","",IF(D41&gt;Inventário!I37,"NÃO",CONCATENATE("SIM:"," ",Inventário!J37," ","unid")))</f>
        <v/>
      </c>
      <c r="G41" s="56">
        <f>SUMIF('Entradas e Saídas'!$D$5:$D$44,Controle!$C41,'Entradas e Saídas'!$E$5:$E$44)</f>
        <v>0</v>
      </c>
      <c r="H41" s="56">
        <f>SUMIF('Entradas e Saídas'!$D$5:$D$44,Controle!$C41,'Entradas e Saídas'!$F$5:$F$44)</f>
        <v>0</v>
      </c>
      <c r="I41" s="56">
        <f t="shared" si="0"/>
        <v>0</v>
      </c>
      <c r="J41" s="57">
        <f>I41*Inventário!G37</f>
        <v>0</v>
      </c>
      <c r="K41" s="56">
        <f>SUMIF('Entradas e Saídas'!$J$5:$J$44,Controle!$C41,'Entradas e Saídas'!$K$5:$K$44)</f>
        <v>0</v>
      </c>
      <c r="L41" s="56">
        <f>SUMIF('Entradas e Saídas'!$J$5:$J$44,Controle!$C41,'Entradas e Saídas'!$L$5:$L$44)</f>
        <v>0</v>
      </c>
      <c r="M41" s="56">
        <f t="shared" si="1"/>
        <v>0</v>
      </c>
      <c r="N41" s="57">
        <f>M41*Inventário!$G37</f>
        <v>0</v>
      </c>
      <c r="O41" s="56">
        <f>SUMIF('Entradas e Saídas'!$P$5:$P$44,Controle!$C41,'Entradas e Saídas'!$Q$5:$Q$44)</f>
        <v>0</v>
      </c>
      <c r="P41" s="56">
        <f>SUMIF('Entradas e Saídas'!$P$5:$P$44,Controle!$C41,'Entradas e Saídas'!$R$5:$R$44)</f>
        <v>0</v>
      </c>
      <c r="Q41" s="56">
        <f t="shared" si="2"/>
        <v>0</v>
      </c>
      <c r="R41" s="57">
        <f>Q41*Inventário!$G37</f>
        <v>0</v>
      </c>
      <c r="S41" s="56">
        <f>SUMIF('Entradas e Saídas'!$V$5:$V$44,Controle!$C41,'Entradas e Saídas'!$W$5:$W$44)</f>
        <v>0</v>
      </c>
      <c r="T41" s="56">
        <f>SUMIF('Entradas e Saídas'!$V$5:$V$44,Controle!$C41,'Entradas e Saídas'!$X$5:$X$44)</f>
        <v>0</v>
      </c>
      <c r="U41" s="56">
        <f t="shared" si="3"/>
        <v>0</v>
      </c>
      <c r="V41" s="57">
        <f>U41*Inventário!$G37</f>
        <v>0</v>
      </c>
      <c r="W41" s="56">
        <f>SUMIF('Entradas e Saídas'!$AB$5:$AB$44,Controle!$C41,'Entradas e Saídas'!$AC$5:$AC$44)</f>
        <v>0</v>
      </c>
      <c r="X41" s="56">
        <f>SUMIF('Entradas e Saídas'!$AB$5:$AB$44,Controle!$C41,'Entradas e Saídas'!$AD$5:$AD$44)</f>
        <v>0</v>
      </c>
      <c r="Y41" s="56">
        <f t="shared" si="4"/>
        <v>0</v>
      </c>
      <c r="Z41" s="57">
        <f>Y41*Inventário!$G37</f>
        <v>0</v>
      </c>
      <c r="AA41" s="56">
        <f>SUMIF('Entradas e Saídas'!$AH$5:$AH$44,Controle!$C41,'Entradas e Saídas'!$AI$5:$AI$44)</f>
        <v>0</v>
      </c>
      <c r="AB41" s="56">
        <f>SUMIF('Entradas e Saídas'!$AH$5:$AH$44,Controle!$C41,'Entradas e Saídas'!$AJ$5:$AJ$44)</f>
        <v>0</v>
      </c>
      <c r="AC41" s="56">
        <f t="shared" si="5"/>
        <v>0</v>
      </c>
      <c r="AD41" s="57">
        <f>AC41*Inventário!$G37</f>
        <v>0</v>
      </c>
      <c r="AE41" s="56">
        <f>SUMIF('Entradas e Saídas'!$AN$5:$AN$44,Controle!$C41,'Entradas e Saídas'!$AO$5:$AO$44)</f>
        <v>0</v>
      </c>
      <c r="AF41" s="56">
        <f>SUMIF('Entradas e Saídas'!$AH$5:$AH$44,Controle!$C41,'Entradas e Saídas'!$AP$5:$AP$44)</f>
        <v>0</v>
      </c>
      <c r="AG41" s="56">
        <f t="shared" si="6"/>
        <v>0</v>
      </c>
      <c r="AH41" s="57">
        <f>AG41*Inventário!$G37</f>
        <v>0</v>
      </c>
      <c r="AI41" s="56">
        <f>SUMIF('Entradas e Saídas'!$AT$5:$AT$44,Controle!$C41,'Entradas e Saídas'!$AU$5:$AU$44)</f>
        <v>0</v>
      </c>
      <c r="AJ41" s="56">
        <f>SUMIF('Entradas e Saídas'!$AT$5:$AT$44,Controle!$C41,'Entradas e Saídas'!$AV$5:$AV$44)</f>
        <v>0</v>
      </c>
      <c r="AK41" s="56">
        <f t="shared" si="7"/>
        <v>0</v>
      </c>
      <c r="AL41" s="57">
        <f>AK41*Inventário!$G37</f>
        <v>0</v>
      </c>
      <c r="AM41" s="56">
        <f>SUMIF('Entradas e Saídas'!$AZ$5:$AZ$44,Controle!$C41,'Entradas e Saídas'!$BA$5:$BA$44)</f>
        <v>0</v>
      </c>
      <c r="AN41" s="56">
        <f>SUMIF('Entradas e Saídas'!$AZ$5:$AZ$44,Controle!$C41,'Entradas e Saídas'!$BB$5:$BB$44)</f>
        <v>0</v>
      </c>
      <c r="AO41" s="56">
        <f t="shared" si="8"/>
        <v>0</v>
      </c>
      <c r="AP41" s="57">
        <f>AO41*Inventário!$G37</f>
        <v>0</v>
      </c>
      <c r="AQ41" s="56">
        <f>SUMIF('Entradas e Saídas'!$BF$5:$BF$44,Controle!$C41,'Entradas e Saídas'!$BG$5:$BG$44)</f>
        <v>0</v>
      </c>
      <c r="AR41" s="56">
        <f>SUMIF('Entradas e Saídas'!$BF$5:$BF$44,Controle!$C41,'Entradas e Saídas'!$BH$5:$BH$44)</f>
        <v>0</v>
      </c>
      <c r="AS41" s="56">
        <f t="shared" si="9"/>
        <v>0</v>
      </c>
      <c r="AT41" s="57">
        <f>AS41*Inventário!$G37</f>
        <v>0</v>
      </c>
      <c r="AU41" s="56">
        <f>SUMIF('Entradas e Saídas'!$BL$5:$BL$44,Controle!$C41,'Entradas e Saídas'!$BM$5:$BM$44)</f>
        <v>0</v>
      </c>
      <c r="AV41" s="56">
        <f>SUMIF('Entradas e Saídas'!$BL$5:$BL$44,Controle!$C41,'Entradas e Saídas'!$BN$5:$BN$44)</f>
        <v>0</v>
      </c>
      <c r="AW41" s="56">
        <f t="shared" si="10"/>
        <v>0</v>
      </c>
      <c r="AX41" s="57">
        <f>AW41*Inventário!$G37</f>
        <v>0</v>
      </c>
      <c r="AY41" s="56">
        <f>SUMIF('Entradas e Saídas'!$BR$5:$BR$44,Controle!$C41,'Entradas e Saídas'!$BS$5:$BS$44)</f>
        <v>0</v>
      </c>
      <c r="AZ41" s="56">
        <f>SUMIF('Entradas e Saídas'!$BR$5:$BR$44,Controle!$C41,'Entradas e Saídas'!$BT$5:$BT$44)</f>
        <v>0</v>
      </c>
      <c r="BA41" s="56">
        <f t="shared" si="11"/>
        <v>0</v>
      </c>
      <c r="BB41" s="57">
        <f>BA41*Inventário!$G37</f>
        <v>0</v>
      </c>
      <c r="BE41" s="71"/>
      <c r="BF41" s="4"/>
    </row>
    <row r="42" spans="1:58" s="12" customFormat="1" ht="15.75" customHeight="1" x14ac:dyDescent="0.25">
      <c r="A42" s="8"/>
      <c r="B42" s="27" t="str">
        <f>IF(Inventário!C38="","",Inventário!C38)</f>
        <v/>
      </c>
      <c r="C42" s="26" t="str">
        <f>IF(B42="","",VLOOKUP(B42,Inventário!$C$4:$D$53,2,FALSE))</f>
        <v/>
      </c>
      <c r="D42" s="59" t="str">
        <f>IF(B42="","",I42+M42+Q42+U42+Y42+AC42+AG42+AK42+AO42+AS42+AW42+BA42+Inventário!H38)</f>
        <v/>
      </c>
      <c r="E42" s="60" t="str">
        <f>IF(B42="","",IF(D42&lt;0,"-",(D42*Inventário!G38)))</f>
        <v/>
      </c>
      <c r="F42" s="60" t="str">
        <f>IF(B42="","",IF(D42&gt;Inventário!I38,"NÃO",CONCATENATE("SIM:"," ",Inventário!J38," ","unid")))</f>
        <v/>
      </c>
      <c r="G42" s="56">
        <f>SUMIF('Entradas e Saídas'!$D$5:$D$44,Controle!$C42,'Entradas e Saídas'!$E$5:$E$44)</f>
        <v>0</v>
      </c>
      <c r="H42" s="56">
        <f>SUMIF('Entradas e Saídas'!$D$5:$D$44,Controle!$C42,'Entradas e Saídas'!$F$5:$F$44)</f>
        <v>0</v>
      </c>
      <c r="I42" s="56">
        <f t="shared" si="0"/>
        <v>0</v>
      </c>
      <c r="J42" s="57">
        <f>I42*Inventário!G38</f>
        <v>0</v>
      </c>
      <c r="K42" s="56">
        <f>SUMIF('Entradas e Saídas'!$J$5:$J$44,Controle!$C42,'Entradas e Saídas'!$K$5:$K$44)</f>
        <v>0</v>
      </c>
      <c r="L42" s="56">
        <f>SUMIF('Entradas e Saídas'!$J$5:$J$44,Controle!$C42,'Entradas e Saídas'!$L$5:$L$44)</f>
        <v>0</v>
      </c>
      <c r="M42" s="56">
        <f t="shared" si="1"/>
        <v>0</v>
      </c>
      <c r="N42" s="57">
        <f>M42*Inventário!$G38</f>
        <v>0</v>
      </c>
      <c r="O42" s="56">
        <f>SUMIF('Entradas e Saídas'!$P$5:$P$44,Controle!$C42,'Entradas e Saídas'!$Q$5:$Q$44)</f>
        <v>0</v>
      </c>
      <c r="P42" s="56">
        <f>SUMIF('Entradas e Saídas'!$P$5:$P$44,Controle!$C42,'Entradas e Saídas'!$R$5:$R$44)</f>
        <v>0</v>
      </c>
      <c r="Q42" s="56">
        <f t="shared" si="2"/>
        <v>0</v>
      </c>
      <c r="R42" s="57">
        <f>Q42*Inventário!$G38</f>
        <v>0</v>
      </c>
      <c r="S42" s="56">
        <f>SUMIF('Entradas e Saídas'!$V$5:$V$44,Controle!$C42,'Entradas e Saídas'!$W$5:$W$44)</f>
        <v>0</v>
      </c>
      <c r="T42" s="56">
        <f>SUMIF('Entradas e Saídas'!$V$5:$V$44,Controle!$C42,'Entradas e Saídas'!$X$5:$X$44)</f>
        <v>0</v>
      </c>
      <c r="U42" s="56">
        <f t="shared" si="3"/>
        <v>0</v>
      </c>
      <c r="V42" s="57">
        <f>U42*Inventário!$G38</f>
        <v>0</v>
      </c>
      <c r="W42" s="56">
        <f>SUMIF('Entradas e Saídas'!$AB$5:$AB$44,Controle!$C42,'Entradas e Saídas'!$AC$5:$AC$44)</f>
        <v>0</v>
      </c>
      <c r="X42" s="56">
        <f>SUMIF('Entradas e Saídas'!$AB$5:$AB$44,Controle!$C42,'Entradas e Saídas'!$AD$5:$AD$44)</f>
        <v>0</v>
      </c>
      <c r="Y42" s="56">
        <f t="shared" si="4"/>
        <v>0</v>
      </c>
      <c r="Z42" s="57">
        <f>Y42*Inventário!$G38</f>
        <v>0</v>
      </c>
      <c r="AA42" s="56">
        <f>SUMIF('Entradas e Saídas'!$AH$5:$AH$44,Controle!$C42,'Entradas e Saídas'!$AI$5:$AI$44)</f>
        <v>0</v>
      </c>
      <c r="AB42" s="56">
        <f>SUMIF('Entradas e Saídas'!$AH$5:$AH$44,Controle!$C42,'Entradas e Saídas'!$AJ$5:$AJ$44)</f>
        <v>0</v>
      </c>
      <c r="AC42" s="56">
        <f t="shared" si="5"/>
        <v>0</v>
      </c>
      <c r="AD42" s="57">
        <f>AC42*Inventário!$G38</f>
        <v>0</v>
      </c>
      <c r="AE42" s="56">
        <f>SUMIF('Entradas e Saídas'!$AN$5:$AN$44,Controle!$C42,'Entradas e Saídas'!$AO$5:$AO$44)</f>
        <v>0</v>
      </c>
      <c r="AF42" s="56">
        <f>SUMIF('Entradas e Saídas'!$AH$5:$AH$44,Controle!$C42,'Entradas e Saídas'!$AP$5:$AP$44)</f>
        <v>0</v>
      </c>
      <c r="AG42" s="56">
        <f t="shared" si="6"/>
        <v>0</v>
      </c>
      <c r="AH42" s="57">
        <f>AG42*Inventário!$G38</f>
        <v>0</v>
      </c>
      <c r="AI42" s="56">
        <f>SUMIF('Entradas e Saídas'!$AT$5:$AT$44,Controle!$C42,'Entradas e Saídas'!$AU$5:$AU$44)</f>
        <v>0</v>
      </c>
      <c r="AJ42" s="56">
        <f>SUMIF('Entradas e Saídas'!$AT$5:$AT$44,Controle!$C42,'Entradas e Saídas'!$AV$5:$AV$44)</f>
        <v>0</v>
      </c>
      <c r="AK42" s="56">
        <f t="shared" si="7"/>
        <v>0</v>
      </c>
      <c r="AL42" s="57">
        <f>AK42*Inventário!$G38</f>
        <v>0</v>
      </c>
      <c r="AM42" s="56">
        <f>SUMIF('Entradas e Saídas'!$AZ$5:$AZ$44,Controle!$C42,'Entradas e Saídas'!$BA$5:$BA$44)</f>
        <v>0</v>
      </c>
      <c r="AN42" s="56">
        <f>SUMIF('Entradas e Saídas'!$AZ$5:$AZ$44,Controle!$C42,'Entradas e Saídas'!$BB$5:$BB$44)</f>
        <v>0</v>
      </c>
      <c r="AO42" s="56">
        <f t="shared" si="8"/>
        <v>0</v>
      </c>
      <c r="AP42" s="57">
        <f>AO42*Inventário!$G38</f>
        <v>0</v>
      </c>
      <c r="AQ42" s="56">
        <f>SUMIF('Entradas e Saídas'!$BF$5:$BF$44,Controle!$C42,'Entradas e Saídas'!$BG$5:$BG$44)</f>
        <v>0</v>
      </c>
      <c r="AR42" s="56">
        <f>SUMIF('Entradas e Saídas'!$BF$5:$BF$44,Controle!$C42,'Entradas e Saídas'!$BH$5:$BH$44)</f>
        <v>0</v>
      </c>
      <c r="AS42" s="56">
        <f t="shared" si="9"/>
        <v>0</v>
      </c>
      <c r="AT42" s="57">
        <f>AS42*Inventário!$G38</f>
        <v>0</v>
      </c>
      <c r="AU42" s="56">
        <f>SUMIF('Entradas e Saídas'!$BL$5:$BL$44,Controle!$C42,'Entradas e Saídas'!$BM$5:$BM$44)</f>
        <v>0</v>
      </c>
      <c r="AV42" s="56">
        <f>SUMIF('Entradas e Saídas'!$BL$5:$BL$44,Controle!$C42,'Entradas e Saídas'!$BN$5:$BN$44)</f>
        <v>0</v>
      </c>
      <c r="AW42" s="56">
        <f t="shared" si="10"/>
        <v>0</v>
      </c>
      <c r="AX42" s="57">
        <f>AW42*Inventário!$G38</f>
        <v>0</v>
      </c>
      <c r="AY42" s="56">
        <f>SUMIF('Entradas e Saídas'!$BR$5:$BR$44,Controle!$C42,'Entradas e Saídas'!$BS$5:$BS$44)</f>
        <v>0</v>
      </c>
      <c r="AZ42" s="56">
        <f>SUMIF('Entradas e Saídas'!$BR$5:$BR$44,Controle!$C42,'Entradas e Saídas'!$BT$5:$BT$44)</f>
        <v>0</v>
      </c>
      <c r="BA42" s="56">
        <f t="shared" si="11"/>
        <v>0</v>
      </c>
      <c r="BB42" s="57">
        <f>BA42*Inventário!$G38</f>
        <v>0</v>
      </c>
      <c r="BE42" s="71"/>
      <c r="BF42" s="4"/>
    </row>
    <row r="43" spans="1:58" s="12" customFormat="1" ht="15.75" customHeight="1" x14ac:dyDescent="0.25">
      <c r="A43" s="8"/>
      <c r="B43" s="27" t="str">
        <f>IF(Inventário!C39="","",Inventário!C39)</f>
        <v/>
      </c>
      <c r="C43" s="26" t="str">
        <f>IF(B43="","",VLOOKUP(B43,Inventário!$C$4:$D$53,2,FALSE))</f>
        <v/>
      </c>
      <c r="D43" s="59" t="str">
        <f>IF(B43="","",I43+M43+Q43+U43+Y43+AC43+AG43+AK43+AO43+AS43+AW43+BA43+Inventário!H39)</f>
        <v/>
      </c>
      <c r="E43" s="60" t="str">
        <f>IF(B43="","",IF(D43&lt;0,"-",(D43*Inventário!G39)))</f>
        <v/>
      </c>
      <c r="F43" s="60" t="str">
        <f>IF(B43="","",IF(D43&gt;Inventário!I39,"NÃO",CONCATENATE("SIM:"," ",Inventário!J39," ","unid")))</f>
        <v/>
      </c>
      <c r="G43" s="56">
        <f>SUMIF('Entradas e Saídas'!$D$5:$D$44,Controle!$C43,'Entradas e Saídas'!$E$5:$E$44)</f>
        <v>0</v>
      </c>
      <c r="H43" s="56">
        <f>SUMIF('Entradas e Saídas'!$D$5:$D$44,Controle!$C43,'Entradas e Saídas'!$F$5:$F$44)</f>
        <v>0</v>
      </c>
      <c r="I43" s="56">
        <f t="shared" si="0"/>
        <v>0</v>
      </c>
      <c r="J43" s="57">
        <f>I43*Inventário!G39</f>
        <v>0</v>
      </c>
      <c r="K43" s="56">
        <f>SUMIF('Entradas e Saídas'!$J$5:$J$44,Controle!$C43,'Entradas e Saídas'!$K$5:$K$44)</f>
        <v>0</v>
      </c>
      <c r="L43" s="56">
        <f>SUMIF('Entradas e Saídas'!$J$5:$J$44,Controle!$C43,'Entradas e Saídas'!$L$5:$L$44)</f>
        <v>0</v>
      </c>
      <c r="M43" s="56">
        <f t="shared" si="1"/>
        <v>0</v>
      </c>
      <c r="N43" s="57">
        <f>M43*Inventário!$G39</f>
        <v>0</v>
      </c>
      <c r="O43" s="56">
        <f>SUMIF('Entradas e Saídas'!$P$5:$P$44,Controle!$C43,'Entradas e Saídas'!$Q$5:$Q$44)</f>
        <v>0</v>
      </c>
      <c r="P43" s="56">
        <f>SUMIF('Entradas e Saídas'!$P$5:$P$44,Controle!$C43,'Entradas e Saídas'!$R$5:$R$44)</f>
        <v>0</v>
      </c>
      <c r="Q43" s="56">
        <f t="shared" si="2"/>
        <v>0</v>
      </c>
      <c r="R43" s="57">
        <f>Q43*Inventário!$G39</f>
        <v>0</v>
      </c>
      <c r="S43" s="56">
        <f>SUMIF('Entradas e Saídas'!$V$5:$V$44,Controle!$C43,'Entradas e Saídas'!$W$5:$W$44)</f>
        <v>0</v>
      </c>
      <c r="T43" s="56">
        <f>SUMIF('Entradas e Saídas'!$V$5:$V$44,Controle!$C43,'Entradas e Saídas'!$X$5:$X$44)</f>
        <v>0</v>
      </c>
      <c r="U43" s="56">
        <f t="shared" si="3"/>
        <v>0</v>
      </c>
      <c r="V43" s="57">
        <f>U43*Inventário!$G39</f>
        <v>0</v>
      </c>
      <c r="W43" s="56">
        <f>SUMIF('Entradas e Saídas'!$AB$5:$AB$44,Controle!$C43,'Entradas e Saídas'!$AC$5:$AC$44)</f>
        <v>0</v>
      </c>
      <c r="X43" s="56">
        <f>SUMIF('Entradas e Saídas'!$AB$5:$AB$44,Controle!$C43,'Entradas e Saídas'!$AD$5:$AD$44)</f>
        <v>0</v>
      </c>
      <c r="Y43" s="56">
        <f t="shared" si="4"/>
        <v>0</v>
      </c>
      <c r="Z43" s="57">
        <f>Y43*Inventário!$G39</f>
        <v>0</v>
      </c>
      <c r="AA43" s="56">
        <f>SUMIF('Entradas e Saídas'!$AH$5:$AH$44,Controle!$C43,'Entradas e Saídas'!$AI$5:$AI$44)</f>
        <v>0</v>
      </c>
      <c r="AB43" s="56">
        <f>SUMIF('Entradas e Saídas'!$AH$5:$AH$44,Controle!$C43,'Entradas e Saídas'!$AJ$5:$AJ$44)</f>
        <v>0</v>
      </c>
      <c r="AC43" s="56">
        <f t="shared" si="5"/>
        <v>0</v>
      </c>
      <c r="AD43" s="57">
        <f>AC43*Inventário!$G39</f>
        <v>0</v>
      </c>
      <c r="AE43" s="56">
        <f>SUMIF('Entradas e Saídas'!$AN$5:$AN$44,Controle!$C43,'Entradas e Saídas'!$AO$5:$AO$44)</f>
        <v>0</v>
      </c>
      <c r="AF43" s="56">
        <f>SUMIF('Entradas e Saídas'!$AH$5:$AH$44,Controle!$C43,'Entradas e Saídas'!$AP$5:$AP$44)</f>
        <v>0</v>
      </c>
      <c r="AG43" s="56">
        <f t="shared" si="6"/>
        <v>0</v>
      </c>
      <c r="AH43" s="57">
        <f>AG43*Inventário!$G39</f>
        <v>0</v>
      </c>
      <c r="AI43" s="56">
        <f>SUMIF('Entradas e Saídas'!$AT$5:$AT$44,Controle!$C43,'Entradas e Saídas'!$AU$5:$AU$44)</f>
        <v>0</v>
      </c>
      <c r="AJ43" s="56">
        <f>SUMIF('Entradas e Saídas'!$AT$5:$AT$44,Controle!$C43,'Entradas e Saídas'!$AV$5:$AV$44)</f>
        <v>0</v>
      </c>
      <c r="AK43" s="56">
        <f t="shared" si="7"/>
        <v>0</v>
      </c>
      <c r="AL43" s="57">
        <f>AK43*Inventário!$G39</f>
        <v>0</v>
      </c>
      <c r="AM43" s="56">
        <f>SUMIF('Entradas e Saídas'!$AZ$5:$AZ$44,Controle!$C43,'Entradas e Saídas'!$BA$5:$BA$44)</f>
        <v>0</v>
      </c>
      <c r="AN43" s="56">
        <f>SUMIF('Entradas e Saídas'!$AZ$5:$AZ$44,Controle!$C43,'Entradas e Saídas'!$BB$5:$BB$44)</f>
        <v>0</v>
      </c>
      <c r="AO43" s="56">
        <f t="shared" si="8"/>
        <v>0</v>
      </c>
      <c r="AP43" s="57">
        <f>AO43*Inventário!$G39</f>
        <v>0</v>
      </c>
      <c r="AQ43" s="56">
        <f>SUMIF('Entradas e Saídas'!$BF$5:$BF$44,Controle!$C43,'Entradas e Saídas'!$BG$5:$BG$44)</f>
        <v>0</v>
      </c>
      <c r="AR43" s="56">
        <f>SUMIF('Entradas e Saídas'!$BF$5:$BF$44,Controle!$C43,'Entradas e Saídas'!$BH$5:$BH$44)</f>
        <v>0</v>
      </c>
      <c r="AS43" s="56">
        <f t="shared" si="9"/>
        <v>0</v>
      </c>
      <c r="AT43" s="57">
        <f>AS43*Inventário!$G39</f>
        <v>0</v>
      </c>
      <c r="AU43" s="56">
        <f>SUMIF('Entradas e Saídas'!$BL$5:$BL$44,Controle!$C43,'Entradas e Saídas'!$BM$5:$BM$44)</f>
        <v>0</v>
      </c>
      <c r="AV43" s="56">
        <f>SUMIF('Entradas e Saídas'!$BL$5:$BL$44,Controle!$C43,'Entradas e Saídas'!$BN$5:$BN$44)</f>
        <v>0</v>
      </c>
      <c r="AW43" s="56">
        <f t="shared" si="10"/>
        <v>0</v>
      </c>
      <c r="AX43" s="57">
        <f>AW43*Inventário!$G39</f>
        <v>0</v>
      </c>
      <c r="AY43" s="56">
        <f>SUMIF('Entradas e Saídas'!$BR$5:$BR$44,Controle!$C43,'Entradas e Saídas'!$BS$5:$BS$44)</f>
        <v>0</v>
      </c>
      <c r="AZ43" s="56">
        <f>SUMIF('Entradas e Saídas'!$BR$5:$BR$44,Controle!$C43,'Entradas e Saídas'!$BT$5:$BT$44)</f>
        <v>0</v>
      </c>
      <c r="BA43" s="56">
        <f t="shared" si="11"/>
        <v>0</v>
      </c>
      <c r="BB43" s="57">
        <f>BA43*Inventário!$G39</f>
        <v>0</v>
      </c>
      <c r="BE43" s="71"/>
      <c r="BF43" s="4"/>
    </row>
    <row r="44" spans="1:58" s="12" customFormat="1" ht="15.75" customHeight="1" x14ac:dyDescent="0.25">
      <c r="A44" s="8"/>
      <c r="B44" s="27" t="str">
        <f>IF(Inventário!C40="","",Inventário!C40)</f>
        <v/>
      </c>
      <c r="C44" s="26" t="str">
        <f>IF(B44="","",VLOOKUP(B44,Inventário!$C$4:$D$53,2,FALSE))</f>
        <v/>
      </c>
      <c r="D44" s="59" t="str">
        <f>IF(B44="","",I44+M44+Q44+U44+Y44+AC44+AG44+AK44+AO44+AS44+AW44+BA44+Inventário!H40)</f>
        <v/>
      </c>
      <c r="E44" s="60" t="str">
        <f>IF(B44="","",IF(D44&lt;0,"-",(D44*Inventário!G40)))</f>
        <v/>
      </c>
      <c r="F44" s="60" t="str">
        <f>IF(B44="","",IF(D44&gt;Inventário!I40,"NÃO",CONCATENATE("SIM:"," ",Inventário!J40," ","unid")))</f>
        <v/>
      </c>
      <c r="G44" s="56">
        <f>SUMIF('Entradas e Saídas'!$D$5:$D$44,Controle!$C44,'Entradas e Saídas'!$E$5:$E$44)</f>
        <v>0</v>
      </c>
      <c r="H44" s="56">
        <f>SUMIF('Entradas e Saídas'!$D$5:$D$44,Controle!$C44,'Entradas e Saídas'!$F$5:$F$44)</f>
        <v>0</v>
      </c>
      <c r="I44" s="56">
        <f t="shared" si="0"/>
        <v>0</v>
      </c>
      <c r="J44" s="57">
        <f>I44*Inventário!G40</f>
        <v>0</v>
      </c>
      <c r="K44" s="56">
        <f>SUMIF('Entradas e Saídas'!$J$5:$J$44,Controle!$C44,'Entradas e Saídas'!$K$5:$K$44)</f>
        <v>0</v>
      </c>
      <c r="L44" s="56">
        <f>SUMIF('Entradas e Saídas'!$J$5:$J$44,Controle!$C44,'Entradas e Saídas'!$L$5:$L$44)</f>
        <v>0</v>
      </c>
      <c r="M44" s="56">
        <f t="shared" si="1"/>
        <v>0</v>
      </c>
      <c r="N44" s="57">
        <f>M44*Inventário!$G40</f>
        <v>0</v>
      </c>
      <c r="O44" s="56">
        <f>SUMIF('Entradas e Saídas'!$P$5:$P$44,Controle!$C44,'Entradas e Saídas'!$Q$5:$Q$44)</f>
        <v>0</v>
      </c>
      <c r="P44" s="56">
        <f>SUMIF('Entradas e Saídas'!$P$5:$P$44,Controle!$C44,'Entradas e Saídas'!$R$5:$R$44)</f>
        <v>0</v>
      </c>
      <c r="Q44" s="56">
        <f t="shared" si="2"/>
        <v>0</v>
      </c>
      <c r="R44" s="57">
        <f>Q44*Inventário!$G40</f>
        <v>0</v>
      </c>
      <c r="S44" s="56">
        <f>SUMIF('Entradas e Saídas'!$V$5:$V$44,Controle!$C44,'Entradas e Saídas'!$W$5:$W$44)</f>
        <v>0</v>
      </c>
      <c r="T44" s="56">
        <f>SUMIF('Entradas e Saídas'!$V$5:$V$44,Controle!$C44,'Entradas e Saídas'!$X$5:$X$44)</f>
        <v>0</v>
      </c>
      <c r="U44" s="56">
        <f t="shared" si="3"/>
        <v>0</v>
      </c>
      <c r="V44" s="57">
        <f>U44*Inventário!$G40</f>
        <v>0</v>
      </c>
      <c r="W44" s="56">
        <f>SUMIF('Entradas e Saídas'!$AB$5:$AB$44,Controle!$C44,'Entradas e Saídas'!$AC$5:$AC$44)</f>
        <v>0</v>
      </c>
      <c r="X44" s="56">
        <f>SUMIF('Entradas e Saídas'!$AB$5:$AB$44,Controle!$C44,'Entradas e Saídas'!$AD$5:$AD$44)</f>
        <v>0</v>
      </c>
      <c r="Y44" s="56">
        <f t="shared" si="4"/>
        <v>0</v>
      </c>
      <c r="Z44" s="57">
        <f>Y44*Inventário!$G40</f>
        <v>0</v>
      </c>
      <c r="AA44" s="56">
        <f>SUMIF('Entradas e Saídas'!$AH$5:$AH$44,Controle!$C44,'Entradas e Saídas'!$AI$5:$AI$44)</f>
        <v>0</v>
      </c>
      <c r="AB44" s="56">
        <f>SUMIF('Entradas e Saídas'!$AH$5:$AH$44,Controle!$C44,'Entradas e Saídas'!$AJ$5:$AJ$44)</f>
        <v>0</v>
      </c>
      <c r="AC44" s="56">
        <f t="shared" si="5"/>
        <v>0</v>
      </c>
      <c r="AD44" s="57">
        <f>AC44*Inventário!$G40</f>
        <v>0</v>
      </c>
      <c r="AE44" s="56">
        <f>SUMIF('Entradas e Saídas'!$AN$5:$AN$44,Controle!$C44,'Entradas e Saídas'!$AO$5:$AO$44)</f>
        <v>0</v>
      </c>
      <c r="AF44" s="56">
        <f>SUMIF('Entradas e Saídas'!$AH$5:$AH$44,Controle!$C44,'Entradas e Saídas'!$AP$5:$AP$44)</f>
        <v>0</v>
      </c>
      <c r="AG44" s="56">
        <f t="shared" si="6"/>
        <v>0</v>
      </c>
      <c r="AH44" s="57">
        <f>AG44*Inventário!$G40</f>
        <v>0</v>
      </c>
      <c r="AI44" s="56">
        <f>SUMIF('Entradas e Saídas'!$AT$5:$AT$44,Controle!$C44,'Entradas e Saídas'!$AU$5:$AU$44)</f>
        <v>0</v>
      </c>
      <c r="AJ44" s="56">
        <f>SUMIF('Entradas e Saídas'!$AT$5:$AT$44,Controle!$C44,'Entradas e Saídas'!$AV$5:$AV$44)</f>
        <v>0</v>
      </c>
      <c r="AK44" s="56">
        <f t="shared" si="7"/>
        <v>0</v>
      </c>
      <c r="AL44" s="57">
        <f>AK44*Inventário!$G40</f>
        <v>0</v>
      </c>
      <c r="AM44" s="56">
        <f>SUMIF('Entradas e Saídas'!$AZ$5:$AZ$44,Controle!$C44,'Entradas e Saídas'!$BA$5:$BA$44)</f>
        <v>0</v>
      </c>
      <c r="AN44" s="56">
        <f>SUMIF('Entradas e Saídas'!$AZ$5:$AZ$44,Controle!$C44,'Entradas e Saídas'!$BB$5:$BB$44)</f>
        <v>0</v>
      </c>
      <c r="AO44" s="56">
        <f t="shared" si="8"/>
        <v>0</v>
      </c>
      <c r="AP44" s="57">
        <f>AO44*Inventário!$G40</f>
        <v>0</v>
      </c>
      <c r="AQ44" s="56">
        <f>SUMIF('Entradas e Saídas'!$BF$5:$BF$44,Controle!$C44,'Entradas e Saídas'!$BG$5:$BG$44)</f>
        <v>0</v>
      </c>
      <c r="AR44" s="56">
        <f>SUMIF('Entradas e Saídas'!$BF$5:$BF$44,Controle!$C44,'Entradas e Saídas'!$BH$5:$BH$44)</f>
        <v>0</v>
      </c>
      <c r="AS44" s="56">
        <f t="shared" si="9"/>
        <v>0</v>
      </c>
      <c r="AT44" s="57">
        <f>AS44*Inventário!$G40</f>
        <v>0</v>
      </c>
      <c r="AU44" s="56">
        <f>SUMIF('Entradas e Saídas'!$BL$5:$BL$44,Controle!$C44,'Entradas e Saídas'!$BM$5:$BM$44)</f>
        <v>0</v>
      </c>
      <c r="AV44" s="56">
        <f>SUMIF('Entradas e Saídas'!$BL$5:$BL$44,Controle!$C44,'Entradas e Saídas'!$BN$5:$BN$44)</f>
        <v>0</v>
      </c>
      <c r="AW44" s="56">
        <f t="shared" si="10"/>
        <v>0</v>
      </c>
      <c r="AX44" s="57">
        <f>AW44*Inventário!$G40</f>
        <v>0</v>
      </c>
      <c r="AY44" s="56">
        <f>SUMIF('Entradas e Saídas'!$BR$5:$BR$44,Controle!$C44,'Entradas e Saídas'!$BS$5:$BS$44)</f>
        <v>0</v>
      </c>
      <c r="AZ44" s="56">
        <f>SUMIF('Entradas e Saídas'!$BR$5:$BR$44,Controle!$C44,'Entradas e Saídas'!$BT$5:$BT$44)</f>
        <v>0</v>
      </c>
      <c r="BA44" s="56">
        <f t="shared" si="11"/>
        <v>0</v>
      </c>
      <c r="BB44" s="57">
        <f>BA44*Inventário!$G40</f>
        <v>0</v>
      </c>
      <c r="BE44" s="71"/>
      <c r="BF44" s="4"/>
    </row>
    <row r="45" spans="1:58" s="3" customFormat="1" ht="15.75" customHeight="1" x14ac:dyDescent="0.25">
      <c r="A45" s="8"/>
      <c r="B45" s="27" t="str">
        <f>IF(Inventário!C41="","",Inventário!C41)</f>
        <v/>
      </c>
      <c r="C45" s="26" t="str">
        <f>IF(B45="","",VLOOKUP(B45,Inventário!$C$4:$D$53,2,FALSE))</f>
        <v/>
      </c>
      <c r="D45" s="59" t="str">
        <f>IF(B45="","",I45+M45+Q45+U45+Y45+AC45+AG45+AK45+AO45+AS45+AW45+BA45+Inventário!H41)</f>
        <v/>
      </c>
      <c r="E45" s="60" t="str">
        <f>IF(B45="","",IF(D45&lt;0,"-",(D45*Inventário!G41)))</f>
        <v/>
      </c>
      <c r="F45" s="60" t="str">
        <f>IF(B45="","",IF(D45&gt;Inventário!I41,"NÃO",CONCATENATE("SIM:"," ",Inventário!J41," ","unid")))</f>
        <v/>
      </c>
      <c r="G45" s="56">
        <f>SUMIF('Entradas e Saídas'!$D$5:$D$44,Controle!$C45,'Entradas e Saídas'!$E$5:$E$44)</f>
        <v>0</v>
      </c>
      <c r="H45" s="56">
        <f>SUMIF('Entradas e Saídas'!$D$5:$D$44,Controle!$C45,'Entradas e Saídas'!$F$5:$F$44)</f>
        <v>0</v>
      </c>
      <c r="I45" s="56">
        <f t="shared" si="0"/>
        <v>0</v>
      </c>
      <c r="J45" s="57">
        <f>I45*Inventário!G41</f>
        <v>0</v>
      </c>
      <c r="K45" s="56">
        <f>SUMIF('Entradas e Saídas'!$J$5:$J$44,Controle!$C45,'Entradas e Saídas'!$K$5:$K$44)</f>
        <v>0</v>
      </c>
      <c r="L45" s="56">
        <f>SUMIF('Entradas e Saídas'!$J$5:$J$44,Controle!$C45,'Entradas e Saídas'!$L$5:$L$44)</f>
        <v>0</v>
      </c>
      <c r="M45" s="56">
        <f t="shared" si="1"/>
        <v>0</v>
      </c>
      <c r="N45" s="57">
        <f>M45*Inventário!$G41</f>
        <v>0</v>
      </c>
      <c r="O45" s="56">
        <f>SUMIF('Entradas e Saídas'!$P$5:$P$44,Controle!$C45,'Entradas e Saídas'!$Q$5:$Q$44)</f>
        <v>0</v>
      </c>
      <c r="P45" s="56">
        <f>SUMIF('Entradas e Saídas'!$P$5:$P$44,Controle!$C45,'Entradas e Saídas'!$R$5:$R$44)</f>
        <v>0</v>
      </c>
      <c r="Q45" s="56">
        <f t="shared" si="2"/>
        <v>0</v>
      </c>
      <c r="R45" s="57">
        <f>Q45*Inventário!$G41</f>
        <v>0</v>
      </c>
      <c r="S45" s="56">
        <f>SUMIF('Entradas e Saídas'!$V$5:$V$44,Controle!$C45,'Entradas e Saídas'!$W$5:$W$44)</f>
        <v>0</v>
      </c>
      <c r="T45" s="56">
        <f>SUMIF('Entradas e Saídas'!$V$5:$V$44,Controle!$C45,'Entradas e Saídas'!$X$5:$X$44)</f>
        <v>0</v>
      </c>
      <c r="U45" s="56">
        <f t="shared" si="3"/>
        <v>0</v>
      </c>
      <c r="V45" s="57">
        <f>U45*Inventário!$G41</f>
        <v>0</v>
      </c>
      <c r="W45" s="56">
        <f>SUMIF('Entradas e Saídas'!$AB$5:$AB$44,Controle!$C45,'Entradas e Saídas'!$AC$5:$AC$44)</f>
        <v>0</v>
      </c>
      <c r="X45" s="56">
        <f>SUMIF('Entradas e Saídas'!$AB$5:$AB$44,Controle!$C45,'Entradas e Saídas'!$AD$5:$AD$44)</f>
        <v>0</v>
      </c>
      <c r="Y45" s="56">
        <f t="shared" si="4"/>
        <v>0</v>
      </c>
      <c r="Z45" s="57">
        <f>Y45*Inventário!$G41</f>
        <v>0</v>
      </c>
      <c r="AA45" s="56">
        <f>SUMIF('Entradas e Saídas'!$AH$5:$AH$44,Controle!$C45,'Entradas e Saídas'!$AI$5:$AI$44)</f>
        <v>0</v>
      </c>
      <c r="AB45" s="56">
        <f>SUMIF('Entradas e Saídas'!$AH$5:$AH$44,Controle!$C45,'Entradas e Saídas'!$AJ$5:$AJ$44)</f>
        <v>0</v>
      </c>
      <c r="AC45" s="56">
        <f t="shared" si="5"/>
        <v>0</v>
      </c>
      <c r="AD45" s="57">
        <f>AC45*Inventário!$G41</f>
        <v>0</v>
      </c>
      <c r="AE45" s="56">
        <f>SUMIF('Entradas e Saídas'!$AN$5:$AN$44,Controle!$C45,'Entradas e Saídas'!$AO$5:$AO$44)</f>
        <v>0</v>
      </c>
      <c r="AF45" s="56">
        <f>SUMIF('Entradas e Saídas'!$AH$5:$AH$44,Controle!$C45,'Entradas e Saídas'!$AP$5:$AP$44)</f>
        <v>0</v>
      </c>
      <c r="AG45" s="56">
        <f t="shared" si="6"/>
        <v>0</v>
      </c>
      <c r="AH45" s="57">
        <f>AG45*Inventário!$G41</f>
        <v>0</v>
      </c>
      <c r="AI45" s="56">
        <f>SUMIF('Entradas e Saídas'!$AT$5:$AT$44,Controle!$C45,'Entradas e Saídas'!$AU$5:$AU$44)</f>
        <v>0</v>
      </c>
      <c r="AJ45" s="56">
        <f>SUMIF('Entradas e Saídas'!$AT$5:$AT$44,Controle!$C45,'Entradas e Saídas'!$AV$5:$AV$44)</f>
        <v>0</v>
      </c>
      <c r="AK45" s="56">
        <f t="shared" si="7"/>
        <v>0</v>
      </c>
      <c r="AL45" s="57">
        <f>AK45*Inventário!$G41</f>
        <v>0</v>
      </c>
      <c r="AM45" s="56">
        <f>SUMIF('Entradas e Saídas'!$AZ$5:$AZ$44,Controle!$C45,'Entradas e Saídas'!$BA$5:$BA$44)</f>
        <v>0</v>
      </c>
      <c r="AN45" s="56">
        <f>SUMIF('Entradas e Saídas'!$AZ$5:$AZ$44,Controle!$C45,'Entradas e Saídas'!$BB$5:$BB$44)</f>
        <v>0</v>
      </c>
      <c r="AO45" s="56">
        <f t="shared" si="8"/>
        <v>0</v>
      </c>
      <c r="AP45" s="57">
        <f>AO45*Inventário!$G41</f>
        <v>0</v>
      </c>
      <c r="AQ45" s="56">
        <f>SUMIF('Entradas e Saídas'!$BF$5:$BF$44,Controle!$C45,'Entradas e Saídas'!$BG$5:$BG$44)</f>
        <v>0</v>
      </c>
      <c r="AR45" s="56">
        <f>SUMIF('Entradas e Saídas'!$BF$5:$BF$44,Controle!$C45,'Entradas e Saídas'!$BH$5:$BH$44)</f>
        <v>0</v>
      </c>
      <c r="AS45" s="56">
        <f t="shared" si="9"/>
        <v>0</v>
      </c>
      <c r="AT45" s="57">
        <f>AS45*Inventário!$G41</f>
        <v>0</v>
      </c>
      <c r="AU45" s="56">
        <f>SUMIF('Entradas e Saídas'!$BL$5:$BL$44,Controle!$C45,'Entradas e Saídas'!$BM$5:$BM$44)</f>
        <v>0</v>
      </c>
      <c r="AV45" s="56">
        <f>SUMIF('Entradas e Saídas'!$BL$5:$BL$44,Controle!$C45,'Entradas e Saídas'!$BN$5:$BN$44)</f>
        <v>0</v>
      </c>
      <c r="AW45" s="56">
        <f t="shared" si="10"/>
        <v>0</v>
      </c>
      <c r="AX45" s="57">
        <f>AW45*Inventário!$G41</f>
        <v>0</v>
      </c>
      <c r="AY45" s="56">
        <f>SUMIF('Entradas e Saídas'!$BR$5:$BR$44,Controle!$C45,'Entradas e Saídas'!$BS$5:$BS$44)</f>
        <v>0</v>
      </c>
      <c r="AZ45" s="56">
        <f>SUMIF('Entradas e Saídas'!$BR$5:$BR$44,Controle!$C45,'Entradas e Saídas'!$BT$5:$BT$44)</f>
        <v>0</v>
      </c>
      <c r="BA45" s="56">
        <f t="shared" si="11"/>
        <v>0</v>
      </c>
      <c r="BB45" s="57">
        <f>BA45*Inventário!$G41</f>
        <v>0</v>
      </c>
      <c r="BE45" s="4"/>
      <c r="BF45" s="4"/>
    </row>
    <row r="46" spans="1:58" s="4" customFormat="1" ht="15.75" customHeight="1" x14ac:dyDescent="0.25">
      <c r="A46" s="8"/>
      <c r="B46" s="27" t="str">
        <f>IF(Inventário!C42="","",Inventário!C42)</f>
        <v/>
      </c>
      <c r="C46" s="26" t="str">
        <f>IF(B46="","",VLOOKUP(B46,Inventário!$C$4:$D$53,2,FALSE))</f>
        <v/>
      </c>
      <c r="D46" s="59" t="str">
        <f>IF(B46="","",I46+M46+Q46+U46+Y46+AC46+AG46+AK46+AO46+AS46+AW46+BA46+Inventário!H42)</f>
        <v/>
      </c>
      <c r="E46" s="60" t="str">
        <f>IF(B46="","",IF(D46&lt;0,"-",(D46*Inventário!G42)))</f>
        <v/>
      </c>
      <c r="F46" s="60" t="str">
        <f>IF(B46="","",IF(D46&gt;Inventário!I42,"NÃO",CONCATENATE("SIM:"," ",Inventário!J42," ","unid")))</f>
        <v/>
      </c>
      <c r="G46" s="56">
        <f>SUMIF('Entradas e Saídas'!$D$5:$D$44,Controle!$C46,'Entradas e Saídas'!$E$5:$E$44)</f>
        <v>0</v>
      </c>
      <c r="H46" s="56">
        <f>SUMIF('Entradas e Saídas'!$D$5:$D$44,Controle!$C46,'Entradas e Saídas'!$F$5:$F$44)</f>
        <v>0</v>
      </c>
      <c r="I46" s="56">
        <f t="shared" si="0"/>
        <v>0</v>
      </c>
      <c r="J46" s="57">
        <f>I46*Inventário!G42</f>
        <v>0</v>
      </c>
      <c r="K46" s="56">
        <f>SUMIF('Entradas e Saídas'!$J$5:$J$44,Controle!$C46,'Entradas e Saídas'!$K$5:$K$44)</f>
        <v>0</v>
      </c>
      <c r="L46" s="56">
        <f>SUMIF('Entradas e Saídas'!$J$5:$J$44,Controle!$C46,'Entradas e Saídas'!$L$5:$L$44)</f>
        <v>0</v>
      </c>
      <c r="M46" s="56">
        <f t="shared" si="1"/>
        <v>0</v>
      </c>
      <c r="N46" s="57">
        <f>M46*Inventário!$G42</f>
        <v>0</v>
      </c>
      <c r="O46" s="56">
        <f>SUMIF('Entradas e Saídas'!$P$5:$P$44,Controle!$C46,'Entradas e Saídas'!$Q$5:$Q$44)</f>
        <v>0</v>
      </c>
      <c r="P46" s="56">
        <f>SUMIF('Entradas e Saídas'!$P$5:$P$44,Controle!$C46,'Entradas e Saídas'!$R$5:$R$44)</f>
        <v>0</v>
      </c>
      <c r="Q46" s="56">
        <f t="shared" si="2"/>
        <v>0</v>
      </c>
      <c r="R46" s="57">
        <f>Q46*Inventário!$G42</f>
        <v>0</v>
      </c>
      <c r="S46" s="56">
        <f>SUMIF('Entradas e Saídas'!$V$5:$V$44,Controle!$C46,'Entradas e Saídas'!$W$5:$W$44)</f>
        <v>0</v>
      </c>
      <c r="T46" s="56">
        <f>SUMIF('Entradas e Saídas'!$V$5:$V$44,Controle!$C46,'Entradas e Saídas'!$X$5:$X$44)</f>
        <v>0</v>
      </c>
      <c r="U46" s="56">
        <f t="shared" si="3"/>
        <v>0</v>
      </c>
      <c r="V46" s="57">
        <f>U46*Inventário!$G42</f>
        <v>0</v>
      </c>
      <c r="W46" s="56">
        <f>SUMIF('Entradas e Saídas'!$AB$5:$AB$44,Controle!$C46,'Entradas e Saídas'!$AC$5:$AC$44)</f>
        <v>0</v>
      </c>
      <c r="X46" s="56">
        <f>SUMIF('Entradas e Saídas'!$AB$5:$AB$44,Controle!$C46,'Entradas e Saídas'!$AD$5:$AD$44)</f>
        <v>0</v>
      </c>
      <c r="Y46" s="56">
        <f t="shared" si="4"/>
        <v>0</v>
      </c>
      <c r="Z46" s="57">
        <f>Y46*Inventário!$G42</f>
        <v>0</v>
      </c>
      <c r="AA46" s="56">
        <f>SUMIF('Entradas e Saídas'!$AH$5:$AH$44,Controle!$C46,'Entradas e Saídas'!$AI$5:$AI$44)</f>
        <v>0</v>
      </c>
      <c r="AB46" s="56">
        <f>SUMIF('Entradas e Saídas'!$AH$5:$AH$44,Controle!$C46,'Entradas e Saídas'!$AJ$5:$AJ$44)</f>
        <v>0</v>
      </c>
      <c r="AC46" s="56">
        <f t="shared" si="5"/>
        <v>0</v>
      </c>
      <c r="AD46" s="57">
        <f>AC46*Inventário!$G42</f>
        <v>0</v>
      </c>
      <c r="AE46" s="56">
        <f>SUMIF('Entradas e Saídas'!$AN$5:$AN$44,Controle!$C46,'Entradas e Saídas'!$AO$5:$AO$44)</f>
        <v>0</v>
      </c>
      <c r="AF46" s="56">
        <f>SUMIF('Entradas e Saídas'!$AH$5:$AH$44,Controle!$C46,'Entradas e Saídas'!$AP$5:$AP$44)</f>
        <v>0</v>
      </c>
      <c r="AG46" s="56">
        <f t="shared" si="6"/>
        <v>0</v>
      </c>
      <c r="AH46" s="57">
        <f>AG46*Inventário!$G42</f>
        <v>0</v>
      </c>
      <c r="AI46" s="56">
        <f>SUMIF('Entradas e Saídas'!$AT$5:$AT$44,Controle!$C46,'Entradas e Saídas'!$AU$5:$AU$44)</f>
        <v>0</v>
      </c>
      <c r="AJ46" s="56">
        <f>SUMIF('Entradas e Saídas'!$AT$5:$AT$44,Controle!$C46,'Entradas e Saídas'!$AV$5:$AV$44)</f>
        <v>0</v>
      </c>
      <c r="AK46" s="56">
        <f t="shared" si="7"/>
        <v>0</v>
      </c>
      <c r="AL46" s="57">
        <f>AK46*Inventário!$G42</f>
        <v>0</v>
      </c>
      <c r="AM46" s="56">
        <f>SUMIF('Entradas e Saídas'!$AZ$5:$AZ$44,Controle!$C46,'Entradas e Saídas'!$BA$5:$BA$44)</f>
        <v>0</v>
      </c>
      <c r="AN46" s="56">
        <f>SUMIF('Entradas e Saídas'!$AZ$5:$AZ$44,Controle!$C46,'Entradas e Saídas'!$BB$5:$BB$44)</f>
        <v>0</v>
      </c>
      <c r="AO46" s="56">
        <f t="shared" si="8"/>
        <v>0</v>
      </c>
      <c r="AP46" s="57">
        <f>AO46*Inventário!$G42</f>
        <v>0</v>
      </c>
      <c r="AQ46" s="56">
        <f>SUMIF('Entradas e Saídas'!$BF$5:$BF$44,Controle!$C46,'Entradas e Saídas'!$BG$5:$BG$44)</f>
        <v>0</v>
      </c>
      <c r="AR46" s="56">
        <f>SUMIF('Entradas e Saídas'!$BF$5:$BF$44,Controle!$C46,'Entradas e Saídas'!$BH$5:$BH$44)</f>
        <v>0</v>
      </c>
      <c r="AS46" s="56">
        <f t="shared" si="9"/>
        <v>0</v>
      </c>
      <c r="AT46" s="57">
        <f>AS46*Inventário!$G42</f>
        <v>0</v>
      </c>
      <c r="AU46" s="56">
        <f>SUMIF('Entradas e Saídas'!$BL$5:$BL$44,Controle!$C46,'Entradas e Saídas'!$BM$5:$BM$44)</f>
        <v>0</v>
      </c>
      <c r="AV46" s="56">
        <f>SUMIF('Entradas e Saídas'!$BL$5:$BL$44,Controle!$C46,'Entradas e Saídas'!$BN$5:$BN$44)</f>
        <v>0</v>
      </c>
      <c r="AW46" s="56">
        <f t="shared" si="10"/>
        <v>0</v>
      </c>
      <c r="AX46" s="57">
        <f>AW46*Inventário!$G42</f>
        <v>0</v>
      </c>
      <c r="AY46" s="56">
        <f>SUMIF('Entradas e Saídas'!$BR$5:$BR$44,Controle!$C46,'Entradas e Saídas'!$BS$5:$BS$44)</f>
        <v>0</v>
      </c>
      <c r="AZ46" s="56">
        <f>SUMIF('Entradas e Saídas'!$BR$5:$BR$44,Controle!$C46,'Entradas e Saídas'!$BT$5:$BT$44)</f>
        <v>0</v>
      </c>
      <c r="BA46" s="56">
        <f t="shared" si="11"/>
        <v>0</v>
      </c>
      <c r="BB46" s="57">
        <f>BA46*Inventário!$G42</f>
        <v>0</v>
      </c>
    </row>
    <row r="47" spans="1:58" s="4" customFormat="1" ht="15.75" customHeight="1" x14ac:dyDescent="0.25">
      <c r="A47" s="8"/>
      <c r="B47" s="27" t="str">
        <f>IF(Inventário!C43="","",Inventário!C43)</f>
        <v/>
      </c>
      <c r="C47" s="26" t="str">
        <f>IF(B47="","",VLOOKUP(B47,Inventário!$C$4:$D$53,2,FALSE))</f>
        <v/>
      </c>
      <c r="D47" s="59" t="str">
        <f>IF(B47="","",I47+M47+Q47+U47+Y47+AC47+AG47+AK47+AO47+AS47+AW47+BA47+Inventário!H43)</f>
        <v/>
      </c>
      <c r="E47" s="60" t="str">
        <f>IF(B47="","",IF(D47&lt;0,"-",(D47*Inventário!G43)))</f>
        <v/>
      </c>
      <c r="F47" s="60" t="str">
        <f>IF(B47="","",IF(D47&gt;Inventário!I43,"NÃO",CONCATENATE("SIM:"," ",Inventário!J43," ","unid")))</f>
        <v/>
      </c>
      <c r="G47" s="56">
        <f>SUMIF('Entradas e Saídas'!$D$5:$D$44,Controle!$C47,'Entradas e Saídas'!$E$5:$E$44)</f>
        <v>0</v>
      </c>
      <c r="H47" s="56">
        <f>SUMIF('Entradas e Saídas'!$D$5:$D$44,Controle!$C47,'Entradas e Saídas'!$F$5:$F$44)</f>
        <v>0</v>
      </c>
      <c r="I47" s="56">
        <f t="shared" si="0"/>
        <v>0</v>
      </c>
      <c r="J47" s="57">
        <f>I47*Inventário!G43</f>
        <v>0</v>
      </c>
      <c r="K47" s="56">
        <f>SUMIF('Entradas e Saídas'!$J$5:$J$44,Controle!$C47,'Entradas e Saídas'!$K$5:$K$44)</f>
        <v>0</v>
      </c>
      <c r="L47" s="56">
        <f>SUMIF('Entradas e Saídas'!$J$5:$J$44,Controle!$C47,'Entradas e Saídas'!$L$5:$L$44)</f>
        <v>0</v>
      </c>
      <c r="M47" s="56">
        <f t="shared" si="1"/>
        <v>0</v>
      </c>
      <c r="N47" s="57">
        <f>M47*Inventário!$G43</f>
        <v>0</v>
      </c>
      <c r="O47" s="56">
        <f>SUMIF('Entradas e Saídas'!$P$5:$P$44,Controle!$C47,'Entradas e Saídas'!$Q$5:$Q$44)</f>
        <v>0</v>
      </c>
      <c r="P47" s="56">
        <f>SUMIF('Entradas e Saídas'!$P$5:$P$44,Controle!$C47,'Entradas e Saídas'!$R$5:$R$44)</f>
        <v>0</v>
      </c>
      <c r="Q47" s="56">
        <f t="shared" si="2"/>
        <v>0</v>
      </c>
      <c r="R47" s="57">
        <f>Q47*Inventário!$G43</f>
        <v>0</v>
      </c>
      <c r="S47" s="56">
        <f>SUMIF('Entradas e Saídas'!$V$5:$V$44,Controle!$C47,'Entradas e Saídas'!$W$5:$W$44)</f>
        <v>0</v>
      </c>
      <c r="T47" s="56">
        <f>SUMIF('Entradas e Saídas'!$V$5:$V$44,Controle!$C47,'Entradas e Saídas'!$X$5:$X$44)</f>
        <v>0</v>
      </c>
      <c r="U47" s="56">
        <f t="shared" si="3"/>
        <v>0</v>
      </c>
      <c r="V47" s="57">
        <f>U47*Inventário!$G43</f>
        <v>0</v>
      </c>
      <c r="W47" s="56">
        <f>SUMIF('Entradas e Saídas'!$AB$5:$AB$44,Controle!$C47,'Entradas e Saídas'!$AC$5:$AC$44)</f>
        <v>0</v>
      </c>
      <c r="X47" s="56">
        <f>SUMIF('Entradas e Saídas'!$AB$5:$AB$44,Controle!$C47,'Entradas e Saídas'!$AD$5:$AD$44)</f>
        <v>0</v>
      </c>
      <c r="Y47" s="56">
        <f t="shared" si="4"/>
        <v>0</v>
      </c>
      <c r="Z47" s="57">
        <f>Y47*Inventário!$G43</f>
        <v>0</v>
      </c>
      <c r="AA47" s="56">
        <f>SUMIF('Entradas e Saídas'!$AH$5:$AH$44,Controle!$C47,'Entradas e Saídas'!$AI$5:$AI$44)</f>
        <v>0</v>
      </c>
      <c r="AB47" s="56">
        <f>SUMIF('Entradas e Saídas'!$AH$5:$AH$44,Controle!$C47,'Entradas e Saídas'!$AJ$5:$AJ$44)</f>
        <v>0</v>
      </c>
      <c r="AC47" s="56">
        <f t="shared" si="5"/>
        <v>0</v>
      </c>
      <c r="AD47" s="57">
        <f>AC47*Inventário!$G43</f>
        <v>0</v>
      </c>
      <c r="AE47" s="56">
        <f>SUMIF('Entradas e Saídas'!$AN$5:$AN$44,Controle!$C47,'Entradas e Saídas'!$AO$5:$AO$44)</f>
        <v>0</v>
      </c>
      <c r="AF47" s="56">
        <f>SUMIF('Entradas e Saídas'!$AH$5:$AH$44,Controle!$C47,'Entradas e Saídas'!$AP$5:$AP$44)</f>
        <v>0</v>
      </c>
      <c r="AG47" s="56">
        <f t="shared" si="6"/>
        <v>0</v>
      </c>
      <c r="AH47" s="57">
        <f>AG47*Inventário!$G43</f>
        <v>0</v>
      </c>
      <c r="AI47" s="56">
        <f>SUMIF('Entradas e Saídas'!$AT$5:$AT$44,Controle!$C47,'Entradas e Saídas'!$AU$5:$AU$44)</f>
        <v>0</v>
      </c>
      <c r="AJ47" s="56">
        <f>SUMIF('Entradas e Saídas'!$AT$5:$AT$44,Controle!$C47,'Entradas e Saídas'!$AV$5:$AV$44)</f>
        <v>0</v>
      </c>
      <c r="AK47" s="56">
        <f t="shared" si="7"/>
        <v>0</v>
      </c>
      <c r="AL47" s="57">
        <f>AK47*Inventário!$G43</f>
        <v>0</v>
      </c>
      <c r="AM47" s="56">
        <f>SUMIF('Entradas e Saídas'!$AZ$5:$AZ$44,Controle!$C47,'Entradas e Saídas'!$BA$5:$BA$44)</f>
        <v>0</v>
      </c>
      <c r="AN47" s="56">
        <f>SUMIF('Entradas e Saídas'!$AZ$5:$AZ$44,Controle!$C47,'Entradas e Saídas'!$BB$5:$BB$44)</f>
        <v>0</v>
      </c>
      <c r="AO47" s="56">
        <f t="shared" si="8"/>
        <v>0</v>
      </c>
      <c r="AP47" s="57">
        <f>AO47*Inventário!$G43</f>
        <v>0</v>
      </c>
      <c r="AQ47" s="56">
        <f>SUMIF('Entradas e Saídas'!$BF$5:$BF$44,Controle!$C47,'Entradas e Saídas'!$BG$5:$BG$44)</f>
        <v>0</v>
      </c>
      <c r="AR47" s="56">
        <f>SUMIF('Entradas e Saídas'!$BF$5:$BF$44,Controle!$C47,'Entradas e Saídas'!$BH$5:$BH$44)</f>
        <v>0</v>
      </c>
      <c r="AS47" s="56">
        <f t="shared" si="9"/>
        <v>0</v>
      </c>
      <c r="AT47" s="57">
        <f>AS47*Inventário!$G43</f>
        <v>0</v>
      </c>
      <c r="AU47" s="56">
        <f>SUMIF('Entradas e Saídas'!$BL$5:$BL$44,Controle!$C47,'Entradas e Saídas'!$BM$5:$BM$44)</f>
        <v>0</v>
      </c>
      <c r="AV47" s="56">
        <f>SUMIF('Entradas e Saídas'!$BL$5:$BL$44,Controle!$C47,'Entradas e Saídas'!$BN$5:$BN$44)</f>
        <v>0</v>
      </c>
      <c r="AW47" s="56">
        <f t="shared" si="10"/>
        <v>0</v>
      </c>
      <c r="AX47" s="57">
        <f>AW47*Inventário!$G43</f>
        <v>0</v>
      </c>
      <c r="AY47" s="56">
        <f>SUMIF('Entradas e Saídas'!$BR$5:$BR$44,Controle!$C47,'Entradas e Saídas'!$BS$5:$BS$44)</f>
        <v>0</v>
      </c>
      <c r="AZ47" s="56">
        <f>SUMIF('Entradas e Saídas'!$BR$5:$BR$44,Controle!$C47,'Entradas e Saídas'!$BT$5:$BT$44)</f>
        <v>0</v>
      </c>
      <c r="BA47" s="56">
        <f t="shared" si="11"/>
        <v>0</v>
      </c>
      <c r="BB47" s="57">
        <f>BA47*Inventário!$G43</f>
        <v>0</v>
      </c>
    </row>
    <row r="48" spans="1:58" s="4" customFormat="1" ht="15.75" customHeight="1" x14ac:dyDescent="0.25">
      <c r="A48" s="8"/>
      <c r="B48" s="27" t="str">
        <f>IF(Inventário!C44="","",Inventário!C44)</f>
        <v/>
      </c>
      <c r="C48" s="26" t="str">
        <f>IF(B48="","",VLOOKUP(B48,Inventário!$C$4:$D$53,2,FALSE))</f>
        <v/>
      </c>
      <c r="D48" s="59" t="str">
        <f>IF(B48="","",I48+M48+Q48+U48+Y48+AC48+AG48+AK48+AO48+AS48+AW48+BA48+Inventário!H44)</f>
        <v/>
      </c>
      <c r="E48" s="60" t="str">
        <f>IF(B48="","",IF(D48&lt;0,"-",(D48*Inventário!G44)))</f>
        <v/>
      </c>
      <c r="F48" s="60" t="str">
        <f>IF(B48="","",IF(D48&gt;Inventário!I44,"NÃO",CONCATENATE("SIM:"," ",Inventário!J44," ","unid")))</f>
        <v/>
      </c>
      <c r="G48" s="56">
        <f>SUMIF('Entradas e Saídas'!$D$5:$D$44,Controle!$C48,'Entradas e Saídas'!$E$5:$E$44)</f>
        <v>0</v>
      </c>
      <c r="H48" s="56">
        <f>SUMIF('Entradas e Saídas'!$D$5:$D$44,Controle!$C48,'Entradas e Saídas'!$F$5:$F$44)</f>
        <v>0</v>
      </c>
      <c r="I48" s="56">
        <f t="shared" si="0"/>
        <v>0</v>
      </c>
      <c r="J48" s="57">
        <f>I48*Inventário!G44</f>
        <v>0</v>
      </c>
      <c r="K48" s="56">
        <f>SUMIF('Entradas e Saídas'!$J$5:$J$44,Controle!$C48,'Entradas e Saídas'!$K$5:$K$44)</f>
        <v>0</v>
      </c>
      <c r="L48" s="56">
        <f>SUMIF('Entradas e Saídas'!$J$5:$J$44,Controle!$C48,'Entradas e Saídas'!$L$5:$L$44)</f>
        <v>0</v>
      </c>
      <c r="M48" s="56">
        <f t="shared" si="1"/>
        <v>0</v>
      </c>
      <c r="N48" s="57">
        <f>M48*Inventário!$G44</f>
        <v>0</v>
      </c>
      <c r="O48" s="56">
        <f>SUMIF('Entradas e Saídas'!$P$5:$P$44,Controle!$C48,'Entradas e Saídas'!$Q$5:$Q$44)</f>
        <v>0</v>
      </c>
      <c r="P48" s="56">
        <f>SUMIF('Entradas e Saídas'!$P$5:$P$44,Controle!$C48,'Entradas e Saídas'!$R$5:$R$44)</f>
        <v>0</v>
      </c>
      <c r="Q48" s="56">
        <f t="shared" si="2"/>
        <v>0</v>
      </c>
      <c r="R48" s="57">
        <f>Q48*Inventário!$G44</f>
        <v>0</v>
      </c>
      <c r="S48" s="56">
        <f>SUMIF('Entradas e Saídas'!$V$5:$V$44,Controle!$C48,'Entradas e Saídas'!$W$5:$W$44)</f>
        <v>0</v>
      </c>
      <c r="T48" s="56">
        <f>SUMIF('Entradas e Saídas'!$V$5:$V$44,Controle!$C48,'Entradas e Saídas'!$X$5:$X$44)</f>
        <v>0</v>
      </c>
      <c r="U48" s="56">
        <f t="shared" si="3"/>
        <v>0</v>
      </c>
      <c r="V48" s="57">
        <f>U48*Inventário!$G44</f>
        <v>0</v>
      </c>
      <c r="W48" s="56">
        <f>SUMIF('Entradas e Saídas'!$AB$5:$AB$44,Controle!$C48,'Entradas e Saídas'!$AC$5:$AC$44)</f>
        <v>0</v>
      </c>
      <c r="X48" s="56">
        <f>SUMIF('Entradas e Saídas'!$AB$5:$AB$44,Controle!$C48,'Entradas e Saídas'!$AD$5:$AD$44)</f>
        <v>0</v>
      </c>
      <c r="Y48" s="56">
        <f t="shared" si="4"/>
        <v>0</v>
      </c>
      <c r="Z48" s="57">
        <f>Y48*Inventário!$G44</f>
        <v>0</v>
      </c>
      <c r="AA48" s="56">
        <f>SUMIF('Entradas e Saídas'!$AH$5:$AH$44,Controle!$C48,'Entradas e Saídas'!$AI$5:$AI$44)</f>
        <v>0</v>
      </c>
      <c r="AB48" s="56">
        <f>SUMIF('Entradas e Saídas'!$AH$5:$AH$44,Controle!$C48,'Entradas e Saídas'!$AJ$5:$AJ$44)</f>
        <v>0</v>
      </c>
      <c r="AC48" s="56">
        <f t="shared" si="5"/>
        <v>0</v>
      </c>
      <c r="AD48" s="57">
        <f>AC48*Inventário!$G44</f>
        <v>0</v>
      </c>
      <c r="AE48" s="56">
        <f>SUMIF('Entradas e Saídas'!$AN$5:$AN$44,Controle!$C48,'Entradas e Saídas'!$AO$5:$AO$44)</f>
        <v>0</v>
      </c>
      <c r="AF48" s="56">
        <f>SUMIF('Entradas e Saídas'!$AH$5:$AH$44,Controle!$C48,'Entradas e Saídas'!$AP$5:$AP$44)</f>
        <v>0</v>
      </c>
      <c r="AG48" s="56">
        <f t="shared" si="6"/>
        <v>0</v>
      </c>
      <c r="AH48" s="57">
        <f>AG48*Inventário!$G44</f>
        <v>0</v>
      </c>
      <c r="AI48" s="56">
        <f>SUMIF('Entradas e Saídas'!$AT$5:$AT$44,Controle!$C48,'Entradas e Saídas'!$AU$5:$AU$44)</f>
        <v>0</v>
      </c>
      <c r="AJ48" s="56">
        <f>SUMIF('Entradas e Saídas'!$AT$5:$AT$44,Controle!$C48,'Entradas e Saídas'!$AV$5:$AV$44)</f>
        <v>0</v>
      </c>
      <c r="AK48" s="56">
        <f t="shared" si="7"/>
        <v>0</v>
      </c>
      <c r="AL48" s="57">
        <f>AK48*Inventário!$G44</f>
        <v>0</v>
      </c>
      <c r="AM48" s="56">
        <f>SUMIF('Entradas e Saídas'!$AZ$5:$AZ$44,Controle!$C48,'Entradas e Saídas'!$BA$5:$BA$44)</f>
        <v>0</v>
      </c>
      <c r="AN48" s="56">
        <f>SUMIF('Entradas e Saídas'!$AZ$5:$AZ$44,Controle!$C48,'Entradas e Saídas'!$BB$5:$BB$44)</f>
        <v>0</v>
      </c>
      <c r="AO48" s="56">
        <f t="shared" si="8"/>
        <v>0</v>
      </c>
      <c r="AP48" s="57">
        <f>AO48*Inventário!$G44</f>
        <v>0</v>
      </c>
      <c r="AQ48" s="56">
        <f>SUMIF('Entradas e Saídas'!$BF$5:$BF$44,Controle!$C48,'Entradas e Saídas'!$BG$5:$BG$44)</f>
        <v>0</v>
      </c>
      <c r="AR48" s="56">
        <f>SUMIF('Entradas e Saídas'!$BF$5:$BF$44,Controle!$C48,'Entradas e Saídas'!$BH$5:$BH$44)</f>
        <v>0</v>
      </c>
      <c r="AS48" s="56">
        <f t="shared" si="9"/>
        <v>0</v>
      </c>
      <c r="AT48" s="57">
        <f>AS48*Inventário!$G44</f>
        <v>0</v>
      </c>
      <c r="AU48" s="56">
        <f>SUMIF('Entradas e Saídas'!$BL$5:$BL$44,Controle!$C48,'Entradas e Saídas'!$BM$5:$BM$44)</f>
        <v>0</v>
      </c>
      <c r="AV48" s="56">
        <f>SUMIF('Entradas e Saídas'!$BL$5:$BL$44,Controle!$C48,'Entradas e Saídas'!$BN$5:$BN$44)</f>
        <v>0</v>
      </c>
      <c r="AW48" s="56">
        <f t="shared" si="10"/>
        <v>0</v>
      </c>
      <c r="AX48" s="57">
        <f>AW48*Inventário!$G44</f>
        <v>0</v>
      </c>
      <c r="AY48" s="56">
        <f>SUMIF('Entradas e Saídas'!$BR$5:$BR$44,Controle!$C48,'Entradas e Saídas'!$BS$5:$BS$44)</f>
        <v>0</v>
      </c>
      <c r="AZ48" s="56">
        <f>SUMIF('Entradas e Saídas'!$BR$5:$BR$44,Controle!$C48,'Entradas e Saídas'!$BT$5:$BT$44)</f>
        <v>0</v>
      </c>
      <c r="BA48" s="56">
        <f t="shared" si="11"/>
        <v>0</v>
      </c>
      <c r="BB48" s="57">
        <f>BA48*Inventário!$G44</f>
        <v>0</v>
      </c>
    </row>
    <row r="49" spans="1:54" s="4" customFormat="1" ht="15.75" customHeight="1" x14ac:dyDescent="0.25">
      <c r="A49" s="8"/>
      <c r="B49" s="27" t="str">
        <f>IF(Inventário!C45="","",Inventário!C45)</f>
        <v/>
      </c>
      <c r="C49" s="26" t="str">
        <f>IF(B49="","",VLOOKUP(B49,Inventário!$C$4:$D$53,2,FALSE))</f>
        <v/>
      </c>
      <c r="D49" s="59" t="str">
        <f>IF(B49="","",I49+M49+Q49+U49+Y49+AC49+AG49+AK49+AO49+AS49+AW49+BA49+Inventário!H45)</f>
        <v/>
      </c>
      <c r="E49" s="60" t="str">
        <f>IF(B49="","",IF(D49&lt;0,"-",(D49*Inventário!G45)))</f>
        <v/>
      </c>
      <c r="F49" s="60" t="str">
        <f>IF(B49="","",IF(D49&gt;Inventário!I45,"NÃO",CONCATENATE("SIM:"," ",Inventário!J45," ","unid")))</f>
        <v/>
      </c>
      <c r="G49" s="56">
        <f>SUMIF('Entradas e Saídas'!$D$5:$D$44,Controle!$C49,'Entradas e Saídas'!$E$5:$E$44)</f>
        <v>0</v>
      </c>
      <c r="H49" s="56">
        <f>SUMIF('Entradas e Saídas'!$D$5:$D$44,Controle!$C49,'Entradas e Saídas'!$F$5:$F$44)</f>
        <v>0</v>
      </c>
      <c r="I49" s="56">
        <f t="shared" si="0"/>
        <v>0</v>
      </c>
      <c r="J49" s="57">
        <f>I49*Inventário!G45</f>
        <v>0</v>
      </c>
      <c r="K49" s="56">
        <f>SUMIF('Entradas e Saídas'!$J$5:$J$44,Controle!$C49,'Entradas e Saídas'!$K$5:$K$44)</f>
        <v>0</v>
      </c>
      <c r="L49" s="56">
        <f>SUMIF('Entradas e Saídas'!$J$5:$J$44,Controle!$C49,'Entradas e Saídas'!$L$5:$L$44)</f>
        <v>0</v>
      </c>
      <c r="M49" s="56">
        <f t="shared" si="1"/>
        <v>0</v>
      </c>
      <c r="N49" s="57">
        <f>M49*Inventário!$G45</f>
        <v>0</v>
      </c>
      <c r="O49" s="56">
        <f>SUMIF('Entradas e Saídas'!$P$5:$P$44,Controle!$C49,'Entradas e Saídas'!$Q$5:$Q$44)</f>
        <v>0</v>
      </c>
      <c r="P49" s="56">
        <f>SUMIF('Entradas e Saídas'!$P$5:$P$44,Controle!$C49,'Entradas e Saídas'!$R$5:$R$44)</f>
        <v>0</v>
      </c>
      <c r="Q49" s="56">
        <f t="shared" si="2"/>
        <v>0</v>
      </c>
      <c r="R49" s="57">
        <f>Q49*Inventário!$G45</f>
        <v>0</v>
      </c>
      <c r="S49" s="56">
        <f>SUMIF('Entradas e Saídas'!$V$5:$V$44,Controle!$C49,'Entradas e Saídas'!$W$5:$W$44)</f>
        <v>0</v>
      </c>
      <c r="T49" s="56">
        <f>SUMIF('Entradas e Saídas'!$V$5:$V$44,Controle!$C49,'Entradas e Saídas'!$X$5:$X$44)</f>
        <v>0</v>
      </c>
      <c r="U49" s="56">
        <f t="shared" si="3"/>
        <v>0</v>
      </c>
      <c r="V49" s="57">
        <f>U49*Inventário!$G45</f>
        <v>0</v>
      </c>
      <c r="W49" s="56">
        <f>SUMIF('Entradas e Saídas'!$AB$5:$AB$44,Controle!$C49,'Entradas e Saídas'!$AC$5:$AC$44)</f>
        <v>0</v>
      </c>
      <c r="X49" s="56">
        <f>SUMIF('Entradas e Saídas'!$AB$5:$AB$44,Controle!$C49,'Entradas e Saídas'!$AD$5:$AD$44)</f>
        <v>0</v>
      </c>
      <c r="Y49" s="56">
        <f t="shared" si="4"/>
        <v>0</v>
      </c>
      <c r="Z49" s="57">
        <f>Y49*Inventário!$G45</f>
        <v>0</v>
      </c>
      <c r="AA49" s="56">
        <f>SUMIF('Entradas e Saídas'!$AH$5:$AH$44,Controle!$C49,'Entradas e Saídas'!$AI$5:$AI$44)</f>
        <v>0</v>
      </c>
      <c r="AB49" s="56">
        <f>SUMIF('Entradas e Saídas'!$AH$5:$AH$44,Controle!$C49,'Entradas e Saídas'!$AJ$5:$AJ$44)</f>
        <v>0</v>
      </c>
      <c r="AC49" s="56">
        <f t="shared" si="5"/>
        <v>0</v>
      </c>
      <c r="AD49" s="57">
        <f>AC49*Inventário!$G45</f>
        <v>0</v>
      </c>
      <c r="AE49" s="56">
        <f>SUMIF('Entradas e Saídas'!$AN$5:$AN$44,Controle!$C49,'Entradas e Saídas'!$AO$5:$AO$44)</f>
        <v>0</v>
      </c>
      <c r="AF49" s="56">
        <f>SUMIF('Entradas e Saídas'!$AH$5:$AH$44,Controle!$C49,'Entradas e Saídas'!$AP$5:$AP$44)</f>
        <v>0</v>
      </c>
      <c r="AG49" s="56">
        <f t="shared" si="6"/>
        <v>0</v>
      </c>
      <c r="AH49" s="57">
        <f>AG49*Inventário!$G45</f>
        <v>0</v>
      </c>
      <c r="AI49" s="56">
        <f>SUMIF('Entradas e Saídas'!$AT$5:$AT$44,Controle!$C49,'Entradas e Saídas'!$AU$5:$AU$44)</f>
        <v>0</v>
      </c>
      <c r="AJ49" s="56">
        <f>SUMIF('Entradas e Saídas'!$AT$5:$AT$44,Controle!$C49,'Entradas e Saídas'!$AV$5:$AV$44)</f>
        <v>0</v>
      </c>
      <c r="AK49" s="56">
        <f t="shared" si="7"/>
        <v>0</v>
      </c>
      <c r="AL49" s="57">
        <f>AK49*Inventário!$G45</f>
        <v>0</v>
      </c>
      <c r="AM49" s="56">
        <f>SUMIF('Entradas e Saídas'!$AZ$5:$AZ$44,Controle!$C49,'Entradas e Saídas'!$BA$5:$BA$44)</f>
        <v>0</v>
      </c>
      <c r="AN49" s="56">
        <f>SUMIF('Entradas e Saídas'!$AZ$5:$AZ$44,Controle!$C49,'Entradas e Saídas'!$BB$5:$BB$44)</f>
        <v>0</v>
      </c>
      <c r="AO49" s="56">
        <f t="shared" si="8"/>
        <v>0</v>
      </c>
      <c r="AP49" s="57">
        <f>AO49*Inventário!$G45</f>
        <v>0</v>
      </c>
      <c r="AQ49" s="56">
        <f>SUMIF('Entradas e Saídas'!$BF$5:$BF$44,Controle!$C49,'Entradas e Saídas'!$BG$5:$BG$44)</f>
        <v>0</v>
      </c>
      <c r="AR49" s="56">
        <f>SUMIF('Entradas e Saídas'!$BF$5:$BF$44,Controle!$C49,'Entradas e Saídas'!$BH$5:$BH$44)</f>
        <v>0</v>
      </c>
      <c r="AS49" s="56">
        <f t="shared" si="9"/>
        <v>0</v>
      </c>
      <c r="AT49" s="57">
        <f>AS49*Inventário!$G45</f>
        <v>0</v>
      </c>
      <c r="AU49" s="56">
        <f>SUMIF('Entradas e Saídas'!$BL$5:$BL$44,Controle!$C49,'Entradas e Saídas'!$BM$5:$BM$44)</f>
        <v>0</v>
      </c>
      <c r="AV49" s="56">
        <f>SUMIF('Entradas e Saídas'!$BL$5:$BL$44,Controle!$C49,'Entradas e Saídas'!$BN$5:$BN$44)</f>
        <v>0</v>
      </c>
      <c r="AW49" s="56">
        <f t="shared" si="10"/>
        <v>0</v>
      </c>
      <c r="AX49" s="57">
        <f>AW49*Inventário!$G45</f>
        <v>0</v>
      </c>
      <c r="AY49" s="56">
        <f>SUMIF('Entradas e Saídas'!$BR$5:$BR$44,Controle!$C49,'Entradas e Saídas'!$BS$5:$BS$44)</f>
        <v>0</v>
      </c>
      <c r="AZ49" s="56">
        <f>SUMIF('Entradas e Saídas'!$BR$5:$BR$44,Controle!$C49,'Entradas e Saídas'!$BT$5:$BT$44)</f>
        <v>0</v>
      </c>
      <c r="BA49" s="56">
        <f t="shared" si="11"/>
        <v>0</v>
      </c>
      <c r="BB49" s="57">
        <f>BA49*Inventário!$G45</f>
        <v>0</v>
      </c>
    </row>
    <row r="50" spans="1:54" s="4" customFormat="1" ht="15.75" customHeight="1" x14ac:dyDescent="0.25">
      <c r="A50" s="8"/>
      <c r="B50" s="27" t="str">
        <f>IF(Inventário!C46="","",Inventário!C46)</f>
        <v/>
      </c>
      <c r="C50" s="26" t="str">
        <f>IF(B50="","",VLOOKUP(B50,Inventário!$C$4:$D$53,2,FALSE))</f>
        <v/>
      </c>
      <c r="D50" s="59" t="str">
        <f>IF(B50="","",I50+M50+Q50+U50+Y50+AC50+AG50+AK50+AO50+AS50+AW50+BA50+Inventário!H46)</f>
        <v/>
      </c>
      <c r="E50" s="60" t="str">
        <f>IF(B50="","",IF(D50&lt;0,"-",(D50*Inventário!G46)))</f>
        <v/>
      </c>
      <c r="F50" s="60" t="str">
        <f>IF(B50="","",IF(D50&gt;Inventário!I46,"NÃO",CONCATENATE("SIM:"," ",Inventário!J46," ","unid")))</f>
        <v/>
      </c>
      <c r="G50" s="56">
        <f>SUMIF('Entradas e Saídas'!$D$5:$D$44,Controle!$C50,'Entradas e Saídas'!$E$5:$E$44)</f>
        <v>0</v>
      </c>
      <c r="H50" s="56">
        <f>SUMIF('Entradas e Saídas'!$D$5:$D$44,Controle!$C50,'Entradas e Saídas'!$F$5:$F$44)</f>
        <v>0</v>
      </c>
      <c r="I50" s="56">
        <f t="shared" si="0"/>
        <v>0</v>
      </c>
      <c r="J50" s="57">
        <f>I50*Inventário!G46</f>
        <v>0</v>
      </c>
      <c r="K50" s="56">
        <f>SUMIF('Entradas e Saídas'!$J$5:$J$44,Controle!$C50,'Entradas e Saídas'!$K$5:$K$44)</f>
        <v>0</v>
      </c>
      <c r="L50" s="56">
        <f>SUMIF('Entradas e Saídas'!$J$5:$J$44,Controle!$C50,'Entradas e Saídas'!$L$5:$L$44)</f>
        <v>0</v>
      </c>
      <c r="M50" s="56">
        <f t="shared" si="1"/>
        <v>0</v>
      </c>
      <c r="N50" s="57">
        <f>M50*Inventário!$G46</f>
        <v>0</v>
      </c>
      <c r="O50" s="56">
        <f>SUMIF('Entradas e Saídas'!$P$5:$P$44,Controle!$C50,'Entradas e Saídas'!$Q$5:$Q$44)</f>
        <v>0</v>
      </c>
      <c r="P50" s="56">
        <f>SUMIF('Entradas e Saídas'!$P$5:$P$44,Controle!$C50,'Entradas e Saídas'!$R$5:$R$44)</f>
        <v>0</v>
      </c>
      <c r="Q50" s="56">
        <f t="shared" si="2"/>
        <v>0</v>
      </c>
      <c r="R50" s="57">
        <f>Q50*Inventário!$G46</f>
        <v>0</v>
      </c>
      <c r="S50" s="56">
        <f>SUMIF('Entradas e Saídas'!$V$5:$V$44,Controle!$C50,'Entradas e Saídas'!$W$5:$W$44)</f>
        <v>0</v>
      </c>
      <c r="T50" s="56">
        <f>SUMIF('Entradas e Saídas'!$V$5:$V$44,Controle!$C50,'Entradas e Saídas'!$X$5:$X$44)</f>
        <v>0</v>
      </c>
      <c r="U50" s="56">
        <f t="shared" si="3"/>
        <v>0</v>
      </c>
      <c r="V50" s="57">
        <f>U50*Inventário!$G46</f>
        <v>0</v>
      </c>
      <c r="W50" s="56">
        <f>SUMIF('Entradas e Saídas'!$AB$5:$AB$44,Controle!$C50,'Entradas e Saídas'!$AC$5:$AC$44)</f>
        <v>0</v>
      </c>
      <c r="X50" s="56">
        <f>SUMIF('Entradas e Saídas'!$AB$5:$AB$44,Controle!$C50,'Entradas e Saídas'!$AD$5:$AD$44)</f>
        <v>0</v>
      </c>
      <c r="Y50" s="56">
        <f t="shared" si="4"/>
        <v>0</v>
      </c>
      <c r="Z50" s="57">
        <f>Y50*Inventário!$G46</f>
        <v>0</v>
      </c>
      <c r="AA50" s="56">
        <f>SUMIF('Entradas e Saídas'!$AH$5:$AH$44,Controle!$C50,'Entradas e Saídas'!$AI$5:$AI$44)</f>
        <v>0</v>
      </c>
      <c r="AB50" s="56">
        <f>SUMIF('Entradas e Saídas'!$AH$5:$AH$44,Controle!$C50,'Entradas e Saídas'!$AJ$5:$AJ$44)</f>
        <v>0</v>
      </c>
      <c r="AC50" s="56">
        <f t="shared" si="5"/>
        <v>0</v>
      </c>
      <c r="AD50" s="57">
        <f>AC50*Inventário!$G46</f>
        <v>0</v>
      </c>
      <c r="AE50" s="56">
        <f>SUMIF('Entradas e Saídas'!$AN$5:$AN$44,Controle!$C50,'Entradas e Saídas'!$AO$5:$AO$44)</f>
        <v>0</v>
      </c>
      <c r="AF50" s="56">
        <f>SUMIF('Entradas e Saídas'!$AH$5:$AH$44,Controle!$C50,'Entradas e Saídas'!$AP$5:$AP$44)</f>
        <v>0</v>
      </c>
      <c r="AG50" s="56">
        <f t="shared" si="6"/>
        <v>0</v>
      </c>
      <c r="AH50" s="57">
        <f>AG50*Inventário!$G46</f>
        <v>0</v>
      </c>
      <c r="AI50" s="56">
        <f>SUMIF('Entradas e Saídas'!$AT$5:$AT$44,Controle!$C50,'Entradas e Saídas'!$AU$5:$AU$44)</f>
        <v>0</v>
      </c>
      <c r="AJ50" s="56">
        <f>SUMIF('Entradas e Saídas'!$AT$5:$AT$44,Controle!$C50,'Entradas e Saídas'!$AV$5:$AV$44)</f>
        <v>0</v>
      </c>
      <c r="AK50" s="56">
        <f t="shared" si="7"/>
        <v>0</v>
      </c>
      <c r="AL50" s="57">
        <f>AK50*Inventário!$G46</f>
        <v>0</v>
      </c>
      <c r="AM50" s="56">
        <f>SUMIF('Entradas e Saídas'!$AZ$5:$AZ$44,Controle!$C50,'Entradas e Saídas'!$BA$5:$BA$44)</f>
        <v>0</v>
      </c>
      <c r="AN50" s="56">
        <f>SUMIF('Entradas e Saídas'!$AZ$5:$AZ$44,Controle!$C50,'Entradas e Saídas'!$BB$5:$BB$44)</f>
        <v>0</v>
      </c>
      <c r="AO50" s="56">
        <f t="shared" si="8"/>
        <v>0</v>
      </c>
      <c r="AP50" s="57">
        <f>AO50*Inventário!$G46</f>
        <v>0</v>
      </c>
      <c r="AQ50" s="56">
        <f>SUMIF('Entradas e Saídas'!$BF$5:$BF$44,Controle!$C50,'Entradas e Saídas'!$BG$5:$BG$44)</f>
        <v>0</v>
      </c>
      <c r="AR50" s="56">
        <f>SUMIF('Entradas e Saídas'!$BF$5:$BF$44,Controle!$C50,'Entradas e Saídas'!$BH$5:$BH$44)</f>
        <v>0</v>
      </c>
      <c r="AS50" s="56">
        <f t="shared" si="9"/>
        <v>0</v>
      </c>
      <c r="AT50" s="57">
        <f>AS50*Inventário!$G46</f>
        <v>0</v>
      </c>
      <c r="AU50" s="56">
        <f>SUMIF('Entradas e Saídas'!$BL$5:$BL$44,Controle!$C50,'Entradas e Saídas'!$BM$5:$BM$44)</f>
        <v>0</v>
      </c>
      <c r="AV50" s="56">
        <f>SUMIF('Entradas e Saídas'!$BL$5:$BL$44,Controle!$C50,'Entradas e Saídas'!$BN$5:$BN$44)</f>
        <v>0</v>
      </c>
      <c r="AW50" s="56">
        <f t="shared" si="10"/>
        <v>0</v>
      </c>
      <c r="AX50" s="57">
        <f>AW50*Inventário!$G46</f>
        <v>0</v>
      </c>
      <c r="AY50" s="56">
        <f>SUMIF('Entradas e Saídas'!$BR$5:$BR$44,Controle!$C50,'Entradas e Saídas'!$BS$5:$BS$44)</f>
        <v>0</v>
      </c>
      <c r="AZ50" s="56">
        <f>SUMIF('Entradas e Saídas'!$BR$5:$BR$44,Controle!$C50,'Entradas e Saídas'!$BT$5:$BT$44)</f>
        <v>0</v>
      </c>
      <c r="BA50" s="56">
        <f t="shared" si="11"/>
        <v>0</v>
      </c>
      <c r="BB50" s="57">
        <f>BA50*Inventário!$G46</f>
        <v>0</v>
      </c>
    </row>
    <row r="51" spans="1:54" s="4" customFormat="1" ht="15.75" customHeight="1" x14ac:dyDescent="0.25">
      <c r="A51" s="8"/>
      <c r="B51" s="27" t="str">
        <f>IF(Inventário!C47="","",Inventário!C47)</f>
        <v/>
      </c>
      <c r="C51" s="26" t="str">
        <f>IF(B51="","",VLOOKUP(B51,Inventário!$C$4:$D$53,2,FALSE))</f>
        <v/>
      </c>
      <c r="D51" s="59" t="str">
        <f>IF(B51="","",I51+M51+Q51+U51+Y51+AC51+AG51+AK51+AO51+AS51+AW51+BA51+Inventário!H47)</f>
        <v/>
      </c>
      <c r="E51" s="60" t="str">
        <f>IF(B51="","",IF(D51&lt;0,"-",(D51*Inventário!G47)))</f>
        <v/>
      </c>
      <c r="F51" s="60" t="str">
        <f>IF(B51="","",IF(D51&gt;Inventário!I47,"NÃO",CONCATENATE("SIM:"," ",Inventário!J47," ","unid")))</f>
        <v/>
      </c>
      <c r="G51" s="56">
        <f>SUMIF('Entradas e Saídas'!$D$5:$D$44,Controle!$C51,'Entradas e Saídas'!$E$5:$E$44)</f>
        <v>0</v>
      </c>
      <c r="H51" s="56">
        <f>SUMIF('Entradas e Saídas'!$D$5:$D$44,Controle!$C51,'Entradas e Saídas'!$F$5:$F$44)</f>
        <v>0</v>
      </c>
      <c r="I51" s="56">
        <f t="shared" si="0"/>
        <v>0</v>
      </c>
      <c r="J51" s="57">
        <f>I51*Inventário!G47</f>
        <v>0</v>
      </c>
      <c r="K51" s="56">
        <f>SUMIF('Entradas e Saídas'!$J$5:$J$44,Controle!$C51,'Entradas e Saídas'!$K$5:$K$44)</f>
        <v>0</v>
      </c>
      <c r="L51" s="56">
        <f>SUMIF('Entradas e Saídas'!$J$5:$J$44,Controle!$C51,'Entradas e Saídas'!$L$5:$L$44)</f>
        <v>0</v>
      </c>
      <c r="M51" s="56">
        <f t="shared" si="1"/>
        <v>0</v>
      </c>
      <c r="N51" s="57">
        <f>M51*Inventário!$G47</f>
        <v>0</v>
      </c>
      <c r="O51" s="56">
        <f>SUMIF('Entradas e Saídas'!$P$5:$P$44,Controle!$C51,'Entradas e Saídas'!$Q$5:$Q$44)</f>
        <v>0</v>
      </c>
      <c r="P51" s="56">
        <f>SUMIF('Entradas e Saídas'!$P$5:$P$44,Controle!$C51,'Entradas e Saídas'!$R$5:$R$44)</f>
        <v>0</v>
      </c>
      <c r="Q51" s="56">
        <f t="shared" si="2"/>
        <v>0</v>
      </c>
      <c r="R51" s="57">
        <f>Q51*Inventário!$G47</f>
        <v>0</v>
      </c>
      <c r="S51" s="56">
        <f>SUMIF('Entradas e Saídas'!$V$5:$V$44,Controle!$C51,'Entradas e Saídas'!$W$5:$W$44)</f>
        <v>0</v>
      </c>
      <c r="T51" s="56">
        <f>SUMIF('Entradas e Saídas'!$V$5:$V$44,Controle!$C51,'Entradas e Saídas'!$X$5:$X$44)</f>
        <v>0</v>
      </c>
      <c r="U51" s="56">
        <f t="shared" si="3"/>
        <v>0</v>
      </c>
      <c r="V51" s="57">
        <f>U51*Inventário!$G47</f>
        <v>0</v>
      </c>
      <c r="W51" s="56">
        <f>SUMIF('Entradas e Saídas'!$AB$5:$AB$44,Controle!$C51,'Entradas e Saídas'!$AC$5:$AC$44)</f>
        <v>0</v>
      </c>
      <c r="X51" s="56">
        <f>SUMIF('Entradas e Saídas'!$AB$5:$AB$44,Controle!$C51,'Entradas e Saídas'!$AD$5:$AD$44)</f>
        <v>0</v>
      </c>
      <c r="Y51" s="56">
        <f t="shared" si="4"/>
        <v>0</v>
      </c>
      <c r="Z51" s="57">
        <f>Y51*Inventário!$G47</f>
        <v>0</v>
      </c>
      <c r="AA51" s="56">
        <f>SUMIF('Entradas e Saídas'!$AH$5:$AH$44,Controle!$C51,'Entradas e Saídas'!$AI$5:$AI$44)</f>
        <v>0</v>
      </c>
      <c r="AB51" s="56">
        <f>SUMIF('Entradas e Saídas'!$AH$5:$AH$44,Controle!$C51,'Entradas e Saídas'!$AJ$5:$AJ$44)</f>
        <v>0</v>
      </c>
      <c r="AC51" s="56">
        <f t="shared" si="5"/>
        <v>0</v>
      </c>
      <c r="AD51" s="57">
        <f>AC51*Inventário!$G47</f>
        <v>0</v>
      </c>
      <c r="AE51" s="56">
        <f>SUMIF('Entradas e Saídas'!$AN$5:$AN$44,Controle!$C51,'Entradas e Saídas'!$AO$5:$AO$44)</f>
        <v>0</v>
      </c>
      <c r="AF51" s="56">
        <f>SUMIF('Entradas e Saídas'!$AH$5:$AH$44,Controle!$C51,'Entradas e Saídas'!$AP$5:$AP$44)</f>
        <v>0</v>
      </c>
      <c r="AG51" s="56">
        <f t="shared" si="6"/>
        <v>0</v>
      </c>
      <c r="AH51" s="57">
        <f>AG51*Inventário!$G47</f>
        <v>0</v>
      </c>
      <c r="AI51" s="56">
        <f>SUMIF('Entradas e Saídas'!$AT$5:$AT$44,Controle!$C51,'Entradas e Saídas'!$AU$5:$AU$44)</f>
        <v>0</v>
      </c>
      <c r="AJ51" s="56">
        <f>SUMIF('Entradas e Saídas'!$AT$5:$AT$44,Controle!$C51,'Entradas e Saídas'!$AV$5:$AV$44)</f>
        <v>0</v>
      </c>
      <c r="AK51" s="56">
        <f t="shared" si="7"/>
        <v>0</v>
      </c>
      <c r="AL51" s="57">
        <f>AK51*Inventário!$G47</f>
        <v>0</v>
      </c>
      <c r="AM51" s="56">
        <f>SUMIF('Entradas e Saídas'!$AZ$5:$AZ$44,Controle!$C51,'Entradas e Saídas'!$BA$5:$BA$44)</f>
        <v>0</v>
      </c>
      <c r="AN51" s="56">
        <f>SUMIF('Entradas e Saídas'!$AZ$5:$AZ$44,Controle!$C51,'Entradas e Saídas'!$BB$5:$BB$44)</f>
        <v>0</v>
      </c>
      <c r="AO51" s="56">
        <f t="shared" si="8"/>
        <v>0</v>
      </c>
      <c r="AP51" s="57">
        <f>AO51*Inventário!$G47</f>
        <v>0</v>
      </c>
      <c r="AQ51" s="56">
        <f>SUMIF('Entradas e Saídas'!$BF$5:$BF$44,Controle!$C51,'Entradas e Saídas'!$BG$5:$BG$44)</f>
        <v>0</v>
      </c>
      <c r="AR51" s="56">
        <f>SUMIF('Entradas e Saídas'!$BF$5:$BF$44,Controle!$C51,'Entradas e Saídas'!$BH$5:$BH$44)</f>
        <v>0</v>
      </c>
      <c r="AS51" s="56">
        <f t="shared" si="9"/>
        <v>0</v>
      </c>
      <c r="AT51" s="57">
        <f>AS51*Inventário!$G47</f>
        <v>0</v>
      </c>
      <c r="AU51" s="56">
        <f>SUMIF('Entradas e Saídas'!$BL$5:$BL$44,Controle!$C51,'Entradas e Saídas'!$BM$5:$BM$44)</f>
        <v>0</v>
      </c>
      <c r="AV51" s="56">
        <f>SUMIF('Entradas e Saídas'!$BL$5:$BL$44,Controle!$C51,'Entradas e Saídas'!$BN$5:$BN$44)</f>
        <v>0</v>
      </c>
      <c r="AW51" s="56">
        <f t="shared" si="10"/>
        <v>0</v>
      </c>
      <c r="AX51" s="57">
        <f>AW51*Inventário!$G47</f>
        <v>0</v>
      </c>
      <c r="AY51" s="56">
        <f>SUMIF('Entradas e Saídas'!$BR$5:$BR$44,Controle!$C51,'Entradas e Saídas'!$BS$5:$BS$44)</f>
        <v>0</v>
      </c>
      <c r="AZ51" s="56">
        <f>SUMIF('Entradas e Saídas'!$BR$5:$BR$44,Controle!$C51,'Entradas e Saídas'!$BT$5:$BT$44)</f>
        <v>0</v>
      </c>
      <c r="BA51" s="56">
        <f t="shared" si="11"/>
        <v>0</v>
      </c>
      <c r="BB51" s="57">
        <f>BA51*Inventário!$G47</f>
        <v>0</v>
      </c>
    </row>
    <row r="52" spans="1:54" s="4" customFormat="1" ht="15.75" customHeight="1" x14ac:dyDescent="0.25">
      <c r="A52" s="8"/>
      <c r="B52" s="27" t="str">
        <f>IF(Inventário!C48="","",Inventário!C48)</f>
        <v/>
      </c>
      <c r="C52" s="26" t="str">
        <f>IF(B52="","",VLOOKUP(B52,Inventário!$C$4:$D$53,2,FALSE))</f>
        <v/>
      </c>
      <c r="D52" s="59" t="str">
        <f>IF(B52="","",I52+M52+Q52+U52+Y52+AC52+AG52+AK52+AO52+AS52+AW52+BA52+Inventário!H48)</f>
        <v/>
      </c>
      <c r="E52" s="60" t="str">
        <f>IF(B52="","",IF(D52&lt;0,"-",(D52*Inventário!G48)))</f>
        <v/>
      </c>
      <c r="F52" s="60" t="str">
        <f>IF(B52="","",IF(D52&gt;Inventário!I48,"NÃO",CONCATENATE("SIM:"," ",Inventário!J48," ","unid")))</f>
        <v/>
      </c>
      <c r="G52" s="56">
        <f>SUMIF('Entradas e Saídas'!$D$5:$D$44,Controle!$C52,'Entradas e Saídas'!$E$5:$E$44)</f>
        <v>0</v>
      </c>
      <c r="H52" s="56">
        <f>SUMIF('Entradas e Saídas'!$D$5:$D$44,Controle!$C52,'Entradas e Saídas'!$F$5:$F$44)</f>
        <v>0</v>
      </c>
      <c r="I52" s="56">
        <f t="shared" si="0"/>
        <v>0</v>
      </c>
      <c r="J52" s="57">
        <f>I52*Inventário!G48</f>
        <v>0</v>
      </c>
      <c r="K52" s="56">
        <f>SUMIF('Entradas e Saídas'!$J$5:$J$44,Controle!$C52,'Entradas e Saídas'!$K$5:$K$44)</f>
        <v>0</v>
      </c>
      <c r="L52" s="56">
        <f>SUMIF('Entradas e Saídas'!$J$5:$J$44,Controle!$C52,'Entradas e Saídas'!$L$5:$L$44)</f>
        <v>0</v>
      </c>
      <c r="M52" s="56">
        <f t="shared" si="1"/>
        <v>0</v>
      </c>
      <c r="N52" s="57">
        <f>M52*Inventário!$G48</f>
        <v>0</v>
      </c>
      <c r="O52" s="56">
        <f>SUMIF('Entradas e Saídas'!$P$5:$P$44,Controle!$C52,'Entradas e Saídas'!$Q$5:$Q$44)</f>
        <v>0</v>
      </c>
      <c r="P52" s="56">
        <f>SUMIF('Entradas e Saídas'!$P$5:$P$44,Controle!$C52,'Entradas e Saídas'!$R$5:$R$44)</f>
        <v>0</v>
      </c>
      <c r="Q52" s="56">
        <f t="shared" si="2"/>
        <v>0</v>
      </c>
      <c r="R52" s="57">
        <f>Q52*Inventário!$G48</f>
        <v>0</v>
      </c>
      <c r="S52" s="56">
        <f>SUMIF('Entradas e Saídas'!$V$5:$V$44,Controle!$C52,'Entradas e Saídas'!$W$5:$W$44)</f>
        <v>0</v>
      </c>
      <c r="T52" s="56">
        <f>SUMIF('Entradas e Saídas'!$V$5:$V$44,Controle!$C52,'Entradas e Saídas'!$X$5:$X$44)</f>
        <v>0</v>
      </c>
      <c r="U52" s="56">
        <f t="shared" si="3"/>
        <v>0</v>
      </c>
      <c r="V52" s="57">
        <f>U52*Inventário!$G48</f>
        <v>0</v>
      </c>
      <c r="W52" s="56">
        <f>SUMIF('Entradas e Saídas'!$AB$5:$AB$44,Controle!$C52,'Entradas e Saídas'!$AC$5:$AC$44)</f>
        <v>0</v>
      </c>
      <c r="X52" s="56">
        <f>SUMIF('Entradas e Saídas'!$AB$5:$AB$44,Controle!$C52,'Entradas e Saídas'!$AD$5:$AD$44)</f>
        <v>0</v>
      </c>
      <c r="Y52" s="56">
        <f t="shared" si="4"/>
        <v>0</v>
      </c>
      <c r="Z52" s="57">
        <f>Y52*Inventário!$G48</f>
        <v>0</v>
      </c>
      <c r="AA52" s="56">
        <f>SUMIF('Entradas e Saídas'!$AH$5:$AH$44,Controle!$C52,'Entradas e Saídas'!$AI$5:$AI$44)</f>
        <v>0</v>
      </c>
      <c r="AB52" s="56">
        <f>SUMIF('Entradas e Saídas'!$AH$5:$AH$44,Controle!$C52,'Entradas e Saídas'!$AJ$5:$AJ$44)</f>
        <v>0</v>
      </c>
      <c r="AC52" s="56">
        <f t="shared" si="5"/>
        <v>0</v>
      </c>
      <c r="AD52" s="57">
        <f>AC52*Inventário!$G48</f>
        <v>0</v>
      </c>
      <c r="AE52" s="56">
        <f>SUMIF('Entradas e Saídas'!$AN$5:$AN$44,Controle!$C52,'Entradas e Saídas'!$AO$5:$AO$44)</f>
        <v>0</v>
      </c>
      <c r="AF52" s="56">
        <f>SUMIF('Entradas e Saídas'!$AH$5:$AH$44,Controle!$C52,'Entradas e Saídas'!$AP$5:$AP$44)</f>
        <v>0</v>
      </c>
      <c r="AG52" s="56">
        <f t="shared" si="6"/>
        <v>0</v>
      </c>
      <c r="AH52" s="57">
        <f>AG52*Inventário!$G48</f>
        <v>0</v>
      </c>
      <c r="AI52" s="56">
        <f>SUMIF('Entradas e Saídas'!$AT$5:$AT$44,Controle!$C52,'Entradas e Saídas'!$AU$5:$AU$44)</f>
        <v>0</v>
      </c>
      <c r="AJ52" s="56">
        <f>SUMIF('Entradas e Saídas'!$AT$5:$AT$44,Controle!$C52,'Entradas e Saídas'!$AV$5:$AV$44)</f>
        <v>0</v>
      </c>
      <c r="AK52" s="56">
        <f t="shared" si="7"/>
        <v>0</v>
      </c>
      <c r="AL52" s="57">
        <f>AK52*Inventário!$G48</f>
        <v>0</v>
      </c>
      <c r="AM52" s="56">
        <f>SUMIF('Entradas e Saídas'!$AZ$5:$AZ$44,Controle!$C52,'Entradas e Saídas'!$BA$5:$BA$44)</f>
        <v>0</v>
      </c>
      <c r="AN52" s="56">
        <f>SUMIF('Entradas e Saídas'!$AZ$5:$AZ$44,Controle!$C52,'Entradas e Saídas'!$BB$5:$BB$44)</f>
        <v>0</v>
      </c>
      <c r="AO52" s="56">
        <f t="shared" si="8"/>
        <v>0</v>
      </c>
      <c r="AP52" s="57">
        <f>AO52*Inventário!$G48</f>
        <v>0</v>
      </c>
      <c r="AQ52" s="56">
        <f>SUMIF('Entradas e Saídas'!$BF$5:$BF$44,Controle!$C52,'Entradas e Saídas'!$BG$5:$BG$44)</f>
        <v>0</v>
      </c>
      <c r="AR52" s="56">
        <f>SUMIF('Entradas e Saídas'!$BF$5:$BF$44,Controle!$C52,'Entradas e Saídas'!$BH$5:$BH$44)</f>
        <v>0</v>
      </c>
      <c r="AS52" s="56">
        <f t="shared" si="9"/>
        <v>0</v>
      </c>
      <c r="AT52" s="57">
        <f>AS52*Inventário!$G48</f>
        <v>0</v>
      </c>
      <c r="AU52" s="56">
        <f>SUMIF('Entradas e Saídas'!$BL$5:$BL$44,Controle!$C52,'Entradas e Saídas'!$BM$5:$BM$44)</f>
        <v>0</v>
      </c>
      <c r="AV52" s="56">
        <f>SUMIF('Entradas e Saídas'!$BL$5:$BL$44,Controle!$C52,'Entradas e Saídas'!$BN$5:$BN$44)</f>
        <v>0</v>
      </c>
      <c r="AW52" s="56">
        <f t="shared" si="10"/>
        <v>0</v>
      </c>
      <c r="AX52" s="57">
        <f>AW52*Inventário!$G48</f>
        <v>0</v>
      </c>
      <c r="AY52" s="56">
        <f>SUMIF('Entradas e Saídas'!$BR$5:$BR$44,Controle!$C52,'Entradas e Saídas'!$BS$5:$BS$44)</f>
        <v>0</v>
      </c>
      <c r="AZ52" s="56">
        <f>SUMIF('Entradas e Saídas'!$BR$5:$BR$44,Controle!$C52,'Entradas e Saídas'!$BT$5:$BT$44)</f>
        <v>0</v>
      </c>
      <c r="BA52" s="56">
        <f t="shared" si="11"/>
        <v>0</v>
      </c>
      <c r="BB52" s="57">
        <f>BA52*Inventário!$G48</f>
        <v>0</v>
      </c>
    </row>
    <row r="53" spans="1:54" s="4" customFormat="1" ht="15.75" customHeight="1" x14ac:dyDescent="0.25">
      <c r="A53" s="8"/>
      <c r="B53" s="27" t="str">
        <f>IF(Inventário!C49="","",Inventário!C49)</f>
        <v/>
      </c>
      <c r="C53" s="26" t="str">
        <f>IF(B53="","",VLOOKUP(B53,Inventário!$C$4:$D$53,2,FALSE))</f>
        <v/>
      </c>
      <c r="D53" s="59" t="str">
        <f>IF(B53="","",I53+M53+Q53+U53+Y53+AC53+AG53+AK53+AO53+AS53+AW53+BA53+Inventário!H49)</f>
        <v/>
      </c>
      <c r="E53" s="60" t="str">
        <f>IF(B53="","",IF(D53&lt;0,"-",(D53*Inventário!G49)))</f>
        <v/>
      </c>
      <c r="F53" s="60" t="str">
        <f>IF(B53="","",IF(D53&gt;Inventário!I49,"NÃO",CONCATENATE("SIM:"," ",Inventário!J49," ","unid")))</f>
        <v/>
      </c>
      <c r="G53" s="56">
        <f>SUMIF('Entradas e Saídas'!$D$5:$D$44,Controle!$C53,'Entradas e Saídas'!$E$5:$E$44)</f>
        <v>0</v>
      </c>
      <c r="H53" s="56">
        <f>SUMIF('Entradas e Saídas'!$D$5:$D$44,Controle!$C53,'Entradas e Saídas'!$F$5:$F$44)</f>
        <v>0</v>
      </c>
      <c r="I53" s="56">
        <f t="shared" si="0"/>
        <v>0</v>
      </c>
      <c r="J53" s="57">
        <f>I53*Inventário!G49</f>
        <v>0</v>
      </c>
      <c r="K53" s="56">
        <f>SUMIF('Entradas e Saídas'!$J$5:$J$44,Controle!$C53,'Entradas e Saídas'!$K$5:$K$44)</f>
        <v>0</v>
      </c>
      <c r="L53" s="56">
        <f>SUMIF('Entradas e Saídas'!$J$5:$J$44,Controle!$C53,'Entradas e Saídas'!$L$5:$L$44)</f>
        <v>0</v>
      </c>
      <c r="M53" s="56">
        <f t="shared" si="1"/>
        <v>0</v>
      </c>
      <c r="N53" s="57">
        <f>M53*Inventário!$G49</f>
        <v>0</v>
      </c>
      <c r="O53" s="56">
        <f>SUMIF('Entradas e Saídas'!$P$5:$P$44,Controle!$C53,'Entradas e Saídas'!$Q$5:$Q$44)</f>
        <v>0</v>
      </c>
      <c r="P53" s="56">
        <f>SUMIF('Entradas e Saídas'!$P$5:$P$44,Controle!$C53,'Entradas e Saídas'!$R$5:$R$44)</f>
        <v>0</v>
      </c>
      <c r="Q53" s="56">
        <f t="shared" si="2"/>
        <v>0</v>
      </c>
      <c r="R53" s="57">
        <f>Q53*Inventário!$G49</f>
        <v>0</v>
      </c>
      <c r="S53" s="56">
        <f>SUMIF('Entradas e Saídas'!$V$5:$V$44,Controle!$C53,'Entradas e Saídas'!$W$5:$W$44)</f>
        <v>0</v>
      </c>
      <c r="T53" s="56">
        <f>SUMIF('Entradas e Saídas'!$V$5:$V$44,Controle!$C53,'Entradas e Saídas'!$X$5:$X$44)</f>
        <v>0</v>
      </c>
      <c r="U53" s="56">
        <f t="shared" si="3"/>
        <v>0</v>
      </c>
      <c r="V53" s="57">
        <f>U53*Inventário!$G49</f>
        <v>0</v>
      </c>
      <c r="W53" s="56">
        <f>SUMIF('Entradas e Saídas'!$AB$5:$AB$44,Controle!$C53,'Entradas e Saídas'!$AC$5:$AC$44)</f>
        <v>0</v>
      </c>
      <c r="X53" s="56">
        <f>SUMIF('Entradas e Saídas'!$AB$5:$AB$44,Controle!$C53,'Entradas e Saídas'!$AD$5:$AD$44)</f>
        <v>0</v>
      </c>
      <c r="Y53" s="56">
        <f t="shared" si="4"/>
        <v>0</v>
      </c>
      <c r="Z53" s="57">
        <f>Y53*Inventário!$G49</f>
        <v>0</v>
      </c>
      <c r="AA53" s="56">
        <f>SUMIF('Entradas e Saídas'!$AH$5:$AH$44,Controle!$C53,'Entradas e Saídas'!$AI$5:$AI$44)</f>
        <v>0</v>
      </c>
      <c r="AB53" s="56">
        <f>SUMIF('Entradas e Saídas'!$AH$5:$AH$44,Controle!$C53,'Entradas e Saídas'!$AJ$5:$AJ$44)</f>
        <v>0</v>
      </c>
      <c r="AC53" s="56">
        <f t="shared" si="5"/>
        <v>0</v>
      </c>
      <c r="AD53" s="57">
        <f>AC53*Inventário!$G49</f>
        <v>0</v>
      </c>
      <c r="AE53" s="56">
        <f>SUMIF('Entradas e Saídas'!$AN$5:$AN$44,Controle!$C53,'Entradas e Saídas'!$AO$5:$AO$44)</f>
        <v>0</v>
      </c>
      <c r="AF53" s="56">
        <f>SUMIF('Entradas e Saídas'!$AH$5:$AH$44,Controle!$C53,'Entradas e Saídas'!$AP$5:$AP$44)</f>
        <v>0</v>
      </c>
      <c r="AG53" s="56">
        <f t="shared" si="6"/>
        <v>0</v>
      </c>
      <c r="AH53" s="57">
        <f>AG53*Inventário!$G49</f>
        <v>0</v>
      </c>
      <c r="AI53" s="56">
        <f>SUMIF('Entradas e Saídas'!$AT$5:$AT$44,Controle!$C53,'Entradas e Saídas'!$AU$5:$AU$44)</f>
        <v>0</v>
      </c>
      <c r="AJ53" s="56">
        <f>SUMIF('Entradas e Saídas'!$AT$5:$AT$44,Controle!$C53,'Entradas e Saídas'!$AV$5:$AV$44)</f>
        <v>0</v>
      </c>
      <c r="AK53" s="56">
        <f t="shared" si="7"/>
        <v>0</v>
      </c>
      <c r="AL53" s="57">
        <f>AK53*Inventário!$G49</f>
        <v>0</v>
      </c>
      <c r="AM53" s="56">
        <f>SUMIF('Entradas e Saídas'!$AZ$5:$AZ$44,Controle!$C53,'Entradas e Saídas'!$BA$5:$BA$44)</f>
        <v>0</v>
      </c>
      <c r="AN53" s="56">
        <f>SUMIF('Entradas e Saídas'!$AZ$5:$AZ$44,Controle!$C53,'Entradas e Saídas'!$BB$5:$BB$44)</f>
        <v>0</v>
      </c>
      <c r="AO53" s="56">
        <f t="shared" si="8"/>
        <v>0</v>
      </c>
      <c r="AP53" s="57">
        <f>AO53*Inventário!$G49</f>
        <v>0</v>
      </c>
      <c r="AQ53" s="56">
        <f>SUMIF('Entradas e Saídas'!$BF$5:$BF$44,Controle!$C53,'Entradas e Saídas'!$BG$5:$BG$44)</f>
        <v>0</v>
      </c>
      <c r="AR53" s="56">
        <f>SUMIF('Entradas e Saídas'!$BF$5:$BF$44,Controle!$C53,'Entradas e Saídas'!$BH$5:$BH$44)</f>
        <v>0</v>
      </c>
      <c r="AS53" s="56">
        <f t="shared" si="9"/>
        <v>0</v>
      </c>
      <c r="AT53" s="57">
        <f>AS53*Inventário!$G49</f>
        <v>0</v>
      </c>
      <c r="AU53" s="56">
        <f>SUMIF('Entradas e Saídas'!$BL$5:$BL$44,Controle!$C53,'Entradas e Saídas'!$BM$5:$BM$44)</f>
        <v>0</v>
      </c>
      <c r="AV53" s="56">
        <f>SUMIF('Entradas e Saídas'!$BL$5:$BL$44,Controle!$C53,'Entradas e Saídas'!$BN$5:$BN$44)</f>
        <v>0</v>
      </c>
      <c r="AW53" s="56">
        <f t="shared" si="10"/>
        <v>0</v>
      </c>
      <c r="AX53" s="57">
        <f>AW53*Inventário!$G49</f>
        <v>0</v>
      </c>
      <c r="AY53" s="56">
        <f>SUMIF('Entradas e Saídas'!$BR$5:$BR$44,Controle!$C53,'Entradas e Saídas'!$BS$5:$BS$44)</f>
        <v>0</v>
      </c>
      <c r="AZ53" s="56">
        <f>SUMIF('Entradas e Saídas'!$BR$5:$BR$44,Controle!$C53,'Entradas e Saídas'!$BT$5:$BT$44)</f>
        <v>0</v>
      </c>
      <c r="BA53" s="56">
        <f t="shared" si="11"/>
        <v>0</v>
      </c>
      <c r="BB53" s="57">
        <f>BA53*Inventário!$G49</f>
        <v>0</v>
      </c>
    </row>
    <row r="54" spans="1:54" s="4" customFormat="1" ht="15.75" customHeight="1" x14ac:dyDescent="0.25">
      <c r="A54" s="8"/>
      <c r="B54" s="27" t="str">
        <f>IF(Inventário!C50="","",Inventário!C50)</f>
        <v/>
      </c>
      <c r="C54" s="26" t="str">
        <f>IF(B54="","",VLOOKUP(B54,Inventário!$C$4:$D$53,2,FALSE))</f>
        <v/>
      </c>
      <c r="D54" s="59" t="str">
        <f>IF(B54="","",I54+M54+Q54+U54+Y54+AC54+AG54+AK54+AO54+AS54+AW54+BA54+Inventário!H50)</f>
        <v/>
      </c>
      <c r="E54" s="60" t="str">
        <f>IF(B54="","",IF(D54&lt;0,"-",(D54*Inventário!G50)))</f>
        <v/>
      </c>
      <c r="F54" s="60" t="str">
        <f>IF(B54="","",IF(D54&gt;Inventário!I50,"NÃO",CONCATENATE("SIM:"," ",Inventário!J50," ","unid")))</f>
        <v/>
      </c>
      <c r="G54" s="56">
        <f>SUMIF('Entradas e Saídas'!$D$5:$D$44,Controle!$C54,'Entradas e Saídas'!$E$5:$E$44)</f>
        <v>0</v>
      </c>
      <c r="H54" s="56">
        <f>SUMIF('Entradas e Saídas'!$D$5:$D$44,Controle!$C54,'Entradas e Saídas'!$F$5:$F$44)</f>
        <v>0</v>
      </c>
      <c r="I54" s="56">
        <f t="shared" si="0"/>
        <v>0</v>
      </c>
      <c r="J54" s="57">
        <f>I54*Inventário!G50</f>
        <v>0</v>
      </c>
      <c r="K54" s="56">
        <f>SUMIF('Entradas e Saídas'!$J$5:$J$44,Controle!$C54,'Entradas e Saídas'!$K$5:$K$44)</f>
        <v>0</v>
      </c>
      <c r="L54" s="56">
        <f>SUMIF('Entradas e Saídas'!$J$5:$J$44,Controle!$C54,'Entradas e Saídas'!$L$5:$L$44)</f>
        <v>0</v>
      </c>
      <c r="M54" s="56">
        <f t="shared" si="1"/>
        <v>0</v>
      </c>
      <c r="N54" s="57">
        <f>M54*Inventário!$G50</f>
        <v>0</v>
      </c>
      <c r="O54" s="56">
        <f>SUMIF('Entradas e Saídas'!$P$5:$P$44,Controle!$C54,'Entradas e Saídas'!$Q$5:$Q$44)</f>
        <v>0</v>
      </c>
      <c r="P54" s="56">
        <f>SUMIF('Entradas e Saídas'!$P$5:$P$44,Controle!$C54,'Entradas e Saídas'!$R$5:$R$44)</f>
        <v>0</v>
      </c>
      <c r="Q54" s="56">
        <f t="shared" si="2"/>
        <v>0</v>
      </c>
      <c r="R54" s="57">
        <f>Q54*Inventário!$G50</f>
        <v>0</v>
      </c>
      <c r="S54" s="56">
        <f>SUMIF('Entradas e Saídas'!$V$5:$V$44,Controle!$C54,'Entradas e Saídas'!$W$5:$W$44)</f>
        <v>0</v>
      </c>
      <c r="T54" s="56">
        <f>SUMIF('Entradas e Saídas'!$V$5:$V$44,Controle!$C54,'Entradas e Saídas'!$X$5:$X$44)</f>
        <v>0</v>
      </c>
      <c r="U54" s="56">
        <f t="shared" si="3"/>
        <v>0</v>
      </c>
      <c r="V54" s="57">
        <f>U54*Inventário!$G50</f>
        <v>0</v>
      </c>
      <c r="W54" s="56">
        <f>SUMIF('Entradas e Saídas'!$AB$5:$AB$44,Controle!$C54,'Entradas e Saídas'!$AC$5:$AC$44)</f>
        <v>0</v>
      </c>
      <c r="X54" s="56">
        <f>SUMIF('Entradas e Saídas'!$AB$5:$AB$44,Controle!$C54,'Entradas e Saídas'!$AD$5:$AD$44)</f>
        <v>0</v>
      </c>
      <c r="Y54" s="56">
        <f t="shared" si="4"/>
        <v>0</v>
      </c>
      <c r="Z54" s="57">
        <f>Y54*Inventário!$G50</f>
        <v>0</v>
      </c>
      <c r="AA54" s="56">
        <f>SUMIF('Entradas e Saídas'!$AH$5:$AH$44,Controle!$C54,'Entradas e Saídas'!$AI$5:$AI$44)</f>
        <v>0</v>
      </c>
      <c r="AB54" s="56">
        <f>SUMIF('Entradas e Saídas'!$AH$5:$AH$44,Controle!$C54,'Entradas e Saídas'!$AJ$5:$AJ$44)</f>
        <v>0</v>
      </c>
      <c r="AC54" s="56">
        <f t="shared" si="5"/>
        <v>0</v>
      </c>
      <c r="AD54" s="57">
        <f>AC54*Inventário!$G50</f>
        <v>0</v>
      </c>
      <c r="AE54" s="56">
        <f>SUMIF('Entradas e Saídas'!$AN$5:$AN$44,Controle!$C54,'Entradas e Saídas'!$AO$5:$AO$44)</f>
        <v>0</v>
      </c>
      <c r="AF54" s="56">
        <f>SUMIF('Entradas e Saídas'!$AH$5:$AH$44,Controle!$C54,'Entradas e Saídas'!$AP$5:$AP$44)</f>
        <v>0</v>
      </c>
      <c r="AG54" s="56">
        <f t="shared" si="6"/>
        <v>0</v>
      </c>
      <c r="AH54" s="57">
        <f>AG54*Inventário!$G50</f>
        <v>0</v>
      </c>
      <c r="AI54" s="56">
        <f>SUMIF('Entradas e Saídas'!$AT$5:$AT$44,Controle!$C54,'Entradas e Saídas'!$AU$5:$AU$44)</f>
        <v>0</v>
      </c>
      <c r="AJ54" s="56">
        <f>SUMIF('Entradas e Saídas'!$AT$5:$AT$44,Controle!$C54,'Entradas e Saídas'!$AV$5:$AV$44)</f>
        <v>0</v>
      </c>
      <c r="AK54" s="56">
        <f t="shared" si="7"/>
        <v>0</v>
      </c>
      <c r="AL54" s="57">
        <f>AK54*Inventário!$G50</f>
        <v>0</v>
      </c>
      <c r="AM54" s="56">
        <f>SUMIF('Entradas e Saídas'!$AZ$5:$AZ$44,Controle!$C54,'Entradas e Saídas'!$BA$5:$BA$44)</f>
        <v>0</v>
      </c>
      <c r="AN54" s="56">
        <f>SUMIF('Entradas e Saídas'!$AZ$5:$AZ$44,Controle!$C54,'Entradas e Saídas'!$BB$5:$BB$44)</f>
        <v>0</v>
      </c>
      <c r="AO54" s="56">
        <f t="shared" si="8"/>
        <v>0</v>
      </c>
      <c r="AP54" s="57">
        <f>AO54*Inventário!$G50</f>
        <v>0</v>
      </c>
      <c r="AQ54" s="56">
        <f>SUMIF('Entradas e Saídas'!$BF$5:$BF$44,Controle!$C54,'Entradas e Saídas'!$BG$5:$BG$44)</f>
        <v>0</v>
      </c>
      <c r="AR54" s="56">
        <f>SUMIF('Entradas e Saídas'!$BF$5:$BF$44,Controle!$C54,'Entradas e Saídas'!$BH$5:$BH$44)</f>
        <v>0</v>
      </c>
      <c r="AS54" s="56">
        <f t="shared" si="9"/>
        <v>0</v>
      </c>
      <c r="AT54" s="57">
        <f>AS54*Inventário!$G50</f>
        <v>0</v>
      </c>
      <c r="AU54" s="56">
        <f>SUMIF('Entradas e Saídas'!$BL$5:$BL$44,Controle!$C54,'Entradas e Saídas'!$BM$5:$BM$44)</f>
        <v>0</v>
      </c>
      <c r="AV54" s="56">
        <f>SUMIF('Entradas e Saídas'!$BL$5:$BL$44,Controle!$C54,'Entradas e Saídas'!$BN$5:$BN$44)</f>
        <v>0</v>
      </c>
      <c r="AW54" s="56">
        <f t="shared" si="10"/>
        <v>0</v>
      </c>
      <c r="AX54" s="57">
        <f>AW54*Inventário!$G50</f>
        <v>0</v>
      </c>
      <c r="AY54" s="56">
        <f>SUMIF('Entradas e Saídas'!$BR$5:$BR$44,Controle!$C54,'Entradas e Saídas'!$BS$5:$BS$44)</f>
        <v>0</v>
      </c>
      <c r="AZ54" s="56">
        <f>SUMIF('Entradas e Saídas'!$BR$5:$BR$44,Controle!$C54,'Entradas e Saídas'!$BT$5:$BT$44)</f>
        <v>0</v>
      </c>
      <c r="BA54" s="56">
        <f t="shared" si="11"/>
        <v>0</v>
      </c>
      <c r="BB54" s="57">
        <f>BA54*Inventário!$G50</f>
        <v>0</v>
      </c>
    </row>
    <row r="55" spans="1:54" s="4" customFormat="1" ht="15.75" customHeight="1" x14ac:dyDescent="0.25">
      <c r="A55" s="8"/>
      <c r="B55" s="27" t="str">
        <f>IF(Inventário!C51="","",Inventário!C51)</f>
        <v/>
      </c>
      <c r="C55" s="26" t="str">
        <f>IF(B55="","",VLOOKUP(B55,Inventário!$C$4:$D$53,2,FALSE))</f>
        <v/>
      </c>
      <c r="D55" s="59" t="str">
        <f>IF(B55="","",I55+M55+Q55+U55+Y55+AC55+AG55+AK55+AO55+AS55+AW55+BA55+Inventário!H51)</f>
        <v/>
      </c>
      <c r="E55" s="60" t="str">
        <f>IF(B55="","",IF(D55&lt;0,"-",(D55*Inventário!G51)))</f>
        <v/>
      </c>
      <c r="F55" s="60" t="str">
        <f>IF(B55="","",IF(D55&gt;Inventário!I51,"NÃO",CONCATENATE("SIM:"," ",Inventário!J51," ","unid")))</f>
        <v/>
      </c>
      <c r="G55" s="56">
        <f>SUMIF('Entradas e Saídas'!$D$5:$D$44,Controle!$C55,'Entradas e Saídas'!$E$5:$E$44)</f>
        <v>0</v>
      </c>
      <c r="H55" s="56">
        <f>SUMIF('Entradas e Saídas'!$D$5:$D$44,Controle!$C55,'Entradas e Saídas'!$F$5:$F$44)</f>
        <v>0</v>
      </c>
      <c r="I55" s="56">
        <f t="shared" si="0"/>
        <v>0</v>
      </c>
      <c r="J55" s="57">
        <f>I55*Inventário!G51</f>
        <v>0</v>
      </c>
      <c r="K55" s="56">
        <f>SUMIF('Entradas e Saídas'!$J$5:$J$44,Controle!$C55,'Entradas e Saídas'!$K$5:$K$44)</f>
        <v>0</v>
      </c>
      <c r="L55" s="56">
        <f>SUMIF('Entradas e Saídas'!$J$5:$J$44,Controle!$C55,'Entradas e Saídas'!$L$5:$L$44)</f>
        <v>0</v>
      </c>
      <c r="M55" s="56">
        <f t="shared" si="1"/>
        <v>0</v>
      </c>
      <c r="N55" s="57">
        <f>M55*Inventário!$G51</f>
        <v>0</v>
      </c>
      <c r="O55" s="56">
        <f>SUMIF('Entradas e Saídas'!$P$5:$P$44,Controle!$C55,'Entradas e Saídas'!$Q$5:$Q$44)</f>
        <v>0</v>
      </c>
      <c r="P55" s="56">
        <f>SUMIF('Entradas e Saídas'!$P$5:$P$44,Controle!$C55,'Entradas e Saídas'!$R$5:$R$44)</f>
        <v>0</v>
      </c>
      <c r="Q55" s="56">
        <f t="shared" si="2"/>
        <v>0</v>
      </c>
      <c r="R55" s="57">
        <f>Q55*Inventário!$G51</f>
        <v>0</v>
      </c>
      <c r="S55" s="56">
        <f>SUMIF('Entradas e Saídas'!$V$5:$V$44,Controle!$C55,'Entradas e Saídas'!$W$5:$W$44)</f>
        <v>0</v>
      </c>
      <c r="T55" s="56">
        <f>SUMIF('Entradas e Saídas'!$V$5:$V$44,Controle!$C55,'Entradas e Saídas'!$X$5:$X$44)</f>
        <v>0</v>
      </c>
      <c r="U55" s="56">
        <f t="shared" si="3"/>
        <v>0</v>
      </c>
      <c r="V55" s="57">
        <f>U55*Inventário!$G51</f>
        <v>0</v>
      </c>
      <c r="W55" s="56">
        <f>SUMIF('Entradas e Saídas'!$AB$5:$AB$44,Controle!$C55,'Entradas e Saídas'!$AC$5:$AC$44)</f>
        <v>0</v>
      </c>
      <c r="X55" s="56">
        <f>SUMIF('Entradas e Saídas'!$AB$5:$AB$44,Controle!$C55,'Entradas e Saídas'!$AD$5:$AD$44)</f>
        <v>0</v>
      </c>
      <c r="Y55" s="56">
        <f t="shared" si="4"/>
        <v>0</v>
      </c>
      <c r="Z55" s="57">
        <f>Y55*Inventário!$G51</f>
        <v>0</v>
      </c>
      <c r="AA55" s="56">
        <f>SUMIF('Entradas e Saídas'!$AH$5:$AH$44,Controle!$C55,'Entradas e Saídas'!$AI$5:$AI$44)</f>
        <v>0</v>
      </c>
      <c r="AB55" s="56">
        <f>SUMIF('Entradas e Saídas'!$AH$5:$AH$44,Controle!$C55,'Entradas e Saídas'!$AJ$5:$AJ$44)</f>
        <v>0</v>
      </c>
      <c r="AC55" s="56">
        <f t="shared" si="5"/>
        <v>0</v>
      </c>
      <c r="AD55" s="57">
        <f>AC55*Inventário!$G51</f>
        <v>0</v>
      </c>
      <c r="AE55" s="56">
        <f>SUMIF('Entradas e Saídas'!$AN$5:$AN$44,Controle!$C55,'Entradas e Saídas'!$AO$5:$AO$44)</f>
        <v>0</v>
      </c>
      <c r="AF55" s="56">
        <f>SUMIF('Entradas e Saídas'!$AH$5:$AH$44,Controle!$C55,'Entradas e Saídas'!$AP$5:$AP$44)</f>
        <v>0</v>
      </c>
      <c r="AG55" s="56">
        <f t="shared" si="6"/>
        <v>0</v>
      </c>
      <c r="AH55" s="57">
        <f>AG55*Inventário!$G51</f>
        <v>0</v>
      </c>
      <c r="AI55" s="56">
        <f>SUMIF('Entradas e Saídas'!$AT$5:$AT$44,Controle!$C55,'Entradas e Saídas'!$AU$5:$AU$44)</f>
        <v>0</v>
      </c>
      <c r="AJ55" s="56">
        <f>SUMIF('Entradas e Saídas'!$AT$5:$AT$44,Controle!$C55,'Entradas e Saídas'!$AV$5:$AV$44)</f>
        <v>0</v>
      </c>
      <c r="AK55" s="56">
        <f t="shared" si="7"/>
        <v>0</v>
      </c>
      <c r="AL55" s="57">
        <f>AK55*Inventário!$G51</f>
        <v>0</v>
      </c>
      <c r="AM55" s="56">
        <f>SUMIF('Entradas e Saídas'!$AZ$5:$AZ$44,Controle!$C55,'Entradas e Saídas'!$BA$5:$BA$44)</f>
        <v>0</v>
      </c>
      <c r="AN55" s="56">
        <f>SUMIF('Entradas e Saídas'!$AZ$5:$AZ$44,Controle!$C55,'Entradas e Saídas'!$BB$5:$BB$44)</f>
        <v>0</v>
      </c>
      <c r="AO55" s="56">
        <f t="shared" si="8"/>
        <v>0</v>
      </c>
      <c r="AP55" s="57">
        <f>AO55*Inventário!$G51</f>
        <v>0</v>
      </c>
      <c r="AQ55" s="56">
        <f>SUMIF('Entradas e Saídas'!$BF$5:$BF$44,Controle!$C55,'Entradas e Saídas'!$BG$5:$BG$44)</f>
        <v>0</v>
      </c>
      <c r="AR55" s="56">
        <f>SUMIF('Entradas e Saídas'!$BF$5:$BF$44,Controle!$C55,'Entradas e Saídas'!$BH$5:$BH$44)</f>
        <v>0</v>
      </c>
      <c r="AS55" s="56">
        <f t="shared" si="9"/>
        <v>0</v>
      </c>
      <c r="AT55" s="57">
        <f>AS55*Inventário!$G51</f>
        <v>0</v>
      </c>
      <c r="AU55" s="56">
        <f>SUMIF('Entradas e Saídas'!$BL$5:$BL$44,Controle!$C55,'Entradas e Saídas'!$BM$5:$BM$44)</f>
        <v>0</v>
      </c>
      <c r="AV55" s="56">
        <f>SUMIF('Entradas e Saídas'!$BL$5:$BL$44,Controle!$C55,'Entradas e Saídas'!$BN$5:$BN$44)</f>
        <v>0</v>
      </c>
      <c r="AW55" s="56">
        <f t="shared" si="10"/>
        <v>0</v>
      </c>
      <c r="AX55" s="57">
        <f>AW55*Inventário!$G51</f>
        <v>0</v>
      </c>
      <c r="AY55" s="56">
        <f>SUMIF('Entradas e Saídas'!$BR$5:$BR$44,Controle!$C55,'Entradas e Saídas'!$BS$5:$BS$44)</f>
        <v>0</v>
      </c>
      <c r="AZ55" s="56">
        <f>SUMIF('Entradas e Saídas'!$BR$5:$BR$44,Controle!$C55,'Entradas e Saídas'!$BT$5:$BT$44)</f>
        <v>0</v>
      </c>
      <c r="BA55" s="56">
        <f t="shared" si="11"/>
        <v>0</v>
      </c>
      <c r="BB55" s="57">
        <f>BA55*Inventário!$G51</f>
        <v>0</v>
      </c>
    </row>
    <row r="56" spans="1:54" s="4" customFormat="1" ht="15.75" customHeight="1" x14ac:dyDescent="0.25">
      <c r="A56" s="8"/>
      <c r="B56" s="27" t="str">
        <f>IF(Inventário!C52="","",Inventário!C52)</f>
        <v/>
      </c>
      <c r="C56" s="26" t="str">
        <f>IF(B56="","",VLOOKUP(B56,Inventário!$C$4:$D$53,2,FALSE))</f>
        <v/>
      </c>
      <c r="D56" s="59" t="str">
        <f>IF(B56="","",I56+M56+Q56+U56+Y56+AC56+AG56+AK56+AO56+AS56+AW56+BA56+Inventário!H52)</f>
        <v/>
      </c>
      <c r="E56" s="60" t="str">
        <f>IF(B56="","",IF(D56&lt;0,"-",(D56*Inventário!G52)))</f>
        <v/>
      </c>
      <c r="F56" s="60" t="str">
        <f>IF(B56="","",IF(D56&gt;Inventário!I52,"NÃO",CONCATENATE("SIM:"," ",Inventário!J52," ","unid")))</f>
        <v/>
      </c>
      <c r="G56" s="56">
        <f>SUMIF('Entradas e Saídas'!$D$5:$D$44,Controle!$C56,'Entradas e Saídas'!$E$5:$E$44)</f>
        <v>0</v>
      </c>
      <c r="H56" s="56">
        <f>SUMIF('Entradas e Saídas'!$D$5:$D$44,Controle!$C56,'Entradas e Saídas'!$F$5:$F$44)</f>
        <v>0</v>
      </c>
      <c r="I56" s="56">
        <f t="shared" si="0"/>
        <v>0</v>
      </c>
      <c r="J56" s="57">
        <f>I56*Inventário!G52</f>
        <v>0</v>
      </c>
      <c r="K56" s="56">
        <f>SUMIF('Entradas e Saídas'!$J$5:$J$44,Controle!$C56,'Entradas e Saídas'!$K$5:$K$44)</f>
        <v>0</v>
      </c>
      <c r="L56" s="56">
        <f>SUMIF('Entradas e Saídas'!$J$5:$J$44,Controle!$C56,'Entradas e Saídas'!$L$5:$L$44)</f>
        <v>0</v>
      </c>
      <c r="M56" s="56">
        <f t="shared" si="1"/>
        <v>0</v>
      </c>
      <c r="N56" s="57">
        <f>M56*Inventário!$G52</f>
        <v>0</v>
      </c>
      <c r="O56" s="56">
        <f>SUMIF('Entradas e Saídas'!$P$5:$P$44,Controle!$C56,'Entradas e Saídas'!$Q$5:$Q$44)</f>
        <v>0</v>
      </c>
      <c r="P56" s="56">
        <f>SUMIF('Entradas e Saídas'!$P$5:$P$44,Controle!$C56,'Entradas e Saídas'!$R$5:$R$44)</f>
        <v>0</v>
      </c>
      <c r="Q56" s="56">
        <f t="shared" si="2"/>
        <v>0</v>
      </c>
      <c r="R56" s="57">
        <f>Q56*Inventário!$G52</f>
        <v>0</v>
      </c>
      <c r="S56" s="56">
        <f>SUMIF('Entradas e Saídas'!$V$5:$V$44,Controle!$C56,'Entradas e Saídas'!$W$5:$W$44)</f>
        <v>0</v>
      </c>
      <c r="T56" s="56">
        <f>SUMIF('Entradas e Saídas'!$V$5:$V$44,Controle!$C56,'Entradas e Saídas'!$X$5:$X$44)</f>
        <v>0</v>
      </c>
      <c r="U56" s="56">
        <f t="shared" si="3"/>
        <v>0</v>
      </c>
      <c r="V56" s="57">
        <f>U56*Inventário!$G52</f>
        <v>0</v>
      </c>
      <c r="W56" s="56">
        <f>SUMIF('Entradas e Saídas'!$AB$5:$AB$44,Controle!$C56,'Entradas e Saídas'!$AC$5:$AC$44)</f>
        <v>0</v>
      </c>
      <c r="X56" s="56">
        <f>SUMIF('Entradas e Saídas'!$AB$5:$AB$44,Controle!$C56,'Entradas e Saídas'!$AD$5:$AD$44)</f>
        <v>0</v>
      </c>
      <c r="Y56" s="56">
        <f t="shared" si="4"/>
        <v>0</v>
      </c>
      <c r="Z56" s="57">
        <f>Y56*Inventário!$G52</f>
        <v>0</v>
      </c>
      <c r="AA56" s="56">
        <f>SUMIF('Entradas e Saídas'!$AH$5:$AH$44,Controle!$C56,'Entradas e Saídas'!$AI$5:$AI$44)</f>
        <v>0</v>
      </c>
      <c r="AB56" s="56">
        <f>SUMIF('Entradas e Saídas'!$AH$5:$AH$44,Controle!$C56,'Entradas e Saídas'!$AJ$5:$AJ$44)</f>
        <v>0</v>
      </c>
      <c r="AC56" s="56">
        <f t="shared" si="5"/>
        <v>0</v>
      </c>
      <c r="AD56" s="57">
        <f>AC56*Inventário!$G52</f>
        <v>0</v>
      </c>
      <c r="AE56" s="56">
        <f>SUMIF('Entradas e Saídas'!$AN$5:$AN$44,Controle!$C56,'Entradas e Saídas'!$AO$5:$AO$44)</f>
        <v>0</v>
      </c>
      <c r="AF56" s="56">
        <f>SUMIF('Entradas e Saídas'!$AH$5:$AH$44,Controle!$C56,'Entradas e Saídas'!$AP$5:$AP$44)</f>
        <v>0</v>
      </c>
      <c r="AG56" s="56">
        <f t="shared" si="6"/>
        <v>0</v>
      </c>
      <c r="AH56" s="57">
        <f>AG56*Inventário!$G52</f>
        <v>0</v>
      </c>
      <c r="AI56" s="56">
        <f>SUMIF('Entradas e Saídas'!$AT$5:$AT$44,Controle!$C56,'Entradas e Saídas'!$AU$5:$AU$44)</f>
        <v>0</v>
      </c>
      <c r="AJ56" s="56">
        <f>SUMIF('Entradas e Saídas'!$AT$5:$AT$44,Controle!$C56,'Entradas e Saídas'!$AV$5:$AV$44)</f>
        <v>0</v>
      </c>
      <c r="AK56" s="56">
        <f t="shared" si="7"/>
        <v>0</v>
      </c>
      <c r="AL56" s="57">
        <f>AK56*Inventário!$G52</f>
        <v>0</v>
      </c>
      <c r="AM56" s="56">
        <f>SUMIF('Entradas e Saídas'!$AZ$5:$AZ$44,Controle!$C56,'Entradas e Saídas'!$BA$5:$BA$44)</f>
        <v>0</v>
      </c>
      <c r="AN56" s="56">
        <f>SUMIF('Entradas e Saídas'!$AZ$5:$AZ$44,Controle!$C56,'Entradas e Saídas'!$BB$5:$BB$44)</f>
        <v>0</v>
      </c>
      <c r="AO56" s="56">
        <f t="shared" si="8"/>
        <v>0</v>
      </c>
      <c r="AP56" s="57">
        <f>AO56*Inventário!$G52</f>
        <v>0</v>
      </c>
      <c r="AQ56" s="56">
        <f>SUMIF('Entradas e Saídas'!$BF$5:$BF$44,Controle!$C56,'Entradas e Saídas'!$BG$5:$BG$44)</f>
        <v>0</v>
      </c>
      <c r="AR56" s="56">
        <f>SUMIF('Entradas e Saídas'!$BF$5:$BF$44,Controle!$C56,'Entradas e Saídas'!$BH$5:$BH$44)</f>
        <v>0</v>
      </c>
      <c r="AS56" s="56">
        <f t="shared" si="9"/>
        <v>0</v>
      </c>
      <c r="AT56" s="57">
        <f>AS56*Inventário!$G52</f>
        <v>0</v>
      </c>
      <c r="AU56" s="56">
        <f>SUMIF('Entradas e Saídas'!$BL$5:$BL$44,Controle!$C56,'Entradas e Saídas'!$BM$5:$BM$44)</f>
        <v>0</v>
      </c>
      <c r="AV56" s="56">
        <f>SUMIF('Entradas e Saídas'!$BL$5:$BL$44,Controle!$C56,'Entradas e Saídas'!$BN$5:$BN$44)</f>
        <v>0</v>
      </c>
      <c r="AW56" s="56">
        <f t="shared" si="10"/>
        <v>0</v>
      </c>
      <c r="AX56" s="57">
        <f>AW56*Inventário!$G52</f>
        <v>0</v>
      </c>
      <c r="AY56" s="56">
        <f>SUMIF('Entradas e Saídas'!$BR$5:$BR$44,Controle!$C56,'Entradas e Saídas'!$BS$5:$BS$44)</f>
        <v>0</v>
      </c>
      <c r="AZ56" s="56">
        <f>SUMIF('Entradas e Saídas'!$BR$5:$BR$44,Controle!$C56,'Entradas e Saídas'!$BT$5:$BT$44)</f>
        <v>0</v>
      </c>
      <c r="BA56" s="56">
        <f t="shared" si="11"/>
        <v>0</v>
      </c>
      <c r="BB56" s="57">
        <f>BA56*Inventário!$G52</f>
        <v>0</v>
      </c>
    </row>
    <row r="57" spans="1:54" s="4" customFormat="1" ht="15.75" customHeight="1" x14ac:dyDescent="0.25">
      <c r="A57" s="8"/>
      <c r="B57" s="27" t="str">
        <f>IF(Inventário!C53="","",Inventário!C53)</f>
        <v/>
      </c>
      <c r="C57" s="26" t="str">
        <f>IF(B57="","",VLOOKUP(B57,Inventário!$C$4:$D$53,2,FALSE))</f>
        <v/>
      </c>
      <c r="D57" s="59" t="str">
        <f>IF(B57="","",I57+M57+Q57+U57+Y57+AC57+AG57+AK57+AO57+AS57+AW57+BA57+Inventário!H53)</f>
        <v/>
      </c>
      <c r="E57" s="60" t="str">
        <f>IF(B57="","",IF(D57&lt;0,"-",(D57*Inventário!G53)))</f>
        <v/>
      </c>
      <c r="F57" s="60" t="str">
        <f>IF(B57="","",IF(D57&gt;Inventário!I53,"NÃO",CONCATENATE("SIM:"," ",Inventário!J53," ","unid")))</f>
        <v/>
      </c>
      <c r="G57" s="56">
        <f>SUMIF('Entradas e Saídas'!$D$5:$D$44,Controle!$C57,'Entradas e Saídas'!$E$5:$E$44)</f>
        <v>0</v>
      </c>
      <c r="H57" s="56">
        <f>SUMIF('Entradas e Saídas'!$D$5:$D$44,Controle!$C57,'Entradas e Saídas'!$F$5:$F$44)</f>
        <v>0</v>
      </c>
      <c r="I57" s="56">
        <f t="shared" si="0"/>
        <v>0</v>
      </c>
      <c r="J57" s="57">
        <f>I57*Inventário!G53</f>
        <v>0</v>
      </c>
      <c r="K57" s="56">
        <f>SUMIF('Entradas e Saídas'!$J$5:$J$44,Controle!$C57,'Entradas e Saídas'!$K$5:$K$44)</f>
        <v>0</v>
      </c>
      <c r="L57" s="56">
        <f>SUMIF('Entradas e Saídas'!$J$5:$J$44,Controle!$C57,'Entradas e Saídas'!$L$5:$L$44)</f>
        <v>0</v>
      </c>
      <c r="M57" s="56">
        <f t="shared" si="1"/>
        <v>0</v>
      </c>
      <c r="N57" s="57">
        <f>M57*Inventário!$G53</f>
        <v>0</v>
      </c>
      <c r="O57" s="56">
        <f>SUMIF('Entradas e Saídas'!$P$5:$P$44,Controle!$C57,'Entradas e Saídas'!$Q$5:$Q$44)</f>
        <v>0</v>
      </c>
      <c r="P57" s="56">
        <f>SUMIF('Entradas e Saídas'!$P$5:$P$44,Controle!$C57,'Entradas e Saídas'!$R$5:$R$44)</f>
        <v>0</v>
      </c>
      <c r="Q57" s="56">
        <f t="shared" si="2"/>
        <v>0</v>
      </c>
      <c r="R57" s="57">
        <f>Q57*Inventário!$G53</f>
        <v>0</v>
      </c>
      <c r="S57" s="56">
        <f>SUMIF('Entradas e Saídas'!$V$5:$V$44,Controle!$C57,'Entradas e Saídas'!$W$5:$W$44)</f>
        <v>0</v>
      </c>
      <c r="T57" s="56">
        <f>SUMIF('Entradas e Saídas'!$V$5:$V$44,Controle!$C57,'Entradas e Saídas'!$X$5:$X$44)</f>
        <v>0</v>
      </c>
      <c r="U57" s="56">
        <f t="shared" si="3"/>
        <v>0</v>
      </c>
      <c r="V57" s="57">
        <f>U57*Inventário!$G53</f>
        <v>0</v>
      </c>
      <c r="W57" s="56">
        <f>SUMIF('Entradas e Saídas'!$AB$5:$AB$44,Controle!$C57,'Entradas e Saídas'!$AC$5:$AC$44)</f>
        <v>0</v>
      </c>
      <c r="X57" s="56">
        <f>SUMIF('Entradas e Saídas'!$AB$5:$AB$44,Controle!$C57,'Entradas e Saídas'!$AD$5:$AD$44)</f>
        <v>0</v>
      </c>
      <c r="Y57" s="56">
        <f t="shared" si="4"/>
        <v>0</v>
      </c>
      <c r="Z57" s="57">
        <f>Y57*Inventário!$G53</f>
        <v>0</v>
      </c>
      <c r="AA57" s="56">
        <f>SUMIF('Entradas e Saídas'!$AH$5:$AH$44,Controle!$C57,'Entradas e Saídas'!$AI$5:$AI$44)</f>
        <v>0</v>
      </c>
      <c r="AB57" s="56">
        <f>SUMIF('Entradas e Saídas'!$AH$5:$AH$44,Controle!$C57,'Entradas e Saídas'!$AJ$5:$AJ$44)</f>
        <v>0</v>
      </c>
      <c r="AC57" s="56">
        <f t="shared" si="5"/>
        <v>0</v>
      </c>
      <c r="AD57" s="57">
        <f>AC57*Inventário!$G53</f>
        <v>0</v>
      </c>
      <c r="AE57" s="56">
        <f>SUMIF('Entradas e Saídas'!$AN$5:$AN$44,Controle!$C57,'Entradas e Saídas'!$AO$5:$AO$44)</f>
        <v>0</v>
      </c>
      <c r="AF57" s="56">
        <f>SUMIF('Entradas e Saídas'!$AH$5:$AH$44,Controle!$C57,'Entradas e Saídas'!$AP$5:$AP$44)</f>
        <v>0</v>
      </c>
      <c r="AG57" s="56">
        <f t="shared" si="6"/>
        <v>0</v>
      </c>
      <c r="AH57" s="57">
        <f>AG57*Inventário!$G53</f>
        <v>0</v>
      </c>
      <c r="AI57" s="56">
        <f>SUMIF('Entradas e Saídas'!$AT$5:$AT$44,Controle!$C57,'Entradas e Saídas'!$AU$5:$AU$44)</f>
        <v>0</v>
      </c>
      <c r="AJ57" s="56">
        <f>SUMIF('Entradas e Saídas'!$AT$5:$AT$44,Controle!$C57,'Entradas e Saídas'!$AV$5:$AV$44)</f>
        <v>0</v>
      </c>
      <c r="AK57" s="56">
        <f t="shared" si="7"/>
        <v>0</v>
      </c>
      <c r="AL57" s="57">
        <f>AK57*Inventário!$G53</f>
        <v>0</v>
      </c>
      <c r="AM57" s="56">
        <f>SUMIF('Entradas e Saídas'!$AZ$5:$AZ$44,Controle!$C57,'Entradas e Saídas'!$BA$5:$BA$44)</f>
        <v>0</v>
      </c>
      <c r="AN57" s="56">
        <f>SUMIF('Entradas e Saídas'!$AZ$5:$AZ$44,Controle!$C57,'Entradas e Saídas'!$BB$5:$BB$44)</f>
        <v>0</v>
      </c>
      <c r="AO57" s="56">
        <f t="shared" si="8"/>
        <v>0</v>
      </c>
      <c r="AP57" s="57">
        <f>AO57*Inventário!$G53</f>
        <v>0</v>
      </c>
      <c r="AQ57" s="56">
        <f>SUMIF('Entradas e Saídas'!$BF$5:$BF$44,Controle!$C57,'Entradas e Saídas'!$BG$5:$BG$44)</f>
        <v>0</v>
      </c>
      <c r="AR57" s="56">
        <f>SUMIF('Entradas e Saídas'!$BF$5:$BF$44,Controle!$C57,'Entradas e Saídas'!$BH$5:$BH$44)</f>
        <v>0</v>
      </c>
      <c r="AS57" s="56">
        <f t="shared" si="9"/>
        <v>0</v>
      </c>
      <c r="AT57" s="57">
        <f>AS57*Inventário!$G53</f>
        <v>0</v>
      </c>
      <c r="AU57" s="56">
        <f>SUMIF('Entradas e Saídas'!$BL$5:$BL$44,Controle!$C57,'Entradas e Saídas'!$BM$5:$BM$44)</f>
        <v>0</v>
      </c>
      <c r="AV57" s="56">
        <f>SUMIF('Entradas e Saídas'!$BL$5:$BL$44,Controle!$C57,'Entradas e Saídas'!$BN$5:$BN$44)</f>
        <v>0</v>
      </c>
      <c r="AW57" s="56">
        <f t="shared" si="10"/>
        <v>0</v>
      </c>
      <c r="AX57" s="57">
        <f>AW57*Inventário!$G53</f>
        <v>0</v>
      </c>
      <c r="AY57" s="56">
        <f>SUMIF('Entradas e Saídas'!$BR$5:$BR$44,Controle!$C57,'Entradas e Saídas'!$BS$5:$BS$44)</f>
        <v>0</v>
      </c>
      <c r="AZ57" s="56">
        <f>SUMIF('Entradas e Saídas'!$BR$5:$BR$44,Controle!$C57,'Entradas e Saídas'!$BT$5:$BT$44)</f>
        <v>0</v>
      </c>
      <c r="BA57" s="56">
        <f t="shared" si="11"/>
        <v>0</v>
      </c>
      <c r="BB57" s="57">
        <f>BA57*Inventário!$G53</f>
        <v>0</v>
      </c>
    </row>
    <row r="58" spans="1:54" ht="15.75" thickBot="1" x14ac:dyDescent="0.3"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68"/>
      <c r="AJ58" s="68"/>
      <c r="AK58" s="68"/>
      <c r="AL58" s="68"/>
      <c r="AM58" s="68"/>
      <c r="AN58" s="68"/>
      <c r="AO58" s="68"/>
      <c r="AP58" s="68"/>
      <c r="AQ58" s="68"/>
      <c r="AR58" s="68"/>
      <c r="AS58" s="68"/>
      <c r="AT58" s="68"/>
      <c r="AU58" s="68"/>
      <c r="AV58" s="68"/>
      <c r="AW58" s="68"/>
      <c r="AX58" s="68"/>
      <c r="AY58" s="68"/>
      <c r="AZ58" s="68"/>
      <c r="BA58" s="68"/>
      <c r="BB58" s="68"/>
    </row>
    <row r="59" spans="1:54" ht="15.75" thickBot="1" x14ac:dyDescent="0.3">
      <c r="G59" s="103" t="s">
        <v>35</v>
      </c>
      <c r="H59" s="104"/>
      <c r="I59" s="104"/>
      <c r="J59" s="69">
        <f>SUM(J8:J57)</f>
        <v>0</v>
      </c>
      <c r="K59" s="103" t="s">
        <v>35</v>
      </c>
      <c r="L59" s="104"/>
      <c r="M59" s="104"/>
      <c r="N59" s="69">
        <f t="shared" ref="N59" si="12">SUM(N8:N57)</f>
        <v>0</v>
      </c>
      <c r="O59" s="103" t="s">
        <v>35</v>
      </c>
      <c r="P59" s="104"/>
      <c r="Q59" s="104"/>
      <c r="R59" s="69">
        <f t="shared" ref="R59" si="13">SUM(R8:R57)</f>
        <v>0</v>
      </c>
      <c r="S59" s="103" t="s">
        <v>35</v>
      </c>
      <c r="T59" s="104"/>
      <c r="U59" s="104"/>
      <c r="V59" s="69">
        <f t="shared" ref="V59" si="14">SUM(V8:V57)</f>
        <v>0</v>
      </c>
      <c r="W59" s="103" t="s">
        <v>35</v>
      </c>
      <c r="X59" s="104"/>
      <c r="Y59" s="104"/>
      <c r="Z59" s="69">
        <f t="shared" ref="Z59" si="15">SUM(Z8:Z57)</f>
        <v>0</v>
      </c>
      <c r="AA59" s="103" t="s">
        <v>35</v>
      </c>
      <c r="AB59" s="104"/>
      <c r="AC59" s="104"/>
      <c r="AD59" s="69">
        <f t="shared" ref="AD59" si="16">SUM(AD8:AD57)</f>
        <v>0</v>
      </c>
      <c r="AE59" s="103" t="s">
        <v>35</v>
      </c>
      <c r="AF59" s="104"/>
      <c r="AG59" s="104"/>
      <c r="AH59" s="69">
        <f t="shared" ref="AH59" si="17">SUM(AH8:AH57)</f>
        <v>0</v>
      </c>
      <c r="AI59" s="103" t="s">
        <v>35</v>
      </c>
      <c r="AJ59" s="104"/>
      <c r="AK59" s="104"/>
      <c r="AL59" s="69">
        <f t="shared" ref="AL59" si="18">SUM(AL8:AL57)</f>
        <v>0</v>
      </c>
      <c r="AM59" s="103" t="s">
        <v>35</v>
      </c>
      <c r="AN59" s="104"/>
      <c r="AO59" s="104"/>
      <c r="AP59" s="69">
        <f t="shared" ref="AP59" si="19">SUM(AP8:AP57)</f>
        <v>0</v>
      </c>
      <c r="AQ59" s="103" t="s">
        <v>35</v>
      </c>
      <c r="AR59" s="104"/>
      <c r="AS59" s="104"/>
      <c r="AT59" s="69">
        <f t="shared" ref="AT59" si="20">SUM(AT8:AT57)</f>
        <v>0</v>
      </c>
      <c r="AU59" s="103" t="s">
        <v>35</v>
      </c>
      <c r="AV59" s="104"/>
      <c r="AW59" s="104"/>
      <c r="AX59" s="69">
        <f t="shared" ref="AX59" si="21">SUM(AX8:AX57)</f>
        <v>0</v>
      </c>
      <c r="AY59" s="103" t="s">
        <v>35</v>
      </c>
      <c r="AZ59" s="104"/>
      <c r="BA59" s="104"/>
      <c r="BB59" s="69">
        <f t="shared" ref="BB59" si="22">SUM(BB8:BB57)</f>
        <v>0</v>
      </c>
    </row>
  </sheetData>
  <mergeCells count="28">
    <mergeCell ref="AY59:BA59"/>
    <mergeCell ref="G59:I59"/>
    <mergeCell ref="K59:M59"/>
    <mergeCell ref="O59:Q59"/>
    <mergeCell ref="S59:U59"/>
    <mergeCell ref="W59:Y59"/>
    <mergeCell ref="AA59:AC59"/>
    <mergeCell ref="AE59:AG59"/>
    <mergeCell ref="AI59:AK59"/>
    <mergeCell ref="AM59:AO59"/>
    <mergeCell ref="AQ59:AS59"/>
    <mergeCell ref="AU59:AW59"/>
    <mergeCell ref="A1:L1"/>
    <mergeCell ref="AY3:BB3"/>
    <mergeCell ref="D5:D6"/>
    <mergeCell ref="E5:E6"/>
    <mergeCell ref="F5:F6"/>
    <mergeCell ref="AE3:AH3"/>
    <mergeCell ref="AI3:AL3"/>
    <mergeCell ref="AM3:AP3"/>
    <mergeCell ref="AQ3:AT3"/>
    <mergeCell ref="AU3:AX3"/>
    <mergeCell ref="G3:J3"/>
    <mergeCell ref="K3:N3"/>
    <mergeCell ref="O3:R3"/>
    <mergeCell ref="S3:V3"/>
    <mergeCell ref="W3:Z3"/>
    <mergeCell ref="AA3:AD3"/>
  </mergeCells>
  <conditionalFormatting sqref="F8:F57">
    <cfRule type="containsText" dxfId="0" priority="1" operator="containsText" text="SIM">
      <formula>NOT(ISERROR(SEARCH("SIM",F8)))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"/>
  <sheetViews>
    <sheetView showGridLines="0" zoomScaleNormal="100" workbookViewId="0">
      <selection sqref="A1:U1"/>
    </sheetView>
  </sheetViews>
  <sheetFormatPr defaultRowHeight="15" x14ac:dyDescent="0.25"/>
  <sheetData>
    <row r="1" spans="1:97" s="78" customFormat="1" ht="36" customHeight="1" x14ac:dyDescent="0.25">
      <c r="A1" s="90" t="s">
        <v>39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0"/>
      <c r="BS1" s="80"/>
      <c r="BT1" s="80"/>
      <c r="BU1" s="80"/>
      <c r="BV1" s="80"/>
      <c r="BW1" s="80"/>
      <c r="BX1" s="80"/>
      <c r="BY1" s="80"/>
      <c r="BZ1" s="80"/>
      <c r="CA1" s="80"/>
      <c r="CB1" s="80"/>
      <c r="CC1" s="80"/>
      <c r="CD1" s="80"/>
      <c r="CE1" s="80"/>
      <c r="CF1" s="80"/>
      <c r="CG1" s="80"/>
      <c r="CH1" s="80"/>
      <c r="CI1" s="80"/>
      <c r="CJ1" s="80"/>
      <c r="CK1" s="80"/>
      <c r="CL1" s="80"/>
      <c r="CM1" s="80"/>
      <c r="CN1" s="80"/>
      <c r="CO1" s="80"/>
      <c r="CP1" s="80"/>
      <c r="CQ1" s="80"/>
      <c r="CR1" s="80"/>
      <c r="CS1" s="80"/>
    </row>
  </sheetData>
  <mergeCells count="1">
    <mergeCell ref="A1:U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Início</vt:lpstr>
      <vt:lpstr>Inventário</vt:lpstr>
      <vt:lpstr>Entradas e Saídas</vt:lpstr>
      <vt:lpstr>Controle</vt:lpstr>
      <vt:lpstr>Panorama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Acelere.vc</dc:creator>
  <cp:lastModifiedBy>Pedro</cp:lastModifiedBy>
  <dcterms:created xsi:type="dcterms:W3CDTF">2013-11-09T12:17:33Z</dcterms:created>
  <dcterms:modified xsi:type="dcterms:W3CDTF">2014-07-15T13:10:02Z</dcterms:modified>
</cp:coreProperties>
</file>